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CFRSV639NEMFSP1\services\feutre\_Prod\"/>
    </mc:Choice>
  </mc:AlternateContent>
  <bookViews>
    <workbookView xWindow="-120" yWindow="480" windowWidth="29040" windowHeight="15720" tabRatio="466" firstSheet="1" activeTab="1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3" i="1" l="1"/>
  <c r="AN44" i="1"/>
  <c r="AN45" i="1"/>
  <c r="AN46" i="1"/>
  <c r="AN47" i="1"/>
  <c r="AN48" i="1"/>
  <c r="AN49" i="1"/>
  <c r="AN50" i="1"/>
  <c r="AN51" i="1"/>
  <c r="AN52" i="1"/>
  <c r="AR48" i="1" l="1"/>
  <c r="AS48" i="1"/>
  <c r="AV72" i="1" l="1"/>
  <c r="AW73" i="1"/>
  <c r="AV73" i="1"/>
  <c r="AW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AW42" i="1" l="1"/>
  <c r="CP33" i="1" s="1"/>
  <c r="U41" i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C61" i="1"/>
  <c r="AA61" i="1"/>
  <c r="AC62" i="1"/>
  <c r="AB62" i="1"/>
  <c r="AC63" i="1"/>
  <c r="AB63" i="1"/>
  <c r="AC64" i="1"/>
  <c r="AB64" i="1"/>
  <c r="AC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62" i="1"/>
  <c r="AA54" i="1"/>
  <c r="AB66" i="1"/>
  <c r="AB58" i="1"/>
  <c r="AB50" i="1"/>
  <c r="AA50" i="1" s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A65" i="1" l="1"/>
  <c r="AA60" i="1"/>
  <c r="AA70" i="1"/>
  <c r="AF79" i="1"/>
  <c r="AF77" i="1"/>
  <c r="AF75" i="1"/>
  <c r="AF81" i="1"/>
  <c r="AI81" i="1" s="1"/>
  <c r="AF74" i="1"/>
  <c r="AF76" i="1"/>
  <c r="AI76" i="1" s="1"/>
  <c r="AF82" i="1"/>
  <c r="AI82" i="1" s="1"/>
  <c r="AF78" i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78" i="1" l="1"/>
  <c r="CB78" i="1" s="1"/>
  <c r="AI75" i="1"/>
  <c r="CB75" i="1" s="1"/>
  <c r="AI74" i="1"/>
  <c r="CB74" i="1" s="1"/>
  <c r="AI73" i="1"/>
  <c r="CB73" i="1" s="1"/>
  <c r="AI77" i="1"/>
  <c r="CB77" i="1" s="1"/>
  <c r="AI79" i="1"/>
  <c r="CB79" i="1" s="1"/>
  <c r="BZ78" i="1"/>
  <c r="BZ82" i="1"/>
  <c r="CB82" i="1"/>
  <c r="BZ76" i="1"/>
  <c r="CB76" i="1"/>
  <c r="BZ74" i="1"/>
  <c r="BZ81" i="1"/>
  <c r="CB81" i="1"/>
  <c r="BZ75" i="1"/>
  <c r="BZ73" i="1"/>
  <c r="BZ77" i="1"/>
  <c r="BZ80" i="1"/>
  <c r="CB80" i="1"/>
  <c r="BZ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 ManyO</author>
  </authors>
  <commentList>
    <comment ref="AI19" authorId="0" shapeId="0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<sst xmlns="http://schemas.openxmlformats.org/spreadsheetml/2006/main" count="598" uniqueCount="243">
  <si>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</si>
  <si>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</si>
  <si>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</si>
  <si>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</si>
  <si>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</si>
  <si>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</si>
  <si>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</si>
  <si>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</si>
  <si>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</si>
  <si>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</si>
  <si>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</si>
  <si>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</si>
  <si>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</si>
  <si>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</si>
  <si>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</si>
  <si>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</si>
  <si>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</si>
  <si>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</si>
  <si>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</si>
  <si>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</si>
  <si>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</si>
  <si>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</si>
  <si>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</si>
  <si>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</si>
  <si>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</si>
  <si>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</si>
  <si>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</si>
  <si>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</si>
  <si>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</si>
  <si>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</si>
  <si>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</si>
  <si>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</si>
  <si>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</si>
  <si>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</si>
  <si>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</si>
  <si>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</si>
  <si>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</si>
  <si>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</si>
  <si>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</si>
  <si>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</si>
  <si>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</si>
  <si>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</si>
  <si>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</si>
  <si>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</si>
  <si>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</si>
  <si>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</si>
  <si>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</si>
  <si>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</si>
  <si>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</si>
  <si>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</si>
  <si>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</si>
  <si>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</si>
  <si>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</si>
  <si>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</si>
  <si>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</si>
  <si>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</si>
  <si>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</si>
  <si>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</si>
  <si>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</si>
  <si>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</si>
  <si>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</si>
  <si>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</si>
  <si>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</si>
  <si>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</si>
  <si>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</si>
  <si>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</si>
  <si>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</si>
  <si>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</si>
  <si>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</si>
  <si>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</si>
  <si>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</si>
  <si>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</si>
  <si>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</si>
  <si>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</si>
  <si>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</si>
  <si>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</si>
  <si>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</si>
  <si>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</si>
  <si>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</si>
  <si>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</si>
  <si>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</si>
  <si>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</si>
  <si>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</si>
  <si>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</si>
  <si>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</si>
  <si>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</si>
  <si>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</si>
  <si>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</si>
  <si>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</si>
  <si>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</si>
  <si>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</si>
  <si>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</si>
  <si>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</si>
  <si>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</si>
  <si>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</si>
  <si>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</si>
  <si>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</si>
  <si>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</si>
  <si>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</si>
  <si>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</t>
  </si>
  <si>
    <t>chemin des fichiers</t>
  </si>
  <si>
    <t>_dataTRS.xls</t>
  </si>
  <si>
    <t>_dataProduits.xls</t>
  </si>
  <si>
    <t>C:\Users\nicow\Documents\Quartzel\archivesProd\</t>
  </si>
  <si>
    <t>vitesse primaire</t>
  </si>
  <si>
    <t>totaux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</si>
  <si>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</si>
  <si>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</si>
  <si>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</si>
  <si>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</si>
  <si>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</si>
  <si>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</si>
  <si>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</si>
  <si>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93_F_A_Nicolas B.</t>
  </si>
  <si>
    <t>F1_93_A</t>
  </si>
  <si>
    <t>F2_93_A</t>
  </si>
  <si>
    <t>F3_93_A</t>
  </si>
  <si>
    <t>F4_93_A</t>
  </si>
  <si>
    <t>F5_93_A</t>
  </si>
  <si>
    <t>F6_93_A</t>
  </si>
  <si>
    <t>F7_93_A</t>
  </si>
  <si>
    <t>F8_93_A</t>
  </si>
  <si>
    <t>F9_93_A</t>
  </si>
  <si>
    <t>F10_93_A</t>
  </si>
  <si>
    <t>F11_93_A</t>
  </si>
  <si>
    <t>F12_93_A</t>
  </si>
  <si>
    <t>F13_93_A</t>
  </si>
  <si>
    <t>F14_93_A</t>
  </si>
  <si>
    <t>F15_93_A</t>
  </si>
  <si>
    <t>F16_93_A</t>
  </si>
  <si>
    <t>F17_93_A</t>
  </si>
  <si>
    <t>F18_93_A</t>
  </si>
  <si>
    <t>F19_93_A</t>
  </si>
  <si>
    <t>F20_93_A</t>
  </si>
  <si>
    <t>F21_93_A</t>
  </si>
  <si>
    <t>F22_93_A</t>
  </si>
  <si>
    <t>F23_93_A</t>
  </si>
  <si>
    <t>F24_93_A</t>
  </si>
  <si>
    <t>F_93_A</t>
  </si>
  <si>
    <t>F25_93_A</t>
  </si>
  <si>
    <t>F26_93_A</t>
  </si>
  <si>
    <t>F27_93_A</t>
  </si>
  <si>
    <t>F28_93_A</t>
  </si>
  <si>
    <t>F29_93_A</t>
  </si>
  <si>
    <t>93_F_N_ThomasNau N.</t>
  </si>
  <si>
    <t>F1_93_N</t>
  </si>
  <si>
    <t>F2_93_N</t>
  </si>
  <si>
    <t>F3_93_N</t>
  </si>
  <si>
    <t>F4_93_N</t>
  </si>
  <si>
    <t>F5_93_N</t>
  </si>
  <si>
    <t>F6_93_N</t>
  </si>
  <si>
    <t>F7_93_N</t>
  </si>
  <si>
    <t>F8_93_N</t>
  </si>
  <si>
    <t>F9_93_N</t>
  </si>
  <si>
    <t>F10_93_N</t>
  </si>
  <si>
    <t>F11_93_N</t>
  </si>
  <si>
    <t>F12_93_N</t>
  </si>
  <si>
    <t>F13_93_N</t>
  </si>
  <si>
    <t>F14_93_N</t>
  </si>
  <si>
    <t>F15_93_N</t>
  </si>
  <si>
    <t>F16_93_N</t>
  </si>
  <si>
    <t>F17_93_N</t>
  </si>
  <si>
    <t>F_93_N</t>
  </si>
  <si>
    <t>F18_93_N</t>
  </si>
  <si>
    <t>F19_93_N</t>
  </si>
  <si>
    <t>F20_93_N</t>
  </si>
  <si>
    <t>F21_93_N</t>
  </si>
  <si>
    <t>F22_93_N</t>
  </si>
  <si>
    <t>F23_93_N</t>
  </si>
  <si>
    <t>F24_93_N</t>
  </si>
  <si>
    <t>F25_93_N</t>
  </si>
  <si>
    <t>F26_93_N</t>
  </si>
  <si>
    <t>F27_93_N</t>
  </si>
  <si>
    <t>94_F_M_David H.</t>
  </si>
  <si>
    <t>F_94_M</t>
  </si>
  <si>
    <t>F1_94_M</t>
  </si>
  <si>
    <t>F2_94_M</t>
  </si>
  <si>
    <t>F3_94_M</t>
  </si>
  <si>
    <t>F4_94_M</t>
  </si>
  <si>
    <t>F5_94_M</t>
  </si>
  <si>
    <t>F6_94_M</t>
  </si>
  <si>
    <t>F7_94_M</t>
  </si>
  <si>
    <t>F8_94_M</t>
  </si>
  <si>
    <t>F9_94_M</t>
  </si>
  <si>
    <t>F10_94_M</t>
  </si>
  <si>
    <t>F11_94_M</t>
  </si>
  <si>
    <t>F12_94_M</t>
  </si>
  <si>
    <t>F13_94_M</t>
  </si>
  <si>
    <t>F14_94_M</t>
  </si>
  <si>
    <t>F15_94_M</t>
  </si>
  <si>
    <t>F16_94_M</t>
  </si>
  <si>
    <t>F17_94_M</t>
  </si>
  <si>
    <t>F18_94_M</t>
  </si>
  <si>
    <t>F19_94_M</t>
  </si>
  <si>
    <t>F20_94_M</t>
  </si>
  <si>
    <t>F21_94_M</t>
  </si>
  <si>
    <t>F22_94_M</t>
  </si>
  <si>
    <t>F23_94_M</t>
  </si>
  <si>
    <t>F24_94_M</t>
  </si>
  <si>
    <t>98_F_A_Jonathan N.</t>
  </si>
  <si>
    <t>F_98_A</t>
  </si>
  <si>
    <t>93_F_J_TEST</t>
  </si>
  <si>
    <t>F1_93_J</t>
  </si>
  <si>
    <t>93_E_A_test</t>
  </si>
  <si>
    <t>E</t>
  </si>
  <si>
    <t>E1_93_A</t>
  </si>
  <si>
    <t>E2_93_A</t>
  </si>
  <si>
    <t>93_E_A_David H.</t>
  </si>
  <si>
    <t>E3_93_A</t>
  </si>
  <si>
    <t>E4_93_A</t>
  </si>
  <si>
    <t>E5_93_A</t>
  </si>
  <si>
    <t>E6_93_A</t>
  </si>
  <si>
    <t>E7_93_A</t>
  </si>
  <si>
    <t>E8_93_A</t>
  </si>
  <si>
    <t>E9_93_A</t>
  </si>
  <si>
    <t>E10_93_A</t>
  </si>
  <si>
    <t>E11_93_A</t>
  </si>
  <si>
    <t>E12_93_A</t>
  </si>
  <si>
    <t>E13_93_A</t>
  </si>
  <si>
    <t>E14_93_A</t>
  </si>
  <si>
    <t>E15_93_A</t>
  </si>
  <si>
    <t>E16_93_A</t>
  </si>
  <si>
    <t>Fibrae difficile en debut de poste. Itesse primaire a 38 passé à 33,6. Mieux mais probleme clavier Gauhe zone Gauche</t>
  </si>
  <si>
    <t>93_E_N_Pietrois</t>
  </si>
  <si>
    <t>E1_93_N</t>
  </si>
  <si>
    <t>E2_93_N</t>
  </si>
  <si>
    <t>E3_93_N</t>
  </si>
  <si>
    <t>E4_93_N</t>
  </si>
  <si>
    <t>E5_93_N</t>
  </si>
  <si>
    <t>E6_93_N</t>
  </si>
  <si>
    <t>E7_93_N</t>
  </si>
  <si>
    <t>E8_93_N</t>
  </si>
  <si>
    <t>E9_93_N</t>
  </si>
  <si>
    <t>E10_93_N</t>
  </si>
  <si>
    <t>E11_93_N</t>
  </si>
  <si>
    <t>E12_93_N</t>
  </si>
  <si>
    <t>E13_93_N</t>
  </si>
  <si>
    <t>E14_93_N</t>
  </si>
  <si>
    <t>E15_93_N</t>
  </si>
  <si>
    <t>E16_93_N</t>
  </si>
  <si>
    <t>E17_93_N</t>
  </si>
  <si>
    <t>E18_93_N</t>
  </si>
  <si>
    <t>E19_93_N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</si>
</sst>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color theme="0"/>
      </font>
      <fill>
        <patternFill>
          <bgColor rgb="FFFF0000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100</v>
      </c>
      <c r="P1">
        <v>480</v>
      </c>
      <c r="Q1" s="73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101</v>
      </c>
      <c r="K2" t="s">
        <v>103</v>
      </c>
      <c r="P2">
        <f>P1-30</f>
        <v>450</v>
      </c>
      <c r="Q2" s="73">
        <f t="shared" ref="Q2:Q16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102</v>
      </c>
      <c r="K3" t="s">
        <v>103</v>
      </c>
      <c r="P3">
        <f>P2-30</f>
        <v>420</v>
      </c>
      <c r="Q3" s="73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6" si="1">P3-30</f>
        <v>390</v>
      </c>
      <c r="Q4" s="73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73">
        <f t="shared" si="0"/>
        <v>0.25</v>
      </c>
    </row>
    <row r="6" spans="1:17" x14ac:dyDescent="0.25">
      <c r="A6" t="s">
        <v>97</v>
      </c>
      <c r="P6">
        <f t="shared" si="1"/>
        <v>330</v>
      </c>
      <c r="Q6" s="73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73">
        <f t="shared" si="0"/>
        <v>0.20833333333333334</v>
      </c>
    </row>
    <row r="8" spans="1:17" x14ac:dyDescent="0.25">
      <c r="P8">
        <f t="shared" si="1"/>
        <v>270</v>
      </c>
      <c r="Q8" s="73">
        <f t="shared" si="0"/>
        <v>0.1875</v>
      </c>
    </row>
    <row r="9" spans="1:17" x14ac:dyDescent="0.25">
      <c r="P9">
        <f t="shared" si="1"/>
        <v>240</v>
      </c>
      <c r="Q9" s="73">
        <f t="shared" si="0"/>
        <v>0.16666666666666666</v>
      </c>
    </row>
    <row r="10" spans="1:17" x14ac:dyDescent="0.25">
      <c r="P10">
        <f t="shared" si="1"/>
        <v>210</v>
      </c>
      <c r="Q10" s="73">
        <f t="shared" si="0"/>
        <v>0.14583333333333334</v>
      </c>
    </row>
    <row r="11" spans="1:17" x14ac:dyDescent="0.25">
      <c r="P11">
        <f t="shared" si="1"/>
        <v>180</v>
      </c>
      <c r="Q11" s="73">
        <f t="shared" si="0"/>
        <v>0.125</v>
      </c>
    </row>
    <row r="12" spans="1:17" x14ac:dyDescent="0.25">
      <c r="P12">
        <f t="shared" si="1"/>
        <v>150</v>
      </c>
      <c r="Q12" s="73">
        <f t="shared" si="0"/>
        <v>0.10416666666666667</v>
      </c>
    </row>
    <row r="13" spans="1:17" x14ac:dyDescent="0.25">
      <c r="P13">
        <f t="shared" si="1"/>
        <v>120</v>
      </c>
      <c r="Q13" s="73">
        <f t="shared" si="0"/>
        <v>8.3333333333333329E-2</v>
      </c>
    </row>
    <row r="14" spans="1:17" x14ac:dyDescent="0.25">
      <c r="P14">
        <f t="shared" si="1"/>
        <v>90</v>
      </c>
      <c r="Q14" s="73">
        <f t="shared" si="0"/>
        <v>6.25E-2</v>
      </c>
    </row>
    <row r="15" spans="1:17" x14ac:dyDescent="0.25">
      <c r="P15">
        <f t="shared" si="1"/>
        <v>60</v>
      </c>
      <c r="Q15" s="73">
        <f t="shared" si="0"/>
        <v>4.1666666666666664E-2</v>
      </c>
    </row>
    <row r="16" spans="1:17" x14ac:dyDescent="0.25">
      <c r="P16">
        <f t="shared" si="1"/>
        <v>30</v>
      </c>
      <c r="Q16" s="73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Z87"/>
  <sheetViews>
    <sheetView tabSelected="1" topLeftCell="Y25" zoomScale="115" zoomScaleNormal="115" workbookViewId="0">
      <selection activeCell="AL34" sqref="AL3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4" t="s">
        <v>66</v>
      </c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10"/>
      <c r="AX19" s="11"/>
      <c r="BA19" s="82"/>
    </row>
    <row r="20" spans="33:103" ht="14.45" customHeight="1" x14ac:dyDescent="0.25">
      <c r="AG20" s="9"/>
      <c r="AH20" s="10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10"/>
      <c r="AX20" s="11"/>
      <c r="AZ20" s="68" t="s">
        <v>109</v>
      </c>
      <c r="BA20" s="82"/>
    </row>
    <row r="21" spans="33:103" ht="14.45" customHeight="1" x14ac:dyDescent="0.25">
      <c r="AG21" s="9"/>
      <c r="AH21" s="10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10"/>
      <c r="AX21" s="11"/>
      <c r="AZ21" s="68"/>
    </row>
    <row r="22" spans="33:103" ht="14.45" customHeight="1" x14ac:dyDescent="0.25">
      <c r="AG22" s="9"/>
      <c r="AH22" s="10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10"/>
      <c r="AX22" s="11"/>
      <c r="AZ22" s="68" t="s">
        <v>107</v>
      </c>
      <c r="BA22" s="82"/>
    </row>
    <row r="23" spans="33:103" ht="15" customHeight="1" thickBot="1" x14ac:dyDescent="0.3">
      <c r="AG23" s="9"/>
      <c r="AH23" s="10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10"/>
      <c r="AX23" s="11"/>
      <c r="BA23" s="82"/>
    </row>
    <row r="24" spans="33:103" ht="15" customHeight="1" thickTop="1" x14ac:dyDescent="0.25">
      <c r="AG24" s="9"/>
      <c r="AH24" s="9"/>
      <c r="AI24" s="12"/>
      <c r="AJ24" s="9"/>
      <c r="AK24" s="88" t="s">
        <v>65</v>
      </c>
      <c r="AL24" s="88"/>
      <c r="AM24" s="88"/>
      <c r="AN24" s="88"/>
      <c r="AO24" s="88"/>
      <c r="AP24" s="88"/>
      <c r="AQ24" s="88"/>
      <c r="AR24" s="88"/>
      <c r="AS24" s="88"/>
      <c r="AT24" s="88"/>
      <c r="AU24" s="9"/>
      <c r="AV24" s="9"/>
      <c r="AW24" s="9"/>
      <c r="AX24" s="11"/>
    </row>
    <row r="25" spans="33:103" ht="14.45" customHeight="1" x14ac:dyDescent="0.25">
      <c r="AG25" s="9"/>
      <c r="AH25" s="87" t="s">
        <v>67</v>
      </c>
      <c r="AI25" s="87"/>
      <c r="AJ25" s="87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9"/>
      <c r="AV25" s="9"/>
      <c r="AW25" s="9"/>
      <c r="AX25" s="11"/>
      <c r="AZ25" s="68" t="s">
        <v>108</v>
      </c>
    </row>
    <row r="26" spans="33:103" ht="14.45" customHeight="1" x14ac:dyDescent="0.25">
      <c r="AG26" s="9"/>
      <c r="AH26" s="86" t="s">
        <v>68</v>
      </c>
      <c r="AI26" s="86"/>
      <c r="AJ26" s="86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7" t="s">
        <v>69</v>
      </c>
      <c r="AV27" s="87"/>
      <c r="AW27" s="87"/>
      <c r="AX27" s="11"/>
      <c r="AZ27" s="68" t="s">
        <v>106</v>
      </c>
    </row>
    <row r="28" spans="33:103" ht="16.5" thickTop="1" thickBot="1" x14ac:dyDescent="0.3">
      <c r="AG28" s="9"/>
      <c r="AH28" s="89" t="str">
        <f>_data!$E$2</f>
        <v>SD QU 08 14 rev 1</v>
      </c>
      <c r="AI28" s="90"/>
      <c r="AJ28" s="91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6" t="s">
        <v>70</v>
      </c>
      <c r="AV28" s="86"/>
      <c r="AW28" s="86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81" t="s">
        <v>61</v>
      </c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83"/>
      <c r="AV33" s="83"/>
      <c r="AW33" s="83"/>
      <c r="AZ33" s="6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83"/>
      <c r="AV34" s="83"/>
      <c r="AW34" s="83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83"/>
      <c r="AV35" s="83"/>
      <c r="AW35" s="83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83"/>
      <c r="AV36" s="83"/>
      <c r="AW36" s="83"/>
    </row>
    <row r="37" spans="18:104" x14ac:dyDescent="0.25">
      <c r="AJ37" s="63" t="s">
        <v>64</v>
      </c>
    </row>
    <row r="38" spans="18:104" x14ac:dyDescent="0.25">
      <c r="AJ38" s="77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77"/>
      <c r="AL38" s="77"/>
      <c r="AM38" s="77"/>
      <c r="AN38" s="77"/>
      <c r="AO38" s="77"/>
      <c r="AP38" s="77"/>
      <c r="AQ38" s="77"/>
      <c r="AR38" s="77"/>
      <c r="AS38" s="79"/>
      <c r="AT38" s="78" t="s">
        <v>110</v>
      </c>
      <c r="AU38" s="78"/>
      <c r="AV38" s="78"/>
      <c r="AW38" s="78"/>
    </row>
    <row r="39" spans="18:104" x14ac:dyDescent="0.25">
      <c r="AJ39" s="77"/>
      <c r="AK39" s="77"/>
      <c r="AL39" s="77"/>
      <c r="AM39" s="77"/>
      <c r="AN39" s="77"/>
      <c r="AO39" s="77"/>
      <c r="AP39" s="77"/>
      <c r="AQ39" s="77"/>
      <c r="AR39" s="77"/>
      <c r="AS39" s="79"/>
      <c r="AT39" s="78"/>
      <c r="AU39" s="78"/>
      <c r="AV39" s="78"/>
      <c r="AW39" s="78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81" t="s">
        <v>21</v>
      </c>
      <c r="AK41" s="81"/>
      <c r="AL41" s="81"/>
      <c r="AM41" s="21"/>
      <c r="AN41" s="80" t="s">
        <v>105</v>
      </c>
      <c r="AO41" s="80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1048450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6" t="str">
        <f>IFERROR(AS58/AW42*100,"")</f>
        <v/>
      </c>
      <c r="AV42" s="76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71"/>
      <c r="AL43" s="3"/>
      <c r="AN43" s="30">
        <f>IF(AJ43="",IF(AK43="",AL43,IF(AL43&lt;&gt;"",AL43-AK43,0)),0)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76"/>
      <c r="AV43" s="76"/>
      <c r="AW43" s="75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71"/>
      <c r="AL44" s="3"/>
      <c r="AN44" s="30">
        <f t="shared" ref="AN44:AN82" si="9">IF(AJ44="",IF(AK44="",AL44,IF(AL44&lt;&gt;"",AL44-AK44,0)),0)</f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76"/>
      <c r="AV44" s="76"/>
      <c r="AW44" s="75"/>
      <c r="AX44" s="8" t="str">
        <f t="shared" si="4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/>
      </c>
      <c r="AI45" s="12" t="str">
        <f t="shared" si="8"/>
        <v/>
      </c>
      <c r="AJ45" s="38"/>
      <c r="AK45" s="71"/>
      <c r="AL45" s="3"/>
      <c r="AN45" s="30">
        <f t="shared" si="9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76"/>
      <c r="AV45" s="76"/>
      <c r="AW45" s="75"/>
      <c r="AX45" s="8" t="str">
        <f t="shared" si="4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/>
      </c>
      <c r="AI46" s="12" t="str">
        <f t="shared" si="8"/>
        <v/>
      </c>
      <c r="AJ46" s="38"/>
      <c r="AK46" s="71"/>
      <c r="AL46" s="3"/>
      <c r="AN46" s="30">
        <f t="shared" si="9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76"/>
      <c r="AV46" s="76"/>
      <c r="AW46" s="75"/>
      <c r="AX46" s="8" t="str">
        <f t="shared" si="4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71"/>
      <c r="AL47" s="3"/>
      <c r="AN47" s="30">
        <f t="shared" si="9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76"/>
      <c r="AV47" s="76"/>
      <c r="AW47" s="75"/>
      <c r="AX47" s="8" t="str">
        <f t="shared" si="4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71"/>
      <c r="AL48" s="3"/>
      <c r="AN48" s="30">
        <f t="shared" si="9"/>
        <v>0</v>
      </c>
      <c r="AO48" s="30">
        <f t="shared" si="10"/>
        <v>0</v>
      </c>
      <c r="AQ48" s="26"/>
      <c r="AR48" s="27">
        <f>IF(COUNT(AR43:AR47)&lt;1,AR43,AVERAGE(AR43:AR47))</f>
        <v>0</v>
      </c>
      <c r="AS48" s="27">
        <f>IF(COUNT(AS43:AS47)&lt;1,AS43,AVERAGE(AS43:AS47))</f>
        <v>0</v>
      </c>
      <c r="AT48" s="28"/>
      <c r="AX48" s="8" t="str">
        <f t="shared" si="4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71"/>
      <c r="AL49" s="3"/>
      <c r="AN49" s="30">
        <f t="shared" si="9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71"/>
      <c r="AL50" s="3"/>
      <c r="AN50" s="30">
        <f t="shared" si="9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71"/>
      <c r="AL51" s="3"/>
      <c r="AN51" s="30">
        <f t="shared" si="9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71"/>
      <c r="AL52" s="3"/>
      <c r="AN52" s="30">
        <f t="shared" si="9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/>
      </c>
      <c r="AI53" s="12" t="str">
        <f t="shared" si="8"/>
        <v/>
      </c>
      <c r="AJ53" s="38"/>
      <c r="AK53" s="71"/>
      <c r="AL53" s="3"/>
      <c r="AN53" s="30">
        <f t="shared" si="9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/>
      </c>
      <c r="AI54" s="12" t="str">
        <f t="shared" si="8"/>
        <v/>
      </c>
      <c r="AJ54" s="38"/>
      <c r="AK54" s="71"/>
      <c r="AL54" s="3"/>
      <c r="AN54" s="30">
        <f t="shared" si="9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/>
      </c>
      <c r="AI55" s="12" t="str">
        <f t="shared" si="8"/>
        <v/>
      </c>
      <c r="AJ55" s="38"/>
      <c r="AK55" s="71"/>
      <c r="AL55" s="3"/>
      <c r="AN55" s="30">
        <f t="shared" si="9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/>
      </c>
      <c r="AI56" s="12" t="str">
        <f t="shared" si="8"/>
        <v/>
      </c>
      <c r="AJ56" s="38"/>
      <c r="AK56" s="71"/>
      <c r="AL56" s="3"/>
      <c r="AN56" s="30">
        <f t="shared" si="9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/>
      </c>
      <c r="AI57" s="12" t="str">
        <f t="shared" si="8"/>
        <v/>
      </c>
      <c r="AJ57" s="38"/>
      <c r="AK57" s="71"/>
      <c r="AL57" s="3"/>
      <c r="AN57" s="30">
        <f t="shared" si="9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/>
      </c>
      <c r="AI58" s="12" t="str">
        <f t="shared" si="8"/>
        <v/>
      </c>
      <c r="AJ58" s="38"/>
      <c r="AK58" s="71"/>
      <c r="AL58" s="3"/>
      <c r="AN58" s="30">
        <f t="shared" si="9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/>
      </c>
      <c r="AI59" s="12" t="str">
        <f t="shared" si="8"/>
        <v/>
      </c>
      <c r="AJ59" s="38"/>
      <c r="AK59" s="71"/>
      <c r="AL59" s="3"/>
      <c r="AN59" s="30">
        <f t="shared" si="9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/>
      </c>
      <c r="AI60" s="12" t="str">
        <f t="shared" si="8"/>
        <v/>
      </c>
      <c r="AJ60" s="38"/>
      <c r="AK60" s="71"/>
      <c r="AL60" s="3"/>
      <c r="AN60" s="30">
        <f t="shared" si="9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/>
      </c>
      <c r="AI61" s="12" t="str">
        <f t="shared" si="8"/>
        <v/>
      </c>
      <c r="AJ61" s="38"/>
      <c r="AK61" s="71"/>
      <c r="AL61" s="3"/>
      <c r="AN61" s="30">
        <f t="shared" si="9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/>
      </c>
      <c r="AI62" s="12" t="str">
        <f t="shared" si="8"/>
        <v/>
      </c>
      <c r="AJ62" s="38"/>
      <c r="AK62" s="71"/>
      <c r="AL62" s="3"/>
      <c r="AN62" s="30">
        <f t="shared" si="9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/>
      </c>
      <c r="AI63" s="12" t="str">
        <f t="shared" si="8"/>
        <v/>
      </c>
      <c r="AJ63" s="38"/>
      <c r="AK63" s="71"/>
      <c r="AL63" s="3"/>
      <c r="AN63" s="30">
        <f t="shared" si="9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/>
      </c>
      <c r="AI64" s="12" t="str">
        <f t="shared" si="8"/>
        <v/>
      </c>
      <c r="AJ64" s="38"/>
      <c r="AK64" s="71"/>
      <c r="AL64" s="3"/>
      <c r="AN64" s="30">
        <f t="shared" si="9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/>
      </c>
      <c r="AI65" s="12" t="str">
        <f t="shared" si="8"/>
        <v/>
      </c>
      <c r="AJ65" s="38"/>
      <c r="AK65" s="71"/>
      <c r="AL65" s="3"/>
      <c r="AN65" s="30">
        <f t="shared" si="9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/>
      </c>
      <c r="AI66" s="12" t="str">
        <f t="shared" si="8"/>
        <v/>
      </c>
      <c r="AJ66" s="38"/>
      <c r="AK66" s="71"/>
      <c r="AL66" s="3"/>
      <c r="AN66" s="30">
        <f t="shared" si="9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/>
      </c>
      <c r="AI67" s="12" t="str">
        <f t="shared" si="8"/>
        <v/>
      </c>
      <c r="AJ67" s="38"/>
      <c r="AK67" s="71"/>
      <c r="AL67" s="3"/>
      <c r="AN67" s="30">
        <f t="shared" si="9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/>
      </c>
      <c r="AI68" s="12" t="str">
        <f t="shared" si="8"/>
        <v/>
      </c>
      <c r="AJ68" s="38"/>
      <c r="AK68" s="71"/>
      <c r="AL68" s="3"/>
      <c r="AN68" s="30">
        <f t="shared" si="9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/>
      </c>
      <c r="AI69" s="12" t="str">
        <f t="shared" si="8"/>
        <v/>
      </c>
      <c r="AJ69" s="38"/>
      <c r="AK69" s="71"/>
      <c r="AL69" s="3"/>
      <c r="AN69" s="30">
        <f t="shared" si="9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93_E_N_Pietrois</v>
      </c>
      <c r="AV69" s="74">
        <f ca="1">OFFSET('data TRS'!$AA$1,COUNTA('data TRS'!$AA:$AA)-1,)</f>
        <v>45020.152928240743</v>
      </c>
      <c r="AW69" s="36" t="str">
        <f ca="1">CONCATENATE("TRS : ",ROUND(OFFSET('data TRS'!$P$1,COUNTA('data TRS'!$P:$P)-1,),2)," %")</f>
        <v>TRS : 105 %</v>
      </c>
      <c r="AX69" s="8" t="str">
        <f t="shared" si="4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/>
      </c>
      <c r="AI70" s="12" t="str">
        <f t="shared" si="8"/>
        <v/>
      </c>
      <c r="AJ70" s="38"/>
      <c r="AK70" s="71"/>
      <c r="AL70" s="3"/>
      <c r="AN70" s="30">
        <f t="shared" si="9"/>
        <v>0</v>
      </c>
      <c r="AO70" s="30">
        <f t="shared" si="10"/>
        <v>0</v>
      </c>
      <c r="AQ70" s="30"/>
      <c r="AR70" s="30"/>
      <c r="AS70" s="30"/>
      <c r="AT70" s="30"/>
      <c r="AU70" s="37" t="s">
        <v>76</v>
      </c>
      <c r="AV70" s="20">
        <f ca="1">OFFSET('data TRS'!$L$1,COUNTA('data TRS'!$L:$L)-1,)</f>
        <v>52</v>
      </c>
      <c r="AW70" s="20">
        <f ca="1">OFFSET('data TRS'!$M$1,COUNTA('data TRS'!$M:$M)-1,)</f>
        <v>52.5</v>
      </c>
      <c r="AX70" s="8" t="str">
        <f t="shared" si="4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/>
      </c>
      <c r="AI71" s="12" t="str">
        <f t="shared" si="8"/>
        <v/>
      </c>
      <c r="AJ71" s="38"/>
      <c r="AK71" s="71"/>
      <c r="AL71" s="3"/>
      <c r="AN71" s="30">
        <f t="shared" si="9"/>
        <v>0</v>
      </c>
      <c r="AO71" s="30">
        <f t="shared" si="10"/>
        <v>0</v>
      </c>
      <c r="AU71" s="15"/>
      <c r="AV71" s="35" t="s">
        <v>112</v>
      </c>
      <c r="AX71" s="8" t="str">
        <f t="shared" si="4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/>
      </c>
      <c r="AI72" s="12" t="str">
        <f t="shared" si="8"/>
        <v/>
      </c>
      <c r="AJ72" s="38"/>
      <c r="AK72" s="71"/>
      <c r="AL72" s="3"/>
      <c r="AN72" s="30">
        <f t="shared" si="9"/>
        <v>0</v>
      </c>
      <c r="AO72" s="30">
        <f t="shared" si="10"/>
        <v>0</v>
      </c>
      <c r="AU72" s="37" t="str">
        <f ca="1">OFFSET('data TRS'!$A$1,COUNTA('data TRS'!$A:$A)-2,)</f>
        <v>93_E_A_David H.</v>
      </c>
      <c r="AV72" s="74">
        <f ca="1">OFFSET('data TRS'!$AA$1,COUNTA('data TRS'!$AA:$AA)-2,)</f>
        <v>45019.821284722224</v>
      </c>
      <c r="AW72" s="36" t="str">
        <f ca="1">CONCATENATE("TRS : ",ROUND(OFFSET('data TRS'!$P$1,COUNTA('data TRS'!$P:$P)-2,),2)," %")</f>
        <v>TRS : 80 %</v>
      </c>
      <c r="AX72" s="8" t="str">
        <f t="shared" si="4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/>
      </c>
      <c r="AI73" s="12" t="str">
        <f t="shared" si="8"/>
        <v/>
      </c>
      <c r="AJ73" s="38"/>
      <c r="AK73" s="71"/>
      <c r="AL73" s="3"/>
      <c r="AN73" s="30">
        <f t="shared" si="9"/>
        <v>0</v>
      </c>
      <c r="AO73" s="30">
        <f t="shared" si="10"/>
        <v>0</v>
      </c>
      <c r="AU73" s="37" t="s">
        <v>76</v>
      </c>
      <c r="AV73" s="20">
        <f ca="1">OFFSET('data TRS'!$L$1,COUNTA('data TRS'!$L:$L)-2,)</f>
        <v>30</v>
      </c>
      <c r="AW73" s="20">
        <f ca="1">OFFSET('data TRS'!$M$1,COUNTA('data TRS'!$M:$M)-2,)</f>
        <v>32</v>
      </c>
      <c r="AX73" s="8" t="str">
        <f t="shared" si="4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/>
      </c>
      <c r="AI74" s="12" t="str">
        <f t="shared" si="8"/>
        <v/>
      </c>
      <c r="AJ74" s="38"/>
      <c r="AK74" s="71"/>
      <c r="AL74" s="3"/>
      <c r="AN74" s="30">
        <f t="shared" si="9"/>
        <v>0</v>
      </c>
      <c r="AO74" s="30">
        <f t="shared" si="10"/>
        <v>0</v>
      </c>
      <c r="AX74" s="8" t="str">
        <f t="shared" si="4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/>
      </c>
      <c r="AI75" s="12" t="str">
        <f t="shared" si="8"/>
        <v/>
      </c>
      <c r="AJ75" s="38"/>
      <c r="AK75" s="71"/>
      <c r="AL75" s="3"/>
      <c r="AN75" s="30">
        <f t="shared" si="9"/>
        <v>0</v>
      </c>
      <c r="AO75" s="30">
        <f t="shared" si="10"/>
        <v>0</v>
      </c>
      <c r="AX75" s="8" t="str">
        <f t="shared" si="4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/>
      </c>
      <c r="AI76" s="12" t="str">
        <f t="shared" si="8"/>
        <v/>
      </c>
      <c r="AJ76" s="38"/>
      <c r="AK76" s="71"/>
      <c r="AL76" s="3"/>
      <c r="AN76" s="30">
        <f t="shared" si="9"/>
        <v>0</v>
      </c>
      <c r="AO76" s="30">
        <f t="shared" si="10"/>
        <v>0</v>
      </c>
      <c r="AX76" s="8" t="str">
        <f t="shared" si="4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/>
      </c>
      <c r="AI77" s="12" t="str">
        <f t="shared" si="8"/>
        <v/>
      </c>
      <c r="AJ77" s="38"/>
      <c r="AK77" s="71"/>
      <c r="AL77" s="3"/>
      <c r="AN77" s="30">
        <f t="shared" si="9"/>
        <v>0</v>
      </c>
      <c r="AO77" s="30">
        <f t="shared" si="10"/>
        <v>0</v>
      </c>
      <c r="AX77" s="8" t="str">
        <f t="shared" si="4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/>
      </c>
      <c r="AI78" s="12" t="str">
        <f t="shared" si="8"/>
        <v/>
      </c>
      <c r="AJ78" s="38"/>
      <c r="AK78" s="71"/>
      <c r="AL78" s="3"/>
      <c r="AN78" s="30">
        <f t="shared" si="9"/>
        <v>0</v>
      </c>
      <c r="AO78" s="30">
        <f t="shared" si="10"/>
        <v>0</v>
      </c>
      <c r="AX78" s="8" t="str">
        <f t="shared" si="4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/>
      </c>
      <c r="AI79" s="12" t="str">
        <f t="shared" si="8"/>
        <v/>
      </c>
      <c r="AJ79" s="38"/>
      <c r="AK79" s="71"/>
      <c r="AL79" s="3"/>
      <c r="AN79" s="30">
        <f t="shared" si="9"/>
        <v>0</v>
      </c>
      <c r="AO79" s="30">
        <f t="shared" si="10"/>
        <v>0</v>
      </c>
      <c r="AX79" s="8" t="str">
        <f t="shared" si="4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/>
      </c>
      <c r="AI80" s="12" t="str">
        <f t="shared" si="8"/>
        <v/>
      </c>
      <c r="AJ80" s="38"/>
      <c r="AK80" s="71"/>
      <c r="AL80" s="3"/>
      <c r="AN80" s="30">
        <f t="shared" si="9"/>
        <v>0</v>
      </c>
      <c r="AO80" s="30">
        <f t="shared" si="10"/>
        <v>0</v>
      </c>
      <c r="AX80" s="8" t="str">
        <f t="shared" si="4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/>
      </c>
      <c r="AI81" s="12" t="str">
        <f t="shared" si="8"/>
        <v/>
      </c>
      <c r="AJ81" s="38"/>
      <c r="AK81" s="71"/>
      <c r="AL81" s="3"/>
      <c r="AN81" s="30">
        <f t="shared" si="9"/>
        <v>0</v>
      </c>
      <c r="AO81" s="30">
        <f t="shared" si="10"/>
        <v>0</v>
      </c>
      <c r="AX81" s="8" t="str">
        <f t="shared" si="4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/>
      </c>
      <c r="AI82" s="12" t="str">
        <f t="shared" si="8"/>
        <v/>
      </c>
      <c r="AJ82" s="38"/>
      <c r="AK82" s="71"/>
      <c r="AL82" s="3"/>
      <c r="AN82" s="30">
        <f t="shared" si="9"/>
        <v>0</v>
      </c>
      <c r="AO82" s="30">
        <f t="shared" si="10"/>
        <v>0</v>
      </c>
      <c r="AX82" s="8" t="str">
        <f t="shared" si="4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72"/>
    </row>
    <row r="84" spans="18:87" x14ac:dyDescent="0.25">
      <c r="AK84" s="72"/>
    </row>
    <row r="85" spans="18:87" x14ac:dyDescent="0.25">
      <c r="AK85" s="72"/>
    </row>
    <row r="86" spans="18:87" x14ac:dyDescent="0.25">
      <c r="AK86" s="72"/>
    </row>
    <row r="87" spans="18:87" x14ac:dyDescent="0.25">
      <c r="AK87" s="72"/>
    </row>
  </sheetData>
  <sheetProtection sheet="1" objects="1" scenarios="1" selectLockedCells="1"/>
  <mergeCells count="18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W43:AW47"/>
    <mergeCell ref="AU42:AV47"/>
    <mergeCell ref="AJ38:AR39"/>
    <mergeCell ref="AT38:AW39"/>
    <mergeCell ref="AS38:AS39"/>
    <mergeCell ref="AN41:AO41"/>
    <mergeCell ref="AJ41:AL41"/>
  </mergeCells>
  <conditionalFormatting sqref="AI43:AI82">
    <cfRule type="containsBlanks" dxfId="12" priority="21">
      <formula>LEN(TRIM(AI43))=0</formula>
    </cfRule>
  </conditionalFormatting>
  <conditionalFormatting sqref="AL34">
    <cfRule type="containsBlanks" dxfId="11" priority="19">
      <formula>LEN(TRIM(AL34))=0</formula>
    </cfRule>
  </conditionalFormatting>
  <conditionalFormatting sqref="AJ33 AJ35:AJ36">
    <cfRule type="containsBlanks" dxfId="10" priority="18">
      <formula>LEN(TRIM(AJ33))=0</formula>
    </cfRule>
  </conditionalFormatting>
  <conditionalFormatting sqref="AJ34">
    <cfRule type="containsBlanks" dxfId="9" priority="17">
      <formula>LEN(TRIM(AJ34))=0</formula>
    </cfRule>
  </conditionalFormatting>
  <conditionalFormatting sqref="AR43:AS47">
    <cfRule type="cellIs" dxfId="8" priority="14" operator="between">
      <formula>$AQ$41</formula>
      <formula>$AS$41</formula>
    </cfRule>
  </conditionalFormatting>
  <conditionalFormatting sqref="AR51:AR55">
    <cfRule type="containsBlanks" dxfId="7" priority="10">
      <formula>LEN(TRIM(AR51))=0</formula>
    </cfRule>
    <cfRule type="cellIs" dxfId="6" priority="13" operator="between">
      <formula>$AQ$49</formula>
      <formula>$AS$49</formula>
    </cfRule>
  </conditionalFormatting>
  <conditionalFormatting sqref="AS51:AS55">
    <cfRule type="containsText" dxfId="5" priority="12" operator="containsText" text="OK">
      <formula>NOT(ISERROR(SEARCH("OK",AS51)))</formula>
    </cfRule>
  </conditionalFormatting>
  <conditionalFormatting sqref="AU42:AV47">
    <cfRule type="containsBlanks" dxfId="4" priority="8">
      <formula>LEN(TRIM(AU42))=0</formula>
    </cfRule>
    <cfRule type="cellIs" dxfId="3" priority="9" operator="greaterThan">
      <formula>85</formula>
    </cfRule>
  </conditionalFormatting>
  <conditionalFormatting sqref="AK43:AK82">
    <cfRule type="expression" dxfId="2" priority="5">
      <formula>$AS$33="E"</formula>
    </cfRule>
  </conditionalFormatting>
  <conditionalFormatting sqref="AH43:AL82">
    <cfRule type="expression" dxfId="1" priority="4">
      <formula>$AH43="gauche"</formula>
    </cfRule>
  </conditionalFormatting>
  <conditionalFormatting sqref="AL43:AL82">
    <cfRule type="expression" dxfId="0" priority="1">
      <formula>$AJ43&lt;&gt;""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  <x14:dataValidation type="list" errorStyle="information" allowBlank="1" showInputMessage="1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H3" sqref="H3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12</v>
      </c>
      <c r="J2" t="s">
        <v>42</v>
      </c>
      <c r="K2">
        <v>24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12</v>
      </c>
      <c r="H3">
        <v>1</v>
      </c>
      <c r="J3">
        <f>K3*K$2</f>
        <v>24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24</v>
      </c>
      <c r="H4">
        <v>2</v>
      </c>
      <c r="J4">
        <f t="shared" ref="J4:J42" si="3">K4*K$2</f>
        <v>48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36</v>
      </c>
      <c r="H5">
        <v>3</v>
      </c>
      <c r="J5">
        <f t="shared" si="3"/>
        <v>72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48</v>
      </c>
      <c r="H6">
        <v>4</v>
      </c>
      <c r="J6">
        <f t="shared" si="3"/>
        <v>96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60</v>
      </c>
      <c r="H7">
        <v>5</v>
      </c>
      <c r="J7">
        <f t="shared" si="3"/>
        <v>120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72</v>
      </c>
      <c r="H8">
        <v>6</v>
      </c>
      <c r="J8">
        <f t="shared" si="3"/>
        <v>144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84</v>
      </c>
      <c r="H9">
        <v>7</v>
      </c>
      <c r="J9">
        <f t="shared" si="3"/>
        <v>168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96</v>
      </c>
      <c r="H10">
        <v>8</v>
      </c>
      <c r="J10">
        <f t="shared" si="3"/>
        <v>192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108</v>
      </c>
      <c r="H11">
        <v>9</v>
      </c>
      <c r="J11">
        <f t="shared" si="3"/>
        <v>216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120</v>
      </c>
      <c r="H12">
        <v>10</v>
      </c>
      <c r="J12">
        <f t="shared" si="3"/>
        <v>240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132</v>
      </c>
      <c r="H13">
        <v>11</v>
      </c>
      <c r="J13">
        <f t="shared" si="3"/>
        <v>264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144</v>
      </c>
      <c r="H14">
        <v>12</v>
      </c>
      <c r="J14">
        <f t="shared" si="3"/>
        <v>288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156</v>
      </c>
      <c r="H15">
        <v>13</v>
      </c>
      <c r="J15">
        <f t="shared" si="3"/>
        <v>312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168</v>
      </c>
      <c r="H16">
        <v>14</v>
      </c>
      <c r="J16">
        <f t="shared" si="3"/>
        <v>336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180</v>
      </c>
      <c r="H17">
        <v>15</v>
      </c>
      <c r="J17">
        <f t="shared" si="3"/>
        <v>360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192</v>
      </c>
      <c r="H18">
        <v>16</v>
      </c>
      <c r="J18">
        <f t="shared" si="3"/>
        <v>384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204</v>
      </c>
      <c r="H19">
        <v>17</v>
      </c>
      <c r="J19">
        <f t="shared" si="3"/>
        <v>408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216</v>
      </c>
      <c r="H20">
        <v>18</v>
      </c>
      <c r="J20">
        <f t="shared" si="3"/>
        <v>432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228</v>
      </c>
      <c r="H21">
        <v>19</v>
      </c>
      <c r="J21">
        <f t="shared" si="3"/>
        <v>456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240</v>
      </c>
      <c r="H22">
        <v>20</v>
      </c>
      <c r="J22">
        <f t="shared" si="3"/>
        <v>480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252</v>
      </c>
      <c r="H23">
        <v>21</v>
      </c>
      <c r="J23">
        <f t="shared" si="3"/>
        <v>504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264</v>
      </c>
      <c r="H24">
        <v>22</v>
      </c>
      <c r="J24">
        <f t="shared" si="3"/>
        <v>528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276</v>
      </c>
      <c r="H25">
        <v>23</v>
      </c>
      <c r="J25">
        <f t="shared" si="3"/>
        <v>552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288</v>
      </c>
      <c r="H26">
        <v>24</v>
      </c>
      <c r="J26">
        <f t="shared" si="3"/>
        <v>576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300</v>
      </c>
      <c r="H27">
        <v>25</v>
      </c>
      <c r="J27">
        <f t="shared" si="3"/>
        <v>600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312</v>
      </c>
      <c r="H28">
        <v>26</v>
      </c>
      <c r="J28">
        <f t="shared" si="3"/>
        <v>624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324</v>
      </c>
      <c r="H29">
        <v>27</v>
      </c>
      <c r="J29">
        <f t="shared" si="3"/>
        <v>648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336</v>
      </c>
      <c r="H30">
        <v>28</v>
      </c>
      <c r="J30">
        <f t="shared" si="3"/>
        <v>672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348</v>
      </c>
      <c r="H31">
        <v>29</v>
      </c>
      <c r="J31">
        <f t="shared" si="3"/>
        <v>696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360</v>
      </c>
      <c r="H32">
        <v>30</v>
      </c>
      <c r="J32">
        <f t="shared" si="3"/>
        <v>720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372</v>
      </c>
      <c r="H33">
        <v>31</v>
      </c>
      <c r="J33">
        <f t="shared" si="3"/>
        <v>744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384</v>
      </c>
      <c r="H34">
        <v>32</v>
      </c>
      <c r="J34">
        <f t="shared" si="3"/>
        <v>768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396</v>
      </c>
      <c r="H35">
        <v>33</v>
      </c>
      <c r="J35">
        <f t="shared" si="3"/>
        <v>792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408</v>
      </c>
      <c r="H36">
        <v>34</v>
      </c>
      <c r="J36">
        <f t="shared" si="3"/>
        <v>816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420</v>
      </c>
      <c r="H37">
        <v>35</v>
      </c>
      <c r="J37">
        <f t="shared" si="3"/>
        <v>840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432</v>
      </c>
      <c r="H38">
        <v>36</v>
      </c>
      <c r="J38">
        <f t="shared" si="3"/>
        <v>864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444</v>
      </c>
      <c r="H39">
        <v>37</v>
      </c>
      <c r="J39">
        <f t="shared" si="3"/>
        <v>888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456</v>
      </c>
      <c r="H40">
        <v>38</v>
      </c>
      <c r="J40">
        <f t="shared" si="3"/>
        <v>912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468</v>
      </c>
      <c r="H41">
        <v>39</v>
      </c>
      <c r="J41">
        <f t="shared" si="3"/>
        <v>936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480</v>
      </c>
      <c r="H42">
        <v>40</v>
      </c>
      <c r="J42">
        <f t="shared" si="3"/>
        <v>960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J129"/>
  <sheetViews>
    <sheetView topLeftCell="A79" workbookViewId="0">
      <selection activeCell="L90" sqref="L90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114</v>
      </c>
      <c r="B2" t="s">
        <v>113</v>
      </c>
      <c r="C2">
        <v>1</v>
      </c>
      <c r="E2">
        <v>380</v>
      </c>
      <c r="J2" t="s">
        <v>43</v>
      </c>
    </row>
    <row r="3" spans="1:10" x14ac:dyDescent="0.25">
      <c r="A3" t="s">
        <v>115</v>
      </c>
      <c r="B3" t="s">
        <v>113</v>
      </c>
      <c r="C3">
        <v>2</v>
      </c>
      <c r="E3">
        <v>380</v>
      </c>
      <c r="F3">
        <v>31</v>
      </c>
      <c r="G3">
        <v>32</v>
      </c>
      <c r="J3" t="s">
        <v>43</v>
      </c>
    </row>
    <row r="4" spans="1:10" x14ac:dyDescent="0.25">
      <c r="A4" t="s">
        <v>116</v>
      </c>
      <c r="B4" t="s">
        <v>113</v>
      </c>
      <c r="C4">
        <v>3</v>
      </c>
      <c r="E4">
        <v>380</v>
      </c>
      <c r="J4" t="s">
        <v>43</v>
      </c>
    </row>
    <row r="5" spans="1:10" x14ac:dyDescent="0.25">
      <c r="A5" t="s">
        <v>117</v>
      </c>
      <c r="B5" t="s">
        <v>113</v>
      </c>
      <c r="C5">
        <v>4</v>
      </c>
      <c r="E5">
        <v>380</v>
      </c>
      <c r="H5">
        <v>301</v>
      </c>
      <c r="I5" t="s">
        <v>3</v>
      </c>
      <c r="J5" t="s">
        <v>43</v>
      </c>
    </row>
    <row r="6" spans="1:10" x14ac:dyDescent="0.25">
      <c r="A6" t="s">
        <v>118</v>
      </c>
      <c r="B6" t="s">
        <v>113</v>
      </c>
      <c r="C6">
        <v>5</v>
      </c>
      <c r="E6">
        <v>380</v>
      </c>
      <c r="J6" t="s">
        <v>43</v>
      </c>
    </row>
    <row r="7" spans="1:10" x14ac:dyDescent="0.25">
      <c r="A7" t="s">
        <v>119</v>
      </c>
      <c r="B7" t="s">
        <v>113</v>
      </c>
      <c r="C7">
        <v>6</v>
      </c>
      <c r="E7">
        <v>380</v>
      </c>
      <c r="J7" t="s">
        <v>43</v>
      </c>
    </row>
    <row r="8" spans="1:10" x14ac:dyDescent="0.25">
      <c r="A8" t="s">
        <v>120</v>
      </c>
      <c r="B8" t="s">
        <v>113</v>
      </c>
      <c r="C8">
        <v>7</v>
      </c>
      <c r="E8">
        <v>380</v>
      </c>
      <c r="J8" t="s">
        <v>43</v>
      </c>
    </row>
    <row r="9" spans="1:10" x14ac:dyDescent="0.25">
      <c r="A9" t="s">
        <v>121</v>
      </c>
      <c r="B9" t="s">
        <v>113</v>
      </c>
      <c r="C9">
        <v>8</v>
      </c>
      <c r="E9">
        <v>380</v>
      </c>
      <c r="J9" t="s">
        <v>43</v>
      </c>
    </row>
    <row r="10" spans="1:10" x14ac:dyDescent="0.25">
      <c r="A10" t="s">
        <v>122</v>
      </c>
      <c r="B10" t="s">
        <v>113</v>
      </c>
      <c r="C10">
        <v>9</v>
      </c>
      <c r="E10">
        <v>380</v>
      </c>
      <c r="J10" t="s">
        <v>43</v>
      </c>
    </row>
    <row r="11" spans="1:10" x14ac:dyDescent="0.25">
      <c r="A11" t="s">
        <v>123</v>
      </c>
      <c r="B11" t="s">
        <v>113</v>
      </c>
      <c r="C11">
        <v>10</v>
      </c>
      <c r="E11">
        <v>380</v>
      </c>
      <c r="J11" t="s">
        <v>43</v>
      </c>
    </row>
    <row r="12" spans="1:10" x14ac:dyDescent="0.25">
      <c r="A12" t="s">
        <v>124</v>
      </c>
      <c r="B12" t="s">
        <v>113</v>
      </c>
      <c r="C12">
        <v>11</v>
      </c>
      <c r="E12">
        <v>380</v>
      </c>
      <c r="F12">
        <v>28.5</v>
      </c>
      <c r="G12">
        <v>31</v>
      </c>
      <c r="J12" t="s">
        <v>43</v>
      </c>
    </row>
    <row r="13" spans="1:10" x14ac:dyDescent="0.25">
      <c r="A13" t="s">
        <v>125</v>
      </c>
      <c r="B13" t="s">
        <v>113</v>
      </c>
      <c r="C13">
        <v>12</v>
      </c>
      <c r="E13">
        <v>380</v>
      </c>
      <c r="J13" t="s">
        <v>43</v>
      </c>
    </row>
    <row r="14" spans="1:10" x14ac:dyDescent="0.25">
      <c r="A14" t="s">
        <v>126</v>
      </c>
      <c r="B14" t="s">
        <v>113</v>
      </c>
      <c r="C14">
        <v>13</v>
      </c>
      <c r="E14">
        <v>380</v>
      </c>
      <c r="J14" t="s">
        <v>43</v>
      </c>
    </row>
    <row r="15" spans="1:10" x14ac:dyDescent="0.25">
      <c r="A15" t="s">
        <v>127</v>
      </c>
      <c r="B15" t="s">
        <v>113</v>
      </c>
      <c r="C15">
        <v>14</v>
      </c>
      <c r="E15">
        <v>380</v>
      </c>
      <c r="J15" t="s">
        <v>43</v>
      </c>
    </row>
    <row r="16" spans="1:10" x14ac:dyDescent="0.25">
      <c r="A16" t="s">
        <v>128</v>
      </c>
      <c r="B16" t="s">
        <v>113</v>
      </c>
      <c r="C16">
        <v>15</v>
      </c>
      <c r="E16">
        <v>380</v>
      </c>
      <c r="J16" t="s">
        <v>43</v>
      </c>
    </row>
    <row r="17" spans="1:10" x14ac:dyDescent="0.25">
      <c r="A17" t="s">
        <v>129</v>
      </c>
      <c r="B17" t="s">
        <v>113</v>
      </c>
      <c r="C17">
        <v>16</v>
      </c>
      <c r="E17">
        <v>380</v>
      </c>
      <c r="J17" t="s">
        <v>43</v>
      </c>
    </row>
    <row r="18" spans="1:10" x14ac:dyDescent="0.25">
      <c r="A18" t="s">
        <v>130</v>
      </c>
      <c r="B18" t="s">
        <v>113</v>
      </c>
      <c r="C18">
        <v>17</v>
      </c>
      <c r="E18">
        <v>380</v>
      </c>
      <c r="J18" t="s">
        <v>43</v>
      </c>
    </row>
    <row r="19" spans="1:10" x14ac:dyDescent="0.25">
      <c r="A19" t="s">
        <v>131</v>
      </c>
      <c r="B19" t="s">
        <v>113</v>
      </c>
      <c r="C19">
        <v>18</v>
      </c>
      <c r="E19">
        <v>380</v>
      </c>
      <c r="J19" t="s">
        <v>43</v>
      </c>
    </row>
    <row r="20" spans="1:10" x14ac:dyDescent="0.25">
      <c r="A20" t="s">
        <v>132</v>
      </c>
      <c r="B20" t="s">
        <v>113</v>
      </c>
      <c r="C20">
        <v>19</v>
      </c>
      <c r="E20">
        <v>380</v>
      </c>
      <c r="J20" t="s">
        <v>43</v>
      </c>
    </row>
    <row r="21" spans="1:10" x14ac:dyDescent="0.25">
      <c r="A21" t="s">
        <v>133</v>
      </c>
      <c r="B21" t="s">
        <v>113</v>
      </c>
      <c r="C21">
        <v>20</v>
      </c>
      <c r="E21">
        <v>380</v>
      </c>
      <c r="J21" t="s">
        <v>43</v>
      </c>
    </row>
    <row r="22" spans="1:10" x14ac:dyDescent="0.25">
      <c r="A22" t="s">
        <v>134</v>
      </c>
      <c r="B22" t="s">
        <v>113</v>
      </c>
      <c r="C22">
        <v>21</v>
      </c>
      <c r="E22">
        <v>380</v>
      </c>
      <c r="J22" t="s">
        <v>43</v>
      </c>
    </row>
    <row r="23" spans="1:10" x14ac:dyDescent="0.25">
      <c r="A23" t="s">
        <v>135</v>
      </c>
      <c r="B23" t="s">
        <v>113</v>
      </c>
      <c r="C23">
        <v>22</v>
      </c>
      <c r="E23">
        <v>380</v>
      </c>
      <c r="J23" t="s">
        <v>43</v>
      </c>
    </row>
    <row r="24" spans="1:10" x14ac:dyDescent="0.25">
      <c r="A24" t="s">
        <v>136</v>
      </c>
      <c r="B24" t="s">
        <v>113</v>
      </c>
      <c r="C24">
        <v>23</v>
      </c>
      <c r="E24">
        <v>380</v>
      </c>
      <c r="J24" t="s">
        <v>43</v>
      </c>
    </row>
    <row r="25" spans="1:10" x14ac:dyDescent="0.25">
      <c r="A25" t="s">
        <v>137</v>
      </c>
      <c r="B25" t="s">
        <v>113</v>
      </c>
      <c r="C25">
        <v>24</v>
      </c>
      <c r="E25">
        <v>380</v>
      </c>
      <c r="J25" t="s">
        <v>43</v>
      </c>
    </row>
    <row r="26" spans="1:10" x14ac:dyDescent="0.25">
      <c r="A26" t="s">
        <v>138</v>
      </c>
      <c r="B26" t="s">
        <v>113</v>
      </c>
      <c r="D26" t="s">
        <v>24</v>
      </c>
      <c r="E26">
        <v>380</v>
      </c>
      <c r="J26" t="s">
        <v>43</v>
      </c>
    </row>
    <row r="27" spans="1:10" x14ac:dyDescent="0.25">
      <c r="A27" t="s">
        <v>139</v>
      </c>
      <c r="B27" t="s">
        <v>113</v>
      </c>
      <c r="C27">
        <v>25</v>
      </c>
      <c r="E27">
        <v>380</v>
      </c>
      <c r="J27" t="s">
        <v>43</v>
      </c>
    </row>
    <row r="28" spans="1:10" x14ac:dyDescent="0.25">
      <c r="A28" t="s">
        <v>140</v>
      </c>
      <c r="B28" t="s">
        <v>113</v>
      </c>
      <c r="C28">
        <v>26</v>
      </c>
      <c r="E28">
        <v>380</v>
      </c>
      <c r="J28" t="s">
        <v>43</v>
      </c>
    </row>
    <row r="29" spans="1:10" x14ac:dyDescent="0.25">
      <c r="A29" t="s">
        <v>141</v>
      </c>
      <c r="B29" t="s">
        <v>113</v>
      </c>
      <c r="C29">
        <v>27</v>
      </c>
      <c r="E29">
        <v>380</v>
      </c>
      <c r="J29" t="s">
        <v>43</v>
      </c>
    </row>
    <row r="30" spans="1:10" x14ac:dyDescent="0.25">
      <c r="A30" t="s">
        <v>142</v>
      </c>
      <c r="B30" t="s">
        <v>113</v>
      </c>
      <c r="C30">
        <v>28</v>
      </c>
      <c r="E30">
        <v>380</v>
      </c>
      <c r="J30" t="s">
        <v>43</v>
      </c>
    </row>
    <row r="31" spans="1:10" x14ac:dyDescent="0.25">
      <c r="A31" t="s">
        <v>143</v>
      </c>
      <c r="B31" t="s">
        <v>113</v>
      </c>
      <c r="C31">
        <v>29</v>
      </c>
      <c r="E31">
        <v>380</v>
      </c>
      <c r="J31" t="s">
        <v>43</v>
      </c>
    </row>
    <row r="32" spans="1:10" x14ac:dyDescent="0.25">
      <c r="A32" t="s">
        <v>145</v>
      </c>
      <c r="B32" t="s">
        <v>144</v>
      </c>
      <c r="C32">
        <v>1</v>
      </c>
      <c r="E32">
        <v>380</v>
      </c>
      <c r="J32" t="s">
        <v>43</v>
      </c>
    </row>
    <row r="33" spans="1:10" x14ac:dyDescent="0.25">
      <c r="A33" t="s">
        <v>146</v>
      </c>
      <c r="B33" t="s">
        <v>144</v>
      </c>
      <c r="C33">
        <v>2</v>
      </c>
      <c r="E33">
        <v>380</v>
      </c>
      <c r="F33">
        <v>31</v>
      </c>
      <c r="G33">
        <v>32</v>
      </c>
      <c r="J33" t="s">
        <v>43</v>
      </c>
    </row>
    <row r="34" spans="1:10" x14ac:dyDescent="0.25">
      <c r="A34" t="s">
        <v>147</v>
      </c>
      <c r="B34" t="s">
        <v>144</v>
      </c>
      <c r="C34">
        <v>3</v>
      </c>
      <c r="E34">
        <v>380</v>
      </c>
      <c r="J34" t="s">
        <v>43</v>
      </c>
    </row>
    <row r="35" spans="1:10" x14ac:dyDescent="0.25">
      <c r="A35" t="s">
        <v>148</v>
      </c>
      <c r="B35" t="s">
        <v>144</v>
      </c>
      <c r="C35">
        <v>4</v>
      </c>
      <c r="E35">
        <v>380</v>
      </c>
      <c r="H35">
        <v>301</v>
      </c>
      <c r="I35" t="s">
        <v>3</v>
      </c>
      <c r="J35" t="s">
        <v>43</v>
      </c>
    </row>
    <row r="36" spans="1:10" x14ac:dyDescent="0.25">
      <c r="A36" t="s">
        <v>149</v>
      </c>
      <c r="B36" t="s">
        <v>144</v>
      </c>
      <c r="C36">
        <v>5</v>
      </c>
      <c r="E36">
        <v>380</v>
      </c>
      <c r="J36" t="s">
        <v>43</v>
      </c>
    </row>
    <row r="37" spans="1:10" x14ac:dyDescent="0.25">
      <c r="A37" t="s">
        <v>150</v>
      </c>
      <c r="B37" t="s">
        <v>144</v>
      </c>
      <c r="C37">
        <v>6</v>
      </c>
      <c r="E37">
        <v>380</v>
      </c>
      <c r="J37" t="s">
        <v>43</v>
      </c>
    </row>
    <row r="38" spans="1:10" x14ac:dyDescent="0.25">
      <c r="A38" t="s">
        <v>151</v>
      </c>
      <c r="B38" t="s">
        <v>144</v>
      </c>
      <c r="C38">
        <v>7</v>
      </c>
      <c r="E38">
        <v>380</v>
      </c>
      <c r="J38" t="s">
        <v>43</v>
      </c>
    </row>
    <row r="39" spans="1:10" x14ac:dyDescent="0.25">
      <c r="A39" t="s">
        <v>152</v>
      </c>
      <c r="B39" t="s">
        <v>144</v>
      </c>
      <c r="C39">
        <v>8</v>
      </c>
      <c r="E39">
        <v>380</v>
      </c>
      <c r="J39" t="s">
        <v>43</v>
      </c>
    </row>
    <row r="40" spans="1:10" x14ac:dyDescent="0.25">
      <c r="A40" t="s">
        <v>153</v>
      </c>
      <c r="B40" t="s">
        <v>144</v>
      </c>
      <c r="C40">
        <v>9</v>
      </c>
      <c r="E40">
        <v>380</v>
      </c>
      <c r="J40" t="s">
        <v>43</v>
      </c>
    </row>
    <row r="41" spans="1:10" x14ac:dyDescent="0.25">
      <c r="A41" t="s">
        <v>154</v>
      </c>
      <c r="B41" t="s">
        <v>144</v>
      </c>
      <c r="C41">
        <v>10</v>
      </c>
      <c r="E41">
        <v>380</v>
      </c>
      <c r="J41" t="s">
        <v>43</v>
      </c>
    </row>
    <row r="42" spans="1:10" x14ac:dyDescent="0.25">
      <c r="A42" t="s">
        <v>155</v>
      </c>
      <c r="B42" t="s">
        <v>144</v>
      </c>
      <c r="C42">
        <v>11</v>
      </c>
      <c r="E42">
        <v>380</v>
      </c>
      <c r="F42">
        <v>28.5</v>
      </c>
      <c r="G42">
        <v>31</v>
      </c>
      <c r="J42" t="s">
        <v>43</v>
      </c>
    </row>
    <row r="43" spans="1:10" x14ac:dyDescent="0.25">
      <c r="A43" t="s">
        <v>156</v>
      </c>
      <c r="B43" t="s">
        <v>144</v>
      </c>
      <c r="C43">
        <v>12</v>
      </c>
      <c r="E43">
        <v>380</v>
      </c>
      <c r="J43" t="s">
        <v>43</v>
      </c>
    </row>
    <row r="44" spans="1:10" x14ac:dyDescent="0.25">
      <c r="A44" t="s">
        <v>157</v>
      </c>
      <c r="B44" t="s">
        <v>144</v>
      </c>
      <c r="C44">
        <v>13</v>
      </c>
      <c r="E44">
        <v>380</v>
      </c>
      <c r="J44" t="s">
        <v>43</v>
      </c>
    </row>
    <row r="45" spans="1:10" x14ac:dyDescent="0.25">
      <c r="A45" t="s">
        <v>158</v>
      </c>
      <c r="B45" t="s">
        <v>144</v>
      </c>
      <c r="C45">
        <v>14</v>
      </c>
      <c r="E45">
        <v>380</v>
      </c>
      <c r="J45" t="s">
        <v>43</v>
      </c>
    </row>
    <row r="46" spans="1:10" x14ac:dyDescent="0.25">
      <c r="A46" t="s">
        <v>159</v>
      </c>
      <c r="B46" t="s">
        <v>144</v>
      </c>
      <c r="C46">
        <v>15</v>
      </c>
      <c r="E46">
        <v>380</v>
      </c>
      <c r="J46" t="s">
        <v>43</v>
      </c>
    </row>
    <row r="47" spans="1:10" x14ac:dyDescent="0.25">
      <c r="A47" t="s">
        <v>160</v>
      </c>
      <c r="B47" t="s">
        <v>144</v>
      </c>
      <c r="C47">
        <v>16</v>
      </c>
      <c r="E47">
        <v>380</v>
      </c>
      <c r="J47" t="s">
        <v>43</v>
      </c>
    </row>
    <row r="48" spans="1:10" x14ac:dyDescent="0.25">
      <c r="A48" t="s">
        <v>161</v>
      </c>
      <c r="B48" t="s">
        <v>144</v>
      </c>
      <c r="C48">
        <v>17</v>
      </c>
      <c r="E48">
        <v>380</v>
      </c>
      <c r="J48" t="s">
        <v>43</v>
      </c>
    </row>
    <row r="49" spans="1:10" x14ac:dyDescent="0.25">
      <c r="A49" t="s">
        <v>162</v>
      </c>
      <c r="B49" t="s">
        <v>144</v>
      </c>
      <c r="D49" t="s">
        <v>24</v>
      </c>
      <c r="E49">
        <v>380</v>
      </c>
      <c r="J49" t="s">
        <v>43</v>
      </c>
    </row>
    <row r="50" spans="1:10" x14ac:dyDescent="0.25">
      <c r="A50" t="s">
        <v>163</v>
      </c>
      <c r="B50" t="s">
        <v>144</v>
      </c>
      <c r="C50">
        <v>18</v>
      </c>
      <c r="E50">
        <v>380</v>
      </c>
      <c r="J50" t="s">
        <v>43</v>
      </c>
    </row>
    <row r="51" spans="1:10" x14ac:dyDescent="0.25">
      <c r="A51" t="s">
        <v>164</v>
      </c>
      <c r="B51" t="s">
        <v>144</v>
      </c>
      <c r="C51">
        <v>19</v>
      </c>
      <c r="E51">
        <v>380</v>
      </c>
      <c r="J51" t="s">
        <v>43</v>
      </c>
    </row>
    <row r="52" spans="1:10" x14ac:dyDescent="0.25">
      <c r="A52" t="s">
        <v>165</v>
      </c>
      <c r="B52" t="s">
        <v>144</v>
      </c>
      <c r="C52">
        <v>20</v>
      </c>
      <c r="E52">
        <v>380</v>
      </c>
      <c r="J52" t="s">
        <v>43</v>
      </c>
    </row>
    <row r="53" spans="1:10" x14ac:dyDescent="0.25">
      <c r="A53" t="s">
        <v>166</v>
      </c>
      <c r="B53" t="s">
        <v>144</v>
      </c>
      <c r="C53">
        <v>21</v>
      </c>
      <c r="E53">
        <v>380</v>
      </c>
      <c r="J53" t="s">
        <v>43</v>
      </c>
    </row>
    <row r="54" spans="1:10" x14ac:dyDescent="0.25">
      <c r="A54" t="s">
        <v>167</v>
      </c>
      <c r="B54" t="s">
        <v>144</v>
      </c>
      <c r="C54">
        <v>22</v>
      </c>
      <c r="E54">
        <v>380</v>
      </c>
      <c r="J54" t="s">
        <v>43</v>
      </c>
    </row>
    <row r="55" spans="1:10" x14ac:dyDescent="0.25">
      <c r="A55" t="s">
        <v>168</v>
      </c>
      <c r="B55" t="s">
        <v>144</v>
      </c>
      <c r="C55">
        <v>23</v>
      </c>
      <c r="E55">
        <v>380</v>
      </c>
      <c r="J55" t="s">
        <v>43</v>
      </c>
    </row>
    <row r="56" spans="1:10" x14ac:dyDescent="0.25">
      <c r="A56" t="s">
        <v>169</v>
      </c>
      <c r="B56" t="s">
        <v>144</v>
      </c>
      <c r="C56">
        <v>24</v>
      </c>
      <c r="E56">
        <v>380</v>
      </c>
      <c r="J56" t="s">
        <v>43</v>
      </c>
    </row>
    <row r="57" spans="1:10" x14ac:dyDescent="0.25">
      <c r="A57" t="s">
        <v>170</v>
      </c>
      <c r="B57" t="s">
        <v>144</v>
      </c>
      <c r="C57">
        <v>25</v>
      </c>
      <c r="E57">
        <v>380</v>
      </c>
      <c r="J57" t="s">
        <v>43</v>
      </c>
    </row>
    <row r="58" spans="1:10" x14ac:dyDescent="0.25">
      <c r="A58" t="s">
        <v>171</v>
      </c>
      <c r="B58" t="s">
        <v>144</v>
      </c>
      <c r="C58">
        <v>26</v>
      </c>
      <c r="E58">
        <v>380</v>
      </c>
      <c r="J58" t="s">
        <v>43</v>
      </c>
    </row>
    <row r="59" spans="1:10" x14ac:dyDescent="0.25">
      <c r="A59" t="s">
        <v>162</v>
      </c>
      <c r="B59" t="s">
        <v>144</v>
      </c>
      <c r="D59" t="s">
        <v>24</v>
      </c>
      <c r="E59">
        <v>380</v>
      </c>
      <c r="J59" t="s">
        <v>43</v>
      </c>
    </row>
    <row r="60" spans="1:10" x14ac:dyDescent="0.25">
      <c r="A60" t="s">
        <v>172</v>
      </c>
      <c r="B60" t="s">
        <v>144</v>
      </c>
      <c r="C60">
        <v>27</v>
      </c>
      <c r="E60">
        <v>380</v>
      </c>
      <c r="J60" t="s">
        <v>43</v>
      </c>
    </row>
    <row r="61" spans="1:10" x14ac:dyDescent="0.25">
      <c r="A61" t="s">
        <v>174</v>
      </c>
      <c r="B61" t="s">
        <v>173</v>
      </c>
      <c r="D61" t="s">
        <v>27</v>
      </c>
      <c r="E61">
        <v>250</v>
      </c>
      <c r="J61" t="s">
        <v>43</v>
      </c>
    </row>
    <row r="62" spans="1:10" x14ac:dyDescent="0.25">
      <c r="A62" t="s">
        <v>175</v>
      </c>
      <c r="B62" t="s">
        <v>173</v>
      </c>
      <c r="C62">
        <v>1</v>
      </c>
      <c r="E62">
        <v>380</v>
      </c>
      <c r="J62" t="s">
        <v>43</v>
      </c>
    </row>
    <row r="63" spans="1:10" x14ac:dyDescent="0.25">
      <c r="A63" t="s">
        <v>176</v>
      </c>
      <c r="B63" t="s">
        <v>173</v>
      </c>
      <c r="C63">
        <v>2</v>
      </c>
      <c r="E63">
        <v>380</v>
      </c>
      <c r="F63">
        <v>38</v>
      </c>
      <c r="G63">
        <v>39</v>
      </c>
      <c r="J63" t="s">
        <v>43</v>
      </c>
    </row>
    <row r="64" spans="1:10" x14ac:dyDescent="0.25">
      <c r="A64" t="s">
        <v>177</v>
      </c>
      <c r="B64" t="s">
        <v>173</v>
      </c>
      <c r="C64">
        <v>3</v>
      </c>
      <c r="E64">
        <v>380</v>
      </c>
      <c r="J64" t="s">
        <v>43</v>
      </c>
    </row>
    <row r="65" spans="1:10" x14ac:dyDescent="0.25">
      <c r="A65" t="s">
        <v>178</v>
      </c>
      <c r="B65" t="s">
        <v>173</v>
      </c>
      <c r="C65">
        <v>4</v>
      </c>
      <c r="E65">
        <v>380</v>
      </c>
      <c r="H65">
        <v>288</v>
      </c>
      <c r="I65" t="s">
        <v>3</v>
      </c>
      <c r="J65" t="s">
        <v>43</v>
      </c>
    </row>
    <row r="66" spans="1:10" x14ac:dyDescent="0.25">
      <c r="A66" t="s">
        <v>179</v>
      </c>
      <c r="B66" t="s">
        <v>173</v>
      </c>
      <c r="C66">
        <v>5</v>
      </c>
      <c r="E66">
        <v>380</v>
      </c>
      <c r="J66" t="s">
        <v>43</v>
      </c>
    </row>
    <row r="67" spans="1:10" x14ac:dyDescent="0.25">
      <c r="A67" t="s">
        <v>180</v>
      </c>
      <c r="B67" t="s">
        <v>173</v>
      </c>
      <c r="C67">
        <v>6</v>
      </c>
      <c r="E67">
        <v>380</v>
      </c>
      <c r="J67" t="s">
        <v>43</v>
      </c>
    </row>
    <row r="68" spans="1:10" x14ac:dyDescent="0.25">
      <c r="A68" t="s">
        <v>181</v>
      </c>
      <c r="B68" t="s">
        <v>173</v>
      </c>
      <c r="C68">
        <v>7</v>
      </c>
      <c r="E68">
        <v>380</v>
      </c>
      <c r="J68" t="s">
        <v>43</v>
      </c>
    </row>
    <row r="69" spans="1:10" x14ac:dyDescent="0.25">
      <c r="A69" t="s">
        <v>182</v>
      </c>
      <c r="B69" t="s">
        <v>173</v>
      </c>
      <c r="C69">
        <v>8</v>
      </c>
      <c r="E69">
        <v>380</v>
      </c>
      <c r="J69" t="s">
        <v>43</v>
      </c>
    </row>
    <row r="70" spans="1:10" x14ac:dyDescent="0.25">
      <c r="A70" t="s">
        <v>183</v>
      </c>
      <c r="B70" t="s">
        <v>173</v>
      </c>
      <c r="C70">
        <v>9</v>
      </c>
      <c r="E70">
        <v>380</v>
      </c>
      <c r="J70" t="s">
        <v>43</v>
      </c>
    </row>
    <row r="71" spans="1:10" x14ac:dyDescent="0.25">
      <c r="A71" t="s">
        <v>184</v>
      </c>
      <c r="B71" t="s">
        <v>173</v>
      </c>
      <c r="C71">
        <v>10</v>
      </c>
      <c r="E71">
        <v>380</v>
      </c>
      <c r="J71" t="s">
        <v>43</v>
      </c>
    </row>
    <row r="72" spans="1:10" x14ac:dyDescent="0.25">
      <c r="A72" t="s">
        <v>185</v>
      </c>
      <c r="B72" t="s">
        <v>173</v>
      </c>
      <c r="C72">
        <v>11</v>
      </c>
      <c r="E72">
        <v>380</v>
      </c>
      <c r="F72">
        <v>37</v>
      </c>
      <c r="G72">
        <v>36</v>
      </c>
      <c r="J72" t="s">
        <v>43</v>
      </c>
    </row>
    <row r="73" spans="1:10" x14ac:dyDescent="0.25">
      <c r="A73" t="s">
        <v>186</v>
      </c>
      <c r="B73" t="s">
        <v>173</v>
      </c>
      <c r="C73">
        <v>12</v>
      </c>
      <c r="E73">
        <v>380</v>
      </c>
      <c r="J73" t="s">
        <v>43</v>
      </c>
    </row>
    <row r="74" spans="1:10" x14ac:dyDescent="0.25">
      <c r="A74" t="s">
        <v>187</v>
      </c>
      <c r="B74" t="s">
        <v>173</v>
      </c>
      <c r="C74">
        <v>13</v>
      </c>
      <c r="E74">
        <v>380</v>
      </c>
      <c r="J74" t="s">
        <v>43</v>
      </c>
    </row>
    <row r="75" spans="1:10" x14ac:dyDescent="0.25">
      <c r="A75" t="s">
        <v>188</v>
      </c>
      <c r="B75" t="s">
        <v>173</v>
      </c>
      <c r="C75">
        <v>14</v>
      </c>
      <c r="E75">
        <v>380</v>
      </c>
      <c r="J75" t="s">
        <v>43</v>
      </c>
    </row>
    <row r="76" spans="1:10" x14ac:dyDescent="0.25">
      <c r="A76" t="s">
        <v>189</v>
      </c>
      <c r="B76" t="s">
        <v>173</v>
      </c>
      <c r="C76">
        <v>15</v>
      </c>
      <c r="E76">
        <v>380</v>
      </c>
      <c r="J76" t="s">
        <v>43</v>
      </c>
    </row>
    <row r="77" spans="1:10" x14ac:dyDescent="0.25">
      <c r="A77" t="s">
        <v>190</v>
      </c>
      <c r="B77" t="s">
        <v>173</v>
      </c>
      <c r="C77">
        <v>16</v>
      </c>
      <c r="E77">
        <v>380</v>
      </c>
      <c r="J77" t="s">
        <v>43</v>
      </c>
    </row>
    <row r="78" spans="1:10" x14ac:dyDescent="0.25">
      <c r="A78" t="s">
        <v>174</v>
      </c>
      <c r="B78" t="s">
        <v>173</v>
      </c>
      <c r="D78" t="s">
        <v>24</v>
      </c>
      <c r="E78">
        <v>380</v>
      </c>
      <c r="J78" t="s">
        <v>43</v>
      </c>
    </row>
    <row r="79" spans="1:10" x14ac:dyDescent="0.25">
      <c r="A79" t="s">
        <v>191</v>
      </c>
      <c r="B79" t="s">
        <v>173</v>
      </c>
      <c r="C79">
        <v>17</v>
      </c>
      <c r="E79">
        <v>380</v>
      </c>
      <c r="J79" t="s">
        <v>43</v>
      </c>
    </row>
    <row r="80" spans="1:10" x14ac:dyDescent="0.25">
      <c r="A80" t="s">
        <v>192</v>
      </c>
      <c r="B80" t="s">
        <v>173</v>
      </c>
      <c r="C80">
        <v>18</v>
      </c>
      <c r="E80">
        <v>380</v>
      </c>
      <c r="J80" t="s">
        <v>43</v>
      </c>
    </row>
    <row r="81" spans="1:10" x14ac:dyDescent="0.25">
      <c r="A81" t="s">
        <v>193</v>
      </c>
      <c r="B81" t="s">
        <v>173</v>
      </c>
      <c r="C81">
        <v>19</v>
      </c>
      <c r="E81">
        <v>380</v>
      </c>
      <c r="J81" t="s">
        <v>43</v>
      </c>
    </row>
    <row r="82" spans="1:10" x14ac:dyDescent="0.25">
      <c r="A82" t="s">
        <v>194</v>
      </c>
      <c r="B82" t="s">
        <v>173</v>
      </c>
      <c r="C82">
        <v>20</v>
      </c>
      <c r="E82">
        <v>380</v>
      </c>
      <c r="J82" t="s">
        <v>43</v>
      </c>
    </row>
    <row r="83" spans="1:10" x14ac:dyDescent="0.25">
      <c r="A83" t="s">
        <v>174</v>
      </c>
      <c r="B83" t="s">
        <v>173</v>
      </c>
      <c r="D83" t="s">
        <v>24</v>
      </c>
      <c r="E83">
        <v>380</v>
      </c>
      <c r="J83" t="s">
        <v>43</v>
      </c>
    </row>
    <row r="84" spans="1:10" x14ac:dyDescent="0.25">
      <c r="A84" t="s">
        <v>195</v>
      </c>
      <c r="B84" t="s">
        <v>173</v>
      </c>
      <c r="C84">
        <v>21</v>
      </c>
      <c r="E84">
        <v>380</v>
      </c>
      <c r="J84" t="s">
        <v>43</v>
      </c>
    </row>
    <row r="85" spans="1:10" x14ac:dyDescent="0.25">
      <c r="A85" t="s">
        <v>196</v>
      </c>
      <c r="B85" t="s">
        <v>173</v>
      </c>
      <c r="C85">
        <v>22</v>
      </c>
      <c r="E85">
        <v>380</v>
      </c>
      <c r="J85" t="s">
        <v>43</v>
      </c>
    </row>
    <row r="86" spans="1:10" x14ac:dyDescent="0.25">
      <c r="A86" t="s">
        <v>197</v>
      </c>
      <c r="B86" t="s">
        <v>173</v>
      </c>
      <c r="C86">
        <v>23</v>
      </c>
      <c r="E86">
        <v>380</v>
      </c>
      <c r="J86" t="s">
        <v>43</v>
      </c>
    </row>
    <row r="87" spans="1:10" x14ac:dyDescent="0.25">
      <c r="A87" t="s">
        <v>198</v>
      </c>
      <c r="B87" t="s">
        <v>173</v>
      </c>
      <c r="C87">
        <v>24</v>
      </c>
      <c r="E87">
        <v>380</v>
      </c>
      <c r="J87" t="s">
        <v>43</v>
      </c>
    </row>
    <row r="88" spans="1:10" x14ac:dyDescent="0.25">
      <c r="A88" t="s">
        <v>200</v>
      </c>
      <c r="B88" t="s">
        <v>199</v>
      </c>
      <c r="D88" t="s">
        <v>27</v>
      </c>
      <c r="E88">
        <v>256</v>
      </c>
      <c r="J88" t="s">
        <v>43</v>
      </c>
    </row>
    <row r="89" spans="1:10" x14ac:dyDescent="0.25">
      <c r="A89" t="s">
        <v>202</v>
      </c>
      <c r="B89" t="s">
        <v>201</v>
      </c>
      <c r="C89">
        <v>1</v>
      </c>
      <c r="E89">
        <v>380</v>
      </c>
      <c r="J89" t="s">
        <v>43</v>
      </c>
    </row>
    <row r="90" spans="1:10" x14ac:dyDescent="0.25">
      <c r="A90" t="s">
        <v>205</v>
      </c>
      <c r="B90" t="s">
        <v>203</v>
      </c>
      <c r="C90">
        <v>1</v>
      </c>
      <c r="E90">
        <v>502</v>
      </c>
      <c r="J90" t="s">
        <v>36</v>
      </c>
    </row>
    <row r="91" spans="1:10" x14ac:dyDescent="0.25">
      <c r="A91" t="s">
        <v>206</v>
      </c>
      <c r="B91" t="s">
        <v>203</v>
      </c>
      <c r="C91">
        <v>2</v>
      </c>
      <c r="E91">
        <v>502</v>
      </c>
      <c r="J91" t="s">
        <v>36</v>
      </c>
    </row>
    <row r="92" spans="1:10" x14ac:dyDescent="0.25">
      <c r="A92" t="s">
        <v>205</v>
      </c>
      <c r="B92" t="s">
        <v>207</v>
      </c>
      <c r="C92">
        <v>1</v>
      </c>
      <c r="E92">
        <v>580</v>
      </c>
      <c r="J92" t="s">
        <v>36</v>
      </c>
    </row>
    <row r="93" spans="1:10" x14ac:dyDescent="0.25">
      <c r="A93" t="s">
        <v>206</v>
      </c>
      <c r="B93" t="s">
        <v>207</v>
      </c>
      <c r="C93">
        <v>2</v>
      </c>
      <c r="E93">
        <v>600</v>
      </c>
      <c r="J93" t="s">
        <v>36</v>
      </c>
    </row>
    <row r="94" spans="1:10" x14ac:dyDescent="0.25">
      <c r="A94" t="s">
        <v>208</v>
      </c>
      <c r="B94" t="s">
        <v>207</v>
      </c>
      <c r="C94">
        <v>3</v>
      </c>
      <c r="E94">
        <v>560</v>
      </c>
      <c r="J94" t="s">
        <v>36</v>
      </c>
    </row>
    <row r="95" spans="1:10" x14ac:dyDescent="0.25">
      <c r="A95" t="s">
        <v>209</v>
      </c>
      <c r="B95" t="s">
        <v>207</v>
      </c>
      <c r="C95">
        <v>4</v>
      </c>
      <c r="E95">
        <v>580</v>
      </c>
      <c r="J95" t="s">
        <v>36</v>
      </c>
    </row>
    <row r="96" spans="1:10" x14ac:dyDescent="0.25">
      <c r="A96" t="s">
        <v>210</v>
      </c>
      <c r="B96" t="s">
        <v>207</v>
      </c>
      <c r="C96">
        <v>5</v>
      </c>
      <c r="E96">
        <v>570</v>
      </c>
      <c r="F96">
        <v>30</v>
      </c>
      <c r="G96">
        <v>0</v>
      </c>
      <c r="J96" t="s">
        <v>36</v>
      </c>
    </row>
    <row r="97" spans="1:10" x14ac:dyDescent="0.25">
      <c r="A97" t="s">
        <v>211</v>
      </c>
      <c r="B97" t="s">
        <v>207</v>
      </c>
      <c r="C97">
        <v>6</v>
      </c>
      <c r="E97">
        <v>580</v>
      </c>
      <c r="F97">
        <v>0</v>
      </c>
      <c r="G97">
        <v>32</v>
      </c>
      <c r="J97" t="s">
        <v>36</v>
      </c>
    </row>
    <row r="98" spans="1:10" x14ac:dyDescent="0.25">
      <c r="A98" t="s">
        <v>212</v>
      </c>
      <c r="B98" t="s">
        <v>207</v>
      </c>
      <c r="C98">
        <v>7</v>
      </c>
      <c r="E98">
        <v>550</v>
      </c>
      <c r="J98" t="s">
        <v>36</v>
      </c>
    </row>
    <row r="99" spans="1:10" x14ac:dyDescent="0.25">
      <c r="A99" t="s">
        <v>213</v>
      </c>
      <c r="B99" t="s">
        <v>207</v>
      </c>
      <c r="C99">
        <v>8</v>
      </c>
      <c r="E99">
        <v>570</v>
      </c>
      <c r="J99" t="s">
        <v>36</v>
      </c>
    </row>
    <row r="100" spans="1:10" x14ac:dyDescent="0.25">
      <c r="A100" t="s">
        <v>214</v>
      </c>
      <c r="B100" t="s">
        <v>207</v>
      </c>
      <c r="C100">
        <v>9</v>
      </c>
      <c r="E100">
        <v>560</v>
      </c>
      <c r="J100" t="s">
        <v>36</v>
      </c>
    </row>
    <row r="101" spans="1:10" x14ac:dyDescent="0.25">
      <c r="A101" t="s">
        <v>215</v>
      </c>
      <c r="B101" t="s">
        <v>207</v>
      </c>
      <c r="C101">
        <v>10</v>
      </c>
      <c r="E101">
        <v>550</v>
      </c>
      <c r="J101" t="s">
        <v>36</v>
      </c>
    </row>
    <row r="102" spans="1:10" x14ac:dyDescent="0.25">
      <c r="A102" t="s">
        <v>216</v>
      </c>
      <c r="B102" t="s">
        <v>207</v>
      </c>
      <c r="C102">
        <v>11</v>
      </c>
      <c r="E102">
        <v>560</v>
      </c>
      <c r="J102" t="s">
        <v>36</v>
      </c>
    </row>
    <row r="103" spans="1:10" x14ac:dyDescent="0.25">
      <c r="A103" t="s">
        <v>217</v>
      </c>
      <c r="B103" t="s">
        <v>207</v>
      </c>
      <c r="C103">
        <v>12</v>
      </c>
      <c r="E103">
        <v>540</v>
      </c>
      <c r="J103" t="s">
        <v>36</v>
      </c>
    </row>
    <row r="104" spans="1:10" x14ac:dyDescent="0.25">
      <c r="A104" t="s">
        <v>218</v>
      </c>
      <c r="B104" t="s">
        <v>207</v>
      </c>
      <c r="C104">
        <v>13</v>
      </c>
      <c r="E104">
        <v>550</v>
      </c>
      <c r="J104" t="s">
        <v>36</v>
      </c>
    </row>
    <row r="105" spans="1:10" x14ac:dyDescent="0.25">
      <c r="A105" t="s">
        <v>219</v>
      </c>
      <c r="B105" t="s">
        <v>207</v>
      </c>
      <c r="C105">
        <v>14</v>
      </c>
      <c r="E105">
        <v>530</v>
      </c>
      <c r="J105" t="s">
        <v>36</v>
      </c>
    </row>
    <row r="106" spans="1:10" x14ac:dyDescent="0.25">
      <c r="A106" t="s">
        <v>220</v>
      </c>
      <c r="B106" t="s">
        <v>207</v>
      </c>
      <c r="C106">
        <v>15</v>
      </c>
      <c r="E106">
        <v>540</v>
      </c>
      <c r="J106" t="s">
        <v>36</v>
      </c>
    </row>
    <row r="107" spans="1:10" x14ac:dyDescent="0.25">
      <c r="A107" t="s">
        <v>221</v>
      </c>
      <c r="B107" t="s">
        <v>207</v>
      </c>
      <c r="C107">
        <v>16</v>
      </c>
      <c r="E107">
        <v>530</v>
      </c>
      <c r="J107" t="s">
        <v>36</v>
      </c>
    </row>
    <row r="108" spans="1:10" x14ac:dyDescent="0.25">
      <c r="A108" t="s">
        <v>224</v>
      </c>
      <c r="B108" t="s">
        <v>223</v>
      </c>
      <c r="C108">
        <v>1</v>
      </c>
      <c r="E108">
        <v>535</v>
      </c>
      <c r="J108" t="s">
        <v>36</v>
      </c>
    </row>
    <row r="109" spans="1:10" x14ac:dyDescent="0.25">
      <c r="A109" t="s">
        <v>225</v>
      </c>
      <c r="B109" t="s">
        <v>223</v>
      </c>
      <c r="C109">
        <v>2</v>
      </c>
      <c r="E109">
        <v>530</v>
      </c>
      <c r="F109">
        <v>53</v>
      </c>
      <c r="G109">
        <v>50</v>
      </c>
      <c r="J109" t="s">
        <v>36</v>
      </c>
    </row>
    <row r="110" spans="1:10" x14ac:dyDescent="0.25">
      <c r="A110" t="s">
        <v>226</v>
      </c>
      <c r="B110" t="s">
        <v>223</v>
      </c>
      <c r="C110">
        <v>3</v>
      </c>
      <c r="E110">
        <v>530</v>
      </c>
      <c r="J110" t="s">
        <v>36</v>
      </c>
    </row>
    <row r="111" spans="1:10" x14ac:dyDescent="0.25">
      <c r="D111" t="s">
        <v>24</v>
      </c>
    </row>
    <row r="112" spans="1:10" x14ac:dyDescent="0.25">
      <c r="A112" t="s">
        <v>227</v>
      </c>
      <c r="B112" t="s">
        <v>223</v>
      </c>
      <c r="C112">
        <v>4</v>
      </c>
      <c r="E112">
        <v>540</v>
      </c>
      <c r="J112" t="s">
        <v>36</v>
      </c>
    </row>
    <row r="113" spans="1:10" x14ac:dyDescent="0.25">
      <c r="D113" t="s">
        <v>24</v>
      </c>
    </row>
    <row r="114" spans="1:10" x14ac:dyDescent="0.25">
      <c r="A114" t="s">
        <v>228</v>
      </c>
      <c r="B114" t="s">
        <v>223</v>
      </c>
      <c r="C114">
        <v>5</v>
      </c>
      <c r="E114">
        <v>310</v>
      </c>
      <c r="J114" t="s">
        <v>36</v>
      </c>
    </row>
    <row r="115" spans="1:10" x14ac:dyDescent="0.25">
      <c r="D115" t="s">
        <v>24</v>
      </c>
    </row>
    <row r="116" spans="1:10" x14ac:dyDescent="0.25">
      <c r="A116" t="s">
        <v>229</v>
      </c>
      <c r="B116" t="s">
        <v>223</v>
      </c>
      <c r="C116">
        <v>6</v>
      </c>
      <c r="E116">
        <v>545</v>
      </c>
      <c r="J116" t="s">
        <v>36</v>
      </c>
    </row>
    <row r="117" spans="1:10" x14ac:dyDescent="0.25">
      <c r="A117" t="s">
        <v>230</v>
      </c>
      <c r="B117" t="s">
        <v>223</v>
      </c>
      <c r="C117">
        <v>7</v>
      </c>
      <c r="E117">
        <v>540</v>
      </c>
      <c r="J117" t="s">
        <v>36</v>
      </c>
    </row>
    <row r="118" spans="1:10" x14ac:dyDescent="0.25">
      <c r="A118" t="s">
        <v>231</v>
      </c>
      <c r="B118" t="s">
        <v>223</v>
      </c>
      <c r="C118">
        <v>8</v>
      </c>
      <c r="E118">
        <v>540</v>
      </c>
      <c r="J118" t="s">
        <v>36</v>
      </c>
    </row>
    <row r="119" spans="1:10" x14ac:dyDescent="0.25">
      <c r="A119" t="s">
        <v>232</v>
      </c>
      <c r="B119" t="s">
        <v>223</v>
      </c>
      <c r="C119">
        <v>9</v>
      </c>
      <c r="E119">
        <v>535</v>
      </c>
      <c r="J119" t="s">
        <v>36</v>
      </c>
    </row>
    <row r="120" spans="1:10" x14ac:dyDescent="0.25">
      <c r="A120" t="s">
        <v>233</v>
      </c>
      <c r="B120" t="s">
        <v>223</v>
      </c>
      <c r="C120">
        <v>10</v>
      </c>
      <c r="E120">
        <v>530</v>
      </c>
      <c r="J120" t="s">
        <v>36</v>
      </c>
    </row>
    <row r="121" spans="1:10" x14ac:dyDescent="0.25">
      <c r="A121" t="s">
        <v>234</v>
      </c>
      <c r="B121" t="s">
        <v>223</v>
      </c>
      <c r="C121">
        <v>11</v>
      </c>
      <c r="E121">
        <v>535</v>
      </c>
      <c r="J121" t="s">
        <v>36</v>
      </c>
    </row>
    <row r="122" spans="1:10" x14ac:dyDescent="0.25">
      <c r="A122" t="s">
        <v>235</v>
      </c>
      <c r="B122" t="s">
        <v>223</v>
      </c>
      <c r="C122">
        <v>12</v>
      </c>
      <c r="E122">
        <v>545</v>
      </c>
      <c r="F122">
        <v>51</v>
      </c>
      <c r="G122">
        <v>55</v>
      </c>
      <c r="J122" t="s">
        <v>36</v>
      </c>
    </row>
    <row r="123" spans="1:10" x14ac:dyDescent="0.25">
      <c r="A123" t="s">
        <v>236</v>
      </c>
      <c r="B123" t="s">
        <v>223</v>
      </c>
      <c r="C123">
        <v>13</v>
      </c>
      <c r="E123">
        <v>540</v>
      </c>
      <c r="J123" t="s">
        <v>36</v>
      </c>
    </row>
    <row r="124" spans="1:10" x14ac:dyDescent="0.25">
      <c r="A124" t="s">
        <v>237</v>
      </c>
      <c r="B124" t="s">
        <v>223</v>
      </c>
      <c r="C124">
        <v>14</v>
      </c>
      <c r="E124">
        <v>530</v>
      </c>
      <c r="J124" t="s">
        <v>36</v>
      </c>
    </row>
    <row r="125" spans="1:10" x14ac:dyDescent="0.25">
      <c r="A125" t="s">
        <v>238</v>
      </c>
      <c r="B125" t="s">
        <v>223</v>
      </c>
      <c r="C125">
        <v>15</v>
      </c>
      <c r="E125">
        <v>520</v>
      </c>
      <c r="J125" t="s">
        <v>36</v>
      </c>
    </row>
    <row r="126" spans="1:10" x14ac:dyDescent="0.25">
      <c r="A126" t="s">
        <v>239</v>
      </c>
      <c r="B126" t="s">
        <v>223</v>
      </c>
      <c r="C126">
        <v>16</v>
      </c>
      <c r="E126">
        <v>535</v>
      </c>
      <c r="J126" t="s">
        <v>36</v>
      </c>
    </row>
    <row r="127" spans="1:10" x14ac:dyDescent="0.25">
      <c r="A127" t="s">
        <v>240</v>
      </c>
      <c r="B127" t="s">
        <v>223</v>
      </c>
      <c r="C127">
        <v>17</v>
      </c>
      <c r="E127">
        <v>530</v>
      </c>
      <c r="J127" t="s">
        <v>36</v>
      </c>
    </row>
    <row r="128" spans="1:10" x14ac:dyDescent="0.25">
      <c r="A128" t="s">
        <v>241</v>
      </c>
      <c r="B128" t="s">
        <v>223</v>
      </c>
      <c r="C128">
        <v>18</v>
      </c>
      <c r="E128">
        <v>520</v>
      </c>
      <c r="J128" t="s">
        <v>36</v>
      </c>
    </row>
    <row r="129" spans="1:10" x14ac:dyDescent="0.25">
      <c r="A129" t="s">
        <v>242</v>
      </c>
      <c r="B129" t="s">
        <v>223</v>
      </c>
      <c r="C129">
        <v>19</v>
      </c>
      <c r="E129">
        <v>530</v>
      </c>
      <c r="J129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A9"/>
  <sheetViews>
    <sheetView workbookViewId="0">
      <selection activeCell="U17" sqref="U17"/>
    </sheetView>
  </sheetViews>
  <sheetFormatPr baseColWidth="10" defaultRowHeight="15" x14ac:dyDescent="0.25"/>
  <cols>
    <col min="1" max="1" width="21.5703125" bestFit="1" customWidth="1"/>
    <col min="2" max="2" width="6.42578125" bestFit="1" customWidth="1"/>
    <col min="3" max="3" width="10.7109375" bestFit="1" customWidth="1"/>
    <col min="4" max="4" width="10.85546875" bestFit="1" customWidth="1"/>
    <col min="5" max="5" width="6.42578125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1" width="6.42578125" bestFit="1" customWidth="1"/>
    <col min="12" max="14" width="9.28515625" bestFit="1" customWidth="1"/>
    <col min="15" max="15" width="6.42578125" bestFit="1" customWidth="1"/>
    <col min="16" max="16" width="12" bestFit="1" customWidth="1"/>
    <col min="17" max="19" width="6.42578125" bestFit="1" customWidth="1"/>
    <col min="20" max="21" width="9.5703125" bestFit="1" customWidth="1"/>
    <col min="22" max="25" width="6.42578125" bestFit="1" customWidth="1"/>
    <col min="26" max="26" width="10.7109375" bestFit="1" customWidth="1"/>
    <col min="27" max="27" width="15.7109375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111</v>
      </c>
    </row>
    <row r="2" spans="1:27" x14ac:dyDescent="0.25">
      <c r="A2" t="s">
        <v>113</v>
      </c>
      <c r="B2">
        <v>93</v>
      </c>
      <c r="C2" s="4">
        <v>45019</v>
      </c>
      <c r="D2" t="s">
        <v>56</v>
      </c>
      <c r="E2">
        <v>480</v>
      </c>
      <c r="F2" t="s">
        <v>99</v>
      </c>
      <c r="G2" t="s">
        <v>43</v>
      </c>
      <c r="H2">
        <v>0</v>
      </c>
      <c r="I2">
        <v>0</v>
      </c>
      <c r="J2">
        <v>0</v>
      </c>
      <c r="K2">
        <v>0</v>
      </c>
      <c r="L2">
        <v>29.75</v>
      </c>
      <c r="M2">
        <v>31.5</v>
      </c>
      <c r="N2">
        <v>301</v>
      </c>
      <c r="O2" t="s">
        <v>3</v>
      </c>
      <c r="P2">
        <v>96.666666666666671</v>
      </c>
      <c r="Q2">
        <v>30</v>
      </c>
      <c r="R2">
        <v>11020</v>
      </c>
      <c r="S2">
        <v>380</v>
      </c>
      <c r="T2">
        <v>29</v>
      </c>
      <c r="U2">
        <v>1</v>
      </c>
      <c r="V2">
        <v>380</v>
      </c>
      <c r="W2">
        <v>0</v>
      </c>
      <c r="X2">
        <v>0</v>
      </c>
      <c r="Y2">
        <v>0</v>
      </c>
      <c r="Z2">
        <v>0</v>
      </c>
      <c r="AA2" s="47">
        <v>45019.035995370374</v>
      </c>
    </row>
    <row r="3" spans="1:27" x14ac:dyDescent="0.25">
      <c r="A3" t="s">
        <v>144</v>
      </c>
      <c r="B3">
        <v>93</v>
      </c>
      <c r="C3" s="4">
        <v>45019</v>
      </c>
      <c r="D3" t="s">
        <v>57</v>
      </c>
      <c r="E3">
        <v>480</v>
      </c>
      <c r="F3" t="s">
        <v>99</v>
      </c>
      <c r="G3" t="s">
        <v>43</v>
      </c>
      <c r="H3">
        <v>0</v>
      </c>
      <c r="I3">
        <v>0</v>
      </c>
      <c r="J3">
        <v>0</v>
      </c>
      <c r="K3">
        <v>0</v>
      </c>
      <c r="L3">
        <v>29.75</v>
      </c>
      <c r="M3">
        <v>31.5</v>
      </c>
      <c r="N3">
        <v>301</v>
      </c>
      <c r="O3" t="s">
        <v>3</v>
      </c>
      <c r="P3">
        <v>93.333333333333329</v>
      </c>
      <c r="Q3">
        <v>30</v>
      </c>
      <c r="R3">
        <v>10640</v>
      </c>
      <c r="S3">
        <v>760</v>
      </c>
      <c r="T3">
        <v>28</v>
      </c>
      <c r="U3">
        <v>2</v>
      </c>
      <c r="V3">
        <v>760</v>
      </c>
      <c r="W3">
        <v>0</v>
      </c>
      <c r="X3">
        <v>0</v>
      </c>
      <c r="Y3">
        <v>0</v>
      </c>
      <c r="Z3">
        <v>0</v>
      </c>
      <c r="AA3" s="47">
        <v>45019.036886574075</v>
      </c>
    </row>
    <row r="4" spans="1:27" x14ac:dyDescent="0.25">
      <c r="A4" t="s">
        <v>173</v>
      </c>
      <c r="B4">
        <v>94</v>
      </c>
      <c r="C4" s="4">
        <v>45020</v>
      </c>
      <c r="D4" t="s">
        <v>45</v>
      </c>
      <c r="E4">
        <v>480</v>
      </c>
      <c r="F4" t="s">
        <v>99</v>
      </c>
      <c r="G4" t="s">
        <v>43</v>
      </c>
      <c r="H4">
        <v>0</v>
      </c>
      <c r="I4">
        <v>0</v>
      </c>
      <c r="J4">
        <v>0</v>
      </c>
      <c r="K4">
        <v>0</v>
      </c>
      <c r="L4">
        <v>37.5</v>
      </c>
      <c r="M4">
        <v>37.5</v>
      </c>
      <c r="N4">
        <v>288</v>
      </c>
      <c r="O4" t="s">
        <v>3</v>
      </c>
      <c r="P4">
        <v>86.666666666666671</v>
      </c>
      <c r="Q4">
        <v>30</v>
      </c>
      <c r="R4">
        <v>9880</v>
      </c>
      <c r="S4">
        <v>1390</v>
      </c>
      <c r="T4">
        <v>26</v>
      </c>
      <c r="U4">
        <v>4</v>
      </c>
      <c r="V4">
        <v>1140</v>
      </c>
      <c r="W4">
        <v>0</v>
      </c>
      <c r="X4">
        <v>0</v>
      </c>
      <c r="Y4">
        <v>0</v>
      </c>
      <c r="Z4">
        <v>250</v>
      </c>
      <c r="AA4" s="47">
        <v>45019.038564814815</v>
      </c>
    </row>
    <row r="5" spans="1:27" x14ac:dyDescent="0.25">
      <c r="A5" t="s">
        <v>199</v>
      </c>
      <c r="B5">
        <v>98</v>
      </c>
      <c r="C5" s="4">
        <v>45024</v>
      </c>
      <c r="D5" t="s">
        <v>56</v>
      </c>
      <c r="E5">
        <v>480</v>
      </c>
      <c r="F5" t="s">
        <v>99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Q5">
        <v>30</v>
      </c>
      <c r="R5">
        <v>0</v>
      </c>
      <c r="S5">
        <v>256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256</v>
      </c>
      <c r="AA5" s="47">
        <v>45019.039629629631</v>
      </c>
    </row>
    <row r="6" spans="1:27" x14ac:dyDescent="0.25">
      <c r="A6" t="s">
        <v>201</v>
      </c>
      <c r="B6">
        <v>93</v>
      </c>
      <c r="C6" s="4">
        <v>45019</v>
      </c>
      <c r="D6" t="s">
        <v>58</v>
      </c>
      <c r="E6">
        <v>480</v>
      </c>
      <c r="F6" t="s">
        <v>99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3.3333333333333335</v>
      </c>
      <c r="Q6">
        <v>30</v>
      </c>
      <c r="R6">
        <v>380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45019.487800925926</v>
      </c>
    </row>
    <row r="7" spans="1:27" x14ac:dyDescent="0.25">
      <c r="A7" t="s">
        <v>203</v>
      </c>
      <c r="B7">
        <v>93</v>
      </c>
      <c r="C7" s="4">
        <v>45019</v>
      </c>
      <c r="D7" t="s">
        <v>56</v>
      </c>
      <c r="E7">
        <v>480</v>
      </c>
      <c r="F7" t="s">
        <v>204</v>
      </c>
      <c r="G7" t="s">
        <v>36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20</v>
      </c>
      <c r="Q7">
        <v>10</v>
      </c>
      <c r="R7">
        <v>1004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45019.545810185184</v>
      </c>
    </row>
    <row r="8" spans="1:27" x14ac:dyDescent="0.25">
      <c r="A8" t="s">
        <v>207</v>
      </c>
      <c r="B8">
        <v>93</v>
      </c>
      <c r="C8" s="4">
        <v>45019</v>
      </c>
      <c r="D8" t="s">
        <v>56</v>
      </c>
      <c r="E8">
        <v>480</v>
      </c>
      <c r="F8" t="s">
        <v>204</v>
      </c>
      <c r="G8" t="s">
        <v>36</v>
      </c>
      <c r="H8">
        <v>0</v>
      </c>
      <c r="I8">
        <v>0</v>
      </c>
      <c r="J8">
        <v>8396</v>
      </c>
      <c r="K8">
        <v>0</v>
      </c>
      <c r="L8">
        <v>30</v>
      </c>
      <c r="M8">
        <v>32</v>
      </c>
      <c r="N8">
        <v>0</v>
      </c>
      <c r="P8">
        <v>80</v>
      </c>
      <c r="Q8">
        <v>20</v>
      </c>
      <c r="R8">
        <v>8950</v>
      </c>
      <c r="S8">
        <v>0</v>
      </c>
      <c r="T8">
        <v>16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45019.821284722224</v>
      </c>
    </row>
    <row r="9" spans="1:27" x14ac:dyDescent="0.25">
      <c r="A9" t="s">
        <v>223</v>
      </c>
      <c r="B9">
        <v>93</v>
      </c>
      <c r="C9" s="4">
        <v>45019</v>
      </c>
      <c r="D9" t="s">
        <v>57</v>
      </c>
      <c r="E9">
        <v>480</v>
      </c>
      <c r="F9" t="s">
        <v>204</v>
      </c>
      <c r="G9" t="s">
        <v>36</v>
      </c>
      <c r="H9">
        <v>2100</v>
      </c>
      <c r="I9">
        <v>0</v>
      </c>
      <c r="J9">
        <v>8396</v>
      </c>
      <c r="K9" t="s">
        <v>222</v>
      </c>
      <c r="L9">
        <v>52</v>
      </c>
      <c r="M9">
        <v>52.5</v>
      </c>
      <c r="N9">
        <v>0</v>
      </c>
      <c r="P9">
        <v>105</v>
      </c>
      <c r="Q9">
        <v>20</v>
      </c>
      <c r="R9">
        <v>11020</v>
      </c>
      <c r="S9">
        <v>0</v>
      </c>
      <c r="T9">
        <v>21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45020.152928240743</v>
      </c>
    </row>
  </sheetData>
  <sheetProtection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SGQSAS, Laine</cp:lastModifiedBy>
  <dcterms:created xsi:type="dcterms:W3CDTF">2023-03-23T18:18:40Z</dcterms:created>
  <dcterms:modified xsi:type="dcterms:W3CDTF">2023-04-04T01:40:19Z</dcterms:modified>
</cp:coreProperties>
</file>