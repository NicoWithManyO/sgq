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Cfrsv639nemfsp1\services\feutre\_Prod\"/>
    </mc:Choice>
  </mc:AlternateContent>
  <bookViews>
    <workbookView xWindow="0" yWindow="0" windowWidth="18480" windowHeight="8070" firstSheet="3" activeTab="3"/>
  </bookViews>
  <sheets>
    <sheet name="data" sheetId="2" state="hidden" r:id="rId1"/>
    <sheet name="Prod" sheetId="1" state="hidden" r:id="rId2"/>
    <sheet name="exportateur" sheetId="11" state="hidden" r:id="rId3"/>
    <sheet name="newProd" sheetId="8" r:id="rId4"/>
    <sheet name="newFibrage" sheetId="10" r:id="rId5"/>
    <sheet name="newTRS" sheetId="9" r:id="rId6"/>
    <sheet name="data_FIBRAGE" sheetId="6" state="hidden" r:id="rId7"/>
    <sheet name="data_FIBRAGETEMP" sheetId="4" state="hidden" r:id="rId8"/>
    <sheet name="data_TRS" sheetId="3" state="hidden" r:id="rId9"/>
    <sheet name="STATS" sheetId="5" state="hidden" r:id="rId10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84" i="11" l="1"/>
  <c r="AJ84" i="11"/>
  <c r="AV84" i="11" s="1"/>
  <c r="AI84" i="11"/>
  <c r="AH84" i="11"/>
  <c r="AG84" i="11"/>
  <c r="AF84" i="11"/>
  <c r="AE84" i="11"/>
  <c r="AD84" i="11"/>
  <c r="Q84" i="11"/>
  <c r="P84" i="11"/>
  <c r="AM83" i="11"/>
  <c r="AJ83" i="11"/>
  <c r="AV83" i="11" s="1"/>
  <c r="AI83" i="11"/>
  <c r="AH83" i="11"/>
  <c r="AG83" i="11"/>
  <c r="AF83" i="11"/>
  <c r="AE83" i="11"/>
  <c r="AD83" i="11"/>
  <c r="Q83" i="11"/>
  <c r="P83" i="11"/>
  <c r="L83" i="11" s="1"/>
  <c r="AS82" i="11"/>
  <c r="AM82" i="11"/>
  <c r="AK82" i="11"/>
  <c r="AJ82" i="11"/>
  <c r="AV82" i="11" s="1"/>
  <c r="AI82" i="11"/>
  <c r="AH82" i="11"/>
  <c r="AG82" i="11"/>
  <c r="AF82" i="11"/>
  <c r="AE82" i="11"/>
  <c r="AD82" i="11"/>
  <c r="Q82" i="11"/>
  <c r="P82" i="11"/>
  <c r="AU81" i="11"/>
  <c r="AM81" i="11"/>
  <c r="AK81" i="11"/>
  <c r="AQ81" i="11" s="1"/>
  <c r="AJ81" i="11"/>
  <c r="AV81" i="11" s="1"/>
  <c r="AI81" i="11"/>
  <c r="AH81" i="11"/>
  <c r="AG81" i="11"/>
  <c r="AF81" i="11"/>
  <c r="AE81" i="11"/>
  <c r="AD81" i="11"/>
  <c r="Q81" i="11"/>
  <c r="P81" i="11"/>
  <c r="L81" i="11" s="1"/>
  <c r="K81" i="11"/>
  <c r="AM80" i="11"/>
  <c r="AJ80" i="11"/>
  <c r="AV80" i="11" s="1"/>
  <c r="AI80" i="11"/>
  <c r="AH80" i="11"/>
  <c r="AG80" i="11"/>
  <c r="AF80" i="11"/>
  <c r="AE80" i="11"/>
  <c r="AD80" i="11"/>
  <c r="Q80" i="11"/>
  <c r="P80" i="11"/>
  <c r="AM79" i="11"/>
  <c r="AJ79" i="11"/>
  <c r="AV79" i="11" s="1"/>
  <c r="AI79" i="11"/>
  <c r="AH79" i="11"/>
  <c r="AG79" i="11"/>
  <c r="AF79" i="11"/>
  <c r="AE79" i="11"/>
  <c r="AD79" i="11"/>
  <c r="Q79" i="11"/>
  <c r="P79" i="11"/>
  <c r="L79" i="11" s="1"/>
  <c r="AS78" i="11"/>
  <c r="AM78" i="11"/>
  <c r="AK78" i="11"/>
  <c r="AJ78" i="11"/>
  <c r="AV78" i="11" s="1"/>
  <c r="AI78" i="11"/>
  <c r="AH78" i="11"/>
  <c r="AG78" i="11"/>
  <c r="AF78" i="11"/>
  <c r="AE78" i="11"/>
  <c r="AD78" i="11"/>
  <c r="Q78" i="11"/>
  <c r="P78" i="11"/>
  <c r="AU77" i="11"/>
  <c r="AM77" i="11"/>
  <c r="AK77" i="11"/>
  <c r="AQ77" i="11" s="1"/>
  <c r="AJ77" i="11"/>
  <c r="AV77" i="11" s="1"/>
  <c r="AI77" i="11"/>
  <c r="AH77" i="11"/>
  <c r="AG77" i="11"/>
  <c r="AF77" i="11"/>
  <c r="AE77" i="11"/>
  <c r="AD77" i="11"/>
  <c r="Q77" i="11"/>
  <c r="P77" i="11"/>
  <c r="L77" i="11" s="1"/>
  <c r="K77" i="11"/>
  <c r="AM76" i="11"/>
  <c r="AJ76" i="11"/>
  <c r="AV76" i="11" s="1"/>
  <c r="AI76" i="11"/>
  <c r="AH76" i="11"/>
  <c r="AG76" i="11"/>
  <c r="AF76" i="11"/>
  <c r="AE76" i="11"/>
  <c r="AD76" i="11"/>
  <c r="Q76" i="11"/>
  <c r="P76" i="11"/>
  <c r="AM75" i="11"/>
  <c r="AJ75" i="11"/>
  <c r="AV75" i="11" s="1"/>
  <c r="AI75" i="11"/>
  <c r="AH75" i="11"/>
  <c r="AG75" i="11"/>
  <c r="AF75" i="11"/>
  <c r="AE75" i="11"/>
  <c r="AD75" i="11"/>
  <c r="Q75" i="11"/>
  <c r="P75" i="11"/>
  <c r="L75" i="11" s="1"/>
  <c r="AS74" i="11"/>
  <c r="AM74" i="11"/>
  <c r="AK74" i="11"/>
  <c r="AJ74" i="11"/>
  <c r="AV74" i="11" s="1"/>
  <c r="AI74" i="11"/>
  <c r="AH74" i="11"/>
  <c r="AG74" i="11"/>
  <c r="AF74" i="11"/>
  <c r="AE74" i="11"/>
  <c r="AD74" i="11"/>
  <c r="Q74" i="11"/>
  <c r="P74" i="11"/>
  <c r="AU73" i="11"/>
  <c r="AM73" i="11"/>
  <c r="AK73" i="11"/>
  <c r="AQ73" i="11" s="1"/>
  <c r="AJ73" i="11"/>
  <c r="AV73" i="11" s="1"/>
  <c r="AI73" i="11"/>
  <c r="AH73" i="11"/>
  <c r="AG73" i="11"/>
  <c r="AF73" i="11"/>
  <c r="AE73" i="11"/>
  <c r="AD73" i="11"/>
  <c r="Q73" i="11"/>
  <c r="P73" i="11"/>
  <c r="L73" i="11" s="1"/>
  <c r="K73" i="11"/>
  <c r="AM72" i="11"/>
  <c r="AJ72" i="11"/>
  <c r="AN72" i="11" s="1"/>
  <c r="AI72" i="11"/>
  <c r="AH72" i="11"/>
  <c r="AG72" i="11"/>
  <c r="AF72" i="11"/>
  <c r="AE72" i="11"/>
  <c r="AD72" i="11"/>
  <c r="Q72" i="11"/>
  <c r="P72" i="11"/>
  <c r="AC72" i="11" s="1"/>
  <c r="K72" i="11"/>
  <c r="AM71" i="11"/>
  <c r="AJ71" i="11"/>
  <c r="AV71" i="11" s="1"/>
  <c r="AI71" i="11"/>
  <c r="AH71" i="11"/>
  <c r="AG71" i="11"/>
  <c r="AF71" i="11"/>
  <c r="AE71" i="11"/>
  <c r="AD71" i="11"/>
  <c r="Q71" i="11"/>
  <c r="P71" i="11"/>
  <c r="AC71" i="11" s="1"/>
  <c r="K71" i="11"/>
  <c r="AM70" i="11"/>
  <c r="AJ70" i="11"/>
  <c r="AN70" i="11" s="1"/>
  <c r="AI70" i="11"/>
  <c r="AH70" i="11"/>
  <c r="AG70" i="11"/>
  <c r="AF70" i="11"/>
  <c r="AE70" i="11"/>
  <c r="AD70" i="11"/>
  <c r="Q70" i="11"/>
  <c r="P70" i="11"/>
  <c r="AC70" i="11" s="1"/>
  <c r="K70" i="11"/>
  <c r="AM69" i="11"/>
  <c r="AJ69" i="11"/>
  <c r="AV69" i="11" s="1"/>
  <c r="AI69" i="11"/>
  <c r="AH69" i="11"/>
  <c r="AG69" i="11"/>
  <c r="AF69" i="11"/>
  <c r="AE69" i="11"/>
  <c r="AD69" i="11"/>
  <c r="Q69" i="11"/>
  <c r="P69" i="11"/>
  <c r="AC69" i="11" s="1"/>
  <c r="K69" i="11"/>
  <c r="AM68" i="11"/>
  <c r="AJ68" i="11"/>
  <c r="AN68" i="11" s="1"/>
  <c r="AI68" i="11"/>
  <c r="AH68" i="11"/>
  <c r="AG68" i="11"/>
  <c r="AF68" i="11"/>
  <c r="AE68" i="11"/>
  <c r="AD68" i="11"/>
  <c r="Q68" i="11"/>
  <c r="P68" i="11"/>
  <c r="AC68" i="11" s="1"/>
  <c r="K68" i="11"/>
  <c r="AM67" i="11"/>
  <c r="AJ67" i="11"/>
  <c r="AV67" i="11" s="1"/>
  <c r="AI67" i="11"/>
  <c r="AH67" i="11"/>
  <c r="AG67" i="11"/>
  <c r="AF67" i="11"/>
  <c r="AE67" i="11"/>
  <c r="AD67" i="11"/>
  <c r="Q67" i="11"/>
  <c r="P67" i="11"/>
  <c r="AC67" i="11" s="1"/>
  <c r="K67" i="11"/>
  <c r="AM66" i="11"/>
  <c r="AJ66" i="11"/>
  <c r="AN66" i="11" s="1"/>
  <c r="AI66" i="11"/>
  <c r="AH66" i="11"/>
  <c r="AG66" i="11"/>
  <c r="AF66" i="11"/>
  <c r="AE66" i="11"/>
  <c r="AD66" i="11"/>
  <c r="Q66" i="11"/>
  <c r="P66" i="11"/>
  <c r="AC66" i="11" s="1"/>
  <c r="K66" i="11"/>
  <c r="AM65" i="11"/>
  <c r="AJ65" i="11"/>
  <c r="AV65" i="11" s="1"/>
  <c r="AI65" i="11"/>
  <c r="AH65" i="11"/>
  <c r="AG65" i="11"/>
  <c r="AF65" i="11"/>
  <c r="AE65" i="11"/>
  <c r="AD65" i="11"/>
  <c r="Q65" i="11"/>
  <c r="P65" i="11"/>
  <c r="AC65" i="11" s="1"/>
  <c r="K65" i="11"/>
  <c r="AM64" i="11"/>
  <c r="AJ64" i="11"/>
  <c r="AN64" i="11" s="1"/>
  <c r="AI64" i="11"/>
  <c r="AH64" i="11"/>
  <c r="AG64" i="11"/>
  <c r="AF64" i="11"/>
  <c r="AE64" i="11"/>
  <c r="AD64" i="11"/>
  <c r="Q64" i="11"/>
  <c r="P64" i="11"/>
  <c r="AC64" i="11" s="1"/>
  <c r="K64" i="11"/>
  <c r="AM63" i="11"/>
  <c r="AJ63" i="11"/>
  <c r="AV63" i="11" s="1"/>
  <c r="AI63" i="11"/>
  <c r="AH63" i="11"/>
  <c r="AG63" i="11"/>
  <c r="AF63" i="11"/>
  <c r="AE63" i="11"/>
  <c r="AD63" i="11"/>
  <c r="Q63" i="11"/>
  <c r="P63" i="11"/>
  <c r="AC63" i="11" s="1"/>
  <c r="K63" i="11"/>
  <c r="AM62" i="11"/>
  <c r="AJ62" i="11"/>
  <c r="AN62" i="11" s="1"/>
  <c r="AI62" i="11"/>
  <c r="AH62" i="11"/>
  <c r="AG62" i="11"/>
  <c r="AF62" i="11"/>
  <c r="AE62" i="11"/>
  <c r="AD62" i="11"/>
  <c r="Q62" i="11"/>
  <c r="P62" i="11"/>
  <c r="AC62" i="11" s="1"/>
  <c r="K62" i="11"/>
  <c r="AM61" i="11"/>
  <c r="AJ61" i="11"/>
  <c r="AV61" i="11" s="1"/>
  <c r="AI61" i="11"/>
  <c r="AH61" i="11"/>
  <c r="AG61" i="11"/>
  <c r="AF61" i="11"/>
  <c r="AE61" i="11"/>
  <c r="AD61" i="11"/>
  <c r="Q61" i="11"/>
  <c r="P61" i="11"/>
  <c r="AC61" i="11" s="1"/>
  <c r="K61" i="11"/>
  <c r="AM60" i="11"/>
  <c r="AJ60" i="11"/>
  <c r="AN60" i="11" s="1"/>
  <c r="AI60" i="11"/>
  <c r="AH60" i="11"/>
  <c r="AG60" i="11"/>
  <c r="AF60" i="11"/>
  <c r="AE60" i="11"/>
  <c r="AD60" i="11"/>
  <c r="Q60" i="11"/>
  <c r="P60" i="11"/>
  <c r="AC60" i="11" s="1"/>
  <c r="K60" i="11"/>
  <c r="AM59" i="11"/>
  <c r="AJ59" i="11"/>
  <c r="AV59" i="11" s="1"/>
  <c r="AI59" i="11"/>
  <c r="AH59" i="11"/>
  <c r="AG59" i="11"/>
  <c r="AF59" i="11"/>
  <c r="AE59" i="11"/>
  <c r="AD59" i="11"/>
  <c r="Q59" i="11"/>
  <c r="P59" i="11"/>
  <c r="AM58" i="11"/>
  <c r="AJ58" i="11"/>
  <c r="AV58" i="11" s="1"/>
  <c r="AI58" i="11"/>
  <c r="AH58" i="11"/>
  <c r="AG58" i="11"/>
  <c r="AF58" i="11"/>
  <c r="AE58" i="11"/>
  <c r="AD58" i="11"/>
  <c r="U58" i="11"/>
  <c r="AW18" i="11" s="1"/>
  <c r="Q58" i="11"/>
  <c r="P58" i="11"/>
  <c r="L58" i="11" s="1"/>
  <c r="AM57" i="11"/>
  <c r="AJ57" i="11"/>
  <c r="AV57" i="11" s="1"/>
  <c r="AI57" i="11"/>
  <c r="AH57" i="11"/>
  <c r="AG57" i="11"/>
  <c r="AF57" i="11"/>
  <c r="AE57" i="11"/>
  <c r="AD57" i="11"/>
  <c r="U57" i="11"/>
  <c r="Q57" i="11"/>
  <c r="P57" i="11"/>
  <c r="L57" i="11" s="1"/>
  <c r="AM56" i="11"/>
  <c r="AJ56" i="11"/>
  <c r="AV56" i="11" s="1"/>
  <c r="AI56" i="11"/>
  <c r="AH56" i="11"/>
  <c r="AG56" i="11"/>
  <c r="AF56" i="11"/>
  <c r="AE56" i="11"/>
  <c r="AD56" i="11"/>
  <c r="U56" i="11"/>
  <c r="AU18" i="11" s="1"/>
  <c r="Q56" i="11"/>
  <c r="P56" i="11"/>
  <c r="L56" i="11" s="1"/>
  <c r="AM55" i="11"/>
  <c r="AJ55" i="11"/>
  <c r="AV55" i="11" s="1"/>
  <c r="AI55" i="11"/>
  <c r="AH55" i="11"/>
  <c r="AG55" i="11"/>
  <c r="AF55" i="11"/>
  <c r="AE55" i="11"/>
  <c r="AD55" i="11"/>
  <c r="U55" i="11"/>
  <c r="AT18" i="11" s="1"/>
  <c r="Q55" i="11"/>
  <c r="P55" i="11"/>
  <c r="L55" i="11" s="1"/>
  <c r="AM54" i="11"/>
  <c r="AJ54" i="11"/>
  <c r="AV54" i="11" s="1"/>
  <c r="AI54" i="11"/>
  <c r="AH54" i="11"/>
  <c r="AG54" i="11"/>
  <c r="AF54" i="11"/>
  <c r="AE54" i="11"/>
  <c r="AD54" i="11"/>
  <c r="U54" i="11"/>
  <c r="AS18" i="11" s="1"/>
  <c r="Q54" i="11"/>
  <c r="P54" i="11"/>
  <c r="L54" i="11" s="1"/>
  <c r="AM53" i="11"/>
  <c r="AJ53" i="11"/>
  <c r="AV53" i="11" s="1"/>
  <c r="AI53" i="11"/>
  <c r="AH53" i="11"/>
  <c r="AG53" i="11"/>
  <c r="AF53" i="11"/>
  <c r="AE53" i="11"/>
  <c r="AD53" i="11"/>
  <c r="Q53" i="11"/>
  <c r="P53" i="11"/>
  <c r="L53" i="11" s="1"/>
  <c r="AM52" i="11"/>
  <c r="AJ52" i="11"/>
  <c r="AV52" i="11" s="1"/>
  <c r="AI52" i="11"/>
  <c r="AH52" i="11"/>
  <c r="AG52" i="11"/>
  <c r="AF52" i="11"/>
  <c r="AE52" i="11"/>
  <c r="AD52" i="11"/>
  <c r="Q52" i="11"/>
  <c r="P52" i="11"/>
  <c r="L52" i="11" s="1"/>
  <c r="AM51" i="11"/>
  <c r="AJ51" i="11"/>
  <c r="AU51" i="11" s="1"/>
  <c r="AI51" i="11"/>
  <c r="AH51" i="11"/>
  <c r="AG51" i="11"/>
  <c r="AF51" i="11"/>
  <c r="AE51" i="11"/>
  <c r="AD51" i="11"/>
  <c r="Q51" i="11"/>
  <c r="P51" i="11"/>
  <c r="L51" i="11" s="1"/>
  <c r="K51" i="11"/>
  <c r="AM50" i="11"/>
  <c r="AJ50" i="11"/>
  <c r="AI50" i="11"/>
  <c r="AH50" i="11"/>
  <c r="AG50" i="11"/>
  <c r="AF50" i="11"/>
  <c r="AE50" i="11"/>
  <c r="AD50" i="11"/>
  <c r="Q50" i="11"/>
  <c r="P50" i="11"/>
  <c r="L50" i="11" s="1"/>
  <c r="AM49" i="11"/>
  <c r="AJ49" i="11"/>
  <c r="AI49" i="11"/>
  <c r="AH49" i="11"/>
  <c r="AG49" i="11"/>
  <c r="AF49" i="11"/>
  <c r="AE49" i="11"/>
  <c r="AD49" i="11"/>
  <c r="Q49" i="11"/>
  <c r="P49" i="11"/>
  <c r="L49" i="11" s="1"/>
  <c r="K49" i="11"/>
  <c r="AM48" i="11"/>
  <c r="AJ48" i="11"/>
  <c r="AI48" i="11"/>
  <c r="AH48" i="11"/>
  <c r="AG48" i="11"/>
  <c r="AF48" i="11"/>
  <c r="AE48" i="11"/>
  <c r="AD48" i="11"/>
  <c r="Q48" i="11"/>
  <c r="P48" i="11"/>
  <c r="L48" i="11" s="1"/>
  <c r="AM47" i="11"/>
  <c r="AJ47" i="11"/>
  <c r="AI47" i="11"/>
  <c r="AH47" i="11"/>
  <c r="AG47" i="11"/>
  <c r="AF47" i="11"/>
  <c r="AE47" i="11"/>
  <c r="AD47" i="11"/>
  <c r="Q47" i="11"/>
  <c r="P47" i="11"/>
  <c r="L47" i="11" s="1"/>
  <c r="K47" i="11"/>
  <c r="AM46" i="11"/>
  <c r="AJ46" i="11"/>
  <c r="AU46" i="11" s="1"/>
  <c r="AI46" i="11"/>
  <c r="AH46" i="11"/>
  <c r="AG46" i="11"/>
  <c r="AF46" i="11"/>
  <c r="AE46" i="11"/>
  <c r="AD46" i="11"/>
  <c r="Q46" i="11"/>
  <c r="P46" i="11"/>
  <c r="AC46" i="11" s="1"/>
  <c r="AS45" i="11"/>
  <c r="AM45" i="11"/>
  <c r="AK45" i="11"/>
  <c r="AR45" i="11" s="1"/>
  <c r="AJ45" i="11"/>
  <c r="AV45" i="11" s="1"/>
  <c r="AI45" i="11"/>
  <c r="AH45" i="11"/>
  <c r="AG45" i="11"/>
  <c r="AF45" i="11"/>
  <c r="AE45" i="11"/>
  <c r="AD45" i="11"/>
  <c r="Q45" i="11"/>
  <c r="P45" i="11"/>
  <c r="L45" i="11" s="1"/>
  <c r="K45" i="11"/>
  <c r="AM44" i="11"/>
  <c r="AJ44" i="11"/>
  <c r="AU44" i="11" s="1"/>
  <c r="AI44" i="11"/>
  <c r="AH44" i="11"/>
  <c r="AG44" i="11"/>
  <c r="AF44" i="11"/>
  <c r="AE44" i="11"/>
  <c r="AD44" i="11"/>
  <c r="W44" i="11"/>
  <c r="Q44" i="11"/>
  <c r="P44" i="11"/>
  <c r="AC44" i="11" s="1"/>
  <c r="K44" i="11"/>
  <c r="AM43" i="11"/>
  <c r="AJ43" i="11"/>
  <c r="AU43" i="11" s="1"/>
  <c r="AI43" i="11"/>
  <c r="AH43" i="11"/>
  <c r="AG43" i="11"/>
  <c r="AF43" i="11"/>
  <c r="AE43" i="11"/>
  <c r="AD43" i="11"/>
  <c r="AB43" i="11"/>
  <c r="BM18" i="11" s="1"/>
  <c r="S43" i="11"/>
  <c r="Q43" i="11"/>
  <c r="P43" i="11"/>
  <c r="AC43" i="11" s="1"/>
  <c r="AM42" i="11"/>
  <c r="AJ42" i="11"/>
  <c r="AU42" i="11" s="1"/>
  <c r="AI42" i="11"/>
  <c r="AH42" i="11"/>
  <c r="AG42" i="11"/>
  <c r="AF42" i="11"/>
  <c r="AE42" i="11"/>
  <c r="AD42" i="11"/>
  <c r="V42" i="11"/>
  <c r="T42" i="11"/>
  <c r="S42" i="11"/>
  <c r="Q42" i="11"/>
  <c r="P42" i="11"/>
  <c r="AC42" i="11" s="1"/>
  <c r="AM41" i="11"/>
  <c r="AJ41" i="11"/>
  <c r="AI41" i="11"/>
  <c r="AH41" i="11"/>
  <c r="AG41" i="11"/>
  <c r="AF41" i="11"/>
  <c r="AE41" i="11"/>
  <c r="AD41" i="11"/>
  <c r="S41" i="11"/>
  <c r="Q41" i="11"/>
  <c r="P41" i="11"/>
  <c r="AC41" i="11" s="1"/>
  <c r="AM40" i="11"/>
  <c r="AJ40" i="11"/>
  <c r="AU40" i="11" s="1"/>
  <c r="AI40" i="11"/>
  <c r="AH40" i="11"/>
  <c r="AG40" i="11"/>
  <c r="AF40" i="11"/>
  <c r="AE40" i="11"/>
  <c r="AD40" i="11"/>
  <c r="Q40" i="11"/>
  <c r="P40" i="11"/>
  <c r="AC40" i="11" s="1"/>
  <c r="AM39" i="11"/>
  <c r="AJ39" i="11"/>
  <c r="AI39" i="11"/>
  <c r="AH39" i="11"/>
  <c r="AG39" i="11"/>
  <c r="AF39" i="11"/>
  <c r="AE39" i="11"/>
  <c r="AD39" i="11"/>
  <c r="Q39" i="11"/>
  <c r="P39" i="11"/>
  <c r="L39" i="11" s="1"/>
  <c r="K39" i="11"/>
  <c r="AM38" i="11"/>
  <c r="AJ38" i="11"/>
  <c r="AI38" i="11"/>
  <c r="AH38" i="11"/>
  <c r="AG38" i="11"/>
  <c r="AF38" i="11"/>
  <c r="AE38" i="11"/>
  <c r="AD38" i="11"/>
  <c r="Q38" i="11"/>
  <c r="P38" i="11"/>
  <c r="AC38" i="11" s="1"/>
  <c r="K38" i="11"/>
  <c r="AM37" i="11"/>
  <c r="AI37" i="11"/>
  <c r="AH37" i="11"/>
  <c r="AG37" i="11"/>
  <c r="AF37" i="11"/>
  <c r="AE37" i="11"/>
  <c r="AD37" i="11"/>
  <c r="Q37" i="11"/>
  <c r="P37" i="11"/>
  <c r="AC37" i="11" s="1"/>
  <c r="AM36" i="11"/>
  <c r="AI36" i="11"/>
  <c r="AH36" i="11"/>
  <c r="AG36" i="11"/>
  <c r="AF36" i="11"/>
  <c r="AE36" i="11"/>
  <c r="AD36" i="11"/>
  <c r="AB36" i="11"/>
  <c r="Q36" i="11"/>
  <c r="P36" i="11"/>
  <c r="L36" i="11" s="1"/>
  <c r="AM35" i="11"/>
  <c r="AI35" i="11"/>
  <c r="AH35" i="11"/>
  <c r="AG35" i="11"/>
  <c r="AF35" i="11"/>
  <c r="AE35" i="11"/>
  <c r="AD35" i="11"/>
  <c r="W35" i="11"/>
  <c r="Q35" i="11"/>
  <c r="P35" i="11"/>
  <c r="L35" i="11" s="1"/>
  <c r="AM34" i="11"/>
  <c r="AI34" i="11"/>
  <c r="AG34" i="11"/>
  <c r="V57" i="11" s="1"/>
  <c r="AP18" i="11" s="1"/>
  <c r="AF34" i="11"/>
  <c r="AE34" i="11"/>
  <c r="V55" i="11" s="1"/>
  <c r="AN18" i="11" s="1"/>
  <c r="AD34" i="11"/>
  <c r="AB34" i="11"/>
  <c r="BK18" i="11" s="1"/>
  <c r="Q34" i="11"/>
  <c r="P34" i="11"/>
  <c r="AC34" i="11" s="1"/>
  <c r="K34" i="11"/>
  <c r="AA33" i="11"/>
  <c r="Z34" i="11" s="1"/>
  <c r="V33" i="11"/>
  <c r="T33" i="11"/>
  <c r="Q32" i="11"/>
  <c r="P32" i="11"/>
  <c r="O32" i="11"/>
  <c r="S31" i="11"/>
  <c r="S30" i="11"/>
  <c r="N30" i="11"/>
  <c r="BL18" i="11"/>
  <c r="BJ18" i="11"/>
  <c r="BI18" i="11"/>
  <c r="BH18" i="11"/>
  <c r="BG18" i="11"/>
  <c r="BF18" i="11"/>
  <c r="BE18" i="11"/>
  <c r="BD18" i="11"/>
  <c r="BC18" i="11"/>
  <c r="BB18" i="11"/>
  <c r="BA18" i="11"/>
  <c r="AZ18" i="11"/>
  <c r="AY18" i="11"/>
  <c r="AV18" i="11"/>
  <c r="AG18" i="11"/>
  <c r="AF18" i="11"/>
  <c r="AE18" i="11"/>
  <c r="AD18" i="11"/>
  <c r="AC18" i="11"/>
  <c r="AJ36" i="11" s="1"/>
  <c r="AC45" i="11" l="1"/>
  <c r="AC47" i="11"/>
  <c r="L34" i="11"/>
  <c r="V53" i="11"/>
  <c r="AI18" i="11" s="1"/>
  <c r="AC23" i="11"/>
  <c r="K35" i="11"/>
  <c r="K36" i="11"/>
  <c r="K37" i="11"/>
  <c r="L38" i="11"/>
  <c r="K41" i="11"/>
  <c r="K42" i="11"/>
  <c r="K43" i="11"/>
  <c r="K46" i="11"/>
  <c r="K48" i="11"/>
  <c r="K50" i="11"/>
  <c r="L60" i="11"/>
  <c r="L61" i="11"/>
  <c r="L62" i="11"/>
  <c r="L63" i="11"/>
  <c r="L64" i="11"/>
  <c r="L65" i="11"/>
  <c r="L66" i="11"/>
  <c r="L67" i="11"/>
  <c r="L68" i="11"/>
  <c r="L69" i="11"/>
  <c r="L70" i="11"/>
  <c r="L71" i="11"/>
  <c r="L72" i="11"/>
  <c r="K75" i="11"/>
  <c r="K79" i="11"/>
  <c r="K83" i="11"/>
  <c r="AK54" i="11"/>
  <c r="AQ54" i="11" s="1"/>
  <c r="AU54" i="11"/>
  <c r="AK56" i="11"/>
  <c r="AQ56" i="11" s="1"/>
  <c r="AU56" i="11"/>
  <c r="AK58" i="11"/>
  <c r="AQ58" i="11" s="1"/>
  <c r="AU58" i="11"/>
  <c r="AL59" i="11"/>
  <c r="AN59" i="11"/>
  <c r="AL61" i="11"/>
  <c r="AN61" i="11"/>
  <c r="AL63" i="11"/>
  <c r="AN63" i="11"/>
  <c r="AL65" i="11"/>
  <c r="AN65" i="11"/>
  <c r="AL67" i="11"/>
  <c r="AN67" i="11"/>
  <c r="AL69" i="11"/>
  <c r="AN69" i="11"/>
  <c r="AL71" i="11"/>
  <c r="AN71" i="11"/>
  <c r="AK75" i="11"/>
  <c r="AQ75" i="11" s="1"/>
  <c r="AU75" i="11"/>
  <c r="AK76" i="11"/>
  <c r="AR76" i="11" s="1"/>
  <c r="AS76" i="11"/>
  <c r="AK79" i="11"/>
  <c r="AQ79" i="11" s="1"/>
  <c r="AU79" i="11"/>
  <c r="AK80" i="11"/>
  <c r="AR80" i="11" s="1"/>
  <c r="AS80" i="11"/>
  <c r="AK83" i="11"/>
  <c r="AQ83" i="11" s="1"/>
  <c r="AU83" i="11"/>
  <c r="AK84" i="11"/>
  <c r="AR84" i="11" s="1"/>
  <c r="AS84" i="11"/>
  <c r="K40" i="11"/>
  <c r="L41" i="11"/>
  <c r="L43" i="11"/>
  <c r="L44" i="11"/>
  <c r="AV47" i="11"/>
  <c r="AS47" i="11"/>
  <c r="AK47" i="11"/>
  <c r="AR47" i="11" s="1"/>
  <c r="AU47" i="11"/>
  <c r="AV48" i="11"/>
  <c r="AS48" i="11"/>
  <c r="AK48" i="11"/>
  <c r="AR48" i="11" s="1"/>
  <c r="AU48" i="11"/>
  <c r="AV49" i="11"/>
  <c r="AS49" i="11"/>
  <c r="AK49" i="11"/>
  <c r="AR49" i="11" s="1"/>
  <c r="AU49" i="11"/>
  <c r="AV50" i="11"/>
  <c r="AS50" i="11"/>
  <c r="AK50" i="11"/>
  <c r="AR50" i="11" s="1"/>
  <c r="AU50" i="11"/>
  <c r="AV38" i="11"/>
  <c r="AS38" i="11"/>
  <c r="AK38" i="11"/>
  <c r="AR38" i="11" s="1"/>
  <c r="AU38" i="11"/>
  <c r="AV39" i="11"/>
  <c r="AS39" i="11"/>
  <c r="AK39" i="11"/>
  <c r="AR39" i="11" s="1"/>
  <c r="AU39" i="11"/>
  <c r="AV41" i="11"/>
  <c r="AS41" i="11"/>
  <c r="AK41" i="11"/>
  <c r="AR41" i="11" s="1"/>
  <c r="AU41" i="11"/>
  <c r="AS52" i="11"/>
  <c r="AS53" i="11"/>
  <c r="AS55" i="11"/>
  <c r="AS57" i="11"/>
  <c r="AV60" i="11"/>
  <c r="AV62" i="11"/>
  <c r="AV64" i="11"/>
  <c r="AV66" i="11"/>
  <c r="AV68" i="11"/>
  <c r="AV70" i="11"/>
  <c r="AU45" i="11"/>
  <c r="AK51" i="11"/>
  <c r="AR51" i="11" s="1"/>
  <c r="AK52" i="11"/>
  <c r="AQ52" i="11" s="1"/>
  <c r="AU52" i="11"/>
  <c r="AK53" i="11"/>
  <c r="AQ53" i="11" s="1"/>
  <c r="AU53" i="11"/>
  <c r="AS54" i="11"/>
  <c r="AK55" i="11"/>
  <c r="AQ55" i="11" s="1"/>
  <c r="AU55" i="11"/>
  <c r="AS56" i="11"/>
  <c r="AK57" i="11"/>
  <c r="AQ57" i="11" s="1"/>
  <c r="AU57" i="11"/>
  <c r="AS58" i="11"/>
  <c r="AL60" i="11"/>
  <c r="AL62" i="11"/>
  <c r="AL64" i="11"/>
  <c r="AL66" i="11"/>
  <c r="AL68" i="11"/>
  <c r="AL70" i="11"/>
  <c r="AL72" i="11"/>
  <c r="AS73" i="11"/>
  <c r="AU74" i="11"/>
  <c r="AS75" i="11"/>
  <c r="AU76" i="11"/>
  <c r="AS77" i="11"/>
  <c r="AU78" i="11"/>
  <c r="AS79" i="11"/>
  <c r="AU80" i="11"/>
  <c r="AS81" i="11"/>
  <c r="AU82" i="11"/>
  <c r="AS83" i="11"/>
  <c r="AU84" i="11"/>
  <c r="AV36" i="11"/>
  <c r="AT36" i="11"/>
  <c r="AN36" i="11"/>
  <c r="AL36" i="11"/>
  <c r="AU36" i="11"/>
  <c r="AS36" i="11"/>
  <c r="AK36" i="11"/>
  <c r="AC21" i="11"/>
  <c r="AC35" i="11"/>
  <c r="AC36" i="11"/>
  <c r="AJ37" i="11"/>
  <c r="AC39" i="11"/>
  <c r="AL40" i="11"/>
  <c r="AN40" i="11"/>
  <c r="AT40" i="11"/>
  <c r="AV40" i="11"/>
  <c r="AO41" i="11"/>
  <c r="AL42" i="11"/>
  <c r="AN42" i="11"/>
  <c r="AT42" i="11"/>
  <c r="AV42" i="11"/>
  <c r="AL43" i="11"/>
  <c r="AN43" i="11"/>
  <c r="AT43" i="11"/>
  <c r="AV43" i="11"/>
  <c r="AL44" i="11"/>
  <c r="AN44" i="11"/>
  <c r="AT44" i="11"/>
  <c r="AV44" i="11"/>
  <c r="AO45" i="11"/>
  <c r="AQ45" i="11"/>
  <c r="AL46" i="11"/>
  <c r="AN46" i="11"/>
  <c r="AT46" i="11"/>
  <c r="AV46" i="11"/>
  <c r="AC48" i="11"/>
  <c r="AC49" i="11"/>
  <c r="AC50" i="11"/>
  <c r="AC51" i="11"/>
  <c r="AO51" i="11"/>
  <c r="U52" i="11"/>
  <c r="U53" i="11"/>
  <c r="AK18" i="11" s="1"/>
  <c r="AC59" i="11"/>
  <c r="L59" i="11"/>
  <c r="V52" i="11"/>
  <c r="AH18" i="11" s="1"/>
  <c r="V54" i="11"/>
  <c r="AM18" i="11" s="1"/>
  <c r="V56" i="11"/>
  <c r="AO18" i="11" s="1"/>
  <c r="AH34" i="11"/>
  <c r="V58" i="11" s="1"/>
  <c r="AQ18" i="11" s="1"/>
  <c r="AJ34" i="11"/>
  <c r="AJ35" i="11"/>
  <c r="L37" i="11"/>
  <c r="AL38" i="11"/>
  <c r="AN38" i="11"/>
  <c r="AT38" i="11"/>
  <c r="AL39" i="11"/>
  <c r="AN39" i="11"/>
  <c r="AT39" i="11"/>
  <c r="L40" i="11"/>
  <c r="AK40" i="11"/>
  <c r="AS40" i="11"/>
  <c r="AL41" i="11"/>
  <c r="AN41" i="11"/>
  <c r="AT41" i="11"/>
  <c r="L42" i="11"/>
  <c r="AK42" i="11"/>
  <c r="AS42" i="11"/>
  <c r="AK43" i="11"/>
  <c r="AS43" i="11"/>
  <c r="AK44" i="11"/>
  <c r="AS44" i="11"/>
  <c r="AL45" i="11"/>
  <c r="AN45" i="11"/>
  <c r="AP45" i="11"/>
  <c r="AT45" i="11"/>
  <c r="L46" i="11"/>
  <c r="AK46" i="11"/>
  <c r="AS46" i="11"/>
  <c r="AL47" i="11"/>
  <c r="AN47" i="11"/>
  <c r="AT47" i="11"/>
  <c r="AL48" i="11"/>
  <c r="AN48" i="11"/>
  <c r="AT48" i="11"/>
  <c r="AL49" i="11"/>
  <c r="AN49" i="11"/>
  <c r="AT49" i="11"/>
  <c r="AL50" i="11"/>
  <c r="AN50" i="11"/>
  <c r="AT50" i="11"/>
  <c r="AV51" i="11"/>
  <c r="AT51" i="11"/>
  <c r="AL51" i="11"/>
  <c r="AN51" i="11"/>
  <c r="AS51" i="11"/>
  <c r="K52" i="11"/>
  <c r="AC52" i="11"/>
  <c r="AO52" i="11"/>
  <c r="K53" i="11"/>
  <c r="AC53" i="11"/>
  <c r="K54" i="11"/>
  <c r="AC54" i="11"/>
  <c r="AO54" i="11"/>
  <c r="K55" i="11"/>
  <c r="AC55" i="11"/>
  <c r="AP55" i="11"/>
  <c r="K56" i="11"/>
  <c r="AC56" i="11"/>
  <c r="AR56" i="11"/>
  <c r="K57" i="11"/>
  <c r="AC57" i="11"/>
  <c r="K58" i="11"/>
  <c r="AC58" i="11"/>
  <c r="AR58" i="11"/>
  <c r="K59" i="11"/>
  <c r="AU59" i="11"/>
  <c r="AS59" i="11"/>
  <c r="AK59" i="11"/>
  <c r="AT59" i="11"/>
  <c r="AU60" i="11"/>
  <c r="AS60" i="11"/>
  <c r="AK60" i="11"/>
  <c r="AT60" i="11"/>
  <c r="AU61" i="11"/>
  <c r="AS61" i="11"/>
  <c r="AK61" i="11"/>
  <c r="AT61" i="11"/>
  <c r="AU62" i="11"/>
  <c r="AS62" i="11"/>
  <c r="AK62" i="11"/>
  <c r="AT62" i="11"/>
  <c r="AU63" i="11"/>
  <c r="AS63" i="11"/>
  <c r="AK63" i="11"/>
  <c r="AT63" i="11"/>
  <c r="AU64" i="11"/>
  <c r="AS64" i="11"/>
  <c r="AK64" i="11"/>
  <c r="AT64" i="11"/>
  <c r="AU65" i="11"/>
  <c r="AS65" i="11"/>
  <c r="AK65" i="11"/>
  <c r="AT65" i="11"/>
  <c r="AU66" i="11"/>
  <c r="AS66" i="11"/>
  <c r="AK66" i="11"/>
  <c r="AT66" i="11"/>
  <c r="AU67" i="11"/>
  <c r="AS67" i="11"/>
  <c r="AK67" i="11"/>
  <c r="AT67" i="11"/>
  <c r="AU68" i="11"/>
  <c r="AS68" i="11"/>
  <c r="AK68" i="11"/>
  <c r="AT68" i="11"/>
  <c r="AU69" i="11"/>
  <c r="AS69" i="11"/>
  <c r="AK69" i="11"/>
  <c r="AT69" i="11"/>
  <c r="AU70" i="11"/>
  <c r="AS70" i="11"/>
  <c r="AK70" i="11"/>
  <c r="AT70" i="11"/>
  <c r="AU71" i="11"/>
  <c r="AS71" i="11"/>
  <c r="AK71" i="11"/>
  <c r="AT71" i="11"/>
  <c r="AV72" i="11"/>
  <c r="AU72" i="11"/>
  <c r="AS72" i="11"/>
  <c r="AK72" i="11"/>
  <c r="AT72" i="11"/>
  <c r="L74" i="11"/>
  <c r="K74" i="11"/>
  <c r="AC74" i="11"/>
  <c r="AR74" i="11"/>
  <c r="AP74" i="11"/>
  <c r="AQ74" i="11"/>
  <c r="AO74" i="11"/>
  <c r="L76" i="11"/>
  <c r="K76" i="11"/>
  <c r="AC76" i="11"/>
  <c r="AP76" i="11"/>
  <c r="L78" i="11"/>
  <c r="K78" i="11"/>
  <c r="AC78" i="11"/>
  <c r="AR78" i="11"/>
  <c r="AP78" i="11"/>
  <c r="AQ78" i="11"/>
  <c r="AO78" i="11"/>
  <c r="L80" i="11"/>
  <c r="K80" i="11"/>
  <c r="AC80" i="11"/>
  <c r="AP80" i="11"/>
  <c r="L82" i="11"/>
  <c r="K82" i="11"/>
  <c r="AC82" i="11"/>
  <c r="AR82" i="11"/>
  <c r="AP82" i="11"/>
  <c r="AQ82" i="11"/>
  <c r="AO82" i="11"/>
  <c r="L84" i="11"/>
  <c r="K84" i="11"/>
  <c r="AC84" i="11"/>
  <c r="AP84" i="11"/>
  <c r="AL52" i="11"/>
  <c r="AN52" i="11"/>
  <c r="AT52" i="11"/>
  <c r="AL53" i="11"/>
  <c r="AN53" i="11"/>
  <c r="AT53" i="11"/>
  <c r="AL54" i="11"/>
  <c r="AN54" i="11"/>
  <c r="AT54" i="11"/>
  <c r="AL55" i="11"/>
  <c r="AN55" i="11"/>
  <c r="AT55" i="11"/>
  <c r="AL56" i="11"/>
  <c r="AN56" i="11"/>
  <c r="AT56" i="11"/>
  <c r="AL57" i="11"/>
  <c r="AN57" i="11"/>
  <c r="AT57" i="11"/>
  <c r="AL58" i="11"/>
  <c r="AN58" i="11"/>
  <c r="AT58" i="11"/>
  <c r="AC73" i="11"/>
  <c r="AR73" i="11"/>
  <c r="AP73" i="11"/>
  <c r="AO73" i="11"/>
  <c r="AC75" i="11"/>
  <c r="AP75" i="11"/>
  <c r="AC77" i="11"/>
  <c r="AR77" i="11"/>
  <c r="AP77" i="11"/>
  <c r="AO77" i="11"/>
  <c r="AC79" i="11"/>
  <c r="AP79" i="11"/>
  <c r="AC81" i="11"/>
  <c r="AR81" i="11"/>
  <c r="AP81" i="11"/>
  <c r="AO81" i="11"/>
  <c r="AC83" i="11"/>
  <c r="AP83" i="11"/>
  <c r="AL73" i="11"/>
  <c r="AN73" i="11"/>
  <c r="AT73" i="11"/>
  <c r="AL74" i="11"/>
  <c r="AN74" i="11"/>
  <c r="AT74" i="11"/>
  <c r="AL75" i="11"/>
  <c r="AN75" i="11"/>
  <c r="AT75" i="11"/>
  <c r="AL76" i="11"/>
  <c r="AN76" i="11"/>
  <c r="AT76" i="11"/>
  <c r="AL77" i="11"/>
  <c r="AN77" i="11"/>
  <c r="AT77" i="11"/>
  <c r="AL78" i="11"/>
  <c r="AN78" i="11"/>
  <c r="AT78" i="11"/>
  <c r="AL79" i="11"/>
  <c r="AN79" i="11"/>
  <c r="AT79" i="11"/>
  <c r="AL80" i="11"/>
  <c r="AN80" i="11"/>
  <c r="AT80" i="11"/>
  <c r="AL81" i="11"/>
  <c r="AN81" i="11"/>
  <c r="AT81" i="11"/>
  <c r="AL82" i="11"/>
  <c r="AN82" i="11"/>
  <c r="AT82" i="11"/>
  <c r="AL83" i="11"/>
  <c r="AN83" i="11"/>
  <c r="AT83" i="11"/>
  <c r="AL84" i="11"/>
  <c r="AN84" i="11"/>
  <c r="AT84" i="11"/>
  <c r="AB43" i="8"/>
  <c r="BM18" i="8" s="1"/>
  <c r="AB36" i="8"/>
  <c r="BL18" i="8" s="1"/>
  <c r="AB34" i="8"/>
  <c r="BK18" i="8" s="1"/>
  <c r="S41" i="8"/>
  <c r="S43" i="8"/>
  <c r="S37" i="11" l="1"/>
  <c r="S36" i="11"/>
  <c r="S35" i="11"/>
  <c r="AO55" i="11"/>
  <c r="AR55" i="11"/>
  <c r="AP51" i="11"/>
  <c r="AQ51" i="11"/>
  <c r="U59" i="11"/>
  <c r="AX18" i="11" s="1"/>
  <c r="AO84" i="11"/>
  <c r="AO80" i="11"/>
  <c r="AO76" i="11"/>
  <c r="AO58" i="11"/>
  <c r="AO56" i="11"/>
  <c r="AR54" i="11"/>
  <c r="AO83" i="11"/>
  <c r="AR83" i="11"/>
  <c r="AO79" i="11"/>
  <c r="AR79" i="11"/>
  <c r="AO75" i="11"/>
  <c r="AR75" i="11"/>
  <c r="AQ84" i="11"/>
  <c r="AQ80" i="11"/>
  <c r="AQ76" i="11"/>
  <c r="AP58" i="11"/>
  <c r="AP57" i="11"/>
  <c r="AP56" i="11"/>
  <c r="AP54" i="11"/>
  <c r="AP53" i="11"/>
  <c r="AR52" i="11"/>
  <c r="AP50" i="11"/>
  <c r="AP49" i="11"/>
  <c r="AP48" i="11"/>
  <c r="AP47" i="11"/>
  <c r="AP41" i="11"/>
  <c r="AQ50" i="11"/>
  <c r="AO49" i="11"/>
  <c r="AQ48" i="11"/>
  <c r="AO47" i="11"/>
  <c r="AO39" i="11"/>
  <c r="AQ38" i="11"/>
  <c r="S45" i="11"/>
  <c r="S38" i="11"/>
  <c r="S47" i="11"/>
  <c r="AO57" i="11"/>
  <c r="AR57" i="11"/>
  <c r="AO53" i="11"/>
  <c r="AR53" i="11"/>
  <c r="AP52" i="11"/>
  <c r="AP39" i="11"/>
  <c r="AP38" i="11"/>
  <c r="AO50" i="11"/>
  <c r="AQ49" i="11"/>
  <c r="AO48" i="11"/>
  <c r="AQ47" i="11"/>
  <c r="AQ41" i="11"/>
  <c r="AQ39" i="11"/>
  <c r="AO38" i="11"/>
  <c r="AQ72" i="11"/>
  <c r="AO72" i="11"/>
  <c r="AP72" i="11"/>
  <c r="AR72" i="11"/>
  <c r="S44" i="11"/>
  <c r="AQ43" i="11"/>
  <c r="AO43" i="11"/>
  <c r="AR43" i="11"/>
  <c r="AP43" i="11"/>
  <c r="AQ42" i="11"/>
  <c r="AO42" i="11"/>
  <c r="AR42" i="11"/>
  <c r="AP42" i="11"/>
  <c r="AV34" i="11"/>
  <c r="AT34" i="11"/>
  <c r="AN34" i="11"/>
  <c r="AL34" i="11"/>
  <c r="AU34" i="11"/>
  <c r="AS34" i="11"/>
  <c r="AK34" i="11"/>
  <c r="S46" i="11"/>
  <c r="AU37" i="11"/>
  <c r="AS37" i="11"/>
  <c r="AK37" i="11"/>
  <c r="AV37" i="11"/>
  <c r="AT37" i="11"/>
  <c r="AN37" i="11"/>
  <c r="AL37" i="11"/>
  <c r="AQ71" i="11"/>
  <c r="AO71" i="11"/>
  <c r="AP71" i="11"/>
  <c r="AR71" i="11"/>
  <c r="AQ70" i="11"/>
  <c r="AO70" i="11"/>
  <c r="AP70" i="11"/>
  <c r="AR70" i="11"/>
  <c r="AQ69" i="11"/>
  <c r="AO69" i="11"/>
  <c r="AP69" i="11"/>
  <c r="AR69" i="11"/>
  <c r="AQ68" i="11"/>
  <c r="AO68" i="11"/>
  <c r="AP68" i="11"/>
  <c r="AR68" i="11"/>
  <c r="AQ67" i="11"/>
  <c r="AO67" i="11"/>
  <c r="AP67" i="11"/>
  <c r="AR67" i="11"/>
  <c r="AQ66" i="11"/>
  <c r="AO66" i="11"/>
  <c r="AP66" i="11"/>
  <c r="AR66" i="11"/>
  <c r="AQ65" i="11"/>
  <c r="AO65" i="11"/>
  <c r="AP65" i="11"/>
  <c r="AR65" i="11"/>
  <c r="AQ64" i="11"/>
  <c r="AO64" i="11"/>
  <c r="AP64" i="11"/>
  <c r="AR64" i="11"/>
  <c r="AQ63" i="11"/>
  <c r="AO63" i="11"/>
  <c r="AP63" i="11"/>
  <c r="AR63" i="11"/>
  <c r="AQ62" i="11"/>
  <c r="AO62" i="11"/>
  <c r="AP62" i="11"/>
  <c r="AR62" i="11"/>
  <c r="AQ61" i="11"/>
  <c r="AO61" i="11"/>
  <c r="AP61" i="11"/>
  <c r="AR61" i="11"/>
  <c r="AQ60" i="11"/>
  <c r="AO60" i="11"/>
  <c r="AP60" i="11"/>
  <c r="AR60" i="11"/>
  <c r="AQ59" i="11"/>
  <c r="AO59" i="11"/>
  <c r="AP59" i="11"/>
  <c r="AR59" i="11"/>
  <c r="AQ46" i="11"/>
  <c r="AO46" i="11"/>
  <c r="AR46" i="11"/>
  <c r="AP46" i="11"/>
  <c r="AQ44" i="11"/>
  <c r="AO44" i="11"/>
  <c r="AR44" i="11"/>
  <c r="AP44" i="11"/>
  <c r="AQ40" i="11"/>
  <c r="AO40" i="11"/>
  <c r="AR40" i="11"/>
  <c r="AP40" i="11"/>
  <c r="AV35" i="11"/>
  <c r="AT35" i="11"/>
  <c r="AN35" i="11"/>
  <c r="AL35" i="11"/>
  <c r="AU35" i="11"/>
  <c r="AS35" i="11"/>
  <c r="AK35" i="11"/>
  <c r="X34" i="11"/>
  <c r="AL18" i="11" s="1"/>
  <c r="Z33" i="11"/>
  <c r="AJ18" i="11"/>
  <c r="AR36" i="11"/>
  <c r="AP36" i="11"/>
  <c r="AQ36" i="11"/>
  <c r="AO36" i="11"/>
  <c r="AA33" i="8"/>
  <c r="AI35" i="8"/>
  <c r="AI36" i="8"/>
  <c r="AI37" i="8"/>
  <c r="AI38" i="8"/>
  <c r="AI39" i="8"/>
  <c r="AI40" i="8"/>
  <c r="AI41" i="8"/>
  <c r="AI42" i="8"/>
  <c r="AI43" i="8"/>
  <c r="AI44" i="8"/>
  <c r="AI45" i="8"/>
  <c r="AI46" i="8"/>
  <c r="AI47" i="8"/>
  <c r="AI48" i="8"/>
  <c r="AI49" i="8"/>
  <c r="AI50" i="8"/>
  <c r="AI51" i="8"/>
  <c r="AI52" i="8"/>
  <c r="AI53" i="8"/>
  <c r="AI54" i="8"/>
  <c r="AI55" i="8"/>
  <c r="AI56" i="8"/>
  <c r="AI57" i="8"/>
  <c r="AI58" i="8"/>
  <c r="AI59" i="8"/>
  <c r="AI60" i="8"/>
  <c r="AI61" i="8"/>
  <c r="AI62" i="8"/>
  <c r="AI63" i="8"/>
  <c r="AI64" i="8"/>
  <c r="AI65" i="8"/>
  <c r="AI66" i="8"/>
  <c r="AI67" i="8"/>
  <c r="AI68" i="8"/>
  <c r="AI69" i="8"/>
  <c r="AI70" i="8"/>
  <c r="AI71" i="8"/>
  <c r="AI72" i="8"/>
  <c r="AI73" i="8"/>
  <c r="AI74" i="8"/>
  <c r="AI75" i="8"/>
  <c r="AI76" i="8"/>
  <c r="AI77" i="8"/>
  <c r="AI78" i="8"/>
  <c r="AI79" i="8"/>
  <c r="AI80" i="8"/>
  <c r="AI81" i="8"/>
  <c r="AI82" i="8"/>
  <c r="AI83" i="8"/>
  <c r="AI84" i="8"/>
  <c r="AI34" i="8"/>
  <c r="W44" i="8"/>
  <c r="W35" i="8"/>
  <c r="X40" i="11" l="1"/>
  <c r="AQ37" i="11"/>
  <c r="AO37" i="11"/>
  <c r="AR37" i="11"/>
  <c r="AP37" i="11"/>
  <c r="AR34" i="11"/>
  <c r="AP34" i="11"/>
  <c r="AQ34" i="11"/>
  <c r="AO34" i="11"/>
  <c r="AR35" i="11"/>
  <c r="AP35" i="11"/>
  <c r="AQ35" i="11"/>
  <c r="AO35" i="11"/>
  <c r="AJ31" i="11"/>
  <c r="AC23" i="8"/>
  <c r="AM35" i="8"/>
  <c r="AM36" i="8"/>
  <c r="AM37" i="8"/>
  <c r="AM38" i="8"/>
  <c r="AM39" i="8"/>
  <c r="AM40" i="8"/>
  <c r="AM41" i="8"/>
  <c r="AM42" i="8"/>
  <c r="AM43" i="8"/>
  <c r="AM44" i="8"/>
  <c r="AM45" i="8"/>
  <c r="AM46" i="8"/>
  <c r="AM47" i="8"/>
  <c r="AM48" i="8"/>
  <c r="AM49" i="8"/>
  <c r="AM50" i="8"/>
  <c r="AM51" i="8"/>
  <c r="AM52" i="8"/>
  <c r="AM53" i="8"/>
  <c r="AM54" i="8"/>
  <c r="AM55" i="8"/>
  <c r="AM56" i="8"/>
  <c r="AM57" i="8"/>
  <c r="AM58" i="8"/>
  <c r="AM59" i="8"/>
  <c r="AM60" i="8"/>
  <c r="AM61" i="8"/>
  <c r="AM62" i="8"/>
  <c r="AM63" i="8"/>
  <c r="AM64" i="8"/>
  <c r="AM65" i="8"/>
  <c r="AM66" i="8"/>
  <c r="AM67" i="8"/>
  <c r="AM68" i="8"/>
  <c r="AM69" i="8"/>
  <c r="AM70" i="8"/>
  <c r="AM71" i="8"/>
  <c r="AM72" i="8"/>
  <c r="AM73" i="8"/>
  <c r="AM74" i="8"/>
  <c r="AM75" i="8"/>
  <c r="AM76" i="8"/>
  <c r="AM77" i="8"/>
  <c r="AM78" i="8"/>
  <c r="AM79" i="8"/>
  <c r="AM80" i="8"/>
  <c r="AM81" i="8"/>
  <c r="AM82" i="8"/>
  <c r="AM83" i="8"/>
  <c r="AM84" i="8"/>
  <c r="AM34" i="8"/>
  <c r="AJ66" i="8"/>
  <c r="AJ67" i="8"/>
  <c r="AJ68" i="8"/>
  <c r="AJ69" i="8"/>
  <c r="AJ70" i="8"/>
  <c r="AJ71" i="8"/>
  <c r="AJ72" i="8"/>
  <c r="AJ73" i="8"/>
  <c r="AJ74" i="8"/>
  <c r="AJ75" i="8"/>
  <c r="AJ76" i="8"/>
  <c r="AJ77" i="8"/>
  <c r="AJ78" i="8"/>
  <c r="AJ79" i="8"/>
  <c r="AJ80" i="8"/>
  <c r="AJ81" i="8"/>
  <c r="AJ82" i="8"/>
  <c r="AJ83" i="8"/>
  <c r="AJ84" i="8"/>
  <c r="BJ18" i="8"/>
  <c r="BI18" i="8"/>
  <c r="BH18" i="8"/>
  <c r="BG18" i="8"/>
  <c r="BF18" i="8"/>
  <c r="BE18" i="8"/>
  <c r="BD18" i="8"/>
  <c r="BC18" i="8"/>
  <c r="BB18" i="8"/>
  <c r="BA18" i="8"/>
  <c r="AZ18" i="8"/>
  <c r="AY18" i="8"/>
  <c r="AF18" i="8"/>
  <c r="AE18" i="8"/>
  <c r="AD18" i="8"/>
  <c r="AC18" i="8"/>
  <c r="AC21" i="8" s="1"/>
  <c r="V42" i="8"/>
  <c r="T42" i="8"/>
  <c r="S42" i="8" s="1"/>
  <c r="V33" i="8"/>
  <c r="T33" i="8"/>
  <c r="AE35" i="8"/>
  <c r="AF35" i="8"/>
  <c r="AD36" i="8"/>
  <c r="AF36" i="8"/>
  <c r="AG36" i="8"/>
  <c r="AH36" i="8"/>
  <c r="AE37" i="8"/>
  <c r="AG37" i="8"/>
  <c r="AH37" i="8"/>
  <c r="AD38" i="8"/>
  <c r="AE38" i="8"/>
  <c r="AF38" i="8"/>
  <c r="AG38" i="8"/>
  <c r="AH38" i="8"/>
  <c r="AE39" i="8"/>
  <c r="AH39" i="8"/>
  <c r="AE40" i="8"/>
  <c r="AF40" i="8"/>
  <c r="AG40" i="8"/>
  <c r="AH40" i="8"/>
  <c r="AE41" i="8"/>
  <c r="AF41" i="8"/>
  <c r="AG41" i="8"/>
  <c r="AH41" i="8"/>
  <c r="AD42" i="8"/>
  <c r="AE42" i="8"/>
  <c r="AF42" i="8"/>
  <c r="AG42" i="8"/>
  <c r="AH42" i="8"/>
  <c r="AE43" i="8"/>
  <c r="AF43" i="8"/>
  <c r="AH43" i="8"/>
  <c r="AE44" i="8"/>
  <c r="AF44" i="8"/>
  <c r="AG44" i="8"/>
  <c r="AH44" i="8"/>
  <c r="AE45" i="8"/>
  <c r="AF45" i="8"/>
  <c r="AG45" i="8"/>
  <c r="AH45" i="8"/>
  <c r="AE46" i="8"/>
  <c r="AF46" i="8"/>
  <c r="AH46" i="8"/>
  <c r="AD47" i="8"/>
  <c r="AE47" i="8"/>
  <c r="AF47" i="8"/>
  <c r="AG47" i="8"/>
  <c r="AH47" i="8"/>
  <c r="AD48" i="8"/>
  <c r="AE48" i="8"/>
  <c r="AF48" i="8"/>
  <c r="AG48" i="8"/>
  <c r="AE49" i="8"/>
  <c r="AF49" i="8"/>
  <c r="AH49" i="8"/>
  <c r="AE50" i="8"/>
  <c r="AF50" i="8"/>
  <c r="AG50" i="8"/>
  <c r="AH50" i="8"/>
  <c r="AD51" i="8"/>
  <c r="AE51" i="8"/>
  <c r="AF51" i="8"/>
  <c r="AG51" i="8"/>
  <c r="AH51" i="8"/>
  <c r="AD52" i="8"/>
  <c r="AE52" i="8"/>
  <c r="AF52" i="8"/>
  <c r="AG52" i="8"/>
  <c r="AH52" i="8"/>
  <c r="AD53" i="8"/>
  <c r="AE53" i="8"/>
  <c r="AF53" i="8"/>
  <c r="AG53" i="8"/>
  <c r="AH53" i="8"/>
  <c r="AE54" i="8"/>
  <c r="AF54" i="8"/>
  <c r="AG54" i="8"/>
  <c r="AH54" i="8"/>
  <c r="AD55" i="8"/>
  <c r="AE55" i="8"/>
  <c r="AF55" i="8"/>
  <c r="AG55" i="8"/>
  <c r="AH55" i="8"/>
  <c r="AD56" i="8"/>
  <c r="AE56" i="8"/>
  <c r="AF56" i="8"/>
  <c r="AG56" i="8"/>
  <c r="AH56" i="8"/>
  <c r="AE57" i="8"/>
  <c r="AF57" i="8"/>
  <c r="AG57" i="8"/>
  <c r="AH57" i="8"/>
  <c r="AD58" i="8"/>
  <c r="AE58" i="8"/>
  <c r="AF58" i="8"/>
  <c r="AG58" i="8"/>
  <c r="AH58" i="8"/>
  <c r="AE59" i="8"/>
  <c r="AF59" i="8"/>
  <c r="AG59" i="8"/>
  <c r="AH59" i="8"/>
  <c r="AD60" i="8"/>
  <c r="AE60" i="8"/>
  <c r="AF60" i="8"/>
  <c r="AG60" i="8"/>
  <c r="AH60" i="8"/>
  <c r="AE61" i="8"/>
  <c r="AF61" i="8"/>
  <c r="AG61" i="8"/>
  <c r="AH61" i="8"/>
  <c r="AD62" i="8"/>
  <c r="AF62" i="8"/>
  <c r="AG62" i="8"/>
  <c r="AH62" i="8"/>
  <c r="AE63" i="8"/>
  <c r="AF63" i="8"/>
  <c r="AG63" i="8"/>
  <c r="AH63" i="8"/>
  <c r="AD64" i="8"/>
  <c r="AE64" i="8"/>
  <c r="AF64" i="8"/>
  <c r="AG64" i="8"/>
  <c r="AH64" i="8"/>
  <c r="AD65" i="8"/>
  <c r="AE65" i="8"/>
  <c r="AF65" i="8"/>
  <c r="AG65" i="8"/>
  <c r="AH65" i="8"/>
  <c r="AD66" i="8"/>
  <c r="AE66" i="8"/>
  <c r="AF66" i="8"/>
  <c r="AG66" i="8"/>
  <c r="AH66" i="8"/>
  <c r="AD67" i="8"/>
  <c r="AE67" i="8"/>
  <c r="AF67" i="8"/>
  <c r="AG67" i="8"/>
  <c r="AH67" i="8"/>
  <c r="AD68" i="8"/>
  <c r="AE68" i="8"/>
  <c r="AF68" i="8"/>
  <c r="AG68" i="8"/>
  <c r="AH68" i="8"/>
  <c r="AD69" i="8"/>
  <c r="AE69" i="8"/>
  <c r="AF69" i="8"/>
  <c r="AG69" i="8"/>
  <c r="AH69" i="8"/>
  <c r="AD70" i="8"/>
  <c r="AE70" i="8"/>
  <c r="AF70" i="8"/>
  <c r="AG70" i="8"/>
  <c r="AH70" i="8"/>
  <c r="AD71" i="8"/>
  <c r="AE71" i="8"/>
  <c r="AF71" i="8"/>
  <c r="AG71" i="8"/>
  <c r="AH71" i="8"/>
  <c r="AD72" i="8"/>
  <c r="AE72" i="8"/>
  <c r="AF72" i="8"/>
  <c r="AG72" i="8"/>
  <c r="AH72" i="8"/>
  <c r="AD73" i="8"/>
  <c r="AE73" i="8"/>
  <c r="AF73" i="8"/>
  <c r="AG73" i="8"/>
  <c r="AH73" i="8"/>
  <c r="AD74" i="8"/>
  <c r="AE74" i="8"/>
  <c r="AF74" i="8"/>
  <c r="AG74" i="8"/>
  <c r="AH74" i="8"/>
  <c r="AD75" i="8"/>
  <c r="AE75" i="8"/>
  <c r="AF75" i="8"/>
  <c r="AG75" i="8"/>
  <c r="AH75" i="8"/>
  <c r="AD76" i="8"/>
  <c r="AE76" i="8"/>
  <c r="AF76" i="8"/>
  <c r="AG76" i="8"/>
  <c r="AH76" i="8"/>
  <c r="AD77" i="8"/>
  <c r="AE77" i="8"/>
  <c r="AF77" i="8"/>
  <c r="AG77" i="8"/>
  <c r="AH77" i="8"/>
  <c r="AD78" i="8"/>
  <c r="AE78" i="8"/>
  <c r="AF78" i="8"/>
  <c r="AG78" i="8"/>
  <c r="AH78" i="8"/>
  <c r="AD79" i="8"/>
  <c r="AE79" i="8"/>
  <c r="AF79" i="8"/>
  <c r="AG79" i="8"/>
  <c r="AH79" i="8"/>
  <c r="AD80" i="8"/>
  <c r="AE80" i="8"/>
  <c r="AF80" i="8"/>
  <c r="AG80" i="8"/>
  <c r="AH80" i="8"/>
  <c r="AD81" i="8"/>
  <c r="AE81" i="8"/>
  <c r="AF81" i="8"/>
  <c r="AG81" i="8"/>
  <c r="AH81" i="8"/>
  <c r="AD82" i="8"/>
  <c r="AE82" i="8"/>
  <c r="AF82" i="8"/>
  <c r="AG82" i="8"/>
  <c r="AH82" i="8"/>
  <c r="AD83" i="8"/>
  <c r="AE83" i="8"/>
  <c r="AF83" i="8"/>
  <c r="AG83" i="8"/>
  <c r="AH83" i="8"/>
  <c r="AD84" i="8"/>
  <c r="AE84" i="8"/>
  <c r="AF84" i="8"/>
  <c r="AG84" i="8"/>
  <c r="AH84" i="8"/>
  <c r="AG34" i="8"/>
  <c r="AF34" i="8"/>
  <c r="AE34" i="8"/>
  <c r="U55" i="8"/>
  <c r="AT18" i="8" s="1"/>
  <c r="U56" i="8"/>
  <c r="AU18" i="8" s="1"/>
  <c r="U57" i="8"/>
  <c r="AV18" i="8" s="1"/>
  <c r="U58" i="8"/>
  <c r="AW18" i="8" s="1"/>
  <c r="U54" i="8"/>
  <c r="AS18" i="8" s="1"/>
  <c r="Z34" i="8"/>
  <c r="P32" i="8"/>
  <c r="Q32" i="8"/>
  <c r="O32" i="8"/>
  <c r="S31" i="8"/>
  <c r="S30" i="8"/>
  <c r="N30" i="8"/>
  <c r="P35" i="8"/>
  <c r="AC35" i="8" s="1"/>
  <c r="Q35" i="8"/>
  <c r="AG35" i="8" s="1"/>
  <c r="P36" i="8"/>
  <c r="K36" i="8" s="1"/>
  <c r="Q36" i="8"/>
  <c r="AE36" i="8" s="1"/>
  <c r="P37" i="8"/>
  <c r="AC37" i="8" s="1"/>
  <c r="Q37" i="8"/>
  <c r="AF37" i="8" s="1"/>
  <c r="P38" i="8"/>
  <c r="AC38" i="8" s="1"/>
  <c r="Q38" i="8"/>
  <c r="P39" i="8"/>
  <c r="K39" i="8" s="1"/>
  <c r="Q39" i="8"/>
  <c r="AG39" i="8" s="1"/>
  <c r="P40" i="8"/>
  <c r="AC40" i="8" s="1"/>
  <c r="Q40" i="8"/>
  <c r="AD40" i="8" s="1"/>
  <c r="P41" i="8"/>
  <c r="K41" i="8" s="1"/>
  <c r="Q41" i="8"/>
  <c r="AD41" i="8" s="1"/>
  <c r="P42" i="8"/>
  <c r="AC42" i="8" s="1"/>
  <c r="Q42" i="8"/>
  <c r="P43" i="8"/>
  <c r="K43" i="8" s="1"/>
  <c r="Q43" i="8"/>
  <c r="AD43" i="8" s="1"/>
  <c r="P44" i="8"/>
  <c r="K44" i="8" s="1"/>
  <c r="Q44" i="8"/>
  <c r="AD44" i="8" s="1"/>
  <c r="P45" i="8"/>
  <c r="K45" i="8" s="1"/>
  <c r="Q45" i="8"/>
  <c r="AD45" i="8" s="1"/>
  <c r="P46" i="8"/>
  <c r="K46" i="8" s="1"/>
  <c r="Q46" i="8"/>
  <c r="AG46" i="8" s="1"/>
  <c r="P47" i="8"/>
  <c r="K47" i="8" s="1"/>
  <c r="Q47" i="8"/>
  <c r="P48" i="8"/>
  <c r="AC48" i="8" s="1"/>
  <c r="Q48" i="8"/>
  <c r="AH48" i="8" s="1"/>
  <c r="P49" i="8"/>
  <c r="K49" i="8" s="1"/>
  <c r="Q49" i="8"/>
  <c r="AD49" i="8" s="1"/>
  <c r="P50" i="8"/>
  <c r="AC50" i="8" s="1"/>
  <c r="Q50" i="8"/>
  <c r="AD50" i="8" s="1"/>
  <c r="P51" i="8"/>
  <c r="K51" i="8" s="1"/>
  <c r="Q51" i="8"/>
  <c r="P52" i="8"/>
  <c r="K52" i="8" s="1"/>
  <c r="Q52" i="8"/>
  <c r="P53" i="8"/>
  <c r="K53" i="8" s="1"/>
  <c r="Q53" i="8"/>
  <c r="P54" i="8"/>
  <c r="AC54" i="8" s="1"/>
  <c r="Q54" i="8"/>
  <c r="AD54" i="8" s="1"/>
  <c r="P55" i="8"/>
  <c r="K55" i="8" s="1"/>
  <c r="Q55" i="8"/>
  <c r="P56" i="8"/>
  <c r="AC56" i="8" s="1"/>
  <c r="Q56" i="8"/>
  <c r="P57" i="8"/>
  <c r="AC57" i="8" s="1"/>
  <c r="Q57" i="8"/>
  <c r="AD57" i="8" s="1"/>
  <c r="P58" i="8"/>
  <c r="K58" i="8" s="1"/>
  <c r="Q58" i="8"/>
  <c r="P59" i="8"/>
  <c r="K59" i="8" s="1"/>
  <c r="Q59" i="8"/>
  <c r="AD59" i="8" s="1"/>
  <c r="P60" i="8"/>
  <c r="K60" i="8" s="1"/>
  <c r="Q60" i="8"/>
  <c r="P61" i="8"/>
  <c r="AC61" i="8" s="1"/>
  <c r="Q61" i="8"/>
  <c r="AD61" i="8" s="1"/>
  <c r="P62" i="8"/>
  <c r="AC62" i="8" s="1"/>
  <c r="Q62" i="8"/>
  <c r="AE62" i="8" s="1"/>
  <c r="P63" i="8"/>
  <c r="AC63" i="8" s="1"/>
  <c r="Q63" i="8"/>
  <c r="AD63" i="8" s="1"/>
  <c r="P64" i="8"/>
  <c r="AC64" i="8" s="1"/>
  <c r="Q64" i="8"/>
  <c r="P65" i="8"/>
  <c r="K65" i="8" s="1"/>
  <c r="Q65" i="8"/>
  <c r="P66" i="8"/>
  <c r="AC66" i="8" s="1"/>
  <c r="Q66" i="8"/>
  <c r="P67" i="8"/>
  <c r="AC67" i="8" s="1"/>
  <c r="Q67" i="8"/>
  <c r="P68" i="8"/>
  <c r="AC68" i="8" s="1"/>
  <c r="Q68" i="8"/>
  <c r="P69" i="8"/>
  <c r="AC69" i="8" s="1"/>
  <c r="Q69" i="8"/>
  <c r="P70" i="8"/>
  <c r="AC70" i="8" s="1"/>
  <c r="Q70" i="8"/>
  <c r="P71" i="8"/>
  <c r="AC71" i="8" s="1"/>
  <c r="Q71" i="8"/>
  <c r="P72" i="8"/>
  <c r="K72" i="8" s="1"/>
  <c r="Q72" i="8"/>
  <c r="P73" i="8"/>
  <c r="K73" i="8" s="1"/>
  <c r="Q73" i="8"/>
  <c r="P74" i="8"/>
  <c r="L74" i="8" s="1"/>
  <c r="Q74" i="8"/>
  <c r="P75" i="8"/>
  <c r="AC75" i="8" s="1"/>
  <c r="Q75" i="8"/>
  <c r="P76" i="8"/>
  <c r="AC76" i="8" s="1"/>
  <c r="Q76" i="8"/>
  <c r="P77" i="8"/>
  <c r="AC77" i="8" s="1"/>
  <c r="Q77" i="8"/>
  <c r="P78" i="8"/>
  <c r="AC78" i="8" s="1"/>
  <c r="Q78" i="8"/>
  <c r="P79" i="8"/>
  <c r="AC79" i="8" s="1"/>
  <c r="Q79" i="8"/>
  <c r="P80" i="8"/>
  <c r="K80" i="8" s="1"/>
  <c r="Q80" i="8"/>
  <c r="P81" i="8"/>
  <c r="K81" i="8" s="1"/>
  <c r="Q81" i="8"/>
  <c r="P82" i="8"/>
  <c r="K82" i="8" s="1"/>
  <c r="Q82" i="8"/>
  <c r="P83" i="8"/>
  <c r="AC83" i="8" s="1"/>
  <c r="Q83" i="8"/>
  <c r="P84" i="8"/>
  <c r="AC84" i="8" s="1"/>
  <c r="Q84" i="8"/>
  <c r="Q34" i="8"/>
  <c r="AH34" i="8" s="1"/>
  <c r="P34" i="8"/>
  <c r="K34" i="8" s="1"/>
  <c r="AN62" i="6"/>
  <c r="AN70" i="6"/>
  <c r="AN94" i="6"/>
  <c r="AA62" i="6"/>
  <c r="AA63" i="6"/>
  <c r="AN63" i="6" s="1"/>
  <c r="AA64" i="6"/>
  <c r="AN64" i="6" s="1"/>
  <c r="AA65" i="6"/>
  <c r="AA66" i="6"/>
  <c r="AN66" i="6" s="1"/>
  <c r="AA67" i="6"/>
  <c r="AA68" i="6"/>
  <c r="AN68" i="6" s="1"/>
  <c r="AA69" i="6"/>
  <c r="AA70" i="6"/>
  <c r="AA71" i="6"/>
  <c r="AN71" i="6" s="1"/>
  <c r="AA72" i="6"/>
  <c r="AA73" i="6"/>
  <c r="AN73" i="6" s="1"/>
  <c r="AA74" i="6"/>
  <c r="AA75" i="6"/>
  <c r="AN75" i="6" s="1"/>
  <c r="AA76" i="6"/>
  <c r="AN76" i="6" s="1"/>
  <c r="AA77" i="6"/>
  <c r="AN77" i="6" s="1"/>
  <c r="AA78" i="6"/>
  <c r="AN78" i="6" s="1"/>
  <c r="AA79" i="6"/>
  <c r="AA80" i="6"/>
  <c r="AA81" i="6"/>
  <c r="AN81" i="6" s="1"/>
  <c r="AA82" i="6"/>
  <c r="AN82" i="6" s="1"/>
  <c r="AA83" i="6"/>
  <c r="AN83" i="6" s="1"/>
  <c r="AA84" i="6"/>
  <c r="AA85" i="6"/>
  <c r="AN85" i="6" s="1"/>
  <c r="AA86" i="6"/>
  <c r="AN86" i="6" s="1"/>
  <c r="AA87" i="6"/>
  <c r="AN87" i="6" s="1"/>
  <c r="AA88" i="6"/>
  <c r="AA89" i="6"/>
  <c r="AN89" i="6" s="1"/>
  <c r="AA90" i="6"/>
  <c r="AN90" i="6" s="1"/>
  <c r="AA91" i="6"/>
  <c r="AN91" i="6" s="1"/>
  <c r="AA92" i="6"/>
  <c r="AN92" i="6" s="1"/>
  <c r="AA93" i="6"/>
  <c r="AN93" i="6" s="1"/>
  <c r="AA94" i="6"/>
  <c r="AA95" i="6"/>
  <c r="AD46" i="8" l="1"/>
  <c r="AG43" i="8"/>
  <c r="AD37" i="8"/>
  <c r="AD39" i="8"/>
  <c r="AH35" i="8"/>
  <c r="V58" i="8" s="1"/>
  <c r="AQ18" i="8" s="1"/>
  <c r="AG49" i="8"/>
  <c r="V57" i="8" s="1"/>
  <c r="AP18" i="8" s="1"/>
  <c r="AJ65" i="8"/>
  <c r="AV65" i="8" s="1"/>
  <c r="AD35" i="8"/>
  <c r="AN76" i="8"/>
  <c r="AU76" i="8"/>
  <c r="AT76" i="8"/>
  <c r="AV76" i="8"/>
  <c r="AL83" i="8"/>
  <c r="AU83" i="8"/>
  <c r="AT83" i="8"/>
  <c r="AV83" i="8"/>
  <c r="AL75" i="8"/>
  <c r="AU75" i="8"/>
  <c r="AT75" i="8"/>
  <c r="AV75" i="8"/>
  <c r="AL67" i="8"/>
  <c r="AU67" i="8"/>
  <c r="AT67" i="8"/>
  <c r="AV67" i="8"/>
  <c r="AN79" i="8"/>
  <c r="AT79" i="8"/>
  <c r="AV79" i="8"/>
  <c r="AU79" i="8"/>
  <c r="AN70" i="8"/>
  <c r="AV70" i="8"/>
  <c r="AT70" i="8"/>
  <c r="AU70" i="8"/>
  <c r="AS69" i="8"/>
  <c r="AV69" i="8"/>
  <c r="AU69" i="8"/>
  <c r="AT69" i="8"/>
  <c r="AN84" i="8"/>
  <c r="AU84" i="8"/>
  <c r="AV84" i="8"/>
  <c r="AT84" i="8"/>
  <c r="AN68" i="8"/>
  <c r="AU68" i="8"/>
  <c r="AT68" i="8"/>
  <c r="AV68" i="8"/>
  <c r="AL82" i="8"/>
  <c r="AU82" i="8"/>
  <c r="AT82" i="8"/>
  <c r="AV82" i="8"/>
  <c r="AL74" i="8"/>
  <c r="AU74" i="8"/>
  <c r="AT74" i="8"/>
  <c r="AV74" i="8"/>
  <c r="AL66" i="8"/>
  <c r="AU66" i="8"/>
  <c r="AT66" i="8"/>
  <c r="AV66" i="8"/>
  <c r="AN78" i="8"/>
  <c r="AV78" i="8"/>
  <c r="AU78" i="8"/>
  <c r="AT78" i="8"/>
  <c r="AS77" i="8"/>
  <c r="AV77" i="8"/>
  <c r="AU77" i="8"/>
  <c r="AT77" i="8"/>
  <c r="AT81" i="8"/>
  <c r="AV81" i="8"/>
  <c r="AU81" i="8"/>
  <c r="AT73" i="8"/>
  <c r="AU73" i="8"/>
  <c r="AV73" i="8"/>
  <c r="AN80" i="8"/>
  <c r="AT80" i="8"/>
  <c r="AV80" i="8"/>
  <c r="AU80" i="8"/>
  <c r="AN72" i="8"/>
  <c r="AT72" i="8"/>
  <c r="AV72" i="8"/>
  <c r="AU72" i="8"/>
  <c r="AN71" i="8"/>
  <c r="AT71" i="8"/>
  <c r="AV71" i="8"/>
  <c r="AU71" i="8"/>
  <c r="AD34" i="8"/>
  <c r="AF39" i="8"/>
  <c r="V56" i="8" s="1"/>
  <c r="AO18" i="8" s="1"/>
  <c r="K71" i="8"/>
  <c r="K74" i="8"/>
  <c r="AC82" i="8"/>
  <c r="K66" i="8"/>
  <c r="AC74" i="8"/>
  <c r="K54" i="8"/>
  <c r="L82" i="8"/>
  <c r="AC55" i="8"/>
  <c r="AC47" i="8"/>
  <c r="K79" i="8"/>
  <c r="V55" i="8"/>
  <c r="AN18" i="8" s="1"/>
  <c r="AK69" i="8"/>
  <c r="AP69" i="8" s="1"/>
  <c r="AK77" i="8"/>
  <c r="AP77" i="8" s="1"/>
  <c r="AL71" i="8"/>
  <c r="AL72" i="8"/>
  <c r="AS84" i="8"/>
  <c r="AL68" i="8"/>
  <c r="AS68" i="8"/>
  <c r="AK76" i="8"/>
  <c r="AR76" i="8" s="1"/>
  <c r="AS76" i="8"/>
  <c r="AK68" i="8"/>
  <c r="AR68" i="8" s="1"/>
  <c r="AJ57" i="8"/>
  <c r="AL84" i="8"/>
  <c r="AJ49" i="8"/>
  <c r="AL80" i="8"/>
  <c r="AJ41" i="8"/>
  <c r="AL79" i="8"/>
  <c r="AN77" i="8"/>
  <c r="AK84" i="8"/>
  <c r="AR84" i="8" s="1"/>
  <c r="AL76" i="8"/>
  <c r="AN69" i="8"/>
  <c r="AL81" i="8"/>
  <c r="AK81" i="8"/>
  <c r="AN81" i="8"/>
  <c r="AS81" i="8"/>
  <c r="AL73" i="8"/>
  <c r="AN73" i="8"/>
  <c r="AS73" i="8"/>
  <c r="AK73" i="8"/>
  <c r="AJ64" i="8"/>
  <c r="AJ56" i="8"/>
  <c r="AJ48" i="8"/>
  <c r="AJ40" i="8"/>
  <c r="AK83" i="8"/>
  <c r="AK75" i="8"/>
  <c r="AK67" i="8"/>
  <c r="AL78" i="8"/>
  <c r="AL70" i="8"/>
  <c r="AS83" i="8"/>
  <c r="AS75" i="8"/>
  <c r="AS67" i="8"/>
  <c r="AJ63" i="8"/>
  <c r="AJ55" i="8"/>
  <c r="AJ47" i="8"/>
  <c r="AJ39" i="8"/>
  <c r="AK82" i="8"/>
  <c r="AK74" i="8"/>
  <c r="AL77" i="8"/>
  <c r="AL69" i="8"/>
  <c r="AN83" i="8"/>
  <c r="AN75" i="8"/>
  <c r="AN67" i="8"/>
  <c r="AS82" i="8"/>
  <c r="AS74" i="8"/>
  <c r="AS66" i="8"/>
  <c r="AJ54" i="8"/>
  <c r="AJ38" i="8"/>
  <c r="AN82" i="8"/>
  <c r="AN74" i="8"/>
  <c r="AN66" i="8"/>
  <c r="AJ34" i="8"/>
  <c r="AJ61" i="8"/>
  <c r="AJ53" i="8"/>
  <c r="AJ45" i="8"/>
  <c r="AJ37" i="8"/>
  <c r="AK80" i="8"/>
  <c r="AK72" i="8"/>
  <c r="AS80" i="8"/>
  <c r="AS72" i="8"/>
  <c r="AJ62" i="8"/>
  <c r="AJ46" i="8"/>
  <c r="AJ60" i="8"/>
  <c r="AJ52" i="8"/>
  <c r="AJ44" i="8"/>
  <c r="AJ36" i="8"/>
  <c r="AK79" i="8"/>
  <c r="AK71" i="8"/>
  <c r="AS79" i="8"/>
  <c r="AS71" i="8"/>
  <c r="AJ59" i="8"/>
  <c r="AJ51" i="8"/>
  <c r="AJ43" i="8"/>
  <c r="AJ35" i="8"/>
  <c r="AK78" i="8"/>
  <c r="AK70" i="8"/>
  <c r="AS78" i="8"/>
  <c r="AS70" i="8"/>
  <c r="AJ58" i="8"/>
  <c r="AJ50" i="8"/>
  <c r="AJ42" i="8"/>
  <c r="K78" i="8"/>
  <c r="K70" i="8"/>
  <c r="K50" i="8"/>
  <c r="L81" i="8"/>
  <c r="L73" i="8"/>
  <c r="AC46" i="8"/>
  <c r="AC81" i="8"/>
  <c r="AC73" i="8"/>
  <c r="AC65" i="8"/>
  <c r="K77" i="8"/>
  <c r="K69" i="8"/>
  <c r="K48" i="8"/>
  <c r="L80" i="8"/>
  <c r="L72" i="8"/>
  <c r="AC53" i="8"/>
  <c r="AC45" i="8"/>
  <c r="AC80" i="8"/>
  <c r="AC72" i="8"/>
  <c r="K84" i="8"/>
  <c r="K76" i="8"/>
  <c r="K68" i="8"/>
  <c r="L79" i="8"/>
  <c r="L71" i="8"/>
  <c r="AC60" i="8"/>
  <c r="AC52" i="8"/>
  <c r="AC44" i="8"/>
  <c r="K83" i="8"/>
  <c r="K75" i="8"/>
  <c r="K67" i="8"/>
  <c r="K42" i="8"/>
  <c r="L78" i="8"/>
  <c r="L70" i="8"/>
  <c r="AC59" i="8"/>
  <c r="AC51" i="8"/>
  <c r="AC43" i="8"/>
  <c r="K40" i="8"/>
  <c r="L77" i="8"/>
  <c r="L69" i="8"/>
  <c r="AC58" i="8"/>
  <c r="L84" i="8"/>
  <c r="L76" i="8"/>
  <c r="L68" i="8"/>
  <c r="AC49" i="8"/>
  <c r="AC41" i="8"/>
  <c r="L83" i="8"/>
  <c r="L75" i="8"/>
  <c r="L67" i="8"/>
  <c r="AG18" i="8"/>
  <c r="AC34" i="8"/>
  <c r="AC39" i="8"/>
  <c r="AC36" i="8"/>
  <c r="K64" i="8"/>
  <c r="K63" i="8"/>
  <c r="K61" i="8"/>
  <c r="K62" i="8"/>
  <c r="K56" i="8"/>
  <c r="K57" i="8"/>
  <c r="U53" i="8"/>
  <c r="AK18" i="8" s="1"/>
  <c r="V52" i="8"/>
  <c r="AH18" i="8" s="1"/>
  <c r="V53" i="8"/>
  <c r="AI18" i="8" s="1"/>
  <c r="U52" i="8"/>
  <c r="Z33" i="8" s="1"/>
  <c r="L34" i="8"/>
  <c r="K37" i="8"/>
  <c r="K35" i="8"/>
  <c r="K38" i="8"/>
  <c r="AN67" i="6"/>
  <c r="AN79" i="6"/>
  <c r="AN72" i="6"/>
  <c r="AN74" i="6"/>
  <c r="AN84" i="6"/>
  <c r="AN88" i="6"/>
  <c r="AN80" i="6"/>
  <c r="AN95" i="6"/>
  <c r="AN69" i="6"/>
  <c r="AN65" i="6"/>
  <c r="Q3" i="6"/>
  <c r="R3" i="6" s="1"/>
  <c r="AA3" i="6"/>
  <c r="AA4" i="6"/>
  <c r="AA5" i="6"/>
  <c r="AA6" i="6"/>
  <c r="AA7" i="6"/>
  <c r="AA8" i="6"/>
  <c r="AA9" i="6"/>
  <c r="AA10" i="6"/>
  <c r="AA11" i="6"/>
  <c r="AA12" i="6"/>
  <c r="AA13" i="6"/>
  <c r="AA14" i="6"/>
  <c r="AA15" i="6"/>
  <c r="AA16" i="6"/>
  <c r="AA17" i="6"/>
  <c r="AA18" i="6"/>
  <c r="AA19" i="6"/>
  <c r="AA20" i="6"/>
  <c r="AA21" i="6"/>
  <c r="AA22" i="6"/>
  <c r="AA23" i="6"/>
  <c r="AA24" i="6"/>
  <c r="AA25" i="6"/>
  <c r="AA26" i="6"/>
  <c r="AA27" i="6"/>
  <c r="AA28" i="6"/>
  <c r="AA29" i="6"/>
  <c r="AA30" i="6"/>
  <c r="AA31" i="6"/>
  <c r="AA32" i="6"/>
  <c r="AA33" i="6"/>
  <c r="AA34" i="6"/>
  <c r="AA35" i="6"/>
  <c r="AA36" i="6"/>
  <c r="AA37" i="6"/>
  <c r="AA38" i="6"/>
  <c r="AA39" i="6"/>
  <c r="AA40" i="6"/>
  <c r="AA41" i="6"/>
  <c r="AA42" i="6"/>
  <c r="AA43" i="6"/>
  <c r="AA44" i="6"/>
  <c r="AA45" i="6"/>
  <c r="AA46" i="6"/>
  <c r="AA47" i="6"/>
  <c r="AA48" i="6"/>
  <c r="AA49" i="6"/>
  <c r="AA50" i="6"/>
  <c r="AA51" i="6"/>
  <c r="AA52" i="6"/>
  <c r="AA53" i="6"/>
  <c r="AA54" i="6"/>
  <c r="AA55" i="6"/>
  <c r="AA56" i="6"/>
  <c r="AA57" i="6"/>
  <c r="AA58" i="6"/>
  <c r="AA59" i="6"/>
  <c r="AA60" i="6"/>
  <c r="AA61" i="6"/>
  <c r="AA96" i="6"/>
  <c r="AA97" i="6"/>
  <c r="AA98" i="6"/>
  <c r="AA99" i="6"/>
  <c r="AA100" i="6"/>
  <c r="AA101" i="6"/>
  <c r="AA102" i="6"/>
  <c r="AA103" i="6"/>
  <c r="AA104" i="6"/>
  <c r="AA105" i="6"/>
  <c r="AA106" i="6"/>
  <c r="AA107" i="6"/>
  <c r="AA108" i="6"/>
  <c r="AA109" i="6"/>
  <c r="AA110" i="6"/>
  <c r="AA111" i="6"/>
  <c r="AA112" i="6"/>
  <c r="AA113" i="6"/>
  <c r="AA114" i="6"/>
  <c r="AA115" i="6"/>
  <c r="AA116" i="6"/>
  <c r="AA117" i="6"/>
  <c r="AA118" i="6"/>
  <c r="AA119" i="6"/>
  <c r="AA120" i="6"/>
  <c r="AA121" i="6"/>
  <c r="AA122" i="6"/>
  <c r="AA123" i="6"/>
  <c r="AA124" i="6"/>
  <c r="AA125" i="6"/>
  <c r="AA126" i="6"/>
  <c r="AA127" i="6"/>
  <c r="AA128" i="6"/>
  <c r="AA129" i="6"/>
  <c r="AA130" i="6"/>
  <c r="AA131" i="6"/>
  <c r="AA132" i="6"/>
  <c r="AA133" i="6"/>
  <c r="AA134" i="6"/>
  <c r="AA135" i="6"/>
  <c r="AA136" i="6"/>
  <c r="AA137" i="6"/>
  <c r="AA138" i="6"/>
  <c r="AA139" i="6"/>
  <c r="AA140" i="6"/>
  <c r="AA141" i="6"/>
  <c r="AA142" i="6"/>
  <c r="AA143" i="6"/>
  <c r="AA144" i="6"/>
  <c r="AA145" i="6"/>
  <c r="AA146" i="6"/>
  <c r="AA147" i="6"/>
  <c r="AA148" i="6"/>
  <c r="AA149" i="6"/>
  <c r="AA150" i="6"/>
  <c r="AA151" i="6"/>
  <c r="AA152" i="6"/>
  <c r="AA153" i="6"/>
  <c r="AA154" i="6"/>
  <c r="AA155" i="6"/>
  <c r="AA156" i="6"/>
  <c r="AA157" i="6"/>
  <c r="AA158" i="6"/>
  <c r="AA159" i="6"/>
  <c r="AA160" i="6"/>
  <c r="AA161" i="6"/>
  <c r="AA162" i="6"/>
  <c r="AA163" i="6"/>
  <c r="AA164" i="6"/>
  <c r="AA165" i="6"/>
  <c r="AA166" i="6"/>
  <c r="AA167" i="6"/>
  <c r="AA168" i="6"/>
  <c r="AA169" i="6"/>
  <c r="AA170" i="6"/>
  <c r="AA171" i="6"/>
  <c r="AA172" i="6"/>
  <c r="AA173" i="6"/>
  <c r="AA174" i="6"/>
  <c r="AA175" i="6"/>
  <c r="AA176" i="6"/>
  <c r="AA177" i="6"/>
  <c r="AA178" i="6"/>
  <c r="AA179" i="6"/>
  <c r="AA180" i="6"/>
  <c r="AA181" i="6"/>
  <c r="AA182" i="6"/>
  <c r="AA183" i="6"/>
  <c r="AA184" i="6"/>
  <c r="AA185" i="6"/>
  <c r="AA186" i="6"/>
  <c r="AA187" i="6"/>
  <c r="AA188" i="6"/>
  <c r="AA189" i="6"/>
  <c r="AA190" i="6"/>
  <c r="AA191" i="6"/>
  <c r="AA192" i="6"/>
  <c r="AA193" i="6"/>
  <c r="AA194" i="6"/>
  <c r="AA195" i="6"/>
  <c r="AA196" i="6"/>
  <c r="AA197" i="6"/>
  <c r="AA198" i="6"/>
  <c r="AA199" i="6"/>
  <c r="AA200" i="6"/>
  <c r="AA201" i="6"/>
  <c r="AA202" i="6"/>
  <c r="AA203" i="6"/>
  <c r="AA204" i="6"/>
  <c r="AA205" i="6"/>
  <c r="AA206" i="6"/>
  <c r="AA207" i="6"/>
  <c r="AA208" i="6"/>
  <c r="AA209" i="6"/>
  <c r="AA210" i="6"/>
  <c r="AA211" i="6"/>
  <c r="AA212" i="6"/>
  <c r="AA213" i="6"/>
  <c r="AA214" i="6"/>
  <c r="AA215" i="6"/>
  <c r="AA216" i="6"/>
  <c r="AA217" i="6"/>
  <c r="AA218" i="6"/>
  <c r="AA219" i="6"/>
  <c r="AA220" i="6"/>
  <c r="AA221" i="6"/>
  <c r="AA222" i="6"/>
  <c r="AA223" i="6"/>
  <c r="AA224" i="6"/>
  <c r="AA225" i="6"/>
  <c r="AA226" i="6"/>
  <c r="AA227" i="6"/>
  <c r="AA228" i="6"/>
  <c r="AA229" i="6"/>
  <c r="AA230" i="6"/>
  <c r="AA231" i="6"/>
  <c r="AA232" i="6"/>
  <c r="AA233" i="6"/>
  <c r="AA234" i="6"/>
  <c r="AA235" i="6"/>
  <c r="AA236" i="6"/>
  <c r="AA237" i="6"/>
  <c r="AA238" i="6"/>
  <c r="AA239" i="6"/>
  <c r="AA240" i="6"/>
  <c r="AA241" i="6"/>
  <c r="AA242" i="6"/>
  <c r="AA243" i="6"/>
  <c r="AA244" i="6"/>
  <c r="AA245" i="6"/>
  <c r="AA246" i="6"/>
  <c r="AA247" i="6"/>
  <c r="AA248" i="6"/>
  <c r="AA249" i="6"/>
  <c r="AA250" i="6"/>
  <c r="AA251" i="6"/>
  <c r="AA252" i="6"/>
  <c r="AA253" i="6"/>
  <c r="AA254" i="6"/>
  <c r="AA255" i="6"/>
  <c r="AA256" i="6"/>
  <c r="AA257" i="6"/>
  <c r="AA258" i="6"/>
  <c r="AA259" i="6"/>
  <c r="AA260" i="6"/>
  <c r="AA261" i="6"/>
  <c r="AA262" i="6"/>
  <c r="AA263" i="6"/>
  <c r="AA264" i="6"/>
  <c r="AA265" i="6"/>
  <c r="AA266" i="6"/>
  <c r="AA267" i="6"/>
  <c r="AA268" i="6"/>
  <c r="AA269" i="6"/>
  <c r="AA270" i="6"/>
  <c r="AA271" i="6"/>
  <c r="AA272" i="6"/>
  <c r="AA273" i="6"/>
  <c r="AA274" i="6"/>
  <c r="AA275" i="6"/>
  <c r="AA276" i="6"/>
  <c r="AA277" i="6"/>
  <c r="AA278" i="6"/>
  <c r="AA279" i="6"/>
  <c r="AA280" i="6"/>
  <c r="AA281" i="6"/>
  <c r="AA282" i="6"/>
  <c r="AA283" i="6"/>
  <c r="AA284" i="6"/>
  <c r="AA285" i="6"/>
  <c r="AA286" i="6"/>
  <c r="AA287" i="6"/>
  <c r="AA288" i="6"/>
  <c r="AA289" i="6"/>
  <c r="AA290" i="6"/>
  <c r="AA291" i="6"/>
  <c r="AA292" i="6"/>
  <c r="AA293" i="6"/>
  <c r="AA294" i="6"/>
  <c r="AA295" i="6"/>
  <c r="AA296" i="6"/>
  <c r="AA297" i="6"/>
  <c r="AA298" i="6"/>
  <c r="AA299" i="6"/>
  <c r="AA300" i="6"/>
  <c r="AA301" i="6"/>
  <c r="AA302" i="6"/>
  <c r="AA303" i="6"/>
  <c r="AA304" i="6"/>
  <c r="AA305" i="6"/>
  <c r="AA306" i="6"/>
  <c r="AA307" i="6"/>
  <c r="AA308" i="6"/>
  <c r="AA309" i="6"/>
  <c r="AA310" i="6"/>
  <c r="AA311" i="6"/>
  <c r="AA312" i="6"/>
  <c r="AA313" i="6"/>
  <c r="AA314" i="6"/>
  <c r="AA315" i="6"/>
  <c r="AA316" i="6"/>
  <c r="AA317" i="6"/>
  <c r="AA318" i="6"/>
  <c r="AA319" i="6"/>
  <c r="AA320" i="6"/>
  <c r="AA321" i="6"/>
  <c r="AA322" i="6"/>
  <c r="AA323" i="6"/>
  <c r="AA324" i="6"/>
  <c r="AA325" i="6"/>
  <c r="AA326" i="6"/>
  <c r="AA327" i="6"/>
  <c r="AA328" i="6"/>
  <c r="AA329" i="6"/>
  <c r="AA330" i="6"/>
  <c r="AA331" i="6"/>
  <c r="AA332" i="6"/>
  <c r="AA333" i="6"/>
  <c r="AA334" i="6"/>
  <c r="AA335" i="6"/>
  <c r="AA336" i="6"/>
  <c r="AA337" i="6"/>
  <c r="AA338" i="6"/>
  <c r="AA339" i="6"/>
  <c r="AA340" i="6"/>
  <c r="AA341" i="6"/>
  <c r="AA342" i="6"/>
  <c r="AA343" i="6"/>
  <c r="AA344" i="6"/>
  <c r="AA345" i="6"/>
  <c r="AA346" i="6"/>
  <c r="AA347" i="6"/>
  <c r="AA348" i="6"/>
  <c r="AA349" i="6"/>
  <c r="AA350" i="6"/>
  <c r="AA351" i="6"/>
  <c r="AA352" i="6"/>
  <c r="AA353" i="6"/>
  <c r="AA354" i="6"/>
  <c r="AA355" i="6"/>
  <c r="AA356" i="6"/>
  <c r="AA357" i="6"/>
  <c r="AA358" i="6"/>
  <c r="AA359" i="6"/>
  <c r="AA360" i="6"/>
  <c r="AA361" i="6"/>
  <c r="AA362" i="6"/>
  <c r="AE3" i="3"/>
  <c r="AE4" i="3"/>
  <c r="AE5" i="3"/>
  <c r="AE6" i="3"/>
  <c r="AE7" i="3"/>
  <c r="AE8" i="3"/>
  <c r="AE9" i="3"/>
  <c r="AE10" i="3"/>
  <c r="Q4" i="6"/>
  <c r="R4" i="6" s="1"/>
  <c r="Q5" i="6"/>
  <c r="Q6" i="6"/>
  <c r="R6" i="6" s="1"/>
  <c r="Q7" i="6"/>
  <c r="V7" i="6" s="1"/>
  <c r="Q8" i="6"/>
  <c r="Q9" i="6"/>
  <c r="Q10" i="6"/>
  <c r="T10" i="6" s="1"/>
  <c r="AJ10" i="6" s="1"/>
  <c r="Q11" i="6"/>
  <c r="S11" i="6" s="1"/>
  <c r="AI11" i="6" s="1"/>
  <c r="Q12" i="6"/>
  <c r="Q13" i="6"/>
  <c r="Q14" i="6"/>
  <c r="S14" i="6" s="1"/>
  <c r="AI14" i="6" s="1"/>
  <c r="Q15" i="6"/>
  <c r="Q16" i="6"/>
  <c r="V16" i="6" s="1"/>
  <c r="Q17" i="6"/>
  <c r="Q18" i="6"/>
  <c r="U18" i="6" s="1"/>
  <c r="Q19" i="6"/>
  <c r="R19" i="6" s="1"/>
  <c r="Q20" i="6"/>
  <c r="R20" i="6" s="1"/>
  <c r="Q21" i="6"/>
  <c r="Q22" i="6"/>
  <c r="T22" i="6" s="1"/>
  <c r="AJ22" i="6" s="1"/>
  <c r="Q23" i="6"/>
  <c r="S23" i="6" s="1"/>
  <c r="AI23" i="6" s="1"/>
  <c r="Q24" i="6"/>
  <c r="T24" i="6" s="1"/>
  <c r="AJ24" i="6" s="1"/>
  <c r="Q25" i="6"/>
  <c r="Q26" i="6"/>
  <c r="Q27" i="6"/>
  <c r="Q28" i="6"/>
  <c r="Q29" i="6"/>
  <c r="Q30" i="6"/>
  <c r="Q31" i="6"/>
  <c r="Q32" i="6"/>
  <c r="S32" i="6" s="1"/>
  <c r="AI32" i="6" s="1"/>
  <c r="Q33" i="6"/>
  <c r="Q34" i="6"/>
  <c r="Q35" i="6"/>
  <c r="Q36" i="6"/>
  <c r="Q37" i="6"/>
  <c r="Q38" i="6"/>
  <c r="Q39" i="6"/>
  <c r="R39" i="6" s="1"/>
  <c r="Q40" i="6"/>
  <c r="Q41" i="6"/>
  <c r="Q42" i="6"/>
  <c r="Q43" i="6"/>
  <c r="S43" i="6" s="1"/>
  <c r="AI43" i="6" s="1"/>
  <c r="Q44" i="6"/>
  <c r="V44" i="6" s="1"/>
  <c r="Q45" i="6"/>
  <c r="Q46" i="6"/>
  <c r="Q47" i="6"/>
  <c r="V47" i="6" s="1"/>
  <c r="Q48" i="6"/>
  <c r="R48" i="6" s="1"/>
  <c r="Q49" i="6"/>
  <c r="Q50" i="6"/>
  <c r="Q51" i="6"/>
  <c r="Q52" i="6"/>
  <c r="S52" i="6" s="1"/>
  <c r="AI52" i="6" s="1"/>
  <c r="Q53" i="6"/>
  <c r="U53" i="6" s="1"/>
  <c r="Q54" i="6"/>
  <c r="Q55" i="6"/>
  <c r="R55" i="6" s="1"/>
  <c r="Q56" i="6"/>
  <c r="R56" i="6" s="1"/>
  <c r="Q57" i="6"/>
  <c r="Q58" i="6"/>
  <c r="Q59" i="6"/>
  <c r="Q60" i="6"/>
  <c r="Q61" i="6"/>
  <c r="Q62" i="6"/>
  <c r="Q63" i="6"/>
  <c r="S63" i="6" s="1"/>
  <c r="AI63" i="6" s="1"/>
  <c r="Q64" i="6"/>
  <c r="Q65" i="6"/>
  <c r="Q66" i="6"/>
  <c r="Q67" i="6"/>
  <c r="T67" i="6" s="1"/>
  <c r="AJ67" i="6" s="1"/>
  <c r="Q68" i="6"/>
  <c r="Q69" i="6"/>
  <c r="Q70" i="6"/>
  <c r="Q71" i="6"/>
  <c r="Q72" i="6"/>
  <c r="Q73" i="6"/>
  <c r="Q74" i="6"/>
  <c r="Q75" i="6"/>
  <c r="Q76" i="6"/>
  <c r="S76" i="6" s="1"/>
  <c r="AI76" i="6" s="1"/>
  <c r="Q77" i="6"/>
  <c r="Q78" i="6"/>
  <c r="Q79" i="6"/>
  <c r="Q80" i="6"/>
  <c r="Q81" i="6"/>
  <c r="Q82" i="6"/>
  <c r="Q83" i="6"/>
  <c r="Q84" i="6"/>
  <c r="Q85" i="6"/>
  <c r="Q86" i="6"/>
  <c r="Q87" i="6"/>
  <c r="Q88" i="6"/>
  <c r="Q89" i="6"/>
  <c r="V89" i="6" s="1"/>
  <c r="Q90" i="6"/>
  <c r="Q91" i="6"/>
  <c r="Q92" i="6"/>
  <c r="Q93" i="6"/>
  <c r="Q94" i="6"/>
  <c r="Q95" i="6"/>
  <c r="Q96" i="6"/>
  <c r="R96" i="6" s="1"/>
  <c r="W96" i="6" s="1"/>
  <c r="Z96" i="6" s="1"/>
  <c r="Q97" i="6"/>
  <c r="Q98" i="6"/>
  <c r="Q99" i="6"/>
  <c r="Q100" i="6"/>
  <c r="S100" i="6" s="1"/>
  <c r="Q101" i="6"/>
  <c r="Q102" i="6"/>
  <c r="Q103" i="6"/>
  <c r="R103" i="6" s="1"/>
  <c r="W103" i="6" s="1"/>
  <c r="Z103" i="6" s="1"/>
  <c r="Q104" i="6"/>
  <c r="U104" i="6" s="1"/>
  <c r="X104" i="6" s="1"/>
  <c r="Q105" i="6"/>
  <c r="Q106" i="6"/>
  <c r="Q107" i="6"/>
  <c r="Q108" i="6"/>
  <c r="R108" i="6" s="1"/>
  <c r="W108" i="6" s="1"/>
  <c r="Z108" i="6" s="1"/>
  <c r="Q109" i="6"/>
  <c r="Q110" i="6"/>
  <c r="Q111" i="6"/>
  <c r="R111" i="6" s="1"/>
  <c r="W111" i="6" s="1"/>
  <c r="Z111" i="6" s="1"/>
  <c r="Q112" i="6"/>
  <c r="R112" i="6" s="1"/>
  <c r="W112" i="6" s="1"/>
  <c r="Z112" i="6" s="1"/>
  <c r="Q113" i="6"/>
  <c r="R113" i="6" s="1"/>
  <c r="W113" i="6" s="1"/>
  <c r="Z113" i="6" s="1"/>
  <c r="Q114" i="6"/>
  <c r="Q115" i="6"/>
  <c r="Q116" i="6"/>
  <c r="Q117" i="6"/>
  <c r="Q118" i="6"/>
  <c r="Q119" i="6"/>
  <c r="U119" i="6" s="1"/>
  <c r="X119" i="6" s="1"/>
  <c r="Q120" i="6"/>
  <c r="Q121" i="6"/>
  <c r="R121" i="6" s="1"/>
  <c r="W121" i="6" s="1"/>
  <c r="Z121" i="6" s="1"/>
  <c r="Q122" i="6"/>
  <c r="S122" i="6" s="1"/>
  <c r="Q123" i="6"/>
  <c r="Q124" i="6"/>
  <c r="Q125" i="6"/>
  <c r="Q126" i="6"/>
  <c r="Q127" i="6"/>
  <c r="T127" i="6" s="1"/>
  <c r="Q128" i="6"/>
  <c r="U128" i="6" s="1"/>
  <c r="X128" i="6" s="1"/>
  <c r="Q129" i="6"/>
  <c r="R129" i="6" s="1"/>
  <c r="W129" i="6" s="1"/>
  <c r="Z129" i="6" s="1"/>
  <c r="Q130" i="6"/>
  <c r="Q131" i="6"/>
  <c r="Q132" i="6"/>
  <c r="R132" i="6" s="1"/>
  <c r="W132" i="6" s="1"/>
  <c r="Z132" i="6" s="1"/>
  <c r="Q133" i="6"/>
  <c r="R133" i="6" s="1"/>
  <c r="W133" i="6" s="1"/>
  <c r="Z133" i="6" s="1"/>
  <c r="Q134" i="6"/>
  <c r="Q135" i="6"/>
  <c r="R135" i="6" s="1"/>
  <c r="W135" i="6" s="1"/>
  <c r="Z135" i="6" s="1"/>
  <c r="Q136" i="6"/>
  <c r="R136" i="6" s="1"/>
  <c r="W136" i="6" s="1"/>
  <c r="Z136" i="6" s="1"/>
  <c r="Q137" i="6"/>
  <c r="R137" i="6" s="1"/>
  <c r="W137" i="6" s="1"/>
  <c r="Z137" i="6" s="1"/>
  <c r="Q138" i="6"/>
  <c r="S138" i="6" s="1"/>
  <c r="Q139" i="6"/>
  <c r="Q140" i="6"/>
  <c r="V140" i="6" s="1"/>
  <c r="Y140" i="6" s="1"/>
  <c r="Q141" i="6"/>
  <c r="Q142" i="6"/>
  <c r="Q143" i="6"/>
  <c r="R143" i="6" s="1"/>
  <c r="W143" i="6" s="1"/>
  <c r="Z143" i="6" s="1"/>
  <c r="Q144" i="6"/>
  <c r="Q145" i="6"/>
  <c r="S145" i="6" s="1"/>
  <c r="Q146" i="6"/>
  <c r="Q147" i="6"/>
  <c r="Q148" i="6"/>
  <c r="S148" i="6" s="1"/>
  <c r="Q149" i="6"/>
  <c r="Q150" i="6"/>
  <c r="Q151" i="6"/>
  <c r="R151" i="6" s="1"/>
  <c r="W151" i="6" s="1"/>
  <c r="Z151" i="6" s="1"/>
  <c r="Q152" i="6"/>
  <c r="R152" i="6" s="1"/>
  <c r="W152" i="6" s="1"/>
  <c r="Z152" i="6" s="1"/>
  <c r="Q153" i="6"/>
  <c r="R153" i="6" s="1"/>
  <c r="W153" i="6" s="1"/>
  <c r="Z153" i="6" s="1"/>
  <c r="Q154" i="6"/>
  <c r="Q155" i="6"/>
  <c r="Q156" i="6"/>
  <c r="R156" i="6" s="1"/>
  <c r="W156" i="6" s="1"/>
  <c r="Z156" i="6" s="1"/>
  <c r="Q157" i="6"/>
  <c r="Q158" i="6"/>
  <c r="Q159" i="6"/>
  <c r="R159" i="6" s="1"/>
  <c r="W159" i="6" s="1"/>
  <c r="Z159" i="6" s="1"/>
  <c r="Q160" i="6"/>
  <c r="R160" i="6" s="1"/>
  <c r="W160" i="6" s="1"/>
  <c r="Z160" i="6" s="1"/>
  <c r="Q161" i="6"/>
  <c r="R161" i="6" s="1"/>
  <c r="W161" i="6" s="1"/>
  <c r="Z161" i="6" s="1"/>
  <c r="Q162" i="6"/>
  <c r="Q163" i="6"/>
  <c r="S163" i="6" s="1"/>
  <c r="Q164" i="6"/>
  <c r="S164" i="6" s="1"/>
  <c r="Q165" i="6"/>
  <c r="S165" i="6" s="1"/>
  <c r="Q166" i="6"/>
  <c r="Q167" i="6"/>
  <c r="R167" i="6" s="1"/>
  <c r="W167" i="6" s="1"/>
  <c r="Z167" i="6" s="1"/>
  <c r="Q168" i="6"/>
  <c r="R168" i="6" s="1"/>
  <c r="W168" i="6" s="1"/>
  <c r="Z168" i="6" s="1"/>
  <c r="Q169" i="6"/>
  <c r="R169" i="6" s="1"/>
  <c r="W169" i="6" s="1"/>
  <c r="Z169" i="6" s="1"/>
  <c r="Q170" i="6"/>
  <c r="V170" i="6" s="1"/>
  <c r="Y170" i="6" s="1"/>
  <c r="Q171" i="6"/>
  <c r="Q172" i="6"/>
  <c r="S172" i="6" s="1"/>
  <c r="Q173" i="6"/>
  <c r="Q174" i="6"/>
  <c r="Q175" i="6"/>
  <c r="R175" i="6" s="1"/>
  <c r="W175" i="6" s="1"/>
  <c r="Z175" i="6" s="1"/>
  <c r="Q176" i="6"/>
  <c r="Q177" i="6"/>
  <c r="R177" i="6" s="1"/>
  <c r="W177" i="6" s="1"/>
  <c r="Z177" i="6" s="1"/>
  <c r="Q178" i="6"/>
  <c r="Q179" i="6"/>
  <c r="Q180" i="6"/>
  <c r="S180" i="6" s="1"/>
  <c r="Q181" i="6"/>
  <c r="Q182" i="6"/>
  <c r="Q183" i="6"/>
  <c r="R183" i="6" s="1"/>
  <c r="W183" i="6" s="1"/>
  <c r="Z183" i="6" s="1"/>
  <c r="Q184" i="6"/>
  <c r="R184" i="6" s="1"/>
  <c r="W184" i="6" s="1"/>
  <c r="Z184" i="6" s="1"/>
  <c r="Q185" i="6"/>
  <c r="R185" i="6" s="1"/>
  <c r="W185" i="6" s="1"/>
  <c r="Z185" i="6" s="1"/>
  <c r="Q186" i="6"/>
  <c r="S186" i="6" s="1"/>
  <c r="Q187" i="6"/>
  <c r="S187" i="6" s="1"/>
  <c r="Q188" i="6"/>
  <c r="V188" i="6" s="1"/>
  <c r="Y188" i="6" s="1"/>
  <c r="Q189" i="6"/>
  <c r="Q190" i="6"/>
  <c r="Q191" i="6"/>
  <c r="T191" i="6" s="1"/>
  <c r="Q192" i="6"/>
  <c r="R192" i="6" s="1"/>
  <c r="W192" i="6" s="1"/>
  <c r="Z192" i="6" s="1"/>
  <c r="Q193" i="6"/>
  <c r="R193" i="6" s="1"/>
  <c r="W193" i="6" s="1"/>
  <c r="Z193" i="6" s="1"/>
  <c r="Q194" i="6"/>
  <c r="U194" i="6" s="1"/>
  <c r="X194" i="6" s="1"/>
  <c r="Q195" i="6"/>
  <c r="R195" i="6" s="1"/>
  <c r="W195" i="6" s="1"/>
  <c r="Z195" i="6" s="1"/>
  <c r="Q196" i="6"/>
  <c r="R196" i="6" s="1"/>
  <c r="W196" i="6" s="1"/>
  <c r="Z196" i="6" s="1"/>
  <c r="Q197" i="6"/>
  <c r="R197" i="6" s="1"/>
  <c r="W197" i="6" s="1"/>
  <c r="Z197" i="6" s="1"/>
  <c r="Q198" i="6"/>
  <c r="Q199" i="6"/>
  <c r="R199" i="6" s="1"/>
  <c r="W199" i="6" s="1"/>
  <c r="Z199" i="6" s="1"/>
  <c r="Q200" i="6"/>
  <c r="R200" i="6" s="1"/>
  <c r="W200" i="6" s="1"/>
  <c r="Z200" i="6" s="1"/>
  <c r="Q201" i="6"/>
  <c r="R201" i="6" s="1"/>
  <c r="W201" i="6" s="1"/>
  <c r="Z201" i="6" s="1"/>
  <c r="Q202" i="6"/>
  <c r="Q203" i="6"/>
  <c r="Q204" i="6"/>
  <c r="S204" i="6" s="1"/>
  <c r="Q205" i="6"/>
  <c r="Q206" i="6"/>
  <c r="Q207" i="6"/>
  <c r="R207" i="6" s="1"/>
  <c r="W207" i="6" s="1"/>
  <c r="Z207" i="6" s="1"/>
  <c r="Q208" i="6"/>
  <c r="Q209" i="6"/>
  <c r="R209" i="6" s="1"/>
  <c r="W209" i="6" s="1"/>
  <c r="Z209" i="6" s="1"/>
  <c r="Q210" i="6"/>
  <c r="Q211" i="6"/>
  <c r="S211" i="6" s="1"/>
  <c r="Q212" i="6"/>
  <c r="S212" i="6" s="1"/>
  <c r="Q213" i="6"/>
  <c r="Q214" i="6"/>
  <c r="Q215" i="6"/>
  <c r="R215" i="6" s="1"/>
  <c r="W215" i="6" s="1"/>
  <c r="Z215" i="6" s="1"/>
  <c r="Q216" i="6"/>
  <c r="R216" i="6" s="1"/>
  <c r="W216" i="6" s="1"/>
  <c r="Z216" i="6" s="1"/>
  <c r="Q217" i="6"/>
  <c r="R217" i="6" s="1"/>
  <c r="W217" i="6" s="1"/>
  <c r="Z217" i="6" s="1"/>
  <c r="Q218" i="6"/>
  <c r="Q219" i="6"/>
  <c r="Q220" i="6"/>
  <c r="T220" i="6" s="1"/>
  <c r="Q221" i="6"/>
  <c r="T221" i="6" s="1"/>
  <c r="Q222" i="6"/>
  <c r="Q223" i="6"/>
  <c r="R223" i="6" s="1"/>
  <c r="W223" i="6" s="1"/>
  <c r="Z223" i="6" s="1"/>
  <c r="Q224" i="6"/>
  <c r="R224" i="6" s="1"/>
  <c r="W224" i="6" s="1"/>
  <c r="Z224" i="6" s="1"/>
  <c r="Q225" i="6"/>
  <c r="R225" i="6" s="1"/>
  <c r="W225" i="6" s="1"/>
  <c r="Z225" i="6" s="1"/>
  <c r="Q226" i="6"/>
  <c r="V226" i="6" s="1"/>
  <c r="Y226" i="6" s="1"/>
  <c r="Q227" i="6"/>
  <c r="U227" i="6" s="1"/>
  <c r="X227" i="6" s="1"/>
  <c r="Q228" i="6"/>
  <c r="S228" i="6" s="1"/>
  <c r="Q229" i="6"/>
  <c r="R229" i="6" s="1"/>
  <c r="W229" i="6" s="1"/>
  <c r="Z229" i="6" s="1"/>
  <c r="Q230" i="6"/>
  <c r="Q231" i="6"/>
  <c r="R231" i="6" s="1"/>
  <c r="W231" i="6" s="1"/>
  <c r="Z231" i="6" s="1"/>
  <c r="Q232" i="6"/>
  <c r="R232" i="6" s="1"/>
  <c r="W232" i="6" s="1"/>
  <c r="Z232" i="6" s="1"/>
  <c r="Q233" i="6"/>
  <c r="R233" i="6" s="1"/>
  <c r="W233" i="6" s="1"/>
  <c r="Z233" i="6" s="1"/>
  <c r="Q234" i="6"/>
  <c r="Q235" i="6"/>
  <c r="Q236" i="6"/>
  <c r="Q237" i="6"/>
  <c r="Q238" i="6"/>
  <c r="Q239" i="6"/>
  <c r="R239" i="6" s="1"/>
  <c r="W239" i="6" s="1"/>
  <c r="Z239" i="6" s="1"/>
  <c r="Q240" i="6"/>
  <c r="Q241" i="6"/>
  <c r="R241" i="6" s="1"/>
  <c r="W241" i="6" s="1"/>
  <c r="Z241" i="6" s="1"/>
  <c r="Q242" i="6"/>
  <c r="Q243" i="6"/>
  <c r="S243" i="6" s="1"/>
  <c r="Q244" i="6"/>
  <c r="S244" i="6" s="1"/>
  <c r="Q245" i="6"/>
  <c r="Q246" i="6"/>
  <c r="Q247" i="6"/>
  <c r="T247" i="6" s="1"/>
  <c r="Q248" i="6"/>
  <c r="R248" i="6" s="1"/>
  <c r="W248" i="6" s="1"/>
  <c r="Z248" i="6" s="1"/>
  <c r="Q249" i="6"/>
  <c r="R249" i="6" s="1"/>
  <c r="W249" i="6" s="1"/>
  <c r="Z249" i="6" s="1"/>
  <c r="Q250" i="6"/>
  <c r="Q251" i="6"/>
  <c r="Q252" i="6"/>
  <c r="R252" i="6" s="1"/>
  <c r="W252" i="6" s="1"/>
  <c r="Z252" i="6" s="1"/>
  <c r="Q253" i="6"/>
  <c r="Q254" i="6"/>
  <c r="Q255" i="6"/>
  <c r="R255" i="6" s="1"/>
  <c r="W255" i="6" s="1"/>
  <c r="Z255" i="6" s="1"/>
  <c r="Q256" i="6"/>
  <c r="R256" i="6" s="1"/>
  <c r="W256" i="6" s="1"/>
  <c r="Z256" i="6" s="1"/>
  <c r="Q257" i="6"/>
  <c r="R257" i="6" s="1"/>
  <c r="W257" i="6" s="1"/>
  <c r="Z257" i="6" s="1"/>
  <c r="Q258" i="6"/>
  <c r="S258" i="6" s="1"/>
  <c r="Q259" i="6"/>
  <c r="S259" i="6" s="1"/>
  <c r="Q260" i="6"/>
  <c r="S260" i="6" s="1"/>
  <c r="Q261" i="6"/>
  <c r="R261" i="6" s="1"/>
  <c r="W261" i="6" s="1"/>
  <c r="Z261" i="6" s="1"/>
  <c r="Q262" i="6"/>
  <c r="Q263" i="6"/>
  <c r="R263" i="6" s="1"/>
  <c r="W263" i="6" s="1"/>
  <c r="Z263" i="6" s="1"/>
  <c r="Q264" i="6"/>
  <c r="R264" i="6" s="1"/>
  <c r="W264" i="6" s="1"/>
  <c r="Z264" i="6" s="1"/>
  <c r="Q265" i="6"/>
  <c r="Q266" i="6"/>
  <c r="Q267" i="6"/>
  <c r="Q268" i="6"/>
  <c r="Q269" i="6"/>
  <c r="Q270" i="6"/>
  <c r="Q271" i="6"/>
  <c r="R271" i="6" s="1"/>
  <c r="W271" i="6" s="1"/>
  <c r="Z271" i="6" s="1"/>
  <c r="Q272" i="6"/>
  <c r="Q273" i="6"/>
  <c r="R273" i="6" s="1"/>
  <c r="W273" i="6" s="1"/>
  <c r="Z273" i="6" s="1"/>
  <c r="Q274" i="6"/>
  <c r="Q275" i="6"/>
  <c r="T275" i="6" s="1"/>
  <c r="Q276" i="6"/>
  <c r="S276" i="6" s="1"/>
  <c r="Q277" i="6"/>
  <c r="Q278" i="6"/>
  <c r="Q279" i="6"/>
  <c r="R279" i="6" s="1"/>
  <c r="W279" i="6" s="1"/>
  <c r="Z279" i="6" s="1"/>
  <c r="Q280" i="6"/>
  <c r="R280" i="6" s="1"/>
  <c r="W280" i="6" s="1"/>
  <c r="Z280" i="6" s="1"/>
  <c r="Q281" i="6"/>
  <c r="Q282" i="6"/>
  <c r="Q283" i="6"/>
  <c r="Q284" i="6"/>
  <c r="R284" i="6" s="1"/>
  <c r="W284" i="6" s="1"/>
  <c r="Z284" i="6" s="1"/>
  <c r="Q285" i="6"/>
  <c r="Q286" i="6"/>
  <c r="Q287" i="6"/>
  <c r="Q288" i="6"/>
  <c r="R288" i="6" s="1"/>
  <c r="W288" i="6" s="1"/>
  <c r="Z288" i="6" s="1"/>
  <c r="Q289" i="6"/>
  <c r="R289" i="6" s="1"/>
  <c r="W289" i="6" s="1"/>
  <c r="Z289" i="6" s="1"/>
  <c r="Q290" i="6"/>
  <c r="S290" i="6" s="1"/>
  <c r="Q291" i="6"/>
  <c r="S291" i="6" s="1"/>
  <c r="Q292" i="6"/>
  <c r="S292" i="6" s="1"/>
  <c r="Q293" i="6"/>
  <c r="R293" i="6" s="1"/>
  <c r="W293" i="6" s="1"/>
  <c r="Z293" i="6" s="1"/>
  <c r="Q294" i="6"/>
  <c r="Q295" i="6"/>
  <c r="T295" i="6" s="1"/>
  <c r="Q296" i="6"/>
  <c r="R296" i="6" s="1"/>
  <c r="W296" i="6" s="1"/>
  <c r="Z296" i="6" s="1"/>
  <c r="Q297" i="6"/>
  <c r="Q298" i="6"/>
  <c r="Q299" i="6"/>
  <c r="Q300" i="6"/>
  <c r="Q301" i="6"/>
  <c r="Q302" i="6"/>
  <c r="Q303" i="6"/>
  <c r="R303" i="6" s="1"/>
  <c r="W303" i="6" s="1"/>
  <c r="Z303" i="6" s="1"/>
  <c r="Q304" i="6"/>
  <c r="Q305" i="6"/>
  <c r="R305" i="6" s="1"/>
  <c r="W305" i="6" s="1"/>
  <c r="Z305" i="6" s="1"/>
  <c r="Q306" i="6"/>
  <c r="Q307" i="6"/>
  <c r="Q308" i="6"/>
  <c r="R308" i="6" s="1"/>
  <c r="W308" i="6" s="1"/>
  <c r="Z308" i="6" s="1"/>
  <c r="Q309" i="6"/>
  <c r="Q310" i="6"/>
  <c r="Q311" i="6"/>
  <c r="R311" i="6" s="1"/>
  <c r="W311" i="6" s="1"/>
  <c r="Z311" i="6" s="1"/>
  <c r="Q312" i="6"/>
  <c r="V312" i="6" s="1"/>
  <c r="Y312" i="6" s="1"/>
  <c r="Q313" i="6"/>
  <c r="Q314" i="6"/>
  <c r="Q315" i="6"/>
  <c r="Q316" i="6"/>
  <c r="T316" i="6" s="1"/>
  <c r="Q317" i="6"/>
  <c r="Q318" i="6"/>
  <c r="Q319" i="6"/>
  <c r="R319" i="6" s="1"/>
  <c r="W319" i="6" s="1"/>
  <c r="Z319" i="6" s="1"/>
  <c r="Q320" i="6"/>
  <c r="R320" i="6" s="1"/>
  <c r="W320" i="6" s="1"/>
  <c r="Z320" i="6" s="1"/>
  <c r="Q321" i="6"/>
  <c r="Q322" i="6"/>
  <c r="Q323" i="6"/>
  <c r="R323" i="6" s="1"/>
  <c r="W323" i="6" s="1"/>
  <c r="Z323" i="6" s="1"/>
  <c r="Q324" i="6"/>
  <c r="R324" i="6" s="1"/>
  <c r="W324" i="6" s="1"/>
  <c r="Z324" i="6" s="1"/>
  <c r="Q325" i="6"/>
  <c r="R325" i="6" s="1"/>
  <c r="W325" i="6" s="1"/>
  <c r="Z325" i="6" s="1"/>
  <c r="Q326" i="6"/>
  <c r="Q327" i="6"/>
  <c r="R327" i="6" s="1"/>
  <c r="W327" i="6" s="1"/>
  <c r="Z327" i="6" s="1"/>
  <c r="Q328" i="6"/>
  <c r="R328" i="6" s="1"/>
  <c r="W328" i="6" s="1"/>
  <c r="Z328" i="6" s="1"/>
  <c r="Q329" i="6"/>
  <c r="Q330" i="6"/>
  <c r="U330" i="6" s="1"/>
  <c r="X330" i="6" s="1"/>
  <c r="Q331" i="6"/>
  <c r="T331" i="6" s="1"/>
  <c r="Q332" i="6"/>
  <c r="S332" i="6" s="1"/>
  <c r="Q333" i="6"/>
  <c r="T333" i="6" s="1"/>
  <c r="Q334" i="6"/>
  <c r="Q335" i="6"/>
  <c r="R335" i="6" s="1"/>
  <c r="W335" i="6" s="1"/>
  <c r="Z335" i="6" s="1"/>
  <c r="Q336" i="6"/>
  <c r="Q337" i="6"/>
  <c r="R337" i="6" s="1"/>
  <c r="W337" i="6" s="1"/>
  <c r="Z337" i="6" s="1"/>
  <c r="Q338" i="6"/>
  <c r="Q339" i="6"/>
  <c r="Q340" i="6"/>
  <c r="S340" i="6" s="1"/>
  <c r="Q341" i="6"/>
  <c r="Q342" i="6"/>
  <c r="Q343" i="6"/>
  <c r="R343" i="6" s="1"/>
  <c r="W343" i="6" s="1"/>
  <c r="Z343" i="6" s="1"/>
  <c r="Q344" i="6"/>
  <c r="R344" i="6" s="1"/>
  <c r="W344" i="6" s="1"/>
  <c r="Z344" i="6" s="1"/>
  <c r="Q345" i="6"/>
  <c r="Q346" i="6"/>
  <c r="S346" i="6" s="1"/>
  <c r="Q347" i="6"/>
  <c r="Q348" i="6"/>
  <c r="R348" i="6" s="1"/>
  <c r="W348" i="6" s="1"/>
  <c r="Z348" i="6" s="1"/>
  <c r="Q349" i="6"/>
  <c r="T349" i="6" s="1"/>
  <c r="Q350" i="6"/>
  <c r="Q351" i="6"/>
  <c r="T351" i="6" s="1"/>
  <c r="Q352" i="6"/>
  <c r="R352" i="6" s="1"/>
  <c r="W352" i="6" s="1"/>
  <c r="Z352" i="6" s="1"/>
  <c r="Q353" i="6"/>
  <c r="R353" i="6" s="1"/>
  <c r="W353" i="6" s="1"/>
  <c r="Z353" i="6" s="1"/>
  <c r="Q354" i="6"/>
  <c r="R354" i="6" s="1"/>
  <c r="W354" i="6" s="1"/>
  <c r="Z354" i="6" s="1"/>
  <c r="Q355" i="6"/>
  <c r="R355" i="6" s="1"/>
  <c r="W355" i="6" s="1"/>
  <c r="Z355" i="6" s="1"/>
  <c r="Q356" i="6"/>
  <c r="R356" i="6" s="1"/>
  <c r="W356" i="6" s="1"/>
  <c r="Z356" i="6" s="1"/>
  <c r="Q357" i="6"/>
  <c r="R357" i="6" s="1"/>
  <c r="W357" i="6" s="1"/>
  <c r="Z357" i="6" s="1"/>
  <c r="Q358" i="6"/>
  <c r="Q359" i="6"/>
  <c r="R359" i="6" s="1"/>
  <c r="W359" i="6" s="1"/>
  <c r="Z359" i="6" s="1"/>
  <c r="Q360" i="6"/>
  <c r="R360" i="6" s="1"/>
  <c r="W360" i="6" s="1"/>
  <c r="Z360" i="6" s="1"/>
  <c r="Q361" i="6"/>
  <c r="Q362" i="6"/>
  <c r="S362" i="6" s="1"/>
  <c r="P3" i="4"/>
  <c r="AP3" i="4" s="1"/>
  <c r="P190" i="4"/>
  <c r="Q190" i="4"/>
  <c r="R190" i="4"/>
  <c r="S190" i="4"/>
  <c r="U190" i="4"/>
  <c r="V190" i="4"/>
  <c r="W190" i="4"/>
  <c r="X190" i="4"/>
  <c r="Y190" i="4"/>
  <c r="Z190" i="4"/>
  <c r="AA190" i="4"/>
  <c r="AB190" i="4"/>
  <c r="AC190" i="4"/>
  <c r="AJ190" i="4"/>
  <c r="AM190" i="4"/>
  <c r="AN190" i="4"/>
  <c r="P191" i="4"/>
  <c r="AP191" i="4" s="1"/>
  <c r="Q191" i="4"/>
  <c r="R191" i="4"/>
  <c r="AR191" i="4" s="1"/>
  <c r="S191" i="4"/>
  <c r="U191" i="4"/>
  <c r="V191" i="4"/>
  <c r="W191" i="4"/>
  <c r="X191" i="4"/>
  <c r="Y191" i="4"/>
  <c r="Z191" i="4"/>
  <c r="AA191" i="4"/>
  <c r="AB191" i="4"/>
  <c r="AC191" i="4"/>
  <c r="AE191" i="4"/>
  <c r="AF191" i="4"/>
  <c r="AG191" i="4"/>
  <c r="AJ191" i="4"/>
  <c r="AK191" i="4"/>
  <c r="AM191" i="4"/>
  <c r="AN191" i="4"/>
  <c r="P192" i="4"/>
  <c r="AP192" i="4" s="1"/>
  <c r="Q192" i="4"/>
  <c r="AQ192" i="4" s="1"/>
  <c r="R192" i="4"/>
  <c r="AG192" i="4" s="1"/>
  <c r="S192" i="4"/>
  <c r="U192" i="4"/>
  <c r="V192" i="4"/>
  <c r="W192" i="4"/>
  <c r="X192" i="4"/>
  <c r="Y192" i="4"/>
  <c r="Z192" i="4"/>
  <c r="AA192" i="4"/>
  <c r="AB192" i="4"/>
  <c r="AC192" i="4"/>
  <c r="AJ192" i="4"/>
  <c r="AN192" i="4"/>
  <c r="P193" i="4"/>
  <c r="Q193" i="4"/>
  <c r="AQ193" i="4" s="1"/>
  <c r="R193" i="4"/>
  <c r="AR193" i="4" s="1"/>
  <c r="S193" i="4"/>
  <c r="AN193" i="4" s="1"/>
  <c r="U193" i="4"/>
  <c r="V193" i="4"/>
  <c r="W193" i="4"/>
  <c r="X193" i="4"/>
  <c r="Y193" i="4"/>
  <c r="Z193" i="4"/>
  <c r="AA193" i="4"/>
  <c r="AB193" i="4"/>
  <c r="AC193" i="4"/>
  <c r="AJ193" i="4"/>
  <c r="P194" i="4"/>
  <c r="Q194" i="4"/>
  <c r="R194" i="4"/>
  <c r="AR194" i="4" s="1"/>
  <c r="S194" i="4"/>
  <c r="U194" i="4"/>
  <c r="V194" i="4"/>
  <c r="W194" i="4"/>
  <c r="X194" i="4"/>
  <c r="Y194" i="4"/>
  <c r="Z194" i="4"/>
  <c r="AA194" i="4"/>
  <c r="AB194" i="4"/>
  <c r="AC194" i="4"/>
  <c r="AJ194" i="4"/>
  <c r="AN194" i="4"/>
  <c r="P195" i="4"/>
  <c r="Q195" i="4"/>
  <c r="R195" i="4"/>
  <c r="S195" i="4"/>
  <c r="AN195" i="4" s="1"/>
  <c r="U195" i="4"/>
  <c r="V195" i="4"/>
  <c r="W195" i="4"/>
  <c r="X195" i="4"/>
  <c r="Y195" i="4"/>
  <c r="Z195" i="4"/>
  <c r="AA195" i="4"/>
  <c r="AB195" i="4"/>
  <c r="AC195" i="4"/>
  <c r="AJ195" i="4"/>
  <c r="AK195" i="4"/>
  <c r="P196" i="4"/>
  <c r="AK196" i="4" s="1"/>
  <c r="Q196" i="4"/>
  <c r="R196" i="4"/>
  <c r="AG196" i="4" s="1"/>
  <c r="S196" i="4"/>
  <c r="AN196" i="4" s="1"/>
  <c r="U196" i="4"/>
  <c r="V196" i="4"/>
  <c r="W196" i="4"/>
  <c r="X196" i="4"/>
  <c r="Y196" i="4"/>
  <c r="Z196" i="4"/>
  <c r="AA196" i="4"/>
  <c r="AB196" i="4"/>
  <c r="AC196" i="4"/>
  <c r="AJ196" i="4"/>
  <c r="AL196" i="4"/>
  <c r="P197" i="4"/>
  <c r="AP197" i="4" s="1"/>
  <c r="Q197" i="4"/>
  <c r="R197" i="4"/>
  <c r="AR197" i="4" s="1"/>
  <c r="S197" i="4"/>
  <c r="AN197" i="4" s="1"/>
  <c r="U197" i="4"/>
  <c r="V197" i="4"/>
  <c r="W197" i="4"/>
  <c r="X197" i="4"/>
  <c r="Y197" i="4"/>
  <c r="Z197" i="4"/>
  <c r="AA197" i="4"/>
  <c r="AB197" i="4"/>
  <c r="AC197" i="4"/>
  <c r="AE197" i="4"/>
  <c r="AG197" i="4"/>
  <c r="AJ197" i="4"/>
  <c r="AK197" i="4"/>
  <c r="AL197" i="4"/>
  <c r="AM197" i="4"/>
  <c r="P198" i="4"/>
  <c r="AE198" i="4" s="1"/>
  <c r="Q198" i="4"/>
  <c r="AQ198" i="4" s="1"/>
  <c r="R198" i="4"/>
  <c r="AM198" i="4" s="1"/>
  <c r="S198" i="4"/>
  <c r="U198" i="4"/>
  <c r="V198" i="4"/>
  <c r="W198" i="4"/>
  <c r="X198" i="4"/>
  <c r="Y198" i="4"/>
  <c r="Z198" i="4"/>
  <c r="AA198" i="4"/>
  <c r="AB198" i="4"/>
  <c r="AC198" i="4"/>
  <c r="AJ198" i="4"/>
  <c r="AN198" i="4"/>
  <c r="P199" i="4"/>
  <c r="Q199" i="4"/>
  <c r="R199" i="4"/>
  <c r="AR199" i="4" s="1"/>
  <c r="S199" i="4"/>
  <c r="U199" i="4"/>
  <c r="V199" i="4"/>
  <c r="W199" i="4"/>
  <c r="X199" i="4"/>
  <c r="Y199" i="4"/>
  <c r="Z199" i="4"/>
  <c r="AA199" i="4"/>
  <c r="AB199" i="4"/>
  <c r="AC199" i="4"/>
  <c r="AF199" i="4"/>
  <c r="AG199" i="4"/>
  <c r="AJ199" i="4"/>
  <c r="AM199" i="4"/>
  <c r="AN199" i="4"/>
  <c r="P200" i="4"/>
  <c r="AP200" i="4" s="1"/>
  <c r="Q200" i="4"/>
  <c r="AQ200" i="4" s="1"/>
  <c r="R200" i="4"/>
  <c r="AR200" i="4" s="1"/>
  <c r="S200" i="4"/>
  <c r="AN200" i="4" s="1"/>
  <c r="U200" i="4"/>
  <c r="V200" i="4"/>
  <c r="W200" i="4"/>
  <c r="X200" i="4"/>
  <c r="Y200" i="4"/>
  <c r="Z200" i="4"/>
  <c r="AA200" i="4"/>
  <c r="AB200" i="4"/>
  <c r="AC200" i="4"/>
  <c r="AF200" i="4"/>
  <c r="AJ200" i="4"/>
  <c r="AL200" i="4"/>
  <c r="P201" i="4"/>
  <c r="Q201" i="4"/>
  <c r="AQ201" i="4" s="1"/>
  <c r="R201" i="4"/>
  <c r="AR201" i="4" s="1"/>
  <c r="S201" i="4"/>
  <c r="AN201" i="4" s="1"/>
  <c r="U201" i="4"/>
  <c r="V201" i="4"/>
  <c r="W201" i="4"/>
  <c r="X201" i="4"/>
  <c r="Y201" i="4"/>
  <c r="Z201" i="4"/>
  <c r="AA201" i="4"/>
  <c r="AB201" i="4"/>
  <c r="AC201" i="4"/>
  <c r="AJ201" i="4"/>
  <c r="P202" i="4"/>
  <c r="Q202" i="4"/>
  <c r="R202" i="4"/>
  <c r="AR202" i="4" s="1"/>
  <c r="S202" i="4"/>
  <c r="U202" i="4"/>
  <c r="V202" i="4"/>
  <c r="W202" i="4"/>
  <c r="X202" i="4"/>
  <c r="Y202" i="4"/>
  <c r="Z202" i="4"/>
  <c r="AA202" i="4"/>
  <c r="AB202" i="4"/>
  <c r="AC202" i="4"/>
  <c r="AJ202" i="4"/>
  <c r="AN202" i="4"/>
  <c r="P203" i="4"/>
  <c r="Q203" i="4"/>
  <c r="R203" i="4"/>
  <c r="S203" i="4"/>
  <c r="AN203" i="4" s="1"/>
  <c r="U203" i="4"/>
  <c r="V203" i="4"/>
  <c r="W203" i="4"/>
  <c r="X203" i="4"/>
  <c r="Y203" i="4"/>
  <c r="Z203" i="4"/>
  <c r="AA203" i="4"/>
  <c r="AB203" i="4"/>
  <c r="AC203" i="4"/>
  <c r="AJ203" i="4"/>
  <c r="AK203" i="4"/>
  <c r="P204" i="4"/>
  <c r="AK204" i="4" s="1"/>
  <c r="Q204" i="4"/>
  <c r="R204" i="4"/>
  <c r="AG204" i="4" s="1"/>
  <c r="S204" i="4"/>
  <c r="AN204" i="4" s="1"/>
  <c r="U204" i="4"/>
  <c r="V204" i="4"/>
  <c r="W204" i="4"/>
  <c r="X204" i="4"/>
  <c r="Y204" i="4"/>
  <c r="Z204" i="4"/>
  <c r="AA204" i="4"/>
  <c r="AB204" i="4"/>
  <c r="AC204" i="4"/>
  <c r="AJ204" i="4"/>
  <c r="AL204" i="4"/>
  <c r="P205" i="4"/>
  <c r="Q205" i="4"/>
  <c r="R205" i="4"/>
  <c r="AR205" i="4" s="1"/>
  <c r="S205" i="4"/>
  <c r="AN205" i="4" s="1"/>
  <c r="U205" i="4"/>
  <c r="V205" i="4"/>
  <c r="W205" i="4"/>
  <c r="X205" i="4"/>
  <c r="Y205" i="4"/>
  <c r="Z205" i="4"/>
  <c r="AA205" i="4"/>
  <c r="AB205" i="4"/>
  <c r="AC205" i="4"/>
  <c r="AE205" i="4"/>
  <c r="AG205" i="4"/>
  <c r="AJ205" i="4"/>
  <c r="AM205" i="4"/>
  <c r="P206" i="4"/>
  <c r="Q206" i="4"/>
  <c r="R206" i="4"/>
  <c r="AR206" i="4" s="1"/>
  <c r="S206" i="4"/>
  <c r="AN206" i="4" s="1"/>
  <c r="U206" i="4"/>
  <c r="V206" i="4"/>
  <c r="W206" i="4"/>
  <c r="X206" i="4"/>
  <c r="Y206" i="4"/>
  <c r="Z206" i="4"/>
  <c r="AA206" i="4"/>
  <c r="AB206" i="4"/>
  <c r="AC206" i="4"/>
  <c r="AF206" i="4"/>
  <c r="AJ206" i="4"/>
  <c r="P207" i="4"/>
  <c r="AP207" i="4" s="1"/>
  <c r="Q207" i="4"/>
  <c r="R207" i="4"/>
  <c r="S207" i="4"/>
  <c r="AN207" i="4" s="1"/>
  <c r="U207" i="4"/>
  <c r="V207" i="4"/>
  <c r="W207" i="4"/>
  <c r="X207" i="4"/>
  <c r="Y207" i="4"/>
  <c r="Z207" i="4"/>
  <c r="AA207" i="4"/>
  <c r="AB207" i="4"/>
  <c r="AC207" i="4"/>
  <c r="AJ207" i="4"/>
  <c r="P208" i="4"/>
  <c r="AP208" i="4" s="1"/>
  <c r="Q208" i="4"/>
  <c r="R208" i="4"/>
  <c r="S208" i="4"/>
  <c r="AN208" i="4" s="1"/>
  <c r="U208" i="4"/>
  <c r="V208" i="4"/>
  <c r="W208" i="4"/>
  <c r="X208" i="4"/>
  <c r="Y208" i="4"/>
  <c r="Z208" i="4"/>
  <c r="AA208" i="4"/>
  <c r="AB208" i="4"/>
  <c r="AC208" i="4"/>
  <c r="AF208" i="4"/>
  <c r="AG208" i="4"/>
  <c r="AJ208" i="4"/>
  <c r="P209" i="4"/>
  <c r="Q209" i="4"/>
  <c r="AQ209" i="4" s="1"/>
  <c r="R209" i="4"/>
  <c r="AG209" i="4" s="1"/>
  <c r="S209" i="4"/>
  <c r="AN209" i="4" s="1"/>
  <c r="U209" i="4"/>
  <c r="V209" i="4"/>
  <c r="W209" i="4"/>
  <c r="X209" i="4"/>
  <c r="Y209" i="4"/>
  <c r="Z209" i="4"/>
  <c r="AA209" i="4"/>
  <c r="AB209" i="4"/>
  <c r="AC209" i="4"/>
  <c r="AJ209" i="4"/>
  <c r="P210" i="4"/>
  <c r="Q210" i="4"/>
  <c r="R210" i="4"/>
  <c r="AR210" i="4" s="1"/>
  <c r="S210" i="4"/>
  <c r="U210" i="4"/>
  <c r="V210" i="4"/>
  <c r="W210" i="4"/>
  <c r="X210" i="4"/>
  <c r="Y210" i="4"/>
  <c r="Z210" i="4"/>
  <c r="AA210" i="4"/>
  <c r="AB210" i="4"/>
  <c r="AC210" i="4"/>
  <c r="AE210" i="4"/>
  <c r="AJ210" i="4"/>
  <c r="AN210" i="4"/>
  <c r="P211" i="4"/>
  <c r="AP211" i="4" s="1"/>
  <c r="Q211" i="4"/>
  <c r="AF211" i="4" s="1"/>
  <c r="R211" i="4"/>
  <c r="S211" i="4"/>
  <c r="AN211" i="4" s="1"/>
  <c r="U211" i="4"/>
  <c r="V211" i="4"/>
  <c r="W211" i="4"/>
  <c r="X211" i="4"/>
  <c r="Y211" i="4"/>
  <c r="Z211" i="4"/>
  <c r="AA211" i="4"/>
  <c r="AB211" i="4"/>
  <c r="AC211" i="4"/>
  <c r="AE211" i="4"/>
  <c r="AJ211" i="4"/>
  <c r="AK211" i="4"/>
  <c r="P212" i="4"/>
  <c r="Q212" i="4"/>
  <c r="R212" i="4"/>
  <c r="AG212" i="4" s="1"/>
  <c r="S212" i="4"/>
  <c r="AN212" i="4" s="1"/>
  <c r="U212" i="4"/>
  <c r="V212" i="4"/>
  <c r="W212" i="4"/>
  <c r="X212" i="4"/>
  <c r="Y212" i="4"/>
  <c r="Z212" i="4"/>
  <c r="AA212" i="4"/>
  <c r="AB212" i="4"/>
  <c r="AC212" i="4"/>
  <c r="AJ212" i="4"/>
  <c r="AL212" i="4"/>
  <c r="P213" i="4"/>
  <c r="Q213" i="4"/>
  <c r="R213" i="4"/>
  <c r="AR213" i="4" s="1"/>
  <c r="S213" i="4"/>
  <c r="AN213" i="4" s="1"/>
  <c r="U213" i="4"/>
  <c r="V213" i="4"/>
  <c r="W213" i="4"/>
  <c r="X213" i="4"/>
  <c r="Y213" i="4"/>
  <c r="Z213" i="4"/>
  <c r="AA213" i="4"/>
  <c r="AB213" i="4"/>
  <c r="AC213" i="4"/>
  <c r="AJ213" i="4"/>
  <c r="AL213" i="4"/>
  <c r="P214" i="4"/>
  <c r="AP214" i="4" s="1"/>
  <c r="Q214" i="4"/>
  <c r="AQ214" i="4" s="1"/>
  <c r="R214" i="4"/>
  <c r="S214" i="4"/>
  <c r="U214" i="4"/>
  <c r="V214" i="4"/>
  <c r="W214" i="4"/>
  <c r="X214" i="4"/>
  <c r="Y214" i="4"/>
  <c r="Z214" i="4"/>
  <c r="AA214" i="4"/>
  <c r="AB214" i="4"/>
  <c r="AC214" i="4"/>
  <c r="AE214" i="4"/>
  <c r="AJ214" i="4"/>
  <c r="AK214" i="4"/>
  <c r="AM214" i="4"/>
  <c r="AN214" i="4"/>
  <c r="P215" i="4"/>
  <c r="Q215" i="4"/>
  <c r="AQ215" i="4" s="1"/>
  <c r="R215" i="4"/>
  <c r="S215" i="4"/>
  <c r="U215" i="4"/>
  <c r="V215" i="4"/>
  <c r="W215" i="4"/>
  <c r="X215" i="4"/>
  <c r="Y215" i="4"/>
  <c r="Z215" i="4"/>
  <c r="AA215" i="4"/>
  <c r="AB215" i="4"/>
  <c r="AC215" i="4"/>
  <c r="AF215" i="4"/>
  <c r="AG215" i="4"/>
  <c r="AJ215" i="4"/>
  <c r="AL215" i="4"/>
  <c r="AN215" i="4"/>
  <c r="P216" i="4"/>
  <c r="AP216" i="4" s="1"/>
  <c r="Q216" i="4"/>
  <c r="R216" i="4"/>
  <c r="AR216" i="4" s="1"/>
  <c r="S216" i="4"/>
  <c r="AN216" i="4" s="1"/>
  <c r="U216" i="4"/>
  <c r="V216" i="4"/>
  <c r="W216" i="4"/>
  <c r="X216" i="4"/>
  <c r="Y216" i="4"/>
  <c r="Z216" i="4"/>
  <c r="AA216" i="4"/>
  <c r="AB216" i="4"/>
  <c r="AC216" i="4"/>
  <c r="AJ216" i="4"/>
  <c r="AL216" i="4"/>
  <c r="P217" i="4"/>
  <c r="Q217" i="4"/>
  <c r="AQ217" i="4" s="1"/>
  <c r="R217" i="4"/>
  <c r="AR217" i="4" s="1"/>
  <c r="S217" i="4"/>
  <c r="AN217" i="4" s="1"/>
  <c r="U217" i="4"/>
  <c r="V217" i="4"/>
  <c r="W217" i="4"/>
  <c r="X217" i="4"/>
  <c r="Y217" i="4"/>
  <c r="Z217" i="4"/>
  <c r="AA217" i="4"/>
  <c r="AB217" i="4"/>
  <c r="AC217" i="4"/>
  <c r="AG217" i="4"/>
  <c r="AJ217" i="4"/>
  <c r="AM217" i="4"/>
  <c r="P218" i="4"/>
  <c r="Q218" i="4"/>
  <c r="R218" i="4"/>
  <c r="AR218" i="4" s="1"/>
  <c r="S218" i="4"/>
  <c r="U218" i="4"/>
  <c r="V218" i="4"/>
  <c r="W218" i="4"/>
  <c r="X218" i="4"/>
  <c r="Y218" i="4"/>
  <c r="Z218" i="4"/>
  <c r="AA218" i="4"/>
  <c r="AB218" i="4"/>
  <c r="AC218" i="4"/>
  <c r="AJ218" i="4"/>
  <c r="AN218" i="4"/>
  <c r="P219" i="4"/>
  <c r="Q219" i="4"/>
  <c r="R219" i="4"/>
  <c r="S219" i="4"/>
  <c r="AN219" i="4" s="1"/>
  <c r="U219" i="4"/>
  <c r="V219" i="4"/>
  <c r="W219" i="4"/>
  <c r="X219" i="4"/>
  <c r="Y219" i="4"/>
  <c r="Z219" i="4"/>
  <c r="AA219" i="4"/>
  <c r="AB219" i="4"/>
  <c r="AC219" i="4"/>
  <c r="AF219" i="4"/>
  <c r="AJ219" i="4"/>
  <c r="P220" i="4"/>
  <c r="Q220" i="4"/>
  <c r="R220" i="4"/>
  <c r="S220" i="4"/>
  <c r="AN220" i="4" s="1"/>
  <c r="U220" i="4"/>
  <c r="V220" i="4"/>
  <c r="W220" i="4"/>
  <c r="X220" i="4"/>
  <c r="Y220" i="4"/>
  <c r="Z220" i="4"/>
  <c r="AA220" i="4"/>
  <c r="AB220" i="4"/>
  <c r="AC220" i="4"/>
  <c r="AJ220" i="4"/>
  <c r="AL220" i="4"/>
  <c r="P221" i="4"/>
  <c r="Q221" i="4"/>
  <c r="R221" i="4"/>
  <c r="S221" i="4"/>
  <c r="AN221" i="4" s="1"/>
  <c r="U221" i="4"/>
  <c r="V221" i="4"/>
  <c r="W221" i="4"/>
  <c r="X221" i="4"/>
  <c r="Y221" i="4"/>
  <c r="Z221" i="4"/>
  <c r="AA221" i="4"/>
  <c r="AB221" i="4"/>
  <c r="AC221" i="4"/>
  <c r="AE221" i="4"/>
  <c r="AJ221" i="4"/>
  <c r="AL221" i="4"/>
  <c r="AM221" i="4"/>
  <c r="P222" i="4"/>
  <c r="AP222" i="4" s="1"/>
  <c r="Q222" i="4"/>
  <c r="R222" i="4"/>
  <c r="S222" i="4"/>
  <c r="U222" i="4"/>
  <c r="V222" i="4"/>
  <c r="W222" i="4"/>
  <c r="X222" i="4"/>
  <c r="Y222" i="4"/>
  <c r="Z222" i="4"/>
  <c r="AA222" i="4"/>
  <c r="AB222" i="4"/>
  <c r="AC222" i="4"/>
  <c r="AF222" i="4"/>
  <c r="AJ222" i="4"/>
  <c r="AK222" i="4"/>
  <c r="AN222" i="4"/>
  <c r="P223" i="4"/>
  <c r="AP223" i="4" s="1"/>
  <c r="Q223" i="4"/>
  <c r="AQ223" i="4" s="1"/>
  <c r="R223" i="4"/>
  <c r="S223" i="4"/>
  <c r="U223" i="4"/>
  <c r="V223" i="4"/>
  <c r="W223" i="4"/>
  <c r="X223" i="4"/>
  <c r="Y223" i="4"/>
  <c r="Z223" i="4"/>
  <c r="AA223" i="4"/>
  <c r="AB223" i="4"/>
  <c r="AC223" i="4"/>
  <c r="AE223" i="4"/>
  <c r="AG223" i="4"/>
  <c r="AJ223" i="4"/>
  <c r="AK223" i="4"/>
  <c r="AN223" i="4"/>
  <c r="P224" i="4"/>
  <c r="Q224" i="4"/>
  <c r="AQ224" i="4" s="1"/>
  <c r="R224" i="4"/>
  <c r="AR224" i="4" s="1"/>
  <c r="S224" i="4"/>
  <c r="AN224" i="4" s="1"/>
  <c r="U224" i="4"/>
  <c r="V224" i="4"/>
  <c r="W224" i="4"/>
  <c r="X224" i="4"/>
  <c r="Y224" i="4"/>
  <c r="Z224" i="4"/>
  <c r="AA224" i="4"/>
  <c r="AB224" i="4"/>
  <c r="AC224" i="4"/>
  <c r="AF224" i="4"/>
  <c r="AG224" i="4"/>
  <c r="AJ224" i="4"/>
  <c r="AM224" i="4"/>
  <c r="P225" i="4"/>
  <c r="Q225" i="4"/>
  <c r="R225" i="4"/>
  <c r="AR225" i="4" s="1"/>
  <c r="S225" i="4"/>
  <c r="U225" i="4"/>
  <c r="V225" i="4"/>
  <c r="W225" i="4"/>
  <c r="X225" i="4"/>
  <c r="Y225" i="4"/>
  <c r="Z225" i="4"/>
  <c r="AA225" i="4"/>
  <c r="AB225" i="4"/>
  <c r="AC225" i="4"/>
  <c r="AG225" i="4"/>
  <c r="AJ225" i="4"/>
  <c r="AL225" i="4"/>
  <c r="AM225" i="4"/>
  <c r="AN225" i="4"/>
  <c r="P226" i="4"/>
  <c r="Q226" i="4"/>
  <c r="R226" i="4"/>
  <c r="S226" i="4"/>
  <c r="AN226" i="4" s="1"/>
  <c r="U226" i="4"/>
  <c r="V226" i="4"/>
  <c r="W226" i="4"/>
  <c r="X226" i="4"/>
  <c r="Y226" i="4"/>
  <c r="Z226" i="4"/>
  <c r="AA226" i="4"/>
  <c r="AB226" i="4"/>
  <c r="AC226" i="4"/>
  <c r="AE226" i="4"/>
  <c r="AJ226" i="4"/>
  <c r="P227" i="4"/>
  <c r="Q227" i="4"/>
  <c r="R227" i="4"/>
  <c r="AR227" i="4" s="1"/>
  <c r="S227" i="4"/>
  <c r="U227" i="4"/>
  <c r="V227" i="4"/>
  <c r="W227" i="4"/>
  <c r="X227" i="4"/>
  <c r="Y227" i="4"/>
  <c r="Z227" i="4"/>
  <c r="AA227" i="4"/>
  <c r="AB227" i="4"/>
  <c r="AC227" i="4"/>
  <c r="AF227" i="4"/>
  <c r="AJ227" i="4"/>
  <c r="AN227" i="4"/>
  <c r="P228" i="4"/>
  <c r="Q228" i="4"/>
  <c r="R228" i="4"/>
  <c r="S228" i="4"/>
  <c r="AN228" i="4" s="1"/>
  <c r="U228" i="4"/>
  <c r="V228" i="4"/>
  <c r="W228" i="4"/>
  <c r="X228" i="4"/>
  <c r="Y228" i="4"/>
  <c r="Z228" i="4"/>
  <c r="AA228" i="4"/>
  <c r="AB228" i="4"/>
  <c r="AC228" i="4"/>
  <c r="AG228" i="4"/>
  <c r="AJ228" i="4"/>
  <c r="AK228" i="4"/>
  <c r="P229" i="4"/>
  <c r="Q229" i="4"/>
  <c r="R229" i="4"/>
  <c r="S229" i="4"/>
  <c r="AN229" i="4" s="1"/>
  <c r="U229" i="4"/>
  <c r="V229" i="4"/>
  <c r="W229" i="4"/>
  <c r="X229" i="4"/>
  <c r="Y229" i="4"/>
  <c r="Z229" i="4"/>
  <c r="AA229" i="4"/>
  <c r="AB229" i="4"/>
  <c r="AC229" i="4"/>
  <c r="AJ229" i="4"/>
  <c r="AL229" i="4"/>
  <c r="AM229" i="4"/>
  <c r="P230" i="4"/>
  <c r="AP230" i="4" s="1"/>
  <c r="Q230" i="4"/>
  <c r="AQ230" i="4" s="1"/>
  <c r="R230" i="4"/>
  <c r="S230" i="4"/>
  <c r="U230" i="4"/>
  <c r="V230" i="4"/>
  <c r="W230" i="4"/>
  <c r="X230" i="4"/>
  <c r="Y230" i="4"/>
  <c r="Z230" i="4"/>
  <c r="AA230" i="4"/>
  <c r="AB230" i="4"/>
  <c r="AC230" i="4"/>
  <c r="AE230" i="4"/>
  <c r="AJ230" i="4"/>
  <c r="AK230" i="4"/>
  <c r="AM230" i="4"/>
  <c r="AN230" i="4"/>
  <c r="P231" i="4"/>
  <c r="AP231" i="4" s="1"/>
  <c r="Q231" i="4"/>
  <c r="AQ231" i="4" s="1"/>
  <c r="R231" i="4"/>
  <c r="S231" i="4"/>
  <c r="AN231" i="4" s="1"/>
  <c r="U231" i="4"/>
  <c r="V231" i="4"/>
  <c r="W231" i="4"/>
  <c r="X231" i="4"/>
  <c r="Y231" i="4"/>
  <c r="Z231" i="4"/>
  <c r="AA231" i="4"/>
  <c r="AB231" i="4"/>
  <c r="AC231" i="4"/>
  <c r="AE231" i="4"/>
  <c r="AJ231" i="4"/>
  <c r="AK231" i="4"/>
  <c r="AL231" i="4"/>
  <c r="P232" i="4"/>
  <c r="Q232" i="4"/>
  <c r="AQ232" i="4" s="1"/>
  <c r="R232" i="4"/>
  <c r="AR232" i="4" s="1"/>
  <c r="S232" i="4"/>
  <c r="U232" i="4"/>
  <c r="V232" i="4"/>
  <c r="W232" i="4"/>
  <c r="X232" i="4"/>
  <c r="Y232" i="4"/>
  <c r="Z232" i="4"/>
  <c r="AA232" i="4"/>
  <c r="AB232" i="4"/>
  <c r="AC232" i="4"/>
  <c r="AF232" i="4"/>
  <c r="AG232" i="4"/>
  <c r="AJ232" i="4"/>
  <c r="AL232" i="4"/>
  <c r="AN232" i="4"/>
  <c r="P233" i="4"/>
  <c r="Q233" i="4"/>
  <c r="R233" i="4"/>
  <c r="AR233" i="4" s="1"/>
  <c r="S233" i="4"/>
  <c r="U233" i="4"/>
  <c r="V233" i="4"/>
  <c r="W233" i="4"/>
  <c r="X233" i="4"/>
  <c r="Y233" i="4"/>
  <c r="Z233" i="4"/>
  <c r="AA233" i="4"/>
  <c r="AB233" i="4"/>
  <c r="AC233" i="4"/>
  <c r="AG233" i="4"/>
  <c r="AJ233" i="4"/>
  <c r="AL233" i="4"/>
  <c r="AM233" i="4"/>
  <c r="AN233" i="4"/>
  <c r="P234" i="4"/>
  <c r="Q234" i="4"/>
  <c r="R234" i="4"/>
  <c r="S234" i="4"/>
  <c r="U234" i="4"/>
  <c r="V234" i="4"/>
  <c r="W234" i="4"/>
  <c r="X234" i="4"/>
  <c r="Y234" i="4"/>
  <c r="Z234" i="4"/>
  <c r="AA234" i="4"/>
  <c r="AB234" i="4"/>
  <c r="AC234" i="4"/>
  <c r="AE234" i="4"/>
  <c r="AJ234" i="4"/>
  <c r="AM234" i="4"/>
  <c r="AN234" i="4"/>
  <c r="P235" i="4"/>
  <c r="Q235" i="4"/>
  <c r="AQ235" i="4" s="1"/>
  <c r="R235" i="4"/>
  <c r="S235" i="4"/>
  <c r="AN235" i="4" s="1"/>
  <c r="U235" i="4"/>
  <c r="V235" i="4"/>
  <c r="W235" i="4"/>
  <c r="X235" i="4"/>
  <c r="Y235" i="4"/>
  <c r="Z235" i="4"/>
  <c r="AA235" i="4"/>
  <c r="AB235" i="4"/>
  <c r="AC235" i="4"/>
  <c r="AG235" i="4"/>
  <c r="AJ235" i="4"/>
  <c r="AK235" i="4"/>
  <c r="P236" i="4"/>
  <c r="Q236" i="4"/>
  <c r="R236" i="4"/>
  <c r="S236" i="4"/>
  <c r="AN236" i="4" s="1"/>
  <c r="U236" i="4"/>
  <c r="V236" i="4"/>
  <c r="W236" i="4"/>
  <c r="X236" i="4"/>
  <c r="Y236" i="4"/>
  <c r="Z236" i="4"/>
  <c r="AA236" i="4"/>
  <c r="AB236" i="4"/>
  <c r="AC236" i="4"/>
  <c r="AG236" i="4"/>
  <c r="AJ236" i="4"/>
  <c r="AK236" i="4"/>
  <c r="AL236" i="4"/>
  <c r="P237" i="4"/>
  <c r="AP237" i="4" s="1"/>
  <c r="Q237" i="4"/>
  <c r="R237" i="4"/>
  <c r="S237" i="4"/>
  <c r="AN237" i="4" s="1"/>
  <c r="U237" i="4"/>
  <c r="V237" i="4"/>
  <c r="W237" i="4"/>
  <c r="X237" i="4"/>
  <c r="Y237" i="4"/>
  <c r="Z237" i="4"/>
  <c r="AA237" i="4"/>
  <c r="AB237" i="4"/>
  <c r="AC237" i="4"/>
  <c r="AE237" i="4"/>
  <c r="AJ237" i="4"/>
  <c r="AK237" i="4"/>
  <c r="AM237" i="4"/>
  <c r="P238" i="4"/>
  <c r="AP238" i="4" s="1"/>
  <c r="Q238" i="4"/>
  <c r="AQ238" i="4" s="1"/>
  <c r="R238" i="4"/>
  <c r="S238" i="4"/>
  <c r="AN238" i="4" s="1"/>
  <c r="U238" i="4"/>
  <c r="V238" i="4"/>
  <c r="W238" i="4"/>
  <c r="X238" i="4"/>
  <c r="Y238" i="4"/>
  <c r="Z238" i="4"/>
  <c r="AA238" i="4"/>
  <c r="AB238" i="4"/>
  <c r="AC238" i="4"/>
  <c r="AE238" i="4"/>
  <c r="AJ238" i="4"/>
  <c r="AK238" i="4"/>
  <c r="AL238" i="4"/>
  <c r="P239" i="4"/>
  <c r="AP239" i="4" s="1"/>
  <c r="Q239" i="4"/>
  <c r="AQ239" i="4" s="1"/>
  <c r="R239" i="4"/>
  <c r="S239" i="4"/>
  <c r="AN239" i="4" s="1"/>
  <c r="U239" i="4"/>
  <c r="V239" i="4"/>
  <c r="W239" i="4"/>
  <c r="X239" i="4"/>
  <c r="Y239" i="4"/>
  <c r="Z239" i="4"/>
  <c r="AA239" i="4"/>
  <c r="AB239" i="4"/>
  <c r="AC239" i="4"/>
  <c r="AF239" i="4"/>
  <c r="AJ239" i="4"/>
  <c r="AK239" i="4"/>
  <c r="AL239" i="4"/>
  <c r="AM239" i="4"/>
  <c r="P240" i="4"/>
  <c r="Q240" i="4"/>
  <c r="AQ240" i="4" s="1"/>
  <c r="R240" i="4"/>
  <c r="AR240" i="4" s="1"/>
  <c r="S240" i="4"/>
  <c r="AN240" i="4" s="1"/>
  <c r="U240" i="4"/>
  <c r="V240" i="4"/>
  <c r="W240" i="4"/>
  <c r="X240" i="4"/>
  <c r="Y240" i="4"/>
  <c r="Z240" i="4"/>
  <c r="AA240" i="4"/>
  <c r="AB240" i="4"/>
  <c r="AC240" i="4"/>
  <c r="AF240" i="4"/>
  <c r="AG240" i="4"/>
  <c r="AJ240" i="4"/>
  <c r="AM240" i="4"/>
  <c r="P241" i="4"/>
  <c r="AP241" i="4" s="1"/>
  <c r="Q241" i="4"/>
  <c r="R241" i="4"/>
  <c r="AR241" i="4" s="1"/>
  <c r="S241" i="4"/>
  <c r="U241" i="4"/>
  <c r="V241" i="4"/>
  <c r="W241" i="4"/>
  <c r="X241" i="4"/>
  <c r="Y241" i="4"/>
  <c r="Z241" i="4"/>
  <c r="AA241" i="4"/>
  <c r="AB241" i="4"/>
  <c r="AC241" i="4"/>
  <c r="AF241" i="4"/>
  <c r="AG241" i="4"/>
  <c r="AJ241" i="4"/>
  <c r="AM241" i="4"/>
  <c r="AN241" i="4"/>
  <c r="P242" i="4"/>
  <c r="Q242" i="4"/>
  <c r="AQ242" i="4" s="1"/>
  <c r="R242" i="4"/>
  <c r="S242" i="4"/>
  <c r="U242" i="4"/>
  <c r="V242" i="4"/>
  <c r="W242" i="4"/>
  <c r="X242" i="4"/>
  <c r="Y242" i="4"/>
  <c r="Z242" i="4"/>
  <c r="AA242" i="4"/>
  <c r="AB242" i="4"/>
  <c r="AC242" i="4"/>
  <c r="AG242" i="4"/>
  <c r="AJ242" i="4"/>
  <c r="AN242" i="4"/>
  <c r="P243" i="4"/>
  <c r="Q243" i="4"/>
  <c r="R243" i="4"/>
  <c r="S243" i="4"/>
  <c r="AN243" i="4" s="1"/>
  <c r="U243" i="4"/>
  <c r="V243" i="4"/>
  <c r="W243" i="4"/>
  <c r="X243" i="4"/>
  <c r="Y243" i="4"/>
  <c r="Z243" i="4"/>
  <c r="AA243" i="4"/>
  <c r="AB243" i="4"/>
  <c r="AC243" i="4"/>
  <c r="AJ243" i="4"/>
  <c r="AK243" i="4"/>
  <c r="AM243" i="4"/>
  <c r="P244" i="4"/>
  <c r="Q244" i="4"/>
  <c r="AQ244" i="4" s="1"/>
  <c r="R244" i="4"/>
  <c r="S244" i="4"/>
  <c r="AN244" i="4" s="1"/>
  <c r="U244" i="4"/>
  <c r="V244" i="4"/>
  <c r="W244" i="4"/>
  <c r="X244" i="4"/>
  <c r="Y244" i="4"/>
  <c r="Z244" i="4"/>
  <c r="AA244" i="4"/>
  <c r="AB244" i="4"/>
  <c r="AC244" i="4"/>
  <c r="AF244" i="4"/>
  <c r="AJ244" i="4"/>
  <c r="AK244" i="4"/>
  <c r="P245" i="4"/>
  <c r="AP245" i="4" s="1"/>
  <c r="Q245" i="4"/>
  <c r="R245" i="4"/>
  <c r="S245" i="4"/>
  <c r="AN245" i="4" s="1"/>
  <c r="U245" i="4"/>
  <c r="V245" i="4"/>
  <c r="W245" i="4"/>
  <c r="X245" i="4"/>
  <c r="Y245" i="4"/>
  <c r="Z245" i="4"/>
  <c r="AA245" i="4"/>
  <c r="AB245" i="4"/>
  <c r="AC245" i="4"/>
  <c r="AJ245" i="4"/>
  <c r="P246" i="4"/>
  <c r="Q246" i="4"/>
  <c r="R246" i="4"/>
  <c r="S246" i="4"/>
  <c r="AN246" i="4" s="1"/>
  <c r="U246" i="4"/>
  <c r="V246" i="4"/>
  <c r="W246" i="4"/>
  <c r="X246" i="4"/>
  <c r="Y246" i="4"/>
  <c r="Z246" i="4"/>
  <c r="AA246" i="4"/>
  <c r="AB246" i="4"/>
  <c r="AC246" i="4"/>
  <c r="AJ246" i="4"/>
  <c r="AM246" i="4"/>
  <c r="P247" i="4"/>
  <c r="AP247" i="4" s="1"/>
  <c r="Q247" i="4"/>
  <c r="AQ247" i="4" s="1"/>
  <c r="R247" i="4"/>
  <c r="S247" i="4"/>
  <c r="AN247" i="4" s="1"/>
  <c r="U247" i="4"/>
  <c r="V247" i="4"/>
  <c r="W247" i="4"/>
  <c r="X247" i="4"/>
  <c r="Y247" i="4"/>
  <c r="Z247" i="4"/>
  <c r="AA247" i="4"/>
  <c r="AB247" i="4"/>
  <c r="AC247" i="4"/>
  <c r="AE247" i="4"/>
  <c r="AJ247" i="4"/>
  <c r="AK247" i="4"/>
  <c r="AL247" i="4"/>
  <c r="P248" i="4"/>
  <c r="Q248" i="4"/>
  <c r="AQ248" i="4" s="1"/>
  <c r="R248" i="4"/>
  <c r="AR248" i="4" s="1"/>
  <c r="S248" i="4"/>
  <c r="U248" i="4"/>
  <c r="V248" i="4"/>
  <c r="W248" i="4"/>
  <c r="X248" i="4"/>
  <c r="Y248" i="4"/>
  <c r="Z248" i="4"/>
  <c r="AA248" i="4"/>
  <c r="AB248" i="4"/>
  <c r="AC248" i="4"/>
  <c r="AF248" i="4"/>
  <c r="AJ248" i="4"/>
  <c r="AL248" i="4"/>
  <c r="AM248" i="4"/>
  <c r="AN248" i="4"/>
  <c r="P249" i="4"/>
  <c r="AP249" i="4" s="1"/>
  <c r="Q249" i="4"/>
  <c r="AQ249" i="4" s="1"/>
  <c r="R249" i="4"/>
  <c r="AR249" i="4" s="1"/>
  <c r="S249" i="4"/>
  <c r="U249" i="4"/>
  <c r="V249" i="4"/>
  <c r="W249" i="4"/>
  <c r="X249" i="4"/>
  <c r="Y249" i="4"/>
  <c r="Z249" i="4"/>
  <c r="AA249" i="4"/>
  <c r="AB249" i="4"/>
  <c r="AC249" i="4"/>
  <c r="AG249" i="4"/>
  <c r="AJ249" i="4"/>
  <c r="AK249" i="4"/>
  <c r="AN249" i="4"/>
  <c r="P250" i="4"/>
  <c r="Q250" i="4"/>
  <c r="AQ250" i="4" s="1"/>
  <c r="R250" i="4"/>
  <c r="AR250" i="4" s="1"/>
  <c r="S250" i="4"/>
  <c r="AN250" i="4" s="1"/>
  <c r="U250" i="4"/>
  <c r="V250" i="4"/>
  <c r="W250" i="4"/>
  <c r="X250" i="4"/>
  <c r="Y250" i="4"/>
  <c r="Z250" i="4"/>
  <c r="AA250" i="4"/>
  <c r="AB250" i="4"/>
  <c r="AC250" i="4"/>
  <c r="AF250" i="4"/>
  <c r="AJ250" i="4"/>
  <c r="AL250" i="4"/>
  <c r="P251" i="4"/>
  <c r="Q251" i="4"/>
  <c r="R251" i="4"/>
  <c r="S251" i="4"/>
  <c r="U251" i="4"/>
  <c r="V251" i="4"/>
  <c r="W251" i="4"/>
  <c r="X251" i="4"/>
  <c r="Y251" i="4"/>
  <c r="Z251" i="4"/>
  <c r="AA251" i="4"/>
  <c r="AB251" i="4"/>
  <c r="AC251" i="4"/>
  <c r="AJ251" i="4"/>
  <c r="AN251" i="4"/>
  <c r="P252" i="4"/>
  <c r="Q252" i="4"/>
  <c r="AQ252" i="4" s="1"/>
  <c r="R252" i="4"/>
  <c r="S252" i="4"/>
  <c r="U252" i="4"/>
  <c r="V252" i="4"/>
  <c r="W252" i="4"/>
  <c r="X252" i="4"/>
  <c r="Y252" i="4"/>
  <c r="Z252" i="4"/>
  <c r="AA252" i="4"/>
  <c r="AB252" i="4"/>
  <c r="AC252" i="4"/>
  <c r="AF252" i="4"/>
  <c r="AG252" i="4"/>
  <c r="AJ252" i="4"/>
  <c r="AN252" i="4"/>
  <c r="P253" i="4"/>
  <c r="AP253" i="4" s="1"/>
  <c r="Q253" i="4"/>
  <c r="AQ253" i="4" s="1"/>
  <c r="R253" i="4"/>
  <c r="S253" i="4"/>
  <c r="AN253" i="4" s="1"/>
  <c r="U253" i="4"/>
  <c r="V253" i="4"/>
  <c r="W253" i="4"/>
  <c r="X253" i="4"/>
  <c r="Y253" i="4"/>
  <c r="Z253" i="4"/>
  <c r="AA253" i="4"/>
  <c r="AB253" i="4"/>
  <c r="AC253" i="4"/>
  <c r="AE253" i="4"/>
  <c r="AG253" i="4"/>
  <c r="AJ253" i="4"/>
  <c r="AK253" i="4"/>
  <c r="P254" i="4"/>
  <c r="AP254" i="4" s="1"/>
  <c r="Q254" i="4"/>
  <c r="R254" i="4"/>
  <c r="S254" i="4"/>
  <c r="U254" i="4"/>
  <c r="V254" i="4"/>
  <c r="W254" i="4"/>
  <c r="X254" i="4"/>
  <c r="Y254" i="4"/>
  <c r="Z254" i="4"/>
  <c r="AA254" i="4"/>
  <c r="AB254" i="4"/>
  <c r="AC254" i="4"/>
  <c r="AJ254" i="4"/>
  <c r="AM254" i="4"/>
  <c r="AN254" i="4"/>
  <c r="P255" i="4"/>
  <c r="AP255" i="4" s="1"/>
  <c r="Q255" i="4"/>
  <c r="AQ255" i="4" s="1"/>
  <c r="R255" i="4"/>
  <c r="AR255" i="4" s="1"/>
  <c r="S255" i="4"/>
  <c r="AN255" i="4" s="1"/>
  <c r="U255" i="4"/>
  <c r="V255" i="4"/>
  <c r="W255" i="4"/>
  <c r="X255" i="4"/>
  <c r="Y255" i="4"/>
  <c r="Z255" i="4"/>
  <c r="AA255" i="4"/>
  <c r="AB255" i="4"/>
  <c r="AC255" i="4"/>
  <c r="AF255" i="4"/>
  <c r="AJ255" i="4"/>
  <c r="AL255" i="4"/>
  <c r="P256" i="4"/>
  <c r="AP256" i="4" s="1"/>
  <c r="Q256" i="4"/>
  <c r="AQ256" i="4" s="1"/>
  <c r="R256" i="4"/>
  <c r="S256" i="4"/>
  <c r="U256" i="4"/>
  <c r="V256" i="4"/>
  <c r="W256" i="4"/>
  <c r="X256" i="4"/>
  <c r="Y256" i="4"/>
  <c r="Z256" i="4"/>
  <c r="AA256" i="4"/>
  <c r="AB256" i="4"/>
  <c r="AC256" i="4"/>
  <c r="AF256" i="4"/>
  <c r="AJ256" i="4"/>
  <c r="AL256" i="4"/>
  <c r="AN256" i="4"/>
  <c r="P257" i="4"/>
  <c r="Q257" i="4"/>
  <c r="AQ257" i="4" s="1"/>
  <c r="R257" i="4"/>
  <c r="AR257" i="4" s="1"/>
  <c r="S257" i="4"/>
  <c r="AN257" i="4" s="1"/>
  <c r="U257" i="4"/>
  <c r="V257" i="4"/>
  <c r="W257" i="4"/>
  <c r="X257" i="4"/>
  <c r="Y257" i="4"/>
  <c r="Z257" i="4"/>
  <c r="AA257" i="4"/>
  <c r="AB257" i="4"/>
  <c r="AC257" i="4"/>
  <c r="AF257" i="4"/>
  <c r="AG257" i="4"/>
  <c r="AJ257" i="4"/>
  <c r="AM257" i="4"/>
  <c r="P258" i="4"/>
  <c r="Q258" i="4"/>
  <c r="R258" i="4"/>
  <c r="AR258" i="4" s="1"/>
  <c r="S258" i="4"/>
  <c r="U258" i="4"/>
  <c r="V258" i="4"/>
  <c r="W258" i="4"/>
  <c r="X258" i="4"/>
  <c r="Y258" i="4"/>
  <c r="Z258" i="4"/>
  <c r="AA258" i="4"/>
  <c r="AB258" i="4"/>
  <c r="AC258" i="4"/>
  <c r="AG258" i="4"/>
  <c r="AJ258" i="4"/>
  <c r="AL258" i="4"/>
  <c r="AM258" i="4"/>
  <c r="AN258" i="4"/>
  <c r="P259" i="4"/>
  <c r="AP259" i="4" s="1"/>
  <c r="Q259" i="4"/>
  <c r="R259" i="4"/>
  <c r="S259" i="4"/>
  <c r="U259" i="4"/>
  <c r="V259" i="4"/>
  <c r="W259" i="4"/>
  <c r="X259" i="4"/>
  <c r="Y259" i="4"/>
  <c r="Z259" i="4"/>
  <c r="AA259" i="4"/>
  <c r="AB259" i="4"/>
  <c r="AC259" i="4"/>
  <c r="AE259" i="4"/>
  <c r="AJ259" i="4"/>
  <c r="AK259" i="4"/>
  <c r="AN259" i="4"/>
  <c r="P260" i="4"/>
  <c r="Q260" i="4"/>
  <c r="R260" i="4"/>
  <c r="S260" i="4"/>
  <c r="U260" i="4"/>
  <c r="V260" i="4"/>
  <c r="W260" i="4"/>
  <c r="X260" i="4"/>
  <c r="Y260" i="4"/>
  <c r="Z260" i="4"/>
  <c r="AA260" i="4"/>
  <c r="AB260" i="4"/>
  <c r="AC260" i="4"/>
  <c r="AF260" i="4"/>
  <c r="AJ260" i="4"/>
  <c r="AN260" i="4"/>
  <c r="P261" i="4"/>
  <c r="Q261" i="4"/>
  <c r="R261" i="4"/>
  <c r="AR261" i="4" s="1"/>
  <c r="S261" i="4"/>
  <c r="AN261" i="4" s="1"/>
  <c r="U261" i="4"/>
  <c r="V261" i="4"/>
  <c r="W261" i="4"/>
  <c r="X261" i="4"/>
  <c r="Y261" i="4"/>
  <c r="Z261" i="4"/>
  <c r="AA261" i="4"/>
  <c r="AB261" i="4"/>
  <c r="AC261" i="4"/>
  <c r="AJ261" i="4"/>
  <c r="AK261" i="4"/>
  <c r="AL261" i="4"/>
  <c r="P262" i="4"/>
  <c r="AP262" i="4" s="1"/>
  <c r="Q262" i="4"/>
  <c r="AQ262" i="4" s="1"/>
  <c r="R262" i="4"/>
  <c r="S262" i="4"/>
  <c r="AN262" i="4" s="1"/>
  <c r="U262" i="4"/>
  <c r="V262" i="4"/>
  <c r="W262" i="4"/>
  <c r="X262" i="4"/>
  <c r="Y262" i="4"/>
  <c r="Z262" i="4"/>
  <c r="AA262" i="4"/>
  <c r="AB262" i="4"/>
  <c r="AC262" i="4"/>
  <c r="AE262" i="4"/>
  <c r="AJ262" i="4"/>
  <c r="AK262" i="4"/>
  <c r="AL262" i="4"/>
  <c r="P263" i="4"/>
  <c r="AP263" i="4" s="1"/>
  <c r="Q263" i="4"/>
  <c r="R263" i="4"/>
  <c r="AR263" i="4" s="1"/>
  <c r="S263" i="4"/>
  <c r="U263" i="4"/>
  <c r="V263" i="4"/>
  <c r="W263" i="4"/>
  <c r="X263" i="4"/>
  <c r="Y263" i="4"/>
  <c r="Z263" i="4"/>
  <c r="AA263" i="4"/>
  <c r="AB263" i="4"/>
  <c r="AC263" i="4"/>
  <c r="AG263" i="4"/>
  <c r="AJ263" i="4"/>
  <c r="AK263" i="4"/>
  <c r="AN263" i="4"/>
  <c r="P264" i="4"/>
  <c r="AP264" i="4" s="1"/>
  <c r="Q264" i="4"/>
  <c r="AQ264" i="4" s="1"/>
  <c r="R264" i="4"/>
  <c r="S264" i="4"/>
  <c r="AN264" i="4" s="1"/>
  <c r="U264" i="4"/>
  <c r="V264" i="4"/>
  <c r="W264" i="4"/>
  <c r="X264" i="4"/>
  <c r="Y264" i="4"/>
  <c r="Z264" i="4"/>
  <c r="AA264" i="4"/>
  <c r="AB264" i="4"/>
  <c r="AC264" i="4"/>
  <c r="AE264" i="4"/>
  <c r="AG264" i="4"/>
  <c r="AJ264" i="4"/>
  <c r="AK264" i="4"/>
  <c r="P265" i="4"/>
  <c r="Q265" i="4"/>
  <c r="R265" i="4"/>
  <c r="AR265" i="4" s="1"/>
  <c r="S265" i="4"/>
  <c r="AN265" i="4" s="1"/>
  <c r="U265" i="4"/>
  <c r="V265" i="4"/>
  <c r="W265" i="4"/>
  <c r="X265" i="4"/>
  <c r="Y265" i="4"/>
  <c r="Z265" i="4"/>
  <c r="AA265" i="4"/>
  <c r="AB265" i="4"/>
  <c r="AC265" i="4"/>
  <c r="AJ265" i="4"/>
  <c r="AM265" i="4"/>
  <c r="P266" i="4"/>
  <c r="Q266" i="4"/>
  <c r="R266" i="4"/>
  <c r="S266" i="4"/>
  <c r="AN266" i="4" s="1"/>
  <c r="U266" i="4"/>
  <c r="V266" i="4"/>
  <c r="W266" i="4"/>
  <c r="X266" i="4"/>
  <c r="Y266" i="4"/>
  <c r="Z266" i="4"/>
  <c r="AA266" i="4"/>
  <c r="AB266" i="4"/>
  <c r="AC266" i="4"/>
  <c r="AE266" i="4"/>
  <c r="AJ266" i="4"/>
  <c r="AM266" i="4"/>
  <c r="P267" i="4"/>
  <c r="Q267" i="4"/>
  <c r="AQ267" i="4" s="1"/>
  <c r="R267" i="4"/>
  <c r="S267" i="4"/>
  <c r="U267" i="4"/>
  <c r="V267" i="4"/>
  <c r="W267" i="4"/>
  <c r="X267" i="4"/>
  <c r="Y267" i="4"/>
  <c r="Z267" i="4"/>
  <c r="AA267" i="4"/>
  <c r="AB267" i="4"/>
  <c r="AC267" i="4"/>
  <c r="AF267" i="4"/>
  <c r="AG267" i="4"/>
  <c r="AJ267" i="4"/>
  <c r="AK267" i="4"/>
  <c r="AL267" i="4"/>
  <c r="AN267" i="4"/>
  <c r="P268" i="4"/>
  <c r="Q268" i="4"/>
  <c r="R268" i="4"/>
  <c r="AR268" i="4" s="1"/>
  <c r="S268" i="4"/>
  <c r="AN268" i="4" s="1"/>
  <c r="U268" i="4"/>
  <c r="V268" i="4"/>
  <c r="W268" i="4"/>
  <c r="X268" i="4"/>
  <c r="Y268" i="4"/>
  <c r="Z268" i="4"/>
  <c r="AA268" i="4"/>
  <c r="AB268" i="4"/>
  <c r="AC268" i="4"/>
  <c r="AE268" i="4"/>
  <c r="AG268" i="4"/>
  <c r="AJ268" i="4"/>
  <c r="AM268" i="4"/>
  <c r="P269" i="4"/>
  <c r="AP269" i="4" s="1"/>
  <c r="Q269" i="4"/>
  <c r="R269" i="4"/>
  <c r="S269" i="4"/>
  <c r="AN269" i="4" s="1"/>
  <c r="U269" i="4"/>
  <c r="V269" i="4"/>
  <c r="W269" i="4"/>
  <c r="X269" i="4"/>
  <c r="Y269" i="4"/>
  <c r="Z269" i="4"/>
  <c r="AA269" i="4"/>
  <c r="AB269" i="4"/>
  <c r="AC269" i="4"/>
  <c r="AF269" i="4"/>
  <c r="AJ269" i="4"/>
  <c r="AM269" i="4"/>
  <c r="P270" i="4"/>
  <c r="AP270" i="4" s="1"/>
  <c r="Q270" i="4"/>
  <c r="AQ270" i="4" s="1"/>
  <c r="R270" i="4"/>
  <c r="S270" i="4"/>
  <c r="U270" i="4"/>
  <c r="V270" i="4"/>
  <c r="W270" i="4"/>
  <c r="X270" i="4"/>
  <c r="Y270" i="4"/>
  <c r="Z270" i="4"/>
  <c r="AA270" i="4"/>
  <c r="AB270" i="4"/>
  <c r="AC270" i="4"/>
  <c r="AG270" i="4"/>
  <c r="AJ270" i="4"/>
  <c r="AK270" i="4"/>
  <c r="AN270" i="4"/>
  <c r="P271" i="4"/>
  <c r="AP271" i="4" s="1"/>
  <c r="Q271" i="4"/>
  <c r="AQ271" i="4" s="1"/>
  <c r="R271" i="4"/>
  <c r="AR271" i="4" s="1"/>
  <c r="S271" i="4"/>
  <c r="AN271" i="4" s="1"/>
  <c r="U271" i="4"/>
  <c r="V271" i="4"/>
  <c r="W271" i="4"/>
  <c r="X271" i="4"/>
  <c r="Y271" i="4"/>
  <c r="Z271" i="4"/>
  <c r="AA271" i="4"/>
  <c r="AB271" i="4"/>
  <c r="AC271" i="4"/>
  <c r="AF271" i="4"/>
  <c r="AJ271" i="4"/>
  <c r="AL271" i="4"/>
  <c r="P272" i="4"/>
  <c r="Q272" i="4"/>
  <c r="AQ272" i="4" s="1"/>
  <c r="R272" i="4"/>
  <c r="AR272" i="4" s="1"/>
  <c r="S272" i="4"/>
  <c r="AN272" i="4" s="1"/>
  <c r="U272" i="4"/>
  <c r="V272" i="4"/>
  <c r="W272" i="4"/>
  <c r="X272" i="4"/>
  <c r="Y272" i="4"/>
  <c r="Z272" i="4"/>
  <c r="AA272" i="4"/>
  <c r="AB272" i="4"/>
  <c r="AC272" i="4"/>
  <c r="AJ272" i="4"/>
  <c r="AM272" i="4"/>
  <c r="P273" i="4"/>
  <c r="Q273" i="4"/>
  <c r="R273" i="4"/>
  <c r="AR273" i="4" s="1"/>
  <c r="S273" i="4"/>
  <c r="AN273" i="4" s="1"/>
  <c r="U273" i="4"/>
  <c r="V273" i="4"/>
  <c r="W273" i="4"/>
  <c r="X273" i="4"/>
  <c r="Y273" i="4"/>
  <c r="Z273" i="4"/>
  <c r="AA273" i="4"/>
  <c r="AB273" i="4"/>
  <c r="AC273" i="4"/>
  <c r="AE273" i="4"/>
  <c r="AJ273" i="4"/>
  <c r="AL273" i="4"/>
  <c r="P274" i="4"/>
  <c r="AP274" i="4" s="1"/>
  <c r="Q274" i="4"/>
  <c r="R274" i="4"/>
  <c r="S274" i="4"/>
  <c r="AN274" i="4" s="1"/>
  <c r="U274" i="4"/>
  <c r="V274" i="4"/>
  <c r="W274" i="4"/>
  <c r="X274" i="4"/>
  <c r="Y274" i="4"/>
  <c r="Z274" i="4"/>
  <c r="AA274" i="4"/>
  <c r="AB274" i="4"/>
  <c r="AC274" i="4"/>
  <c r="AF274" i="4"/>
  <c r="AJ274" i="4"/>
  <c r="AK274" i="4"/>
  <c r="P275" i="4"/>
  <c r="Q275" i="4"/>
  <c r="AQ275" i="4" s="1"/>
  <c r="R275" i="4"/>
  <c r="S275" i="4"/>
  <c r="U275" i="4"/>
  <c r="V275" i="4"/>
  <c r="W275" i="4"/>
  <c r="X275" i="4"/>
  <c r="Y275" i="4"/>
  <c r="Z275" i="4"/>
  <c r="AA275" i="4"/>
  <c r="AB275" i="4"/>
  <c r="AC275" i="4"/>
  <c r="AF275" i="4"/>
  <c r="AG275" i="4"/>
  <c r="AJ275" i="4"/>
  <c r="AK275" i="4"/>
  <c r="AL275" i="4"/>
  <c r="AN275" i="4"/>
  <c r="P276" i="4"/>
  <c r="Q276" i="4"/>
  <c r="R276" i="4"/>
  <c r="AR276" i="4" s="1"/>
  <c r="S276" i="4"/>
  <c r="AN276" i="4" s="1"/>
  <c r="U276" i="4"/>
  <c r="V276" i="4"/>
  <c r="W276" i="4"/>
  <c r="X276" i="4"/>
  <c r="Y276" i="4"/>
  <c r="Z276" i="4"/>
  <c r="AA276" i="4"/>
  <c r="AB276" i="4"/>
  <c r="AC276" i="4"/>
  <c r="AG276" i="4"/>
  <c r="AJ276" i="4"/>
  <c r="AL276" i="4"/>
  <c r="AM276" i="4"/>
  <c r="P277" i="4"/>
  <c r="AP277" i="4" s="1"/>
  <c r="Q277" i="4"/>
  <c r="AQ277" i="4" s="1"/>
  <c r="R277" i="4"/>
  <c r="S277" i="4"/>
  <c r="U277" i="4"/>
  <c r="V277" i="4"/>
  <c r="W277" i="4"/>
  <c r="X277" i="4"/>
  <c r="Y277" i="4"/>
  <c r="Z277" i="4"/>
  <c r="AA277" i="4"/>
  <c r="AB277" i="4"/>
  <c r="AC277" i="4"/>
  <c r="AF277" i="4"/>
  <c r="AJ277" i="4"/>
  <c r="AL277" i="4"/>
  <c r="AM277" i="4"/>
  <c r="AN277" i="4"/>
  <c r="P278" i="4"/>
  <c r="AP278" i="4" s="1"/>
  <c r="Q278" i="4"/>
  <c r="R278" i="4"/>
  <c r="S278" i="4"/>
  <c r="U278" i="4"/>
  <c r="V278" i="4"/>
  <c r="W278" i="4"/>
  <c r="X278" i="4"/>
  <c r="Y278" i="4"/>
  <c r="Z278" i="4"/>
  <c r="AA278" i="4"/>
  <c r="AB278" i="4"/>
  <c r="AC278" i="4"/>
  <c r="AF278" i="4"/>
  <c r="AJ278" i="4"/>
  <c r="AK278" i="4"/>
  <c r="AN278" i="4"/>
  <c r="P279" i="4"/>
  <c r="Q279" i="4"/>
  <c r="AQ279" i="4" s="1"/>
  <c r="R279" i="4"/>
  <c r="S279" i="4"/>
  <c r="U279" i="4"/>
  <c r="V279" i="4"/>
  <c r="W279" i="4"/>
  <c r="X279" i="4"/>
  <c r="Y279" i="4"/>
  <c r="Z279" i="4"/>
  <c r="AA279" i="4"/>
  <c r="AB279" i="4"/>
  <c r="AC279" i="4"/>
  <c r="AF279" i="4"/>
  <c r="AG279" i="4"/>
  <c r="AJ279" i="4"/>
  <c r="AN279" i="4"/>
  <c r="P280" i="4"/>
  <c r="AP280" i="4" s="1"/>
  <c r="Q280" i="4"/>
  <c r="R280" i="4"/>
  <c r="AR280" i="4" s="1"/>
  <c r="S280" i="4"/>
  <c r="AN280" i="4" s="1"/>
  <c r="U280" i="4"/>
  <c r="V280" i="4"/>
  <c r="W280" i="4"/>
  <c r="X280" i="4"/>
  <c r="Y280" i="4"/>
  <c r="Z280" i="4"/>
  <c r="AA280" i="4"/>
  <c r="AB280" i="4"/>
  <c r="AC280" i="4"/>
  <c r="AE280" i="4"/>
  <c r="AG280" i="4"/>
  <c r="AJ280" i="4"/>
  <c r="AK280" i="4"/>
  <c r="AM280" i="4"/>
  <c r="P281" i="4"/>
  <c r="Q281" i="4"/>
  <c r="R281" i="4"/>
  <c r="S281" i="4"/>
  <c r="U281" i="4"/>
  <c r="V281" i="4"/>
  <c r="W281" i="4"/>
  <c r="X281" i="4"/>
  <c r="Y281" i="4"/>
  <c r="Z281" i="4"/>
  <c r="AA281" i="4"/>
  <c r="AB281" i="4"/>
  <c r="AC281" i="4"/>
  <c r="AE281" i="4"/>
  <c r="AJ281" i="4"/>
  <c r="AN281" i="4"/>
  <c r="P282" i="4"/>
  <c r="AP282" i="4" s="1"/>
  <c r="Q282" i="4"/>
  <c r="R282" i="4"/>
  <c r="S282" i="4"/>
  <c r="AN282" i="4" s="1"/>
  <c r="U282" i="4"/>
  <c r="V282" i="4"/>
  <c r="W282" i="4"/>
  <c r="X282" i="4"/>
  <c r="Y282" i="4"/>
  <c r="Z282" i="4"/>
  <c r="AA282" i="4"/>
  <c r="AB282" i="4"/>
  <c r="AC282" i="4"/>
  <c r="AE282" i="4"/>
  <c r="AG282" i="4"/>
  <c r="AJ282" i="4"/>
  <c r="AK282" i="4"/>
  <c r="P283" i="4"/>
  <c r="Q283" i="4"/>
  <c r="AQ283" i="4" s="1"/>
  <c r="R283" i="4"/>
  <c r="S283" i="4"/>
  <c r="AN283" i="4" s="1"/>
  <c r="U283" i="4"/>
  <c r="V283" i="4"/>
  <c r="W283" i="4"/>
  <c r="X283" i="4"/>
  <c r="Y283" i="4"/>
  <c r="Z283" i="4"/>
  <c r="AA283" i="4"/>
  <c r="AB283" i="4"/>
  <c r="AC283" i="4"/>
  <c r="AF283" i="4"/>
  <c r="AJ283" i="4"/>
  <c r="AL283" i="4"/>
  <c r="P284" i="4"/>
  <c r="Q284" i="4"/>
  <c r="R284" i="4"/>
  <c r="AR284" i="4" s="1"/>
  <c r="S284" i="4"/>
  <c r="AN284" i="4" s="1"/>
  <c r="U284" i="4"/>
  <c r="V284" i="4"/>
  <c r="W284" i="4"/>
  <c r="X284" i="4"/>
  <c r="Y284" i="4"/>
  <c r="Z284" i="4"/>
  <c r="AA284" i="4"/>
  <c r="AB284" i="4"/>
  <c r="AC284" i="4"/>
  <c r="AG284" i="4"/>
  <c r="AJ284" i="4"/>
  <c r="AK284" i="4"/>
  <c r="AM284" i="4"/>
  <c r="P285" i="4"/>
  <c r="Q285" i="4"/>
  <c r="R285" i="4"/>
  <c r="AR285" i="4" s="1"/>
  <c r="S285" i="4"/>
  <c r="U285" i="4"/>
  <c r="V285" i="4"/>
  <c r="W285" i="4"/>
  <c r="X285" i="4"/>
  <c r="Y285" i="4"/>
  <c r="Z285" i="4"/>
  <c r="AA285" i="4"/>
  <c r="AB285" i="4"/>
  <c r="AC285" i="4"/>
  <c r="AJ285" i="4"/>
  <c r="AL285" i="4"/>
  <c r="AN285" i="4"/>
  <c r="P286" i="4"/>
  <c r="AP286" i="4" s="1"/>
  <c r="Q286" i="4"/>
  <c r="R286" i="4"/>
  <c r="S286" i="4"/>
  <c r="U286" i="4"/>
  <c r="V286" i="4"/>
  <c r="W286" i="4"/>
  <c r="X286" i="4"/>
  <c r="Y286" i="4"/>
  <c r="Z286" i="4"/>
  <c r="AA286" i="4"/>
  <c r="AB286" i="4"/>
  <c r="AC286" i="4"/>
  <c r="AE286" i="4"/>
  <c r="AG286" i="4"/>
  <c r="AJ286" i="4"/>
  <c r="AK286" i="4"/>
  <c r="AN286" i="4"/>
  <c r="P287" i="4"/>
  <c r="AP287" i="4" s="1"/>
  <c r="Q287" i="4"/>
  <c r="AQ287" i="4" s="1"/>
  <c r="R287" i="4"/>
  <c r="S287" i="4"/>
  <c r="AN287" i="4" s="1"/>
  <c r="U287" i="4"/>
  <c r="V287" i="4"/>
  <c r="W287" i="4"/>
  <c r="X287" i="4"/>
  <c r="Y287" i="4"/>
  <c r="Z287" i="4"/>
  <c r="AA287" i="4"/>
  <c r="AB287" i="4"/>
  <c r="AC287" i="4"/>
  <c r="AF287" i="4"/>
  <c r="AJ287" i="4"/>
  <c r="AL287" i="4"/>
  <c r="P288" i="4"/>
  <c r="Q288" i="4"/>
  <c r="R288" i="4"/>
  <c r="AR288" i="4" s="1"/>
  <c r="S288" i="4"/>
  <c r="AN288" i="4" s="1"/>
  <c r="U288" i="4"/>
  <c r="V288" i="4"/>
  <c r="W288" i="4"/>
  <c r="X288" i="4"/>
  <c r="Y288" i="4"/>
  <c r="Z288" i="4"/>
  <c r="AA288" i="4"/>
  <c r="AB288" i="4"/>
  <c r="AC288" i="4"/>
  <c r="AJ288" i="4"/>
  <c r="AL288" i="4"/>
  <c r="AM288" i="4"/>
  <c r="P289" i="4"/>
  <c r="Q289" i="4"/>
  <c r="R289" i="4"/>
  <c r="S289" i="4"/>
  <c r="U289" i="4"/>
  <c r="V289" i="4"/>
  <c r="W289" i="4"/>
  <c r="X289" i="4"/>
  <c r="Y289" i="4"/>
  <c r="Z289" i="4"/>
  <c r="AA289" i="4"/>
  <c r="AB289" i="4"/>
  <c r="AC289" i="4"/>
  <c r="AF289" i="4"/>
  <c r="AJ289" i="4"/>
  <c r="AN289" i="4"/>
  <c r="P290" i="4"/>
  <c r="AP290" i="4" s="1"/>
  <c r="Q290" i="4"/>
  <c r="R290" i="4"/>
  <c r="AR290" i="4" s="1"/>
  <c r="S290" i="4"/>
  <c r="AN290" i="4" s="1"/>
  <c r="U290" i="4"/>
  <c r="V290" i="4"/>
  <c r="W290" i="4"/>
  <c r="X290" i="4"/>
  <c r="Y290" i="4"/>
  <c r="Z290" i="4"/>
  <c r="AA290" i="4"/>
  <c r="AB290" i="4"/>
  <c r="AC290" i="4"/>
  <c r="AE290" i="4"/>
  <c r="AJ290" i="4"/>
  <c r="AK290" i="4"/>
  <c r="P291" i="4"/>
  <c r="Q291" i="4"/>
  <c r="AQ291" i="4" s="1"/>
  <c r="R291" i="4"/>
  <c r="S291" i="4"/>
  <c r="U291" i="4"/>
  <c r="V291" i="4"/>
  <c r="W291" i="4"/>
  <c r="X291" i="4"/>
  <c r="Y291" i="4"/>
  <c r="Z291" i="4"/>
  <c r="AA291" i="4"/>
  <c r="AB291" i="4"/>
  <c r="AC291" i="4"/>
  <c r="AF291" i="4"/>
  <c r="AJ291" i="4"/>
  <c r="AL291" i="4"/>
  <c r="AN291" i="4"/>
  <c r="P292" i="4"/>
  <c r="Q292" i="4"/>
  <c r="AQ292" i="4" s="1"/>
  <c r="R292" i="4"/>
  <c r="AR292" i="4" s="1"/>
  <c r="S292" i="4"/>
  <c r="AN292" i="4" s="1"/>
  <c r="U292" i="4"/>
  <c r="V292" i="4"/>
  <c r="W292" i="4"/>
  <c r="X292" i="4"/>
  <c r="Y292" i="4"/>
  <c r="Z292" i="4"/>
  <c r="AA292" i="4"/>
  <c r="AB292" i="4"/>
  <c r="AC292" i="4"/>
  <c r="AG292" i="4"/>
  <c r="AJ292" i="4"/>
  <c r="AM292" i="4"/>
  <c r="P293" i="4"/>
  <c r="Q293" i="4"/>
  <c r="R293" i="4"/>
  <c r="S293" i="4"/>
  <c r="AN293" i="4" s="1"/>
  <c r="U293" i="4"/>
  <c r="V293" i="4"/>
  <c r="W293" i="4"/>
  <c r="X293" i="4"/>
  <c r="Y293" i="4"/>
  <c r="Z293" i="4"/>
  <c r="AA293" i="4"/>
  <c r="AB293" i="4"/>
  <c r="AC293" i="4"/>
  <c r="AF293" i="4"/>
  <c r="AJ293" i="4"/>
  <c r="AM293" i="4"/>
  <c r="P294" i="4"/>
  <c r="AP294" i="4" s="1"/>
  <c r="Q294" i="4"/>
  <c r="R294" i="4"/>
  <c r="S294" i="4"/>
  <c r="AN294" i="4" s="1"/>
  <c r="U294" i="4"/>
  <c r="V294" i="4"/>
  <c r="W294" i="4"/>
  <c r="X294" i="4"/>
  <c r="Y294" i="4"/>
  <c r="Z294" i="4"/>
  <c r="AA294" i="4"/>
  <c r="AB294" i="4"/>
  <c r="AC294" i="4"/>
  <c r="AF294" i="4"/>
  <c r="AJ294" i="4"/>
  <c r="P295" i="4"/>
  <c r="Q295" i="4"/>
  <c r="AQ295" i="4" s="1"/>
  <c r="R295" i="4"/>
  <c r="AR295" i="4" s="1"/>
  <c r="S295" i="4"/>
  <c r="U295" i="4"/>
  <c r="V295" i="4"/>
  <c r="W295" i="4"/>
  <c r="X295" i="4"/>
  <c r="Y295" i="4"/>
  <c r="Z295" i="4"/>
  <c r="AA295" i="4"/>
  <c r="AB295" i="4"/>
  <c r="AC295" i="4"/>
  <c r="AF295" i="4"/>
  <c r="AJ295" i="4"/>
  <c r="AL295" i="4"/>
  <c r="AN295" i="4"/>
  <c r="P296" i="4"/>
  <c r="Q296" i="4"/>
  <c r="R296" i="4"/>
  <c r="AR296" i="4" s="1"/>
  <c r="S296" i="4"/>
  <c r="AN296" i="4" s="1"/>
  <c r="U296" i="4"/>
  <c r="V296" i="4"/>
  <c r="W296" i="4"/>
  <c r="X296" i="4"/>
  <c r="Y296" i="4"/>
  <c r="Z296" i="4"/>
  <c r="AA296" i="4"/>
  <c r="AB296" i="4"/>
  <c r="AC296" i="4"/>
  <c r="AG296" i="4"/>
  <c r="AJ296" i="4"/>
  <c r="AM296" i="4"/>
  <c r="P297" i="4"/>
  <c r="Q297" i="4"/>
  <c r="AQ297" i="4" s="1"/>
  <c r="R297" i="4"/>
  <c r="S297" i="4"/>
  <c r="U297" i="4"/>
  <c r="V297" i="4"/>
  <c r="W297" i="4"/>
  <c r="X297" i="4"/>
  <c r="Y297" i="4"/>
  <c r="Z297" i="4"/>
  <c r="AA297" i="4"/>
  <c r="AB297" i="4"/>
  <c r="AC297" i="4"/>
  <c r="AJ297" i="4"/>
  <c r="AM297" i="4"/>
  <c r="AN297" i="4"/>
  <c r="P298" i="4"/>
  <c r="AP298" i="4" s="1"/>
  <c r="Q298" i="4"/>
  <c r="R298" i="4"/>
  <c r="AR298" i="4" s="1"/>
  <c r="S298" i="4"/>
  <c r="U298" i="4"/>
  <c r="V298" i="4"/>
  <c r="W298" i="4"/>
  <c r="X298" i="4"/>
  <c r="Y298" i="4"/>
  <c r="Z298" i="4"/>
  <c r="AA298" i="4"/>
  <c r="AB298" i="4"/>
  <c r="AC298" i="4"/>
  <c r="AE298" i="4"/>
  <c r="AG298" i="4"/>
  <c r="AJ298" i="4"/>
  <c r="AK298" i="4"/>
  <c r="AM298" i="4"/>
  <c r="AN298" i="4"/>
  <c r="P299" i="4"/>
  <c r="Q299" i="4"/>
  <c r="AQ299" i="4" s="1"/>
  <c r="R299" i="4"/>
  <c r="S299" i="4"/>
  <c r="U299" i="4"/>
  <c r="V299" i="4"/>
  <c r="W299" i="4"/>
  <c r="X299" i="4"/>
  <c r="Y299" i="4"/>
  <c r="Z299" i="4"/>
  <c r="AA299" i="4"/>
  <c r="AB299" i="4"/>
  <c r="AC299" i="4"/>
  <c r="AF299" i="4"/>
  <c r="AG299" i="4"/>
  <c r="AJ299" i="4"/>
  <c r="AK299" i="4"/>
  <c r="AN299" i="4"/>
  <c r="P300" i="4"/>
  <c r="AP300" i="4" s="1"/>
  <c r="Q300" i="4"/>
  <c r="R300" i="4"/>
  <c r="AR300" i="4" s="1"/>
  <c r="S300" i="4"/>
  <c r="AN300" i="4" s="1"/>
  <c r="U300" i="4"/>
  <c r="V300" i="4"/>
  <c r="W300" i="4"/>
  <c r="X300" i="4"/>
  <c r="Y300" i="4"/>
  <c r="Z300" i="4"/>
  <c r="AA300" i="4"/>
  <c r="AB300" i="4"/>
  <c r="AC300" i="4"/>
  <c r="AE300" i="4"/>
  <c r="AG300" i="4"/>
  <c r="AJ300" i="4"/>
  <c r="AK300" i="4"/>
  <c r="AL300" i="4"/>
  <c r="AM300" i="4"/>
  <c r="P301" i="4"/>
  <c r="Q301" i="4"/>
  <c r="R301" i="4"/>
  <c r="S301" i="4"/>
  <c r="U301" i="4"/>
  <c r="V301" i="4"/>
  <c r="W301" i="4"/>
  <c r="X301" i="4"/>
  <c r="Y301" i="4"/>
  <c r="Z301" i="4"/>
  <c r="AA301" i="4"/>
  <c r="AB301" i="4"/>
  <c r="AC301" i="4"/>
  <c r="AF301" i="4"/>
  <c r="AJ301" i="4"/>
  <c r="AN301" i="4"/>
  <c r="P302" i="4"/>
  <c r="AP302" i="4" s="1"/>
  <c r="Q302" i="4"/>
  <c r="AQ302" i="4" s="1"/>
  <c r="R302" i="4"/>
  <c r="AR302" i="4" s="1"/>
  <c r="S302" i="4"/>
  <c r="AN302" i="4" s="1"/>
  <c r="U302" i="4"/>
  <c r="V302" i="4"/>
  <c r="W302" i="4"/>
  <c r="X302" i="4"/>
  <c r="Y302" i="4"/>
  <c r="Z302" i="4"/>
  <c r="AA302" i="4"/>
  <c r="AB302" i="4"/>
  <c r="AC302" i="4"/>
  <c r="AE302" i="4"/>
  <c r="AG302" i="4"/>
  <c r="AJ302" i="4"/>
  <c r="AK302" i="4"/>
  <c r="AM302" i="4"/>
  <c r="P303" i="4"/>
  <c r="Q303" i="4"/>
  <c r="AQ303" i="4" s="1"/>
  <c r="R303" i="4"/>
  <c r="S303" i="4"/>
  <c r="U303" i="4"/>
  <c r="V303" i="4"/>
  <c r="W303" i="4"/>
  <c r="X303" i="4"/>
  <c r="Y303" i="4"/>
  <c r="Z303" i="4"/>
  <c r="AA303" i="4"/>
  <c r="AB303" i="4"/>
  <c r="AC303" i="4"/>
  <c r="AF303" i="4"/>
  <c r="AG303" i="4"/>
  <c r="AJ303" i="4"/>
  <c r="AN303" i="4"/>
  <c r="P304" i="4"/>
  <c r="AP304" i="4" s="1"/>
  <c r="Q304" i="4"/>
  <c r="R304" i="4"/>
  <c r="AR304" i="4" s="1"/>
  <c r="S304" i="4"/>
  <c r="AN304" i="4" s="1"/>
  <c r="U304" i="4"/>
  <c r="V304" i="4"/>
  <c r="W304" i="4"/>
  <c r="X304" i="4"/>
  <c r="Y304" i="4"/>
  <c r="Z304" i="4"/>
  <c r="AA304" i="4"/>
  <c r="AB304" i="4"/>
  <c r="AC304" i="4"/>
  <c r="AG304" i="4"/>
  <c r="AJ304" i="4"/>
  <c r="AL304" i="4"/>
  <c r="AM304" i="4"/>
  <c r="P305" i="4"/>
  <c r="Q305" i="4"/>
  <c r="AQ305" i="4" s="1"/>
  <c r="R305" i="4"/>
  <c r="S305" i="4"/>
  <c r="U305" i="4"/>
  <c r="V305" i="4"/>
  <c r="W305" i="4"/>
  <c r="X305" i="4"/>
  <c r="Y305" i="4"/>
  <c r="Z305" i="4"/>
  <c r="AA305" i="4"/>
  <c r="AB305" i="4"/>
  <c r="AC305" i="4"/>
  <c r="AF305" i="4"/>
  <c r="AJ305" i="4"/>
  <c r="AL305" i="4"/>
  <c r="AN305" i="4"/>
  <c r="P306" i="4"/>
  <c r="AP306" i="4" s="1"/>
  <c r="Q306" i="4"/>
  <c r="R306" i="4"/>
  <c r="S306" i="4"/>
  <c r="AN306" i="4" s="1"/>
  <c r="U306" i="4"/>
  <c r="V306" i="4"/>
  <c r="W306" i="4"/>
  <c r="X306" i="4"/>
  <c r="Y306" i="4"/>
  <c r="Z306" i="4"/>
  <c r="AA306" i="4"/>
  <c r="AB306" i="4"/>
  <c r="AC306" i="4"/>
  <c r="AE306" i="4"/>
  <c r="AJ306" i="4"/>
  <c r="AK306" i="4"/>
  <c r="P307" i="4"/>
  <c r="Q307" i="4"/>
  <c r="AQ307" i="4" s="1"/>
  <c r="R307" i="4"/>
  <c r="S307" i="4"/>
  <c r="AN307" i="4" s="1"/>
  <c r="U307" i="4"/>
  <c r="V307" i="4"/>
  <c r="W307" i="4"/>
  <c r="X307" i="4"/>
  <c r="Y307" i="4"/>
  <c r="Z307" i="4"/>
  <c r="AA307" i="4"/>
  <c r="AB307" i="4"/>
  <c r="AC307" i="4"/>
  <c r="AF307" i="4"/>
  <c r="AG307" i="4"/>
  <c r="AJ307" i="4"/>
  <c r="AK307" i="4"/>
  <c r="AL307" i="4"/>
  <c r="P308" i="4"/>
  <c r="AP308" i="4" s="1"/>
  <c r="Q308" i="4"/>
  <c r="R308" i="4"/>
  <c r="AR308" i="4" s="1"/>
  <c r="S308" i="4"/>
  <c r="AN308" i="4" s="1"/>
  <c r="U308" i="4"/>
  <c r="V308" i="4"/>
  <c r="W308" i="4"/>
  <c r="X308" i="4"/>
  <c r="Y308" i="4"/>
  <c r="Z308" i="4"/>
  <c r="AA308" i="4"/>
  <c r="AB308" i="4"/>
  <c r="AC308" i="4"/>
  <c r="AJ308" i="4"/>
  <c r="P309" i="4"/>
  <c r="AP309" i="4" s="1"/>
  <c r="Q309" i="4"/>
  <c r="AQ309" i="4" s="1"/>
  <c r="R309" i="4"/>
  <c r="S309" i="4"/>
  <c r="U309" i="4"/>
  <c r="V309" i="4"/>
  <c r="W309" i="4"/>
  <c r="X309" i="4"/>
  <c r="Y309" i="4"/>
  <c r="Z309" i="4"/>
  <c r="AA309" i="4"/>
  <c r="AB309" i="4"/>
  <c r="AC309" i="4"/>
  <c r="AF309" i="4"/>
  <c r="AJ309" i="4"/>
  <c r="AL309" i="4"/>
  <c r="AM309" i="4"/>
  <c r="AN309" i="4"/>
  <c r="P310" i="4"/>
  <c r="AP310" i="4" s="1"/>
  <c r="Q310" i="4"/>
  <c r="R310" i="4"/>
  <c r="S310" i="4"/>
  <c r="AN310" i="4" s="1"/>
  <c r="U310" i="4"/>
  <c r="V310" i="4"/>
  <c r="W310" i="4"/>
  <c r="X310" i="4"/>
  <c r="Y310" i="4"/>
  <c r="Z310" i="4"/>
  <c r="AA310" i="4"/>
  <c r="AB310" i="4"/>
  <c r="AC310" i="4"/>
  <c r="AF310" i="4"/>
  <c r="AJ310" i="4"/>
  <c r="AK310" i="4"/>
  <c r="P311" i="4"/>
  <c r="Q311" i="4"/>
  <c r="AQ311" i="4" s="1"/>
  <c r="R311" i="4"/>
  <c r="S311" i="4"/>
  <c r="U311" i="4"/>
  <c r="V311" i="4"/>
  <c r="W311" i="4"/>
  <c r="X311" i="4"/>
  <c r="Y311" i="4"/>
  <c r="Z311" i="4"/>
  <c r="AA311" i="4"/>
  <c r="AB311" i="4"/>
  <c r="AC311" i="4"/>
  <c r="AF311" i="4"/>
  <c r="AG311" i="4"/>
  <c r="AJ311" i="4"/>
  <c r="AK311" i="4"/>
  <c r="AL311" i="4"/>
  <c r="AN311" i="4"/>
  <c r="P312" i="4"/>
  <c r="AP312" i="4" s="1"/>
  <c r="Q312" i="4"/>
  <c r="AQ312" i="4" s="1"/>
  <c r="R312" i="4"/>
  <c r="AR312" i="4" s="1"/>
  <c r="S312" i="4"/>
  <c r="AN312" i="4" s="1"/>
  <c r="U312" i="4"/>
  <c r="V312" i="4"/>
  <c r="W312" i="4"/>
  <c r="X312" i="4"/>
  <c r="Y312" i="4"/>
  <c r="Z312" i="4"/>
  <c r="AA312" i="4"/>
  <c r="AB312" i="4"/>
  <c r="AC312" i="4"/>
  <c r="AE312" i="4"/>
  <c r="AG312" i="4"/>
  <c r="AJ312" i="4"/>
  <c r="AK312" i="4"/>
  <c r="AM312" i="4"/>
  <c r="P313" i="4"/>
  <c r="Q313" i="4"/>
  <c r="AQ313" i="4" s="1"/>
  <c r="R313" i="4"/>
  <c r="S313" i="4"/>
  <c r="AN313" i="4" s="1"/>
  <c r="U313" i="4"/>
  <c r="V313" i="4"/>
  <c r="W313" i="4"/>
  <c r="X313" i="4"/>
  <c r="Y313" i="4"/>
  <c r="Z313" i="4"/>
  <c r="AA313" i="4"/>
  <c r="AB313" i="4"/>
  <c r="AC313" i="4"/>
  <c r="AF313" i="4"/>
  <c r="AG313" i="4"/>
  <c r="AJ313" i="4"/>
  <c r="AK313" i="4"/>
  <c r="AL313" i="4"/>
  <c r="P314" i="4"/>
  <c r="Q314" i="4"/>
  <c r="R314" i="4"/>
  <c r="AR314" i="4" s="1"/>
  <c r="S314" i="4"/>
  <c r="AN314" i="4" s="1"/>
  <c r="U314" i="4"/>
  <c r="V314" i="4"/>
  <c r="W314" i="4"/>
  <c r="X314" i="4"/>
  <c r="Y314" i="4"/>
  <c r="Z314" i="4"/>
  <c r="AA314" i="4"/>
  <c r="AB314" i="4"/>
  <c r="AC314" i="4"/>
  <c r="AJ314" i="4"/>
  <c r="AL314" i="4"/>
  <c r="AM314" i="4"/>
  <c r="P315" i="4"/>
  <c r="Q315" i="4"/>
  <c r="R315" i="4"/>
  <c r="S315" i="4"/>
  <c r="U315" i="4"/>
  <c r="V315" i="4"/>
  <c r="W315" i="4"/>
  <c r="X315" i="4"/>
  <c r="Y315" i="4"/>
  <c r="Z315" i="4"/>
  <c r="AA315" i="4"/>
  <c r="AB315" i="4"/>
  <c r="AC315" i="4"/>
  <c r="AJ315" i="4"/>
  <c r="AM315" i="4"/>
  <c r="AN315" i="4"/>
  <c r="P316" i="4"/>
  <c r="AP316" i="4" s="1"/>
  <c r="Q316" i="4"/>
  <c r="R316" i="4"/>
  <c r="S316" i="4"/>
  <c r="U316" i="4"/>
  <c r="V316" i="4"/>
  <c r="W316" i="4"/>
  <c r="X316" i="4"/>
  <c r="Y316" i="4"/>
  <c r="Z316" i="4"/>
  <c r="AA316" i="4"/>
  <c r="AB316" i="4"/>
  <c r="AC316" i="4"/>
  <c r="AE316" i="4"/>
  <c r="AG316" i="4"/>
  <c r="AJ316" i="4"/>
  <c r="AK316" i="4"/>
  <c r="AN316" i="4"/>
  <c r="P317" i="4"/>
  <c r="Q317" i="4"/>
  <c r="AQ317" i="4" s="1"/>
  <c r="R317" i="4"/>
  <c r="S317" i="4"/>
  <c r="AN317" i="4" s="1"/>
  <c r="U317" i="4"/>
  <c r="V317" i="4"/>
  <c r="W317" i="4"/>
  <c r="X317" i="4"/>
  <c r="Y317" i="4"/>
  <c r="Z317" i="4"/>
  <c r="AA317" i="4"/>
  <c r="AB317" i="4"/>
  <c r="AC317" i="4"/>
  <c r="AF317" i="4"/>
  <c r="AJ317" i="4"/>
  <c r="AL317" i="4"/>
  <c r="P318" i="4"/>
  <c r="AP318" i="4" s="1"/>
  <c r="Q318" i="4"/>
  <c r="R318" i="4"/>
  <c r="AR318" i="4" s="1"/>
  <c r="S318" i="4"/>
  <c r="AN318" i="4" s="1"/>
  <c r="U318" i="4"/>
  <c r="V318" i="4"/>
  <c r="W318" i="4"/>
  <c r="X318" i="4"/>
  <c r="Y318" i="4"/>
  <c r="Z318" i="4"/>
  <c r="AA318" i="4"/>
  <c r="AB318" i="4"/>
  <c r="AC318" i="4"/>
  <c r="AG318" i="4"/>
  <c r="AJ318" i="4"/>
  <c r="AL318" i="4"/>
  <c r="AM318" i="4"/>
  <c r="P319" i="4"/>
  <c r="Q319" i="4"/>
  <c r="R319" i="4"/>
  <c r="S319" i="4"/>
  <c r="U319" i="4"/>
  <c r="V319" i="4"/>
  <c r="W319" i="4"/>
  <c r="X319" i="4"/>
  <c r="Y319" i="4"/>
  <c r="Z319" i="4"/>
  <c r="AA319" i="4"/>
  <c r="AB319" i="4"/>
  <c r="AC319" i="4"/>
  <c r="AJ319" i="4"/>
  <c r="AL319" i="4"/>
  <c r="AM319" i="4"/>
  <c r="AN319" i="4"/>
  <c r="P320" i="4"/>
  <c r="AP320" i="4" s="1"/>
  <c r="Q320" i="4"/>
  <c r="R320" i="4"/>
  <c r="S320" i="4"/>
  <c r="U320" i="4"/>
  <c r="V320" i="4"/>
  <c r="W320" i="4"/>
  <c r="X320" i="4"/>
  <c r="Y320" i="4"/>
  <c r="Z320" i="4"/>
  <c r="AA320" i="4"/>
  <c r="AB320" i="4"/>
  <c r="AC320" i="4"/>
  <c r="AF320" i="4"/>
  <c r="AJ320" i="4"/>
  <c r="AK320" i="4"/>
  <c r="AN320" i="4"/>
  <c r="P321" i="4"/>
  <c r="Q321" i="4"/>
  <c r="AQ321" i="4" s="1"/>
  <c r="R321" i="4"/>
  <c r="S321" i="4"/>
  <c r="AN321" i="4" s="1"/>
  <c r="U321" i="4"/>
  <c r="V321" i="4"/>
  <c r="W321" i="4"/>
  <c r="X321" i="4"/>
  <c r="Y321" i="4"/>
  <c r="Z321" i="4"/>
  <c r="AA321" i="4"/>
  <c r="AB321" i="4"/>
  <c r="AC321" i="4"/>
  <c r="AF321" i="4"/>
  <c r="AG321" i="4"/>
  <c r="AJ321" i="4"/>
  <c r="AK321" i="4"/>
  <c r="AL321" i="4"/>
  <c r="P322" i="4"/>
  <c r="AP322" i="4" s="1"/>
  <c r="Q322" i="4"/>
  <c r="R322" i="4"/>
  <c r="AR322" i="4" s="1"/>
  <c r="S322" i="4"/>
  <c r="AN322" i="4" s="1"/>
  <c r="U322" i="4"/>
  <c r="V322" i="4"/>
  <c r="W322" i="4"/>
  <c r="X322" i="4"/>
  <c r="Y322" i="4"/>
  <c r="Z322" i="4"/>
  <c r="AA322" i="4"/>
  <c r="AB322" i="4"/>
  <c r="AC322" i="4"/>
  <c r="AJ322" i="4"/>
  <c r="AL322" i="4"/>
  <c r="AM322" i="4"/>
  <c r="P323" i="4"/>
  <c r="Q323" i="4"/>
  <c r="R323" i="4"/>
  <c r="S323" i="4"/>
  <c r="AN323" i="4" s="1"/>
  <c r="U323" i="4"/>
  <c r="V323" i="4"/>
  <c r="W323" i="4"/>
  <c r="X323" i="4"/>
  <c r="Y323" i="4"/>
  <c r="Z323" i="4"/>
  <c r="AA323" i="4"/>
  <c r="AB323" i="4"/>
  <c r="AC323" i="4"/>
  <c r="AE323" i="4"/>
  <c r="AJ323" i="4"/>
  <c r="AM323" i="4"/>
  <c r="P324" i="4"/>
  <c r="AP324" i="4" s="1"/>
  <c r="Q324" i="4"/>
  <c r="R324" i="4"/>
  <c r="S324" i="4"/>
  <c r="U324" i="4"/>
  <c r="V324" i="4"/>
  <c r="W324" i="4"/>
  <c r="X324" i="4"/>
  <c r="Y324" i="4"/>
  <c r="Z324" i="4"/>
  <c r="AA324" i="4"/>
  <c r="AB324" i="4"/>
  <c r="AC324" i="4"/>
  <c r="AF324" i="4"/>
  <c r="AJ324" i="4"/>
  <c r="AK324" i="4"/>
  <c r="AN324" i="4"/>
  <c r="P325" i="4"/>
  <c r="Q325" i="4"/>
  <c r="AQ325" i="4" s="1"/>
  <c r="R325" i="4"/>
  <c r="S325" i="4"/>
  <c r="AN325" i="4" s="1"/>
  <c r="U325" i="4"/>
  <c r="V325" i="4"/>
  <c r="W325" i="4"/>
  <c r="X325" i="4"/>
  <c r="Y325" i="4"/>
  <c r="Z325" i="4"/>
  <c r="AA325" i="4"/>
  <c r="AB325" i="4"/>
  <c r="AC325" i="4"/>
  <c r="AF325" i="4"/>
  <c r="AG325" i="4"/>
  <c r="AJ325" i="4"/>
  <c r="AK325" i="4"/>
  <c r="AL325" i="4"/>
  <c r="P326" i="4"/>
  <c r="Q326" i="4"/>
  <c r="AQ326" i="4" s="1"/>
  <c r="R326" i="4"/>
  <c r="AR326" i="4" s="1"/>
  <c r="S326" i="4"/>
  <c r="AN326" i="4" s="1"/>
  <c r="U326" i="4"/>
  <c r="V326" i="4"/>
  <c r="W326" i="4"/>
  <c r="X326" i="4"/>
  <c r="Y326" i="4"/>
  <c r="Z326" i="4"/>
  <c r="AA326" i="4"/>
  <c r="AB326" i="4"/>
  <c r="AC326" i="4"/>
  <c r="AJ326" i="4"/>
  <c r="AM326" i="4"/>
  <c r="P327" i="4"/>
  <c r="Q327" i="4"/>
  <c r="R327" i="4"/>
  <c r="S327" i="4"/>
  <c r="U327" i="4"/>
  <c r="V327" i="4"/>
  <c r="W327" i="4"/>
  <c r="X327" i="4"/>
  <c r="Y327" i="4"/>
  <c r="Z327" i="4"/>
  <c r="AA327" i="4"/>
  <c r="AB327" i="4"/>
  <c r="AC327" i="4"/>
  <c r="AE327" i="4"/>
  <c r="AJ327" i="4"/>
  <c r="AL327" i="4"/>
  <c r="AM327" i="4"/>
  <c r="AN327" i="4"/>
  <c r="P328" i="4"/>
  <c r="AP328" i="4" s="1"/>
  <c r="Q328" i="4"/>
  <c r="R328" i="4"/>
  <c r="S328" i="4"/>
  <c r="AN328" i="4" s="1"/>
  <c r="U328" i="4"/>
  <c r="V328" i="4"/>
  <c r="W328" i="4"/>
  <c r="X328" i="4"/>
  <c r="Y328" i="4"/>
  <c r="Z328" i="4"/>
  <c r="AA328" i="4"/>
  <c r="AB328" i="4"/>
  <c r="AC328" i="4"/>
  <c r="AE328" i="4"/>
  <c r="AJ328" i="4"/>
  <c r="AK328" i="4"/>
  <c r="AM328" i="4"/>
  <c r="P329" i="4"/>
  <c r="Q329" i="4"/>
  <c r="AQ329" i="4" s="1"/>
  <c r="R329" i="4"/>
  <c r="S329" i="4"/>
  <c r="U329" i="4"/>
  <c r="V329" i="4"/>
  <c r="W329" i="4"/>
  <c r="X329" i="4"/>
  <c r="Y329" i="4"/>
  <c r="Z329" i="4"/>
  <c r="AA329" i="4"/>
  <c r="AB329" i="4"/>
  <c r="AC329" i="4"/>
  <c r="AF329" i="4"/>
  <c r="AG329" i="4"/>
  <c r="AJ329" i="4"/>
  <c r="AK329" i="4"/>
  <c r="AL329" i="4"/>
  <c r="AN329" i="4"/>
  <c r="P330" i="4"/>
  <c r="AP330" i="4" s="1"/>
  <c r="Q330" i="4"/>
  <c r="R330" i="4"/>
  <c r="AR330" i="4" s="1"/>
  <c r="S330" i="4"/>
  <c r="AN330" i="4" s="1"/>
  <c r="U330" i="4"/>
  <c r="V330" i="4"/>
  <c r="W330" i="4"/>
  <c r="X330" i="4"/>
  <c r="Y330" i="4"/>
  <c r="Z330" i="4"/>
  <c r="AA330" i="4"/>
  <c r="AB330" i="4"/>
  <c r="AC330" i="4"/>
  <c r="AG330" i="4"/>
  <c r="AJ330" i="4"/>
  <c r="AL330" i="4"/>
  <c r="AM330" i="4"/>
  <c r="P331" i="4"/>
  <c r="Q331" i="4"/>
  <c r="R331" i="4"/>
  <c r="S331" i="4"/>
  <c r="U331" i="4"/>
  <c r="V331" i="4"/>
  <c r="W331" i="4"/>
  <c r="X331" i="4"/>
  <c r="Y331" i="4"/>
  <c r="Z331" i="4"/>
  <c r="AA331" i="4"/>
  <c r="AB331" i="4"/>
  <c r="AC331" i="4"/>
  <c r="AJ331" i="4"/>
  <c r="AN331" i="4"/>
  <c r="P332" i="4"/>
  <c r="AP332" i="4" s="1"/>
  <c r="Q332" i="4"/>
  <c r="R332" i="4"/>
  <c r="S332" i="4"/>
  <c r="U332" i="4"/>
  <c r="V332" i="4"/>
  <c r="W332" i="4"/>
  <c r="X332" i="4"/>
  <c r="Y332" i="4"/>
  <c r="Z332" i="4"/>
  <c r="AA332" i="4"/>
  <c r="AB332" i="4"/>
  <c r="AC332" i="4"/>
  <c r="AE332" i="4"/>
  <c r="AJ332" i="4"/>
  <c r="AK332" i="4"/>
  <c r="AN332" i="4"/>
  <c r="P333" i="4"/>
  <c r="Q333" i="4"/>
  <c r="AQ333" i="4" s="1"/>
  <c r="R333" i="4"/>
  <c r="S333" i="4"/>
  <c r="AN333" i="4" s="1"/>
  <c r="U333" i="4"/>
  <c r="V333" i="4"/>
  <c r="W333" i="4"/>
  <c r="X333" i="4"/>
  <c r="Y333" i="4"/>
  <c r="Z333" i="4"/>
  <c r="AA333" i="4"/>
  <c r="AB333" i="4"/>
  <c r="AC333" i="4"/>
  <c r="AF333" i="4"/>
  <c r="AJ333" i="4"/>
  <c r="AK333" i="4"/>
  <c r="P334" i="4"/>
  <c r="Q334" i="4"/>
  <c r="AQ334" i="4" s="1"/>
  <c r="R334" i="4"/>
  <c r="AR334" i="4" s="1"/>
  <c r="S334" i="4"/>
  <c r="AN334" i="4" s="1"/>
  <c r="U334" i="4"/>
  <c r="V334" i="4"/>
  <c r="W334" i="4"/>
  <c r="X334" i="4"/>
  <c r="Y334" i="4"/>
  <c r="Z334" i="4"/>
  <c r="AA334" i="4"/>
  <c r="AB334" i="4"/>
  <c r="AC334" i="4"/>
  <c r="AJ334" i="4"/>
  <c r="AM334" i="4"/>
  <c r="P335" i="4"/>
  <c r="Q335" i="4"/>
  <c r="R335" i="4"/>
  <c r="S335" i="4"/>
  <c r="U335" i="4"/>
  <c r="V335" i="4"/>
  <c r="W335" i="4"/>
  <c r="X335" i="4"/>
  <c r="Y335" i="4"/>
  <c r="Z335" i="4"/>
  <c r="AA335" i="4"/>
  <c r="AB335" i="4"/>
  <c r="AC335" i="4"/>
  <c r="AE335" i="4"/>
  <c r="AJ335" i="4"/>
  <c r="AL335" i="4"/>
  <c r="AM335" i="4"/>
  <c r="AN335" i="4"/>
  <c r="P336" i="4"/>
  <c r="AP336" i="4" s="1"/>
  <c r="Q336" i="4"/>
  <c r="R336" i="4"/>
  <c r="S336" i="4"/>
  <c r="AN336" i="4" s="1"/>
  <c r="U336" i="4"/>
  <c r="V336" i="4"/>
  <c r="W336" i="4"/>
  <c r="X336" i="4"/>
  <c r="Y336" i="4"/>
  <c r="Z336" i="4"/>
  <c r="AA336" i="4"/>
  <c r="AB336" i="4"/>
  <c r="AC336" i="4"/>
  <c r="AE336" i="4"/>
  <c r="AJ336" i="4"/>
  <c r="AK336" i="4"/>
  <c r="AM336" i="4"/>
  <c r="P337" i="4"/>
  <c r="Q337" i="4"/>
  <c r="AQ337" i="4" s="1"/>
  <c r="R337" i="4"/>
  <c r="S337" i="4"/>
  <c r="U337" i="4"/>
  <c r="V337" i="4"/>
  <c r="W337" i="4"/>
  <c r="X337" i="4"/>
  <c r="Y337" i="4"/>
  <c r="Z337" i="4"/>
  <c r="AA337" i="4"/>
  <c r="AB337" i="4"/>
  <c r="AC337" i="4"/>
  <c r="AF337" i="4"/>
  <c r="AG337" i="4"/>
  <c r="AJ337" i="4"/>
  <c r="AK337" i="4"/>
  <c r="AL337" i="4"/>
  <c r="AN337" i="4"/>
  <c r="P338" i="4"/>
  <c r="AP338" i="4" s="1"/>
  <c r="Q338" i="4"/>
  <c r="R338" i="4"/>
  <c r="AR338" i="4" s="1"/>
  <c r="S338" i="4"/>
  <c r="AN338" i="4" s="1"/>
  <c r="U338" i="4"/>
  <c r="V338" i="4"/>
  <c r="W338" i="4"/>
  <c r="X338" i="4"/>
  <c r="Y338" i="4"/>
  <c r="Z338" i="4"/>
  <c r="AA338" i="4"/>
  <c r="AB338" i="4"/>
  <c r="AC338" i="4"/>
  <c r="AG338" i="4"/>
  <c r="AJ338" i="4"/>
  <c r="AL338" i="4"/>
  <c r="AM338" i="4"/>
  <c r="P339" i="4"/>
  <c r="Q339" i="4"/>
  <c r="R339" i="4"/>
  <c r="S339" i="4"/>
  <c r="U339" i="4"/>
  <c r="V339" i="4"/>
  <c r="W339" i="4"/>
  <c r="X339" i="4"/>
  <c r="Y339" i="4"/>
  <c r="Z339" i="4"/>
  <c r="AA339" i="4"/>
  <c r="AB339" i="4"/>
  <c r="AC339" i="4"/>
  <c r="AJ339" i="4"/>
  <c r="AN339" i="4"/>
  <c r="P340" i="4"/>
  <c r="AP340" i="4" s="1"/>
  <c r="Q340" i="4"/>
  <c r="R340" i="4"/>
  <c r="S340" i="4"/>
  <c r="U340" i="4"/>
  <c r="V340" i="4"/>
  <c r="W340" i="4"/>
  <c r="X340" i="4"/>
  <c r="Y340" i="4"/>
  <c r="Z340" i="4"/>
  <c r="AA340" i="4"/>
  <c r="AB340" i="4"/>
  <c r="AC340" i="4"/>
  <c r="AE340" i="4"/>
  <c r="AJ340" i="4"/>
  <c r="AK340" i="4"/>
  <c r="AN340" i="4"/>
  <c r="P341" i="4"/>
  <c r="Q341" i="4"/>
  <c r="AQ341" i="4" s="1"/>
  <c r="R341" i="4"/>
  <c r="S341" i="4"/>
  <c r="AN341" i="4" s="1"/>
  <c r="U341" i="4"/>
  <c r="V341" i="4"/>
  <c r="W341" i="4"/>
  <c r="X341" i="4"/>
  <c r="Y341" i="4"/>
  <c r="Z341" i="4"/>
  <c r="AA341" i="4"/>
  <c r="AB341" i="4"/>
  <c r="AC341" i="4"/>
  <c r="AF341" i="4"/>
  <c r="AJ341" i="4"/>
  <c r="AK341" i="4"/>
  <c r="P342" i="4"/>
  <c r="AP342" i="4" s="1"/>
  <c r="Q342" i="4"/>
  <c r="AQ342" i="4" s="1"/>
  <c r="R342" i="4"/>
  <c r="AR342" i="4" s="1"/>
  <c r="S342" i="4"/>
  <c r="AN342" i="4" s="1"/>
  <c r="U342" i="4"/>
  <c r="V342" i="4"/>
  <c r="W342" i="4"/>
  <c r="X342" i="4"/>
  <c r="Y342" i="4"/>
  <c r="Z342" i="4"/>
  <c r="AA342" i="4"/>
  <c r="AB342" i="4"/>
  <c r="AC342" i="4"/>
  <c r="AG342" i="4"/>
  <c r="AJ342" i="4"/>
  <c r="AK342" i="4"/>
  <c r="P343" i="4"/>
  <c r="Q343" i="4"/>
  <c r="R343" i="4"/>
  <c r="S343" i="4"/>
  <c r="U343" i="4"/>
  <c r="V343" i="4"/>
  <c r="W343" i="4"/>
  <c r="X343" i="4"/>
  <c r="Y343" i="4"/>
  <c r="Z343" i="4"/>
  <c r="AA343" i="4"/>
  <c r="AB343" i="4"/>
  <c r="AC343" i="4"/>
  <c r="AJ343" i="4"/>
  <c r="AL343" i="4"/>
  <c r="AM343" i="4"/>
  <c r="AN343" i="4"/>
  <c r="P344" i="4"/>
  <c r="AP344" i="4" s="1"/>
  <c r="Q344" i="4"/>
  <c r="R344" i="4"/>
  <c r="S344" i="4"/>
  <c r="U344" i="4"/>
  <c r="V344" i="4"/>
  <c r="W344" i="4"/>
  <c r="X344" i="4"/>
  <c r="Y344" i="4"/>
  <c r="Z344" i="4"/>
  <c r="AA344" i="4"/>
  <c r="AB344" i="4"/>
  <c r="AC344" i="4"/>
  <c r="AF344" i="4"/>
  <c r="AJ344" i="4"/>
  <c r="AK344" i="4"/>
  <c r="AN344" i="4"/>
  <c r="P345" i="4"/>
  <c r="Q345" i="4"/>
  <c r="AQ345" i="4" s="1"/>
  <c r="R345" i="4"/>
  <c r="S345" i="4"/>
  <c r="AN345" i="4" s="1"/>
  <c r="U345" i="4"/>
  <c r="V345" i="4"/>
  <c r="W345" i="4"/>
  <c r="X345" i="4"/>
  <c r="Y345" i="4"/>
  <c r="Z345" i="4"/>
  <c r="AA345" i="4"/>
  <c r="AB345" i="4"/>
  <c r="AC345" i="4"/>
  <c r="AF345" i="4"/>
  <c r="AG345" i="4"/>
  <c r="AJ345" i="4"/>
  <c r="AK345" i="4"/>
  <c r="AL345" i="4"/>
  <c r="P346" i="4"/>
  <c r="Q346" i="4"/>
  <c r="R346" i="4"/>
  <c r="AR346" i="4" s="1"/>
  <c r="S346" i="4"/>
  <c r="AN346" i="4" s="1"/>
  <c r="U346" i="4"/>
  <c r="V346" i="4"/>
  <c r="W346" i="4"/>
  <c r="X346" i="4"/>
  <c r="Y346" i="4"/>
  <c r="Z346" i="4"/>
  <c r="AA346" i="4"/>
  <c r="AB346" i="4"/>
  <c r="AC346" i="4"/>
  <c r="AG346" i="4"/>
  <c r="AJ346" i="4"/>
  <c r="AL346" i="4"/>
  <c r="AM346" i="4"/>
  <c r="P347" i="4"/>
  <c r="Q347" i="4"/>
  <c r="AQ347" i="4" s="1"/>
  <c r="R347" i="4"/>
  <c r="S347" i="4"/>
  <c r="AN347" i="4" s="1"/>
  <c r="U347" i="4"/>
  <c r="V347" i="4"/>
  <c r="W347" i="4"/>
  <c r="X347" i="4"/>
  <c r="Y347" i="4"/>
  <c r="Z347" i="4"/>
  <c r="AA347" i="4"/>
  <c r="AB347" i="4"/>
  <c r="AC347" i="4"/>
  <c r="AE347" i="4"/>
  <c r="AJ347" i="4"/>
  <c r="AM347" i="4"/>
  <c r="P348" i="4"/>
  <c r="AP348" i="4" s="1"/>
  <c r="Q348" i="4"/>
  <c r="R348" i="4"/>
  <c r="S348" i="4"/>
  <c r="U348" i="4"/>
  <c r="V348" i="4"/>
  <c r="W348" i="4"/>
  <c r="X348" i="4"/>
  <c r="Y348" i="4"/>
  <c r="Z348" i="4"/>
  <c r="AA348" i="4"/>
  <c r="AB348" i="4"/>
  <c r="AC348" i="4"/>
  <c r="AF348" i="4"/>
  <c r="AJ348" i="4"/>
  <c r="AK348" i="4"/>
  <c r="AN348" i="4"/>
  <c r="P349" i="4"/>
  <c r="Q349" i="4"/>
  <c r="AQ349" i="4" s="1"/>
  <c r="R349" i="4"/>
  <c r="S349" i="4"/>
  <c r="AN349" i="4" s="1"/>
  <c r="U349" i="4"/>
  <c r="V349" i="4"/>
  <c r="W349" i="4"/>
  <c r="X349" i="4"/>
  <c r="Y349" i="4"/>
  <c r="Z349" i="4"/>
  <c r="AA349" i="4"/>
  <c r="AB349" i="4"/>
  <c r="AC349" i="4"/>
  <c r="AF349" i="4"/>
  <c r="AJ349" i="4"/>
  <c r="AL349" i="4"/>
  <c r="P350" i="4"/>
  <c r="AP350" i="4" s="1"/>
  <c r="Q350" i="4"/>
  <c r="AQ350" i="4" s="1"/>
  <c r="R350" i="4"/>
  <c r="AR350" i="4" s="1"/>
  <c r="S350" i="4"/>
  <c r="AN350" i="4" s="1"/>
  <c r="U350" i="4"/>
  <c r="V350" i="4"/>
  <c r="W350" i="4"/>
  <c r="X350" i="4"/>
  <c r="Y350" i="4"/>
  <c r="Z350" i="4"/>
  <c r="AA350" i="4"/>
  <c r="AB350" i="4"/>
  <c r="AC350" i="4"/>
  <c r="AE350" i="4"/>
  <c r="AG350" i="4"/>
  <c r="AJ350" i="4"/>
  <c r="AK350" i="4"/>
  <c r="AM350" i="4"/>
  <c r="P351" i="4"/>
  <c r="Q351" i="4"/>
  <c r="R351" i="4"/>
  <c r="S351" i="4"/>
  <c r="U351" i="4"/>
  <c r="V351" i="4"/>
  <c r="W351" i="4"/>
  <c r="X351" i="4"/>
  <c r="Y351" i="4"/>
  <c r="Z351" i="4"/>
  <c r="AA351" i="4"/>
  <c r="AB351" i="4"/>
  <c r="AC351" i="4"/>
  <c r="AE351" i="4"/>
  <c r="AJ351" i="4"/>
  <c r="AL351" i="4"/>
  <c r="AM351" i="4"/>
  <c r="AN351" i="4"/>
  <c r="P352" i="4"/>
  <c r="AP352" i="4" s="1"/>
  <c r="Q352" i="4"/>
  <c r="R352" i="4"/>
  <c r="S352" i="4"/>
  <c r="AN352" i="4" s="1"/>
  <c r="U352" i="4"/>
  <c r="V352" i="4"/>
  <c r="W352" i="4"/>
  <c r="X352" i="4"/>
  <c r="Y352" i="4"/>
  <c r="Z352" i="4"/>
  <c r="AA352" i="4"/>
  <c r="AB352" i="4"/>
  <c r="AC352" i="4"/>
  <c r="AE352" i="4"/>
  <c r="AJ352" i="4"/>
  <c r="AK352" i="4"/>
  <c r="AM352" i="4"/>
  <c r="P353" i="4"/>
  <c r="Q353" i="4"/>
  <c r="AQ353" i="4" s="1"/>
  <c r="R353" i="4"/>
  <c r="S353" i="4"/>
  <c r="U353" i="4"/>
  <c r="V353" i="4"/>
  <c r="W353" i="4"/>
  <c r="X353" i="4"/>
  <c r="Y353" i="4"/>
  <c r="Z353" i="4"/>
  <c r="AA353" i="4"/>
  <c r="AB353" i="4"/>
  <c r="AC353" i="4"/>
  <c r="AF353" i="4"/>
  <c r="AG353" i="4"/>
  <c r="AJ353" i="4"/>
  <c r="AK353" i="4"/>
  <c r="AL353" i="4"/>
  <c r="AN353" i="4"/>
  <c r="P354" i="4"/>
  <c r="Q354" i="4"/>
  <c r="R354" i="4"/>
  <c r="AR354" i="4" s="1"/>
  <c r="S354" i="4"/>
  <c r="AN354" i="4" s="1"/>
  <c r="U354" i="4"/>
  <c r="V354" i="4"/>
  <c r="W354" i="4"/>
  <c r="X354" i="4"/>
  <c r="Y354" i="4"/>
  <c r="Z354" i="4"/>
  <c r="AA354" i="4"/>
  <c r="AB354" i="4"/>
  <c r="AC354" i="4"/>
  <c r="AE354" i="4"/>
  <c r="AG354" i="4"/>
  <c r="AJ354" i="4"/>
  <c r="AM354" i="4"/>
  <c r="P355" i="4"/>
  <c r="Q355" i="4"/>
  <c r="AQ355" i="4" s="1"/>
  <c r="R355" i="4"/>
  <c r="S355" i="4"/>
  <c r="AN355" i="4" s="1"/>
  <c r="U355" i="4"/>
  <c r="V355" i="4"/>
  <c r="W355" i="4"/>
  <c r="X355" i="4"/>
  <c r="Y355" i="4"/>
  <c r="Z355" i="4"/>
  <c r="AA355" i="4"/>
  <c r="AB355" i="4"/>
  <c r="AC355" i="4"/>
  <c r="AE355" i="4"/>
  <c r="AJ355" i="4"/>
  <c r="AM355" i="4"/>
  <c r="P356" i="4"/>
  <c r="AP356" i="4" s="1"/>
  <c r="Q356" i="4"/>
  <c r="R356" i="4"/>
  <c r="S356" i="4"/>
  <c r="U356" i="4"/>
  <c r="V356" i="4"/>
  <c r="W356" i="4"/>
  <c r="X356" i="4"/>
  <c r="Y356" i="4"/>
  <c r="Z356" i="4"/>
  <c r="AA356" i="4"/>
  <c r="AB356" i="4"/>
  <c r="AC356" i="4"/>
  <c r="AF356" i="4"/>
  <c r="AJ356" i="4"/>
  <c r="AK356" i="4"/>
  <c r="AN356" i="4"/>
  <c r="P357" i="4"/>
  <c r="Q357" i="4"/>
  <c r="AQ357" i="4" s="1"/>
  <c r="R357" i="4"/>
  <c r="S357" i="4"/>
  <c r="AN357" i="4" s="1"/>
  <c r="U357" i="4"/>
  <c r="V357" i="4"/>
  <c r="W357" i="4"/>
  <c r="X357" i="4"/>
  <c r="Y357" i="4"/>
  <c r="Z357" i="4"/>
  <c r="AA357" i="4"/>
  <c r="AB357" i="4"/>
  <c r="AC357" i="4"/>
  <c r="AF357" i="4"/>
  <c r="AJ357" i="4"/>
  <c r="AL357" i="4"/>
  <c r="P358" i="4"/>
  <c r="AP358" i="4" s="1"/>
  <c r="Q358" i="4"/>
  <c r="AQ358" i="4" s="1"/>
  <c r="R358" i="4"/>
  <c r="AR358" i="4" s="1"/>
  <c r="S358" i="4"/>
  <c r="AN358" i="4" s="1"/>
  <c r="U358" i="4"/>
  <c r="V358" i="4"/>
  <c r="W358" i="4"/>
  <c r="X358" i="4"/>
  <c r="Y358" i="4"/>
  <c r="Z358" i="4"/>
  <c r="AA358" i="4"/>
  <c r="AB358" i="4"/>
  <c r="AC358" i="4"/>
  <c r="AE358" i="4"/>
  <c r="AG358" i="4"/>
  <c r="AJ358" i="4"/>
  <c r="AK358" i="4"/>
  <c r="AM358" i="4"/>
  <c r="P359" i="4"/>
  <c r="Q359" i="4"/>
  <c r="R359" i="4"/>
  <c r="S359" i="4"/>
  <c r="AN359" i="4" s="1"/>
  <c r="U359" i="4"/>
  <c r="V359" i="4"/>
  <c r="W359" i="4"/>
  <c r="X359" i="4"/>
  <c r="Y359" i="4"/>
  <c r="Z359" i="4"/>
  <c r="AA359" i="4"/>
  <c r="AB359" i="4"/>
  <c r="AC359" i="4"/>
  <c r="AE359" i="4"/>
  <c r="AJ359" i="4"/>
  <c r="AM359" i="4"/>
  <c r="P360" i="4"/>
  <c r="AP360" i="4" s="1"/>
  <c r="Q360" i="4"/>
  <c r="R360" i="4"/>
  <c r="S360" i="4"/>
  <c r="U360" i="4"/>
  <c r="V360" i="4"/>
  <c r="W360" i="4"/>
  <c r="X360" i="4"/>
  <c r="Y360" i="4"/>
  <c r="Z360" i="4"/>
  <c r="AA360" i="4"/>
  <c r="AB360" i="4"/>
  <c r="AC360" i="4"/>
  <c r="AF360" i="4"/>
  <c r="AJ360" i="4"/>
  <c r="AK360" i="4"/>
  <c r="AN360" i="4"/>
  <c r="P361" i="4"/>
  <c r="Q361" i="4"/>
  <c r="AQ361" i="4" s="1"/>
  <c r="R361" i="4"/>
  <c r="S361" i="4"/>
  <c r="AN361" i="4" s="1"/>
  <c r="U361" i="4"/>
  <c r="V361" i="4"/>
  <c r="W361" i="4"/>
  <c r="X361" i="4"/>
  <c r="Y361" i="4"/>
  <c r="Z361" i="4"/>
  <c r="AA361" i="4"/>
  <c r="AB361" i="4"/>
  <c r="AC361" i="4"/>
  <c r="AF361" i="4"/>
  <c r="AG361" i="4"/>
  <c r="AJ361" i="4"/>
  <c r="AK361" i="4"/>
  <c r="AL361" i="4"/>
  <c r="P362" i="4"/>
  <c r="Q362" i="4"/>
  <c r="R362" i="4"/>
  <c r="AR362" i="4" s="1"/>
  <c r="S362" i="4"/>
  <c r="AN362" i="4" s="1"/>
  <c r="U362" i="4"/>
  <c r="V362" i="4"/>
  <c r="W362" i="4"/>
  <c r="X362" i="4"/>
  <c r="Y362" i="4"/>
  <c r="Z362" i="4"/>
  <c r="AA362" i="4"/>
  <c r="AB362" i="4"/>
  <c r="AC362" i="4"/>
  <c r="AG362" i="4"/>
  <c r="AJ362" i="4"/>
  <c r="AL362" i="4"/>
  <c r="P363" i="4"/>
  <c r="Q363" i="4"/>
  <c r="AQ363" i="4" s="1"/>
  <c r="R363" i="4"/>
  <c r="S363" i="4"/>
  <c r="U363" i="4"/>
  <c r="V363" i="4"/>
  <c r="W363" i="4"/>
  <c r="X363" i="4"/>
  <c r="Y363" i="4"/>
  <c r="Z363" i="4"/>
  <c r="AA363" i="4"/>
  <c r="AB363" i="4"/>
  <c r="AC363" i="4"/>
  <c r="AJ363" i="4"/>
  <c r="AN363" i="4"/>
  <c r="P364" i="4"/>
  <c r="AP364" i="4" s="1"/>
  <c r="Q364" i="4"/>
  <c r="R364" i="4"/>
  <c r="S364" i="4"/>
  <c r="U364" i="4"/>
  <c r="V364" i="4"/>
  <c r="W364" i="4"/>
  <c r="X364" i="4"/>
  <c r="Y364" i="4"/>
  <c r="Z364" i="4"/>
  <c r="AA364" i="4"/>
  <c r="AB364" i="4"/>
  <c r="AC364" i="4"/>
  <c r="AE364" i="4"/>
  <c r="AJ364" i="4"/>
  <c r="AK364" i="4"/>
  <c r="AN364" i="4"/>
  <c r="P365" i="4"/>
  <c r="Q365" i="4"/>
  <c r="AQ365" i="4" s="1"/>
  <c r="R365" i="4"/>
  <c r="S365" i="4"/>
  <c r="AN365" i="4" s="1"/>
  <c r="U365" i="4"/>
  <c r="V365" i="4"/>
  <c r="W365" i="4"/>
  <c r="X365" i="4"/>
  <c r="Y365" i="4"/>
  <c r="Z365" i="4"/>
  <c r="AA365" i="4"/>
  <c r="AB365" i="4"/>
  <c r="AC365" i="4"/>
  <c r="AF365" i="4"/>
  <c r="AJ365" i="4"/>
  <c r="AK365" i="4"/>
  <c r="P366" i="4"/>
  <c r="Q366" i="4"/>
  <c r="R366" i="4"/>
  <c r="AR366" i="4" s="1"/>
  <c r="S366" i="4"/>
  <c r="U366" i="4"/>
  <c r="V366" i="4"/>
  <c r="W366" i="4"/>
  <c r="X366" i="4"/>
  <c r="Y366" i="4"/>
  <c r="Z366" i="4"/>
  <c r="AA366" i="4"/>
  <c r="AB366" i="4"/>
  <c r="AC366" i="4"/>
  <c r="AF366" i="4"/>
  <c r="AJ366" i="4"/>
  <c r="AN366" i="4"/>
  <c r="P367" i="4"/>
  <c r="Q367" i="4"/>
  <c r="R367" i="4"/>
  <c r="S367" i="4"/>
  <c r="AN367" i="4" s="1"/>
  <c r="U367" i="4"/>
  <c r="V367" i="4"/>
  <c r="W367" i="4"/>
  <c r="X367" i="4"/>
  <c r="Y367" i="4"/>
  <c r="Z367" i="4"/>
  <c r="AA367" i="4"/>
  <c r="AB367" i="4"/>
  <c r="AC367" i="4"/>
  <c r="AE367" i="4"/>
  <c r="AG367" i="4"/>
  <c r="AJ367" i="4"/>
  <c r="P368" i="4"/>
  <c r="Q368" i="4"/>
  <c r="R368" i="4"/>
  <c r="AR368" i="4" s="1"/>
  <c r="S368" i="4"/>
  <c r="AN368" i="4" s="1"/>
  <c r="U368" i="4"/>
  <c r="V368" i="4"/>
  <c r="W368" i="4"/>
  <c r="X368" i="4"/>
  <c r="Y368" i="4"/>
  <c r="Z368" i="4"/>
  <c r="AA368" i="4"/>
  <c r="AB368" i="4"/>
  <c r="AC368" i="4"/>
  <c r="AJ368" i="4"/>
  <c r="AM368" i="4"/>
  <c r="P369" i="4"/>
  <c r="Q369" i="4"/>
  <c r="AQ369" i="4" s="1"/>
  <c r="R369" i="4"/>
  <c r="AR369" i="4" s="1"/>
  <c r="S369" i="4"/>
  <c r="AN369" i="4" s="1"/>
  <c r="U369" i="4"/>
  <c r="V369" i="4"/>
  <c r="W369" i="4"/>
  <c r="X369" i="4"/>
  <c r="Y369" i="4"/>
  <c r="Z369" i="4"/>
  <c r="AA369" i="4"/>
  <c r="AB369" i="4"/>
  <c r="AC369" i="4"/>
  <c r="AF369" i="4"/>
  <c r="AJ369" i="4"/>
  <c r="AK369" i="4"/>
  <c r="P370" i="4"/>
  <c r="Q370" i="4"/>
  <c r="R370" i="4"/>
  <c r="S370" i="4"/>
  <c r="AN370" i="4" s="1"/>
  <c r="U370" i="4"/>
  <c r="V370" i="4"/>
  <c r="W370" i="4"/>
  <c r="X370" i="4"/>
  <c r="Y370" i="4"/>
  <c r="Z370" i="4"/>
  <c r="AA370" i="4"/>
  <c r="AB370" i="4"/>
  <c r="AC370" i="4"/>
  <c r="AJ370" i="4"/>
  <c r="P371" i="4"/>
  <c r="AP371" i="4" s="1"/>
  <c r="Q371" i="4"/>
  <c r="R371" i="4"/>
  <c r="AR371" i="4" s="1"/>
  <c r="S371" i="4"/>
  <c r="AN371" i="4" s="1"/>
  <c r="U371" i="4"/>
  <c r="V371" i="4"/>
  <c r="W371" i="4"/>
  <c r="X371" i="4"/>
  <c r="Y371" i="4"/>
  <c r="Z371" i="4"/>
  <c r="AA371" i="4"/>
  <c r="AB371" i="4"/>
  <c r="AC371" i="4"/>
  <c r="AG371" i="4"/>
  <c r="AJ371" i="4"/>
  <c r="AM371" i="4"/>
  <c r="P372" i="4"/>
  <c r="Q372" i="4"/>
  <c r="R372" i="4"/>
  <c r="AR372" i="4" s="1"/>
  <c r="S372" i="4"/>
  <c r="AN372" i="4" s="1"/>
  <c r="U372" i="4"/>
  <c r="V372" i="4"/>
  <c r="W372" i="4"/>
  <c r="X372" i="4"/>
  <c r="Y372" i="4"/>
  <c r="Z372" i="4"/>
  <c r="AA372" i="4"/>
  <c r="AB372" i="4"/>
  <c r="AC372" i="4"/>
  <c r="AE372" i="4"/>
  <c r="AJ372" i="4"/>
  <c r="AL372" i="4"/>
  <c r="P373" i="4"/>
  <c r="AP373" i="4" s="1"/>
  <c r="Q373" i="4"/>
  <c r="R373" i="4"/>
  <c r="S373" i="4"/>
  <c r="AN373" i="4" s="1"/>
  <c r="U373" i="4"/>
  <c r="V373" i="4"/>
  <c r="W373" i="4"/>
  <c r="X373" i="4"/>
  <c r="Y373" i="4"/>
  <c r="Z373" i="4"/>
  <c r="AA373" i="4"/>
  <c r="AB373" i="4"/>
  <c r="AC373" i="4"/>
  <c r="AF373" i="4"/>
  <c r="AJ373" i="4"/>
  <c r="AK373" i="4"/>
  <c r="P374" i="4"/>
  <c r="Q374" i="4"/>
  <c r="AQ374" i="4" s="1"/>
  <c r="R374" i="4"/>
  <c r="S374" i="4"/>
  <c r="AN374" i="4" s="1"/>
  <c r="U374" i="4"/>
  <c r="V374" i="4"/>
  <c r="W374" i="4"/>
  <c r="X374" i="4"/>
  <c r="Y374" i="4"/>
  <c r="Z374" i="4"/>
  <c r="AA374" i="4"/>
  <c r="AB374" i="4"/>
  <c r="AC374" i="4"/>
  <c r="AF374" i="4"/>
  <c r="AG374" i="4"/>
  <c r="AJ374" i="4"/>
  <c r="AK374" i="4"/>
  <c r="AL374" i="4"/>
  <c r="P375" i="4"/>
  <c r="Q375" i="4"/>
  <c r="R375" i="4"/>
  <c r="AR375" i="4" s="1"/>
  <c r="S375" i="4"/>
  <c r="AN375" i="4" s="1"/>
  <c r="U375" i="4"/>
  <c r="V375" i="4"/>
  <c r="W375" i="4"/>
  <c r="X375" i="4"/>
  <c r="Y375" i="4"/>
  <c r="Z375" i="4"/>
  <c r="AA375" i="4"/>
  <c r="AB375" i="4"/>
  <c r="AC375" i="4"/>
  <c r="AE375" i="4"/>
  <c r="AG375" i="4"/>
  <c r="AJ375" i="4"/>
  <c r="AM375" i="4"/>
  <c r="P376" i="4"/>
  <c r="Q376" i="4"/>
  <c r="R376" i="4"/>
  <c r="S376" i="4"/>
  <c r="AN376" i="4" s="1"/>
  <c r="U376" i="4"/>
  <c r="V376" i="4"/>
  <c r="W376" i="4"/>
  <c r="X376" i="4"/>
  <c r="Y376" i="4"/>
  <c r="Z376" i="4"/>
  <c r="AA376" i="4"/>
  <c r="AB376" i="4"/>
  <c r="AC376" i="4"/>
  <c r="AF376" i="4"/>
  <c r="AJ376" i="4"/>
  <c r="AM376" i="4"/>
  <c r="P377" i="4"/>
  <c r="AP377" i="4" s="1"/>
  <c r="Q377" i="4"/>
  <c r="AQ377" i="4" s="1"/>
  <c r="R377" i="4"/>
  <c r="S377" i="4"/>
  <c r="U377" i="4"/>
  <c r="V377" i="4"/>
  <c r="W377" i="4"/>
  <c r="X377" i="4"/>
  <c r="Y377" i="4"/>
  <c r="Z377" i="4"/>
  <c r="AA377" i="4"/>
  <c r="AB377" i="4"/>
  <c r="AC377" i="4"/>
  <c r="AG377" i="4"/>
  <c r="AJ377" i="4"/>
  <c r="AK377" i="4"/>
  <c r="AN377" i="4"/>
  <c r="P378" i="4"/>
  <c r="AP378" i="4" s="1"/>
  <c r="Q378" i="4"/>
  <c r="AQ378" i="4" s="1"/>
  <c r="R378" i="4"/>
  <c r="S378" i="4"/>
  <c r="AN378" i="4" s="1"/>
  <c r="U378" i="4"/>
  <c r="V378" i="4"/>
  <c r="W378" i="4"/>
  <c r="X378" i="4"/>
  <c r="Y378" i="4"/>
  <c r="Z378" i="4"/>
  <c r="AA378" i="4"/>
  <c r="AB378" i="4"/>
  <c r="AC378" i="4"/>
  <c r="AF378" i="4"/>
  <c r="AG378" i="4"/>
  <c r="AJ378" i="4"/>
  <c r="AL378" i="4"/>
  <c r="P379" i="4"/>
  <c r="AP379" i="4" s="1"/>
  <c r="Q379" i="4"/>
  <c r="AQ379" i="4" s="1"/>
  <c r="R379" i="4"/>
  <c r="AR379" i="4" s="1"/>
  <c r="S379" i="4"/>
  <c r="AN379" i="4" s="1"/>
  <c r="U379" i="4"/>
  <c r="V379" i="4"/>
  <c r="W379" i="4"/>
  <c r="X379" i="4"/>
  <c r="Y379" i="4"/>
  <c r="Z379" i="4"/>
  <c r="AA379" i="4"/>
  <c r="AB379" i="4"/>
  <c r="AC379" i="4"/>
  <c r="AE379" i="4"/>
  <c r="AG379" i="4"/>
  <c r="AJ379" i="4"/>
  <c r="AK379" i="4"/>
  <c r="AM379" i="4"/>
  <c r="P380" i="4"/>
  <c r="Q380" i="4"/>
  <c r="AQ380" i="4" s="1"/>
  <c r="R380" i="4"/>
  <c r="S380" i="4"/>
  <c r="AN380" i="4" s="1"/>
  <c r="U380" i="4"/>
  <c r="V380" i="4"/>
  <c r="W380" i="4"/>
  <c r="X380" i="4"/>
  <c r="Y380" i="4"/>
  <c r="Z380" i="4"/>
  <c r="AA380" i="4"/>
  <c r="AB380" i="4"/>
  <c r="AC380" i="4"/>
  <c r="AE380" i="4"/>
  <c r="AJ380" i="4"/>
  <c r="AM380" i="4"/>
  <c r="P381" i="4"/>
  <c r="AP381" i="4" s="1"/>
  <c r="Q381" i="4"/>
  <c r="R381" i="4"/>
  <c r="S381" i="4"/>
  <c r="AN381" i="4" s="1"/>
  <c r="U381" i="4"/>
  <c r="V381" i="4"/>
  <c r="W381" i="4"/>
  <c r="X381" i="4"/>
  <c r="Y381" i="4"/>
  <c r="Z381" i="4"/>
  <c r="AA381" i="4"/>
  <c r="AB381" i="4"/>
  <c r="AC381" i="4"/>
  <c r="AF381" i="4"/>
  <c r="AJ381" i="4"/>
  <c r="AK381" i="4"/>
  <c r="P382" i="4"/>
  <c r="Q382" i="4"/>
  <c r="AQ382" i="4" s="1"/>
  <c r="R382" i="4"/>
  <c r="S382" i="4"/>
  <c r="U382" i="4"/>
  <c r="V382" i="4"/>
  <c r="W382" i="4"/>
  <c r="X382" i="4"/>
  <c r="Y382" i="4"/>
  <c r="Z382" i="4"/>
  <c r="AA382" i="4"/>
  <c r="AB382" i="4"/>
  <c r="AC382" i="4"/>
  <c r="AF382" i="4"/>
  <c r="AG382" i="4"/>
  <c r="AJ382" i="4"/>
  <c r="AL382" i="4"/>
  <c r="AN382" i="4"/>
  <c r="P383" i="4"/>
  <c r="Q383" i="4"/>
  <c r="R383" i="4"/>
  <c r="AR383" i="4" s="1"/>
  <c r="S383" i="4"/>
  <c r="AN383" i="4" s="1"/>
  <c r="U383" i="4"/>
  <c r="V383" i="4"/>
  <c r="W383" i="4"/>
  <c r="X383" i="4"/>
  <c r="Y383" i="4"/>
  <c r="Z383" i="4"/>
  <c r="AA383" i="4"/>
  <c r="AB383" i="4"/>
  <c r="AC383" i="4"/>
  <c r="AG383" i="4"/>
  <c r="AJ383" i="4"/>
  <c r="AL383" i="4"/>
  <c r="P384" i="4"/>
  <c r="Q384" i="4"/>
  <c r="R384" i="4"/>
  <c r="S384" i="4"/>
  <c r="U384" i="4"/>
  <c r="V384" i="4"/>
  <c r="W384" i="4"/>
  <c r="X384" i="4"/>
  <c r="Y384" i="4"/>
  <c r="Z384" i="4"/>
  <c r="AA384" i="4"/>
  <c r="AB384" i="4"/>
  <c r="AC384" i="4"/>
  <c r="AF384" i="4"/>
  <c r="AJ384" i="4"/>
  <c r="AN384" i="4"/>
  <c r="P385" i="4"/>
  <c r="AP385" i="4" s="1"/>
  <c r="Q385" i="4"/>
  <c r="R385" i="4"/>
  <c r="S385" i="4"/>
  <c r="U385" i="4"/>
  <c r="V385" i="4"/>
  <c r="W385" i="4"/>
  <c r="X385" i="4"/>
  <c r="Y385" i="4"/>
  <c r="Z385" i="4"/>
  <c r="AA385" i="4"/>
  <c r="AB385" i="4"/>
  <c r="AC385" i="4"/>
  <c r="AE385" i="4"/>
  <c r="AJ385" i="4"/>
  <c r="AK385" i="4"/>
  <c r="AN385" i="4"/>
  <c r="P386" i="4"/>
  <c r="Q386" i="4"/>
  <c r="AQ386" i="4" s="1"/>
  <c r="R386" i="4"/>
  <c r="S386" i="4"/>
  <c r="AN386" i="4" s="1"/>
  <c r="U386" i="4"/>
  <c r="V386" i="4"/>
  <c r="W386" i="4"/>
  <c r="X386" i="4"/>
  <c r="Y386" i="4"/>
  <c r="Z386" i="4"/>
  <c r="AA386" i="4"/>
  <c r="AB386" i="4"/>
  <c r="AC386" i="4"/>
  <c r="AF386" i="4"/>
  <c r="AG386" i="4"/>
  <c r="AJ386" i="4"/>
  <c r="AK386" i="4"/>
  <c r="P387" i="4"/>
  <c r="Q387" i="4"/>
  <c r="R387" i="4"/>
  <c r="AR387" i="4" s="1"/>
  <c r="S387" i="4"/>
  <c r="AN387" i="4" s="1"/>
  <c r="U387" i="4"/>
  <c r="V387" i="4"/>
  <c r="W387" i="4"/>
  <c r="X387" i="4"/>
  <c r="Y387" i="4"/>
  <c r="Z387" i="4"/>
  <c r="AA387" i="4"/>
  <c r="AB387" i="4"/>
  <c r="AC387" i="4"/>
  <c r="AJ387" i="4"/>
  <c r="AL387" i="4"/>
  <c r="P388" i="4"/>
  <c r="Q388" i="4"/>
  <c r="AQ388" i="4" s="1"/>
  <c r="R388" i="4"/>
  <c r="S388" i="4"/>
  <c r="U388" i="4"/>
  <c r="V388" i="4"/>
  <c r="W388" i="4"/>
  <c r="X388" i="4"/>
  <c r="Y388" i="4"/>
  <c r="Z388" i="4"/>
  <c r="AA388" i="4"/>
  <c r="AB388" i="4"/>
  <c r="AC388" i="4"/>
  <c r="AF388" i="4"/>
  <c r="AJ388" i="4"/>
  <c r="AL388" i="4"/>
  <c r="AN388" i="4"/>
  <c r="P389" i="4"/>
  <c r="AP389" i="4" s="1"/>
  <c r="Q389" i="4"/>
  <c r="R389" i="4"/>
  <c r="S389" i="4"/>
  <c r="AN389" i="4" s="1"/>
  <c r="U389" i="4"/>
  <c r="V389" i="4"/>
  <c r="W389" i="4"/>
  <c r="X389" i="4"/>
  <c r="Y389" i="4"/>
  <c r="Z389" i="4"/>
  <c r="AA389" i="4"/>
  <c r="AB389" i="4"/>
  <c r="AC389" i="4"/>
  <c r="AE389" i="4"/>
  <c r="AJ389" i="4"/>
  <c r="AK389" i="4"/>
  <c r="AM389" i="4"/>
  <c r="P390" i="4"/>
  <c r="Q390" i="4"/>
  <c r="AQ390" i="4" s="1"/>
  <c r="R390" i="4"/>
  <c r="S390" i="4"/>
  <c r="U390" i="4"/>
  <c r="V390" i="4"/>
  <c r="W390" i="4"/>
  <c r="X390" i="4"/>
  <c r="Y390" i="4"/>
  <c r="Z390" i="4"/>
  <c r="AA390" i="4"/>
  <c r="AB390" i="4"/>
  <c r="AC390" i="4"/>
  <c r="AF390" i="4"/>
  <c r="AG390" i="4"/>
  <c r="AJ390" i="4"/>
  <c r="AL390" i="4"/>
  <c r="AN390" i="4"/>
  <c r="P391" i="4"/>
  <c r="Q391" i="4"/>
  <c r="R391" i="4"/>
  <c r="AR391" i="4" s="1"/>
  <c r="S391" i="4"/>
  <c r="AN391" i="4" s="1"/>
  <c r="U391" i="4"/>
  <c r="V391" i="4"/>
  <c r="W391" i="4"/>
  <c r="X391" i="4"/>
  <c r="Y391" i="4"/>
  <c r="Z391" i="4"/>
  <c r="AA391" i="4"/>
  <c r="AB391" i="4"/>
  <c r="AC391" i="4"/>
  <c r="AG391" i="4"/>
  <c r="AJ391" i="4"/>
  <c r="AL391" i="4"/>
  <c r="P392" i="4"/>
  <c r="Q392" i="4"/>
  <c r="R392" i="4"/>
  <c r="S392" i="4"/>
  <c r="U392" i="4"/>
  <c r="V392" i="4"/>
  <c r="W392" i="4"/>
  <c r="X392" i="4"/>
  <c r="Y392" i="4"/>
  <c r="Z392" i="4"/>
  <c r="AA392" i="4"/>
  <c r="AB392" i="4"/>
  <c r="AC392" i="4"/>
  <c r="AF392" i="4"/>
  <c r="AJ392" i="4"/>
  <c r="AN392" i="4"/>
  <c r="P393" i="4"/>
  <c r="AP393" i="4" s="1"/>
  <c r="Q393" i="4"/>
  <c r="R393" i="4"/>
  <c r="S393" i="4"/>
  <c r="U393" i="4"/>
  <c r="V393" i="4"/>
  <c r="W393" i="4"/>
  <c r="X393" i="4"/>
  <c r="Y393" i="4"/>
  <c r="Z393" i="4"/>
  <c r="AA393" i="4"/>
  <c r="AB393" i="4"/>
  <c r="AC393" i="4"/>
  <c r="AE393" i="4"/>
  <c r="AJ393" i="4"/>
  <c r="AK393" i="4"/>
  <c r="AN393" i="4"/>
  <c r="P394" i="4"/>
  <c r="Q394" i="4"/>
  <c r="AQ394" i="4" s="1"/>
  <c r="R394" i="4"/>
  <c r="S394" i="4"/>
  <c r="AN394" i="4" s="1"/>
  <c r="U394" i="4"/>
  <c r="V394" i="4"/>
  <c r="W394" i="4"/>
  <c r="X394" i="4"/>
  <c r="Y394" i="4"/>
  <c r="Z394" i="4"/>
  <c r="AA394" i="4"/>
  <c r="AB394" i="4"/>
  <c r="AC394" i="4"/>
  <c r="AF394" i="4"/>
  <c r="AG394" i="4"/>
  <c r="AJ394" i="4"/>
  <c r="AK394" i="4"/>
  <c r="P395" i="4"/>
  <c r="Q395" i="4"/>
  <c r="R395" i="4"/>
  <c r="AR395" i="4" s="1"/>
  <c r="S395" i="4"/>
  <c r="AN395" i="4" s="1"/>
  <c r="U395" i="4"/>
  <c r="V395" i="4"/>
  <c r="W395" i="4"/>
  <c r="X395" i="4"/>
  <c r="Y395" i="4"/>
  <c r="Z395" i="4"/>
  <c r="AA395" i="4"/>
  <c r="AB395" i="4"/>
  <c r="AC395" i="4"/>
  <c r="AJ395" i="4"/>
  <c r="AL395" i="4"/>
  <c r="P396" i="4"/>
  <c r="Q396" i="4"/>
  <c r="AQ396" i="4" s="1"/>
  <c r="R396" i="4"/>
  <c r="S396" i="4"/>
  <c r="U396" i="4"/>
  <c r="V396" i="4"/>
  <c r="W396" i="4"/>
  <c r="X396" i="4"/>
  <c r="Y396" i="4"/>
  <c r="Z396" i="4"/>
  <c r="AA396" i="4"/>
  <c r="AB396" i="4"/>
  <c r="AC396" i="4"/>
  <c r="AF396" i="4"/>
  <c r="AJ396" i="4"/>
  <c r="AL396" i="4"/>
  <c r="AN396" i="4"/>
  <c r="P397" i="4"/>
  <c r="AP397" i="4" s="1"/>
  <c r="Q397" i="4"/>
  <c r="R397" i="4"/>
  <c r="S397" i="4"/>
  <c r="AN397" i="4" s="1"/>
  <c r="U397" i="4"/>
  <c r="V397" i="4"/>
  <c r="W397" i="4"/>
  <c r="X397" i="4"/>
  <c r="Y397" i="4"/>
  <c r="Z397" i="4"/>
  <c r="AA397" i="4"/>
  <c r="AB397" i="4"/>
  <c r="AC397" i="4"/>
  <c r="AE397" i="4"/>
  <c r="AJ397" i="4"/>
  <c r="AK397" i="4"/>
  <c r="AM397" i="4"/>
  <c r="P398" i="4"/>
  <c r="Q398" i="4"/>
  <c r="AQ398" i="4" s="1"/>
  <c r="R398" i="4"/>
  <c r="S398" i="4"/>
  <c r="U398" i="4"/>
  <c r="V398" i="4"/>
  <c r="W398" i="4"/>
  <c r="X398" i="4"/>
  <c r="Y398" i="4"/>
  <c r="Z398" i="4"/>
  <c r="AA398" i="4"/>
  <c r="AB398" i="4"/>
  <c r="AC398" i="4"/>
  <c r="AF398" i="4"/>
  <c r="AG398" i="4"/>
  <c r="AJ398" i="4"/>
  <c r="AK398" i="4"/>
  <c r="AN398" i="4"/>
  <c r="P399" i="4"/>
  <c r="Q399" i="4"/>
  <c r="R399" i="4"/>
  <c r="AR399" i="4" s="1"/>
  <c r="S399" i="4"/>
  <c r="AN399" i="4" s="1"/>
  <c r="U399" i="4"/>
  <c r="V399" i="4"/>
  <c r="W399" i="4"/>
  <c r="X399" i="4"/>
  <c r="Y399" i="4"/>
  <c r="Z399" i="4"/>
  <c r="AA399" i="4"/>
  <c r="AB399" i="4"/>
  <c r="AC399" i="4"/>
  <c r="AE399" i="4"/>
  <c r="AG399" i="4"/>
  <c r="AJ399" i="4"/>
  <c r="AM399" i="4"/>
  <c r="P400" i="4"/>
  <c r="Q400" i="4"/>
  <c r="R400" i="4"/>
  <c r="S400" i="4"/>
  <c r="AN400" i="4" s="1"/>
  <c r="U400" i="4"/>
  <c r="V400" i="4"/>
  <c r="W400" i="4"/>
  <c r="X400" i="4"/>
  <c r="Y400" i="4"/>
  <c r="Z400" i="4"/>
  <c r="AA400" i="4"/>
  <c r="AB400" i="4"/>
  <c r="AC400" i="4"/>
  <c r="AE400" i="4"/>
  <c r="AJ400" i="4"/>
  <c r="AM400" i="4"/>
  <c r="P401" i="4"/>
  <c r="AP401" i="4" s="1"/>
  <c r="Q401" i="4"/>
  <c r="R401" i="4"/>
  <c r="S401" i="4"/>
  <c r="AN401" i="4" s="1"/>
  <c r="U401" i="4"/>
  <c r="V401" i="4"/>
  <c r="W401" i="4"/>
  <c r="X401" i="4"/>
  <c r="Y401" i="4"/>
  <c r="Z401" i="4"/>
  <c r="AA401" i="4"/>
  <c r="AB401" i="4"/>
  <c r="AC401" i="4"/>
  <c r="AF401" i="4"/>
  <c r="AJ401" i="4"/>
  <c r="AK401" i="4"/>
  <c r="P402" i="4"/>
  <c r="Q402" i="4"/>
  <c r="AQ402" i="4" s="1"/>
  <c r="R402" i="4"/>
  <c r="S402" i="4"/>
  <c r="U402" i="4"/>
  <c r="V402" i="4"/>
  <c r="W402" i="4"/>
  <c r="X402" i="4"/>
  <c r="Y402" i="4"/>
  <c r="Z402" i="4"/>
  <c r="AA402" i="4"/>
  <c r="AB402" i="4"/>
  <c r="AC402" i="4"/>
  <c r="AF402" i="4"/>
  <c r="AG402" i="4"/>
  <c r="AJ402" i="4"/>
  <c r="AK402" i="4"/>
  <c r="AL402" i="4"/>
  <c r="AN402" i="4"/>
  <c r="P403" i="4"/>
  <c r="AP403" i="4" s="1"/>
  <c r="Q403" i="4"/>
  <c r="R403" i="4"/>
  <c r="AR403" i="4" s="1"/>
  <c r="S403" i="4"/>
  <c r="AN403" i="4" s="1"/>
  <c r="U403" i="4"/>
  <c r="V403" i="4"/>
  <c r="W403" i="4"/>
  <c r="X403" i="4"/>
  <c r="Y403" i="4"/>
  <c r="Z403" i="4"/>
  <c r="AA403" i="4"/>
  <c r="AB403" i="4"/>
  <c r="AC403" i="4"/>
  <c r="AE403" i="4"/>
  <c r="AG403" i="4"/>
  <c r="AJ403" i="4"/>
  <c r="AK403" i="4"/>
  <c r="AM403" i="4"/>
  <c r="P404" i="4"/>
  <c r="Q404" i="4"/>
  <c r="R404" i="4"/>
  <c r="S404" i="4"/>
  <c r="AN404" i="4" s="1"/>
  <c r="U404" i="4"/>
  <c r="V404" i="4"/>
  <c r="W404" i="4"/>
  <c r="X404" i="4"/>
  <c r="Y404" i="4"/>
  <c r="Z404" i="4"/>
  <c r="AA404" i="4"/>
  <c r="AB404" i="4"/>
  <c r="AC404" i="4"/>
  <c r="AE404" i="4"/>
  <c r="AJ404" i="4"/>
  <c r="AM404" i="4"/>
  <c r="P405" i="4"/>
  <c r="AP405" i="4" s="1"/>
  <c r="Q405" i="4"/>
  <c r="R405" i="4"/>
  <c r="AR405" i="4" s="1"/>
  <c r="S405" i="4"/>
  <c r="AN405" i="4" s="1"/>
  <c r="U405" i="4"/>
  <c r="V405" i="4"/>
  <c r="W405" i="4"/>
  <c r="X405" i="4"/>
  <c r="Y405" i="4"/>
  <c r="Z405" i="4"/>
  <c r="AA405" i="4"/>
  <c r="AB405" i="4"/>
  <c r="AC405" i="4"/>
  <c r="AF405" i="4"/>
  <c r="AJ405" i="4"/>
  <c r="AM405" i="4"/>
  <c r="P406" i="4"/>
  <c r="Q406" i="4"/>
  <c r="AQ406" i="4" s="1"/>
  <c r="R406" i="4"/>
  <c r="S406" i="4"/>
  <c r="AN406" i="4" s="1"/>
  <c r="U406" i="4"/>
  <c r="V406" i="4"/>
  <c r="W406" i="4"/>
  <c r="X406" i="4"/>
  <c r="Y406" i="4"/>
  <c r="Z406" i="4"/>
  <c r="AA406" i="4"/>
  <c r="AB406" i="4"/>
  <c r="AC406" i="4"/>
  <c r="AF406" i="4"/>
  <c r="AJ406" i="4"/>
  <c r="AK406" i="4"/>
  <c r="P407" i="4"/>
  <c r="AP407" i="4" s="1"/>
  <c r="Q407" i="4"/>
  <c r="R407" i="4"/>
  <c r="AR407" i="4" s="1"/>
  <c r="S407" i="4"/>
  <c r="AN407" i="4" s="1"/>
  <c r="U407" i="4"/>
  <c r="V407" i="4"/>
  <c r="W407" i="4"/>
  <c r="X407" i="4"/>
  <c r="Y407" i="4"/>
  <c r="Z407" i="4"/>
  <c r="AA407" i="4"/>
  <c r="AB407" i="4"/>
  <c r="AC407" i="4"/>
  <c r="AG407" i="4"/>
  <c r="AJ407" i="4"/>
  <c r="AM407" i="4"/>
  <c r="P408" i="4"/>
  <c r="Q408" i="4"/>
  <c r="R408" i="4"/>
  <c r="AR408" i="4" s="1"/>
  <c r="S408" i="4"/>
  <c r="AN408" i="4" s="1"/>
  <c r="U408" i="4"/>
  <c r="V408" i="4"/>
  <c r="W408" i="4"/>
  <c r="X408" i="4"/>
  <c r="Y408" i="4"/>
  <c r="Z408" i="4"/>
  <c r="AA408" i="4"/>
  <c r="AB408" i="4"/>
  <c r="AC408" i="4"/>
  <c r="AE408" i="4"/>
  <c r="AJ408" i="4"/>
  <c r="AL408" i="4"/>
  <c r="P409" i="4"/>
  <c r="AP409" i="4" s="1"/>
  <c r="Q409" i="4"/>
  <c r="R409" i="4"/>
  <c r="AR409" i="4" s="1"/>
  <c r="S409" i="4"/>
  <c r="U409" i="4"/>
  <c r="V409" i="4"/>
  <c r="W409" i="4"/>
  <c r="X409" i="4"/>
  <c r="Y409" i="4"/>
  <c r="Z409" i="4"/>
  <c r="AA409" i="4"/>
  <c r="AB409" i="4"/>
  <c r="AC409" i="4"/>
  <c r="AG409" i="4"/>
  <c r="AJ409" i="4"/>
  <c r="AK409" i="4"/>
  <c r="AN409" i="4"/>
  <c r="P410" i="4"/>
  <c r="AP410" i="4" s="1"/>
  <c r="Q410" i="4"/>
  <c r="AQ410" i="4" s="1"/>
  <c r="R410" i="4"/>
  <c r="S410" i="4"/>
  <c r="AN410" i="4" s="1"/>
  <c r="U410" i="4"/>
  <c r="V410" i="4"/>
  <c r="W410" i="4"/>
  <c r="X410" i="4"/>
  <c r="Y410" i="4"/>
  <c r="Z410" i="4"/>
  <c r="AA410" i="4"/>
  <c r="AB410" i="4"/>
  <c r="AC410" i="4"/>
  <c r="AF410" i="4"/>
  <c r="AJ410" i="4"/>
  <c r="AL410" i="4"/>
  <c r="P411" i="4"/>
  <c r="Q411" i="4"/>
  <c r="R411" i="4"/>
  <c r="AR411" i="4" s="1"/>
  <c r="S411" i="4"/>
  <c r="AN411" i="4" s="1"/>
  <c r="U411" i="4"/>
  <c r="V411" i="4"/>
  <c r="W411" i="4"/>
  <c r="X411" i="4"/>
  <c r="Y411" i="4"/>
  <c r="Z411" i="4"/>
  <c r="AA411" i="4"/>
  <c r="AB411" i="4"/>
  <c r="AC411" i="4"/>
  <c r="AJ411" i="4"/>
  <c r="AL411" i="4"/>
  <c r="P412" i="4"/>
  <c r="Q412" i="4"/>
  <c r="AQ412" i="4" s="1"/>
  <c r="R412" i="4"/>
  <c r="S412" i="4"/>
  <c r="U412" i="4"/>
  <c r="V412" i="4"/>
  <c r="W412" i="4"/>
  <c r="X412" i="4"/>
  <c r="Y412" i="4"/>
  <c r="Z412" i="4"/>
  <c r="AA412" i="4"/>
  <c r="AB412" i="4"/>
  <c r="AC412" i="4"/>
  <c r="AF412" i="4"/>
  <c r="AJ412" i="4"/>
  <c r="AL412" i="4"/>
  <c r="AN412" i="4"/>
  <c r="P413" i="4"/>
  <c r="AP413" i="4" s="1"/>
  <c r="Q413" i="4"/>
  <c r="R413" i="4"/>
  <c r="AR413" i="4" s="1"/>
  <c r="S413" i="4"/>
  <c r="AN413" i="4" s="1"/>
  <c r="U413" i="4"/>
  <c r="V413" i="4"/>
  <c r="W413" i="4"/>
  <c r="X413" i="4"/>
  <c r="Y413" i="4"/>
  <c r="Z413" i="4"/>
  <c r="AA413" i="4"/>
  <c r="AB413" i="4"/>
  <c r="AC413" i="4"/>
  <c r="AE413" i="4"/>
  <c r="AJ413" i="4"/>
  <c r="AK413" i="4"/>
  <c r="P414" i="4"/>
  <c r="AP414" i="4" s="1"/>
  <c r="Q414" i="4"/>
  <c r="R414" i="4"/>
  <c r="S414" i="4"/>
  <c r="AN414" i="4" s="1"/>
  <c r="U414" i="4"/>
  <c r="V414" i="4"/>
  <c r="W414" i="4"/>
  <c r="X414" i="4"/>
  <c r="Y414" i="4"/>
  <c r="Z414" i="4"/>
  <c r="AA414" i="4"/>
  <c r="AB414" i="4"/>
  <c r="AC414" i="4"/>
  <c r="AF414" i="4"/>
  <c r="AJ414" i="4"/>
  <c r="AK414" i="4"/>
  <c r="P415" i="4"/>
  <c r="Q415" i="4"/>
  <c r="AQ415" i="4" s="1"/>
  <c r="R415" i="4"/>
  <c r="S415" i="4"/>
  <c r="AN415" i="4" s="1"/>
  <c r="U415" i="4"/>
  <c r="V415" i="4"/>
  <c r="W415" i="4"/>
  <c r="X415" i="4"/>
  <c r="Y415" i="4"/>
  <c r="Z415" i="4"/>
  <c r="AA415" i="4"/>
  <c r="AB415" i="4"/>
  <c r="AC415" i="4"/>
  <c r="AF415" i="4"/>
  <c r="AG415" i="4"/>
  <c r="AJ415" i="4"/>
  <c r="AK415" i="4"/>
  <c r="AL415" i="4"/>
  <c r="P416" i="4"/>
  <c r="Q416" i="4"/>
  <c r="R416" i="4"/>
  <c r="AR416" i="4" s="1"/>
  <c r="S416" i="4"/>
  <c r="AN416" i="4" s="1"/>
  <c r="U416" i="4"/>
  <c r="V416" i="4"/>
  <c r="W416" i="4"/>
  <c r="X416" i="4"/>
  <c r="Y416" i="4"/>
  <c r="Z416" i="4"/>
  <c r="AA416" i="4"/>
  <c r="AB416" i="4"/>
  <c r="AC416" i="4"/>
  <c r="AE416" i="4"/>
  <c r="AG416" i="4"/>
  <c r="AJ416" i="4"/>
  <c r="AM416" i="4"/>
  <c r="P417" i="4"/>
  <c r="Q417" i="4"/>
  <c r="R417" i="4"/>
  <c r="S417" i="4"/>
  <c r="U417" i="4"/>
  <c r="V417" i="4"/>
  <c r="W417" i="4"/>
  <c r="X417" i="4"/>
  <c r="Y417" i="4"/>
  <c r="Z417" i="4"/>
  <c r="AA417" i="4"/>
  <c r="AB417" i="4"/>
  <c r="AC417" i="4"/>
  <c r="AE417" i="4"/>
  <c r="AJ417" i="4"/>
  <c r="AM417" i="4"/>
  <c r="AN417" i="4"/>
  <c r="P418" i="4"/>
  <c r="AP418" i="4" s="1"/>
  <c r="Q418" i="4"/>
  <c r="R418" i="4"/>
  <c r="S418" i="4"/>
  <c r="AN418" i="4" s="1"/>
  <c r="U418" i="4"/>
  <c r="V418" i="4"/>
  <c r="W418" i="4"/>
  <c r="X418" i="4"/>
  <c r="Y418" i="4"/>
  <c r="Z418" i="4"/>
  <c r="AA418" i="4"/>
  <c r="AB418" i="4"/>
  <c r="AC418" i="4"/>
  <c r="AE418" i="4"/>
  <c r="AG418" i="4"/>
  <c r="AJ418" i="4"/>
  <c r="AK418" i="4"/>
  <c r="P419" i="4"/>
  <c r="AP419" i="4" s="1"/>
  <c r="Q419" i="4"/>
  <c r="AQ419" i="4" s="1"/>
  <c r="R419" i="4"/>
  <c r="S419" i="4"/>
  <c r="AN419" i="4" s="1"/>
  <c r="U419" i="4"/>
  <c r="V419" i="4"/>
  <c r="W419" i="4"/>
  <c r="X419" i="4"/>
  <c r="Y419" i="4"/>
  <c r="Z419" i="4"/>
  <c r="AA419" i="4"/>
  <c r="AB419" i="4"/>
  <c r="AC419" i="4"/>
  <c r="AF419" i="4"/>
  <c r="AG419" i="4"/>
  <c r="AJ419" i="4"/>
  <c r="AL419" i="4"/>
  <c r="P420" i="4"/>
  <c r="Q420" i="4"/>
  <c r="AQ420" i="4" s="1"/>
  <c r="R420" i="4"/>
  <c r="AR420" i="4" s="1"/>
  <c r="S420" i="4"/>
  <c r="AN420" i="4" s="1"/>
  <c r="U420" i="4"/>
  <c r="V420" i="4"/>
  <c r="W420" i="4"/>
  <c r="X420" i="4"/>
  <c r="Y420" i="4"/>
  <c r="Z420" i="4"/>
  <c r="AA420" i="4"/>
  <c r="AB420" i="4"/>
  <c r="AC420" i="4"/>
  <c r="AG420" i="4"/>
  <c r="AJ420" i="4"/>
  <c r="AM420" i="4"/>
  <c r="P421" i="4"/>
  <c r="Q421" i="4"/>
  <c r="R421" i="4"/>
  <c r="AR421" i="4" s="1"/>
  <c r="S421" i="4"/>
  <c r="U421" i="4"/>
  <c r="V421" i="4"/>
  <c r="W421" i="4"/>
  <c r="X421" i="4"/>
  <c r="Y421" i="4"/>
  <c r="Z421" i="4"/>
  <c r="AA421" i="4"/>
  <c r="AB421" i="4"/>
  <c r="AC421" i="4"/>
  <c r="AE421" i="4"/>
  <c r="AJ421" i="4"/>
  <c r="AN421" i="4"/>
  <c r="P422" i="4"/>
  <c r="AP422" i="4" s="1"/>
  <c r="Q422" i="4"/>
  <c r="R422" i="4"/>
  <c r="S422" i="4"/>
  <c r="AN422" i="4" s="1"/>
  <c r="U422" i="4"/>
  <c r="V422" i="4"/>
  <c r="W422" i="4"/>
  <c r="X422" i="4"/>
  <c r="Y422" i="4"/>
  <c r="Z422" i="4"/>
  <c r="AA422" i="4"/>
  <c r="AB422" i="4"/>
  <c r="AC422" i="4"/>
  <c r="AE422" i="4"/>
  <c r="AJ422" i="4"/>
  <c r="AK422" i="4"/>
  <c r="P423" i="4"/>
  <c r="Q423" i="4"/>
  <c r="AQ423" i="4" s="1"/>
  <c r="R423" i="4"/>
  <c r="S423" i="4"/>
  <c r="AN423" i="4" s="1"/>
  <c r="U423" i="4"/>
  <c r="V423" i="4"/>
  <c r="W423" i="4"/>
  <c r="X423" i="4"/>
  <c r="Y423" i="4"/>
  <c r="Z423" i="4"/>
  <c r="AA423" i="4"/>
  <c r="AB423" i="4"/>
  <c r="AC423" i="4"/>
  <c r="AF423" i="4"/>
  <c r="AG423" i="4"/>
  <c r="AJ423" i="4"/>
  <c r="AK423" i="4"/>
  <c r="AL423" i="4"/>
  <c r="P424" i="4"/>
  <c r="Q424" i="4"/>
  <c r="R424" i="4"/>
  <c r="AR424" i="4" s="1"/>
  <c r="S424" i="4"/>
  <c r="AN424" i="4" s="1"/>
  <c r="U424" i="4"/>
  <c r="V424" i="4"/>
  <c r="W424" i="4"/>
  <c r="X424" i="4"/>
  <c r="Y424" i="4"/>
  <c r="Z424" i="4"/>
  <c r="AA424" i="4"/>
  <c r="AB424" i="4"/>
  <c r="AC424" i="4"/>
  <c r="AG424" i="4"/>
  <c r="AJ424" i="4"/>
  <c r="AL424" i="4"/>
  <c r="P425" i="4"/>
  <c r="Q425" i="4"/>
  <c r="R425" i="4"/>
  <c r="S425" i="4"/>
  <c r="U425" i="4"/>
  <c r="V425" i="4"/>
  <c r="W425" i="4"/>
  <c r="X425" i="4"/>
  <c r="Y425" i="4"/>
  <c r="Z425" i="4"/>
  <c r="AA425" i="4"/>
  <c r="AB425" i="4"/>
  <c r="AC425" i="4"/>
  <c r="AF425" i="4"/>
  <c r="AJ425" i="4"/>
  <c r="AM425" i="4"/>
  <c r="AN425" i="4"/>
  <c r="P426" i="4"/>
  <c r="AP426" i="4" s="1"/>
  <c r="Q426" i="4"/>
  <c r="R426" i="4"/>
  <c r="S426" i="4"/>
  <c r="U426" i="4"/>
  <c r="V426" i="4"/>
  <c r="W426" i="4"/>
  <c r="X426" i="4"/>
  <c r="Y426" i="4"/>
  <c r="Z426" i="4"/>
  <c r="AA426" i="4"/>
  <c r="AB426" i="4"/>
  <c r="AC426" i="4"/>
  <c r="AF426" i="4"/>
  <c r="AJ426" i="4"/>
  <c r="AN426" i="4"/>
  <c r="P427" i="4"/>
  <c r="AP427" i="4" s="1"/>
  <c r="Q427" i="4"/>
  <c r="AQ427" i="4" s="1"/>
  <c r="R427" i="4"/>
  <c r="S427" i="4"/>
  <c r="AN427" i="4" s="1"/>
  <c r="U427" i="4"/>
  <c r="V427" i="4"/>
  <c r="W427" i="4"/>
  <c r="X427" i="4"/>
  <c r="Y427" i="4"/>
  <c r="Z427" i="4"/>
  <c r="AA427" i="4"/>
  <c r="AB427" i="4"/>
  <c r="AC427" i="4"/>
  <c r="AF427" i="4"/>
  <c r="AG427" i="4"/>
  <c r="AJ427" i="4"/>
  <c r="P428" i="4"/>
  <c r="Q428" i="4"/>
  <c r="AQ428" i="4" s="1"/>
  <c r="R428" i="4"/>
  <c r="AR428" i="4" s="1"/>
  <c r="S428" i="4"/>
  <c r="AN428" i="4" s="1"/>
  <c r="U428" i="4"/>
  <c r="V428" i="4"/>
  <c r="W428" i="4"/>
  <c r="X428" i="4"/>
  <c r="Y428" i="4"/>
  <c r="Z428" i="4"/>
  <c r="AA428" i="4"/>
  <c r="AB428" i="4"/>
  <c r="AC428" i="4"/>
  <c r="AJ428" i="4"/>
  <c r="P429" i="4"/>
  <c r="Q429" i="4"/>
  <c r="R429" i="4"/>
  <c r="AR429" i="4" s="1"/>
  <c r="S429" i="4"/>
  <c r="U429" i="4"/>
  <c r="V429" i="4"/>
  <c r="W429" i="4"/>
  <c r="X429" i="4"/>
  <c r="Y429" i="4"/>
  <c r="Z429" i="4"/>
  <c r="AA429" i="4"/>
  <c r="AB429" i="4"/>
  <c r="AC429" i="4"/>
  <c r="AJ429" i="4"/>
  <c r="AN429" i="4"/>
  <c r="P430" i="4"/>
  <c r="AP430" i="4" s="1"/>
  <c r="Q430" i="4"/>
  <c r="R430" i="4"/>
  <c r="S430" i="4"/>
  <c r="AN430" i="4" s="1"/>
  <c r="U430" i="4"/>
  <c r="V430" i="4"/>
  <c r="W430" i="4"/>
  <c r="X430" i="4"/>
  <c r="Y430" i="4"/>
  <c r="Z430" i="4"/>
  <c r="AA430" i="4"/>
  <c r="AB430" i="4"/>
  <c r="AC430" i="4"/>
  <c r="AF430" i="4"/>
  <c r="AJ430" i="4"/>
  <c r="AK430" i="4"/>
  <c r="P431" i="4"/>
  <c r="Q431" i="4"/>
  <c r="AQ431" i="4" s="1"/>
  <c r="R431" i="4"/>
  <c r="S431" i="4"/>
  <c r="AN431" i="4" s="1"/>
  <c r="U431" i="4"/>
  <c r="V431" i="4"/>
  <c r="W431" i="4"/>
  <c r="X431" i="4"/>
  <c r="Y431" i="4"/>
  <c r="Z431" i="4"/>
  <c r="AA431" i="4"/>
  <c r="AB431" i="4"/>
  <c r="AC431" i="4"/>
  <c r="AF431" i="4"/>
  <c r="AG431" i="4"/>
  <c r="AJ431" i="4"/>
  <c r="AK431" i="4"/>
  <c r="AL431" i="4"/>
  <c r="P432" i="4"/>
  <c r="Q432" i="4"/>
  <c r="R432" i="4"/>
  <c r="AR432" i="4" s="1"/>
  <c r="S432" i="4"/>
  <c r="AN432" i="4" s="1"/>
  <c r="U432" i="4"/>
  <c r="V432" i="4"/>
  <c r="W432" i="4"/>
  <c r="X432" i="4"/>
  <c r="Y432" i="4"/>
  <c r="Z432" i="4"/>
  <c r="AA432" i="4"/>
  <c r="AB432" i="4"/>
  <c r="AC432" i="4"/>
  <c r="AE432" i="4"/>
  <c r="AG432" i="4"/>
  <c r="AJ432" i="4"/>
  <c r="AM432" i="4"/>
  <c r="P433" i="4"/>
  <c r="Q433" i="4"/>
  <c r="R433" i="4"/>
  <c r="S433" i="4"/>
  <c r="U433" i="4"/>
  <c r="V433" i="4"/>
  <c r="W433" i="4"/>
  <c r="X433" i="4"/>
  <c r="Y433" i="4"/>
  <c r="Z433" i="4"/>
  <c r="AA433" i="4"/>
  <c r="AB433" i="4"/>
  <c r="AC433" i="4"/>
  <c r="AE433" i="4"/>
  <c r="AJ433" i="4"/>
  <c r="AM433" i="4"/>
  <c r="AN433" i="4"/>
  <c r="P434" i="4"/>
  <c r="AP434" i="4" s="1"/>
  <c r="Q434" i="4"/>
  <c r="R434" i="4"/>
  <c r="S434" i="4"/>
  <c r="AN434" i="4" s="1"/>
  <c r="U434" i="4"/>
  <c r="V434" i="4"/>
  <c r="W434" i="4"/>
  <c r="X434" i="4"/>
  <c r="Y434" i="4"/>
  <c r="Z434" i="4"/>
  <c r="AA434" i="4"/>
  <c r="AB434" i="4"/>
  <c r="AC434" i="4"/>
  <c r="AE434" i="4"/>
  <c r="AG434" i="4"/>
  <c r="AJ434" i="4"/>
  <c r="AK434" i="4"/>
  <c r="P435" i="4"/>
  <c r="AP435" i="4" s="1"/>
  <c r="Q435" i="4"/>
  <c r="AQ435" i="4" s="1"/>
  <c r="R435" i="4"/>
  <c r="S435" i="4"/>
  <c r="AN435" i="4" s="1"/>
  <c r="U435" i="4"/>
  <c r="V435" i="4"/>
  <c r="W435" i="4"/>
  <c r="X435" i="4"/>
  <c r="Y435" i="4"/>
  <c r="Z435" i="4"/>
  <c r="AA435" i="4"/>
  <c r="AB435" i="4"/>
  <c r="AC435" i="4"/>
  <c r="AF435" i="4"/>
  <c r="AG435" i="4"/>
  <c r="AJ435" i="4"/>
  <c r="AL435" i="4"/>
  <c r="P436" i="4"/>
  <c r="AP436" i="4" s="1"/>
  <c r="Q436" i="4"/>
  <c r="AQ436" i="4" s="1"/>
  <c r="R436" i="4"/>
  <c r="AR436" i="4" s="1"/>
  <c r="S436" i="4"/>
  <c r="AN436" i="4" s="1"/>
  <c r="U436" i="4"/>
  <c r="V436" i="4"/>
  <c r="W436" i="4"/>
  <c r="X436" i="4"/>
  <c r="Y436" i="4"/>
  <c r="Z436" i="4"/>
  <c r="AA436" i="4"/>
  <c r="AB436" i="4"/>
  <c r="AC436" i="4"/>
  <c r="AG436" i="4"/>
  <c r="AJ436" i="4"/>
  <c r="AM436" i="4"/>
  <c r="P437" i="4"/>
  <c r="Q437" i="4"/>
  <c r="AQ437" i="4" s="1"/>
  <c r="R437" i="4"/>
  <c r="AR437" i="4" s="1"/>
  <c r="S437" i="4"/>
  <c r="U437" i="4"/>
  <c r="V437" i="4"/>
  <c r="W437" i="4"/>
  <c r="X437" i="4"/>
  <c r="Y437" i="4"/>
  <c r="Z437" i="4"/>
  <c r="AA437" i="4"/>
  <c r="AB437" i="4"/>
  <c r="AC437" i="4"/>
  <c r="AE437" i="4"/>
  <c r="AJ437" i="4"/>
  <c r="AN437" i="4"/>
  <c r="P438" i="4"/>
  <c r="AP438" i="4" s="1"/>
  <c r="Q438" i="4"/>
  <c r="R438" i="4"/>
  <c r="AR438" i="4" s="1"/>
  <c r="S438" i="4"/>
  <c r="AN438" i="4" s="1"/>
  <c r="U438" i="4"/>
  <c r="V438" i="4"/>
  <c r="W438" i="4"/>
  <c r="X438" i="4"/>
  <c r="Y438" i="4"/>
  <c r="Z438" i="4"/>
  <c r="AA438" i="4"/>
  <c r="AB438" i="4"/>
  <c r="AC438" i="4"/>
  <c r="AE438" i="4"/>
  <c r="AJ438" i="4"/>
  <c r="AK438" i="4"/>
  <c r="P439" i="4"/>
  <c r="Q439" i="4"/>
  <c r="AQ439" i="4" s="1"/>
  <c r="R439" i="4"/>
  <c r="S439" i="4"/>
  <c r="AN439" i="4" s="1"/>
  <c r="U439" i="4"/>
  <c r="V439" i="4"/>
  <c r="W439" i="4"/>
  <c r="X439" i="4"/>
  <c r="Y439" i="4"/>
  <c r="Z439" i="4"/>
  <c r="AA439" i="4"/>
  <c r="AB439" i="4"/>
  <c r="AC439" i="4"/>
  <c r="AF439" i="4"/>
  <c r="AG439" i="4"/>
  <c r="AJ439" i="4"/>
  <c r="AK439" i="4"/>
  <c r="AL439" i="4"/>
  <c r="P440" i="4"/>
  <c r="Q440" i="4"/>
  <c r="R440" i="4"/>
  <c r="AR440" i="4" s="1"/>
  <c r="S440" i="4"/>
  <c r="AN440" i="4" s="1"/>
  <c r="U440" i="4"/>
  <c r="V440" i="4"/>
  <c r="W440" i="4"/>
  <c r="X440" i="4"/>
  <c r="Y440" i="4"/>
  <c r="Z440" i="4"/>
  <c r="AA440" i="4"/>
  <c r="AB440" i="4"/>
  <c r="AC440" i="4"/>
  <c r="AG440" i="4"/>
  <c r="AJ440" i="4"/>
  <c r="AL440" i="4"/>
  <c r="P441" i="4"/>
  <c r="Q441" i="4"/>
  <c r="R441" i="4"/>
  <c r="S441" i="4"/>
  <c r="U441" i="4"/>
  <c r="V441" i="4"/>
  <c r="W441" i="4"/>
  <c r="X441" i="4"/>
  <c r="Y441" i="4"/>
  <c r="Z441" i="4"/>
  <c r="AA441" i="4"/>
  <c r="AB441" i="4"/>
  <c r="AC441" i="4"/>
  <c r="AF441" i="4"/>
  <c r="AJ441" i="4"/>
  <c r="AM441" i="4"/>
  <c r="AN441" i="4"/>
  <c r="P442" i="4"/>
  <c r="AP442" i="4" s="1"/>
  <c r="Q442" i="4"/>
  <c r="R442" i="4"/>
  <c r="S442" i="4"/>
  <c r="U442" i="4"/>
  <c r="V442" i="4"/>
  <c r="W442" i="4"/>
  <c r="X442" i="4"/>
  <c r="Y442" i="4"/>
  <c r="Z442" i="4"/>
  <c r="AA442" i="4"/>
  <c r="AB442" i="4"/>
  <c r="AC442" i="4"/>
  <c r="AF442" i="4"/>
  <c r="AJ442" i="4"/>
  <c r="AN442" i="4"/>
  <c r="P443" i="4"/>
  <c r="AP443" i="4" s="1"/>
  <c r="Q443" i="4"/>
  <c r="AQ443" i="4" s="1"/>
  <c r="R443" i="4"/>
  <c r="S443" i="4"/>
  <c r="AN443" i="4" s="1"/>
  <c r="U443" i="4"/>
  <c r="V443" i="4"/>
  <c r="W443" i="4"/>
  <c r="X443" i="4"/>
  <c r="Y443" i="4"/>
  <c r="Z443" i="4"/>
  <c r="AA443" i="4"/>
  <c r="AB443" i="4"/>
  <c r="AC443" i="4"/>
  <c r="AF443" i="4"/>
  <c r="AG443" i="4"/>
  <c r="AJ443" i="4"/>
  <c r="P444" i="4"/>
  <c r="AP444" i="4" s="1"/>
  <c r="Q444" i="4"/>
  <c r="AQ444" i="4" s="1"/>
  <c r="R444" i="4"/>
  <c r="AR444" i="4" s="1"/>
  <c r="S444" i="4"/>
  <c r="AN444" i="4" s="1"/>
  <c r="U444" i="4"/>
  <c r="V444" i="4"/>
  <c r="W444" i="4"/>
  <c r="X444" i="4"/>
  <c r="Y444" i="4"/>
  <c r="Z444" i="4"/>
  <c r="AA444" i="4"/>
  <c r="AB444" i="4"/>
  <c r="AC444" i="4"/>
  <c r="AJ444" i="4"/>
  <c r="P445" i="4"/>
  <c r="Q445" i="4"/>
  <c r="AQ445" i="4" s="1"/>
  <c r="R445" i="4"/>
  <c r="AR445" i="4" s="1"/>
  <c r="S445" i="4"/>
  <c r="U445" i="4"/>
  <c r="V445" i="4"/>
  <c r="W445" i="4"/>
  <c r="X445" i="4"/>
  <c r="Y445" i="4"/>
  <c r="Z445" i="4"/>
  <c r="AA445" i="4"/>
  <c r="AB445" i="4"/>
  <c r="AC445" i="4"/>
  <c r="AJ445" i="4"/>
  <c r="AN445" i="4"/>
  <c r="P446" i="4"/>
  <c r="AP446" i="4" s="1"/>
  <c r="Q446" i="4"/>
  <c r="R446" i="4"/>
  <c r="AR446" i="4" s="1"/>
  <c r="S446" i="4"/>
  <c r="AN446" i="4" s="1"/>
  <c r="U446" i="4"/>
  <c r="V446" i="4"/>
  <c r="W446" i="4"/>
  <c r="X446" i="4"/>
  <c r="Y446" i="4"/>
  <c r="Z446" i="4"/>
  <c r="AA446" i="4"/>
  <c r="AB446" i="4"/>
  <c r="AC446" i="4"/>
  <c r="AF446" i="4"/>
  <c r="AJ446" i="4"/>
  <c r="AK446" i="4"/>
  <c r="P447" i="4"/>
  <c r="Q447" i="4"/>
  <c r="AQ447" i="4" s="1"/>
  <c r="R447" i="4"/>
  <c r="S447" i="4"/>
  <c r="AN447" i="4" s="1"/>
  <c r="U447" i="4"/>
  <c r="V447" i="4"/>
  <c r="W447" i="4"/>
  <c r="X447" i="4"/>
  <c r="Y447" i="4"/>
  <c r="Z447" i="4"/>
  <c r="AA447" i="4"/>
  <c r="AB447" i="4"/>
  <c r="AC447" i="4"/>
  <c r="AF447" i="4"/>
  <c r="AG447" i="4"/>
  <c r="AJ447" i="4"/>
  <c r="AK447" i="4"/>
  <c r="AL447" i="4"/>
  <c r="P448" i="4"/>
  <c r="Q448" i="4"/>
  <c r="R448" i="4"/>
  <c r="AR448" i="4" s="1"/>
  <c r="S448" i="4"/>
  <c r="AN448" i="4" s="1"/>
  <c r="U448" i="4"/>
  <c r="V448" i="4"/>
  <c r="W448" i="4"/>
  <c r="X448" i="4"/>
  <c r="Y448" i="4"/>
  <c r="Z448" i="4"/>
  <c r="AA448" i="4"/>
  <c r="AB448" i="4"/>
  <c r="AC448" i="4"/>
  <c r="AE448" i="4"/>
  <c r="AG448" i="4"/>
  <c r="AJ448" i="4"/>
  <c r="AM448" i="4"/>
  <c r="P449" i="4"/>
  <c r="Q449" i="4"/>
  <c r="R449" i="4"/>
  <c r="S449" i="4"/>
  <c r="U449" i="4"/>
  <c r="V449" i="4"/>
  <c r="W449" i="4"/>
  <c r="X449" i="4"/>
  <c r="Y449" i="4"/>
  <c r="Z449" i="4"/>
  <c r="AA449" i="4"/>
  <c r="AB449" i="4"/>
  <c r="AC449" i="4"/>
  <c r="AE449" i="4"/>
  <c r="AJ449" i="4"/>
  <c r="AM449" i="4"/>
  <c r="AN449" i="4"/>
  <c r="P450" i="4"/>
  <c r="AP450" i="4" s="1"/>
  <c r="Q450" i="4"/>
  <c r="R450" i="4"/>
  <c r="S450" i="4"/>
  <c r="AN450" i="4" s="1"/>
  <c r="U450" i="4"/>
  <c r="V450" i="4"/>
  <c r="W450" i="4"/>
  <c r="X450" i="4"/>
  <c r="Y450" i="4"/>
  <c r="Z450" i="4"/>
  <c r="AA450" i="4"/>
  <c r="AB450" i="4"/>
  <c r="AC450" i="4"/>
  <c r="AE450" i="4"/>
  <c r="AG450" i="4"/>
  <c r="AJ450" i="4"/>
  <c r="AK450" i="4"/>
  <c r="P451" i="4"/>
  <c r="AP451" i="4" s="1"/>
  <c r="Q451" i="4"/>
  <c r="AQ451" i="4" s="1"/>
  <c r="R451" i="4"/>
  <c r="S451" i="4"/>
  <c r="AN451" i="4" s="1"/>
  <c r="U451" i="4"/>
  <c r="V451" i="4"/>
  <c r="W451" i="4"/>
  <c r="X451" i="4"/>
  <c r="Y451" i="4"/>
  <c r="Z451" i="4"/>
  <c r="AA451" i="4"/>
  <c r="AB451" i="4"/>
  <c r="AC451" i="4"/>
  <c r="AF451" i="4"/>
  <c r="AG451" i="4"/>
  <c r="AJ451" i="4"/>
  <c r="AL451" i="4"/>
  <c r="P452" i="4"/>
  <c r="AP452" i="4" s="1"/>
  <c r="Q452" i="4"/>
  <c r="AQ452" i="4" s="1"/>
  <c r="R452" i="4"/>
  <c r="AR452" i="4" s="1"/>
  <c r="S452" i="4"/>
  <c r="AN452" i="4" s="1"/>
  <c r="U452" i="4"/>
  <c r="V452" i="4"/>
  <c r="W452" i="4"/>
  <c r="X452" i="4"/>
  <c r="Y452" i="4"/>
  <c r="Z452" i="4"/>
  <c r="AA452" i="4"/>
  <c r="AB452" i="4"/>
  <c r="AC452" i="4"/>
  <c r="AG452" i="4"/>
  <c r="AJ452" i="4"/>
  <c r="AM452" i="4"/>
  <c r="P453" i="4"/>
  <c r="Q453" i="4"/>
  <c r="AQ453" i="4" s="1"/>
  <c r="R453" i="4"/>
  <c r="AR453" i="4" s="1"/>
  <c r="S453" i="4"/>
  <c r="U453" i="4"/>
  <c r="V453" i="4"/>
  <c r="W453" i="4"/>
  <c r="X453" i="4"/>
  <c r="Y453" i="4"/>
  <c r="Z453" i="4"/>
  <c r="AA453" i="4"/>
  <c r="AB453" i="4"/>
  <c r="AC453" i="4"/>
  <c r="AE453" i="4"/>
  <c r="AJ453" i="4"/>
  <c r="AN453" i="4"/>
  <c r="P454" i="4"/>
  <c r="AP454" i="4" s="1"/>
  <c r="Q454" i="4"/>
  <c r="R454" i="4"/>
  <c r="AR454" i="4" s="1"/>
  <c r="S454" i="4"/>
  <c r="AN454" i="4" s="1"/>
  <c r="U454" i="4"/>
  <c r="V454" i="4"/>
  <c r="W454" i="4"/>
  <c r="X454" i="4"/>
  <c r="Y454" i="4"/>
  <c r="Z454" i="4"/>
  <c r="AA454" i="4"/>
  <c r="AB454" i="4"/>
  <c r="AC454" i="4"/>
  <c r="AE454" i="4"/>
  <c r="AJ454" i="4"/>
  <c r="AK454" i="4"/>
  <c r="P455" i="4"/>
  <c r="Q455" i="4"/>
  <c r="AQ455" i="4" s="1"/>
  <c r="R455" i="4"/>
  <c r="S455" i="4"/>
  <c r="AN455" i="4" s="1"/>
  <c r="U455" i="4"/>
  <c r="V455" i="4"/>
  <c r="W455" i="4"/>
  <c r="X455" i="4"/>
  <c r="Y455" i="4"/>
  <c r="Z455" i="4"/>
  <c r="AA455" i="4"/>
  <c r="AB455" i="4"/>
  <c r="AC455" i="4"/>
  <c r="AF455" i="4"/>
  <c r="AG455" i="4"/>
  <c r="AJ455" i="4"/>
  <c r="AK455" i="4"/>
  <c r="AL455" i="4"/>
  <c r="P456" i="4"/>
  <c r="Q456" i="4"/>
  <c r="R456" i="4"/>
  <c r="S456" i="4"/>
  <c r="AN456" i="4" s="1"/>
  <c r="U456" i="4"/>
  <c r="V456" i="4"/>
  <c r="W456" i="4"/>
  <c r="X456" i="4"/>
  <c r="Y456" i="4"/>
  <c r="Z456" i="4"/>
  <c r="AA456" i="4"/>
  <c r="AB456" i="4"/>
  <c r="AC456" i="4"/>
  <c r="AG456" i="4"/>
  <c r="AJ456" i="4"/>
  <c r="AL456" i="4"/>
  <c r="P457" i="4"/>
  <c r="Q457" i="4"/>
  <c r="R457" i="4"/>
  <c r="S457" i="4"/>
  <c r="U457" i="4"/>
  <c r="V457" i="4"/>
  <c r="W457" i="4"/>
  <c r="X457" i="4"/>
  <c r="Y457" i="4"/>
  <c r="Z457" i="4"/>
  <c r="AA457" i="4"/>
  <c r="AB457" i="4"/>
  <c r="AC457" i="4"/>
  <c r="AF457" i="4"/>
  <c r="AJ457" i="4"/>
  <c r="AM457" i="4"/>
  <c r="AN457" i="4"/>
  <c r="P458" i="4"/>
  <c r="Q458" i="4"/>
  <c r="R458" i="4"/>
  <c r="S458" i="4"/>
  <c r="U458" i="4"/>
  <c r="V458" i="4"/>
  <c r="W458" i="4"/>
  <c r="X458" i="4"/>
  <c r="Y458" i="4"/>
  <c r="Z458" i="4"/>
  <c r="AA458" i="4"/>
  <c r="AB458" i="4"/>
  <c r="AC458" i="4"/>
  <c r="AF458" i="4"/>
  <c r="AJ458" i="4"/>
  <c r="AN458" i="4"/>
  <c r="P459" i="4"/>
  <c r="AP459" i="4" s="1"/>
  <c r="Q459" i="4"/>
  <c r="R459" i="4"/>
  <c r="S459" i="4"/>
  <c r="AN459" i="4" s="1"/>
  <c r="U459" i="4"/>
  <c r="V459" i="4"/>
  <c r="W459" i="4"/>
  <c r="X459" i="4"/>
  <c r="Y459" i="4"/>
  <c r="Z459" i="4"/>
  <c r="AA459" i="4"/>
  <c r="AB459" i="4"/>
  <c r="AC459" i="4"/>
  <c r="AF459" i="4"/>
  <c r="AG459" i="4"/>
  <c r="AJ459" i="4"/>
  <c r="P460" i="4"/>
  <c r="AP460" i="4" s="1"/>
  <c r="Q460" i="4"/>
  <c r="AQ460" i="4" s="1"/>
  <c r="R460" i="4"/>
  <c r="AR460" i="4" s="1"/>
  <c r="S460" i="4"/>
  <c r="AN460" i="4" s="1"/>
  <c r="U460" i="4"/>
  <c r="V460" i="4"/>
  <c r="W460" i="4"/>
  <c r="X460" i="4"/>
  <c r="Y460" i="4"/>
  <c r="Z460" i="4"/>
  <c r="AA460" i="4"/>
  <c r="AB460" i="4"/>
  <c r="AC460" i="4"/>
  <c r="AJ460" i="4"/>
  <c r="P461" i="4"/>
  <c r="AE461" i="4" s="1"/>
  <c r="Q461" i="4"/>
  <c r="AQ461" i="4" s="1"/>
  <c r="R461" i="4"/>
  <c r="AR461" i="4" s="1"/>
  <c r="S461" i="4"/>
  <c r="U461" i="4"/>
  <c r="V461" i="4"/>
  <c r="W461" i="4"/>
  <c r="X461" i="4"/>
  <c r="Y461" i="4"/>
  <c r="Z461" i="4"/>
  <c r="AA461" i="4"/>
  <c r="AB461" i="4"/>
  <c r="AC461" i="4"/>
  <c r="AJ461" i="4"/>
  <c r="AN461" i="4"/>
  <c r="P462" i="4"/>
  <c r="AP462" i="4" s="1"/>
  <c r="Q462" i="4"/>
  <c r="R462" i="4"/>
  <c r="AR462" i="4" s="1"/>
  <c r="S462" i="4"/>
  <c r="AN462" i="4" s="1"/>
  <c r="U462" i="4"/>
  <c r="V462" i="4"/>
  <c r="W462" i="4"/>
  <c r="X462" i="4"/>
  <c r="Y462" i="4"/>
  <c r="Z462" i="4"/>
  <c r="AA462" i="4"/>
  <c r="AB462" i="4"/>
  <c r="AC462" i="4"/>
  <c r="AF462" i="4"/>
  <c r="AJ462" i="4"/>
  <c r="AK462" i="4"/>
  <c r="P463" i="4"/>
  <c r="Q463" i="4"/>
  <c r="AQ463" i="4" s="1"/>
  <c r="R463" i="4"/>
  <c r="S463" i="4"/>
  <c r="AN463" i="4" s="1"/>
  <c r="U463" i="4"/>
  <c r="V463" i="4"/>
  <c r="W463" i="4"/>
  <c r="X463" i="4"/>
  <c r="Y463" i="4"/>
  <c r="Z463" i="4"/>
  <c r="AA463" i="4"/>
  <c r="AB463" i="4"/>
  <c r="AC463" i="4"/>
  <c r="AF463" i="4"/>
  <c r="AG463" i="4"/>
  <c r="AJ463" i="4"/>
  <c r="AK463" i="4"/>
  <c r="AL463" i="4"/>
  <c r="P464" i="4"/>
  <c r="Q464" i="4"/>
  <c r="AL464" i="4" s="1"/>
  <c r="R464" i="4"/>
  <c r="AR464" i="4" s="1"/>
  <c r="S464" i="4"/>
  <c r="AN464" i="4" s="1"/>
  <c r="U464" i="4"/>
  <c r="V464" i="4"/>
  <c r="W464" i="4"/>
  <c r="X464" i="4"/>
  <c r="Y464" i="4"/>
  <c r="Z464" i="4"/>
  <c r="AA464" i="4"/>
  <c r="AB464" i="4"/>
  <c r="AC464" i="4"/>
  <c r="AE464" i="4"/>
  <c r="AG464" i="4"/>
  <c r="AJ464" i="4"/>
  <c r="AM464" i="4"/>
  <c r="P465" i="4"/>
  <c r="Q465" i="4"/>
  <c r="AF465" i="4" s="1"/>
  <c r="R465" i="4"/>
  <c r="S465" i="4"/>
  <c r="U465" i="4"/>
  <c r="V465" i="4"/>
  <c r="W465" i="4"/>
  <c r="X465" i="4"/>
  <c r="Y465" i="4"/>
  <c r="Z465" i="4"/>
  <c r="AA465" i="4"/>
  <c r="AB465" i="4"/>
  <c r="AC465" i="4"/>
  <c r="AE465" i="4"/>
  <c r="AJ465" i="4"/>
  <c r="AM465" i="4"/>
  <c r="AN465" i="4"/>
  <c r="P466" i="4"/>
  <c r="AP466" i="4" s="1"/>
  <c r="Q466" i="4"/>
  <c r="AF466" i="4" s="1"/>
  <c r="R466" i="4"/>
  <c r="S466" i="4"/>
  <c r="AN466" i="4" s="1"/>
  <c r="U466" i="4"/>
  <c r="V466" i="4"/>
  <c r="W466" i="4"/>
  <c r="X466" i="4"/>
  <c r="Y466" i="4"/>
  <c r="Z466" i="4"/>
  <c r="AA466" i="4"/>
  <c r="AB466" i="4"/>
  <c r="AC466" i="4"/>
  <c r="AE466" i="4"/>
  <c r="AG466" i="4"/>
  <c r="AJ466" i="4"/>
  <c r="AK466" i="4"/>
  <c r="P467" i="4"/>
  <c r="AP467" i="4" s="1"/>
  <c r="Q467" i="4"/>
  <c r="AQ467" i="4" s="1"/>
  <c r="R467" i="4"/>
  <c r="S467" i="4"/>
  <c r="AN467" i="4" s="1"/>
  <c r="U467" i="4"/>
  <c r="V467" i="4"/>
  <c r="W467" i="4"/>
  <c r="X467" i="4"/>
  <c r="Y467" i="4"/>
  <c r="Z467" i="4"/>
  <c r="AA467" i="4"/>
  <c r="AB467" i="4"/>
  <c r="AC467" i="4"/>
  <c r="AF467" i="4"/>
  <c r="AG467" i="4"/>
  <c r="AJ467" i="4"/>
  <c r="AL467" i="4"/>
  <c r="P468" i="4"/>
  <c r="AP468" i="4" s="1"/>
  <c r="Q468" i="4"/>
  <c r="AQ468" i="4" s="1"/>
  <c r="R468" i="4"/>
  <c r="AR468" i="4" s="1"/>
  <c r="S468" i="4"/>
  <c r="AN468" i="4" s="1"/>
  <c r="U468" i="4"/>
  <c r="V468" i="4"/>
  <c r="W468" i="4"/>
  <c r="X468" i="4"/>
  <c r="Y468" i="4"/>
  <c r="Z468" i="4"/>
  <c r="AA468" i="4"/>
  <c r="AB468" i="4"/>
  <c r="AC468" i="4"/>
  <c r="AG468" i="4"/>
  <c r="AJ468" i="4"/>
  <c r="AM468" i="4"/>
  <c r="P469" i="4"/>
  <c r="Q469" i="4"/>
  <c r="AQ469" i="4" s="1"/>
  <c r="R469" i="4"/>
  <c r="AR469" i="4" s="1"/>
  <c r="S469" i="4"/>
  <c r="U469" i="4"/>
  <c r="V469" i="4"/>
  <c r="W469" i="4"/>
  <c r="X469" i="4"/>
  <c r="Y469" i="4"/>
  <c r="Z469" i="4"/>
  <c r="AA469" i="4"/>
  <c r="AB469" i="4"/>
  <c r="AC469" i="4"/>
  <c r="AE469" i="4"/>
  <c r="AJ469" i="4"/>
  <c r="AN469" i="4"/>
  <c r="P470" i="4"/>
  <c r="AP470" i="4" s="1"/>
  <c r="Q470" i="4"/>
  <c r="AF470" i="4" s="1"/>
  <c r="R470" i="4"/>
  <c r="AR470" i="4" s="1"/>
  <c r="S470" i="4"/>
  <c r="AN470" i="4" s="1"/>
  <c r="U470" i="4"/>
  <c r="V470" i="4"/>
  <c r="W470" i="4"/>
  <c r="X470" i="4"/>
  <c r="Y470" i="4"/>
  <c r="Z470" i="4"/>
  <c r="AA470" i="4"/>
  <c r="AB470" i="4"/>
  <c r="AC470" i="4"/>
  <c r="AE470" i="4"/>
  <c r="AJ470" i="4"/>
  <c r="AK470" i="4"/>
  <c r="P471" i="4"/>
  <c r="Q471" i="4"/>
  <c r="AQ471" i="4" s="1"/>
  <c r="R471" i="4"/>
  <c r="S471" i="4"/>
  <c r="AN471" i="4" s="1"/>
  <c r="U471" i="4"/>
  <c r="V471" i="4"/>
  <c r="W471" i="4"/>
  <c r="X471" i="4"/>
  <c r="Y471" i="4"/>
  <c r="Z471" i="4"/>
  <c r="AA471" i="4"/>
  <c r="AB471" i="4"/>
  <c r="AC471" i="4"/>
  <c r="AF471" i="4"/>
  <c r="AG471" i="4"/>
  <c r="AJ471" i="4"/>
  <c r="AK471" i="4"/>
  <c r="AL471" i="4"/>
  <c r="P472" i="4"/>
  <c r="AE472" i="4" s="1"/>
  <c r="Q472" i="4"/>
  <c r="R472" i="4"/>
  <c r="AR472" i="4" s="1"/>
  <c r="S472" i="4"/>
  <c r="AN472" i="4" s="1"/>
  <c r="U472" i="4"/>
  <c r="V472" i="4"/>
  <c r="W472" i="4"/>
  <c r="X472" i="4"/>
  <c r="Y472" i="4"/>
  <c r="Z472" i="4"/>
  <c r="AA472" i="4"/>
  <c r="AB472" i="4"/>
  <c r="AC472" i="4"/>
  <c r="AG472" i="4"/>
  <c r="AJ472" i="4"/>
  <c r="AL472" i="4"/>
  <c r="P473" i="4"/>
  <c r="AE473" i="4" s="1"/>
  <c r="Q473" i="4"/>
  <c r="R473" i="4"/>
  <c r="S473" i="4"/>
  <c r="U473" i="4"/>
  <c r="V473" i="4"/>
  <c r="W473" i="4"/>
  <c r="X473" i="4"/>
  <c r="Y473" i="4"/>
  <c r="Z473" i="4"/>
  <c r="AA473" i="4"/>
  <c r="AB473" i="4"/>
  <c r="AC473" i="4"/>
  <c r="AF473" i="4"/>
  <c r="AJ473" i="4"/>
  <c r="AM473" i="4"/>
  <c r="AN473" i="4"/>
  <c r="P474" i="4"/>
  <c r="AP474" i="4" s="1"/>
  <c r="Q474" i="4"/>
  <c r="R474" i="4"/>
  <c r="AG474" i="4" s="1"/>
  <c r="S474" i="4"/>
  <c r="U474" i="4"/>
  <c r="V474" i="4"/>
  <c r="W474" i="4"/>
  <c r="X474" i="4"/>
  <c r="Y474" i="4"/>
  <c r="Z474" i="4"/>
  <c r="AA474" i="4"/>
  <c r="AB474" i="4"/>
  <c r="AC474" i="4"/>
  <c r="AF474" i="4"/>
  <c r="AJ474" i="4"/>
  <c r="AN474" i="4"/>
  <c r="P475" i="4"/>
  <c r="AP475" i="4" s="1"/>
  <c r="Q475" i="4"/>
  <c r="AQ475" i="4" s="1"/>
  <c r="R475" i="4"/>
  <c r="S475" i="4"/>
  <c r="AN475" i="4" s="1"/>
  <c r="U475" i="4"/>
  <c r="V475" i="4"/>
  <c r="W475" i="4"/>
  <c r="X475" i="4"/>
  <c r="Y475" i="4"/>
  <c r="Z475" i="4"/>
  <c r="AA475" i="4"/>
  <c r="AB475" i="4"/>
  <c r="AC475" i="4"/>
  <c r="AF475" i="4"/>
  <c r="AG475" i="4"/>
  <c r="AJ475" i="4"/>
  <c r="P476" i="4"/>
  <c r="AP476" i="4" s="1"/>
  <c r="Q476" i="4"/>
  <c r="AQ476" i="4" s="1"/>
  <c r="R476" i="4"/>
  <c r="AR476" i="4" s="1"/>
  <c r="S476" i="4"/>
  <c r="AN476" i="4" s="1"/>
  <c r="U476" i="4"/>
  <c r="V476" i="4"/>
  <c r="W476" i="4"/>
  <c r="X476" i="4"/>
  <c r="Y476" i="4"/>
  <c r="Z476" i="4"/>
  <c r="AA476" i="4"/>
  <c r="AB476" i="4"/>
  <c r="AC476" i="4"/>
  <c r="AJ476" i="4"/>
  <c r="P477" i="4"/>
  <c r="AE477" i="4" s="1"/>
  <c r="Q477" i="4"/>
  <c r="AQ477" i="4" s="1"/>
  <c r="R477" i="4"/>
  <c r="AR477" i="4" s="1"/>
  <c r="S477" i="4"/>
  <c r="U477" i="4"/>
  <c r="V477" i="4"/>
  <c r="W477" i="4"/>
  <c r="X477" i="4"/>
  <c r="Y477" i="4"/>
  <c r="Z477" i="4"/>
  <c r="AA477" i="4"/>
  <c r="AB477" i="4"/>
  <c r="AC477" i="4"/>
  <c r="AJ477" i="4"/>
  <c r="AN477" i="4"/>
  <c r="P478" i="4"/>
  <c r="AP478" i="4" s="1"/>
  <c r="Q478" i="4"/>
  <c r="R478" i="4"/>
  <c r="AR478" i="4" s="1"/>
  <c r="S478" i="4"/>
  <c r="AN478" i="4" s="1"/>
  <c r="U478" i="4"/>
  <c r="V478" i="4"/>
  <c r="W478" i="4"/>
  <c r="X478" i="4"/>
  <c r="Y478" i="4"/>
  <c r="Z478" i="4"/>
  <c r="AA478" i="4"/>
  <c r="AB478" i="4"/>
  <c r="AC478" i="4"/>
  <c r="AF478" i="4"/>
  <c r="AJ478" i="4"/>
  <c r="AK478" i="4"/>
  <c r="P479" i="4"/>
  <c r="Q479" i="4"/>
  <c r="AQ479" i="4" s="1"/>
  <c r="R479" i="4"/>
  <c r="S479" i="4"/>
  <c r="AN479" i="4" s="1"/>
  <c r="U479" i="4"/>
  <c r="V479" i="4"/>
  <c r="W479" i="4"/>
  <c r="X479" i="4"/>
  <c r="Y479" i="4"/>
  <c r="Z479" i="4"/>
  <c r="AA479" i="4"/>
  <c r="AB479" i="4"/>
  <c r="AC479" i="4"/>
  <c r="AF479" i="4"/>
  <c r="AG479" i="4"/>
  <c r="AJ479" i="4"/>
  <c r="AK479" i="4"/>
  <c r="AL479" i="4"/>
  <c r="P480" i="4"/>
  <c r="Q480" i="4"/>
  <c r="AL480" i="4" s="1"/>
  <c r="R480" i="4"/>
  <c r="AR480" i="4" s="1"/>
  <c r="S480" i="4"/>
  <c r="AN480" i="4" s="1"/>
  <c r="U480" i="4"/>
  <c r="V480" i="4"/>
  <c r="W480" i="4"/>
  <c r="X480" i="4"/>
  <c r="Y480" i="4"/>
  <c r="Z480" i="4"/>
  <c r="AA480" i="4"/>
  <c r="AB480" i="4"/>
  <c r="AC480" i="4"/>
  <c r="AE480" i="4"/>
  <c r="AG480" i="4"/>
  <c r="AJ480" i="4"/>
  <c r="AM480" i="4"/>
  <c r="P481" i="4"/>
  <c r="Q481" i="4"/>
  <c r="AF481" i="4" s="1"/>
  <c r="R481" i="4"/>
  <c r="S481" i="4"/>
  <c r="U481" i="4"/>
  <c r="V481" i="4"/>
  <c r="W481" i="4"/>
  <c r="X481" i="4"/>
  <c r="Y481" i="4"/>
  <c r="Z481" i="4"/>
  <c r="AA481" i="4"/>
  <c r="AB481" i="4"/>
  <c r="AC481" i="4"/>
  <c r="AE481" i="4"/>
  <c r="AJ481" i="4"/>
  <c r="AM481" i="4"/>
  <c r="AN481" i="4"/>
  <c r="P482" i="4"/>
  <c r="AP482" i="4" s="1"/>
  <c r="Q482" i="4"/>
  <c r="AF482" i="4" s="1"/>
  <c r="R482" i="4"/>
  <c r="S482" i="4"/>
  <c r="AN482" i="4" s="1"/>
  <c r="U482" i="4"/>
  <c r="V482" i="4"/>
  <c r="W482" i="4"/>
  <c r="X482" i="4"/>
  <c r="Y482" i="4"/>
  <c r="Z482" i="4"/>
  <c r="AA482" i="4"/>
  <c r="AB482" i="4"/>
  <c r="AC482" i="4"/>
  <c r="AE482" i="4"/>
  <c r="AG482" i="4"/>
  <c r="AJ482" i="4"/>
  <c r="AK482" i="4"/>
  <c r="P483" i="4"/>
  <c r="AP483" i="4" s="1"/>
  <c r="Q483" i="4"/>
  <c r="AQ483" i="4" s="1"/>
  <c r="R483" i="4"/>
  <c r="S483" i="4"/>
  <c r="AN483" i="4" s="1"/>
  <c r="U483" i="4"/>
  <c r="V483" i="4"/>
  <c r="W483" i="4"/>
  <c r="X483" i="4"/>
  <c r="Y483" i="4"/>
  <c r="Z483" i="4"/>
  <c r="AA483" i="4"/>
  <c r="AB483" i="4"/>
  <c r="AC483" i="4"/>
  <c r="AF483" i="4"/>
  <c r="AG483" i="4"/>
  <c r="AJ483" i="4"/>
  <c r="AL483" i="4"/>
  <c r="P484" i="4"/>
  <c r="AP484" i="4" s="1"/>
  <c r="Q484" i="4"/>
  <c r="AQ484" i="4" s="1"/>
  <c r="R484" i="4"/>
  <c r="AR484" i="4" s="1"/>
  <c r="S484" i="4"/>
  <c r="AN484" i="4" s="1"/>
  <c r="U484" i="4"/>
  <c r="V484" i="4"/>
  <c r="W484" i="4"/>
  <c r="X484" i="4"/>
  <c r="Y484" i="4"/>
  <c r="Z484" i="4"/>
  <c r="AA484" i="4"/>
  <c r="AB484" i="4"/>
  <c r="AC484" i="4"/>
  <c r="AG484" i="4"/>
  <c r="AJ484" i="4"/>
  <c r="AM484" i="4"/>
  <c r="P485" i="4"/>
  <c r="Q485" i="4"/>
  <c r="AQ485" i="4" s="1"/>
  <c r="R485" i="4"/>
  <c r="AR485" i="4" s="1"/>
  <c r="S485" i="4"/>
  <c r="U485" i="4"/>
  <c r="V485" i="4"/>
  <c r="W485" i="4"/>
  <c r="X485" i="4"/>
  <c r="Y485" i="4"/>
  <c r="Z485" i="4"/>
  <c r="AA485" i="4"/>
  <c r="AB485" i="4"/>
  <c r="AC485" i="4"/>
  <c r="AE485" i="4"/>
  <c r="AJ485" i="4"/>
  <c r="AN485" i="4"/>
  <c r="P486" i="4"/>
  <c r="AP486" i="4" s="1"/>
  <c r="Q486" i="4"/>
  <c r="AF486" i="4" s="1"/>
  <c r="R486" i="4"/>
  <c r="AR486" i="4" s="1"/>
  <c r="S486" i="4"/>
  <c r="AN486" i="4" s="1"/>
  <c r="U486" i="4"/>
  <c r="V486" i="4"/>
  <c r="W486" i="4"/>
  <c r="X486" i="4"/>
  <c r="Y486" i="4"/>
  <c r="Z486" i="4"/>
  <c r="AA486" i="4"/>
  <c r="AB486" i="4"/>
  <c r="AC486" i="4"/>
  <c r="AE486" i="4"/>
  <c r="AJ486" i="4"/>
  <c r="AK486" i="4"/>
  <c r="P487" i="4"/>
  <c r="Q487" i="4"/>
  <c r="AQ487" i="4" s="1"/>
  <c r="R487" i="4"/>
  <c r="S487" i="4"/>
  <c r="AN487" i="4" s="1"/>
  <c r="U487" i="4"/>
  <c r="V487" i="4"/>
  <c r="W487" i="4"/>
  <c r="X487" i="4"/>
  <c r="Y487" i="4"/>
  <c r="Z487" i="4"/>
  <c r="AA487" i="4"/>
  <c r="AB487" i="4"/>
  <c r="AC487" i="4"/>
  <c r="AF487" i="4"/>
  <c r="AG487" i="4"/>
  <c r="AJ487" i="4"/>
  <c r="AK487" i="4"/>
  <c r="AL487" i="4"/>
  <c r="P488" i="4"/>
  <c r="AE488" i="4" s="1"/>
  <c r="Q488" i="4"/>
  <c r="R488" i="4"/>
  <c r="AR488" i="4" s="1"/>
  <c r="S488" i="4"/>
  <c r="AN488" i="4" s="1"/>
  <c r="U488" i="4"/>
  <c r="V488" i="4"/>
  <c r="W488" i="4"/>
  <c r="X488" i="4"/>
  <c r="Y488" i="4"/>
  <c r="Z488" i="4"/>
  <c r="AA488" i="4"/>
  <c r="AB488" i="4"/>
  <c r="AC488" i="4"/>
  <c r="AG488" i="4"/>
  <c r="AJ488" i="4"/>
  <c r="AL488" i="4"/>
  <c r="P489" i="4"/>
  <c r="AE489" i="4" s="1"/>
  <c r="Q489" i="4"/>
  <c r="R489" i="4"/>
  <c r="S489" i="4"/>
  <c r="U489" i="4"/>
  <c r="V489" i="4"/>
  <c r="W489" i="4"/>
  <c r="X489" i="4"/>
  <c r="Y489" i="4"/>
  <c r="Z489" i="4"/>
  <c r="AA489" i="4"/>
  <c r="AB489" i="4"/>
  <c r="AC489" i="4"/>
  <c r="AF489" i="4"/>
  <c r="AJ489" i="4"/>
  <c r="AM489" i="4"/>
  <c r="AN489" i="4"/>
  <c r="P490" i="4"/>
  <c r="AP490" i="4" s="1"/>
  <c r="Q490" i="4"/>
  <c r="R490" i="4"/>
  <c r="AG490" i="4" s="1"/>
  <c r="S490" i="4"/>
  <c r="U490" i="4"/>
  <c r="V490" i="4"/>
  <c r="W490" i="4"/>
  <c r="X490" i="4"/>
  <c r="Y490" i="4"/>
  <c r="Z490" i="4"/>
  <c r="AA490" i="4"/>
  <c r="AB490" i="4"/>
  <c r="AC490" i="4"/>
  <c r="AF490" i="4"/>
  <c r="AJ490" i="4"/>
  <c r="AN490" i="4"/>
  <c r="P491" i="4"/>
  <c r="AP491" i="4" s="1"/>
  <c r="Q491" i="4"/>
  <c r="AQ491" i="4" s="1"/>
  <c r="R491" i="4"/>
  <c r="S491" i="4"/>
  <c r="AN491" i="4" s="1"/>
  <c r="U491" i="4"/>
  <c r="V491" i="4"/>
  <c r="W491" i="4"/>
  <c r="X491" i="4"/>
  <c r="Y491" i="4"/>
  <c r="Z491" i="4"/>
  <c r="AA491" i="4"/>
  <c r="AB491" i="4"/>
  <c r="AC491" i="4"/>
  <c r="AF491" i="4"/>
  <c r="AG491" i="4"/>
  <c r="AJ491" i="4"/>
  <c r="P492" i="4"/>
  <c r="Q492" i="4"/>
  <c r="R492" i="4"/>
  <c r="AR492" i="4" s="1"/>
  <c r="S492" i="4"/>
  <c r="AN492" i="4" s="1"/>
  <c r="U492" i="4"/>
  <c r="V492" i="4"/>
  <c r="W492" i="4"/>
  <c r="X492" i="4"/>
  <c r="Y492" i="4"/>
  <c r="Z492" i="4"/>
  <c r="AA492" i="4"/>
  <c r="AB492" i="4"/>
  <c r="AC492" i="4"/>
  <c r="AJ492" i="4"/>
  <c r="AL492" i="4"/>
  <c r="P493" i="4"/>
  <c r="AE493" i="4" s="1"/>
  <c r="Q493" i="4"/>
  <c r="R493" i="4"/>
  <c r="AR493" i="4" s="1"/>
  <c r="S493" i="4"/>
  <c r="U493" i="4"/>
  <c r="V493" i="4"/>
  <c r="W493" i="4"/>
  <c r="X493" i="4"/>
  <c r="Y493" i="4"/>
  <c r="Z493" i="4"/>
  <c r="AA493" i="4"/>
  <c r="AB493" i="4"/>
  <c r="AC493" i="4"/>
  <c r="AJ493" i="4"/>
  <c r="AL493" i="4"/>
  <c r="AN493" i="4"/>
  <c r="P494" i="4"/>
  <c r="AP494" i="4" s="1"/>
  <c r="Q494" i="4"/>
  <c r="AF494" i="4" s="1"/>
  <c r="R494" i="4"/>
  <c r="S494" i="4"/>
  <c r="AN494" i="4" s="1"/>
  <c r="U494" i="4"/>
  <c r="V494" i="4"/>
  <c r="W494" i="4"/>
  <c r="X494" i="4"/>
  <c r="Y494" i="4"/>
  <c r="Z494" i="4"/>
  <c r="AA494" i="4"/>
  <c r="AB494" i="4"/>
  <c r="AC494" i="4"/>
  <c r="AE494" i="4"/>
  <c r="AJ494" i="4"/>
  <c r="AK494" i="4"/>
  <c r="AM494" i="4"/>
  <c r="P495" i="4"/>
  <c r="Q495" i="4"/>
  <c r="AQ495" i="4" s="1"/>
  <c r="R495" i="4"/>
  <c r="S495" i="4"/>
  <c r="AN495" i="4" s="1"/>
  <c r="U495" i="4"/>
  <c r="V495" i="4"/>
  <c r="W495" i="4"/>
  <c r="X495" i="4"/>
  <c r="Y495" i="4"/>
  <c r="Z495" i="4"/>
  <c r="AA495" i="4"/>
  <c r="AB495" i="4"/>
  <c r="AC495" i="4"/>
  <c r="AF495" i="4"/>
  <c r="AG495" i="4"/>
  <c r="AJ495" i="4"/>
  <c r="AK495" i="4"/>
  <c r="AL495" i="4"/>
  <c r="P496" i="4"/>
  <c r="AE496" i="4" s="1"/>
  <c r="Q496" i="4"/>
  <c r="R496" i="4"/>
  <c r="AR496" i="4" s="1"/>
  <c r="S496" i="4"/>
  <c r="AN496" i="4" s="1"/>
  <c r="U496" i="4"/>
  <c r="V496" i="4"/>
  <c r="W496" i="4"/>
  <c r="X496" i="4"/>
  <c r="Y496" i="4"/>
  <c r="Z496" i="4"/>
  <c r="AA496" i="4"/>
  <c r="AB496" i="4"/>
  <c r="AC496" i="4"/>
  <c r="AG496" i="4"/>
  <c r="AJ496" i="4"/>
  <c r="AL496" i="4"/>
  <c r="P497" i="4"/>
  <c r="Q497" i="4"/>
  <c r="R497" i="4"/>
  <c r="AM497" i="4" s="1"/>
  <c r="S497" i="4"/>
  <c r="U497" i="4"/>
  <c r="V497" i="4"/>
  <c r="W497" i="4"/>
  <c r="X497" i="4"/>
  <c r="Y497" i="4"/>
  <c r="Z497" i="4"/>
  <c r="AA497" i="4"/>
  <c r="AB497" i="4"/>
  <c r="AC497" i="4"/>
  <c r="AF497" i="4"/>
  <c r="AJ497" i="4"/>
  <c r="AN497" i="4"/>
  <c r="P498" i="4"/>
  <c r="AP498" i="4" s="1"/>
  <c r="Q498" i="4"/>
  <c r="R498" i="4"/>
  <c r="AR498" i="4" s="1"/>
  <c r="S498" i="4"/>
  <c r="AN498" i="4" s="1"/>
  <c r="U498" i="4"/>
  <c r="V498" i="4"/>
  <c r="W498" i="4"/>
  <c r="X498" i="4"/>
  <c r="Y498" i="4"/>
  <c r="Z498" i="4"/>
  <c r="AA498" i="4"/>
  <c r="AB498" i="4"/>
  <c r="AC498" i="4"/>
  <c r="AE498" i="4"/>
  <c r="AJ498" i="4"/>
  <c r="AK498" i="4"/>
  <c r="P499" i="4"/>
  <c r="Q499" i="4"/>
  <c r="AQ499" i="4" s="1"/>
  <c r="R499" i="4"/>
  <c r="S499" i="4"/>
  <c r="AN499" i="4" s="1"/>
  <c r="U499" i="4"/>
  <c r="V499" i="4"/>
  <c r="W499" i="4"/>
  <c r="X499" i="4"/>
  <c r="Y499" i="4"/>
  <c r="Z499" i="4"/>
  <c r="AA499" i="4"/>
  <c r="AB499" i="4"/>
  <c r="AC499" i="4"/>
  <c r="AF499" i="4"/>
  <c r="AG499" i="4"/>
  <c r="AJ499" i="4"/>
  <c r="AL499" i="4"/>
  <c r="P500" i="4"/>
  <c r="Q500" i="4"/>
  <c r="R500" i="4"/>
  <c r="AR500" i="4" s="1"/>
  <c r="S500" i="4"/>
  <c r="AN500" i="4" s="1"/>
  <c r="U500" i="4"/>
  <c r="V500" i="4"/>
  <c r="W500" i="4"/>
  <c r="X500" i="4"/>
  <c r="Y500" i="4"/>
  <c r="Z500" i="4"/>
  <c r="AA500" i="4"/>
  <c r="AB500" i="4"/>
  <c r="AC500" i="4"/>
  <c r="AG500" i="4"/>
  <c r="AJ500" i="4"/>
  <c r="AK500" i="4"/>
  <c r="AM500" i="4"/>
  <c r="P501" i="4"/>
  <c r="AE501" i="4" s="1"/>
  <c r="Q501" i="4"/>
  <c r="R501" i="4"/>
  <c r="S501" i="4"/>
  <c r="U501" i="4"/>
  <c r="V501" i="4"/>
  <c r="W501" i="4"/>
  <c r="X501" i="4"/>
  <c r="Y501" i="4"/>
  <c r="Z501" i="4"/>
  <c r="AA501" i="4"/>
  <c r="AB501" i="4"/>
  <c r="AC501" i="4"/>
  <c r="AJ501" i="4"/>
  <c r="AL501" i="4"/>
  <c r="AM501" i="4"/>
  <c r="AN501" i="4"/>
  <c r="P502" i="4"/>
  <c r="AP502" i="4" s="1"/>
  <c r="Q502" i="4"/>
  <c r="R502" i="4"/>
  <c r="S502" i="4"/>
  <c r="U502" i="4"/>
  <c r="V502" i="4"/>
  <c r="W502" i="4"/>
  <c r="X502" i="4"/>
  <c r="Y502" i="4"/>
  <c r="Z502" i="4"/>
  <c r="AA502" i="4"/>
  <c r="AB502" i="4"/>
  <c r="AC502" i="4"/>
  <c r="AJ502" i="4"/>
  <c r="AM502" i="4"/>
  <c r="AN502" i="4"/>
  <c r="P503" i="4"/>
  <c r="Q503" i="4"/>
  <c r="AQ503" i="4" s="1"/>
  <c r="R503" i="4"/>
  <c r="S503" i="4"/>
  <c r="AN503" i="4" s="1"/>
  <c r="U503" i="4"/>
  <c r="V503" i="4"/>
  <c r="W503" i="4"/>
  <c r="X503" i="4"/>
  <c r="Y503" i="4"/>
  <c r="Z503" i="4"/>
  <c r="AA503" i="4"/>
  <c r="AB503" i="4"/>
  <c r="AC503" i="4"/>
  <c r="AF503" i="4"/>
  <c r="AG503" i="4"/>
  <c r="AJ503" i="4"/>
  <c r="AK503" i="4"/>
  <c r="AL503" i="4"/>
  <c r="P504" i="4"/>
  <c r="AP504" i="4" s="1"/>
  <c r="Q504" i="4"/>
  <c r="R504" i="4"/>
  <c r="AR504" i="4" s="1"/>
  <c r="S504" i="4"/>
  <c r="AN504" i="4" s="1"/>
  <c r="U504" i="4"/>
  <c r="V504" i="4"/>
  <c r="W504" i="4"/>
  <c r="X504" i="4"/>
  <c r="Y504" i="4"/>
  <c r="Z504" i="4"/>
  <c r="AA504" i="4"/>
  <c r="AB504" i="4"/>
  <c r="AC504" i="4"/>
  <c r="AG504" i="4"/>
  <c r="AJ504" i="4"/>
  <c r="AK504" i="4"/>
  <c r="AL504" i="4"/>
  <c r="AM504" i="4"/>
  <c r="P505" i="4"/>
  <c r="AP505" i="4" s="1"/>
  <c r="Q505" i="4"/>
  <c r="AQ505" i="4" s="1"/>
  <c r="R505" i="4"/>
  <c r="S505" i="4"/>
  <c r="U505" i="4"/>
  <c r="V505" i="4"/>
  <c r="W505" i="4"/>
  <c r="X505" i="4"/>
  <c r="Y505" i="4"/>
  <c r="Z505" i="4"/>
  <c r="AA505" i="4"/>
  <c r="AB505" i="4"/>
  <c r="AC505" i="4"/>
  <c r="AF505" i="4"/>
  <c r="AJ505" i="4"/>
  <c r="AL505" i="4"/>
  <c r="AM505" i="4"/>
  <c r="AN505" i="4"/>
  <c r="P506" i="4"/>
  <c r="AP506" i="4" s="1"/>
  <c r="Q506" i="4"/>
  <c r="R506" i="4"/>
  <c r="S506" i="4"/>
  <c r="U506" i="4"/>
  <c r="V506" i="4"/>
  <c r="W506" i="4"/>
  <c r="X506" i="4"/>
  <c r="Y506" i="4"/>
  <c r="Z506" i="4"/>
  <c r="AA506" i="4"/>
  <c r="AB506" i="4"/>
  <c r="AC506" i="4"/>
  <c r="AE506" i="4"/>
  <c r="AJ506" i="4"/>
  <c r="AK506" i="4"/>
  <c r="AM506" i="4"/>
  <c r="AN506" i="4"/>
  <c r="P507" i="4"/>
  <c r="Q507" i="4"/>
  <c r="AQ507" i="4" s="1"/>
  <c r="R507" i="4"/>
  <c r="S507" i="4"/>
  <c r="U507" i="4"/>
  <c r="V507" i="4"/>
  <c r="W507" i="4"/>
  <c r="X507" i="4"/>
  <c r="Y507" i="4"/>
  <c r="Z507" i="4"/>
  <c r="AA507" i="4"/>
  <c r="AB507" i="4"/>
  <c r="AC507" i="4"/>
  <c r="AF507" i="4"/>
  <c r="AG507" i="4"/>
  <c r="AJ507" i="4"/>
  <c r="AN507" i="4"/>
  <c r="P508" i="4"/>
  <c r="Q508" i="4"/>
  <c r="R508" i="4"/>
  <c r="AR508" i="4" s="1"/>
  <c r="S508" i="4"/>
  <c r="AN508" i="4" s="1"/>
  <c r="U508" i="4"/>
  <c r="V508" i="4"/>
  <c r="W508" i="4"/>
  <c r="X508" i="4"/>
  <c r="Y508" i="4"/>
  <c r="Z508" i="4"/>
  <c r="AA508" i="4"/>
  <c r="AB508" i="4"/>
  <c r="AC508" i="4"/>
  <c r="AG508" i="4"/>
  <c r="AJ508" i="4"/>
  <c r="AL508" i="4"/>
  <c r="AM508" i="4"/>
  <c r="P509" i="4"/>
  <c r="Q509" i="4"/>
  <c r="R509" i="4"/>
  <c r="AM509" i="4" s="1"/>
  <c r="S509" i="4"/>
  <c r="U509" i="4"/>
  <c r="V509" i="4"/>
  <c r="W509" i="4"/>
  <c r="X509" i="4"/>
  <c r="Y509" i="4"/>
  <c r="Z509" i="4"/>
  <c r="AA509" i="4"/>
  <c r="AB509" i="4"/>
  <c r="AC509" i="4"/>
  <c r="AJ509" i="4"/>
  <c r="AL509" i="4"/>
  <c r="AN509" i="4"/>
  <c r="P510" i="4"/>
  <c r="AP510" i="4" s="1"/>
  <c r="Q510" i="4"/>
  <c r="R510" i="4"/>
  <c r="S510" i="4"/>
  <c r="U510" i="4"/>
  <c r="V510" i="4"/>
  <c r="W510" i="4"/>
  <c r="X510" i="4"/>
  <c r="Y510" i="4"/>
  <c r="Z510" i="4"/>
  <c r="AA510" i="4"/>
  <c r="AB510" i="4"/>
  <c r="AC510" i="4"/>
  <c r="AE510" i="4"/>
  <c r="AJ510" i="4"/>
  <c r="AK510" i="4"/>
  <c r="AM510" i="4"/>
  <c r="AN510" i="4"/>
  <c r="P511" i="4"/>
  <c r="Q511" i="4"/>
  <c r="AQ511" i="4" s="1"/>
  <c r="R511" i="4"/>
  <c r="S511" i="4"/>
  <c r="AN511" i="4" s="1"/>
  <c r="U511" i="4"/>
  <c r="V511" i="4"/>
  <c r="W511" i="4"/>
  <c r="X511" i="4"/>
  <c r="Y511" i="4"/>
  <c r="Z511" i="4"/>
  <c r="AA511" i="4"/>
  <c r="AB511" i="4"/>
  <c r="AC511" i="4"/>
  <c r="AF511" i="4"/>
  <c r="AG511" i="4"/>
  <c r="AJ511" i="4"/>
  <c r="AK511" i="4"/>
  <c r="AL511" i="4"/>
  <c r="P512" i="4"/>
  <c r="AP512" i="4" s="1"/>
  <c r="Q512" i="4"/>
  <c r="R512" i="4"/>
  <c r="AR512" i="4" s="1"/>
  <c r="S512" i="4"/>
  <c r="AN512" i="4" s="1"/>
  <c r="U512" i="4"/>
  <c r="V512" i="4"/>
  <c r="W512" i="4"/>
  <c r="X512" i="4"/>
  <c r="Y512" i="4"/>
  <c r="Z512" i="4"/>
  <c r="AA512" i="4"/>
  <c r="AB512" i="4"/>
  <c r="AC512" i="4"/>
  <c r="AE512" i="4"/>
  <c r="AG512" i="4"/>
  <c r="AJ512" i="4"/>
  <c r="AK512" i="4"/>
  <c r="AL512" i="4"/>
  <c r="AM512" i="4"/>
  <c r="P513" i="4"/>
  <c r="AE513" i="4" s="1"/>
  <c r="Q513" i="4"/>
  <c r="R513" i="4"/>
  <c r="AM513" i="4" s="1"/>
  <c r="S513" i="4"/>
  <c r="U513" i="4"/>
  <c r="V513" i="4"/>
  <c r="W513" i="4"/>
  <c r="X513" i="4"/>
  <c r="Y513" i="4"/>
  <c r="Z513" i="4"/>
  <c r="AA513" i="4"/>
  <c r="AB513" i="4"/>
  <c r="AC513" i="4"/>
  <c r="AJ513" i="4"/>
  <c r="AN513" i="4"/>
  <c r="P514" i="4"/>
  <c r="AP514" i="4" s="1"/>
  <c r="Q514" i="4"/>
  <c r="R514" i="4"/>
  <c r="AR514" i="4" s="1"/>
  <c r="S514" i="4"/>
  <c r="AN514" i="4" s="1"/>
  <c r="U514" i="4"/>
  <c r="V514" i="4"/>
  <c r="W514" i="4"/>
  <c r="X514" i="4"/>
  <c r="Y514" i="4"/>
  <c r="Z514" i="4"/>
  <c r="AA514" i="4"/>
  <c r="AB514" i="4"/>
  <c r="AC514" i="4"/>
  <c r="AE514" i="4"/>
  <c r="AJ514" i="4"/>
  <c r="AK514" i="4"/>
  <c r="P515" i="4"/>
  <c r="AK515" i="4" s="1"/>
  <c r="Q515" i="4"/>
  <c r="AQ515" i="4" s="1"/>
  <c r="R515" i="4"/>
  <c r="S515" i="4"/>
  <c r="U515" i="4"/>
  <c r="V515" i="4"/>
  <c r="W515" i="4"/>
  <c r="X515" i="4"/>
  <c r="Y515" i="4"/>
  <c r="Z515" i="4"/>
  <c r="AA515" i="4"/>
  <c r="AB515" i="4"/>
  <c r="AC515" i="4"/>
  <c r="AF515" i="4"/>
  <c r="AJ515" i="4"/>
  <c r="AL515" i="4"/>
  <c r="AN515" i="4"/>
  <c r="P516" i="4"/>
  <c r="AK516" i="4" s="1"/>
  <c r="Q516" i="4"/>
  <c r="AQ516" i="4" s="1"/>
  <c r="R516" i="4"/>
  <c r="AR516" i="4" s="1"/>
  <c r="S516" i="4"/>
  <c r="AN516" i="4" s="1"/>
  <c r="U516" i="4"/>
  <c r="V516" i="4"/>
  <c r="W516" i="4"/>
  <c r="X516" i="4"/>
  <c r="Y516" i="4"/>
  <c r="Z516" i="4"/>
  <c r="AA516" i="4"/>
  <c r="AB516" i="4"/>
  <c r="AC516" i="4"/>
  <c r="AJ516" i="4"/>
  <c r="AM516" i="4"/>
  <c r="P517" i="4"/>
  <c r="Q517" i="4"/>
  <c r="R517" i="4"/>
  <c r="S517" i="4"/>
  <c r="U517" i="4"/>
  <c r="V517" i="4"/>
  <c r="W517" i="4"/>
  <c r="X517" i="4"/>
  <c r="Y517" i="4"/>
  <c r="Z517" i="4"/>
  <c r="AA517" i="4"/>
  <c r="AB517" i="4"/>
  <c r="AC517" i="4"/>
  <c r="AE517" i="4"/>
  <c r="AJ517" i="4"/>
  <c r="AL517" i="4"/>
  <c r="AM517" i="4"/>
  <c r="AN517" i="4"/>
  <c r="P518" i="4"/>
  <c r="AP518" i="4" s="1"/>
  <c r="Q518" i="4"/>
  <c r="AQ518" i="4" s="1"/>
  <c r="R518" i="4"/>
  <c r="S518" i="4"/>
  <c r="U518" i="4"/>
  <c r="V518" i="4"/>
  <c r="W518" i="4"/>
  <c r="X518" i="4"/>
  <c r="Y518" i="4"/>
  <c r="Z518" i="4"/>
  <c r="AA518" i="4"/>
  <c r="AB518" i="4"/>
  <c r="AC518" i="4"/>
  <c r="AE518" i="4"/>
  <c r="AJ518" i="4"/>
  <c r="AK518" i="4"/>
  <c r="AM518" i="4"/>
  <c r="AN518" i="4"/>
  <c r="P519" i="4"/>
  <c r="Q519" i="4"/>
  <c r="AQ519" i="4" s="1"/>
  <c r="R519" i="4"/>
  <c r="S519" i="4"/>
  <c r="U519" i="4"/>
  <c r="V519" i="4"/>
  <c r="W519" i="4"/>
  <c r="X519" i="4"/>
  <c r="Y519" i="4"/>
  <c r="Z519" i="4"/>
  <c r="AA519" i="4"/>
  <c r="AB519" i="4"/>
  <c r="AC519" i="4"/>
  <c r="AF519" i="4"/>
  <c r="AJ519" i="4"/>
  <c r="AK519" i="4"/>
  <c r="AN519" i="4"/>
  <c r="P520" i="4"/>
  <c r="Q520" i="4"/>
  <c r="R520" i="4"/>
  <c r="AR520" i="4" s="1"/>
  <c r="S520" i="4"/>
  <c r="AN520" i="4" s="1"/>
  <c r="U520" i="4"/>
  <c r="V520" i="4"/>
  <c r="W520" i="4"/>
  <c r="X520" i="4"/>
  <c r="Y520" i="4"/>
  <c r="Z520" i="4"/>
  <c r="AA520" i="4"/>
  <c r="AB520" i="4"/>
  <c r="AC520" i="4"/>
  <c r="AG520" i="4"/>
  <c r="AJ520" i="4"/>
  <c r="AL520" i="4"/>
  <c r="AM520" i="4"/>
  <c r="P521" i="4"/>
  <c r="Q521" i="4"/>
  <c r="AQ521" i="4" s="1"/>
  <c r="R521" i="4"/>
  <c r="S521" i="4"/>
  <c r="U521" i="4"/>
  <c r="V521" i="4"/>
  <c r="W521" i="4"/>
  <c r="X521" i="4"/>
  <c r="Y521" i="4"/>
  <c r="Z521" i="4"/>
  <c r="AA521" i="4"/>
  <c r="AB521" i="4"/>
  <c r="AC521" i="4"/>
  <c r="AF521" i="4"/>
  <c r="AJ521" i="4"/>
  <c r="AL521" i="4"/>
  <c r="AM521" i="4"/>
  <c r="AN521" i="4"/>
  <c r="P522" i="4"/>
  <c r="AP522" i="4" s="1"/>
  <c r="Q522" i="4"/>
  <c r="AQ522" i="4" s="1"/>
  <c r="R522" i="4"/>
  <c r="AR522" i="4" s="1"/>
  <c r="S522" i="4"/>
  <c r="AN522" i="4" s="1"/>
  <c r="U522" i="4"/>
  <c r="V522" i="4"/>
  <c r="W522" i="4"/>
  <c r="X522" i="4"/>
  <c r="Y522" i="4"/>
  <c r="Z522" i="4"/>
  <c r="AA522" i="4"/>
  <c r="AB522" i="4"/>
  <c r="AC522" i="4"/>
  <c r="AG522" i="4"/>
  <c r="AJ522" i="4"/>
  <c r="AK522" i="4"/>
  <c r="P523" i="4"/>
  <c r="Q523" i="4"/>
  <c r="AQ523" i="4" s="1"/>
  <c r="R523" i="4"/>
  <c r="S523" i="4"/>
  <c r="U523" i="4"/>
  <c r="V523" i="4"/>
  <c r="W523" i="4"/>
  <c r="X523" i="4"/>
  <c r="Y523" i="4"/>
  <c r="Z523" i="4"/>
  <c r="AA523" i="4"/>
  <c r="AB523" i="4"/>
  <c r="AC523" i="4"/>
  <c r="AF523" i="4"/>
  <c r="AG523" i="4"/>
  <c r="AJ523" i="4"/>
  <c r="AK523" i="4"/>
  <c r="AL523" i="4"/>
  <c r="AN523" i="4"/>
  <c r="P524" i="4"/>
  <c r="AP524" i="4" s="1"/>
  <c r="Q524" i="4"/>
  <c r="R524" i="4"/>
  <c r="AR524" i="4" s="1"/>
  <c r="S524" i="4"/>
  <c r="AN524" i="4" s="1"/>
  <c r="U524" i="4"/>
  <c r="V524" i="4"/>
  <c r="W524" i="4"/>
  <c r="X524" i="4"/>
  <c r="Y524" i="4"/>
  <c r="Z524" i="4"/>
  <c r="AA524" i="4"/>
  <c r="AB524" i="4"/>
  <c r="AC524" i="4"/>
  <c r="AG524" i="4"/>
  <c r="AJ524" i="4"/>
  <c r="AM524" i="4"/>
  <c r="P525" i="4"/>
  <c r="Q525" i="4"/>
  <c r="R525" i="4"/>
  <c r="S525" i="4"/>
  <c r="AN525" i="4" s="1"/>
  <c r="U525" i="4"/>
  <c r="V525" i="4"/>
  <c r="W525" i="4"/>
  <c r="X525" i="4"/>
  <c r="Y525" i="4"/>
  <c r="Z525" i="4"/>
  <c r="AA525" i="4"/>
  <c r="AB525" i="4"/>
  <c r="AC525" i="4"/>
  <c r="AE525" i="4"/>
  <c r="AJ525" i="4"/>
  <c r="AM525" i="4"/>
  <c r="P526" i="4"/>
  <c r="AP526" i="4" s="1"/>
  <c r="Q526" i="4"/>
  <c r="R526" i="4"/>
  <c r="AR526" i="4" s="1"/>
  <c r="S526" i="4"/>
  <c r="U526" i="4"/>
  <c r="V526" i="4"/>
  <c r="W526" i="4"/>
  <c r="X526" i="4"/>
  <c r="Y526" i="4"/>
  <c r="Z526" i="4"/>
  <c r="AA526" i="4"/>
  <c r="AB526" i="4"/>
  <c r="AC526" i="4"/>
  <c r="AF526" i="4"/>
  <c r="AJ526" i="4"/>
  <c r="AM526" i="4"/>
  <c r="AN526" i="4"/>
  <c r="P527" i="4"/>
  <c r="AK527" i="4" s="1"/>
  <c r="Q527" i="4"/>
  <c r="AQ527" i="4" s="1"/>
  <c r="R527" i="4"/>
  <c r="S527" i="4"/>
  <c r="U527" i="4"/>
  <c r="V527" i="4"/>
  <c r="W527" i="4"/>
  <c r="X527" i="4"/>
  <c r="Y527" i="4"/>
  <c r="Z527" i="4"/>
  <c r="AA527" i="4"/>
  <c r="AB527" i="4"/>
  <c r="AC527" i="4"/>
  <c r="AF527" i="4"/>
  <c r="AG527" i="4"/>
  <c r="AJ527" i="4"/>
  <c r="AL527" i="4"/>
  <c r="AN527" i="4"/>
  <c r="P528" i="4"/>
  <c r="AP528" i="4" s="1"/>
  <c r="Q528" i="4"/>
  <c r="R528" i="4"/>
  <c r="AR528" i="4" s="1"/>
  <c r="S528" i="4"/>
  <c r="AN528" i="4" s="1"/>
  <c r="U528" i="4"/>
  <c r="V528" i="4"/>
  <c r="W528" i="4"/>
  <c r="X528" i="4"/>
  <c r="Y528" i="4"/>
  <c r="Z528" i="4"/>
  <c r="AA528" i="4"/>
  <c r="AB528" i="4"/>
  <c r="AC528" i="4"/>
  <c r="AG528" i="4"/>
  <c r="AJ528" i="4"/>
  <c r="AK528" i="4"/>
  <c r="AL528" i="4"/>
  <c r="AM528" i="4"/>
  <c r="P529" i="4"/>
  <c r="AP529" i="4" s="1"/>
  <c r="Q529" i="4"/>
  <c r="AQ529" i="4" s="1"/>
  <c r="R529" i="4"/>
  <c r="S529" i="4"/>
  <c r="AN529" i="4" s="1"/>
  <c r="U529" i="4"/>
  <c r="V529" i="4"/>
  <c r="W529" i="4"/>
  <c r="X529" i="4"/>
  <c r="Y529" i="4"/>
  <c r="Z529" i="4"/>
  <c r="AA529" i="4"/>
  <c r="AB529" i="4"/>
  <c r="AC529" i="4"/>
  <c r="AF529" i="4"/>
  <c r="AJ529" i="4"/>
  <c r="AL529" i="4"/>
  <c r="P530" i="4"/>
  <c r="AP530" i="4" s="1"/>
  <c r="Q530" i="4"/>
  <c r="R530" i="4"/>
  <c r="AR530" i="4" s="1"/>
  <c r="S530" i="4"/>
  <c r="AN530" i="4" s="1"/>
  <c r="U530" i="4"/>
  <c r="V530" i="4"/>
  <c r="W530" i="4"/>
  <c r="X530" i="4"/>
  <c r="Y530" i="4"/>
  <c r="Z530" i="4"/>
  <c r="AA530" i="4"/>
  <c r="AB530" i="4"/>
  <c r="AC530" i="4"/>
  <c r="AG530" i="4"/>
  <c r="AJ530" i="4"/>
  <c r="AK530" i="4"/>
  <c r="P531" i="4"/>
  <c r="Q531" i="4"/>
  <c r="AQ531" i="4" s="1"/>
  <c r="R531" i="4"/>
  <c r="S531" i="4"/>
  <c r="U531" i="4"/>
  <c r="V531" i="4"/>
  <c r="W531" i="4"/>
  <c r="X531" i="4"/>
  <c r="Y531" i="4"/>
  <c r="Z531" i="4"/>
  <c r="AA531" i="4"/>
  <c r="AB531" i="4"/>
  <c r="AC531" i="4"/>
  <c r="AF531" i="4"/>
  <c r="AG531" i="4"/>
  <c r="AJ531" i="4"/>
  <c r="AL531" i="4"/>
  <c r="AN531" i="4"/>
  <c r="P532" i="4"/>
  <c r="AK532" i="4" s="1"/>
  <c r="Q532" i="4"/>
  <c r="R532" i="4"/>
  <c r="AR532" i="4" s="1"/>
  <c r="S532" i="4"/>
  <c r="AN532" i="4" s="1"/>
  <c r="U532" i="4"/>
  <c r="V532" i="4"/>
  <c r="W532" i="4"/>
  <c r="X532" i="4"/>
  <c r="Y532" i="4"/>
  <c r="Z532" i="4"/>
  <c r="AA532" i="4"/>
  <c r="AB532" i="4"/>
  <c r="AC532" i="4"/>
  <c r="AJ532" i="4"/>
  <c r="AL532" i="4"/>
  <c r="P533" i="4"/>
  <c r="AP533" i="4" s="1"/>
  <c r="Q533" i="4"/>
  <c r="AQ533" i="4" s="1"/>
  <c r="R533" i="4"/>
  <c r="AR533" i="4" s="1"/>
  <c r="S533" i="4"/>
  <c r="U533" i="4"/>
  <c r="V533" i="4"/>
  <c r="W533" i="4"/>
  <c r="X533" i="4"/>
  <c r="Y533" i="4"/>
  <c r="Z533" i="4"/>
  <c r="AA533" i="4"/>
  <c r="AB533" i="4"/>
  <c r="AC533" i="4"/>
  <c r="AF533" i="4"/>
  <c r="AJ533" i="4"/>
  <c r="AL533" i="4"/>
  <c r="AN533" i="4"/>
  <c r="P534" i="4"/>
  <c r="Q534" i="4"/>
  <c r="AQ534" i="4" s="1"/>
  <c r="R534" i="4"/>
  <c r="S534" i="4"/>
  <c r="U534" i="4"/>
  <c r="V534" i="4"/>
  <c r="W534" i="4"/>
  <c r="X534" i="4"/>
  <c r="Y534" i="4"/>
  <c r="Z534" i="4"/>
  <c r="AA534" i="4"/>
  <c r="AB534" i="4"/>
  <c r="AC534" i="4"/>
  <c r="AF534" i="4"/>
  <c r="AG534" i="4"/>
  <c r="AJ534" i="4"/>
  <c r="AN534" i="4"/>
  <c r="P535" i="4"/>
  <c r="Q535" i="4"/>
  <c r="R535" i="4"/>
  <c r="AR535" i="4" s="1"/>
  <c r="S535" i="4"/>
  <c r="AN535" i="4" s="1"/>
  <c r="U535" i="4"/>
  <c r="V535" i="4"/>
  <c r="W535" i="4"/>
  <c r="X535" i="4"/>
  <c r="Y535" i="4"/>
  <c r="Z535" i="4"/>
  <c r="AA535" i="4"/>
  <c r="AB535" i="4"/>
  <c r="AC535" i="4"/>
  <c r="AE535" i="4"/>
  <c r="AG535" i="4"/>
  <c r="AJ535" i="4"/>
  <c r="AM535" i="4"/>
  <c r="P536" i="4"/>
  <c r="AP536" i="4" s="1"/>
  <c r="Q536" i="4"/>
  <c r="R536" i="4"/>
  <c r="S536" i="4"/>
  <c r="U536" i="4"/>
  <c r="V536" i="4"/>
  <c r="W536" i="4"/>
  <c r="X536" i="4"/>
  <c r="Y536" i="4"/>
  <c r="Z536" i="4"/>
  <c r="AA536" i="4"/>
  <c r="AB536" i="4"/>
  <c r="AC536" i="4"/>
  <c r="AF536" i="4"/>
  <c r="AJ536" i="4"/>
  <c r="AN536" i="4"/>
  <c r="P537" i="4"/>
  <c r="AP537" i="4" s="1"/>
  <c r="Q537" i="4"/>
  <c r="AQ537" i="4" s="1"/>
  <c r="R537" i="4"/>
  <c r="S537" i="4"/>
  <c r="AN537" i="4" s="1"/>
  <c r="U537" i="4"/>
  <c r="V537" i="4"/>
  <c r="W537" i="4"/>
  <c r="X537" i="4"/>
  <c r="Y537" i="4"/>
  <c r="Z537" i="4"/>
  <c r="AA537" i="4"/>
  <c r="AB537" i="4"/>
  <c r="AC537" i="4"/>
  <c r="AG537" i="4"/>
  <c r="AJ537" i="4"/>
  <c r="AK537" i="4"/>
  <c r="P538" i="4"/>
  <c r="Q538" i="4"/>
  <c r="AQ538" i="4" s="1"/>
  <c r="R538" i="4"/>
  <c r="AR538" i="4" s="1"/>
  <c r="S538" i="4"/>
  <c r="AN538" i="4" s="1"/>
  <c r="U538" i="4"/>
  <c r="V538" i="4"/>
  <c r="W538" i="4"/>
  <c r="X538" i="4"/>
  <c r="Y538" i="4"/>
  <c r="Z538" i="4"/>
  <c r="AA538" i="4"/>
  <c r="AB538" i="4"/>
  <c r="AC538" i="4"/>
  <c r="AF538" i="4"/>
  <c r="AJ538" i="4"/>
  <c r="AL538" i="4"/>
  <c r="P539" i="4"/>
  <c r="AP539" i="4" s="1"/>
  <c r="Q539" i="4"/>
  <c r="R539" i="4"/>
  <c r="AR539" i="4" s="1"/>
  <c r="S539" i="4"/>
  <c r="AN539" i="4" s="1"/>
  <c r="U539" i="4"/>
  <c r="V539" i="4"/>
  <c r="W539" i="4"/>
  <c r="X539" i="4"/>
  <c r="Y539" i="4"/>
  <c r="Z539" i="4"/>
  <c r="AA539" i="4"/>
  <c r="AB539" i="4"/>
  <c r="AC539" i="4"/>
  <c r="AE539" i="4"/>
  <c r="AG539" i="4"/>
  <c r="AJ539" i="4"/>
  <c r="AK539" i="4"/>
  <c r="AM539" i="4"/>
  <c r="P540" i="4"/>
  <c r="Q540" i="4"/>
  <c r="AQ540" i="4" s="1"/>
  <c r="R540" i="4"/>
  <c r="S540" i="4"/>
  <c r="U540" i="4"/>
  <c r="V540" i="4"/>
  <c r="W540" i="4"/>
  <c r="X540" i="4"/>
  <c r="Y540" i="4"/>
  <c r="Z540" i="4"/>
  <c r="AA540" i="4"/>
  <c r="AB540" i="4"/>
  <c r="AC540" i="4"/>
  <c r="AE540" i="4"/>
  <c r="AJ540" i="4"/>
  <c r="AN540" i="4"/>
  <c r="P541" i="4"/>
  <c r="AP541" i="4" s="1"/>
  <c r="Q541" i="4"/>
  <c r="AF541" i="4" s="1"/>
  <c r="R541" i="4"/>
  <c r="AR541" i="4" s="1"/>
  <c r="S541" i="4"/>
  <c r="AN541" i="4" s="1"/>
  <c r="U541" i="4"/>
  <c r="V541" i="4"/>
  <c r="W541" i="4"/>
  <c r="X541" i="4"/>
  <c r="Y541" i="4"/>
  <c r="Z541" i="4"/>
  <c r="AA541" i="4"/>
  <c r="AB541" i="4"/>
  <c r="AC541" i="4"/>
  <c r="AE541" i="4"/>
  <c r="AG541" i="4"/>
  <c r="AJ541" i="4"/>
  <c r="AK541" i="4"/>
  <c r="AM541" i="4"/>
  <c r="P542" i="4"/>
  <c r="Q542" i="4"/>
  <c r="AQ542" i="4" s="1"/>
  <c r="R542" i="4"/>
  <c r="S542" i="4"/>
  <c r="U542" i="4"/>
  <c r="V542" i="4"/>
  <c r="W542" i="4"/>
  <c r="X542" i="4"/>
  <c r="Y542" i="4"/>
  <c r="Z542" i="4"/>
  <c r="AA542" i="4"/>
  <c r="AB542" i="4"/>
  <c r="AC542" i="4"/>
  <c r="AF542" i="4"/>
  <c r="AG542" i="4"/>
  <c r="AJ542" i="4"/>
  <c r="AL542" i="4"/>
  <c r="AN542" i="4"/>
  <c r="P543" i="4"/>
  <c r="AE543" i="4" s="1"/>
  <c r="Q543" i="4"/>
  <c r="R543" i="4"/>
  <c r="AR543" i="4" s="1"/>
  <c r="S543" i="4"/>
  <c r="AN543" i="4" s="1"/>
  <c r="U543" i="4"/>
  <c r="V543" i="4"/>
  <c r="W543" i="4"/>
  <c r="X543" i="4"/>
  <c r="Y543" i="4"/>
  <c r="Z543" i="4"/>
  <c r="AA543" i="4"/>
  <c r="AB543" i="4"/>
  <c r="AC543" i="4"/>
  <c r="AG543" i="4"/>
  <c r="AJ543" i="4"/>
  <c r="AM543" i="4"/>
  <c r="P544" i="4"/>
  <c r="AP544" i="4" s="1"/>
  <c r="Q544" i="4"/>
  <c r="R544" i="4"/>
  <c r="S544" i="4"/>
  <c r="U544" i="4"/>
  <c r="V544" i="4"/>
  <c r="W544" i="4"/>
  <c r="X544" i="4"/>
  <c r="Y544" i="4"/>
  <c r="Z544" i="4"/>
  <c r="AA544" i="4"/>
  <c r="AB544" i="4"/>
  <c r="AC544" i="4"/>
  <c r="AF544" i="4"/>
  <c r="AJ544" i="4"/>
  <c r="AN544" i="4"/>
  <c r="P545" i="4"/>
  <c r="AP545" i="4" s="1"/>
  <c r="Q545" i="4"/>
  <c r="AQ545" i="4" s="1"/>
  <c r="R545" i="4"/>
  <c r="S545" i="4"/>
  <c r="AN545" i="4" s="1"/>
  <c r="U545" i="4"/>
  <c r="V545" i="4"/>
  <c r="W545" i="4"/>
  <c r="X545" i="4"/>
  <c r="Y545" i="4"/>
  <c r="Z545" i="4"/>
  <c r="AA545" i="4"/>
  <c r="AB545" i="4"/>
  <c r="AC545" i="4"/>
  <c r="AE545" i="4"/>
  <c r="AG545" i="4"/>
  <c r="AJ545" i="4"/>
  <c r="AK545" i="4"/>
  <c r="P546" i="4"/>
  <c r="Q546" i="4"/>
  <c r="AQ546" i="4" s="1"/>
  <c r="R546" i="4"/>
  <c r="AR546" i="4" s="1"/>
  <c r="S546" i="4"/>
  <c r="AN546" i="4" s="1"/>
  <c r="U546" i="4"/>
  <c r="V546" i="4"/>
  <c r="W546" i="4"/>
  <c r="X546" i="4"/>
  <c r="Y546" i="4"/>
  <c r="Z546" i="4"/>
  <c r="AA546" i="4"/>
  <c r="AB546" i="4"/>
  <c r="AC546" i="4"/>
  <c r="AF546" i="4"/>
  <c r="AJ546" i="4"/>
  <c r="AL546" i="4"/>
  <c r="P547" i="4"/>
  <c r="AP547" i="4" s="1"/>
  <c r="Q547" i="4"/>
  <c r="R547" i="4"/>
  <c r="AR547" i="4" s="1"/>
  <c r="S547" i="4"/>
  <c r="AN547" i="4" s="1"/>
  <c r="U547" i="4"/>
  <c r="V547" i="4"/>
  <c r="W547" i="4"/>
  <c r="X547" i="4"/>
  <c r="Y547" i="4"/>
  <c r="Z547" i="4"/>
  <c r="AA547" i="4"/>
  <c r="AB547" i="4"/>
  <c r="AC547" i="4"/>
  <c r="AG547" i="4"/>
  <c r="AJ547" i="4"/>
  <c r="AK547" i="4"/>
  <c r="P548" i="4"/>
  <c r="AE548" i="4" s="1"/>
  <c r="Q548" i="4"/>
  <c r="AQ548" i="4" s="1"/>
  <c r="R548" i="4"/>
  <c r="S548" i="4"/>
  <c r="U548" i="4"/>
  <c r="V548" i="4"/>
  <c r="W548" i="4"/>
  <c r="X548" i="4"/>
  <c r="Y548" i="4"/>
  <c r="Z548" i="4"/>
  <c r="AA548" i="4"/>
  <c r="AB548" i="4"/>
  <c r="AC548" i="4"/>
  <c r="AF548" i="4"/>
  <c r="AJ548" i="4"/>
  <c r="AL548" i="4"/>
  <c r="AN548" i="4"/>
  <c r="P549" i="4"/>
  <c r="AP549" i="4" s="1"/>
  <c r="Q549" i="4"/>
  <c r="R549" i="4"/>
  <c r="AR549" i="4" s="1"/>
  <c r="S549" i="4"/>
  <c r="AN549" i="4" s="1"/>
  <c r="U549" i="4"/>
  <c r="V549" i="4"/>
  <c r="W549" i="4"/>
  <c r="X549" i="4"/>
  <c r="Y549" i="4"/>
  <c r="Z549" i="4"/>
  <c r="AA549" i="4"/>
  <c r="AB549" i="4"/>
  <c r="AC549" i="4"/>
  <c r="AF549" i="4"/>
  <c r="AJ549" i="4"/>
  <c r="AM549" i="4"/>
  <c r="P550" i="4"/>
  <c r="Q550" i="4"/>
  <c r="AQ550" i="4" s="1"/>
  <c r="R550" i="4"/>
  <c r="S550" i="4"/>
  <c r="U550" i="4"/>
  <c r="V550" i="4"/>
  <c r="W550" i="4"/>
  <c r="X550" i="4"/>
  <c r="Y550" i="4"/>
  <c r="Z550" i="4"/>
  <c r="AA550" i="4"/>
  <c r="AB550" i="4"/>
  <c r="AC550" i="4"/>
  <c r="AF550" i="4"/>
  <c r="AG550" i="4"/>
  <c r="AJ550" i="4"/>
  <c r="AN550" i="4"/>
  <c r="P551" i="4"/>
  <c r="Q551" i="4"/>
  <c r="R551" i="4"/>
  <c r="AR551" i="4" s="1"/>
  <c r="S551" i="4"/>
  <c r="AN551" i="4" s="1"/>
  <c r="U551" i="4"/>
  <c r="V551" i="4"/>
  <c r="W551" i="4"/>
  <c r="X551" i="4"/>
  <c r="Y551" i="4"/>
  <c r="Z551" i="4"/>
  <c r="AA551" i="4"/>
  <c r="AB551" i="4"/>
  <c r="AC551" i="4"/>
  <c r="AE551" i="4"/>
  <c r="AG551" i="4"/>
  <c r="AJ551" i="4"/>
  <c r="AM551" i="4"/>
  <c r="P552" i="4"/>
  <c r="AP552" i="4" s="1"/>
  <c r="Q552" i="4"/>
  <c r="R552" i="4"/>
  <c r="S552" i="4"/>
  <c r="U552" i="4"/>
  <c r="V552" i="4"/>
  <c r="W552" i="4"/>
  <c r="X552" i="4"/>
  <c r="Y552" i="4"/>
  <c r="Z552" i="4"/>
  <c r="AA552" i="4"/>
  <c r="AB552" i="4"/>
  <c r="AC552" i="4"/>
  <c r="AF552" i="4"/>
  <c r="AJ552" i="4"/>
  <c r="AN552" i="4"/>
  <c r="P553" i="4"/>
  <c r="AP553" i="4" s="1"/>
  <c r="Q553" i="4"/>
  <c r="AQ553" i="4" s="1"/>
  <c r="R553" i="4"/>
  <c r="S553" i="4"/>
  <c r="AN553" i="4" s="1"/>
  <c r="U553" i="4"/>
  <c r="V553" i="4"/>
  <c r="W553" i="4"/>
  <c r="X553" i="4"/>
  <c r="Y553" i="4"/>
  <c r="Z553" i="4"/>
  <c r="AA553" i="4"/>
  <c r="AB553" i="4"/>
  <c r="AC553" i="4"/>
  <c r="AG553" i="4"/>
  <c r="AJ553" i="4"/>
  <c r="AK553" i="4"/>
  <c r="P554" i="4"/>
  <c r="Q554" i="4"/>
  <c r="AQ554" i="4" s="1"/>
  <c r="R554" i="4"/>
  <c r="AR554" i="4" s="1"/>
  <c r="S554" i="4"/>
  <c r="AN554" i="4" s="1"/>
  <c r="U554" i="4"/>
  <c r="V554" i="4"/>
  <c r="W554" i="4"/>
  <c r="X554" i="4"/>
  <c r="Y554" i="4"/>
  <c r="Z554" i="4"/>
  <c r="AA554" i="4"/>
  <c r="AB554" i="4"/>
  <c r="AC554" i="4"/>
  <c r="AF554" i="4"/>
  <c r="AJ554" i="4"/>
  <c r="AL554" i="4"/>
  <c r="P555" i="4"/>
  <c r="AP555" i="4" s="1"/>
  <c r="Q555" i="4"/>
  <c r="R555" i="4"/>
  <c r="AR555" i="4" s="1"/>
  <c r="S555" i="4"/>
  <c r="AN555" i="4" s="1"/>
  <c r="U555" i="4"/>
  <c r="V555" i="4"/>
  <c r="W555" i="4"/>
  <c r="X555" i="4"/>
  <c r="Y555" i="4"/>
  <c r="Z555" i="4"/>
  <c r="AA555" i="4"/>
  <c r="AB555" i="4"/>
  <c r="AC555" i="4"/>
  <c r="AE555" i="4"/>
  <c r="AG555" i="4"/>
  <c r="AJ555" i="4"/>
  <c r="AK555" i="4"/>
  <c r="AM555" i="4"/>
  <c r="P556" i="4"/>
  <c r="Q556" i="4"/>
  <c r="AQ556" i="4" s="1"/>
  <c r="R556" i="4"/>
  <c r="S556" i="4"/>
  <c r="U556" i="4"/>
  <c r="V556" i="4"/>
  <c r="W556" i="4"/>
  <c r="X556" i="4"/>
  <c r="Y556" i="4"/>
  <c r="Z556" i="4"/>
  <c r="AA556" i="4"/>
  <c r="AB556" i="4"/>
  <c r="AC556" i="4"/>
  <c r="AE556" i="4"/>
  <c r="AJ556" i="4"/>
  <c r="AN556" i="4"/>
  <c r="P557" i="4"/>
  <c r="AP557" i="4" s="1"/>
  <c r="Q557" i="4"/>
  <c r="AF557" i="4" s="1"/>
  <c r="R557" i="4"/>
  <c r="AR557" i="4" s="1"/>
  <c r="S557" i="4"/>
  <c r="AN557" i="4" s="1"/>
  <c r="U557" i="4"/>
  <c r="V557" i="4"/>
  <c r="W557" i="4"/>
  <c r="X557" i="4"/>
  <c r="Y557" i="4"/>
  <c r="Z557" i="4"/>
  <c r="AA557" i="4"/>
  <c r="AB557" i="4"/>
  <c r="AC557" i="4"/>
  <c r="AE557" i="4"/>
  <c r="AG557" i="4"/>
  <c r="AJ557" i="4"/>
  <c r="AK557" i="4"/>
  <c r="AM557" i="4"/>
  <c r="P558" i="4"/>
  <c r="Q558" i="4"/>
  <c r="AQ558" i="4" s="1"/>
  <c r="R558" i="4"/>
  <c r="S558" i="4"/>
  <c r="U558" i="4"/>
  <c r="V558" i="4"/>
  <c r="W558" i="4"/>
  <c r="X558" i="4"/>
  <c r="Y558" i="4"/>
  <c r="Z558" i="4"/>
  <c r="AA558" i="4"/>
  <c r="AB558" i="4"/>
  <c r="AC558" i="4"/>
  <c r="AF558" i="4"/>
  <c r="AG558" i="4"/>
  <c r="AJ558" i="4"/>
  <c r="AL558" i="4"/>
  <c r="AN558" i="4"/>
  <c r="P559" i="4"/>
  <c r="AE559" i="4" s="1"/>
  <c r="Q559" i="4"/>
  <c r="R559" i="4"/>
  <c r="AR559" i="4" s="1"/>
  <c r="S559" i="4"/>
  <c r="AN559" i="4" s="1"/>
  <c r="U559" i="4"/>
  <c r="V559" i="4"/>
  <c r="W559" i="4"/>
  <c r="X559" i="4"/>
  <c r="Y559" i="4"/>
  <c r="Z559" i="4"/>
  <c r="AA559" i="4"/>
  <c r="AB559" i="4"/>
  <c r="AC559" i="4"/>
  <c r="AG559" i="4"/>
  <c r="AJ559" i="4"/>
  <c r="AM559" i="4"/>
  <c r="P560" i="4"/>
  <c r="AP560" i="4" s="1"/>
  <c r="Q560" i="4"/>
  <c r="R560" i="4"/>
  <c r="S560" i="4"/>
  <c r="U560" i="4"/>
  <c r="V560" i="4"/>
  <c r="W560" i="4"/>
  <c r="X560" i="4"/>
  <c r="Y560" i="4"/>
  <c r="Z560" i="4"/>
  <c r="AA560" i="4"/>
  <c r="AB560" i="4"/>
  <c r="AC560" i="4"/>
  <c r="AF560" i="4"/>
  <c r="AJ560" i="4"/>
  <c r="AN560" i="4"/>
  <c r="P561" i="4"/>
  <c r="AP561" i="4" s="1"/>
  <c r="Q561" i="4"/>
  <c r="AQ561" i="4" s="1"/>
  <c r="R561" i="4"/>
  <c r="S561" i="4"/>
  <c r="AN561" i="4" s="1"/>
  <c r="U561" i="4"/>
  <c r="V561" i="4"/>
  <c r="W561" i="4"/>
  <c r="X561" i="4"/>
  <c r="Y561" i="4"/>
  <c r="Z561" i="4"/>
  <c r="AA561" i="4"/>
  <c r="AB561" i="4"/>
  <c r="AC561" i="4"/>
  <c r="AE561" i="4"/>
  <c r="AG561" i="4"/>
  <c r="AJ561" i="4"/>
  <c r="AK561" i="4"/>
  <c r="P562" i="4"/>
  <c r="Q562" i="4"/>
  <c r="AQ562" i="4" s="1"/>
  <c r="R562" i="4"/>
  <c r="AR562" i="4" s="1"/>
  <c r="S562" i="4"/>
  <c r="AN562" i="4" s="1"/>
  <c r="U562" i="4"/>
  <c r="V562" i="4"/>
  <c r="W562" i="4"/>
  <c r="X562" i="4"/>
  <c r="Y562" i="4"/>
  <c r="Z562" i="4"/>
  <c r="AA562" i="4"/>
  <c r="AB562" i="4"/>
  <c r="AC562" i="4"/>
  <c r="AF562" i="4"/>
  <c r="AJ562" i="4"/>
  <c r="AL562" i="4"/>
  <c r="P563" i="4"/>
  <c r="AP563" i="4" s="1"/>
  <c r="Q563" i="4"/>
  <c r="R563" i="4"/>
  <c r="AR563" i="4" s="1"/>
  <c r="S563" i="4"/>
  <c r="AN563" i="4" s="1"/>
  <c r="U563" i="4"/>
  <c r="V563" i="4"/>
  <c r="W563" i="4"/>
  <c r="X563" i="4"/>
  <c r="Y563" i="4"/>
  <c r="Z563" i="4"/>
  <c r="AA563" i="4"/>
  <c r="AB563" i="4"/>
  <c r="AC563" i="4"/>
  <c r="AG563" i="4"/>
  <c r="AJ563" i="4"/>
  <c r="AK563" i="4"/>
  <c r="P564" i="4"/>
  <c r="AE564" i="4" s="1"/>
  <c r="Q564" i="4"/>
  <c r="AQ564" i="4" s="1"/>
  <c r="R564" i="4"/>
  <c r="S564" i="4"/>
  <c r="U564" i="4"/>
  <c r="V564" i="4"/>
  <c r="W564" i="4"/>
  <c r="X564" i="4"/>
  <c r="Y564" i="4"/>
  <c r="Z564" i="4"/>
  <c r="AA564" i="4"/>
  <c r="AB564" i="4"/>
  <c r="AC564" i="4"/>
  <c r="AF564" i="4"/>
  <c r="AJ564" i="4"/>
  <c r="AL564" i="4"/>
  <c r="AN564" i="4"/>
  <c r="P565" i="4"/>
  <c r="AP565" i="4" s="1"/>
  <c r="Q565" i="4"/>
  <c r="R565" i="4"/>
  <c r="AR565" i="4" s="1"/>
  <c r="S565" i="4"/>
  <c r="AN565" i="4" s="1"/>
  <c r="U565" i="4"/>
  <c r="V565" i="4"/>
  <c r="W565" i="4"/>
  <c r="X565" i="4"/>
  <c r="Y565" i="4"/>
  <c r="Z565" i="4"/>
  <c r="AA565" i="4"/>
  <c r="AB565" i="4"/>
  <c r="AC565" i="4"/>
  <c r="AF565" i="4"/>
  <c r="AJ565" i="4"/>
  <c r="AM565" i="4"/>
  <c r="P566" i="4"/>
  <c r="Q566" i="4"/>
  <c r="AQ566" i="4" s="1"/>
  <c r="R566" i="4"/>
  <c r="S566" i="4"/>
  <c r="U566" i="4"/>
  <c r="V566" i="4"/>
  <c r="W566" i="4"/>
  <c r="X566" i="4"/>
  <c r="Y566" i="4"/>
  <c r="Z566" i="4"/>
  <c r="AA566" i="4"/>
  <c r="AB566" i="4"/>
  <c r="AC566" i="4"/>
  <c r="AF566" i="4"/>
  <c r="AG566" i="4"/>
  <c r="AJ566" i="4"/>
  <c r="AN566" i="4"/>
  <c r="P567" i="4"/>
  <c r="Q567" i="4"/>
  <c r="R567" i="4"/>
  <c r="AR567" i="4" s="1"/>
  <c r="S567" i="4"/>
  <c r="AN567" i="4" s="1"/>
  <c r="U567" i="4"/>
  <c r="V567" i="4"/>
  <c r="W567" i="4"/>
  <c r="X567" i="4"/>
  <c r="Y567" i="4"/>
  <c r="Z567" i="4"/>
  <c r="AA567" i="4"/>
  <c r="AB567" i="4"/>
  <c r="AC567" i="4"/>
  <c r="AE567" i="4"/>
  <c r="AG567" i="4"/>
  <c r="AJ567" i="4"/>
  <c r="AM567" i="4"/>
  <c r="P568" i="4"/>
  <c r="AP568" i="4" s="1"/>
  <c r="Q568" i="4"/>
  <c r="R568" i="4"/>
  <c r="S568" i="4"/>
  <c r="U568" i="4"/>
  <c r="V568" i="4"/>
  <c r="W568" i="4"/>
  <c r="X568" i="4"/>
  <c r="Y568" i="4"/>
  <c r="Z568" i="4"/>
  <c r="AA568" i="4"/>
  <c r="AB568" i="4"/>
  <c r="AC568" i="4"/>
  <c r="AF568" i="4"/>
  <c r="AJ568" i="4"/>
  <c r="AN568" i="4"/>
  <c r="P569" i="4"/>
  <c r="AP569" i="4" s="1"/>
  <c r="Q569" i="4"/>
  <c r="AQ569" i="4" s="1"/>
  <c r="R569" i="4"/>
  <c r="S569" i="4"/>
  <c r="AN569" i="4" s="1"/>
  <c r="U569" i="4"/>
  <c r="V569" i="4"/>
  <c r="W569" i="4"/>
  <c r="X569" i="4"/>
  <c r="Y569" i="4"/>
  <c r="Z569" i="4"/>
  <c r="AA569" i="4"/>
  <c r="AB569" i="4"/>
  <c r="AC569" i="4"/>
  <c r="AG569" i="4"/>
  <c r="AJ569" i="4"/>
  <c r="AK569" i="4"/>
  <c r="P570" i="4"/>
  <c r="Q570" i="4"/>
  <c r="AQ570" i="4" s="1"/>
  <c r="R570" i="4"/>
  <c r="AR570" i="4" s="1"/>
  <c r="S570" i="4"/>
  <c r="AN570" i="4" s="1"/>
  <c r="U570" i="4"/>
  <c r="V570" i="4"/>
  <c r="W570" i="4"/>
  <c r="X570" i="4"/>
  <c r="Y570" i="4"/>
  <c r="Z570" i="4"/>
  <c r="AA570" i="4"/>
  <c r="AB570" i="4"/>
  <c r="AC570" i="4"/>
  <c r="AF570" i="4"/>
  <c r="AJ570" i="4"/>
  <c r="AL570" i="4"/>
  <c r="P571" i="4"/>
  <c r="AP571" i="4" s="1"/>
  <c r="Q571" i="4"/>
  <c r="R571" i="4"/>
  <c r="AR571" i="4" s="1"/>
  <c r="S571" i="4"/>
  <c r="AN571" i="4" s="1"/>
  <c r="U571" i="4"/>
  <c r="V571" i="4"/>
  <c r="W571" i="4"/>
  <c r="X571" i="4"/>
  <c r="Y571" i="4"/>
  <c r="Z571" i="4"/>
  <c r="AA571" i="4"/>
  <c r="AB571" i="4"/>
  <c r="AC571" i="4"/>
  <c r="AE571" i="4"/>
  <c r="AG571" i="4"/>
  <c r="AJ571" i="4"/>
  <c r="AK571" i="4"/>
  <c r="AM571" i="4"/>
  <c r="P572" i="4"/>
  <c r="Q572" i="4"/>
  <c r="AQ572" i="4" s="1"/>
  <c r="R572" i="4"/>
  <c r="S572" i="4"/>
  <c r="U572" i="4"/>
  <c r="V572" i="4"/>
  <c r="W572" i="4"/>
  <c r="X572" i="4"/>
  <c r="Y572" i="4"/>
  <c r="Z572" i="4"/>
  <c r="AA572" i="4"/>
  <c r="AB572" i="4"/>
  <c r="AC572" i="4"/>
  <c r="AE572" i="4"/>
  <c r="AJ572" i="4"/>
  <c r="AN572" i="4"/>
  <c r="P573" i="4"/>
  <c r="AP573" i="4" s="1"/>
  <c r="Q573" i="4"/>
  <c r="AF573" i="4" s="1"/>
  <c r="R573" i="4"/>
  <c r="AR573" i="4" s="1"/>
  <c r="S573" i="4"/>
  <c r="AN573" i="4" s="1"/>
  <c r="U573" i="4"/>
  <c r="V573" i="4"/>
  <c r="W573" i="4"/>
  <c r="X573" i="4"/>
  <c r="Y573" i="4"/>
  <c r="Z573" i="4"/>
  <c r="AA573" i="4"/>
  <c r="AB573" i="4"/>
  <c r="AC573" i="4"/>
  <c r="AE573" i="4"/>
  <c r="AG573" i="4"/>
  <c r="AJ573" i="4"/>
  <c r="AK573" i="4"/>
  <c r="AM573" i="4"/>
  <c r="P574" i="4"/>
  <c r="Q574" i="4"/>
  <c r="AQ574" i="4" s="1"/>
  <c r="R574" i="4"/>
  <c r="S574" i="4"/>
  <c r="U574" i="4"/>
  <c r="V574" i="4"/>
  <c r="W574" i="4"/>
  <c r="X574" i="4"/>
  <c r="Y574" i="4"/>
  <c r="Z574" i="4"/>
  <c r="AA574" i="4"/>
  <c r="AB574" i="4"/>
  <c r="AC574" i="4"/>
  <c r="AF574" i="4"/>
  <c r="AG574" i="4"/>
  <c r="AJ574" i="4"/>
  <c r="AL574" i="4"/>
  <c r="AN574" i="4"/>
  <c r="P575" i="4"/>
  <c r="AE575" i="4" s="1"/>
  <c r="Q575" i="4"/>
  <c r="R575" i="4"/>
  <c r="AR575" i="4" s="1"/>
  <c r="S575" i="4"/>
  <c r="AN575" i="4" s="1"/>
  <c r="U575" i="4"/>
  <c r="V575" i="4"/>
  <c r="W575" i="4"/>
  <c r="X575" i="4"/>
  <c r="Y575" i="4"/>
  <c r="Z575" i="4"/>
  <c r="AA575" i="4"/>
  <c r="AB575" i="4"/>
  <c r="AC575" i="4"/>
  <c r="AG575" i="4"/>
  <c r="AJ575" i="4"/>
  <c r="AM575" i="4"/>
  <c r="P576" i="4"/>
  <c r="AP576" i="4" s="1"/>
  <c r="Q576" i="4"/>
  <c r="R576" i="4"/>
  <c r="S576" i="4"/>
  <c r="U576" i="4"/>
  <c r="V576" i="4"/>
  <c r="W576" i="4"/>
  <c r="X576" i="4"/>
  <c r="Y576" i="4"/>
  <c r="Z576" i="4"/>
  <c r="AA576" i="4"/>
  <c r="AB576" i="4"/>
  <c r="AC576" i="4"/>
  <c r="AF576" i="4"/>
  <c r="AJ576" i="4"/>
  <c r="AN576" i="4"/>
  <c r="P577" i="4"/>
  <c r="AP577" i="4" s="1"/>
  <c r="Q577" i="4"/>
  <c r="AQ577" i="4" s="1"/>
  <c r="R577" i="4"/>
  <c r="S577" i="4"/>
  <c r="AN577" i="4" s="1"/>
  <c r="U577" i="4"/>
  <c r="V577" i="4"/>
  <c r="W577" i="4"/>
  <c r="X577" i="4"/>
  <c r="Y577" i="4"/>
  <c r="Z577" i="4"/>
  <c r="AA577" i="4"/>
  <c r="AB577" i="4"/>
  <c r="AC577" i="4"/>
  <c r="AE577" i="4"/>
  <c r="AG577" i="4"/>
  <c r="AJ577" i="4"/>
  <c r="AK577" i="4"/>
  <c r="P578" i="4"/>
  <c r="Q578" i="4"/>
  <c r="AQ578" i="4" s="1"/>
  <c r="R578" i="4"/>
  <c r="AR578" i="4" s="1"/>
  <c r="S578" i="4"/>
  <c r="AN578" i="4" s="1"/>
  <c r="U578" i="4"/>
  <c r="V578" i="4"/>
  <c r="W578" i="4"/>
  <c r="X578" i="4"/>
  <c r="Y578" i="4"/>
  <c r="Z578" i="4"/>
  <c r="AA578" i="4"/>
  <c r="AB578" i="4"/>
  <c r="AC578" i="4"/>
  <c r="AF578" i="4"/>
  <c r="AJ578" i="4"/>
  <c r="AL578" i="4"/>
  <c r="P579" i="4"/>
  <c r="AP579" i="4" s="1"/>
  <c r="Q579" i="4"/>
  <c r="R579" i="4"/>
  <c r="AR579" i="4" s="1"/>
  <c r="S579" i="4"/>
  <c r="AN579" i="4" s="1"/>
  <c r="U579" i="4"/>
  <c r="V579" i="4"/>
  <c r="W579" i="4"/>
  <c r="X579" i="4"/>
  <c r="Y579" i="4"/>
  <c r="Z579" i="4"/>
  <c r="AA579" i="4"/>
  <c r="AB579" i="4"/>
  <c r="AC579" i="4"/>
  <c r="AG579" i="4"/>
  <c r="AJ579" i="4"/>
  <c r="AK579" i="4"/>
  <c r="P580" i="4"/>
  <c r="AE580" i="4" s="1"/>
  <c r="Q580" i="4"/>
  <c r="AQ580" i="4" s="1"/>
  <c r="R580" i="4"/>
  <c r="S580" i="4"/>
  <c r="U580" i="4"/>
  <c r="V580" i="4"/>
  <c r="W580" i="4"/>
  <c r="X580" i="4"/>
  <c r="Y580" i="4"/>
  <c r="Z580" i="4"/>
  <c r="AA580" i="4"/>
  <c r="AB580" i="4"/>
  <c r="AC580" i="4"/>
  <c r="AF580" i="4"/>
  <c r="AJ580" i="4"/>
  <c r="AL580" i="4"/>
  <c r="AN580" i="4"/>
  <c r="P581" i="4"/>
  <c r="AP581" i="4" s="1"/>
  <c r="Q581" i="4"/>
  <c r="R581" i="4"/>
  <c r="AR581" i="4" s="1"/>
  <c r="S581" i="4"/>
  <c r="AN581" i="4" s="1"/>
  <c r="U581" i="4"/>
  <c r="V581" i="4"/>
  <c r="W581" i="4"/>
  <c r="X581" i="4"/>
  <c r="Y581" i="4"/>
  <c r="Z581" i="4"/>
  <c r="AA581" i="4"/>
  <c r="AB581" i="4"/>
  <c r="AC581" i="4"/>
  <c r="AF581" i="4"/>
  <c r="AJ581" i="4"/>
  <c r="AM581" i="4"/>
  <c r="P582" i="4"/>
  <c r="Q582" i="4"/>
  <c r="AQ582" i="4" s="1"/>
  <c r="R582" i="4"/>
  <c r="S582" i="4"/>
  <c r="U582" i="4"/>
  <c r="V582" i="4"/>
  <c r="W582" i="4"/>
  <c r="X582" i="4"/>
  <c r="Y582" i="4"/>
  <c r="Z582" i="4"/>
  <c r="AA582" i="4"/>
  <c r="AB582" i="4"/>
  <c r="AC582" i="4"/>
  <c r="AF582" i="4"/>
  <c r="AG582" i="4"/>
  <c r="AJ582" i="4"/>
  <c r="AN582" i="4"/>
  <c r="P583" i="4"/>
  <c r="Q583" i="4"/>
  <c r="R583" i="4"/>
  <c r="AR583" i="4" s="1"/>
  <c r="S583" i="4"/>
  <c r="AN583" i="4" s="1"/>
  <c r="U583" i="4"/>
  <c r="V583" i="4"/>
  <c r="W583" i="4"/>
  <c r="X583" i="4"/>
  <c r="Y583" i="4"/>
  <c r="Z583" i="4"/>
  <c r="AA583" i="4"/>
  <c r="AB583" i="4"/>
  <c r="AC583" i="4"/>
  <c r="AE583" i="4"/>
  <c r="AG583" i="4"/>
  <c r="AJ583" i="4"/>
  <c r="AM583" i="4"/>
  <c r="P584" i="4"/>
  <c r="AP584" i="4" s="1"/>
  <c r="Q584" i="4"/>
  <c r="R584" i="4"/>
  <c r="S584" i="4"/>
  <c r="U584" i="4"/>
  <c r="V584" i="4"/>
  <c r="W584" i="4"/>
  <c r="X584" i="4"/>
  <c r="Y584" i="4"/>
  <c r="Z584" i="4"/>
  <c r="AA584" i="4"/>
  <c r="AB584" i="4"/>
  <c r="AC584" i="4"/>
  <c r="AF584" i="4"/>
  <c r="AJ584" i="4"/>
  <c r="AN584" i="4"/>
  <c r="P585" i="4"/>
  <c r="AP585" i="4" s="1"/>
  <c r="Q585" i="4"/>
  <c r="AQ585" i="4" s="1"/>
  <c r="R585" i="4"/>
  <c r="S585" i="4"/>
  <c r="AN585" i="4" s="1"/>
  <c r="U585" i="4"/>
  <c r="V585" i="4"/>
  <c r="W585" i="4"/>
  <c r="X585" i="4"/>
  <c r="Y585" i="4"/>
  <c r="Z585" i="4"/>
  <c r="AA585" i="4"/>
  <c r="AB585" i="4"/>
  <c r="AC585" i="4"/>
  <c r="AG585" i="4"/>
  <c r="AJ585" i="4"/>
  <c r="AK585" i="4"/>
  <c r="P586" i="4"/>
  <c r="Q586" i="4"/>
  <c r="AQ586" i="4" s="1"/>
  <c r="R586" i="4"/>
  <c r="AR586" i="4" s="1"/>
  <c r="S586" i="4"/>
  <c r="AN586" i="4" s="1"/>
  <c r="U586" i="4"/>
  <c r="V586" i="4"/>
  <c r="W586" i="4"/>
  <c r="X586" i="4"/>
  <c r="Y586" i="4"/>
  <c r="Z586" i="4"/>
  <c r="AA586" i="4"/>
  <c r="AB586" i="4"/>
  <c r="AC586" i="4"/>
  <c r="AF586" i="4"/>
  <c r="AJ586" i="4"/>
  <c r="AL586" i="4"/>
  <c r="P587" i="4"/>
  <c r="AP587" i="4" s="1"/>
  <c r="Q587" i="4"/>
  <c r="R587" i="4"/>
  <c r="AR587" i="4" s="1"/>
  <c r="S587" i="4"/>
  <c r="AN587" i="4" s="1"/>
  <c r="U587" i="4"/>
  <c r="V587" i="4"/>
  <c r="W587" i="4"/>
  <c r="X587" i="4"/>
  <c r="Y587" i="4"/>
  <c r="Z587" i="4"/>
  <c r="AA587" i="4"/>
  <c r="AB587" i="4"/>
  <c r="AC587" i="4"/>
  <c r="AE587" i="4"/>
  <c r="AG587" i="4"/>
  <c r="AJ587" i="4"/>
  <c r="AK587" i="4"/>
  <c r="AM587" i="4"/>
  <c r="P588" i="4"/>
  <c r="Q588" i="4"/>
  <c r="AQ588" i="4" s="1"/>
  <c r="R588" i="4"/>
  <c r="S588" i="4"/>
  <c r="U588" i="4"/>
  <c r="V588" i="4"/>
  <c r="W588" i="4"/>
  <c r="X588" i="4"/>
  <c r="Y588" i="4"/>
  <c r="Z588" i="4"/>
  <c r="AA588" i="4"/>
  <c r="AB588" i="4"/>
  <c r="AC588" i="4"/>
  <c r="AE588" i="4"/>
  <c r="AJ588" i="4"/>
  <c r="AN588" i="4"/>
  <c r="P589" i="4"/>
  <c r="AP589" i="4" s="1"/>
  <c r="Q589" i="4"/>
  <c r="AF589" i="4" s="1"/>
  <c r="R589" i="4"/>
  <c r="AR589" i="4" s="1"/>
  <c r="S589" i="4"/>
  <c r="AN589" i="4" s="1"/>
  <c r="U589" i="4"/>
  <c r="V589" i="4"/>
  <c r="W589" i="4"/>
  <c r="X589" i="4"/>
  <c r="Y589" i="4"/>
  <c r="Z589" i="4"/>
  <c r="AA589" i="4"/>
  <c r="AB589" i="4"/>
  <c r="AC589" i="4"/>
  <c r="AE589" i="4"/>
  <c r="AG589" i="4"/>
  <c r="AJ589" i="4"/>
  <c r="AK589" i="4"/>
  <c r="AM589" i="4"/>
  <c r="P590" i="4"/>
  <c r="Q590" i="4"/>
  <c r="AQ590" i="4" s="1"/>
  <c r="R590" i="4"/>
  <c r="S590" i="4"/>
  <c r="U590" i="4"/>
  <c r="V590" i="4"/>
  <c r="W590" i="4"/>
  <c r="X590" i="4"/>
  <c r="Y590" i="4"/>
  <c r="Z590" i="4"/>
  <c r="AA590" i="4"/>
  <c r="AB590" i="4"/>
  <c r="AC590" i="4"/>
  <c r="AF590" i="4"/>
  <c r="AG590" i="4"/>
  <c r="AJ590" i="4"/>
  <c r="AL590" i="4"/>
  <c r="AN590" i="4"/>
  <c r="P591" i="4"/>
  <c r="AE591" i="4" s="1"/>
  <c r="Q591" i="4"/>
  <c r="R591" i="4"/>
  <c r="AR591" i="4" s="1"/>
  <c r="S591" i="4"/>
  <c r="AN591" i="4" s="1"/>
  <c r="U591" i="4"/>
  <c r="V591" i="4"/>
  <c r="W591" i="4"/>
  <c r="X591" i="4"/>
  <c r="Y591" i="4"/>
  <c r="Z591" i="4"/>
  <c r="AA591" i="4"/>
  <c r="AB591" i="4"/>
  <c r="AC591" i="4"/>
  <c r="AG591" i="4"/>
  <c r="AJ591" i="4"/>
  <c r="AM591" i="4"/>
  <c r="P592" i="4"/>
  <c r="AP592" i="4" s="1"/>
  <c r="Q592" i="4"/>
  <c r="R592" i="4"/>
  <c r="S592" i="4"/>
  <c r="U592" i="4"/>
  <c r="V592" i="4"/>
  <c r="W592" i="4"/>
  <c r="X592" i="4"/>
  <c r="Y592" i="4"/>
  <c r="Z592" i="4"/>
  <c r="AA592" i="4"/>
  <c r="AB592" i="4"/>
  <c r="AC592" i="4"/>
  <c r="AF592" i="4"/>
  <c r="AJ592" i="4"/>
  <c r="AN592" i="4"/>
  <c r="P593" i="4"/>
  <c r="AP593" i="4" s="1"/>
  <c r="Q593" i="4"/>
  <c r="AQ593" i="4" s="1"/>
  <c r="R593" i="4"/>
  <c r="S593" i="4"/>
  <c r="AN593" i="4" s="1"/>
  <c r="U593" i="4"/>
  <c r="V593" i="4"/>
  <c r="W593" i="4"/>
  <c r="X593" i="4"/>
  <c r="Y593" i="4"/>
  <c r="Z593" i="4"/>
  <c r="AA593" i="4"/>
  <c r="AB593" i="4"/>
  <c r="AC593" i="4"/>
  <c r="AE593" i="4"/>
  <c r="AG593" i="4"/>
  <c r="AJ593" i="4"/>
  <c r="AK593" i="4"/>
  <c r="P594" i="4"/>
  <c r="Q594" i="4"/>
  <c r="AQ594" i="4" s="1"/>
  <c r="R594" i="4"/>
  <c r="AR594" i="4" s="1"/>
  <c r="S594" i="4"/>
  <c r="AN594" i="4" s="1"/>
  <c r="U594" i="4"/>
  <c r="V594" i="4"/>
  <c r="W594" i="4"/>
  <c r="X594" i="4"/>
  <c r="Y594" i="4"/>
  <c r="Z594" i="4"/>
  <c r="AA594" i="4"/>
  <c r="AB594" i="4"/>
  <c r="AC594" i="4"/>
  <c r="AF594" i="4"/>
  <c r="AJ594" i="4"/>
  <c r="AL594" i="4"/>
  <c r="P595" i="4"/>
  <c r="AP595" i="4" s="1"/>
  <c r="Q595" i="4"/>
  <c r="R595" i="4"/>
  <c r="AR595" i="4" s="1"/>
  <c r="S595" i="4"/>
  <c r="AN595" i="4" s="1"/>
  <c r="U595" i="4"/>
  <c r="V595" i="4"/>
  <c r="W595" i="4"/>
  <c r="X595" i="4"/>
  <c r="Y595" i="4"/>
  <c r="Z595" i="4"/>
  <c r="AA595" i="4"/>
  <c r="AB595" i="4"/>
  <c r="AC595" i="4"/>
  <c r="AG595" i="4"/>
  <c r="AJ595" i="4"/>
  <c r="AK595" i="4"/>
  <c r="P596" i="4"/>
  <c r="AE596" i="4" s="1"/>
  <c r="Q596" i="4"/>
  <c r="AQ596" i="4" s="1"/>
  <c r="R596" i="4"/>
  <c r="S596" i="4"/>
  <c r="U596" i="4"/>
  <c r="V596" i="4"/>
  <c r="W596" i="4"/>
  <c r="X596" i="4"/>
  <c r="Y596" i="4"/>
  <c r="Z596" i="4"/>
  <c r="AA596" i="4"/>
  <c r="AB596" i="4"/>
  <c r="AC596" i="4"/>
  <c r="AF596" i="4"/>
  <c r="AJ596" i="4"/>
  <c r="AL596" i="4"/>
  <c r="AN596" i="4"/>
  <c r="P597" i="4"/>
  <c r="AP597" i="4" s="1"/>
  <c r="Q597" i="4"/>
  <c r="R597" i="4"/>
  <c r="AR597" i="4" s="1"/>
  <c r="S597" i="4"/>
  <c r="AN597" i="4" s="1"/>
  <c r="U597" i="4"/>
  <c r="V597" i="4"/>
  <c r="W597" i="4"/>
  <c r="X597" i="4"/>
  <c r="Y597" i="4"/>
  <c r="Z597" i="4"/>
  <c r="AA597" i="4"/>
  <c r="AB597" i="4"/>
  <c r="AC597" i="4"/>
  <c r="AF597" i="4"/>
  <c r="AJ597" i="4"/>
  <c r="AM597" i="4"/>
  <c r="P598" i="4"/>
  <c r="Q598" i="4"/>
  <c r="AQ598" i="4" s="1"/>
  <c r="R598" i="4"/>
  <c r="S598" i="4"/>
  <c r="U598" i="4"/>
  <c r="V598" i="4"/>
  <c r="W598" i="4"/>
  <c r="X598" i="4"/>
  <c r="Y598" i="4"/>
  <c r="Z598" i="4"/>
  <c r="AA598" i="4"/>
  <c r="AB598" i="4"/>
  <c r="AC598" i="4"/>
  <c r="AF598" i="4"/>
  <c r="AG598" i="4"/>
  <c r="AJ598" i="4"/>
  <c r="AN598" i="4"/>
  <c r="P599" i="4"/>
  <c r="Q599" i="4"/>
  <c r="R599" i="4"/>
  <c r="AR599" i="4" s="1"/>
  <c r="S599" i="4"/>
  <c r="AN599" i="4" s="1"/>
  <c r="U599" i="4"/>
  <c r="V599" i="4"/>
  <c r="W599" i="4"/>
  <c r="X599" i="4"/>
  <c r="Y599" i="4"/>
  <c r="Z599" i="4"/>
  <c r="AA599" i="4"/>
  <c r="AB599" i="4"/>
  <c r="AC599" i="4"/>
  <c r="AE599" i="4"/>
  <c r="AG599" i="4"/>
  <c r="AJ599" i="4"/>
  <c r="AM599" i="4"/>
  <c r="P600" i="4"/>
  <c r="AP600" i="4" s="1"/>
  <c r="Q600" i="4"/>
  <c r="R600" i="4"/>
  <c r="S600" i="4"/>
  <c r="U600" i="4"/>
  <c r="V600" i="4"/>
  <c r="W600" i="4"/>
  <c r="X600" i="4"/>
  <c r="Y600" i="4"/>
  <c r="Z600" i="4"/>
  <c r="AA600" i="4"/>
  <c r="AB600" i="4"/>
  <c r="AC600" i="4"/>
  <c r="AF600" i="4"/>
  <c r="AJ600" i="4"/>
  <c r="AN600" i="4"/>
  <c r="P601" i="4"/>
  <c r="AP601" i="4" s="1"/>
  <c r="Q601" i="4"/>
  <c r="AQ601" i="4" s="1"/>
  <c r="R601" i="4"/>
  <c r="S601" i="4"/>
  <c r="AN601" i="4" s="1"/>
  <c r="U601" i="4"/>
  <c r="V601" i="4"/>
  <c r="W601" i="4"/>
  <c r="X601" i="4"/>
  <c r="Y601" i="4"/>
  <c r="Z601" i="4"/>
  <c r="AA601" i="4"/>
  <c r="AB601" i="4"/>
  <c r="AC601" i="4"/>
  <c r="AG601" i="4"/>
  <c r="AJ601" i="4"/>
  <c r="AK601" i="4"/>
  <c r="P602" i="4"/>
  <c r="Q602" i="4"/>
  <c r="AQ602" i="4" s="1"/>
  <c r="R602" i="4"/>
  <c r="AR602" i="4" s="1"/>
  <c r="S602" i="4"/>
  <c r="AN602" i="4" s="1"/>
  <c r="U602" i="4"/>
  <c r="V602" i="4"/>
  <c r="W602" i="4"/>
  <c r="X602" i="4"/>
  <c r="Y602" i="4"/>
  <c r="Z602" i="4"/>
  <c r="AA602" i="4"/>
  <c r="AB602" i="4"/>
  <c r="AC602" i="4"/>
  <c r="AF602" i="4"/>
  <c r="AJ602" i="4"/>
  <c r="AL602" i="4"/>
  <c r="P603" i="4"/>
  <c r="AP603" i="4" s="1"/>
  <c r="Q603" i="4"/>
  <c r="AQ603" i="4" s="1"/>
  <c r="R603" i="4"/>
  <c r="AR603" i="4" s="1"/>
  <c r="S603" i="4"/>
  <c r="AN603" i="4" s="1"/>
  <c r="U603" i="4"/>
  <c r="V603" i="4"/>
  <c r="W603" i="4"/>
  <c r="X603" i="4"/>
  <c r="Y603" i="4"/>
  <c r="Z603" i="4"/>
  <c r="AA603" i="4"/>
  <c r="AB603" i="4"/>
  <c r="AC603" i="4"/>
  <c r="AE603" i="4"/>
  <c r="AG603" i="4"/>
  <c r="AJ603" i="4"/>
  <c r="AK603" i="4"/>
  <c r="AM603" i="4"/>
  <c r="P604" i="4"/>
  <c r="Q604" i="4"/>
  <c r="AQ604" i="4" s="1"/>
  <c r="R604" i="4"/>
  <c r="AR604" i="4" s="1"/>
  <c r="S604" i="4"/>
  <c r="U604" i="4"/>
  <c r="V604" i="4"/>
  <c r="W604" i="4"/>
  <c r="X604" i="4"/>
  <c r="Y604" i="4"/>
  <c r="Z604" i="4"/>
  <c r="AA604" i="4"/>
  <c r="AB604" i="4"/>
  <c r="AC604" i="4"/>
  <c r="AE604" i="4"/>
  <c r="AJ604" i="4"/>
  <c r="AN604" i="4"/>
  <c r="P605" i="4"/>
  <c r="AP605" i="4" s="1"/>
  <c r="Q605" i="4"/>
  <c r="AF605" i="4" s="1"/>
  <c r="R605" i="4"/>
  <c r="AR605" i="4" s="1"/>
  <c r="S605" i="4"/>
  <c r="AN605" i="4" s="1"/>
  <c r="U605" i="4"/>
  <c r="V605" i="4"/>
  <c r="W605" i="4"/>
  <c r="X605" i="4"/>
  <c r="Y605" i="4"/>
  <c r="Z605" i="4"/>
  <c r="AA605" i="4"/>
  <c r="AB605" i="4"/>
  <c r="AC605" i="4"/>
  <c r="AE605" i="4"/>
  <c r="AG605" i="4"/>
  <c r="AJ605" i="4"/>
  <c r="AK605" i="4"/>
  <c r="AM605" i="4"/>
  <c r="P606" i="4"/>
  <c r="AP606" i="4" s="1"/>
  <c r="Q606" i="4"/>
  <c r="AQ606" i="4" s="1"/>
  <c r="R606" i="4"/>
  <c r="S606" i="4"/>
  <c r="U606" i="4"/>
  <c r="V606" i="4"/>
  <c r="W606" i="4"/>
  <c r="X606" i="4"/>
  <c r="Y606" i="4"/>
  <c r="Z606" i="4"/>
  <c r="AA606" i="4"/>
  <c r="AB606" i="4"/>
  <c r="AC606" i="4"/>
  <c r="AF606" i="4"/>
  <c r="AG606" i="4"/>
  <c r="AJ606" i="4"/>
  <c r="AL606" i="4"/>
  <c r="AN606" i="4"/>
  <c r="P607" i="4"/>
  <c r="AE607" i="4" s="1"/>
  <c r="Q607" i="4"/>
  <c r="AQ607" i="4" s="1"/>
  <c r="R607" i="4"/>
  <c r="AR607" i="4" s="1"/>
  <c r="S607" i="4"/>
  <c r="AN607" i="4" s="1"/>
  <c r="U607" i="4"/>
  <c r="V607" i="4"/>
  <c r="W607" i="4"/>
  <c r="X607" i="4"/>
  <c r="Y607" i="4"/>
  <c r="Z607" i="4"/>
  <c r="AA607" i="4"/>
  <c r="AB607" i="4"/>
  <c r="AC607" i="4"/>
  <c r="AG607" i="4"/>
  <c r="AJ607" i="4"/>
  <c r="AM607" i="4"/>
  <c r="P608" i="4"/>
  <c r="AP608" i="4" s="1"/>
  <c r="Q608" i="4"/>
  <c r="R608" i="4"/>
  <c r="AR608" i="4" s="1"/>
  <c r="S608" i="4"/>
  <c r="U608" i="4"/>
  <c r="V608" i="4"/>
  <c r="W608" i="4"/>
  <c r="X608" i="4"/>
  <c r="Y608" i="4"/>
  <c r="Z608" i="4"/>
  <c r="AA608" i="4"/>
  <c r="AB608" i="4"/>
  <c r="AC608" i="4"/>
  <c r="AF608" i="4"/>
  <c r="AJ608" i="4"/>
  <c r="AN608" i="4"/>
  <c r="P609" i="4"/>
  <c r="AP609" i="4" s="1"/>
  <c r="Q609" i="4"/>
  <c r="AQ609" i="4" s="1"/>
  <c r="R609" i="4"/>
  <c r="S609" i="4"/>
  <c r="AN609" i="4" s="1"/>
  <c r="U609" i="4"/>
  <c r="V609" i="4"/>
  <c r="W609" i="4"/>
  <c r="X609" i="4"/>
  <c r="Y609" i="4"/>
  <c r="Z609" i="4"/>
  <c r="AA609" i="4"/>
  <c r="AB609" i="4"/>
  <c r="AC609" i="4"/>
  <c r="AE609" i="4"/>
  <c r="AG609" i="4"/>
  <c r="AJ609" i="4"/>
  <c r="AK609" i="4"/>
  <c r="P610" i="4"/>
  <c r="AP610" i="4" s="1"/>
  <c r="Q610" i="4"/>
  <c r="AQ610" i="4" s="1"/>
  <c r="R610" i="4"/>
  <c r="AR610" i="4" s="1"/>
  <c r="S610" i="4"/>
  <c r="AN610" i="4" s="1"/>
  <c r="U610" i="4"/>
  <c r="V610" i="4"/>
  <c r="W610" i="4"/>
  <c r="X610" i="4"/>
  <c r="Y610" i="4"/>
  <c r="Z610" i="4"/>
  <c r="AA610" i="4"/>
  <c r="AB610" i="4"/>
  <c r="AC610" i="4"/>
  <c r="AF610" i="4"/>
  <c r="AJ610" i="4"/>
  <c r="AL610" i="4"/>
  <c r="P611" i="4"/>
  <c r="AP611" i="4" s="1"/>
  <c r="Q611" i="4"/>
  <c r="AQ611" i="4" s="1"/>
  <c r="R611" i="4"/>
  <c r="AR611" i="4" s="1"/>
  <c r="S611" i="4"/>
  <c r="AN611" i="4" s="1"/>
  <c r="U611" i="4"/>
  <c r="V611" i="4"/>
  <c r="W611" i="4"/>
  <c r="X611" i="4"/>
  <c r="Y611" i="4"/>
  <c r="Z611" i="4"/>
  <c r="AA611" i="4"/>
  <c r="AB611" i="4"/>
  <c r="AC611" i="4"/>
  <c r="AG611" i="4"/>
  <c r="AJ611" i="4"/>
  <c r="AK611" i="4"/>
  <c r="P612" i="4"/>
  <c r="AE612" i="4" s="1"/>
  <c r="Q612" i="4"/>
  <c r="AQ612" i="4" s="1"/>
  <c r="R612" i="4"/>
  <c r="AR612" i="4" s="1"/>
  <c r="S612" i="4"/>
  <c r="U612" i="4"/>
  <c r="V612" i="4"/>
  <c r="W612" i="4"/>
  <c r="X612" i="4"/>
  <c r="Y612" i="4"/>
  <c r="Z612" i="4"/>
  <c r="AA612" i="4"/>
  <c r="AB612" i="4"/>
  <c r="AC612" i="4"/>
  <c r="AF612" i="4"/>
  <c r="AJ612" i="4"/>
  <c r="AL612" i="4"/>
  <c r="AN612" i="4"/>
  <c r="P613" i="4"/>
  <c r="AP613" i="4" s="1"/>
  <c r="Q613" i="4"/>
  <c r="R613" i="4"/>
  <c r="AR613" i="4" s="1"/>
  <c r="S613" i="4"/>
  <c r="AN613" i="4" s="1"/>
  <c r="U613" i="4"/>
  <c r="V613" i="4"/>
  <c r="W613" i="4"/>
  <c r="X613" i="4"/>
  <c r="Y613" i="4"/>
  <c r="Z613" i="4"/>
  <c r="AA613" i="4"/>
  <c r="AB613" i="4"/>
  <c r="AC613" i="4"/>
  <c r="AF613" i="4"/>
  <c r="AJ613" i="4"/>
  <c r="AM613" i="4"/>
  <c r="P614" i="4"/>
  <c r="AP614" i="4" s="1"/>
  <c r="Q614" i="4"/>
  <c r="AQ614" i="4" s="1"/>
  <c r="R614" i="4"/>
  <c r="S614" i="4"/>
  <c r="U614" i="4"/>
  <c r="V614" i="4"/>
  <c r="W614" i="4"/>
  <c r="X614" i="4"/>
  <c r="Y614" i="4"/>
  <c r="Z614" i="4"/>
  <c r="AA614" i="4"/>
  <c r="AB614" i="4"/>
  <c r="AC614" i="4"/>
  <c r="AF614" i="4"/>
  <c r="AG614" i="4"/>
  <c r="AJ614" i="4"/>
  <c r="AN614" i="4"/>
  <c r="P615" i="4"/>
  <c r="Q615" i="4"/>
  <c r="AQ615" i="4" s="1"/>
  <c r="R615" i="4"/>
  <c r="AR615" i="4" s="1"/>
  <c r="S615" i="4"/>
  <c r="AN615" i="4" s="1"/>
  <c r="U615" i="4"/>
  <c r="V615" i="4"/>
  <c r="W615" i="4"/>
  <c r="X615" i="4"/>
  <c r="Y615" i="4"/>
  <c r="Z615" i="4"/>
  <c r="AA615" i="4"/>
  <c r="AB615" i="4"/>
  <c r="AC615" i="4"/>
  <c r="AE615" i="4"/>
  <c r="AG615" i="4"/>
  <c r="AJ615" i="4"/>
  <c r="AM615" i="4"/>
  <c r="P616" i="4"/>
  <c r="AP616" i="4" s="1"/>
  <c r="Q616" i="4"/>
  <c r="R616" i="4"/>
  <c r="AR616" i="4" s="1"/>
  <c r="S616" i="4"/>
  <c r="U616" i="4"/>
  <c r="V616" i="4"/>
  <c r="W616" i="4"/>
  <c r="X616" i="4"/>
  <c r="Y616" i="4"/>
  <c r="Z616" i="4"/>
  <c r="AA616" i="4"/>
  <c r="AB616" i="4"/>
  <c r="AC616" i="4"/>
  <c r="AJ616" i="4"/>
  <c r="AN616" i="4"/>
  <c r="P617" i="4"/>
  <c r="AP617" i="4" s="1"/>
  <c r="Q617" i="4"/>
  <c r="AQ617" i="4" s="1"/>
  <c r="R617" i="4"/>
  <c r="S617" i="4"/>
  <c r="AN617" i="4" s="1"/>
  <c r="U617" i="4"/>
  <c r="V617" i="4"/>
  <c r="W617" i="4"/>
  <c r="X617" i="4"/>
  <c r="Y617" i="4"/>
  <c r="Z617" i="4"/>
  <c r="AA617" i="4"/>
  <c r="AB617" i="4"/>
  <c r="AC617" i="4"/>
  <c r="AE617" i="4"/>
  <c r="AJ617" i="4"/>
  <c r="AK617" i="4"/>
  <c r="P618" i="4"/>
  <c r="Q618" i="4"/>
  <c r="AQ618" i="4" s="1"/>
  <c r="R618" i="4"/>
  <c r="AR618" i="4" s="1"/>
  <c r="S618" i="4"/>
  <c r="AN618" i="4" s="1"/>
  <c r="U618" i="4"/>
  <c r="V618" i="4"/>
  <c r="W618" i="4"/>
  <c r="X618" i="4"/>
  <c r="Y618" i="4"/>
  <c r="Z618" i="4"/>
  <c r="AA618" i="4"/>
  <c r="AB618" i="4"/>
  <c r="AC618" i="4"/>
  <c r="AF618" i="4"/>
  <c r="AJ618" i="4"/>
  <c r="AK618" i="4"/>
  <c r="P619" i="4"/>
  <c r="AP619" i="4" s="1"/>
  <c r="Q619" i="4"/>
  <c r="R619" i="4"/>
  <c r="AR619" i="4" s="1"/>
  <c r="S619" i="4"/>
  <c r="AN619" i="4" s="1"/>
  <c r="U619" i="4"/>
  <c r="V619" i="4"/>
  <c r="W619" i="4"/>
  <c r="X619" i="4"/>
  <c r="Y619" i="4"/>
  <c r="Z619" i="4"/>
  <c r="AA619" i="4"/>
  <c r="AB619" i="4"/>
  <c r="AC619" i="4"/>
  <c r="AG619" i="4"/>
  <c r="AJ619" i="4"/>
  <c r="AL619" i="4"/>
  <c r="P620" i="4"/>
  <c r="Q620" i="4"/>
  <c r="AQ620" i="4" s="1"/>
  <c r="R620" i="4"/>
  <c r="S620" i="4"/>
  <c r="U620" i="4"/>
  <c r="V620" i="4"/>
  <c r="W620" i="4"/>
  <c r="X620" i="4"/>
  <c r="Y620" i="4"/>
  <c r="Z620" i="4"/>
  <c r="AA620" i="4"/>
  <c r="AB620" i="4"/>
  <c r="AC620" i="4"/>
  <c r="AF620" i="4"/>
  <c r="AJ620" i="4"/>
  <c r="AL620" i="4"/>
  <c r="AM620" i="4"/>
  <c r="AN620" i="4"/>
  <c r="P621" i="4"/>
  <c r="AP621" i="4" s="1"/>
  <c r="Q621" i="4"/>
  <c r="R621" i="4"/>
  <c r="AR621" i="4" s="1"/>
  <c r="S621" i="4"/>
  <c r="U621" i="4"/>
  <c r="V621" i="4"/>
  <c r="W621" i="4"/>
  <c r="X621" i="4"/>
  <c r="Y621" i="4"/>
  <c r="Z621" i="4"/>
  <c r="AA621" i="4"/>
  <c r="AB621" i="4"/>
  <c r="AC621" i="4"/>
  <c r="AF621" i="4"/>
  <c r="AJ621" i="4"/>
  <c r="AM621" i="4"/>
  <c r="AN621" i="4"/>
  <c r="P622" i="4"/>
  <c r="Q622" i="4"/>
  <c r="AQ622" i="4" s="1"/>
  <c r="R622" i="4"/>
  <c r="S622" i="4"/>
  <c r="U622" i="4"/>
  <c r="V622" i="4"/>
  <c r="W622" i="4"/>
  <c r="X622" i="4"/>
  <c r="Y622" i="4"/>
  <c r="Z622" i="4"/>
  <c r="AA622" i="4"/>
  <c r="AB622" i="4"/>
  <c r="AC622" i="4"/>
  <c r="AF622" i="4"/>
  <c r="AJ622" i="4"/>
  <c r="AL622" i="4"/>
  <c r="AN622" i="4"/>
  <c r="P623" i="4"/>
  <c r="Q623" i="4"/>
  <c r="R623" i="4"/>
  <c r="AR623" i="4" s="1"/>
  <c r="S623" i="4"/>
  <c r="AN623" i="4" s="1"/>
  <c r="U623" i="4"/>
  <c r="V623" i="4"/>
  <c r="W623" i="4"/>
  <c r="X623" i="4"/>
  <c r="Y623" i="4"/>
  <c r="Z623" i="4"/>
  <c r="AA623" i="4"/>
  <c r="AB623" i="4"/>
  <c r="AC623" i="4"/>
  <c r="AE623" i="4"/>
  <c r="AG623" i="4"/>
  <c r="AJ623" i="4"/>
  <c r="AM623" i="4"/>
  <c r="P624" i="4"/>
  <c r="Q624" i="4"/>
  <c r="AL624" i="4" s="1"/>
  <c r="R624" i="4"/>
  <c r="AR624" i="4" s="1"/>
  <c r="S624" i="4"/>
  <c r="U624" i="4"/>
  <c r="V624" i="4"/>
  <c r="W624" i="4"/>
  <c r="X624" i="4"/>
  <c r="Y624" i="4"/>
  <c r="Z624" i="4"/>
  <c r="AA624" i="4"/>
  <c r="AB624" i="4"/>
  <c r="AC624" i="4"/>
  <c r="AJ624" i="4"/>
  <c r="AN624" i="4"/>
  <c r="P625" i="4"/>
  <c r="AP625" i="4" s="1"/>
  <c r="Q625" i="4"/>
  <c r="R625" i="4"/>
  <c r="S625" i="4"/>
  <c r="U625" i="4"/>
  <c r="V625" i="4"/>
  <c r="W625" i="4"/>
  <c r="X625" i="4"/>
  <c r="Y625" i="4"/>
  <c r="Z625" i="4"/>
  <c r="AA625" i="4"/>
  <c r="AB625" i="4"/>
  <c r="AC625" i="4"/>
  <c r="AE625" i="4"/>
  <c r="AG625" i="4"/>
  <c r="AJ625" i="4"/>
  <c r="AK625" i="4"/>
  <c r="AN625" i="4"/>
  <c r="P626" i="4"/>
  <c r="AP626" i="4" s="1"/>
  <c r="Q626" i="4"/>
  <c r="AQ626" i="4" s="1"/>
  <c r="R626" i="4"/>
  <c r="S626" i="4"/>
  <c r="AN626" i="4" s="1"/>
  <c r="U626" i="4"/>
  <c r="V626" i="4"/>
  <c r="W626" i="4"/>
  <c r="X626" i="4"/>
  <c r="Y626" i="4"/>
  <c r="Z626" i="4"/>
  <c r="AA626" i="4"/>
  <c r="AB626" i="4"/>
  <c r="AC626" i="4"/>
  <c r="AF626" i="4"/>
  <c r="AJ626" i="4"/>
  <c r="AL626" i="4"/>
  <c r="P627" i="4"/>
  <c r="Q627" i="4"/>
  <c r="R627" i="4"/>
  <c r="AR627" i="4" s="1"/>
  <c r="S627" i="4"/>
  <c r="AN627" i="4" s="1"/>
  <c r="U627" i="4"/>
  <c r="V627" i="4"/>
  <c r="W627" i="4"/>
  <c r="X627" i="4"/>
  <c r="Y627" i="4"/>
  <c r="Z627" i="4"/>
  <c r="AA627" i="4"/>
  <c r="AB627" i="4"/>
  <c r="AC627" i="4"/>
  <c r="AJ627" i="4"/>
  <c r="AL627" i="4"/>
  <c r="AM627" i="4"/>
  <c r="P628" i="4"/>
  <c r="Q628" i="4"/>
  <c r="AF628" i="4" s="1"/>
  <c r="R628" i="4"/>
  <c r="S628" i="4"/>
  <c r="AN628" i="4" s="1"/>
  <c r="U628" i="4"/>
  <c r="V628" i="4"/>
  <c r="W628" i="4"/>
  <c r="X628" i="4"/>
  <c r="Y628" i="4"/>
  <c r="Z628" i="4"/>
  <c r="AA628" i="4"/>
  <c r="AB628" i="4"/>
  <c r="AC628" i="4"/>
  <c r="AE628" i="4"/>
  <c r="AJ628" i="4"/>
  <c r="AM628" i="4"/>
  <c r="P629" i="4"/>
  <c r="AP629" i="4" s="1"/>
  <c r="Q629" i="4"/>
  <c r="R629" i="4"/>
  <c r="AR629" i="4" s="1"/>
  <c r="S629" i="4"/>
  <c r="U629" i="4"/>
  <c r="V629" i="4"/>
  <c r="W629" i="4"/>
  <c r="X629" i="4"/>
  <c r="Y629" i="4"/>
  <c r="Z629" i="4"/>
  <c r="AA629" i="4"/>
  <c r="AB629" i="4"/>
  <c r="AC629" i="4"/>
  <c r="AJ629" i="4"/>
  <c r="AN629" i="4"/>
  <c r="P630" i="4"/>
  <c r="Q630" i="4"/>
  <c r="AQ630" i="4" s="1"/>
  <c r="R630" i="4"/>
  <c r="S630" i="4"/>
  <c r="U630" i="4"/>
  <c r="V630" i="4"/>
  <c r="W630" i="4"/>
  <c r="X630" i="4"/>
  <c r="Y630" i="4"/>
  <c r="Z630" i="4"/>
  <c r="AA630" i="4"/>
  <c r="AB630" i="4"/>
  <c r="AC630" i="4"/>
  <c r="AF630" i="4"/>
  <c r="AJ630" i="4"/>
  <c r="AK630" i="4"/>
  <c r="AN630" i="4"/>
  <c r="P631" i="4"/>
  <c r="Q631" i="4"/>
  <c r="AQ631" i="4" s="1"/>
  <c r="R631" i="4"/>
  <c r="AR631" i="4" s="1"/>
  <c r="S631" i="4"/>
  <c r="AN631" i="4" s="1"/>
  <c r="U631" i="4"/>
  <c r="V631" i="4"/>
  <c r="W631" i="4"/>
  <c r="X631" i="4"/>
  <c r="Y631" i="4"/>
  <c r="Z631" i="4"/>
  <c r="AA631" i="4"/>
  <c r="AB631" i="4"/>
  <c r="AC631" i="4"/>
  <c r="AG631" i="4"/>
  <c r="AJ631" i="4"/>
  <c r="AM631" i="4"/>
  <c r="P632" i="4"/>
  <c r="Q632" i="4"/>
  <c r="R632" i="4"/>
  <c r="S632" i="4"/>
  <c r="AN632" i="4" s="1"/>
  <c r="U632" i="4"/>
  <c r="V632" i="4"/>
  <c r="W632" i="4"/>
  <c r="X632" i="4"/>
  <c r="Y632" i="4"/>
  <c r="Z632" i="4"/>
  <c r="AA632" i="4"/>
  <c r="AB632" i="4"/>
  <c r="AC632" i="4"/>
  <c r="AF632" i="4"/>
  <c r="AJ632" i="4"/>
  <c r="AM632" i="4"/>
  <c r="P633" i="4"/>
  <c r="AP633" i="4" s="1"/>
  <c r="Q633" i="4"/>
  <c r="R633" i="4"/>
  <c r="AR633" i="4" s="1"/>
  <c r="S633" i="4"/>
  <c r="U633" i="4"/>
  <c r="V633" i="4"/>
  <c r="W633" i="4"/>
  <c r="X633" i="4"/>
  <c r="Y633" i="4"/>
  <c r="Z633" i="4"/>
  <c r="AA633" i="4"/>
  <c r="AB633" i="4"/>
  <c r="AC633" i="4"/>
  <c r="AF633" i="4"/>
  <c r="AJ633" i="4"/>
  <c r="AM633" i="4"/>
  <c r="AN633" i="4"/>
  <c r="P634" i="4"/>
  <c r="AK634" i="4" s="1"/>
  <c r="Q634" i="4"/>
  <c r="AQ634" i="4" s="1"/>
  <c r="R634" i="4"/>
  <c r="AR634" i="4" s="1"/>
  <c r="S634" i="4"/>
  <c r="U634" i="4"/>
  <c r="V634" i="4"/>
  <c r="W634" i="4"/>
  <c r="X634" i="4"/>
  <c r="Y634" i="4"/>
  <c r="Z634" i="4"/>
  <c r="AA634" i="4"/>
  <c r="AB634" i="4"/>
  <c r="AC634" i="4"/>
  <c r="AF634" i="4"/>
  <c r="AJ634" i="4"/>
  <c r="AL634" i="4"/>
  <c r="AN634" i="4"/>
  <c r="P635" i="4"/>
  <c r="AE635" i="4" s="1"/>
  <c r="Q635" i="4"/>
  <c r="R635" i="4"/>
  <c r="AR635" i="4" s="1"/>
  <c r="S635" i="4"/>
  <c r="AN635" i="4" s="1"/>
  <c r="U635" i="4"/>
  <c r="V635" i="4"/>
  <c r="W635" i="4"/>
  <c r="X635" i="4"/>
  <c r="Y635" i="4"/>
  <c r="Z635" i="4"/>
  <c r="AA635" i="4"/>
  <c r="AB635" i="4"/>
  <c r="AC635" i="4"/>
  <c r="AG635" i="4"/>
  <c r="AJ635" i="4"/>
  <c r="AL635" i="4"/>
  <c r="P636" i="4"/>
  <c r="AK636" i="4" s="1"/>
  <c r="Q636" i="4"/>
  <c r="AQ636" i="4" s="1"/>
  <c r="R636" i="4"/>
  <c r="AR636" i="4" s="1"/>
  <c r="S636" i="4"/>
  <c r="AN636" i="4" s="1"/>
  <c r="U636" i="4"/>
  <c r="V636" i="4"/>
  <c r="W636" i="4"/>
  <c r="X636" i="4"/>
  <c r="Y636" i="4"/>
  <c r="Z636" i="4"/>
  <c r="AA636" i="4"/>
  <c r="AB636" i="4"/>
  <c r="AC636" i="4"/>
  <c r="AJ636" i="4"/>
  <c r="AM636" i="4"/>
  <c r="P637" i="4"/>
  <c r="Q637" i="4"/>
  <c r="AL637" i="4" s="1"/>
  <c r="R637" i="4"/>
  <c r="AR637" i="4" s="1"/>
  <c r="S637" i="4"/>
  <c r="U637" i="4"/>
  <c r="V637" i="4"/>
  <c r="W637" i="4"/>
  <c r="X637" i="4"/>
  <c r="Y637" i="4"/>
  <c r="Z637" i="4"/>
  <c r="AA637" i="4"/>
  <c r="AB637" i="4"/>
  <c r="AC637" i="4"/>
  <c r="AJ637" i="4"/>
  <c r="AN637" i="4"/>
  <c r="P638" i="4"/>
  <c r="AP638" i="4" s="1"/>
  <c r="Q638" i="4"/>
  <c r="R638" i="4"/>
  <c r="S638" i="4"/>
  <c r="AN638" i="4" s="1"/>
  <c r="U638" i="4"/>
  <c r="V638" i="4"/>
  <c r="W638" i="4"/>
  <c r="X638" i="4"/>
  <c r="Y638" i="4"/>
  <c r="Z638" i="4"/>
  <c r="AA638" i="4"/>
  <c r="AB638" i="4"/>
  <c r="AC638" i="4"/>
  <c r="AE638" i="4"/>
  <c r="AJ638" i="4"/>
  <c r="AK638" i="4"/>
  <c r="AM638" i="4"/>
  <c r="P639" i="4"/>
  <c r="AK639" i="4" s="1"/>
  <c r="Q639" i="4"/>
  <c r="AQ639" i="4" s="1"/>
  <c r="R639" i="4"/>
  <c r="S639" i="4"/>
  <c r="U639" i="4"/>
  <c r="V639" i="4"/>
  <c r="W639" i="4"/>
  <c r="X639" i="4"/>
  <c r="Y639" i="4"/>
  <c r="Z639" i="4"/>
  <c r="AA639" i="4"/>
  <c r="AB639" i="4"/>
  <c r="AC639" i="4"/>
  <c r="AF639" i="4"/>
  <c r="AJ639" i="4"/>
  <c r="AL639" i="4"/>
  <c r="AN639" i="4"/>
  <c r="P640" i="4"/>
  <c r="AP640" i="4" s="1"/>
  <c r="Q640" i="4"/>
  <c r="R640" i="4"/>
  <c r="AR640" i="4" s="1"/>
  <c r="S640" i="4"/>
  <c r="AN640" i="4" s="1"/>
  <c r="U640" i="4"/>
  <c r="V640" i="4"/>
  <c r="W640" i="4"/>
  <c r="X640" i="4"/>
  <c r="Y640" i="4"/>
  <c r="Z640" i="4"/>
  <c r="AA640" i="4"/>
  <c r="AB640" i="4"/>
  <c r="AC640" i="4"/>
  <c r="AG640" i="4"/>
  <c r="AJ640" i="4"/>
  <c r="AK640" i="4"/>
  <c r="AL640" i="4"/>
  <c r="AM640" i="4"/>
  <c r="P641" i="4"/>
  <c r="Q641" i="4"/>
  <c r="AQ641" i="4" s="1"/>
  <c r="R641" i="4"/>
  <c r="S641" i="4"/>
  <c r="U641" i="4"/>
  <c r="V641" i="4"/>
  <c r="W641" i="4"/>
  <c r="X641" i="4"/>
  <c r="Y641" i="4"/>
  <c r="Z641" i="4"/>
  <c r="AA641" i="4"/>
  <c r="AB641" i="4"/>
  <c r="AC641" i="4"/>
  <c r="AF641" i="4"/>
  <c r="AJ641" i="4"/>
  <c r="AL641" i="4"/>
  <c r="AM641" i="4"/>
  <c r="AN641" i="4"/>
  <c r="P642" i="4"/>
  <c r="AP642" i="4" s="1"/>
  <c r="Q642" i="4"/>
  <c r="R642" i="4"/>
  <c r="AR642" i="4" s="1"/>
  <c r="S642" i="4"/>
  <c r="AN642" i="4" s="1"/>
  <c r="U642" i="4"/>
  <c r="V642" i="4"/>
  <c r="W642" i="4"/>
  <c r="X642" i="4"/>
  <c r="Y642" i="4"/>
  <c r="Z642" i="4"/>
  <c r="AA642" i="4"/>
  <c r="AB642" i="4"/>
  <c r="AC642" i="4"/>
  <c r="AE642" i="4"/>
  <c r="AG642" i="4"/>
  <c r="AJ642" i="4"/>
  <c r="AK642" i="4"/>
  <c r="AM642" i="4"/>
  <c r="P643" i="4"/>
  <c r="AP643" i="4" s="1"/>
  <c r="Q643" i="4"/>
  <c r="AQ643" i="4" s="1"/>
  <c r="R643" i="4"/>
  <c r="S643" i="4"/>
  <c r="U643" i="4"/>
  <c r="V643" i="4"/>
  <c r="W643" i="4"/>
  <c r="X643" i="4"/>
  <c r="Y643" i="4"/>
  <c r="Z643" i="4"/>
  <c r="AA643" i="4"/>
  <c r="AB643" i="4"/>
  <c r="AC643" i="4"/>
  <c r="AF643" i="4"/>
  <c r="AJ643" i="4"/>
  <c r="AL643" i="4"/>
  <c r="AN643" i="4"/>
  <c r="P644" i="4"/>
  <c r="Q644" i="4"/>
  <c r="AQ644" i="4" s="1"/>
  <c r="R644" i="4"/>
  <c r="AR644" i="4" s="1"/>
  <c r="S644" i="4"/>
  <c r="AN644" i="4" s="1"/>
  <c r="U644" i="4"/>
  <c r="V644" i="4"/>
  <c r="W644" i="4"/>
  <c r="X644" i="4"/>
  <c r="Y644" i="4"/>
  <c r="Z644" i="4"/>
  <c r="AA644" i="4"/>
  <c r="AB644" i="4"/>
  <c r="AC644" i="4"/>
  <c r="AG644" i="4"/>
  <c r="AJ644" i="4"/>
  <c r="AK644" i="4"/>
  <c r="AM644" i="4"/>
  <c r="P645" i="4"/>
  <c r="Q645" i="4"/>
  <c r="R645" i="4"/>
  <c r="AR645" i="4" s="1"/>
  <c r="S645" i="4"/>
  <c r="U645" i="4"/>
  <c r="V645" i="4"/>
  <c r="W645" i="4"/>
  <c r="X645" i="4"/>
  <c r="Y645" i="4"/>
  <c r="Z645" i="4"/>
  <c r="AA645" i="4"/>
  <c r="AB645" i="4"/>
  <c r="AC645" i="4"/>
  <c r="AJ645" i="4"/>
  <c r="AL645" i="4"/>
  <c r="AN645" i="4"/>
  <c r="P646" i="4"/>
  <c r="AP646" i="4" s="1"/>
  <c r="Q646" i="4"/>
  <c r="R646" i="4"/>
  <c r="S646" i="4"/>
  <c r="AN646" i="4" s="1"/>
  <c r="U646" i="4"/>
  <c r="V646" i="4"/>
  <c r="W646" i="4"/>
  <c r="X646" i="4"/>
  <c r="Y646" i="4"/>
  <c r="Z646" i="4"/>
  <c r="AA646" i="4"/>
  <c r="AB646" i="4"/>
  <c r="AC646" i="4"/>
  <c r="AJ646" i="4"/>
  <c r="AM646" i="4"/>
  <c r="P647" i="4"/>
  <c r="Q647" i="4"/>
  <c r="AQ647" i="4" s="1"/>
  <c r="R647" i="4"/>
  <c r="S647" i="4"/>
  <c r="U647" i="4"/>
  <c r="V647" i="4"/>
  <c r="W647" i="4"/>
  <c r="X647" i="4"/>
  <c r="Y647" i="4"/>
  <c r="Z647" i="4"/>
  <c r="AA647" i="4"/>
  <c r="AB647" i="4"/>
  <c r="AC647" i="4"/>
  <c r="AF647" i="4"/>
  <c r="AJ647" i="4"/>
  <c r="AK647" i="4"/>
  <c r="AN647" i="4"/>
  <c r="P648" i="4"/>
  <c r="AP648" i="4" s="1"/>
  <c r="Q648" i="4"/>
  <c r="R648" i="4"/>
  <c r="AR648" i="4" s="1"/>
  <c r="S648" i="4"/>
  <c r="AN648" i="4" s="1"/>
  <c r="U648" i="4"/>
  <c r="V648" i="4"/>
  <c r="W648" i="4"/>
  <c r="X648" i="4"/>
  <c r="Y648" i="4"/>
  <c r="Z648" i="4"/>
  <c r="AA648" i="4"/>
  <c r="AB648" i="4"/>
  <c r="AC648" i="4"/>
  <c r="AE648" i="4"/>
  <c r="AG648" i="4"/>
  <c r="AJ648" i="4"/>
  <c r="AK648" i="4"/>
  <c r="AL648" i="4"/>
  <c r="AM648" i="4"/>
  <c r="P649" i="4"/>
  <c r="Q649" i="4"/>
  <c r="AQ649" i="4" s="1"/>
  <c r="R649" i="4"/>
  <c r="S649" i="4"/>
  <c r="U649" i="4"/>
  <c r="V649" i="4"/>
  <c r="W649" i="4"/>
  <c r="X649" i="4"/>
  <c r="Y649" i="4"/>
  <c r="Z649" i="4"/>
  <c r="AA649" i="4"/>
  <c r="AB649" i="4"/>
  <c r="AC649" i="4"/>
  <c r="AF649" i="4"/>
  <c r="AJ649" i="4"/>
  <c r="AL649" i="4"/>
  <c r="AM649" i="4"/>
  <c r="AN649" i="4"/>
  <c r="P650" i="4"/>
  <c r="AP650" i="4" s="1"/>
  <c r="Q650" i="4"/>
  <c r="R650" i="4"/>
  <c r="AR650" i="4" s="1"/>
  <c r="S650" i="4"/>
  <c r="U650" i="4"/>
  <c r="V650" i="4"/>
  <c r="W650" i="4"/>
  <c r="X650" i="4"/>
  <c r="Y650" i="4"/>
  <c r="Z650" i="4"/>
  <c r="AA650" i="4"/>
  <c r="AB650" i="4"/>
  <c r="AC650" i="4"/>
  <c r="AG650" i="4"/>
  <c r="AJ650" i="4"/>
  <c r="AK650" i="4"/>
  <c r="AN650" i="4"/>
  <c r="P651" i="4"/>
  <c r="AP651" i="4" s="1"/>
  <c r="Q651" i="4"/>
  <c r="AQ651" i="4" s="1"/>
  <c r="R651" i="4"/>
  <c r="S651" i="4"/>
  <c r="AN651" i="4" s="1"/>
  <c r="U651" i="4"/>
  <c r="V651" i="4"/>
  <c r="W651" i="4"/>
  <c r="X651" i="4"/>
  <c r="Y651" i="4"/>
  <c r="Z651" i="4"/>
  <c r="AA651" i="4"/>
  <c r="AB651" i="4"/>
  <c r="AC651" i="4"/>
  <c r="AF651" i="4"/>
  <c r="AJ651" i="4"/>
  <c r="AL651" i="4"/>
  <c r="P652" i="4"/>
  <c r="AK652" i="4" s="1"/>
  <c r="Q652" i="4"/>
  <c r="AQ652" i="4" s="1"/>
  <c r="R652" i="4"/>
  <c r="AR652" i="4" s="1"/>
  <c r="S652" i="4"/>
  <c r="AN652" i="4" s="1"/>
  <c r="U652" i="4"/>
  <c r="V652" i="4"/>
  <c r="W652" i="4"/>
  <c r="X652" i="4"/>
  <c r="Y652" i="4"/>
  <c r="Z652" i="4"/>
  <c r="AA652" i="4"/>
  <c r="AB652" i="4"/>
  <c r="AC652" i="4"/>
  <c r="AJ652" i="4"/>
  <c r="AM652" i="4"/>
  <c r="P653" i="4"/>
  <c r="Q653" i="4"/>
  <c r="AL653" i="4" s="1"/>
  <c r="R653" i="4"/>
  <c r="AR653" i="4" s="1"/>
  <c r="S653" i="4"/>
  <c r="U653" i="4"/>
  <c r="V653" i="4"/>
  <c r="W653" i="4"/>
  <c r="X653" i="4"/>
  <c r="Y653" i="4"/>
  <c r="Z653" i="4"/>
  <c r="AA653" i="4"/>
  <c r="AB653" i="4"/>
  <c r="AC653" i="4"/>
  <c r="AJ653" i="4"/>
  <c r="AN653" i="4"/>
  <c r="P654" i="4"/>
  <c r="AP654" i="4" s="1"/>
  <c r="Q654" i="4"/>
  <c r="R654" i="4"/>
  <c r="S654" i="4"/>
  <c r="AN654" i="4" s="1"/>
  <c r="U654" i="4"/>
  <c r="V654" i="4"/>
  <c r="W654" i="4"/>
  <c r="X654" i="4"/>
  <c r="Y654" i="4"/>
  <c r="Z654" i="4"/>
  <c r="AA654" i="4"/>
  <c r="AB654" i="4"/>
  <c r="AC654" i="4"/>
  <c r="AE654" i="4"/>
  <c r="AJ654" i="4"/>
  <c r="AK654" i="4"/>
  <c r="AM654" i="4"/>
  <c r="P655" i="4"/>
  <c r="AK655" i="4" s="1"/>
  <c r="Q655" i="4"/>
  <c r="AQ655" i="4" s="1"/>
  <c r="R655" i="4"/>
  <c r="S655" i="4"/>
  <c r="U655" i="4"/>
  <c r="V655" i="4"/>
  <c r="W655" i="4"/>
  <c r="X655" i="4"/>
  <c r="Y655" i="4"/>
  <c r="Z655" i="4"/>
  <c r="AA655" i="4"/>
  <c r="AB655" i="4"/>
  <c r="AC655" i="4"/>
  <c r="AF655" i="4"/>
  <c r="AJ655" i="4"/>
  <c r="AL655" i="4"/>
  <c r="AN655" i="4"/>
  <c r="P656" i="4"/>
  <c r="AP656" i="4" s="1"/>
  <c r="Q656" i="4"/>
  <c r="R656" i="4"/>
  <c r="AR656" i="4" s="1"/>
  <c r="S656" i="4"/>
  <c r="AN656" i="4" s="1"/>
  <c r="U656" i="4"/>
  <c r="V656" i="4"/>
  <c r="W656" i="4"/>
  <c r="X656" i="4"/>
  <c r="Y656" i="4"/>
  <c r="Z656" i="4"/>
  <c r="AA656" i="4"/>
  <c r="AB656" i="4"/>
  <c r="AC656" i="4"/>
  <c r="AG656" i="4"/>
  <c r="AJ656" i="4"/>
  <c r="AK656" i="4"/>
  <c r="AL656" i="4"/>
  <c r="AM656" i="4"/>
  <c r="P657" i="4"/>
  <c r="Q657" i="4"/>
  <c r="AQ657" i="4" s="1"/>
  <c r="R657" i="4"/>
  <c r="S657" i="4"/>
  <c r="U657" i="4"/>
  <c r="V657" i="4"/>
  <c r="W657" i="4"/>
  <c r="X657" i="4"/>
  <c r="Y657" i="4"/>
  <c r="Z657" i="4"/>
  <c r="AA657" i="4"/>
  <c r="AB657" i="4"/>
  <c r="AC657" i="4"/>
  <c r="AF657" i="4"/>
  <c r="AJ657" i="4"/>
  <c r="AL657" i="4"/>
  <c r="AM657" i="4"/>
  <c r="AN657" i="4"/>
  <c r="P658" i="4"/>
  <c r="AP658" i="4" s="1"/>
  <c r="Q658" i="4"/>
  <c r="R658" i="4"/>
  <c r="AR658" i="4" s="1"/>
  <c r="S658" i="4"/>
  <c r="AN658" i="4" s="1"/>
  <c r="U658" i="4"/>
  <c r="V658" i="4"/>
  <c r="W658" i="4"/>
  <c r="X658" i="4"/>
  <c r="Y658" i="4"/>
  <c r="Z658" i="4"/>
  <c r="AA658" i="4"/>
  <c r="AB658" i="4"/>
  <c r="AC658" i="4"/>
  <c r="AE658" i="4"/>
  <c r="AG658" i="4"/>
  <c r="AJ658" i="4"/>
  <c r="AK658" i="4"/>
  <c r="AM658" i="4"/>
  <c r="P659" i="4"/>
  <c r="AP659" i="4" s="1"/>
  <c r="Q659" i="4"/>
  <c r="AQ659" i="4" s="1"/>
  <c r="R659" i="4"/>
  <c r="S659" i="4"/>
  <c r="U659" i="4"/>
  <c r="V659" i="4"/>
  <c r="W659" i="4"/>
  <c r="X659" i="4"/>
  <c r="Y659" i="4"/>
  <c r="Z659" i="4"/>
  <c r="AA659" i="4"/>
  <c r="AB659" i="4"/>
  <c r="AC659" i="4"/>
  <c r="AF659" i="4"/>
  <c r="AJ659" i="4"/>
  <c r="AL659" i="4"/>
  <c r="AN659" i="4"/>
  <c r="P660" i="4"/>
  <c r="Q660" i="4"/>
  <c r="AQ660" i="4" s="1"/>
  <c r="R660" i="4"/>
  <c r="AR660" i="4" s="1"/>
  <c r="S660" i="4"/>
  <c r="AN660" i="4" s="1"/>
  <c r="U660" i="4"/>
  <c r="V660" i="4"/>
  <c r="W660" i="4"/>
  <c r="X660" i="4"/>
  <c r="Y660" i="4"/>
  <c r="Z660" i="4"/>
  <c r="AA660" i="4"/>
  <c r="AB660" i="4"/>
  <c r="AC660" i="4"/>
  <c r="AG660" i="4"/>
  <c r="AJ660" i="4"/>
  <c r="AK660" i="4"/>
  <c r="AM660" i="4"/>
  <c r="P661" i="4"/>
  <c r="Q661" i="4"/>
  <c r="R661" i="4"/>
  <c r="AR661" i="4" s="1"/>
  <c r="S661" i="4"/>
  <c r="U661" i="4"/>
  <c r="V661" i="4"/>
  <c r="W661" i="4"/>
  <c r="X661" i="4"/>
  <c r="Y661" i="4"/>
  <c r="Z661" i="4"/>
  <c r="AA661" i="4"/>
  <c r="AB661" i="4"/>
  <c r="AC661" i="4"/>
  <c r="AJ661" i="4"/>
  <c r="AL661" i="4"/>
  <c r="AN661" i="4"/>
  <c r="P662" i="4"/>
  <c r="AP662" i="4" s="1"/>
  <c r="Q662" i="4"/>
  <c r="R662" i="4"/>
  <c r="S662" i="4"/>
  <c r="AN662" i="4" s="1"/>
  <c r="U662" i="4"/>
  <c r="V662" i="4"/>
  <c r="W662" i="4"/>
  <c r="X662" i="4"/>
  <c r="Y662" i="4"/>
  <c r="Z662" i="4"/>
  <c r="AA662" i="4"/>
  <c r="AB662" i="4"/>
  <c r="AC662" i="4"/>
  <c r="AJ662" i="4"/>
  <c r="AM662" i="4"/>
  <c r="P663" i="4"/>
  <c r="Q663" i="4"/>
  <c r="AQ663" i="4" s="1"/>
  <c r="R663" i="4"/>
  <c r="S663" i="4"/>
  <c r="U663" i="4"/>
  <c r="V663" i="4"/>
  <c r="W663" i="4"/>
  <c r="X663" i="4"/>
  <c r="Y663" i="4"/>
  <c r="Z663" i="4"/>
  <c r="AA663" i="4"/>
  <c r="AB663" i="4"/>
  <c r="AC663" i="4"/>
  <c r="AF663" i="4"/>
  <c r="AJ663" i="4"/>
  <c r="AK663" i="4"/>
  <c r="AN663" i="4"/>
  <c r="P664" i="4"/>
  <c r="AP664" i="4" s="1"/>
  <c r="Q664" i="4"/>
  <c r="R664" i="4"/>
  <c r="AR664" i="4" s="1"/>
  <c r="S664" i="4"/>
  <c r="AN664" i="4" s="1"/>
  <c r="U664" i="4"/>
  <c r="V664" i="4"/>
  <c r="W664" i="4"/>
  <c r="X664" i="4"/>
  <c r="Y664" i="4"/>
  <c r="Z664" i="4"/>
  <c r="AA664" i="4"/>
  <c r="AB664" i="4"/>
  <c r="AC664" i="4"/>
  <c r="AE664" i="4"/>
  <c r="AG664" i="4"/>
  <c r="AJ664" i="4"/>
  <c r="AK664" i="4"/>
  <c r="AL664" i="4"/>
  <c r="AM664" i="4"/>
  <c r="P665" i="4"/>
  <c r="Q665" i="4"/>
  <c r="AQ665" i="4" s="1"/>
  <c r="R665" i="4"/>
  <c r="S665" i="4"/>
  <c r="U665" i="4"/>
  <c r="V665" i="4"/>
  <c r="W665" i="4"/>
  <c r="X665" i="4"/>
  <c r="Y665" i="4"/>
  <c r="Z665" i="4"/>
  <c r="AA665" i="4"/>
  <c r="AB665" i="4"/>
  <c r="AC665" i="4"/>
  <c r="AF665" i="4"/>
  <c r="AJ665" i="4"/>
  <c r="AL665" i="4"/>
  <c r="AM665" i="4"/>
  <c r="AN665" i="4"/>
  <c r="P666" i="4"/>
  <c r="AP666" i="4" s="1"/>
  <c r="Q666" i="4"/>
  <c r="R666" i="4"/>
  <c r="AR666" i="4" s="1"/>
  <c r="S666" i="4"/>
  <c r="U666" i="4"/>
  <c r="V666" i="4"/>
  <c r="W666" i="4"/>
  <c r="X666" i="4"/>
  <c r="Y666" i="4"/>
  <c r="Z666" i="4"/>
  <c r="AA666" i="4"/>
  <c r="AB666" i="4"/>
  <c r="AC666" i="4"/>
  <c r="AG666" i="4"/>
  <c r="AJ666" i="4"/>
  <c r="AK666" i="4"/>
  <c r="AN666" i="4"/>
  <c r="P667" i="4"/>
  <c r="AP667" i="4" s="1"/>
  <c r="Q667" i="4"/>
  <c r="AQ667" i="4" s="1"/>
  <c r="R667" i="4"/>
  <c r="S667" i="4"/>
  <c r="AN667" i="4" s="1"/>
  <c r="U667" i="4"/>
  <c r="V667" i="4"/>
  <c r="W667" i="4"/>
  <c r="X667" i="4"/>
  <c r="Y667" i="4"/>
  <c r="Z667" i="4"/>
  <c r="AA667" i="4"/>
  <c r="AB667" i="4"/>
  <c r="AC667" i="4"/>
  <c r="AF667" i="4"/>
  <c r="AJ667" i="4"/>
  <c r="AL667" i="4"/>
  <c r="P668" i="4"/>
  <c r="AK668" i="4" s="1"/>
  <c r="Q668" i="4"/>
  <c r="AQ668" i="4" s="1"/>
  <c r="R668" i="4"/>
  <c r="AR668" i="4" s="1"/>
  <c r="S668" i="4"/>
  <c r="AN668" i="4" s="1"/>
  <c r="U668" i="4"/>
  <c r="V668" i="4"/>
  <c r="W668" i="4"/>
  <c r="X668" i="4"/>
  <c r="Y668" i="4"/>
  <c r="Z668" i="4"/>
  <c r="AA668" i="4"/>
  <c r="AB668" i="4"/>
  <c r="AC668" i="4"/>
  <c r="AJ668" i="4"/>
  <c r="AM668" i="4"/>
  <c r="P669" i="4"/>
  <c r="Q669" i="4"/>
  <c r="AL669" i="4" s="1"/>
  <c r="R669" i="4"/>
  <c r="AR669" i="4" s="1"/>
  <c r="S669" i="4"/>
  <c r="U669" i="4"/>
  <c r="V669" i="4"/>
  <c r="W669" i="4"/>
  <c r="X669" i="4"/>
  <c r="Y669" i="4"/>
  <c r="Z669" i="4"/>
  <c r="AA669" i="4"/>
  <c r="AB669" i="4"/>
  <c r="AC669" i="4"/>
  <c r="AJ669" i="4"/>
  <c r="AN669" i="4"/>
  <c r="P670" i="4"/>
  <c r="AP670" i="4" s="1"/>
  <c r="Q670" i="4"/>
  <c r="R670" i="4"/>
  <c r="S670" i="4"/>
  <c r="AN670" i="4" s="1"/>
  <c r="U670" i="4"/>
  <c r="V670" i="4"/>
  <c r="W670" i="4"/>
  <c r="X670" i="4"/>
  <c r="Y670" i="4"/>
  <c r="Z670" i="4"/>
  <c r="AA670" i="4"/>
  <c r="AB670" i="4"/>
  <c r="AC670" i="4"/>
  <c r="AE670" i="4"/>
  <c r="AJ670" i="4"/>
  <c r="AK670" i="4"/>
  <c r="AM670" i="4"/>
  <c r="P671" i="4"/>
  <c r="AK671" i="4" s="1"/>
  <c r="Q671" i="4"/>
  <c r="AQ671" i="4" s="1"/>
  <c r="R671" i="4"/>
  <c r="S671" i="4"/>
  <c r="U671" i="4"/>
  <c r="V671" i="4"/>
  <c r="W671" i="4"/>
  <c r="X671" i="4"/>
  <c r="Y671" i="4"/>
  <c r="Z671" i="4"/>
  <c r="AA671" i="4"/>
  <c r="AB671" i="4"/>
  <c r="AC671" i="4"/>
  <c r="AF671" i="4"/>
  <c r="AJ671" i="4"/>
  <c r="AL671" i="4"/>
  <c r="AN671" i="4"/>
  <c r="P672" i="4"/>
  <c r="AP672" i="4" s="1"/>
  <c r="Q672" i="4"/>
  <c r="R672" i="4"/>
  <c r="AR672" i="4" s="1"/>
  <c r="S672" i="4"/>
  <c r="AN672" i="4" s="1"/>
  <c r="U672" i="4"/>
  <c r="V672" i="4"/>
  <c r="W672" i="4"/>
  <c r="X672" i="4"/>
  <c r="Y672" i="4"/>
  <c r="Z672" i="4"/>
  <c r="AA672" i="4"/>
  <c r="AB672" i="4"/>
  <c r="AC672" i="4"/>
  <c r="AG672" i="4"/>
  <c r="AJ672" i="4"/>
  <c r="AK672" i="4"/>
  <c r="AL672" i="4"/>
  <c r="AM672" i="4"/>
  <c r="P673" i="4"/>
  <c r="Q673" i="4"/>
  <c r="AQ673" i="4" s="1"/>
  <c r="R673" i="4"/>
  <c r="S673" i="4"/>
  <c r="U673" i="4"/>
  <c r="V673" i="4"/>
  <c r="W673" i="4"/>
  <c r="X673" i="4"/>
  <c r="Y673" i="4"/>
  <c r="Z673" i="4"/>
  <c r="AA673" i="4"/>
  <c r="AB673" i="4"/>
  <c r="AC673" i="4"/>
  <c r="AF673" i="4"/>
  <c r="AJ673" i="4"/>
  <c r="AL673" i="4"/>
  <c r="AM673" i="4"/>
  <c r="AN673" i="4"/>
  <c r="P674" i="4"/>
  <c r="AP674" i="4" s="1"/>
  <c r="Q674" i="4"/>
  <c r="R674" i="4"/>
  <c r="AR674" i="4" s="1"/>
  <c r="S674" i="4"/>
  <c r="AN674" i="4" s="1"/>
  <c r="U674" i="4"/>
  <c r="V674" i="4"/>
  <c r="W674" i="4"/>
  <c r="X674" i="4"/>
  <c r="Y674" i="4"/>
  <c r="Z674" i="4"/>
  <c r="AA674" i="4"/>
  <c r="AB674" i="4"/>
  <c r="AC674" i="4"/>
  <c r="AE674" i="4"/>
  <c r="AG674" i="4"/>
  <c r="AJ674" i="4"/>
  <c r="AK674" i="4"/>
  <c r="AM674" i="4"/>
  <c r="P675" i="4"/>
  <c r="AP675" i="4" s="1"/>
  <c r="Q675" i="4"/>
  <c r="AQ675" i="4" s="1"/>
  <c r="R675" i="4"/>
  <c r="S675" i="4"/>
  <c r="U675" i="4"/>
  <c r="V675" i="4"/>
  <c r="W675" i="4"/>
  <c r="X675" i="4"/>
  <c r="Y675" i="4"/>
  <c r="Z675" i="4"/>
  <c r="AA675" i="4"/>
  <c r="AB675" i="4"/>
  <c r="AC675" i="4"/>
  <c r="AF675" i="4"/>
  <c r="AJ675" i="4"/>
  <c r="AL675" i="4"/>
  <c r="AN675" i="4"/>
  <c r="P676" i="4"/>
  <c r="Q676" i="4"/>
  <c r="AQ676" i="4" s="1"/>
  <c r="R676" i="4"/>
  <c r="AR676" i="4" s="1"/>
  <c r="S676" i="4"/>
  <c r="AN676" i="4" s="1"/>
  <c r="U676" i="4"/>
  <c r="V676" i="4"/>
  <c r="W676" i="4"/>
  <c r="X676" i="4"/>
  <c r="Y676" i="4"/>
  <c r="Z676" i="4"/>
  <c r="AA676" i="4"/>
  <c r="AB676" i="4"/>
  <c r="AC676" i="4"/>
  <c r="AG676" i="4"/>
  <c r="AJ676" i="4"/>
  <c r="AK676" i="4"/>
  <c r="AM676" i="4"/>
  <c r="P677" i="4"/>
  <c r="Q677" i="4"/>
  <c r="R677" i="4"/>
  <c r="AR677" i="4" s="1"/>
  <c r="S677" i="4"/>
  <c r="U677" i="4"/>
  <c r="V677" i="4"/>
  <c r="W677" i="4"/>
  <c r="X677" i="4"/>
  <c r="Y677" i="4"/>
  <c r="Z677" i="4"/>
  <c r="AA677" i="4"/>
  <c r="AB677" i="4"/>
  <c r="AC677" i="4"/>
  <c r="AJ677" i="4"/>
  <c r="AL677" i="4"/>
  <c r="AN677" i="4"/>
  <c r="P678" i="4"/>
  <c r="AP678" i="4" s="1"/>
  <c r="Q678" i="4"/>
  <c r="R678" i="4"/>
  <c r="S678" i="4"/>
  <c r="AN678" i="4" s="1"/>
  <c r="U678" i="4"/>
  <c r="V678" i="4"/>
  <c r="W678" i="4"/>
  <c r="X678" i="4"/>
  <c r="Y678" i="4"/>
  <c r="Z678" i="4"/>
  <c r="AA678" i="4"/>
  <c r="AB678" i="4"/>
  <c r="AC678" i="4"/>
  <c r="AJ678" i="4"/>
  <c r="AM678" i="4"/>
  <c r="P679" i="4"/>
  <c r="Q679" i="4"/>
  <c r="AQ679" i="4" s="1"/>
  <c r="R679" i="4"/>
  <c r="S679" i="4"/>
  <c r="U679" i="4"/>
  <c r="V679" i="4"/>
  <c r="W679" i="4"/>
  <c r="X679" i="4"/>
  <c r="Y679" i="4"/>
  <c r="Z679" i="4"/>
  <c r="AA679" i="4"/>
  <c r="AB679" i="4"/>
  <c r="AC679" i="4"/>
  <c r="AF679" i="4"/>
  <c r="AJ679" i="4"/>
  <c r="AK679" i="4"/>
  <c r="AN679" i="4"/>
  <c r="P680" i="4"/>
  <c r="AP680" i="4" s="1"/>
  <c r="Q680" i="4"/>
  <c r="R680" i="4"/>
  <c r="AR680" i="4" s="1"/>
  <c r="S680" i="4"/>
  <c r="AN680" i="4" s="1"/>
  <c r="U680" i="4"/>
  <c r="V680" i="4"/>
  <c r="W680" i="4"/>
  <c r="X680" i="4"/>
  <c r="Y680" i="4"/>
  <c r="Z680" i="4"/>
  <c r="AA680" i="4"/>
  <c r="AB680" i="4"/>
  <c r="AC680" i="4"/>
  <c r="AE680" i="4"/>
  <c r="AG680" i="4"/>
  <c r="AJ680" i="4"/>
  <c r="AK680" i="4"/>
  <c r="AL680" i="4"/>
  <c r="AM680" i="4"/>
  <c r="P681" i="4"/>
  <c r="Q681" i="4"/>
  <c r="AQ681" i="4" s="1"/>
  <c r="R681" i="4"/>
  <c r="S681" i="4"/>
  <c r="U681" i="4"/>
  <c r="V681" i="4"/>
  <c r="W681" i="4"/>
  <c r="X681" i="4"/>
  <c r="Y681" i="4"/>
  <c r="Z681" i="4"/>
  <c r="AA681" i="4"/>
  <c r="AB681" i="4"/>
  <c r="AC681" i="4"/>
  <c r="AF681" i="4"/>
  <c r="AJ681" i="4"/>
  <c r="AL681" i="4"/>
  <c r="AM681" i="4"/>
  <c r="AN681" i="4"/>
  <c r="P682" i="4"/>
  <c r="AP682" i="4" s="1"/>
  <c r="Q682" i="4"/>
  <c r="R682" i="4"/>
  <c r="AR682" i="4" s="1"/>
  <c r="S682" i="4"/>
  <c r="U682" i="4"/>
  <c r="V682" i="4"/>
  <c r="W682" i="4"/>
  <c r="X682" i="4"/>
  <c r="Y682" i="4"/>
  <c r="Z682" i="4"/>
  <c r="AA682" i="4"/>
  <c r="AB682" i="4"/>
  <c r="AC682" i="4"/>
  <c r="AG682" i="4"/>
  <c r="AJ682" i="4"/>
  <c r="AK682" i="4"/>
  <c r="AN682" i="4"/>
  <c r="P683" i="4"/>
  <c r="AP683" i="4" s="1"/>
  <c r="Q683" i="4"/>
  <c r="AQ683" i="4" s="1"/>
  <c r="R683" i="4"/>
  <c r="S683" i="4"/>
  <c r="AN683" i="4" s="1"/>
  <c r="U683" i="4"/>
  <c r="V683" i="4"/>
  <c r="W683" i="4"/>
  <c r="X683" i="4"/>
  <c r="Y683" i="4"/>
  <c r="Z683" i="4"/>
  <c r="AA683" i="4"/>
  <c r="AB683" i="4"/>
  <c r="AC683" i="4"/>
  <c r="AF683" i="4"/>
  <c r="AJ683" i="4"/>
  <c r="AL683" i="4"/>
  <c r="P684" i="4"/>
  <c r="AK684" i="4" s="1"/>
  <c r="Q684" i="4"/>
  <c r="AQ684" i="4" s="1"/>
  <c r="R684" i="4"/>
  <c r="AR684" i="4" s="1"/>
  <c r="S684" i="4"/>
  <c r="AN684" i="4" s="1"/>
  <c r="U684" i="4"/>
  <c r="V684" i="4"/>
  <c r="W684" i="4"/>
  <c r="X684" i="4"/>
  <c r="Y684" i="4"/>
  <c r="Z684" i="4"/>
  <c r="AA684" i="4"/>
  <c r="AB684" i="4"/>
  <c r="AC684" i="4"/>
  <c r="AJ684" i="4"/>
  <c r="AM684" i="4"/>
  <c r="P685" i="4"/>
  <c r="Q685" i="4"/>
  <c r="AL685" i="4" s="1"/>
  <c r="R685" i="4"/>
  <c r="AR685" i="4" s="1"/>
  <c r="S685" i="4"/>
  <c r="U685" i="4"/>
  <c r="V685" i="4"/>
  <c r="W685" i="4"/>
  <c r="X685" i="4"/>
  <c r="Y685" i="4"/>
  <c r="Z685" i="4"/>
  <c r="AA685" i="4"/>
  <c r="AB685" i="4"/>
  <c r="AC685" i="4"/>
  <c r="AJ685" i="4"/>
  <c r="AN685" i="4"/>
  <c r="P686" i="4"/>
  <c r="AP686" i="4" s="1"/>
  <c r="Q686" i="4"/>
  <c r="R686" i="4"/>
  <c r="S686" i="4"/>
  <c r="AN686" i="4" s="1"/>
  <c r="U686" i="4"/>
  <c r="V686" i="4"/>
  <c r="W686" i="4"/>
  <c r="X686" i="4"/>
  <c r="Y686" i="4"/>
  <c r="Z686" i="4"/>
  <c r="AA686" i="4"/>
  <c r="AB686" i="4"/>
  <c r="AC686" i="4"/>
  <c r="AE686" i="4"/>
  <c r="AJ686" i="4"/>
  <c r="AK686" i="4"/>
  <c r="AM686" i="4"/>
  <c r="P687" i="4"/>
  <c r="AK687" i="4" s="1"/>
  <c r="Q687" i="4"/>
  <c r="AQ687" i="4" s="1"/>
  <c r="R687" i="4"/>
  <c r="S687" i="4"/>
  <c r="U687" i="4"/>
  <c r="V687" i="4"/>
  <c r="W687" i="4"/>
  <c r="X687" i="4"/>
  <c r="Y687" i="4"/>
  <c r="Z687" i="4"/>
  <c r="AA687" i="4"/>
  <c r="AB687" i="4"/>
  <c r="AC687" i="4"/>
  <c r="AF687" i="4"/>
  <c r="AJ687" i="4"/>
  <c r="AL687" i="4"/>
  <c r="AN687" i="4"/>
  <c r="P688" i="4"/>
  <c r="AP688" i="4" s="1"/>
  <c r="Q688" i="4"/>
  <c r="R688" i="4"/>
  <c r="AR688" i="4" s="1"/>
  <c r="S688" i="4"/>
  <c r="AN688" i="4" s="1"/>
  <c r="U688" i="4"/>
  <c r="V688" i="4"/>
  <c r="W688" i="4"/>
  <c r="X688" i="4"/>
  <c r="Y688" i="4"/>
  <c r="Z688" i="4"/>
  <c r="AA688" i="4"/>
  <c r="AB688" i="4"/>
  <c r="AC688" i="4"/>
  <c r="AG688" i="4"/>
  <c r="AJ688" i="4"/>
  <c r="AK688" i="4"/>
  <c r="AL688" i="4"/>
  <c r="AM688" i="4"/>
  <c r="P689" i="4"/>
  <c r="Q689" i="4"/>
  <c r="AQ689" i="4" s="1"/>
  <c r="R689" i="4"/>
  <c r="S689" i="4"/>
  <c r="U689" i="4"/>
  <c r="V689" i="4"/>
  <c r="W689" i="4"/>
  <c r="X689" i="4"/>
  <c r="Y689" i="4"/>
  <c r="Z689" i="4"/>
  <c r="AA689" i="4"/>
  <c r="AB689" i="4"/>
  <c r="AC689" i="4"/>
  <c r="AF689" i="4"/>
  <c r="AJ689" i="4"/>
  <c r="AL689" i="4"/>
  <c r="AM689" i="4"/>
  <c r="AN689" i="4"/>
  <c r="P690" i="4"/>
  <c r="AP690" i="4" s="1"/>
  <c r="Q690" i="4"/>
  <c r="R690" i="4"/>
  <c r="AR690" i="4" s="1"/>
  <c r="S690" i="4"/>
  <c r="AN690" i="4" s="1"/>
  <c r="U690" i="4"/>
  <c r="V690" i="4"/>
  <c r="W690" i="4"/>
  <c r="X690" i="4"/>
  <c r="Y690" i="4"/>
  <c r="Z690" i="4"/>
  <c r="AA690" i="4"/>
  <c r="AB690" i="4"/>
  <c r="AC690" i="4"/>
  <c r="AE690" i="4"/>
  <c r="AG690" i="4"/>
  <c r="AJ690" i="4"/>
  <c r="AK690" i="4"/>
  <c r="AM690" i="4"/>
  <c r="P691" i="4"/>
  <c r="AP691" i="4" s="1"/>
  <c r="Q691" i="4"/>
  <c r="AQ691" i="4" s="1"/>
  <c r="R691" i="4"/>
  <c r="S691" i="4"/>
  <c r="U691" i="4"/>
  <c r="V691" i="4"/>
  <c r="W691" i="4"/>
  <c r="X691" i="4"/>
  <c r="Y691" i="4"/>
  <c r="Z691" i="4"/>
  <c r="AA691" i="4"/>
  <c r="AB691" i="4"/>
  <c r="AC691" i="4"/>
  <c r="AF691" i="4"/>
  <c r="AJ691" i="4"/>
  <c r="AL691" i="4"/>
  <c r="AN691" i="4"/>
  <c r="P692" i="4"/>
  <c r="AP692" i="4" s="1"/>
  <c r="Q692" i="4"/>
  <c r="AQ692" i="4" s="1"/>
  <c r="R692" i="4"/>
  <c r="AR692" i="4" s="1"/>
  <c r="S692" i="4"/>
  <c r="AN692" i="4" s="1"/>
  <c r="U692" i="4"/>
  <c r="V692" i="4"/>
  <c r="W692" i="4"/>
  <c r="X692" i="4"/>
  <c r="Y692" i="4"/>
  <c r="Z692" i="4"/>
  <c r="AA692" i="4"/>
  <c r="AB692" i="4"/>
  <c r="AC692" i="4"/>
  <c r="AE692" i="4"/>
  <c r="AG692" i="4"/>
  <c r="AJ692" i="4"/>
  <c r="AK692" i="4"/>
  <c r="AM692" i="4"/>
  <c r="P693" i="4"/>
  <c r="Q693" i="4"/>
  <c r="AQ693" i="4" s="1"/>
  <c r="R693" i="4"/>
  <c r="AR693" i="4" s="1"/>
  <c r="S693" i="4"/>
  <c r="AN693" i="4" s="1"/>
  <c r="U693" i="4"/>
  <c r="V693" i="4"/>
  <c r="W693" i="4"/>
  <c r="X693" i="4"/>
  <c r="Y693" i="4"/>
  <c r="Z693" i="4"/>
  <c r="AA693" i="4"/>
  <c r="AB693" i="4"/>
  <c r="AC693" i="4"/>
  <c r="AF693" i="4"/>
  <c r="AJ693" i="4"/>
  <c r="AL693" i="4"/>
  <c r="P694" i="4"/>
  <c r="AP694" i="4" s="1"/>
  <c r="Q694" i="4"/>
  <c r="R694" i="4"/>
  <c r="AR694" i="4" s="1"/>
  <c r="S694" i="4"/>
  <c r="AN694" i="4" s="1"/>
  <c r="U694" i="4"/>
  <c r="V694" i="4"/>
  <c r="W694" i="4"/>
  <c r="X694" i="4"/>
  <c r="Y694" i="4"/>
  <c r="Z694" i="4"/>
  <c r="AA694" i="4"/>
  <c r="AB694" i="4"/>
  <c r="AC694" i="4"/>
  <c r="AG694" i="4"/>
  <c r="AJ694" i="4"/>
  <c r="AK694" i="4"/>
  <c r="P695" i="4"/>
  <c r="Q695" i="4"/>
  <c r="AQ695" i="4" s="1"/>
  <c r="R695" i="4"/>
  <c r="S695" i="4"/>
  <c r="U695" i="4"/>
  <c r="V695" i="4"/>
  <c r="W695" i="4"/>
  <c r="X695" i="4"/>
  <c r="Y695" i="4"/>
  <c r="Z695" i="4"/>
  <c r="AA695" i="4"/>
  <c r="AB695" i="4"/>
  <c r="AC695" i="4"/>
  <c r="AF695" i="4"/>
  <c r="AJ695" i="4"/>
  <c r="AL695" i="4"/>
  <c r="AN695" i="4"/>
  <c r="P696" i="4"/>
  <c r="AP696" i="4" s="1"/>
  <c r="Q696" i="4"/>
  <c r="R696" i="4"/>
  <c r="AR696" i="4" s="1"/>
  <c r="S696" i="4"/>
  <c r="AN696" i="4" s="1"/>
  <c r="U696" i="4"/>
  <c r="V696" i="4"/>
  <c r="W696" i="4"/>
  <c r="X696" i="4"/>
  <c r="Y696" i="4"/>
  <c r="Z696" i="4"/>
  <c r="AA696" i="4"/>
  <c r="AB696" i="4"/>
  <c r="AC696" i="4"/>
  <c r="AE696" i="4"/>
  <c r="AG696" i="4"/>
  <c r="AJ696" i="4"/>
  <c r="AK696" i="4"/>
  <c r="AM696" i="4"/>
  <c r="P697" i="4"/>
  <c r="Q697" i="4"/>
  <c r="AQ697" i="4" s="1"/>
  <c r="R697" i="4"/>
  <c r="S697" i="4"/>
  <c r="AN697" i="4" s="1"/>
  <c r="U697" i="4"/>
  <c r="V697" i="4"/>
  <c r="W697" i="4"/>
  <c r="X697" i="4"/>
  <c r="Y697" i="4"/>
  <c r="Z697" i="4"/>
  <c r="AA697" i="4"/>
  <c r="AB697" i="4"/>
  <c r="AC697" i="4"/>
  <c r="AF697" i="4"/>
  <c r="AJ697" i="4"/>
  <c r="AL697" i="4"/>
  <c r="P698" i="4"/>
  <c r="AP698" i="4" s="1"/>
  <c r="Q698" i="4"/>
  <c r="R698" i="4"/>
  <c r="AR698" i="4" s="1"/>
  <c r="S698" i="4"/>
  <c r="AN698" i="4" s="1"/>
  <c r="U698" i="4"/>
  <c r="V698" i="4"/>
  <c r="W698" i="4"/>
  <c r="X698" i="4"/>
  <c r="Y698" i="4"/>
  <c r="Z698" i="4"/>
  <c r="AA698" i="4"/>
  <c r="AB698" i="4"/>
  <c r="AC698" i="4"/>
  <c r="AG698" i="4"/>
  <c r="AJ698" i="4"/>
  <c r="AK698" i="4"/>
  <c r="P699" i="4"/>
  <c r="AP699" i="4" s="1"/>
  <c r="Q699" i="4"/>
  <c r="AQ699" i="4" s="1"/>
  <c r="R699" i="4"/>
  <c r="S699" i="4"/>
  <c r="U699" i="4"/>
  <c r="V699" i="4"/>
  <c r="W699" i="4"/>
  <c r="X699" i="4"/>
  <c r="Y699" i="4"/>
  <c r="Z699" i="4"/>
  <c r="AA699" i="4"/>
  <c r="AB699" i="4"/>
  <c r="AC699" i="4"/>
  <c r="AF699" i="4"/>
  <c r="AJ699" i="4"/>
  <c r="AL699" i="4"/>
  <c r="AN699" i="4"/>
  <c r="P700" i="4"/>
  <c r="AP700" i="4" s="1"/>
  <c r="Q700" i="4"/>
  <c r="AQ700" i="4" s="1"/>
  <c r="R700" i="4"/>
  <c r="AR700" i="4" s="1"/>
  <c r="S700" i="4"/>
  <c r="AN700" i="4" s="1"/>
  <c r="U700" i="4"/>
  <c r="V700" i="4"/>
  <c r="W700" i="4"/>
  <c r="X700" i="4"/>
  <c r="Y700" i="4"/>
  <c r="Z700" i="4"/>
  <c r="AA700" i="4"/>
  <c r="AB700" i="4"/>
  <c r="AC700" i="4"/>
  <c r="AE700" i="4"/>
  <c r="AG700" i="4"/>
  <c r="AJ700" i="4"/>
  <c r="AK700" i="4"/>
  <c r="AM700" i="4"/>
  <c r="P701" i="4"/>
  <c r="Q701" i="4"/>
  <c r="AQ701" i="4" s="1"/>
  <c r="R701" i="4"/>
  <c r="AR701" i="4" s="1"/>
  <c r="S701" i="4"/>
  <c r="AN701" i="4" s="1"/>
  <c r="U701" i="4"/>
  <c r="V701" i="4"/>
  <c r="W701" i="4"/>
  <c r="X701" i="4"/>
  <c r="Y701" i="4"/>
  <c r="Z701" i="4"/>
  <c r="AA701" i="4"/>
  <c r="AB701" i="4"/>
  <c r="AC701" i="4"/>
  <c r="AF701" i="4"/>
  <c r="AJ701" i="4"/>
  <c r="AL701" i="4"/>
  <c r="P702" i="4"/>
  <c r="AP702" i="4" s="1"/>
  <c r="Q702" i="4"/>
  <c r="R702" i="4"/>
  <c r="AR702" i="4" s="1"/>
  <c r="S702" i="4"/>
  <c r="AN702" i="4" s="1"/>
  <c r="U702" i="4"/>
  <c r="V702" i="4"/>
  <c r="W702" i="4"/>
  <c r="X702" i="4"/>
  <c r="Y702" i="4"/>
  <c r="Z702" i="4"/>
  <c r="AA702" i="4"/>
  <c r="AB702" i="4"/>
  <c r="AC702" i="4"/>
  <c r="AG702" i="4"/>
  <c r="AJ702" i="4"/>
  <c r="AK702" i="4"/>
  <c r="P703" i="4"/>
  <c r="AP703" i="4" s="1"/>
  <c r="Q703" i="4"/>
  <c r="AQ703" i="4" s="1"/>
  <c r="R703" i="4"/>
  <c r="S703" i="4"/>
  <c r="U703" i="4"/>
  <c r="V703" i="4"/>
  <c r="W703" i="4"/>
  <c r="X703" i="4"/>
  <c r="Y703" i="4"/>
  <c r="Z703" i="4"/>
  <c r="AA703" i="4"/>
  <c r="AB703" i="4"/>
  <c r="AC703" i="4"/>
  <c r="AF703" i="4"/>
  <c r="AJ703" i="4"/>
  <c r="AL703" i="4"/>
  <c r="AN703" i="4"/>
  <c r="P704" i="4"/>
  <c r="AP704" i="4" s="1"/>
  <c r="Q704" i="4"/>
  <c r="AQ704" i="4" s="1"/>
  <c r="R704" i="4"/>
  <c r="AR704" i="4" s="1"/>
  <c r="S704" i="4"/>
  <c r="AN704" i="4" s="1"/>
  <c r="U704" i="4"/>
  <c r="V704" i="4"/>
  <c r="W704" i="4"/>
  <c r="X704" i="4"/>
  <c r="Y704" i="4"/>
  <c r="Z704" i="4"/>
  <c r="AA704" i="4"/>
  <c r="AB704" i="4"/>
  <c r="AC704" i="4"/>
  <c r="AE704" i="4"/>
  <c r="AG704" i="4"/>
  <c r="AJ704" i="4"/>
  <c r="AK704" i="4"/>
  <c r="AM704" i="4"/>
  <c r="P705" i="4"/>
  <c r="AP705" i="4" s="1"/>
  <c r="Q705" i="4"/>
  <c r="AQ705" i="4" s="1"/>
  <c r="R705" i="4"/>
  <c r="AR705" i="4" s="1"/>
  <c r="S705" i="4"/>
  <c r="AN705" i="4" s="1"/>
  <c r="U705" i="4"/>
  <c r="V705" i="4"/>
  <c r="W705" i="4"/>
  <c r="X705" i="4"/>
  <c r="Y705" i="4"/>
  <c r="Z705" i="4"/>
  <c r="AA705" i="4"/>
  <c r="AB705" i="4"/>
  <c r="AC705" i="4"/>
  <c r="AF705" i="4"/>
  <c r="AJ705" i="4"/>
  <c r="AL705" i="4"/>
  <c r="P706" i="4"/>
  <c r="AP706" i="4" s="1"/>
  <c r="Q706" i="4"/>
  <c r="AQ706" i="4" s="1"/>
  <c r="R706" i="4"/>
  <c r="AR706" i="4" s="1"/>
  <c r="S706" i="4"/>
  <c r="AN706" i="4" s="1"/>
  <c r="U706" i="4"/>
  <c r="V706" i="4"/>
  <c r="W706" i="4"/>
  <c r="X706" i="4"/>
  <c r="Y706" i="4"/>
  <c r="Z706" i="4"/>
  <c r="AA706" i="4"/>
  <c r="AB706" i="4"/>
  <c r="AC706" i="4"/>
  <c r="AG706" i="4"/>
  <c r="AJ706" i="4"/>
  <c r="AK706" i="4"/>
  <c r="P707" i="4"/>
  <c r="AP707" i="4" s="1"/>
  <c r="Q707" i="4"/>
  <c r="AQ707" i="4" s="1"/>
  <c r="R707" i="4"/>
  <c r="AR707" i="4" s="1"/>
  <c r="S707" i="4"/>
  <c r="U707" i="4"/>
  <c r="V707" i="4"/>
  <c r="W707" i="4"/>
  <c r="X707" i="4"/>
  <c r="Y707" i="4"/>
  <c r="Z707" i="4"/>
  <c r="AA707" i="4"/>
  <c r="AB707" i="4"/>
  <c r="AC707" i="4"/>
  <c r="AF707" i="4"/>
  <c r="AJ707" i="4"/>
  <c r="AL707" i="4"/>
  <c r="AN707" i="4"/>
  <c r="P708" i="4"/>
  <c r="AP708" i="4" s="1"/>
  <c r="Q708" i="4"/>
  <c r="AQ708" i="4" s="1"/>
  <c r="R708" i="4"/>
  <c r="AR708" i="4" s="1"/>
  <c r="S708" i="4"/>
  <c r="AN708" i="4" s="1"/>
  <c r="U708" i="4"/>
  <c r="V708" i="4"/>
  <c r="W708" i="4"/>
  <c r="X708" i="4"/>
  <c r="Y708" i="4"/>
  <c r="Z708" i="4"/>
  <c r="AA708" i="4"/>
  <c r="AB708" i="4"/>
  <c r="AC708" i="4"/>
  <c r="AE708" i="4"/>
  <c r="AG708" i="4"/>
  <c r="AJ708" i="4"/>
  <c r="AK708" i="4"/>
  <c r="AM708" i="4"/>
  <c r="P709" i="4"/>
  <c r="Q709" i="4"/>
  <c r="AQ709" i="4" s="1"/>
  <c r="R709" i="4"/>
  <c r="AR709" i="4" s="1"/>
  <c r="S709" i="4"/>
  <c r="AN709" i="4" s="1"/>
  <c r="U709" i="4"/>
  <c r="V709" i="4"/>
  <c r="W709" i="4"/>
  <c r="X709" i="4"/>
  <c r="Y709" i="4"/>
  <c r="Z709" i="4"/>
  <c r="AA709" i="4"/>
  <c r="AB709" i="4"/>
  <c r="AC709" i="4"/>
  <c r="AF709" i="4"/>
  <c r="AJ709" i="4"/>
  <c r="AL709" i="4"/>
  <c r="P710" i="4"/>
  <c r="AP710" i="4" s="1"/>
  <c r="Q710" i="4"/>
  <c r="R710" i="4"/>
  <c r="AR710" i="4" s="1"/>
  <c r="S710" i="4"/>
  <c r="AN710" i="4" s="1"/>
  <c r="U710" i="4"/>
  <c r="V710" i="4"/>
  <c r="W710" i="4"/>
  <c r="X710" i="4"/>
  <c r="Y710" i="4"/>
  <c r="Z710" i="4"/>
  <c r="AA710" i="4"/>
  <c r="AB710" i="4"/>
  <c r="AC710" i="4"/>
  <c r="AG710" i="4"/>
  <c r="AJ710" i="4"/>
  <c r="AK710" i="4"/>
  <c r="P711" i="4"/>
  <c r="AP711" i="4" s="1"/>
  <c r="Q711" i="4"/>
  <c r="AQ711" i="4" s="1"/>
  <c r="R711" i="4"/>
  <c r="S711" i="4"/>
  <c r="U711" i="4"/>
  <c r="V711" i="4"/>
  <c r="W711" i="4"/>
  <c r="X711" i="4"/>
  <c r="Y711" i="4"/>
  <c r="Z711" i="4"/>
  <c r="AA711" i="4"/>
  <c r="AB711" i="4"/>
  <c r="AC711" i="4"/>
  <c r="AF711" i="4"/>
  <c r="AJ711" i="4"/>
  <c r="AL711" i="4"/>
  <c r="AN711" i="4"/>
  <c r="P712" i="4"/>
  <c r="AP712" i="4" s="1"/>
  <c r="Q712" i="4"/>
  <c r="AQ712" i="4" s="1"/>
  <c r="R712" i="4"/>
  <c r="AR712" i="4" s="1"/>
  <c r="S712" i="4"/>
  <c r="AN712" i="4" s="1"/>
  <c r="U712" i="4"/>
  <c r="V712" i="4"/>
  <c r="W712" i="4"/>
  <c r="X712" i="4"/>
  <c r="Y712" i="4"/>
  <c r="Z712" i="4"/>
  <c r="AA712" i="4"/>
  <c r="AB712" i="4"/>
  <c r="AC712" i="4"/>
  <c r="AE712" i="4"/>
  <c r="AG712" i="4"/>
  <c r="AJ712" i="4"/>
  <c r="AK712" i="4"/>
  <c r="AM712" i="4"/>
  <c r="P713" i="4"/>
  <c r="AP713" i="4" s="1"/>
  <c r="Q713" i="4"/>
  <c r="AQ713" i="4" s="1"/>
  <c r="R713" i="4"/>
  <c r="AR713" i="4" s="1"/>
  <c r="S713" i="4"/>
  <c r="AN713" i="4" s="1"/>
  <c r="U713" i="4"/>
  <c r="V713" i="4"/>
  <c r="W713" i="4"/>
  <c r="X713" i="4"/>
  <c r="Y713" i="4"/>
  <c r="Z713" i="4"/>
  <c r="AA713" i="4"/>
  <c r="AB713" i="4"/>
  <c r="AC713" i="4"/>
  <c r="AF713" i="4"/>
  <c r="AJ713" i="4"/>
  <c r="AL713" i="4"/>
  <c r="P714" i="4"/>
  <c r="AP714" i="4" s="1"/>
  <c r="Q714" i="4"/>
  <c r="AQ714" i="4" s="1"/>
  <c r="R714" i="4"/>
  <c r="AR714" i="4" s="1"/>
  <c r="S714" i="4"/>
  <c r="AN714" i="4" s="1"/>
  <c r="U714" i="4"/>
  <c r="V714" i="4"/>
  <c r="W714" i="4"/>
  <c r="X714" i="4"/>
  <c r="Y714" i="4"/>
  <c r="Z714" i="4"/>
  <c r="AA714" i="4"/>
  <c r="AB714" i="4"/>
  <c r="AC714" i="4"/>
  <c r="AG714" i="4"/>
  <c r="AJ714" i="4"/>
  <c r="AK714" i="4"/>
  <c r="P715" i="4"/>
  <c r="AP715" i="4" s="1"/>
  <c r="Q715" i="4"/>
  <c r="AQ715" i="4" s="1"/>
  <c r="R715" i="4"/>
  <c r="AR715" i="4" s="1"/>
  <c r="S715" i="4"/>
  <c r="U715" i="4"/>
  <c r="V715" i="4"/>
  <c r="W715" i="4"/>
  <c r="X715" i="4"/>
  <c r="Y715" i="4"/>
  <c r="Z715" i="4"/>
  <c r="AA715" i="4"/>
  <c r="AB715" i="4"/>
  <c r="AC715" i="4"/>
  <c r="AF715" i="4"/>
  <c r="AJ715" i="4"/>
  <c r="AL715" i="4"/>
  <c r="AN715" i="4"/>
  <c r="P716" i="4"/>
  <c r="AP716" i="4" s="1"/>
  <c r="Q716" i="4"/>
  <c r="AQ716" i="4" s="1"/>
  <c r="R716" i="4"/>
  <c r="AR716" i="4" s="1"/>
  <c r="S716" i="4"/>
  <c r="AN716" i="4" s="1"/>
  <c r="U716" i="4"/>
  <c r="V716" i="4"/>
  <c r="W716" i="4"/>
  <c r="X716" i="4"/>
  <c r="Y716" i="4"/>
  <c r="Z716" i="4"/>
  <c r="AA716" i="4"/>
  <c r="AB716" i="4"/>
  <c r="AC716" i="4"/>
  <c r="AE716" i="4"/>
  <c r="AG716" i="4"/>
  <c r="AJ716" i="4"/>
  <c r="AK716" i="4"/>
  <c r="AM716" i="4"/>
  <c r="P717" i="4"/>
  <c r="Q717" i="4"/>
  <c r="AQ717" i="4" s="1"/>
  <c r="R717" i="4"/>
  <c r="AR717" i="4" s="1"/>
  <c r="S717" i="4"/>
  <c r="AN717" i="4" s="1"/>
  <c r="U717" i="4"/>
  <c r="V717" i="4"/>
  <c r="W717" i="4"/>
  <c r="X717" i="4"/>
  <c r="Y717" i="4"/>
  <c r="Z717" i="4"/>
  <c r="AA717" i="4"/>
  <c r="AB717" i="4"/>
  <c r="AC717" i="4"/>
  <c r="AF717" i="4"/>
  <c r="AJ717" i="4"/>
  <c r="AL717" i="4"/>
  <c r="P718" i="4"/>
  <c r="AP718" i="4" s="1"/>
  <c r="Q718" i="4"/>
  <c r="R718" i="4"/>
  <c r="AR718" i="4" s="1"/>
  <c r="S718" i="4"/>
  <c r="AN718" i="4" s="1"/>
  <c r="U718" i="4"/>
  <c r="V718" i="4"/>
  <c r="W718" i="4"/>
  <c r="X718" i="4"/>
  <c r="Y718" i="4"/>
  <c r="Z718" i="4"/>
  <c r="AA718" i="4"/>
  <c r="AB718" i="4"/>
  <c r="AC718" i="4"/>
  <c r="AG718" i="4"/>
  <c r="AJ718" i="4"/>
  <c r="AK718" i="4"/>
  <c r="P719" i="4"/>
  <c r="AP719" i="4" s="1"/>
  <c r="Q719" i="4"/>
  <c r="AQ719" i="4" s="1"/>
  <c r="R719" i="4"/>
  <c r="S719" i="4"/>
  <c r="U719" i="4"/>
  <c r="V719" i="4"/>
  <c r="W719" i="4"/>
  <c r="X719" i="4"/>
  <c r="Y719" i="4"/>
  <c r="Z719" i="4"/>
  <c r="AA719" i="4"/>
  <c r="AB719" i="4"/>
  <c r="AC719" i="4"/>
  <c r="AF719" i="4"/>
  <c r="AJ719" i="4"/>
  <c r="AL719" i="4"/>
  <c r="AN719" i="4"/>
  <c r="P720" i="4"/>
  <c r="AP720" i="4" s="1"/>
  <c r="Q720" i="4"/>
  <c r="AQ720" i="4" s="1"/>
  <c r="R720" i="4"/>
  <c r="AR720" i="4" s="1"/>
  <c r="S720" i="4"/>
  <c r="AN720" i="4" s="1"/>
  <c r="U720" i="4"/>
  <c r="V720" i="4"/>
  <c r="W720" i="4"/>
  <c r="X720" i="4"/>
  <c r="Y720" i="4"/>
  <c r="Z720" i="4"/>
  <c r="AA720" i="4"/>
  <c r="AB720" i="4"/>
  <c r="AC720" i="4"/>
  <c r="AE720" i="4"/>
  <c r="AG720" i="4"/>
  <c r="AJ720" i="4"/>
  <c r="AK720" i="4"/>
  <c r="AM720" i="4"/>
  <c r="P721" i="4"/>
  <c r="AP721" i="4" s="1"/>
  <c r="Q721" i="4"/>
  <c r="AQ721" i="4" s="1"/>
  <c r="R721" i="4"/>
  <c r="AR721" i="4" s="1"/>
  <c r="S721" i="4"/>
  <c r="AN721" i="4" s="1"/>
  <c r="U721" i="4"/>
  <c r="V721" i="4"/>
  <c r="W721" i="4"/>
  <c r="X721" i="4"/>
  <c r="Y721" i="4"/>
  <c r="Z721" i="4"/>
  <c r="AA721" i="4"/>
  <c r="AB721" i="4"/>
  <c r="AC721" i="4"/>
  <c r="AF721" i="4"/>
  <c r="AJ721" i="4"/>
  <c r="AL721" i="4"/>
  <c r="P722" i="4"/>
  <c r="AP722" i="4" s="1"/>
  <c r="Q722" i="4"/>
  <c r="AQ722" i="4" s="1"/>
  <c r="R722" i="4"/>
  <c r="AR722" i="4" s="1"/>
  <c r="S722" i="4"/>
  <c r="AN722" i="4" s="1"/>
  <c r="U722" i="4"/>
  <c r="V722" i="4"/>
  <c r="W722" i="4"/>
  <c r="X722" i="4"/>
  <c r="Y722" i="4"/>
  <c r="Z722" i="4"/>
  <c r="AA722" i="4"/>
  <c r="AB722" i="4"/>
  <c r="AC722" i="4"/>
  <c r="AG722" i="4"/>
  <c r="AJ722" i="4"/>
  <c r="AK722" i="4"/>
  <c r="P723" i="4"/>
  <c r="AP723" i="4" s="1"/>
  <c r="Q723" i="4"/>
  <c r="AQ723" i="4" s="1"/>
  <c r="R723" i="4"/>
  <c r="AR723" i="4" s="1"/>
  <c r="S723" i="4"/>
  <c r="U723" i="4"/>
  <c r="V723" i="4"/>
  <c r="W723" i="4"/>
  <c r="X723" i="4"/>
  <c r="Y723" i="4"/>
  <c r="Z723" i="4"/>
  <c r="AA723" i="4"/>
  <c r="AB723" i="4"/>
  <c r="AC723" i="4"/>
  <c r="AF723" i="4"/>
  <c r="AJ723" i="4"/>
  <c r="AL723" i="4"/>
  <c r="AN723" i="4"/>
  <c r="P724" i="4"/>
  <c r="AP724" i="4" s="1"/>
  <c r="Q724" i="4"/>
  <c r="AQ724" i="4" s="1"/>
  <c r="R724" i="4"/>
  <c r="AR724" i="4" s="1"/>
  <c r="S724" i="4"/>
  <c r="AN724" i="4" s="1"/>
  <c r="U724" i="4"/>
  <c r="V724" i="4"/>
  <c r="W724" i="4"/>
  <c r="X724" i="4"/>
  <c r="Y724" i="4"/>
  <c r="Z724" i="4"/>
  <c r="AA724" i="4"/>
  <c r="AB724" i="4"/>
  <c r="AC724" i="4"/>
  <c r="AE724" i="4"/>
  <c r="AG724" i="4"/>
  <c r="AJ724" i="4"/>
  <c r="AK724" i="4"/>
  <c r="AM724" i="4"/>
  <c r="P725" i="4"/>
  <c r="Q725" i="4"/>
  <c r="AQ725" i="4" s="1"/>
  <c r="R725" i="4"/>
  <c r="AR725" i="4" s="1"/>
  <c r="S725" i="4"/>
  <c r="AN725" i="4" s="1"/>
  <c r="U725" i="4"/>
  <c r="V725" i="4"/>
  <c r="W725" i="4"/>
  <c r="X725" i="4"/>
  <c r="Y725" i="4"/>
  <c r="Z725" i="4"/>
  <c r="AA725" i="4"/>
  <c r="AB725" i="4"/>
  <c r="AC725" i="4"/>
  <c r="AF725" i="4"/>
  <c r="AJ725" i="4"/>
  <c r="AL725" i="4"/>
  <c r="P726" i="4"/>
  <c r="AP726" i="4" s="1"/>
  <c r="Q726" i="4"/>
  <c r="R726" i="4"/>
  <c r="AR726" i="4" s="1"/>
  <c r="S726" i="4"/>
  <c r="AN726" i="4" s="1"/>
  <c r="U726" i="4"/>
  <c r="V726" i="4"/>
  <c r="W726" i="4"/>
  <c r="X726" i="4"/>
  <c r="Y726" i="4"/>
  <c r="Z726" i="4"/>
  <c r="AA726" i="4"/>
  <c r="AB726" i="4"/>
  <c r="AC726" i="4"/>
  <c r="AG726" i="4"/>
  <c r="AJ726" i="4"/>
  <c r="AK726" i="4"/>
  <c r="P727" i="4"/>
  <c r="AP727" i="4" s="1"/>
  <c r="Q727" i="4"/>
  <c r="AQ727" i="4" s="1"/>
  <c r="R727" i="4"/>
  <c r="S727" i="4"/>
  <c r="U727" i="4"/>
  <c r="V727" i="4"/>
  <c r="W727" i="4"/>
  <c r="X727" i="4"/>
  <c r="Y727" i="4"/>
  <c r="Z727" i="4"/>
  <c r="AA727" i="4"/>
  <c r="AB727" i="4"/>
  <c r="AC727" i="4"/>
  <c r="AF727" i="4"/>
  <c r="AJ727" i="4"/>
  <c r="AL727" i="4"/>
  <c r="AN727" i="4"/>
  <c r="P728" i="4"/>
  <c r="AP728" i="4" s="1"/>
  <c r="Q728" i="4"/>
  <c r="AQ728" i="4" s="1"/>
  <c r="R728" i="4"/>
  <c r="AR728" i="4" s="1"/>
  <c r="S728" i="4"/>
  <c r="AN728" i="4" s="1"/>
  <c r="U728" i="4"/>
  <c r="V728" i="4"/>
  <c r="W728" i="4"/>
  <c r="X728" i="4"/>
  <c r="Y728" i="4"/>
  <c r="Z728" i="4"/>
  <c r="AA728" i="4"/>
  <c r="AB728" i="4"/>
  <c r="AC728" i="4"/>
  <c r="AE728" i="4"/>
  <c r="AG728" i="4"/>
  <c r="AJ728" i="4"/>
  <c r="AK728" i="4"/>
  <c r="AM728" i="4"/>
  <c r="P729" i="4"/>
  <c r="AP729" i="4" s="1"/>
  <c r="Q729" i="4"/>
  <c r="AQ729" i="4" s="1"/>
  <c r="R729" i="4"/>
  <c r="AR729" i="4" s="1"/>
  <c r="S729" i="4"/>
  <c r="AN729" i="4" s="1"/>
  <c r="U729" i="4"/>
  <c r="V729" i="4"/>
  <c r="W729" i="4"/>
  <c r="X729" i="4"/>
  <c r="Y729" i="4"/>
  <c r="Z729" i="4"/>
  <c r="AA729" i="4"/>
  <c r="AB729" i="4"/>
  <c r="AC729" i="4"/>
  <c r="AF729" i="4"/>
  <c r="AJ729" i="4"/>
  <c r="AL729" i="4"/>
  <c r="P730" i="4"/>
  <c r="AP730" i="4" s="1"/>
  <c r="Q730" i="4"/>
  <c r="AQ730" i="4" s="1"/>
  <c r="R730" i="4"/>
  <c r="AR730" i="4" s="1"/>
  <c r="S730" i="4"/>
  <c r="AN730" i="4" s="1"/>
  <c r="U730" i="4"/>
  <c r="V730" i="4"/>
  <c r="W730" i="4"/>
  <c r="X730" i="4"/>
  <c r="Y730" i="4"/>
  <c r="Z730" i="4"/>
  <c r="AA730" i="4"/>
  <c r="AB730" i="4"/>
  <c r="AC730" i="4"/>
  <c r="AG730" i="4"/>
  <c r="AJ730" i="4"/>
  <c r="AK730" i="4"/>
  <c r="P731" i="4"/>
  <c r="AP731" i="4" s="1"/>
  <c r="Q731" i="4"/>
  <c r="AQ731" i="4" s="1"/>
  <c r="R731" i="4"/>
  <c r="AR731" i="4" s="1"/>
  <c r="S731" i="4"/>
  <c r="U731" i="4"/>
  <c r="V731" i="4"/>
  <c r="W731" i="4"/>
  <c r="X731" i="4"/>
  <c r="Y731" i="4"/>
  <c r="Z731" i="4"/>
  <c r="AA731" i="4"/>
  <c r="AB731" i="4"/>
  <c r="AC731" i="4"/>
  <c r="AF731" i="4"/>
  <c r="AJ731" i="4"/>
  <c r="AL731" i="4"/>
  <c r="AN731" i="4"/>
  <c r="P732" i="4"/>
  <c r="AP732" i="4" s="1"/>
  <c r="Q732" i="4"/>
  <c r="AQ732" i="4" s="1"/>
  <c r="R732" i="4"/>
  <c r="AR732" i="4" s="1"/>
  <c r="S732" i="4"/>
  <c r="AN732" i="4" s="1"/>
  <c r="U732" i="4"/>
  <c r="V732" i="4"/>
  <c r="W732" i="4"/>
  <c r="X732" i="4"/>
  <c r="Y732" i="4"/>
  <c r="Z732" i="4"/>
  <c r="AA732" i="4"/>
  <c r="AB732" i="4"/>
  <c r="AC732" i="4"/>
  <c r="AE732" i="4"/>
  <c r="AG732" i="4"/>
  <c r="AJ732" i="4"/>
  <c r="AK732" i="4"/>
  <c r="AM732" i="4"/>
  <c r="P733" i="4"/>
  <c r="Q733" i="4"/>
  <c r="AQ733" i="4" s="1"/>
  <c r="R733" i="4"/>
  <c r="AR733" i="4" s="1"/>
  <c r="S733" i="4"/>
  <c r="AN733" i="4" s="1"/>
  <c r="U733" i="4"/>
  <c r="V733" i="4"/>
  <c r="W733" i="4"/>
  <c r="X733" i="4"/>
  <c r="Y733" i="4"/>
  <c r="Z733" i="4"/>
  <c r="AA733" i="4"/>
  <c r="AB733" i="4"/>
  <c r="AC733" i="4"/>
  <c r="AF733" i="4"/>
  <c r="AJ733" i="4"/>
  <c r="AL733" i="4"/>
  <c r="P734" i="4"/>
  <c r="AP734" i="4" s="1"/>
  <c r="Q734" i="4"/>
  <c r="R734" i="4"/>
  <c r="AR734" i="4" s="1"/>
  <c r="S734" i="4"/>
  <c r="AN734" i="4" s="1"/>
  <c r="U734" i="4"/>
  <c r="V734" i="4"/>
  <c r="W734" i="4"/>
  <c r="X734" i="4"/>
  <c r="Y734" i="4"/>
  <c r="Z734" i="4"/>
  <c r="AA734" i="4"/>
  <c r="AB734" i="4"/>
  <c r="AC734" i="4"/>
  <c r="AG734" i="4"/>
  <c r="AJ734" i="4"/>
  <c r="AK734" i="4"/>
  <c r="P735" i="4"/>
  <c r="AP735" i="4" s="1"/>
  <c r="Q735" i="4"/>
  <c r="AQ735" i="4" s="1"/>
  <c r="R735" i="4"/>
  <c r="AR735" i="4" s="1"/>
  <c r="S735" i="4"/>
  <c r="U735" i="4"/>
  <c r="V735" i="4"/>
  <c r="W735" i="4"/>
  <c r="X735" i="4"/>
  <c r="Y735" i="4"/>
  <c r="Z735" i="4"/>
  <c r="AA735" i="4"/>
  <c r="AB735" i="4"/>
  <c r="AC735" i="4"/>
  <c r="AF735" i="4"/>
  <c r="AJ735" i="4"/>
  <c r="AL735" i="4"/>
  <c r="AN735" i="4"/>
  <c r="P736" i="4"/>
  <c r="AP736" i="4" s="1"/>
  <c r="Q736" i="4"/>
  <c r="AQ736" i="4" s="1"/>
  <c r="R736" i="4"/>
  <c r="AR736" i="4" s="1"/>
  <c r="S736" i="4"/>
  <c r="AN736" i="4" s="1"/>
  <c r="U736" i="4"/>
  <c r="V736" i="4"/>
  <c r="W736" i="4"/>
  <c r="X736" i="4"/>
  <c r="Y736" i="4"/>
  <c r="Z736" i="4"/>
  <c r="AA736" i="4"/>
  <c r="AB736" i="4"/>
  <c r="AC736" i="4"/>
  <c r="AE736" i="4"/>
  <c r="AG736" i="4"/>
  <c r="AJ736" i="4"/>
  <c r="AK736" i="4"/>
  <c r="AM736" i="4"/>
  <c r="P737" i="4"/>
  <c r="AP737" i="4" s="1"/>
  <c r="Q737" i="4"/>
  <c r="AQ737" i="4" s="1"/>
  <c r="R737" i="4"/>
  <c r="AR737" i="4" s="1"/>
  <c r="S737" i="4"/>
  <c r="AN737" i="4" s="1"/>
  <c r="U737" i="4"/>
  <c r="V737" i="4"/>
  <c r="W737" i="4"/>
  <c r="X737" i="4"/>
  <c r="Y737" i="4"/>
  <c r="Z737" i="4"/>
  <c r="AA737" i="4"/>
  <c r="AB737" i="4"/>
  <c r="AC737" i="4"/>
  <c r="AF737" i="4"/>
  <c r="AJ737" i="4"/>
  <c r="AL737" i="4"/>
  <c r="P738" i="4"/>
  <c r="AP738" i="4" s="1"/>
  <c r="Q738" i="4"/>
  <c r="R738" i="4"/>
  <c r="AR738" i="4" s="1"/>
  <c r="S738" i="4"/>
  <c r="AN738" i="4" s="1"/>
  <c r="U738" i="4"/>
  <c r="V738" i="4"/>
  <c r="W738" i="4"/>
  <c r="X738" i="4"/>
  <c r="Y738" i="4"/>
  <c r="Z738" i="4"/>
  <c r="AA738" i="4"/>
  <c r="AB738" i="4"/>
  <c r="AC738" i="4"/>
  <c r="AG738" i="4"/>
  <c r="AJ738" i="4"/>
  <c r="AK738" i="4"/>
  <c r="P739" i="4"/>
  <c r="AP739" i="4" s="1"/>
  <c r="Q739" i="4"/>
  <c r="AQ739" i="4" s="1"/>
  <c r="R739" i="4"/>
  <c r="AR739" i="4" s="1"/>
  <c r="S739" i="4"/>
  <c r="U739" i="4"/>
  <c r="V739" i="4"/>
  <c r="W739" i="4"/>
  <c r="X739" i="4"/>
  <c r="Y739" i="4"/>
  <c r="Z739" i="4"/>
  <c r="AA739" i="4"/>
  <c r="AB739" i="4"/>
  <c r="AC739" i="4"/>
  <c r="AF739" i="4"/>
  <c r="AJ739" i="4"/>
  <c r="AL739" i="4"/>
  <c r="AN739" i="4"/>
  <c r="P740" i="4"/>
  <c r="AP740" i="4" s="1"/>
  <c r="Q740" i="4"/>
  <c r="AQ740" i="4" s="1"/>
  <c r="R740" i="4"/>
  <c r="AR740" i="4" s="1"/>
  <c r="S740" i="4"/>
  <c r="AN740" i="4" s="1"/>
  <c r="U740" i="4"/>
  <c r="V740" i="4"/>
  <c r="W740" i="4"/>
  <c r="X740" i="4"/>
  <c r="Y740" i="4"/>
  <c r="Z740" i="4"/>
  <c r="AA740" i="4"/>
  <c r="AB740" i="4"/>
  <c r="AC740" i="4"/>
  <c r="AG740" i="4"/>
  <c r="AJ740" i="4"/>
  <c r="AM740" i="4"/>
  <c r="P741" i="4"/>
  <c r="AP741" i="4" s="1"/>
  <c r="Q741" i="4"/>
  <c r="AL741" i="4" s="1"/>
  <c r="R741" i="4"/>
  <c r="AR741" i="4" s="1"/>
  <c r="S741" i="4"/>
  <c r="U741" i="4"/>
  <c r="V741" i="4"/>
  <c r="W741" i="4"/>
  <c r="X741" i="4"/>
  <c r="Y741" i="4"/>
  <c r="Z741" i="4"/>
  <c r="AA741" i="4"/>
  <c r="AB741" i="4"/>
  <c r="AC741" i="4"/>
  <c r="AJ741" i="4"/>
  <c r="AN741" i="4"/>
  <c r="P742" i="4"/>
  <c r="AP742" i="4" s="1"/>
  <c r="Q742" i="4"/>
  <c r="AQ742" i="4" s="1"/>
  <c r="R742" i="4"/>
  <c r="AR742" i="4" s="1"/>
  <c r="S742" i="4"/>
  <c r="AN742" i="4" s="1"/>
  <c r="U742" i="4"/>
  <c r="V742" i="4"/>
  <c r="W742" i="4"/>
  <c r="X742" i="4"/>
  <c r="Y742" i="4"/>
  <c r="Z742" i="4"/>
  <c r="AA742" i="4"/>
  <c r="AB742" i="4"/>
  <c r="AC742" i="4"/>
  <c r="AE742" i="4"/>
  <c r="AG742" i="4"/>
  <c r="AJ742" i="4"/>
  <c r="AK742" i="4"/>
  <c r="AM742" i="4"/>
  <c r="P743" i="4"/>
  <c r="Q743" i="4"/>
  <c r="AQ743" i="4" s="1"/>
  <c r="R743" i="4"/>
  <c r="AR743" i="4" s="1"/>
  <c r="S743" i="4"/>
  <c r="AN743" i="4" s="1"/>
  <c r="U743" i="4"/>
  <c r="V743" i="4"/>
  <c r="W743" i="4"/>
  <c r="X743" i="4"/>
  <c r="Y743" i="4"/>
  <c r="Z743" i="4"/>
  <c r="AA743" i="4"/>
  <c r="AB743" i="4"/>
  <c r="AC743" i="4"/>
  <c r="AF743" i="4"/>
  <c r="AJ743" i="4"/>
  <c r="AK743" i="4"/>
  <c r="P744" i="4"/>
  <c r="AP744" i="4" s="1"/>
  <c r="Q744" i="4"/>
  <c r="R744" i="4"/>
  <c r="AR744" i="4" s="1"/>
  <c r="S744" i="4"/>
  <c r="AN744" i="4" s="1"/>
  <c r="U744" i="4"/>
  <c r="V744" i="4"/>
  <c r="W744" i="4"/>
  <c r="X744" i="4"/>
  <c r="Y744" i="4"/>
  <c r="Z744" i="4"/>
  <c r="AA744" i="4"/>
  <c r="AB744" i="4"/>
  <c r="AC744" i="4"/>
  <c r="AG744" i="4"/>
  <c r="AJ744" i="4"/>
  <c r="AK744" i="4"/>
  <c r="AL744" i="4"/>
  <c r="AM744" i="4"/>
  <c r="P745" i="4"/>
  <c r="Q745" i="4"/>
  <c r="AQ745" i="4" s="1"/>
  <c r="R745" i="4"/>
  <c r="S745" i="4"/>
  <c r="U745" i="4"/>
  <c r="V745" i="4"/>
  <c r="W745" i="4"/>
  <c r="X745" i="4"/>
  <c r="Y745" i="4"/>
  <c r="Z745" i="4"/>
  <c r="AA745" i="4"/>
  <c r="AB745" i="4"/>
  <c r="AC745" i="4"/>
  <c r="AF745" i="4"/>
  <c r="AJ745" i="4"/>
  <c r="AL745" i="4"/>
  <c r="AM745" i="4"/>
  <c r="AN745" i="4"/>
  <c r="P746" i="4"/>
  <c r="AP746" i="4" s="1"/>
  <c r="Q746" i="4"/>
  <c r="AF746" i="4" s="1"/>
  <c r="R746" i="4"/>
  <c r="AR746" i="4" s="1"/>
  <c r="S746" i="4"/>
  <c r="AN746" i="4" s="1"/>
  <c r="U746" i="4"/>
  <c r="V746" i="4"/>
  <c r="W746" i="4"/>
  <c r="X746" i="4"/>
  <c r="Y746" i="4"/>
  <c r="Z746" i="4"/>
  <c r="AA746" i="4"/>
  <c r="AB746" i="4"/>
  <c r="AC746" i="4"/>
  <c r="AE746" i="4"/>
  <c r="AG746" i="4"/>
  <c r="AJ746" i="4"/>
  <c r="AK746" i="4"/>
  <c r="AM746" i="4"/>
  <c r="P747" i="4"/>
  <c r="AP747" i="4" s="1"/>
  <c r="Q747" i="4"/>
  <c r="AQ747" i="4" s="1"/>
  <c r="R747" i="4"/>
  <c r="S747" i="4"/>
  <c r="U747" i="4"/>
  <c r="V747" i="4"/>
  <c r="W747" i="4"/>
  <c r="X747" i="4"/>
  <c r="Y747" i="4"/>
  <c r="Z747" i="4"/>
  <c r="AA747" i="4"/>
  <c r="AB747" i="4"/>
  <c r="AC747" i="4"/>
  <c r="AF747" i="4"/>
  <c r="AG747" i="4"/>
  <c r="AJ747" i="4"/>
  <c r="AL747" i="4"/>
  <c r="AN747" i="4"/>
  <c r="P748" i="4"/>
  <c r="AP748" i="4" s="1"/>
  <c r="Q748" i="4"/>
  <c r="AQ748" i="4" s="1"/>
  <c r="R748" i="4"/>
  <c r="AR748" i="4" s="1"/>
  <c r="S748" i="4"/>
  <c r="AN748" i="4" s="1"/>
  <c r="U748" i="4"/>
  <c r="V748" i="4"/>
  <c r="W748" i="4"/>
  <c r="X748" i="4"/>
  <c r="Y748" i="4"/>
  <c r="Z748" i="4"/>
  <c r="AA748" i="4"/>
  <c r="AB748" i="4"/>
  <c r="AC748" i="4"/>
  <c r="AG748" i="4"/>
  <c r="AJ748" i="4"/>
  <c r="AK748" i="4"/>
  <c r="P749" i="4"/>
  <c r="AP749" i="4" s="1"/>
  <c r="Q749" i="4"/>
  <c r="R749" i="4"/>
  <c r="AR749" i="4" s="1"/>
  <c r="S749" i="4"/>
  <c r="U749" i="4"/>
  <c r="V749" i="4"/>
  <c r="W749" i="4"/>
  <c r="X749" i="4"/>
  <c r="Y749" i="4"/>
  <c r="Z749" i="4"/>
  <c r="AA749" i="4"/>
  <c r="AB749" i="4"/>
  <c r="AC749" i="4"/>
  <c r="AJ749" i="4"/>
  <c r="AL749" i="4"/>
  <c r="AN749" i="4"/>
  <c r="P750" i="4"/>
  <c r="AP750" i="4" s="1"/>
  <c r="Q750" i="4"/>
  <c r="AQ750" i="4" s="1"/>
  <c r="R750" i="4"/>
  <c r="AR750" i="4" s="1"/>
  <c r="S750" i="4"/>
  <c r="AN750" i="4" s="1"/>
  <c r="U750" i="4"/>
  <c r="V750" i="4"/>
  <c r="W750" i="4"/>
  <c r="X750" i="4"/>
  <c r="Y750" i="4"/>
  <c r="Z750" i="4"/>
  <c r="AA750" i="4"/>
  <c r="AB750" i="4"/>
  <c r="AC750" i="4"/>
  <c r="AG750" i="4"/>
  <c r="AJ750" i="4"/>
  <c r="AK750" i="4"/>
  <c r="P751" i="4"/>
  <c r="Q751" i="4"/>
  <c r="AQ751" i="4" s="1"/>
  <c r="R751" i="4"/>
  <c r="AR751" i="4" s="1"/>
  <c r="S751" i="4"/>
  <c r="AN751" i="4" s="1"/>
  <c r="U751" i="4"/>
  <c r="V751" i="4"/>
  <c r="W751" i="4"/>
  <c r="X751" i="4"/>
  <c r="Y751" i="4"/>
  <c r="Z751" i="4"/>
  <c r="AA751" i="4"/>
  <c r="AB751" i="4"/>
  <c r="AC751" i="4"/>
  <c r="AF751" i="4"/>
  <c r="AJ751" i="4"/>
  <c r="AL751" i="4"/>
  <c r="P752" i="4"/>
  <c r="AP752" i="4" s="1"/>
  <c r="Q752" i="4"/>
  <c r="R752" i="4"/>
  <c r="AR752" i="4" s="1"/>
  <c r="S752" i="4"/>
  <c r="AN752" i="4" s="1"/>
  <c r="U752" i="4"/>
  <c r="V752" i="4"/>
  <c r="W752" i="4"/>
  <c r="X752" i="4"/>
  <c r="Y752" i="4"/>
  <c r="Z752" i="4"/>
  <c r="AA752" i="4"/>
  <c r="AB752" i="4"/>
  <c r="AC752" i="4"/>
  <c r="AG752" i="4"/>
  <c r="AJ752" i="4"/>
  <c r="AK752" i="4"/>
  <c r="P753" i="4"/>
  <c r="AE753" i="4" s="1"/>
  <c r="Q753" i="4"/>
  <c r="AQ753" i="4" s="1"/>
  <c r="R753" i="4"/>
  <c r="S753" i="4"/>
  <c r="U753" i="4"/>
  <c r="V753" i="4"/>
  <c r="W753" i="4"/>
  <c r="X753" i="4"/>
  <c r="Y753" i="4"/>
  <c r="Z753" i="4"/>
  <c r="AA753" i="4"/>
  <c r="AB753" i="4"/>
  <c r="AC753" i="4"/>
  <c r="AF753" i="4"/>
  <c r="AJ753" i="4"/>
  <c r="AL753" i="4"/>
  <c r="AN753" i="4"/>
  <c r="P754" i="4"/>
  <c r="AP754" i="4" s="1"/>
  <c r="Q754" i="4"/>
  <c r="R754" i="4"/>
  <c r="AR754" i="4" s="1"/>
  <c r="S754" i="4"/>
  <c r="AN754" i="4" s="1"/>
  <c r="U754" i="4"/>
  <c r="V754" i="4"/>
  <c r="W754" i="4"/>
  <c r="X754" i="4"/>
  <c r="Y754" i="4"/>
  <c r="Z754" i="4"/>
  <c r="AA754" i="4"/>
  <c r="AB754" i="4"/>
  <c r="AC754" i="4"/>
  <c r="AF754" i="4"/>
  <c r="AJ754" i="4"/>
  <c r="AM754" i="4"/>
  <c r="P755" i="4"/>
  <c r="AP755" i="4" s="1"/>
  <c r="Q755" i="4"/>
  <c r="AQ755" i="4" s="1"/>
  <c r="R755" i="4"/>
  <c r="S755" i="4"/>
  <c r="U755" i="4"/>
  <c r="V755" i="4"/>
  <c r="W755" i="4"/>
  <c r="X755" i="4"/>
  <c r="Y755" i="4"/>
  <c r="Z755" i="4"/>
  <c r="AA755" i="4"/>
  <c r="AB755" i="4"/>
  <c r="AC755" i="4"/>
  <c r="AF755" i="4"/>
  <c r="AG755" i="4"/>
  <c r="AJ755" i="4"/>
  <c r="AN755" i="4"/>
  <c r="P756" i="4"/>
  <c r="Q756" i="4"/>
  <c r="AQ756" i="4" s="1"/>
  <c r="R756" i="4"/>
  <c r="AR756" i="4" s="1"/>
  <c r="S756" i="4"/>
  <c r="AN756" i="4" s="1"/>
  <c r="U756" i="4"/>
  <c r="V756" i="4"/>
  <c r="W756" i="4"/>
  <c r="X756" i="4"/>
  <c r="Y756" i="4"/>
  <c r="Z756" i="4"/>
  <c r="AA756" i="4"/>
  <c r="AB756" i="4"/>
  <c r="AC756" i="4"/>
  <c r="AE756" i="4"/>
  <c r="AG756" i="4"/>
  <c r="AJ756" i="4"/>
  <c r="AM756" i="4"/>
  <c r="P757" i="4"/>
  <c r="AP757" i="4" s="1"/>
  <c r="Q757" i="4"/>
  <c r="AQ757" i="4" s="1"/>
  <c r="R757" i="4"/>
  <c r="AR757" i="4" s="1"/>
  <c r="S757" i="4"/>
  <c r="U757" i="4"/>
  <c r="V757" i="4"/>
  <c r="W757" i="4"/>
  <c r="X757" i="4"/>
  <c r="Y757" i="4"/>
  <c r="Z757" i="4"/>
  <c r="AA757" i="4"/>
  <c r="AB757" i="4"/>
  <c r="AC757" i="4"/>
  <c r="AJ757" i="4"/>
  <c r="AN757" i="4"/>
  <c r="P758" i="4"/>
  <c r="Q758" i="4"/>
  <c r="AQ758" i="4" s="1"/>
  <c r="R758" i="4"/>
  <c r="AR758" i="4" s="1"/>
  <c r="S758" i="4"/>
  <c r="AN758" i="4" s="1"/>
  <c r="U758" i="4"/>
  <c r="V758" i="4"/>
  <c r="W758" i="4"/>
  <c r="X758" i="4"/>
  <c r="Y758" i="4"/>
  <c r="Z758" i="4"/>
  <c r="AA758" i="4"/>
  <c r="AB758" i="4"/>
  <c r="AC758" i="4"/>
  <c r="AE758" i="4"/>
  <c r="AG758" i="4"/>
  <c r="AJ758" i="4"/>
  <c r="AM758" i="4"/>
  <c r="P759" i="4"/>
  <c r="Q759" i="4"/>
  <c r="R759" i="4"/>
  <c r="AR759" i="4" s="1"/>
  <c r="S759" i="4"/>
  <c r="U759" i="4"/>
  <c r="V759" i="4"/>
  <c r="W759" i="4"/>
  <c r="X759" i="4"/>
  <c r="Y759" i="4"/>
  <c r="Z759" i="4"/>
  <c r="AA759" i="4"/>
  <c r="AB759" i="4"/>
  <c r="AC759" i="4"/>
  <c r="AJ759" i="4"/>
  <c r="AK759" i="4"/>
  <c r="AN759" i="4"/>
  <c r="P760" i="4"/>
  <c r="AP760" i="4" s="1"/>
  <c r="Q760" i="4"/>
  <c r="R760" i="4"/>
  <c r="AR760" i="4" s="1"/>
  <c r="S760" i="4"/>
  <c r="U760" i="4"/>
  <c r="V760" i="4"/>
  <c r="W760" i="4"/>
  <c r="X760" i="4"/>
  <c r="Y760" i="4"/>
  <c r="Z760" i="4"/>
  <c r="AA760" i="4"/>
  <c r="AB760" i="4"/>
  <c r="AC760" i="4"/>
  <c r="AF760" i="4"/>
  <c r="AJ760" i="4"/>
  <c r="AM760" i="4"/>
  <c r="AN760" i="4"/>
  <c r="P761" i="4"/>
  <c r="AP761" i="4" s="1"/>
  <c r="Q761" i="4"/>
  <c r="AQ761" i="4" s="1"/>
  <c r="R761" i="4"/>
  <c r="S761" i="4"/>
  <c r="AN761" i="4" s="1"/>
  <c r="U761" i="4"/>
  <c r="V761" i="4"/>
  <c r="W761" i="4"/>
  <c r="X761" i="4"/>
  <c r="Y761" i="4"/>
  <c r="Z761" i="4"/>
  <c r="AA761" i="4"/>
  <c r="AB761" i="4"/>
  <c r="AC761" i="4"/>
  <c r="AF761" i="4"/>
  <c r="AG761" i="4"/>
  <c r="AJ761" i="4"/>
  <c r="AL761" i="4"/>
  <c r="P762" i="4"/>
  <c r="AP762" i="4" s="1"/>
  <c r="Q762" i="4"/>
  <c r="AQ762" i="4" s="1"/>
  <c r="R762" i="4"/>
  <c r="AR762" i="4" s="1"/>
  <c r="S762" i="4"/>
  <c r="AN762" i="4" s="1"/>
  <c r="U762" i="4"/>
  <c r="V762" i="4"/>
  <c r="W762" i="4"/>
  <c r="X762" i="4"/>
  <c r="Y762" i="4"/>
  <c r="Z762" i="4"/>
  <c r="AA762" i="4"/>
  <c r="AB762" i="4"/>
  <c r="AC762" i="4"/>
  <c r="AE762" i="4"/>
  <c r="AJ762" i="4"/>
  <c r="AK762" i="4"/>
  <c r="P763" i="4"/>
  <c r="AP763" i="4" s="1"/>
  <c r="Q763" i="4"/>
  <c r="AQ763" i="4" s="1"/>
  <c r="R763" i="4"/>
  <c r="AR763" i="4" s="1"/>
  <c r="S763" i="4"/>
  <c r="AN763" i="4" s="1"/>
  <c r="U763" i="4"/>
  <c r="V763" i="4"/>
  <c r="W763" i="4"/>
  <c r="X763" i="4"/>
  <c r="Y763" i="4"/>
  <c r="Z763" i="4"/>
  <c r="AA763" i="4"/>
  <c r="AB763" i="4"/>
  <c r="AC763" i="4"/>
  <c r="AE763" i="4"/>
  <c r="AJ763" i="4"/>
  <c r="AK763" i="4"/>
  <c r="AL763" i="4"/>
  <c r="P764" i="4"/>
  <c r="AP764" i="4" s="1"/>
  <c r="Q764" i="4"/>
  <c r="AQ764" i="4" s="1"/>
  <c r="R764" i="4"/>
  <c r="AR764" i="4" s="1"/>
  <c r="S764" i="4"/>
  <c r="AN764" i="4" s="1"/>
  <c r="U764" i="4"/>
  <c r="V764" i="4"/>
  <c r="W764" i="4"/>
  <c r="X764" i="4"/>
  <c r="Y764" i="4"/>
  <c r="Z764" i="4"/>
  <c r="AA764" i="4"/>
  <c r="AB764" i="4"/>
  <c r="AC764" i="4"/>
  <c r="AE764" i="4"/>
  <c r="AG764" i="4"/>
  <c r="AJ764" i="4"/>
  <c r="AK764" i="4"/>
  <c r="AM764" i="4"/>
  <c r="P765" i="4"/>
  <c r="Q765" i="4"/>
  <c r="AQ765" i="4" s="1"/>
  <c r="R765" i="4"/>
  <c r="AR765" i="4" s="1"/>
  <c r="S765" i="4"/>
  <c r="U765" i="4"/>
  <c r="V765" i="4"/>
  <c r="W765" i="4"/>
  <c r="X765" i="4"/>
  <c r="Y765" i="4"/>
  <c r="Z765" i="4"/>
  <c r="AA765" i="4"/>
  <c r="AB765" i="4"/>
  <c r="AC765" i="4"/>
  <c r="AE765" i="4"/>
  <c r="AG765" i="4"/>
  <c r="AJ765" i="4"/>
  <c r="AL765" i="4"/>
  <c r="AM765" i="4"/>
  <c r="AN765" i="4"/>
  <c r="P766" i="4"/>
  <c r="Q766" i="4"/>
  <c r="AF766" i="4" s="1"/>
  <c r="R766" i="4"/>
  <c r="AR766" i="4" s="1"/>
  <c r="S766" i="4"/>
  <c r="AN766" i="4" s="1"/>
  <c r="U766" i="4"/>
  <c r="V766" i="4"/>
  <c r="W766" i="4"/>
  <c r="X766" i="4"/>
  <c r="Y766" i="4"/>
  <c r="Z766" i="4"/>
  <c r="AA766" i="4"/>
  <c r="AB766" i="4"/>
  <c r="AC766" i="4"/>
  <c r="AE766" i="4"/>
  <c r="AG766" i="4"/>
  <c r="AJ766" i="4"/>
  <c r="AM766" i="4"/>
  <c r="P767" i="4"/>
  <c r="Q767" i="4"/>
  <c r="R767" i="4"/>
  <c r="S767" i="4"/>
  <c r="U767" i="4"/>
  <c r="V767" i="4"/>
  <c r="W767" i="4"/>
  <c r="X767" i="4"/>
  <c r="Y767" i="4"/>
  <c r="Z767" i="4"/>
  <c r="AA767" i="4"/>
  <c r="AB767" i="4"/>
  <c r="AC767" i="4"/>
  <c r="AF767" i="4"/>
  <c r="AG767" i="4"/>
  <c r="AJ767" i="4"/>
  <c r="AN767" i="4"/>
  <c r="P768" i="4"/>
  <c r="AP768" i="4" s="1"/>
  <c r="Q768" i="4"/>
  <c r="R768" i="4"/>
  <c r="S768" i="4"/>
  <c r="AN768" i="4" s="1"/>
  <c r="U768" i="4"/>
  <c r="V768" i="4"/>
  <c r="W768" i="4"/>
  <c r="X768" i="4"/>
  <c r="Y768" i="4"/>
  <c r="Z768" i="4"/>
  <c r="AA768" i="4"/>
  <c r="AB768" i="4"/>
  <c r="AC768" i="4"/>
  <c r="AG768" i="4"/>
  <c r="AJ768" i="4"/>
  <c r="P769" i="4"/>
  <c r="AP769" i="4" s="1"/>
  <c r="Q769" i="4"/>
  <c r="AQ769" i="4" s="1"/>
  <c r="R769" i="4"/>
  <c r="S769" i="4"/>
  <c r="AN769" i="4" s="1"/>
  <c r="U769" i="4"/>
  <c r="V769" i="4"/>
  <c r="W769" i="4"/>
  <c r="X769" i="4"/>
  <c r="Y769" i="4"/>
  <c r="Z769" i="4"/>
  <c r="AA769" i="4"/>
  <c r="AB769" i="4"/>
  <c r="AC769" i="4"/>
  <c r="AJ769" i="4"/>
  <c r="P770" i="4"/>
  <c r="AP770" i="4" s="1"/>
  <c r="Q770" i="4"/>
  <c r="AQ770" i="4" s="1"/>
  <c r="R770" i="4"/>
  <c r="AR770" i="4" s="1"/>
  <c r="S770" i="4"/>
  <c r="AN770" i="4" s="1"/>
  <c r="U770" i="4"/>
  <c r="V770" i="4"/>
  <c r="W770" i="4"/>
  <c r="X770" i="4"/>
  <c r="Y770" i="4"/>
  <c r="Z770" i="4"/>
  <c r="AA770" i="4"/>
  <c r="AB770" i="4"/>
  <c r="AC770" i="4"/>
  <c r="AJ770" i="4"/>
  <c r="P771" i="4"/>
  <c r="AP771" i="4" s="1"/>
  <c r="Q771" i="4"/>
  <c r="AQ771" i="4" s="1"/>
  <c r="R771" i="4"/>
  <c r="AR771" i="4" s="1"/>
  <c r="S771" i="4"/>
  <c r="AN771" i="4" s="1"/>
  <c r="U771" i="4"/>
  <c r="V771" i="4"/>
  <c r="W771" i="4"/>
  <c r="X771" i="4"/>
  <c r="Y771" i="4"/>
  <c r="Z771" i="4"/>
  <c r="AA771" i="4"/>
  <c r="AB771" i="4"/>
  <c r="AC771" i="4"/>
  <c r="AF771" i="4"/>
  <c r="AJ771" i="4"/>
  <c r="AK771" i="4"/>
  <c r="AL771" i="4"/>
  <c r="P772" i="4"/>
  <c r="AP772" i="4" s="1"/>
  <c r="Q772" i="4"/>
  <c r="AQ772" i="4" s="1"/>
  <c r="R772" i="4"/>
  <c r="AR772" i="4" s="1"/>
  <c r="S772" i="4"/>
  <c r="AN772" i="4" s="1"/>
  <c r="U772" i="4"/>
  <c r="V772" i="4"/>
  <c r="W772" i="4"/>
  <c r="X772" i="4"/>
  <c r="Y772" i="4"/>
  <c r="Z772" i="4"/>
  <c r="AA772" i="4"/>
  <c r="AB772" i="4"/>
  <c r="AC772" i="4"/>
  <c r="AF772" i="4"/>
  <c r="AJ772" i="4"/>
  <c r="AL772" i="4"/>
  <c r="P773" i="4"/>
  <c r="AE773" i="4" s="1"/>
  <c r="Q773" i="4"/>
  <c r="AQ773" i="4" s="1"/>
  <c r="R773" i="4"/>
  <c r="AR773" i="4" s="1"/>
  <c r="S773" i="4"/>
  <c r="U773" i="4"/>
  <c r="V773" i="4"/>
  <c r="W773" i="4"/>
  <c r="X773" i="4"/>
  <c r="Y773" i="4"/>
  <c r="Z773" i="4"/>
  <c r="AA773" i="4"/>
  <c r="AB773" i="4"/>
  <c r="AC773" i="4"/>
  <c r="AF773" i="4"/>
  <c r="AJ773" i="4"/>
  <c r="AL773" i="4"/>
  <c r="AM773" i="4"/>
  <c r="AN773" i="4"/>
  <c r="P774" i="4"/>
  <c r="AE774" i="4" s="1"/>
  <c r="Q774" i="4"/>
  <c r="R774" i="4"/>
  <c r="AR774" i="4" s="1"/>
  <c r="S774" i="4"/>
  <c r="U774" i="4"/>
  <c r="V774" i="4"/>
  <c r="W774" i="4"/>
  <c r="X774" i="4"/>
  <c r="Y774" i="4"/>
  <c r="Z774" i="4"/>
  <c r="AA774" i="4"/>
  <c r="AB774" i="4"/>
  <c r="AC774" i="4"/>
  <c r="AF774" i="4"/>
  <c r="AJ774" i="4"/>
  <c r="AN774" i="4"/>
  <c r="P775" i="4"/>
  <c r="AP775" i="4" s="1"/>
  <c r="Q775" i="4"/>
  <c r="R775" i="4"/>
  <c r="S775" i="4"/>
  <c r="AN775" i="4" s="1"/>
  <c r="U775" i="4"/>
  <c r="V775" i="4"/>
  <c r="W775" i="4"/>
  <c r="X775" i="4"/>
  <c r="Y775" i="4"/>
  <c r="Z775" i="4"/>
  <c r="AA775" i="4"/>
  <c r="AB775" i="4"/>
  <c r="AC775" i="4"/>
  <c r="AF775" i="4"/>
  <c r="AG775" i="4"/>
  <c r="AJ775" i="4"/>
  <c r="P776" i="4"/>
  <c r="AP776" i="4" s="1"/>
  <c r="Q776" i="4"/>
  <c r="AQ776" i="4" s="1"/>
  <c r="R776" i="4"/>
  <c r="AG776" i="4" s="1"/>
  <c r="S776" i="4"/>
  <c r="AN776" i="4" s="1"/>
  <c r="U776" i="4"/>
  <c r="V776" i="4"/>
  <c r="W776" i="4"/>
  <c r="X776" i="4"/>
  <c r="Y776" i="4"/>
  <c r="Z776" i="4"/>
  <c r="AA776" i="4"/>
  <c r="AB776" i="4"/>
  <c r="AC776" i="4"/>
  <c r="AJ776" i="4"/>
  <c r="P777" i="4"/>
  <c r="AP777" i="4" s="1"/>
  <c r="Q777" i="4"/>
  <c r="AQ777" i="4" s="1"/>
  <c r="R777" i="4"/>
  <c r="AR777" i="4" s="1"/>
  <c r="S777" i="4"/>
  <c r="AN777" i="4" s="1"/>
  <c r="U777" i="4"/>
  <c r="V777" i="4"/>
  <c r="W777" i="4"/>
  <c r="X777" i="4"/>
  <c r="Y777" i="4"/>
  <c r="Z777" i="4"/>
  <c r="AA777" i="4"/>
  <c r="AB777" i="4"/>
  <c r="AC777" i="4"/>
  <c r="AJ777" i="4"/>
  <c r="P778" i="4"/>
  <c r="AP778" i="4" s="1"/>
  <c r="Q778" i="4"/>
  <c r="AQ778" i="4" s="1"/>
  <c r="R778" i="4"/>
  <c r="AR778" i="4" s="1"/>
  <c r="S778" i="4"/>
  <c r="AN778" i="4" s="1"/>
  <c r="U778" i="4"/>
  <c r="V778" i="4"/>
  <c r="W778" i="4"/>
  <c r="X778" i="4"/>
  <c r="Y778" i="4"/>
  <c r="Z778" i="4"/>
  <c r="AA778" i="4"/>
  <c r="AB778" i="4"/>
  <c r="AC778" i="4"/>
  <c r="AE778" i="4"/>
  <c r="AJ778" i="4"/>
  <c r="AK778" i="4"/>
  <c r="P779" i="4"/>
  <c r="AP779" i="4" s="1"/>
  <c r="Q779" i="4"/>
  <c r="AQ779" i="4" s="1"/>
  <c r="R779" i="4"/>
  <c r="AR779" i="4" s="1"/>
  <c r="S779" i="4"/>
  <c r="AN779" i="4" s="1"/>
  <c r="U779" i="4"/>
  <c r="V779" i="4"/>
  <c r="W779" i="4"/>
  <c r="X779" i="4"/>
  <c r="Y779" i="4"/>
  <c r="Z779" i="4"/>
  <c r="AA779" i="4"/>
  <c r="AB779" i="4"/>
  <c r="AC779" i="4"/>
  <c r="AE779" i="4"/>
  <c r="AJ779" i="4"/>
  <c r="AK779" i="4"/>
  <c r="AL779" i="4"/>
  <c r="P780" i="4"/>
  <c r="AP780" i="4" s="1"/>
  <c r="Q780" i="4"/>
  <c r="AQ780" i="4" s="1"/>
  <c r="R780" i="4"/>
  <c r="AR780" i="4" s="1"/>
  <c r="S780" i="4"/>
  <c r="AN780" i="4" s="1"/>
  <c r="U780" i="4"/>
  <c r="V780" i="4"/>
  <c r="W780" i="4"/>
  <c r="X780" i="4"/>
  <c r="Y780" i="4"/>
  <c r="Z780" i="4"/>
  <c r="AA780" i="4"/>
  <c r="AB780" i="4"/>
  <c r="AC780" i="4"/>
  <c r="AE780" i="4"/>
  <c r="AG780" i="4"/>
  <c r="AJ780" i="4"/>
  <c r="AK780" i="4"/>
  <c r="AM780" i="4"/>
  <c r="P781" i="4"/>
  <c r="Q781" i="4"/>
  <c r="AQ781" i="4" s="1"/>
  <c r="R781" i="4"/>
  <c r="AR781" i="4" s="1"/>
  <c r="S781" i="4"/>
  <c r="U781" i="4"/>
  <c r="V781" i="4"/>
  <c r="W781" i="4"/>
  <c r="X781" i="4"/>
  <c r="Y781" i="4"/>
  <c r="Z781" i="4"/>
  <c r="AA781" i="4"/>
  <c r="AB781" i="4"/>
  <c r="AC781" i="4"/>
  <c r="AE781" i="4"/>
  <c r="AG781" i="4"/>
  <c r="AJ781" i="4"/>
  <c r="AL781" i="4"/>
  <c r="AM781" i="4"/>
  <c r="AN781" i="4"/>
  <c r="P782" i="4"/>
  <c r="Q782" i="4"/>
  <c r="AF782" i="4" s="1"/>
  <c r="R782" i="4"/>
  <c r="AR782" i="4" s="1"/>
  <c r="S782" i="4"/>
  <c r="AN782" i="4" s="1"/>
  <c r="U782" i="4"/>
  <c r="V782" i="4"/>
  <c r="W782" i="4"/>
  <c r="X782" i="4"/>
  <c r="Y782" i="4"/>
  <c r="Z782" i="4"/>
  <c r="AA782" i="4"/>
  <c r="AB782" i="4"/>
  <c r="AC782" i="4"/>
  <c r="AE782" i="4"/>
  <c r="AG782" i="4"/>
  <c r="AJ782" i="4"/>
  <c r="AM782" i="4"/>
  <c r="P783" i="4"/>
  <c r="AP783" i="4" s="1"/>
  <c r="Q783" i="4"/>
  <c r="R783" i="4"/>
  <c r="S783" i="4"/>
  <c r="U783" i="4"/>
  <c r="V783" i="4"/>
  <c r="W783" i="4"/>
  <c r="X783" i="4"/>
  <c r="Y783" i="4"/>
  <c r="Z783" i="4"/>
  <c r="AA783" i="4"/>
  <c r="AB783" i="4"/>
  <c r="AC783" i="4"/>
  <c r="AF783" i="4"/>
  <c r="AG783" i="4"/>
  <c r="AJ783" i="4"/>
  <c r="AN783" i="4"/>
  <c r="P784" i="4"/>
  <c r="AP784" i="4" s="1"/>
  <c r="Q784" i="4"/>
  <c r="AQ784" i="4" s="1"/>
  <c r="R784" i="4"/>
  <c r="S784" i="4"/>
  <c r="AN784" i="4" s="1"/>
  <c r="U784" i="4"/>
  <c r="V784" i="4"/>
  <c r="W784" i="4"/>
  <c r="X784" i="4"/>
  <c r="Y784" i="4"/>
  <c r="Z784" i="4"/>
  <c r="AA784" i="4"/>
  <c r="AB784" i="4"/>
  <c r="AC784" i="4"/>
  <c r="AG784" i="4"/>
  <c r="AJ784" i="4"/>
  <c r="P785" i="4"/>
  <c r="AP785" i="4" s="1"/>
  <c r="Q785" i="4"/>
  <c r="AQ785" i="4" s="1"/>
  <c r="R785" i="4"/>
  <c r="AR785" i="4" s="1"/>
  <c r="S785" i="4"/>
  <c r="AN785" i="4" s="1"/>
  <c r="U785" i="4"/>
  <c r="V785" i="4"/>
  <c r="W785" i="4"/>
  <c r="X785" i="4"/>
  <c r="Y785" i="4"/>
  <c r="Z785" i="4"/>
  <c r="AA785" i="4"/>
  <c r="AB785" i="4"/>
  <c r="AC785" i="4"/>
  <c r="AJ785" i="4"/>
  <c r="P786" i="4"/>
  <c r="AP786" i="4" s="1"/>
  <c r="Q786" i="4"/>
  <c r="AQ786" i="4" s="1"/>
  <c r="R786" i="4"/>
  <c r="AR786" i="4" s="1"/>
  <c r="S786" i="4"/>
  <c r="AN786" i="4" s="1"/>
  <c r="U786" i="4"/>
  <c r="V786" i="4"/>
  <c r="W786" i="4"/>
  <c r="X786" i="4"/>
  <c r="Y786" i="4"/>
  <c r="Z786" i="4"/>
  <c r="AA786" i="4"/>
  <c r="AB786" i="4"/>
  <c r="AC786" i="4"/>
  <c r="AJ786" i="4"/>
  <c r="P787" i="4"/>
  <c r="AP787" i="4" s="1"/>
  <c r="Q787" i="4"/>
  <c r="AQ787" i="4" s="1"/>
  <c r="R787" i="4"/>
  <c r="AR787" i="4" s="1"/>
  <c r="S787" i="4"/>
  <c r="AN787" i="4" s="1"/>
  <c r="U787" i="4"/>
  <c r="V787" i="4"/>
  <c r="W787" i="4"/>
  <c r="X787" i="4"/>
  <c r="Y787" i="4"/>
  <c r="Z787" i="4"/>
  <c r="AA787" i="4"/>
  <c r="AB787" i="4"/>
  <c r="AC787" i="4"/>
  <c r="AF787" i="4"/>
  <c r="AJ787" i="4"/>
  <c r="AK787" i="4"/>
  <c r="AL787" i="4"/>
  <c r="P788" i="4"/>
  <c r="AP788" i="4" s="1"/>
  <c r="Q788" i="4"/>
  <c r="AQ788" i="4" s="1"/>
  <c r="R788" i="4"/>
  <c r="AR788" i="4" s="1"/>
  <c r="S788" i="4"/>
  <c r="AN788" i="4" s="1"/>
  <c r="U788" i="4"/>
  <c r="V788" i="4"/>
  <c r="W788" i="4"/>
  <c r="X788" i="4"/>
  <c r="Y788" i="4"/>
  <c r="Z788" i="4"/>
  <c r="AA788" i="4"/>
  <c r="AB788" i="4"/>
  <c r="AC788" i="4"/>
  <c r="AF788" i="4"/>
  <c r="AJ788" i="4"/>
  <c r="AL788" i="4"/>
  <c r="P789" i="4"/>
  <c r="AE789" i="4" s="1"/>
  <c r="Q789" i="4"/>
  <c r="AQ789" i="4" s="1"/>
  <c r="R789" i="4"/>
  <c r="AR789" i="4" s="1"/>
  <c r="S789" i="4"/>
  <c r="U789" i="4"/>
  <c r="V789" i="4"/>
  <c r="W789" i="4"/>
  <c r="X789" i="4"/>
  <c r="Y789" i="4"/>
  <c r="Z789" i="4"/>
  <c r="AA789" i="4"/>
  <c r="AB789" i="4"/>
  <c r="AC789" i="4"/>
  <c r="AF789" i="4"/>
  <c r="AJ789" i="4"/>
  <c r="AL789" i="4"/>
  <c r="AM789" i="4"/>
  <c r="AN789" i="4"/>
  <c r="P790" i="4"/>
  <c r="AE790" i="4" s="1"/>
  <c r="Q790" i="4"/>
  <c r="R790" i="4"/>
  <c r="AR790" i="4" s="1"/>
  <c r="S790" i="4"/>
  <c r="U790" i="4"/>
  <c r="V790" i="4"/>
  <c r="W790" i="4"/>
  <c r="X790" i="4"/>
  <c r="Y790" i="4"/>
  <c r="Z790" i="4"/>
  <c r="AA790" i="4"/>
  <c r="AB790" i="4"/>
  <c r="AC790" i="4"/>
  <c r="AF790" i="4"/>
  <c r="AJ790" i="4"/>
  <c r="AN790" i="4"/>
  <c r="P791" i="4"/>
  <c r="AP791" i="4" s="1"/>
  <c r="Q791" i="4"/>
  <c r="R791" i="4"/>
  <c r="S791" i="4"/>
  <c r="AN791" i="4" s="1"/>
  <c r="U791" i="4"/>
  <c r="V791" i="4"/>
  <c r="W791" i="4"/>
  <c r="X791" i="4"/>
  <c r="Y791" i="4"/>
  <c r="Z791" i="4"/>
  <c r="AA791" i="4"/>
  <c r="AB791" i="4"/>
  <c r="AC791" i="4"/>
  <c r="AF791" i="4"/>
  <c r="AG791" i="4"/>
  <c r="AJ791" i="4"/>
  <c r="P792" i="4"/>
  <c r="AP792" i="4" s="1"/>
  <c r="Q792" i="4"/>
  <c r="AQ792" i="4" s="1"/>
  <c r="R792" i="4"/>
  <c r="AG792" i="4" s="1"/>
  <c r="S792" i="4"/>
  <c r="AN792" i="4" s="1"/>
  <c r="U792" i="4"/>
  <c r="V792" i="4"/>
  <c r="W792" i="4"/>
  <c r="X792" i="4"/>
  <c r="Y792" i="4"/>
  <c r="Z792" i="4"/>
  <c r="AA792" i="4"/>
  <c r="AB792" i="4"/>
  <c r="AC792" i="4"/>
  <c r="AJ792" i="4"/>
  <c r="P793" i="4"/>
  <c r="AP793" i="4" s="1"/>
  <c r="Q793" i="4"/>
  <c r="AQ793" i="4" s="1"/>
  <c r="R793" i="4"/>
  <c r="AR793" i="4" s="1"/>
  <c r="S793" i="4"/>
  <c r="AN793" i="4" s="1"/>
  <c r="U793" i="4"/>
  <c r="V793" i="4"/>
  <c r="W793" i="4"/>
  <c r="X793" i="4"/>
  <c r="Y793" i="4"/>
  <c r="Z793" i="4"/>
  <c r="AA793" i="4"/>
  <c r="AB793" i="4"/>
  <c r="AC793" i="4"/>
  <c r="AJ793" i="4"/>
  <c r="P794" i="4"/>
  <c r="AP794" i="4" s="1"/>
  <c r="Q794" i="4"/>
  <c r="AL794" i="4" s="1"/>
  <c r="R794" i="4"/>
  <c r="AR794" i="4" s="1"/>
  <c r="S794" i="4"/>
  <c r="AN794" i="4" s="1"/>
  <c r="U794" i="4"/>
  <c r="V794" i="4"/>
  <c r="W794" i="4"/>
  <c r="X794" i="4"/>
  <c r="Y794" i="4"/>
  <c r="Z794" i="4"/>
  <c r="AA794" i="4"/>
  <c r="AB794" i="4"/>
  <c r="AC794" i="4"/>
  <c r="AE794" i="4"/>
  <c r="AJ794" i="4"/>
  <c r="AK794" i="4"/>
  <c r="P795" i="4"/>
  <c r="AP795" i="4" s="1"/>
  <c r="Q795" i="4"/>
  <c r="AQ795" i="4" s="1"/>
  <c r="R795" i="4"/>
  <c r="S795" i="4"/>
  <c r="AN795" i="4" s="1"/>
  <c r="U795" i="4"/>
  <c r="V795" i="4"/>
  <c r="W795" i="4"/>
  <c r="X795" i="4"/>
  <c r="Y795" i="4"/>
  <c r="Z795" i="4"/>
  <c r="AA795" i="4"/>
  <c r="AB795" i="4"/>
  <c r="AC795" i="4"/>
  <c r="AF795" i="4"/>
  <c r="AJ795" i="4"/>
  <c r="AK795" i="4"/>
  <c r="AL795" i="4"/>
  <c r="AM795" i="4"/>
  <c r="P796" i="4"/>
  <c r="AP796" i="4" s="1"/>
  <c r="Q796" i="4"/>
  <c r="AQ796" i="4" s="1"/>
  <c r="R796" i="4"/>
  <c r="AR796" i="4" s="1"/>
  <c r="S796" i="4"/>
  <c r="AN796" i="4" s="1"/>
  <c r="U796" i="4"/>
  <c r="V796" i="4"/>
  <c r="W796" i="4"/>
  <c r="X796" i="4"/>
  <c r="Y796" i="4"/>
  <c r="Z796" i="4"/>
  <c r="AA796" i="4"/>
  <c r="AB796" i="4"/>
  <c r="AC796" i="4"/>
  <c r="AE796" i="4"/>
  <c r="AG796" i="4"/>
  <c r="AJ796" i="4"/>
  <c r="AK796" i="4"/>
  <c r="AM796" i="4"/>
  <c r="P797" i="4"/>
  <c r="Q797" i="4"/>
  <c r="AQ797" i="4" s="1"/>
  <c r="R797" i="4"/>
  <c r="AR797" i="4" s="1"/>
  <c r="S797" i="4"/>
  <c r="U797" i="4"/>
  <c r="V797" i="4"/>
  <c r="W797" i="4"/>
  <c r="X797" i="4"/>
  <c r="Y797" i="4"/>
  <c r="Z797" i="4"/>
  <c r="AA797" i="4"/>
  <c r="AB797" i="4"/>
  <c r="AC797" i="4"/>
  <c r="AE797" i="4"/>
  <c r="AG797" i="4"/>
  <c r="AJ797" i="4"/>
  <c r="AL797" i="4"/>
  <c r="AM797" i="4"/>
  <c r="AN797" i="4"/>
  <c r="P798" i="4"/>
  <c r="AP798" i="4" s="1"/>
  <c r="Q798" i="4"/>
  <c r="R798" i="4"/>
  <c r="AR798" i="4" s="1"/>
  <c r="S798" i="4"/>
  <c r="U798" i="4"/>
  <c r="V798" i="4"/>
  <c r="W798" i="4"/>
  <c r="X798" i="4"/>
  <c r="Y798" i="4"/>
  <c r="Z798" i="4"/>
  <c r="AA798" i="4"/>
  <c r="AB798" i="4"/>
  <c r="AC798" i="4"/>
  <c r="AF798" i="4"/>
  <c r="AG798" i="4"/>
  <c r="AJ798" i="4"/>
  <c r="AM798" i="4"/>
  <c r="AN798" i="4"/>
  <c r="P799" i="4"/>
  <c r="AP799" i="4" s="1"/>
  <c r="Q799" i="4"/>
  <c r="R799" i="4"/>
  <c r="S799" i="4"/>
  <c r="AN799" i="4" s="1"/>
  <c r="U799" i="4"/>
  <c r="V799" i="4"/>
  <c r="W799" i="4"/>
  <c r="X799" i="4"/>
  <c r="Y799" i="4"/>
  <c r="Z799" i="4"/>
  <c r="AA799" i="4"/>
  <c r="AB799" i="4"/>
  <c r="AC799" i="4"/>
  <c r="AF799" i="4"/>
  <c r="AG799" i="4"/>
  <c r="AJ799" i="4"/>
  <c r="P800" i="4"/>
  <c r="AP800" i="4" s="1"/>
  <c r="Q800" i="4"/>
  <c r="AQ800" i="4" s="1"/>
  <c r="R800" i="4"/>
  <c r="AR800" i="4" s="1"/>
  <c r="S800" i="4"/>
  <c r="AN800" i="4" s="1"/>
  <c r="U800" i="4"/>
  <c r="V800" i="4"/>
  <c r="W800" i="4"/>
  <c r="X800" i="4"/>
  <c r="Y800" i="4"/>
  <c r="Z800" i="4"/>
  <c r="AA800" i="4"/>
  <c r="AB800" i="4"/>
  <c r="AC800" i="4"/>
  <c r="AJ800" i="4"/>
  <c r="P801" i="4"/>
  <c r="Q801" i="4"/>
  <c r="AQ801" i="4" s="1"/>
  <c r="R801" i="4"/>
  <c r="AR801" i="4" s="1"/>
  <c r="S801" i="4"/>
  <c r="AN801" i="4" s="1"/>
  <c r="U801" i="4"/>
  <c r="V801" i="4"/>
  <c r="W801" i="4"/>
  <c r="X801" i="4"/>
  <c r="Y801" i="4"/>
  <c r="Z801" i="4"/>
  <c r="AA801" i="4"/>
  <c r="AB801" i="4"/>
  <c r="AC801" i="4"/>
  <c r="AJ801" i="4"/>
  <c r="AK801" i="4"/>
  <c r="P802" i="4"/>
  <c r="AP802" i="4" s="1"/>
  <c r="Q802" i="4"/>
  <c r="AL802" i="4" s="1"/>
  <c r="R802" i="4"/>
  <c r="AR802" i="4" s="1"/>
  <c r="S802" i="4"/>
  <c r="AN802" i="4" s="1"/>
  <c r="U802" i="4"/>
  <c r="V802" i="4"/>
  <c r="W802" i="4"/>
  <c r="X802" i="4"/>
  <c r="Y802" i="4"/>
  <c r="Z802" i="4"/>
  <c r="AA802" i="4"/>
  <c r="AB802" i="4"/>
  <c r="AC802" i="4"/>
  <c r="AE802" i="4"/>
  <c r="AJ802" i="4"/>
  <c r="AK802" i="4"/>
  <c r="P803" i="4"/>
  <c r="AP803" i="4" s="1"/>
  <c r="Q803" i="4"/>
  <c r="AQ803" i="4" s="1"/>
  <c r="R803" i="4"/>
  <c r="S803" i="4"/>
  <c r="AN803" i="4" s="1"/>
  <c r="U803" i="4"/>
  <c r="V803" i="4"/>
  <c r="W803" i="4"/>
  <c r="X803" i="4"/>
  <c r="Y803" i="4"/>
  <c r="Z803" i="4"/>
  <c r="AA803" i="4"/>
  <c r="AB803" i="4"/>
  <c r="AC803" i="4"/>
  <c r="AF803" i="4"/>
  <c r="AJ803" i="4"/>
  <c r="AK803" i="4"/>
  <c r="AL803" i="4"/>
  <c r="AM803" i="4"/>
  <c r="P804" i="4"/>
  <c r="AP804" i="4" s="1"/>
  <c r="Q804" i="4"/>
  <c r="AQ804" i="4" s="1"/>
  <c r="R804" i="4"/>
  <c r="AR804" i="4" s="1"/>
  <c r="S804" i="4"/>
  <c r="AN804" i="4" s="1"/>
  <c r="U804" i="4"/>
  <c r="V804" i="4"/>
  <c r="W804" i="4"/>
  <c r="X804" i="4"/>
  <c r="Y804" i="4"/>
  <c r="Z804" i="4"/>
  <c r="AA804" i="4"/>
  <c r="AB804" i="4"/>
  <c r="AC804" i="4"/>
  <c r="AE804" i="4"/>
  <c r="AG804" i="4"/>
  <c r="AJ804" i="4"/>
  <c r="AK804" i="4"/>
  <c r="AM804" i="4"/>
  <c r="P805" i="4"/>
  <c r="AE805" i="4" s="1"/>
  <c r="Q805" i="4"/>
  <c r="AQ805" i="4" s="1"/>
  <c r="R805" i="4"/>
  <c r="AR805" i="4" s="1"/>
  <c r="S805" i="4"/>
  <c r="U805" i="4"/>
  <c r="V805" i="4"/>
  <c r="W805" i="4"/>
  <c r="X805" i="4"/>
  <c r="Y805" i="4"/>
  <c r="Z805" i="4"/>
  <c r="AA805" i="4"/>
  <c r="AB805" i="4"/>
  <c r="AC805" i="4"/>
  <c r="AF805" i="4"/>
  <c r="AJ805" i="4"/>
  <c r="AL805" i="4"/>
  <c r="AM805" i="4"/>
  <c r="AN805" i="4"/>
  <c r="P806" i="4"/>
  <c r="AE806" i="4" s="1"/>
  <c r="Q806" i="4"/>
  <c r="R806" i="4"/>
  <c r="AR806" i="4" s="1"/>
  <c r="S806" i="4"/>
  <c r="U806" i="4"/>
  <c r="V806" i="4"/>
  <c r="W806" i="4"/>
  <c r="X806" i="4"/>
  <c r="Y806" i="4"/>
  <c r="Z806" i="4"/>
  <c r="AA806" i="4"/>
  <c r="AB806" i="4"/>
  <c r="AC806" i="4"/>
  <c r="AF806" i="4"/>
  <c r="AJ806" i="4"/>
  <c r="AN806" i="4"/>
  <c r="P807" i="4"/>
  <c r="AP807" i="4" s="1"/>
  <c r="Q807" i="4"/>
  <c r="R807" i="4"/>
  <c r="S807" i="4"/>
  <c r="AN807" i="4" s="1"/>
  <c r="U807" i="4"/>
  <c r="V807" i="4"/>
  <c r="W807" i="4"/>
  <c r="X807" i="4"/>
  <c r="Y807" i="4"/>
  <c r="Z807" i="4"/>
  <c r="AA807" i="4"/>
  <c r="AB807" i="4"/>
  <c r="AC807" i="4"/>
  <c r="AF807" i="4"/>
  <c r="AG807" i="4"/>
  <c r="AJ807" i="4"/>
  <c r="P808" i="4"/>
  <c r="AP808" i="4" s="1"/>
  <c r="Q808" i="4"/>
  <c r="AQ808" i="4" s="1"/>
  <c r="R808" i="4"/>
  <c r="AR808" i="4" s="1"/>
  <c r="S808" i="4"/>
  <c r="AN808" i="4" s="1"/>
  <c r="U808" i="4"/>
  <c r="V808" i="4"/>
  <c r="W808" i="4"/>
  <c r="X808" i="4"/>
  <c r="Y808" i="4"/>
  <c r="Z808" i="4"/>
  <c r="AA808" i="4"/>
  <c r="AB808" i="4"/>
  <c r="AC808" i="4"/>
  <c r="AJ808" i="4"/>
  <c r="P809" i="4"/>
  <c r="Q809" i="4"/>
  <c r="AQ809" i="4" s="1"/>
  <c r="R809" i="4"/>
  <c r="AR809" i="4" s="1"/>
  <c r="S809" i="4"/>
  <c r="AN809" i="4" s="1"/>
  <c r="U809" i="4"/>
  <c r="V809" i="4"/>
  <c r="W809" i="4"/>
  <c r="X809" i="4"/>
  <c r="Y809" i="4"/>
  <c r="Z809" i="4"/>
  <c r="AA809" i="4"/>
  <c r="AB809" i="4"/>
  <c r="AC809" i="4"/>
  <c r="AJ809" i="4"/>
  <c r="AK809" i="4"/>
  <c r="P810" i="4"/>
  <c r="AP810" i="4" s="1"/>
  <c r="Q810" i="4"/>
  <c r="AL810" i="4" s="1"/>
  <c r="R810" i="4"/>
  <c r="AR810" i="4" s="1"/>
  <c r="S810" i="4"/>
  <c r="AN810" i="4" s="1"/>
  <c r="U810" i="4"/>
  <c r="V810" i="4"/>
  <c r="W810" i="4"/>
  <c r="X810" i="4"/>
  <c r="Y810" i="4"/>
  <c r="Z810" i="4"/>
  <c r="AA810" i="4"/>
  <c r="AB810" i="4"/>
  <c r="AC810" i="4"/>
  <c r="AE810" i="4"/>
  <c r="AJ810" i="4"/>
  <c r="AK810" i="4"/>
  <c r="P811" i="4"/>
  <c r="AP811" i="4" s="1"/>
  <c r="Q811" i="4"/>
  <c r="AQ811" i="4" s="1"/>
  <c r="R811" i="4"/>
  <c r="S811" i="4"/>
  <c r="AN811" i="4" s="1"/>
  <c r="U811" i="4"/>
  <c r="V811" i="4"/>
  <c r="W811" i="4"/>
  <c r="X811" i="4"/>
  <c r="Y811" i="4"/>
  <c r="Z811" i="4"/>
  <c r="AA811" i="4"/>
  <c r="AB811" i="4"/>
  <c r="AC811" i="4"/>
  <c r="AF811" i="4"/>
  <c r="AJ811" i="4"/>
  <c r="AK811" i="4"/>
  <c r="AL811" i="4"/>
  <c r="AM811" i="4"/>
  <c r="P812" i="4"/>
  <c r="AP812" i="4" s="1"/>
  <c r="Q812" i="4"/>
  <c r="AQ812" i="4" s="1"/>
  <c r="R812" i="4"/>
  <c r="AR812" i="4" s="1"/>
  <c r="S812" i="4"/>
  <c r="AN812" i="4" s="1"/>
  <c r="U812" i="4"/>
  <c r="V812" i="4"/>
  <c r="W812" i="4"/>
  <c r="X812" i="4"/>
  <c r="Y812" i="4"/>
  <c r="Z812" i="4"/>
  <c r="AA812" i="4"/>
  <c r="AB812" i="4"/>
  <c r="AC812" i="4"/>
  <c r="AE812" i="4"/>
  <c r="AG812" i="4"/>
  <c r="AJ812" i="4"/>
  <c r="AK812" i="4"/>
  <c r="AM812" i="4"/>
  <c r="P813" i="4"/>
  <c r="AE813" i="4" s="1"/>
  <c r="Q813" i="4"/>
  <c r="AQ813" i="4" s="1"/>
  <c r="R813" i="4"/>
  <c r="AR813" i="4" s="1"/>
  <c r="S813" i="4"/>
  <c r="U813" i="4"/>
  <c r="V813" i="4"/>
  <c r="W813" i="4"/>
  <c r="X813" i="4"/>
  <c r="Y813" i="4"/>
  <c r="Z813" i="4"/>
  <c r="AA813" i="4"/>
  <c r="AB813" i="4"/>
  <c r="AC813" i="4"/>
  <c r="AF813" i="4"/>
  <c r="AJ813" i="4"/>
  <c r="AL813" i="4"/>
  <c r="AM813" i="4"/>
  <c r="AN813" i="4"/>
  <c r="P814" i="4"/>
  <c r="AE814" i="4" s="1"/>
  <c r="Q814" i="4"/>
  <c r="R814" i="4"/>
  <c r="AR814" i="4" s="1"/>
  <c r="S814" i="4"/>
  <c r="U814" i="4"/>
  <c r="V814" i="4"/>
  <c r="W814" i="4"/>
  <c r="X814" i="4"/>
  <c r="Y814" i="4"/>
  <c r="Z814" i="4"/>
  <c r="AA814" i="4"/>
  <c r="AB814" i="4"/>
  <c r="AC814" i="4"/>
  <c r="AF814" i="4"/>
  <c r="AJ814" i="4"/>
  <c r="AN814" i="4"/>
  <c r="P815" i="4"/>
  <c r="AP815" i="4" s="1"/>
  <c r="Q815" i="4"/>
  <c r="R815" i="4"/>
  <c r="S815" i="4"/>
  <c r="AN815" i="4" s="1"/>
  <c r="U815" i="4"/>
  <c r="V815" i="4"/>
  <c r="W815" i="4"/>
  <c r="X815" i="4"/>
  <c r="Y815" i="4"/>
  <c r="Z815" i="4"/>
  <c r="AA815" i="4"/>
  <c r="AB815" i="4"/>
  <c r="AC815" i="4"/>
  <c r="AF815" i="4"/>
  <c r="AG815" i="4"/>
  <c r="AJ815" i="4"/>
  <c r="P816" i="4"/>
  <c r="AP816" i="4" s="1"/>
  <c r="Q816" i="4"/>
  <c r="AQ816" i="4" s="1"/>
  <c r="R816" i="4"/>
  <c r="AG816" i="4" s="1"/>
  <c r="S816" i="4"/>
  <c r="AN816" i="4" s="1"/>
  <c r="U816" i="4"/>
  <c r="V816" i="4"/>
  <c r="W816" i="4"/>
  <c r="X816" i="4"/>
  <c r="Y816" i="4"/>
  <c r="Z816" i="4"/>
  <c r="AA816" i="4"/>
  <c r="AB816" i="4"/>
  <c r="AC816" i="4"/>
  <c r="AJ816" i="4"/>
  <c r="P817" i="4"/>
  <c r="Q817" i="4"/>
  <c r="AQ817" i="4" s="1"/>
  <c r="R817" i="4"/>
  <c r="AR817" i="4" s="1"/>
  <c r="S817" i="4"/>
  <c r="AN817" i="4" s="1"/>
  <c r="U817" i="4"/>
  <c r="V817" i="4"/>
  <c r="W817" i="4"/>
  <c r="X817" i="4"/>
  <c r="Y817" i="4"/>
  <c r="Z817" i="4"/>
  <c r="AA817" i="4"/>
  <c r="AB817" i="4"/>
  <c r="AC817" i="4"/>
  <c r="AJ817" i="4"/>
  <c r="AK817" i="4"/>
  <c r="P818" i="4"/>
  <c r="AP818" i="4" s="1"/>
  <c r="Q818" i="4"/>
  <c r="R818" i="4"/>
  <c r="AR818" i="4" s="1"/>
  <c r="S818" i="4"/>
  <c r="AN818" i="4" s="1"/>
  <c r="U818" i="4"/>
  <c r="V818" i="4"/>
  <c r="W818" i="4"/>
  <c r="X818" i="4"/>
  <c r="Y818" i="4"/>
  <c r="Z818" i="4"/>
  <c r="AA818" i="4"/>
  <c r="AB818" i="4"/>
  <c r="AC818" i="4"/>
  <c r="AJ818" i="4"/>
  <c r="AL818" i="4"/>
  <c r="P819" i="4"/>
  <c r="AP819" i="4" s="1"/>
  <c r="Q819" i="4"/>
  <c r="AQ819" i="4" s="1"/>
  <c r="R819" i="4"/>
  <c r="S819" i="4"/>
  <c r="AN819" i="4" s="1"/>
  <c r="U819" i="4"/>
  <c r="V819" i="4"/>
  <c r="W819" i="4"/>
  <c r="X819" i="4"/>
  <c r="Y819" i="4"/>
  <c r="Z819" i="4"/>
  <c r="AA819" i="4"/>
  <c r="AB819" i="4"/>
  <c r="AC819" i="4"/>
  <c r="AE819" i="4"/>
  <c r="AJ819" i="4"/>
  <c r="AK819" i="4"/>
  <c r="AL819" i="4"/>
  <c r="AM819" i="4"/>
  <c r="P820" i="4"/>
  <c r="AP820" i="4" s="1"/>
  <c r="Q820" i="4"/>
  <c r="AQ820" i="4" s="1"/>
  <c r="R820" i="4"/>
  <c r="AR820" i="4" s="1"/>
  <c r="S820" i="4"/>
  <c r="U820" i="4"/>
  <c r="V820" i="4"/>
  <c r="W820" i="4"/>
  <c r="X820" i="4"/>
  <c r="Y820" i="4"/>
  <c r="Z820" i="4"/>
  <c r="AA820" i="4"/>
  <c r="AB820" i="4"/>
  <c r="AC820" i="4"/>
  <c r="AF820" i="4"/>
  <c r="AJ820" i="4"/>
  <c r="AL820" i="4"/>
  <c r="AN820" i="4"/>
  <c r="P821" i="4"/>
  <c r="Q821" i="4"/>
  <c r="AQ821" i="4" s="1"/>
  <c r="R821" i="4"/>
  <c r="AR821" i="4" s="1"/>
  <c r="S821" i="4"/>
  <c r="U821" i="4"/>
  <c r="V821" i="4"/>
  <c r="W821" i="4"/>
  <c r="X821" i="4"/>
  <c r="Y821" i="4"/>
  <c r="Z821" i="4"/>
  <c r="AA821" i="4"/>
  <c r="AB821" i="4"/>
  <c r="AC821" i="4"/>
  <c r="AE821" i="4"/>
  <c r="AG821" i="4"/>
  <c r="AJ821" i="4"/>
  <c r="AL821" i="4"/>
  <c r="AM821" i="4"/>
  <c r="AN821" i="4"/>
  <c r="P822" i="4"/>
  <c r="Q822" i="4"/>
  <c r="AF822" i="4" s="1"/>
  <c r="R822" i="4"/>
  <c r="AR822" i="4" s="1"/>
  <c r="S822" i="4"/>
  <c r="AN822" i="4" s="1"/>
  <c r="U822" i="4"/>
  <c r="V822" i="4"/>
  <c r="W822" i="4"/>
  <c r="X822" i="4"/>
  <c r="Y822" i="4"/>
  <c r="Z822" i="4"/>
  <c r="AA822" i="4"/>
  <c r="AB822" i="4"/>
  <c r="AC822" i="4"/>
  <c r="AE822" i="4"/>
  <c r="AG822" i="4"/>
  <c r="AJ822" i="4"/>
  <c r="AM822" i="4"/>
  <c r="P823" i="4"/>
  <c r="AP823" i="4" s="1"/>
  <c r="Q823" i="4"/>
  <c r="AQ823" i="4" s="1"/>
  <c r="R823" i="4"/>
  <c r="AG823" i="4" s="1"/>
  <c r="S823" i="4"/>
  <c r="U823" i="4"/>
  <c r="V823" i="4"/>
  <c r="W823" i="4"/>
  <c r="X823" i="4"/>
  <c r="Y823" i="4"/>
  <c r="Z823" i="4"/>
  <c r="AA823" i="4"/>
  <c r="AB823" i="4"/>
  <c r="AC823" i="4"/>
  <c r="AJ823" i="4"/>
  <c r="AN823" i="4"/>
  <c r="P824" i="4"/>
  <c r="AP824" i="4" s="1"/>
  <c r="Q824" i="4"/>
  <c r="AQ824" i="4" s="1"/>
  <c r="R824" i="4"/>
  <c r="AG824" i="4" s="1"/>
  <c r="S824" i="4"/>
  <c r="AN824" i="4" s="1"/>
  <c r="U824" i="4"/>
  <c r="V824" i="4"/>
  <c r="W824" i="4"/>
  <c r="X824" i="4"/>
  <c r="Y824" i="4"/>
  <c r="Z824" i="4"/>
  <c r="AA824" i="4"/>
  <c r="AB824" i="4"/>
  <c r="AC824" i="4"/>
  <c r="AJ824" i="4"/>
  <c r="P825" i="4"/>
  <c r="Q825" i="4"/>
  <c r="AQ825" i="4" s="1"/>
  <c r="R825" i="4"/>
  <c r="AR825" i="4" s="1"/>
  <c r="S825" i="4"/>
  <c r="AN825" i="4" s="1"/>
  <c r="U825" i="4"/>
  <c r="V825" i="4"/>
  <c r="W825" i="4"/>
  <c r="X825" i="4"/>
  <c r="Y825" i="4"/>
  <c r="Z825" i="4"/>
  <c r="AA825" i="4"/>
  <c r="AB825" i="4"/>
  <c r="AC825" i="4"/>
  <c r="AJ825" i="4"/>
  <c r="AK825" i="4"/>
  <c r="P826" i="4"/>
  <c r="AP826" i="4" s="1"/>
  <c r="Q826" i="4"/>
  <c r="R826" i="4"/>
  <c r="AR826" i="4" s="1"/>
  <c r="S826" i="4"/>
  <c r="AN826" i="4" s="1"/>
  <c r="U826" i="4"/>
  <c r="V826" i="4"/>
  <c r="W826" i="4"/>
  <c r="X826" i="4"/>
  <c r="Y826" i="4"/>
  <c r="Z826" i="4"/>
  <c r="AA826" i="4"/>
  <c r="AB826" i="4"/>
  <c r="AC826" i="4"/>
  <c r="AJ826" i="4"/>
  <c r="AL826" i="4"/>
  <c r="P827" i="4"/>
  <c r="AP827" i="4" s="1"/>
  <c r="Q827" i="4"/>
  <c r="AQ827" i="4" s="1"/>
  <c r="R827" i="4"/>
  <c r="S827" i="4"/>
  <c r="AN827" i="4" s="1"/>
  <c r="U827" i="4"/>
  <c r="V827" i="4"/>
  <c r="W827" i="4"/>
  <c r="X827" i="4"/>
  <c r="Y827" i="4"/>
  <c r="Z827" i="4"/>
  <c r="AA827" i="4"/>
  <c r="AB827" i="4"/>
  <c r="AC827" i="4"/>
  <c r="AE827" i="4"/>
  <c r="AJ827" i="4"/>
  <c r="AK827" i="4"/>
  <c r="AL827" i="4"/>
  <c r="AM827" i="4"/>
  <c r="P828" i="4"/>
  <c r="AP828" i="4" s="1"/>
  <c r="Q828" i="4"/>
  <c r="AQ828" i="4" s="1"/>
  <c r="R828" i="4"/>
  <c r="AR828" i="4" s="1"/>
  <c r="S828" i="4"/>
  <c r="U828" i="4"/>
  <c r="V828" i="4"/>
  <c r="W828" i="4"/>
  <c r="X828" i="4"/>
  <c r="Y828" i="4"/>
  <c r="Z828" i="4"/>
  <c r="AA828" i="4"/>
  <c r="AB828" i="4"/>
  <c r="AC828" i="4"/>
  <c r="AF828" i="4"/>
  <c r="AJ828" i="4"/>
  <c r="AL828" i="4"/>
  <c r="AN828" i="4"/>
  <c r="P829" i="4"/>
  <c r="Q829" i="4"/>
  <c r="AQ829" i="4" s="1"/>
  <c r="R829" i="4"/>
  <c r="AR829" i="4" s="1"/>
  <c r="S829" i="4"/>
  <c r="U829" i="4"/>
  <c r="V829" i="4"/>
  <c r="W829" i="4"/>
  <c r="X829" i="4"/>
  <c r="Y829" i="4"/>
  <c r="Z829" i="4"/>
  <c r="AA829" i="4"/>
  <c r="AB829" i="4"/>
  <c r="AC829" i="4"/>
  <c r="AE829" i="4"/>
  <c r="AG829" i="4"/>
  <c r="AJ829" i="4"/>
  <c r="AL829" i="4"/>
  <c r="AM829" i="4"/>
  <c r="AN829" i="4"/>
  <c r="P830" i="4"/>
  <c r="Q830" i="4"/>
  <c r="AF830" i="4" s="1"/>
  <c r="R830" i="4"/>
  <c r="AR830" i="4" s="1"/>
  <c r="S830" i="4"/>
  <c r="AN830" i="4" s="1"/>
  <c r="U830" i="4"/>
  <c r="V830" i="4"/>
  <c r="W830" i="4"/>
  <c r="X830" i="4"/>
  <c r="Y830" i="4"/>
  <c r="Z830" i="4"/>
  <c r="AA830" i="4"/>
  <c r="AB830" i="4"/>
  <c r="AC830" i="4"/>
  <c r="AE830" i="4"/>
  <c r="AG830" i="4"/>
  <c r="AJ830" i="4"/>
  <c r="AM830" i="4"/>
  <c r="P831" i="4"/>
  <c r="AP831" i="4" s="1"/>
  <c r="Q831" i="4"/>
  <c r="AQ831" i="4" s="1"/>
  <c r="R831" i="4"/>
  <c r="AG831" i="4" s="1"/>
  <c r="S831" i="4"/>
  <c r="U831" i="4"/>
  <c r="V831" i="4"/>
  <c r="W831" i="4"/>
  <c r="X831" i="4"/>
  <c r="Y831" i="4"/>
  <c r="Z831" i="4"/>
  <c r="AA831" i="4"/>
  <c r="AB831" i="4"/>
  <c r="AC831" i="4"/>
  <c r="AJ831" i="4"/>
  <c r="AN831" i="4"/>
  <c r="P832" i="4"/>
  <c r="AP832" i="4" s="1"/>
  <c r="Q832" i="4"/>
  <c r="AQ832" i="4" s="1"/>
  <c r="R832" i="4"/>
  <c r="AG832" i="4" s="1"/>
  <c r="S832" i="4"/>
  <c r="AN832" i="4" s="1"/>
  <c r="U832" i="4"/>
  <c r="V832" i="4"/>
  <c r="W832" i="4"/>
  <c r="X832" i="4"/>
  <c r="Y832" i="4"/>
  <c r="Z832" i="4"/>
  <c r="AA832" i="4"/>
  <c r="AB832" i="4"/>
  <c r="AC832" i="4"/>
  <c r="AJ832" i="4"/>
  <c r="P833" i="4"/>
  <c r="Q833" i="4"/>
  <c r="AQ833" i="4" s="1"/>
  <c r="R833" i="4"/>
  <c r="AR833" i="4" s="1"/>
  <c r="S833" i="4"/>
  <c r="AN833" i="4" s="1"/>
  <c r="U833" i="4"/>
  <c r="V833" i="4"/>
  <c r="W833" i="4"/>
  <c r="X833" i="4"/>
  <c r="Y833" i="4"/>
  <c r="Z833" i="4"/>
  <c r="AA833" i="4"/>
  <c r="AB833" i="4"/>
  <c r="AC833" i="4"/>
  <c r="AJ833" i="4"/>
  <c r="AK833" i="4"/>
  <c r="P834" i="4"/>
  <c r="AP834" i="4" s="1"/>
  <c r="Q834" i="4"/>
  <c r="R834" i="4"/>
  <c r="AR834" i="4" s="1"/>
  <c r="S834" i="4"/>
  <c r="AN834" i="4" s="1"/>
  <c r="U834" i="4"/>
  <c r="V834" i="4"/>
  <c r="W834" i="4"/>
  <c r="X834" i="4"/>
  <c r="Y834" i="4"/>
  <c r="Z834" i="4"/>
  <c r="AA834" i="4"/>
  <c r="AB834" i="4"/>
  <c r="AC834" i="4"/>
  <c r="AJ834" i="4"/>
  <c r="AL834" i="4"/>
  <c r="P835" i="4"/>
  <c r="AP835" i="4" s="1"/>
  <c r="Q835" i="4"/>
  <c r="AQ835" i="4" s="1"/>
  <c r="R835" i="4"/>
  <c r="S835" i="4"/>
  <c r="AN835" i="4" s="1"/>
  <c r="U835" i="4"/>
  <c r="V835" i="4"/>
  <c r="W835" i="4"/>
  <c r="X835" i="4"/>
  <c r="Y835" i="4"/>
  <c r="Z835" i="4"/>
  <c r="AA835" i="4"/>
  <c r="AB835" i="4"/>
  <c r="AC835" i="4"/>
  <c r="AE835" i="4"/>
  <c r="AJ835" i="4"/>
  <c r="AK835" i="4"/>
  <c r="AL835" i="4"/>
  <c r="AM835" i="4"/>
  <c r="P836" i="4"/>
  <c r="AP836" i="4" s="1"/>
  <c r="Q836" i="4"/>
  <c r="AQ836" i="4" s="1"/>
  <c r="R836" i="4"/>
  <c r="AR836" i="4" s="1"/>
  <c r="S836" i="4"/>
  <c r="U836" i="4"/>
  <c r="V836" i="4"/>
  <c r="W836" i="4"/>
  <c r="X836" i="4"/>
  <c r="Y836" i="4"/>
  <c r="Z836" i="4"/>
  <c r="AA836" i="4"/>
  <c r="AB836" i="4"/>
  <c r="AC836" i="4"/>
  <c r="AF836" i="4"/>
  <c r="AJ836" i="4"/>
  <c r="AL836" i="4"/>
  <c r="AN836" i="4"/>
  <c r="P837" i="4"/>
  <c r="Q837" i="4"/>
  <c r="AQ837" i="4" s="1"/>
  <c r="R837" i="4"/>
  <c r="AR837" i="4" s="1"/>
  <c r="S837" i="4"/>
  <c r="U837" i="4"/>
  <c r="V837" i="4"/>
  <c r="W837" i="4"/>
  <c r="X837" i="4"/>
  <c r="Y837" i="4"/>
  <c r="Z837" i="4"/>
  <c r="AA837" i="4"/>
  <c r="AB837" i="4"/>
  <c r="AC837" i="4"/>
  <c r="AE837" i="4"/>
  <c r="AG837" i="4"/>
  <c r="AJ837" i="4"/>
  <c r="AL837" i="4"/>
  <c r="AM837" i="4"/>
  <c r="AN837" i="4"/>
  <c r="P838" i="4"/>
  <c r="Q838" i="4"/>
  <c r="AF838" i="4" s="1"/>
  <c r="R838" i="4"/>
  <c r="AR838" i="4" s="1"/>
  <c r="S838" i="4"/>
  <c r="AN838" i="4" s="1"/>
  <c r="U838" i="4"/>
  <c r="V838" i="4"/>
  <c r="W838" i="4"/>
  <c r="X838" i="4"/>
  <c r="Y838" i="4"/>
  <c r="Z838" i="4"/>
  <c r="AA838" i="4"/>
  <c r="AB838" i="4"/>
  <c r="AC838" i="4"/>
  <c r="AE838" i="4"/>
  <c r="AG838" i="4"/>
  <c r="AJ838" i="4"/>
  <c r="AM838" i="4"/>
  <c r="P839" i="4"/>
  <c r="AP839" i="4" s="1"/>
  <c r="Q839" i="4"/>
  <c r="AQ839" i="4" s="1"/>
  <c r="R839" i="4"/>
  <c r="AG839" i="4" s="1"/>
  <c r="S839" i="4"/>
  <c r="U839" i="4"/>
  <c r="V839" i="4"/>
  <c r="W839" i="4"/>
  <c r="X839" i="4"/>
  <c r="Y839" i="4"/>
  <c r="Z839" i="4"/>
  <c r="AA839" i="4"/>
  <c r="AB839" i="4"/>
  <c r="AC839" i="4"/>
  <c r="AJ839" i="4"/>
  <c r="AN839" i="4"/>
  <c r="P840" i="4"/>
  <c r="AP840" i="4" s="1"/>
  <c r="Q840" i="4"/>
  <c r="AQ840" i="4" s="1"/>
  <c r="R840" i="4"/>
  <c r="S840" i="4"/>
  <c r="AN840" i="4" s="1"/>
  <c r="U840" i="4"/>
  <c r="V840" i="4"/>
  <c r="W840" i="4"/>
  <c r="X840" i="4"/>
  <c r="Y840" i="4"/>
  <c r="Z840" i="4"/>
  <c r="AA840" i="4"/>
  <c r="AB840" i="4"/>
  <c r="AC840" i="4"/>
  <c r="AJ840" i="4"/>
  <c r="P841" i="4"/>
  <c r="Q841" i="4"/>
  <c r="R841" i="4"/>
  <c r="AR841" i="4" s="1"/>
  <c r="S841" i="4"/>
  <c r="AN841" i="4" s="1"/>
  <c r="U841" i="4"/>
  <c r="V841" i="4"/>
  <c r="W841" i="4"/>
  <c r="X841" i="4"/>
  <c r="Y841" i="4"/>
  <c r="Z841" i="4"/>
  <c r="AA841" i="4"/>
  <c r="AB841" i="4"/>
  <c r="AC841" i="4"/>
  <c r="AJ841" i="4"/>
  <c r="AK841" i="4"/>
  <c r="AL841" i="4"/>
  <c r="P842" i="4"/>
  <c r="AP842" i="4" s="1"/>
  <c r="Q842" i="4"/>
  <c r="R842" i="4"/>
  <c r="AM842" i="4" s="1"/>
  <c r="S842" i="4"/>
  <c r="AN842" i="4" s="1"/>
  <c r="U842" i="4"/>
  <c r="V842" i="4"/>
  <c r="W842" i="4"/>
  <c r="X842" i="4"/>
  <c r="Y842" i="4"/>
  <c r="Z842" i="4"/>
  <c r="AA842" i="4"/>
  <c r="AB842" i="4"/>
  <c r="AC842" i="4"/>
  <c r="AJ842" i="4"/>
  <c r="AL842" i="4"/>
  <c r="P843" i="4"/>
  <c r="AP843" i="4" s="1"/>
  <c r="Q843" i="4"/>
  <c r="AQ843" i="4" s="1"/>
  <c r="R843" i="4"/>
  <c r="S843" i="4"/>
  <c r="U843" i="4"/>
  <c r="V843" i="4"/>
  <c r="W843" i="4"/>
  <c r="X843" i="4"/>
  <c r="Y843" i="4"/>
  <c r="Z843" i="4"/>
  <c r="AA843" i="4"/>
  <c r="AB843" i="4"/>
  <c r="AC843" i="4"/>
  <c r="AF843" i="4"/>
  <c r="AJ843" i="4"/>
  <c r="AK843" i="4"/>
  <c r="AL843" i="4"/>
  <c r="AM843" i="4"/>
  <c r="AN843" i="4"/>
  <c r="P844" i="4"/>
  <c r="AP844" i="4" s="1"/>
  <c r="Q844" i="4"/>
  <c r="AQ844" i="4" s="1"/>
  <c r="R844" i="4"/>
  <c r="AR844" i="4" s="1"/>
  <c r="S844" i="4"/>
  <c r="U844" i="4"/>
  <c r="V844" i="4"/>
  <c r="W844" i="4"/>
  <c r="X844" i="4"/>
  <c r="Y844" i="4"/>
  <c r="Z844" i="4"/>
  <c r="AA844" i="4"/>
  <c r="AB844" i="4"/>
  <c r="AC844" i="4"/>
  <c r="AF844" i="4"/>
  <c r="AJ844" i="4"/>
  <c r="AL844" i="4"/>
  <c r="AN844" i="4"/>
  <c r="P845" i="4"/>
  <c r="AP845" i="4" s="1"/>
  <c r="Q845" i="4"/>
  <c r="AQ845" i="4" s="1"/>
  <c r="R845" i="4"/>
  <c r="AR845" i="4" s="1"/>
  <c r="S845" i="4"/>
  <c r="AN845" i="4" s="1"/>
  <c r="U845" i="4"/>
  <c r="V845" i="4"/>
  <c r="W845" i="4"/>
  <c r="X845" i="4"/>
  <c r="Y845" i="4"/>
  <c r="Z845" i="4"/>
  <c r="AA845" i="4"/>
  <c r="AB845" i="4"/>
  <c r="AC845" i="4"/>
  <c r="AF845" i="4"/>
  <c r="AG845" i="4"/>
  <c r="AJ845" i="4"/>
  <c r="AM845" i="4"/>
  <c r="P846" i="4"/>
  <c r="AP846" i="4" s="1"/>
  <c r="Q846" i="4"/>
  <c r="AQ846" i="4" s="1"/>
  <c r="R846" i="4"/>
  <c r="AR846" i="4" s="1"/>
  <c r="S846" i="4"/>
  <c r="AN846" i="4" s="1"/>
  <c r="U846" i="4"/>
  <c r="V846" i="4"/>
  <c r="W846" i="4"/>
  <c r="X846" i="4"/>
  <c r="Y846" i="4"/>
  <c r="Z846" i="4"/>
  <c r="AA846" i="4"/>
  <c r="AB846" i="4"/>
  <c r="AC846" i="4"/>
  <c r="AJ846" i="4"/>
  <c r="P847" i="4"/>
  <c r="AK847" i="4" s="1"/>
  <c r="Q847" i="4"/>
  <c r="AQ847" i="4" s="1"/>
  <c r="R847" i="4"/>
  <c r="AR847" i="4" s="1"/>
  <c r="S847" i="4"/>
  <c r="AN847" i="4" s="1"/>
  <c r="U847" i="4"/>
  <c r="V847" i="4"/>
  <c r="W847" i="4"/>
  <c r="X847" i="4"/>
  <c r="Y847" i="4"/>
  <c r="Z847" i="4"/>
  <c r="AA847" i="4"/>
  <c r="AB847" i="4"/>
  <c r="AC847" i="4"/>
  <c r="AF847" i="4"/>
  <c r="AJ847" i="4"/>
  <c r="AL847" i="4"/>
  <c r="P848" i="4"/>
  <c r="AP848" i="4" s="1"/>
  <c r="Q848" i="4"/>
  <c r="R848" i="4"/>
  <c r="AR848" i="4" s="1"/>
  <c r="S848" i="4"/>
  <c r="AN848" i="4" s="1"/>
  <c r="U848" i="4"/>
  <c r="V848" i="4"/>
  <c r="W848" i="4"/>
  <c r="X848" i="4"/>
  <c r="Y848" i="4"/>
  <c r="Z848" i="4"/>
  <c r="AA848" i="4"/>
  <c r="AB848" i="4"/>
  <c r="AC848" i="4"/>
  <c r="AE848" i="4"/>
  <c r="AG848" i="4"/>
  <c r="AJ848" i="4"/>
  <c r="AK848" i="4"/>
  <c r="AL848" i="4"/>
  <c r="AM848" i="4"/>
  <c r="P849" i="4"/>
  <c r="AE849" i="4" s="1"/>
  <c r="Q849" i="4"/>
  <c r="AQ849" i="4" s="1"/>
  <c r="R849" i="4"/>
  <c r="AM849" i="4" s="1"/>
  <c r="S849" i="4"/>
  <c r="U849" i="4"/>
  <c r="V849" i="4"/>
  <c r="W849" i="4"/>
  <c r="X849" i="4"/>
  <c r="Y849" i="4"/>
  <c r="Z849" i="4"/>
  <c r="AA849" i="4"/>
  <c r="AB849" i="4"/>
  <c r="AC849" i="4"/>
  <c r="AF849" i="4"/>
  <c r="AJ849" i="4"/>
  <c r="AL849" i="4"/>
  <c r="AN849" i="4"/>
  <c r="P850" i="4"/>
  <c r="AP850" i="4" s="1"/>
  <c r="Q850" i="4"/>
  <c r="AF850" i="4" s="1"/>
  <c r="R850" i="4"/>
  <c r="AR850" i="4" s="1"/>
  <c r="S850" i="4"/>
  <c r="U850" i="4"/>
  <c r="V850" i="4"/>
  <c r="W850" i="4"/>
  <c r="X850" i="4"/>
  <c r="Y850" i="4"/>
  <c r="Z850" i="4"/>
  <c r="AA850" i="4"/>
  <c r="AB850" i="4"/>
  <c r="AC850" i="4"/>
  <c r="AE850" i="4"/>
  <c r="AG850" i="4"/>
  <c r="AJ850" i="4"/>
  <c r="AK850" i="4"/>
  <c r="AM850" i="4"/>
  <c r="AN850" i="4"/>
  <c r="P851" i="4"/>
  <c r="AP851" i="4" s="1"/>
  <c r="Q851" i="4"/>
  <c r="AQ851" i="4" s="1"/>
  <c r="R851" i="4"/>
  <c r="S851" i="4"/>
  <c r="U851" i="4"/>
  <c r="V851" i="4"/>
  <c r="W851" i="4"/>
  <c r="X851" i="4"/>
  <c r="Y851" i="4"/>
  <c r="Z851" i="4"/>
  <c r="AA851" i="4"/>
  <c r="AB851" i="4"/>
  <c r="AC851" i="4"/>
  <c r="AF851" i="4"/>
  <c r="AG851" i="4"/>
  <c r="AJ851" i="4"/>
  <c r="AN851" i="4"/>
  <c r="P852" i="4"/>
  <c r="AP852" i="4" s="1"/>
  <c r="Q852" i="4"/>
  <c r="AQ852" i="4" s="1"/>
  <c r="R852" i="4"/>
  <c r="AR852" i="4" s="1"/>
  <c r="S852" i="4"/>
  <c r="AN852" i="4" s="1"/>
  <c r="U852" i="4"/>
  <c r="V852" i="4"/>
  <c r="W852" i="4"/>
  <c r="X852" i="4"/>
  <c r="Y852" i="4"/>
  <c r="Z852" i="4"/>
  <c r="AA852" i="4"/>
  <c r="AB852" i="4"/>
  <c r="AC852" i="4"/>
  <c r="AG852" i="4"/>
  <c r="AJ852" i="4"/>
  <c r="AM852" i="4"/>
  <c r="P853" i="4"/>
  <c r="AP853" i="4" s="1"/>
  <c r="Q853" i="4"/>
  <c r="AQ853" i="4" s="1"/>
  <c r="R853" i="4"/>
  <c r="AR853" i="4" s="1"/>
  <c r="S853" i="4"/>
  <c r="AN853" i="4" s="1"/>
  <c r="U853" i="4"/>
  <c r="V853" i="4"/>
  <c r="W853" i="4"/>
  <c r="X853" i="4"/>
  <c r="Y853" i="4"/>
  <c r="Z853" i="4"/>
  <c r="AA853" i="4"/>
  <c r="AB853" i="4"/>
  <c r="AC853" i="4"/>
  <c r="AJ853" i="4"/>
  <c r="P854" i="4"/>
  <c r="AP854" i="4" s="1"/>
  <c r="Q854" i="4"/>
  <c r="AQ854" i="4" s="1"/>
  <c r="R854" i="4"/>
  <c r="AR854" i="4" s="1"/>
  <c r="S854" i="4"/>
  <c r="AN854" i="4" s="1"/>
  <c r="U854" i="4"/>
  <c r="V854" i="4"/>
  <c r="W854" i="4"/>
  <c r="X854" i="4"/>
  <c r="Y854" i="4"/>
  <c r="Z854" i="4"/>
  <c r="AA854" i="4"/>
  <c r="AB854" i="4"/>
  <c r="AC854" i="4"/>
  <c r="AJ854" i="4"/>
  <c r="P855" i="4"/>
  <c r="AK855" i="4" s="1"/>
  <c r="Q855" i="4"/>
  <c r="AQ855" i="4" s="1"/>
  <c r="R855" i="4"/>
  <c r="AR855" i="4" s="1"/>
  <c r="S855" i="4"/>
  <c r="AN855" i="4" s="1"/>
  <c r="U855" i="4"/>
  <c r="V855" i="4"/>
  <c r="W855" i="4"/>
  <c r="X855" i="4"/>
  <c r="Y855" i="4"/>
  <c r="Z855" i="4"/>
  <c r="AA855" i="4"/>
  <c r="AB855" i="4"/>
  <c r="AC855" i="4"/>
  <c r="AF855" i="4"/>
  <c r="AJ855" i="4"/>
  <c r="AL855" i="4"/>
  <c r="P856" i="4"/>
  <c r="AP856" i="4" s="1"/>
  <c r="Q856" i="4"/>
  <c r="R856" i="4"/>
  <c r="AR856" i="4" s="1"/>
  <c r="S856" i="4"/>
  <c r="AN856" i="4" s="1"/>
  <c r="U856" i="4"/>
  <c r="V856" i="4"/>
  <c r="W856" i="4"/>
  <c r="X856" i="4"/>
  <c r="Y856" i="4"/>
  <c r="Z856" i="4"/>
  <c r="AA856" i="4"/>
  <c r="AB856" i="4"/>
  <c r="AC856" i="4"/>
  <c r="AE856" i="4"/>
  <c r="AG856" i="4"/>
  <c r="AJ856" i="4"/>
  <c r="AK856" i="4"/>
  <c r="AL856" i="4"/>
  <c r="AM856" i="4"/>
  <c r="P857" i="4"/>
  <c r="AE857" i="4" s="1"/>
  <c r="Q857" i="4"/>
  <c r="AQ857" i="4" s="1"/>
  <c r="R857" i="4"/>
  <c r="AM857" i="4" s="1"/>
  <c r="S857" i="4"/>
  <c r="U857" i="4"/>
  <c r="V857" i="4"/>
  <c r="W857" i="4"/>
  <c r="X857" i="4"/>
  <c r="Y857" i="4"/>
  <c r="Z857" i="4"/>
  <c r="AA857" i="4"/>
  <c r="AB857" i="4"/>
  <c r="AC857" i="4"/>
  <c r="AF857" i="4"/>
  <c r="AJ857" i="4"/>
  <c r="AL857" i="4"/>
  <c r="AN857" i="4"/>
  <c r="P858" i="4"/>
  <c r="AP858" i="4" s="1"/>
  <c r="Q858" i="4"/>
  <c r="AF858" i="4" s="1"/>
  <c r="R858" i="4"/>
  <c r="AR858" i="4" s="1"/>
  <c r="S858" i="4"/>
  <c r="U858" i="4"/>
  <c r="V858" i="4"/>
  <c r="W858" i="4"/>
  <c r="X858" i="4"/>
  <c r="Y858" i="4"/>
  <c r="Z858" i="4"/>
  <c r="AA858" i="4"/>
  <c r="AB858" i="4"/>
  <c r="AC858" i="4"/>
  <c r="AE858" i="4"/>
  <c r="AG858" i="4"/>
  <c r="AJ858" i="4"/>
  <c r="AK858" i="4"/>
  <c r="AM858" i="4"/>
  <c r="AN858" i="4"/>
  <c r="P859" i="4"/>
  <c r="AP859" i="4" s="1"/>
  <c r="Q859" i="4"/>
  <c r="AQ859" i="4" s="1"/>
  <c r="R859" i="4"/>
  <c r="S859" i="4"/>
  <c r="U859" i="4"/>
  <c r="V859" i="4"/>
  <c r="W859" i="4"/>
  <c r="X859" i="4"/>
  <c r="Y859" i="4"/>
  <c r="Z859" i="4"/>
  <c r="AA859" i="4"/>
  <c r="AB859" i="4"/>
  <c r="AC859" i="4"/>
  <c r="AF859" i="4"/>
  <c r="AG859" i="4"/>
  <c r="AJ859" i="4"/>
  <c r="AN859" i="4"/>
  <c r="P860" i="4"/>
  <c r="AP860" i="4" s="1"/>
  <c r="Q860" i="4"/>
  <c r="AQ860" i="4" s="1"/>
  <c r="R860" i="4"/>
  <c r="AR860" i="4" s="1"/>
  <c r="S860" i="4"/>
  <c r="AN860" i="4" s="1"/>
  <c r="U860" i="4"/>
  <c r="V860" i="4"/>
  <c r="W860" i="4"/>
  <c r="X860" i="4"/>
  <c r="Y860" i="4"/>
  <c r="Z860" i="4"/>
  <c r="AA860" i="4"/>
  <c r="AB860" i="4"/>
  <c r="AC860" i="4"/>
  <c r="AG860" i="4"/>
  <c r="AJ860" i="4"/>
  <c r="AM860" i="4"/>
  <c r="P861" i="4"/>
  <c r="AP861" i="4" s="1"/>
  <c r="Q861" i="4"/>
  <c r="AQ861" i="4" s="1"/>
  <c r="R861" i="4"/>
  <c r="AR861" i="4" s="1"/>
  <c r="S861" i="4"/>
  <c r="AN861" i="4" s="1"/>
  <c r="U861" i="4"/>
  <c r="V861" i="4"/>
  <c r="W861" i="4"/>
  <c r="X861" i="4"/>
  <c r="Y861" i="4"/>
  <c r="Z861" i="4"/>
  <c r="AA861" i="4"/>
  <c r="AB861" i="4"/>
  <c r="AC861" i="4"/>
  <c r="AJ861" i="4"/>
  <c r="P862" i="4"/>
  <c r="AP862" i="4" s="1"/>
  <c r="Q862" i="4"/>
  <c r="AQ862" i="4" s="1"/>
  <c r="R862" i="4"/>
  <c r="AR862" i="4" s="1"/>
  <c r="S862" i="4"/>
  <c r="AN862" i="4" s="1"/>
  <c r="U862" i="4"/>
  <c r="V862" i="4"/>
  <c r="W862" i="4"/>
  <c r="X862" i="4"/>
  <c r="Y862" i="4"/>
  <c r="Z862" i="4"/>
  <c r="AA862" i="4"/>
  <c r="AB862" i="4"/>
  <c r="AC862" i="4"/>
  <c r="AJ862" i="4"/>
  <c r="P863" i="4"/>
  <c r="AK863" i="4" s="1"/>
  <c r="Q863" i="4"/>
  <c r="AQ863" i="4" s="1"/>
  <c r="R863" i="4"/>
  <c r="AR863" i="4" s="1"/>
  <c r="S863" i="4"/>
  <c r="AN863" i="4" s="1"/>
  <c r="U863" i="4"/>
  <c r="V863" i="4"/>
  <c r="W863" i="4"/>
  <c r="X863" i="4"/>
  <c r="Y863" i="4"/>
  <c r="Z863" i="4"/>
  <c r="AA863" i="4"/>
  <c r="AB863" i="4"/>
  <c r="AC863" i="4"/>
  <c r="AF863" i="4"/>
  <c r="AJ863" i="4"/>
  <c r="AL863" i="4"/>
  <c r="P864" i="4"/>
  <c r="AP864" i="4" s="1"/>
  <c r="Q864" i="4"/>
  <c r="R864" i="4"/>
  <c r="AR864" i="4" s="1"/>
  <c r="S864" i="4"/>
  <c r="AN864" i="4" s="1"/>
  <c r="U864" i="4"/>
  <c r="V864" i="4"/>
  <c r="W864" i="4"/>
  <c r="X864" i="4"/>
  <c r="Y864" i="4"/>
  <c r="Z864" i="4"/>
  <c r="AA864" i="4"/>
  <c r="AB864" i="4"/>
  <c r="AC864" i="4"/>
  <c r="AE864" i="4"/>
  <c r="AG864" i="4"/>
  <c r="AJ864" i="4"/>
  <c r="AK864" i="4"/>
  <c r="AL864" i="4"/>
  <c r="AM864" i="4"/>
  <c r="P865" i="4"/>
  <c r="AE865" i="4" s="1"/>
  <c r="Q865" i="4"/>
  <c r="AQ865" i="4" s="1"/>
  <c r="R865" i="4"/>
  <c r="AM865" i="4" s="1"/>
  <c r="S865" i="4"/>
  <c r="U865" i="4"/>
  <c r="V865" i="4"/>
  <c r="W865" i="4"/>
  <c r="X865" i="4"/>
  <c r="Y865" i="4"/>
  <c r="Z865" i="4"/>
  <c r="AA865" i="4"/>
  <c r="AB865" i="4"/>
  <c r="AC865" i="4"/>
  <c r="AF865" i="4"/>
  <c r="AJ865" i="4"/>
  <c r="AL865" i="4"/>
  <c r="AN865" i="4"/>
  <c r="P866" i="4"/>
  <c r="AP866" i="4" s="1"/>
  <c r="Q866" i="4"/>
  <c r="AF866" i="4" s="1"/>
  <c r="R866" i="4"/>
  <c r="AR866" i="4" s="1"/>
  <c r="S866" i="4"/>
  <c r="U866" i="4"/>
  <c r="V866" i="4"/>
  <c r="W866" i="4"/>
  <c r="X866" i="4"/>
  <c r="Y866" i="4"/>
  <c r="Z866" i="4"/>
  <c r="AA866" i="4"/>
  <c r="AB866" i="4"/>
  <c r="AC866" i="4"/>
  <c r="AE866" i="4"/>
  <c r="AG866" i="4"/>
  <c r="AJ866" i="4"/>
  <c r="AK866" i="4"/>
  <c r="AM866" i="4"/>
  <c r="AN866" i="4"/>
  <c r="P867" i="4"/>
  <c r="AP867" i="4" s="1"/>
  <c r="Q867" i="4"/>
  <c r="AQ867" i="4" s="1"/>
  <c r="R867" i="4"/>
  <c r="S867" i="4"/>
  <c r="U867" i="4"/>
  <c r="V867" i="4"/>
  <c r="W867" i="4"/>
  <c r="X867" i="4"/>
  <c r="Y867" i="4"/>
  <c r="Z867" i="4"/>
  <c r="AA867" i="4"/>
  <c r="AB867" i="4"/>
  <c r="AC867" i="4"/>
  <c r="AF867" i="4"/>
  <c r="AG867" i="4"/>
  <c r="AJ867" i="4"/>
  <c r="AN867" i="4"/>
  <c r="P868" i="4"/>
  <c r="AP868" i="4" s="1"/>
  <c r="Q868" i="4"/>
  <c r="AQ868" i="4" s="1"/>
  <c r="R868" i="4"/>
  <c r="AR868" i="4" s="1"/>
  <c r="S868" i="4"/>
  <c r="AN868" i="4" s="1"/>
  <c r="U868" i="4"/>
  <c r="V868" i="4"/>
  <c r="W868" i="4"/>
  <c r="X868" i="4"/>
  <c r="Y868" i="4"/>
  <c r="Z868" i="4"/>
  <c r="AA868" i="4"/>
  <c r="AB868" i="4"/>
  <c r="AC868" i="4"/>
  <c r="AG868" i="4"/>
  <c r="AJ868" i="4"/>
  <c r="AM868" i="4"/>
  <c r="P869" i="4"/>
  <c r="AP869" i="4" s="1"/>
  <c r="Q869" i="4"/>
  <c r="AQ869" i="4" s="1"/>
  <c r="R869" i="4"/>
  <c r="AR869" i="4" s="1"/>
  <c r="S869" i="4"/>
  <c r="AN869" i="4" s="1"/>
  <c r="U869" i="4"/>
  <c r="V869" i="4"/>
  <c r="W869" i="4"/>
  <c r="X869" i="4"/>
  <c r="Y869" i="4"/>
  <c r="Z869" i="4"/>
  <c r="AA869" i="4"/>
  <c r="AB869" i="4"/>
  <c r="AC869" i="4"/>
  <c r="AJ869" i="4"/>
  <c r="P870" i="4"/>
  <c r="AP870" i="4" s="1"/>
  <c r="Q870" i="4"/>
  <c r="AQ870" i="4" s="1"/>
  <c r="R870" i="4"/>
  <c r="AR870" i="4" s="1"/>
  <c r="S870" i="4"/>
  <c r="AN870" i="4" s="1"/>
  <c r="U870" i="4"/>
  <c r="V870" i="4"/>
  <c r="W870" i="4"/>
  <c r="X870" i="4"/>
  <c r="Y870" i="4"/>
  <c r="Z870" i="4"/>
  <c r="AA870" i="4"/>
  <c r="AB870" i="4"/>
  <c r="AC870" i="4"/>
  <c r="AJ870" i="4"/>
  <c r="P871" i="4"/>
  <c r="AK871" i="4" s="1"/>
  <c r="Q871" i="4"/>
  <c r="AQ871" i="4" s="1"/>
  <c r="R871" i="4"/>
  <c r="AR871" i="4" s="1"/>
  <c r="S871" i="4"/>
  <c r="AN871" i="4" s="1"/>
  <c r="U871" i="4"/>
  <c r="V871" i="4"/>
  <c r="W871" i="4"/>
  <c r="X871" i="4"/>
  <c r="Y871" i="4"/>
  <c r="Z871" i="4"/>
  <c r="AA871" i="4"/>
  <c r="AB871" i="4"/>
  <c r="AC871" i="4"/>
  <c r="AF871" i="4"/>
  <c r="AJ871" i="4"/>
  <c r="AL871" i="4"/>
  <c r="P872" i="4"/>
  <c r="AP872" i="4" s="1"/>
  <c r="Q872" i="4"/>
  <c r="R872" i="4"/>
  <c r="AR872" i="4" s="1"/>
  <c r="S872" i="4"/>
  <c r="AN872" i="4" s="1"/>
  <c r="U872" i="4"/>
  <c r="V872" i="4"/>
  <c r="W872" i="4"/>
  <c r="X872" i="4"/>
  <c r="Y872" i="4"/>
  <c r="Z872" i="4"/>
  <c r="AA872" i="4"/>
  <c r="AB872" i="4"/>
  <c r="AC872" i="4"/>
  <c r="AE872" i="4"/>
  <c r="AG872" i="4"/>
  <c r="AJ872" i="4"/>
  <c r="AK872" i="4"/>
  <c r="AL872" i="4"/>
  <c r="AM872" i="4"/>
  <c r="P873" i="4"/>
  <c r="AE873" i="4" s="1"/>
  <c r="Q873" i="4"/>
  <c r="AQ873" i="4" s="1"/>
  <c r="R873" i="4"/>
  <c r="AM873" i="4" s="1"/>
  <c r="S873" i="4"/>
  <c r="U873" i="4"/>
  <c r="V873" i="4"/>
  <c r="W873" i="4"/>
  <c r="X873" i="4"/>
  <c r="Y873" i="4"/>
  <c r="Z873" i="4"/>
  <c r="AA873" i="4"/>
  <c r="AB873" i="4"/>
  <c r="AC873" i="4"/>
  <c r="AF873" i="4"/>
  <c r="AJ873" i="4"/>
  <c r="AL873" i="4"/>
  <c r="AN873" i="4"/>
  <c r="P874" i="4"/>
  <c r="AP874" i="4" s="1"/>
  <c r="Q874" i="4"/>
  <c r="AF874" i="4" s="1"/>
  <c r="R874" i="4"/>
  <c r="AR874" i="4" s="1"/>
  <c r="S874" i="4"/>
  <c r="U874" i="4"/>
  <c r="V874" i="4"/>
  <c r="W874" i="4"/>
  <c r="X874" i="4"/>
  <c r="Y874" i="4"/>
  <c r="Z874" i="4"/>
  <c r="AA874" i="4"/>
  <c r="AB874" i="4"/>
  <c r="AC874" i="4"/>
  <c r="AE874" i="4"/>
  <c r="AG874" i="4"/>
  <c r="AJ874" i="4"/>
  <c r="AK874" i="4"/>
  <c r="AM874" i="4"/>
  <c r="AN874" i="4"/>
  <c r="P875" i="4"/>
  <c r="AP875" i="4" s="1"/>
  <c r="Q875" i="4"/>
  <c r="AQ875" i="4" s="1"/>
  <c r="R875" i="4"/>
  <c r="S875" i="4"/>
  <c r="U875" i="4"/>
  <c r="V875" i="4"/>
  <c r="W875" i="4"/>
  <c r="X875" i="4"/>
  <c r="Y875" i="4"/>
  <c r="Z875" i="4"/>
  <c r="AA875" i="4"/>
  <c r="AB875" i="4"/>
  <c r="AC875" i="4"/>
  <c r="AF875" i="4"/>
  <c r="AG875" i="4"/>
  <c r="AJ875" i="4"/>
  <c r="AN875" i="4"/>
  <c r="P876" i="4"/>
  <c r="AP876" i="4" s="1"/>
  <c r="Q876" i="4"/>
  <c r="AQ876" i="4" s="1"/>
  <c r="R876" i="4"/>
  <c r="AR876" i="4" s="1"/>
  <c r="S876" i="4"/>
  <c r="AN876" i="4" s="1"/>
  <c r="U876" i="4"/>
  <c r="V876" i="4"/>
  <c r="W876" i="4"/>
  <c r="X876" i="4"/>
  <c r="Y876" i="4"/>
  <c r="Z876" i="4"/>
  <c r="AA876" i="4"/>
  <c r="AB876" i="4"/>
  <c r="AC876" i="4"/>
  <c r="AG876" i="4"/>
  <c r="AJ876" i="4"/>
  <c r="AM876" i="4"/>
  <c r="P877" i="4"/>
  <c r="AP877" i="4" s="1"/>
  <c r="Q877" i="4"/>
  <c r="AQ877" i="4" s="1"/>
  <c r="R877" i="4"/>
  <c r="AR877" i="4" s="1"/>
  <c r="S877" i="4"/>
  <c r="AN877" i="4" s="1"/>
  <c r="U877" i="4"/>
  <c r="V877" i="4"/>
  <c r="W877" i="4"/>
  <c r="X877" i="4"/>
  <c r="Y877" i="4"/>
  <c r="Z877" i="4"/>
  <c r="AA877" i="4"/>
  <c r="AB877" i="4"/>
  <c r="AC877" i="4"/>
  <c r="AJ877" i="4"/>
  <c r="P878" i="4"/>
  <c r="AP878" i="4" s="1"/>
  <c r="Q878" i="4"/>
  <c r="AQ878" i="4" s="1"/>
  <c r="R878" i="4"/>
  <c r="AR878" i="4" s="1"/>
  <c r="S878" i="4"/>
  <c r="AN878" i="4" s="1"/>
  <c r="U878" i="4"/>
  <c r="V878" i="4"/>
  <c r="W878" i="4"/>
  <c r="X878" i="4"/>
  <c r="Y878" i="4"/>
  <c r="Z878" i="4"/>
  <c r="AA878" i="4"/>
  <c r="AB878" i="4"/>
  <c r="AC878" i="4"/>
  <c r="AJ878" i="4"/>
  <c r="P879" i="4"/>
  <c r="AK879" i="4" s="1"/>
  <c r="Q879" i="4"/>
  <c r="AQ879" i="4" s="1"/>
  <c r="R879" i="4"/>
  <c r="AR879" i="4" s="1"/>
  <c r="S879" i="4"/>
  <c r="AN879" i="4" s="1"/>
  <c r="U879" i="4"/>
  <c r="V879" i="4"/>
  <c r="W879" i="4"/>
  <c r="X879" i="4"/>
  <c r="Y879" i="4"/>
  <c r="Z879" i="4"/>
  <c r="AA879" i="4"/>
  <c r="AB879" i="4"/>
  <c r="AC879" i="4"/>
  <c r="AF879" i="4"/>
  <c r="AJ879" i="4"/>
  <c r="AL879" i="4"/>
  <c r="P880" i="4"/>
  <c r="AP880" i="4" s="1"/>
  <c r="Q880" i="4"/>
  <c r="R880" i="4"/>
  <c r="AR880" i="4" s="1"/>
  <c r="S880" i="4"/>
  <c r="AN880" i="4" s="1"/>
  <c r="U880" i="4"/>
  <c r="V880" i="4"/>
  <c r="W880" i="4"/>
  <c r="X880" i="4"/>
  <c r="Y880" i="4"/>
  <c r="Z880" i="4"/>
  <c r="AA880" i="4"/>
  <c r="AB880" i="4"/>
  <c r="AC880" i="4"/>
  <c r="AE880" i="4"/>
  <c r="AG880" i="4"/>
  <c r="AJ880" i="4"/>
  <c r="AK880" i="4"/>
  <c r="AL880" i="4"/>
  <c r="AM880" i="4"/>
  <c r="P881" i="4"/>
  <c r="AE881" i="4" s="1"/>
  <c r="Q881" i="4"/>
  <c r="AQ881" i="4" s="1"/>
  <c r="R881" i="4"/>
  <c r="AM881" i="4" s="1"/>
  <c r="S881" i="4"/>
  <c r="U881" i="4"/>
  <c r="V881" i="4"/>
  <c r="W881" i="4"/>
  <c r="X881" i="4"/>
  <c r="Y881" i="4"/>
  <c r="Z881" i="4"/>
  <c r="AA881" i="4"/>
  <c r="AB881" i="4"/>
  <c r="AC881" i="4"/>
  <c r="AF881" i="4"/>
  <c r="AJ881" i="4"/>
  <c r="AL881" i="4"/>
  <c r="AN881" i="4"/>
  <c r="P882" i="4"/>
  <c r="AP882" i="4" s="1"/>
  <c r="Q882" i="4"/>
  <c r="AF882" i="4" s="1"/>
  <c r="R882" i="4"/>
  <c r="AR882" i="4" s="1"/>
  <c r="S882" i="4"/>
  <c r="U882" i="4"/>
  <c r="V882" i="4"/>
  <c r="W882" i="4"/>
  <c r="X882" i="4"/>
  <c r="Y882" i="4"/>
  <c r="Z882" i="4"/>
  <c r="AA882" i="4"/>
  <c r="AB882" i="4"/>
  <c r="AC882" i="4"/>
  <c r="AE882" i="4"/>
  <c r="AG882" i="4"/>
  <c r="AJ882" i="4"/>
  <c r="AK882" i="4"/>
  <c r="AM882" i="4"/>
  <c r="AN882" i="4"/>
  <c r="P883" i="4"/>
  <c r="AP883" i="4" s="1"/>
  <c r="Q883" i="4"/>
  <c r="AQ883" i="4" s="1"/>
  <c r="R883" i="4"/>
  <c r="S883" i="4"/>
  <c r="U883" i="4"/>
  <c r="V883" i="4"/>
  <c r="W883" i="4"/>
  <c r="X883" i="4"/>
  <c r="Y883" i="4"/>
  <c r="Z883" i="4"/>
  <c r="AA883" i="4"/>
  <c r="AB883" i="4"/>
  <c r="AC883" i="4"/>
  <c r="AF883" i="4"/>
  <c r="AG883" i="4"/>
  <c r="AJ883" i="4"/>
  <c r="AN883" i="4"/>
  <c r="P884" i="4"/>
  <c r="AP884" i="4" s="1"/>
  <c r="Q884" i="4"/>
  <c r="AQ884" i="4" s="1"/>
  <c r="R884" i="4"/>
  <c r="AR884" i="4" s="1"/>
  <c r="S884" i="4"/>
  <c r="AN884" i="4" s="1"/>
  <c r="U884" i="4"/>
  <c r="V884" i="4"/>
  <c r="W884" i="4"/>
  <c r="X884" i="4"/>
  <c r="Y884" i="4"/>
  <c r="Z884" i="4"/>
  <c r="AA884" i="4"/>
  <c r="AB884" i="4"/>
  <c r="AC884" i="4"/>
  <c r="AG884" i="4"/>
  <c r="AJ884" i="4"/>
  <c r="AM884" i="4"/>
  <c r="P885" i="4"/>
  <c r="AP885" i="4" s="1"/>
  <c r="Q885" i="4"/>
  <c r="AQ885" i="4" s="1"/>
  <c r="R885" i="4"/>
  <c r="AR885" i="4" s="1"/>
  <c r="S885" i="4"/>
  <c r="AN885" i="4" s="1"/>
  <c r="U885" i="4"/>
  <c r="V885" i="4"/>
  <c r="W885" i="4"/>
  <c r="X885" i="4"/>
  <c r="Y885" i="4"/>
  <c r="Z885" i="4"/>
  <c r="AA885" i="4"/>
  <c r="AB885" i="4"/>
  <c r="AC885" i="4"/>
  <c r="AJ885" i="4"/>
  <c r="P886" i="4"/>
  <c r="AP886" i="4" s="1"/>
  <c r="Q886" i="4"/>
  <c r="AQ886" i="4" s="1"/>
  <c r="R886" i="4"/>
  <c r="AR886" i="4" s="1"/>
  <c r="S886" i="4"/>
  <c r="AN886" i="4" s="1"/>
  <c r="U886" i="4"/>
  <c r="V886" i="4"/>
  <c r="W886" i="4"/>
  <c r="X886" i="4"/>
  <c r="Y886" i="4"/>
  <c r="Z886" i="4"/>
  <c r="AA886" i="4"/>
  <c r="AB886" i="4"/>
  <c r="AC886" i="4"/>
  <c r="AJ886" i="4"/>
  <c r="P887" i="4"/>
  <c r="AK887" i="4" s="1"/>
  <c r="Q887" i="4"/>
  <c r="AQ887" i="4" s="1"/>
  <c r="R887" i="4"/>
  <c r="AR887" i="4" s="1"/>
  <c r="S887" i="4"/>
  <c r="AN887" i="4" s="1"/>
  <c r="U887" i="4"/>
  <c r="V887" i="4"/>
  <c r="W887" i="4"/>
  <c r="X887" i="4"/>
  <c r="Y887" i="4"/>
  <c r="Z887" i="4"/>
  <c r="AA887" i="4"/>
  <c r="AB887" i="4"/>
  <c r="AC887" i="4"/>
  <c r="AF887" i="4"/>
  <c r="AJ887" i="4"/>
  <c r="AL887" i="4"/>
  <c r="P888" i="4"/>
  <c r="AP888" i="4" s="1"/>
  <c r="Q888" i="4"/>
  <c r="R888" i="4"/>
  <c r="AR888" i="4" s="1"/>
  <c r="S888" i="4"/>
  <c r="AN888" i="4" s="1"/>
  <c r="U888" i="4"/>
  <c r="V888" i="4"/>
  <c r="W888" i="4"/>
  <c r="X888" i="4"/>
  <c r="Y888" i="4"/>
  <c r="Z888" i="4"/>
  <c r="AA888" i="4"/>
  <c r="AB888" i="4"/>
  <c r="AC888" i="4"/>
  <c r="AE888" i="4"/>
  <c r="AG888" i="4"/>
  <c r="AJ888" i="4"/>
  <c r="AK888" i="4"/>
  <c r="AL888" i="4"/>
  <c r="AM888" i="4"/>
  <c r="P889" i="4"/>
  <c r="AE889" i="4" s="1"/>
  <c r="Q889" i="4"/>
  <c r="AQ889" i="4" s="1"/>
  <c r="R889" i="4"/>
  <c r="AM889" i="4" s="1"/>
  <c r="S889" i="4"/>
  <c r="U889" i="4"/>
  <c r="V889" i="4"/>
  <c r="W889" i="4"/>
  <c r="X889" i="4"/>
  <c r="Y889" i="4"/>
  <c r="Z889" i="4"/>
  <c r="AA889" i="4"/>
  <c r="AB889" i="4"/>
  <c r="AC889" i="4"/>
  <c r="AF889" i="4"/>
  <c r="AJ889" i="4"/>
  <c r="AL889" i="4"/>
  <c r="AN889" i="4"/>
  <c r="P890" i="4"/>
  <c r="AP890" i="4" s="1"/>
  <c r="Q890" i="4"/>
  <c r="AF890" i="4" s="1"/>
  <c r="R890" i="4"/>
  <c r="AR890" i="4" s="1"/>
  <c r="S890" i="4"/>
  <c r="U890" i="4"/>
  <c r="V890" i="4"/>
  <c r="W890" i="4"/>
  <c r="X890" i="4"/>
  <c r="Y890" i="4"/>
  <c r="Z890" i="4"/>
  <c r="AA890" i="4"/>
  <c r="AB890" i="4"/>
  <c r="AC890" i="4"/>
  <c r="AE890" i="4"/>
  <c r="AG890" i="4"/>
  <c r="AJ890" i="4"/>
  <c r="AK890" i="4"/>
  <c r="AM890" i="4"/>
  <c r="AN890" i="4"/>
  <c r="P891" i="4"/>
  <c r="AP891" i="4" s="1"/>
  <c r="Q891" i="4"/>
  <c r="AQ891" i="4" s="1"/>
  <c r="R891" i="4"/>
  <c r="S891" i="4"/>
  <c r="U891" i="4"/>
  <c r="V891" i="4"/>
  <c r="W891" i="4"/>
  <c r="X891" i="4"/>
  <c r="Y891" i="4"/>
  <c r="Z891" i="4"/>
  <c r="AA891" i="4"/>
  <c r="AB891" i="4"/>
  <c r="AC891" i="4"/>
  <c r="AF891" i="4"/>
  <c r="AG891" i="4"/>
  <c r="AJ891" i="4"/>
  <c r="AN891" i="4"/>
  <c r="P892" i="4"/>
  <c r="AP892" i="4" s="1"/>
  <c r="Q892" i="4"/>
  <c r="AQ892" i="4" s="1"/>
  <c r="R892" i="4"/>
  <c r="AR892" i="4" s="1"/>
  <c r="S892" i="4"/>
  <c r="AN892" i="4" s="1"/>
  <c r="U892" i="4"/>
  <c r="V892" i="4"/>
  <c r="W892" i="4"/>
  <c r="X892" i="4"/>
  <c r="Y892" i="4"/>
  <c r="Z892" i="4"/>
  <c r="AA892" i="4"/>
  <c r="AB892" i="4"/>
  <c r="AC892" i="4"/>
  <c r="AG892" i="4"/>
  <c r="AJ892" i="4"/>
  <c r="AM892" i="4"/>
  <c r="P893" i="4"/>
  <c r="AP893" i="4" s="1"/>
  <c r="Q893" i="4"/>
  <c r="AQ893" i="4" s="1"/>
  <c r="R893" i="4"/>
  <c r="AR893" i="4" s="1"/>
  <c r="S893" i="4"/>
  <c r="AN893" i="4" s="1"/>
  <c r="U893" i="4"/>
  <c r="V893" i="4"/>
  <c r="W893" i="4"/>
  <c r="X893" i="4"/>
  <c r="Y893" i="4"/>
  <c r="Z893" i="4"/>
  <c r="AA893" i="4"/>
  <c r="AB893" i="4"/>
  <c r="AC893" i="4"/>
  <c r="AJ893" i="4"/>
  <c r="P894" i="4"/>
  <c r="AP894" i="4" s="1"/>
  <c r="Q894" i="4"/>
  <c r="AQ894" i="4" s="1"/>
  <c r="R894" i="4"/>
  <c r="AR894" i="4" s="1"/>
  <c r="S894" i="4"/>
  <c r="AN894" i="4" s="1"/>
  <c r="U894" i="4"/>
  <c r="V894" i="4"/>
  <c r="W894" i="4"/>
  <c r="X894" i="4"/>
  <c r="Y894" i="4"/>
  <c r="Z894" i="4"/>
  <c r="AA894" i="4"/>
  <c r="AB894" i="4"/>
  <c r="AC894" i="4"/>
  <c r="AJ894" i="4"/>
  <c r="P895" i="4"/>
  <c r="AP895" i="4" s="1"/>
  <c r="Q895" i="4"/>
  <c r="AQ895" i="4" s="1"/>
  <c r="R895" i="4"/>
  <c r="AR895" i="4" s="1"/>
  <c r="S895" i="4"/>
  <c r="AN895" i="4" s="1"/>
  <c r="U895" i="4"/>
  <c r="V895" i="4"/>
  <c r="W895" i="4"/>
  <c r="X895" i="4"/>
  <c r="Y895" i="4"/>
  <c r="Z895" i="4"/>
  <c r="AA895" i="4"/>
  <c r="AB895" i="4"/>
  <c r="AC895" i="4"/>
  <c r="AF895" i="4"/>
  <c r="AJ895" i="4"/>
  <c r="AK895" i="4"/>
  <c r="AL895" i="4"/>
  <c r="P896" i="4"/>
  <c r="AP896" i="4" s="1"/>
  <c r="Q896" i="4"/>
  <c r="AQ896" i="4" s="1"/>
  <c r="R896" i="4"/>
  <c r="AR896" i="4" s="1"/>
  <c r="S896" i="4"/>
  <c r="AN896" i="4" s="1"/>
  <c r="U896" i="4"/>
  <c r="V896" i="4"/>
  <c r="W896" i="4"/>
  <c r="X896" i="4"/>
  <c r="Y896" i="4"/>
  <c r="Z896" i="4"/>
  <c r="AA896" i="4"/>
  <c r="AB896" i="4"/>
  <c r="AC896" i="4"/>
  <c r="AF896" i="4"/>
  <c r="AJ896" i="4"/>
  <c r="AL896" i="4"/>
  <c r="P897" i="4"/>
  <c r="AE897" i="4" s="1"/>
  <c r="Q897" i="4"/>
  <c r="AQ897" i="4" s="1"/>
  <c r="R897" i="4"/>
  <c r="AR897" i="4" s="1"/>
  <c r="S897" i="4"/>
  <c r="U897" i="4"/>
  <c r="V897" i="4"/>
  <c r="W897" i="4"/>
  <c r="X897" i="4"/>
  <c r="Y897" i="4"/>
  <c r="Z897" i="4"/>
  <c r="AA897" i="4"/>
  <c r="AB897" i="4"/>
  <c r="AC897" i="4"/>
  <c r="AF897" i="4"/>
  <c r="AJ897" i="4"/>
  <c r="AL897" i="4"/>
  <c r="AM897" i="4"/>
  <c r="AN897" i="4"/>
  <c r="P898" i="4"/>
  <c r="AE898" i="4" s="1"/>
  <c r="Q898" i="4"/>
  <c r="R898" i="4"/>
  <c r="AR898" i="4" s="1"/>
  <c r="S898" i="4"/>
  <c r="U898" i="4"/>
  <c r="V898" i="4"/>
  <c r="W898" i="4"/>
  <c r="X898" i="4"/>
  <c r="Y898" i="4"/>
  <c r="Z898" i="4"/>
  <c r="AA898" i="4"/>
  <c r="AB898" i="4"/>
  <c r="AC898" i="4"/>
  <c r="AF898" i="4"/>
  <c r="AJ898" i="4"/>
  <c r="AN898" i="4"/>
  <c r="P899" i="4"/>
  <c r="AP899" i="4" s="1"/>
  <c r="Q899" i="4"/>
  <c r="R899" i="4"/>
  <c r="S899" i="4"/>
  <c r="AN899" i="4" s="1"/>
  <c r="U899" i="4"/>
  <c r="V899" i="4"/>
  <c r="W899" i="4"/>
  <c r="X899" i="4"/>
  <c r="Y899" i="4"/>
  <c r="Z899" i="4"/>
  <c r="AA899" i="4"/>
  <c r="AB899" i="4"/>
  <c r="AC899" i="4"/>
  <c r="AF899" i="4"/>
  <c r="AG899" i="4"/>
  <c r="AJ899" i="4"/>
  <c r="P900" i="4"/>
  <c r="AP900" i="4" s="1"/>
  <c r="Q900" i="4"/>
  <c r="AQ900" i="4" s="1"/>
  <c r="R900" i="4"/>
  <c r="AG900" i="4" s="1"/>
  <c r="S900" i="4"/>
  <c r="AN900" i="4" s="1"/>
  <c r="U900" i="4"/>
  <c r="V900" i="4"/>
  <c r="W900" i="4"/>
  <c r="X900" i="4"/>
  <c r="Y900" i="4"/>
  <c r="Z900" i="4"/>
  <c r="AA900" i="4"/>
  <c r="AB900" i="4"/>
  <c r="AC900" i="4"/>
  <c r="AJ900" i="4"/>
  <c r="P901" i="4"/>
  <c r="AP901" i="4" s="1"/>
  <c r="Q901" i="4"/>
  <c r="AQ901" i="4" s="1"/>
  <c r="R901" i="4"/>
  <c r="AR901" i="4" s="1"/>
  <c r="S901" i="4"/>
  <c r="AN901" i="4" s="1"/>
  <c r="U901" i="4"/>
  <c r="V901" i="4"/>
  <c r="W901" i="4"/>
  <c r="X901" i="4"/>
  <c r="Y901" i="4"/>
  <c r="Z901" i="4"/>
  <c r="AA901" i="4"/>
  <c r="AB901" i="4"/>
  <c r="AC901" i="4"/>
  <c r="AJ901" i="4"/>
  <c r="P902" i="4"/>
  <c r="AP902" i="4" s="1"/>
  <c r="Q902" i="4"/>
  <c r="AQ902" i="4" s="1"/>
  <c r="R902" i="4"/>
  <c r="AR902" i="4" s="1"/>
  <c r="S902" i="4"/>
  <c r="AN902" i="4" s="1"/>
  <c r="U902" i="4"/>
  <c r="V902" i="4"/>
  <c r="W902" i="4"/>
  <c r="X902" i="4"/>
  <c r="Y902" i="4"/>
  <c r="Z902" i="4"/>
  <c r="AA902" i="4"/>
  <c r="AB902" i="4"/>
  <c r="AC902" i="4"/>
  <c r="AE902" i="4"/>
  <c r="AJ902" i="4"/>
  <c r="AK902" i="4"/>
  <c r="P903" i="4"/>
  <c r="AP903" i="4" s="1"/>
  <c r="Q903" i="4"/>
  <c r="AQ903" i="4" s="1"/>
  <c r="R903" i="4"/>
  <c r="AR903" i="4" s="1"/>
  <c r="S903" i="4"/>
  <c r="AN903" i="4" s="1"/>
  <c r="U903" i="4"/>
  <c r="V903" i="4"/>
  <c r="W903" i="4"/>
  <c r="X903" i="4"/>
  <c r="Y903" i="4"/>
  <c r="Z903" i="4"/>
  <c r="AA903" i="4"/>
  <c r="AB903" i="4"/>
  <c r="AC903" i="4"/>
  <c r="AE903" i="4"/>
  <c r="AJ903" i="4"/>
  <c r="AK903" i="4"/>
  <c r="AL903" i="4"/>
  <c r="P904" i="4"/>
  <c r="AP904" i="4" s="1"/>
  <c r="Q904" i="4"/>
  <c r="AQ904" i="4" s="1"/>
  <c r="R904" i="4"/>
  <c r="AR904" i="4" s="1"/>
  <c r="S904" i="4"/>
  <c r="AN904" i="4" s="1"/>
  <c r="U904" i="4"/>
  <c r="V904" i="4"/>
  <c r="W904" i="4"/>
  <c r="X904" i="4"/>
  <c r="Y904" i="4"/>
  <c r="Z904" i="4"/>
  <c r="AA904" i="4"/>
  <c r="AB904" i="4"/>
  <c r="AC904" i="4"/>
  <c r="AE904" i="4"/>
  <c r="AG904" i="4"/>
  <c r="AJ904" i="4"/>
  <c r="AK904" i="4"/>
  <c r="AM904" i="4"/>
  <c r="P905" i="4"/>
  <c r="Q905" i="4"/>
  <c r="AQ905" i="4" s="1"/>
  <c r="R905" i="4"/>
  <c r="AR905" i="4" s="1"/>
  <c r="S905" i="4"/>
  <c r="U905" i="4"/>
  <c r="V905" i="4"/>
  <c r="W905" i="4"/>
  <c r="X905" i="4"/>
  <c r="Y905" i="4"/>
  <c r="Z905" i="4"/>
  <c r="AA905" i="4"/>
  <c r="AB905" i="4"/>
  <c r="AC905" i="4"/>
  <c r="AE905" i="4"/>
  <c r="AG905" i="4"/>
  <c r="AJ905" i="4"/>
  <c r="AL905" i="4"/>
  <c r="AM905" i="4"/>
  <c r="AN905" i="4"/>
  <c r="P906" i="4"/>
  <c r="Q906" i="4"/>
  <c r="AF906" i="4" s="1"/>
  <c r="R906" i="4"/>
  <c r="AR906" i="4" s="1"/>
  <c r="S906" i="4"/>
  <c r="AN906" i="4" s="1"/>
  <c r="U906" i="4"/>
  <c r="V906" i="4"/>
  <c r="W906" i="4"/>
  <c r="X906" i="4"/>
  <c r="Y906" i="4"/>
  <c r="Z906" i="4"/>
  <c r="AA906" i="4"/>
  <c r="AB906" i="4"/>
  <c r="AC906" i="4"/>
  <c r="AE906" i="4"/>
  <c r="AG906" i="4"/>
  <c r="AJ906" i="4"/>
  <c r="AM906" i="4"/>
  <c r="P907" i="4"/>
  <c r="AP907" i="4" s="1"/>
  <c r="Q907" i="4"/>
  <c r="R907" i="4"/>
  <c r="S907" i="4"/>
  <c r="U907" i="4"/>
  <c r="V907" i="4"/>
  <c r="W907" i="4"/>
  <c r="X907" i="4"/>
  <c r="Y907" i="4"/>
  <c r="Z907" i="4"/>
  <c r="AA907" i="4"/>
  <c r="AB907" i="4"/>
  <c r="AC907" i="4"/>
  <c r="AF907" i="4"/>
  <c r="AG907" i="4"/>
  <c r="AJ907" i="4"/>
  <c r="AN907" i="4"/>
  <c r="P908" i="4"/>
  <c r="AP908" i="4" s="1"/>
  <c r="Q908" i="4"/>
  <c r="AQ908" i="4" s="1"/>
  <c r="R908" i="4"/>
  <c r="S908" i="4"/>
  <c r="AN908" i="4" s="1"/>
  <c r="U908" i="4"/>
  <c r="V908" i="4"/>
  <c r="W908" i="4"/>
  <c r="X908" i="4"/>
  <c r="Y908" i="4"/>
  <c r="Z908" i="4"/>
  <c r="AA908" i="4"/>
  <c r="AB908" i="4"/>
  <c r="AC908" i="4"/>
  <c r="AG908" i="4"/>
  <c r="AJ908" i="4"/>
  <c r="P909" i="4"/>
  <c r="AP909" i="4" s="1"/>
  <c r="Q909" i="4"/>
  <c r="AQ909" i="4" s="1"/>
  <c r="R909" i="4"/>
  <c r="AR909" i="4" s="1"/>
  <c r="S909" i="4"/>
  <c r="AN909" i="4" s="1"/>
  <c r="U909" i="4"/>
  <c r="V909" i="4"/>
  <c r="W909" i="4"/>
  <c r="X909" i="4"/>
  <c r="Y909" i="4"/>
  <c r="Z909" i="4"/>
  <c r="AA909" i="4"/>
  <c r="AB909" i="4"/>
  <c r="AC909" i="4"/>
  <c r="AJ909" i="4"/>
  <c r="P910" i="4"/>
  <c r="AP910" i="4" s="1"/>
  <c r="Q910" i="4"/>
  <c r="AQ910" i="4" s="1"/>
  <c r="R910" i="4"/>
  <c r="AR910" i="4" s="1"/>
  <c r="S910" i="4"/>
  <c r="AN910" i="4" s="1"/>
  <c r="U910" i="4"/>
  <c r="V910" i="4"/>
  <c r="W910" i="4"/>
  <c r="X910" i="4"/>
  <c r="Y910" i="4"/>
  <c r="Z910" i="4"/>
  <c r="AA910" i="4"/>
  <c r="AB910" i="4"/>
  <c r="AC910" i="4"/>
  <c r="AJ910" i="4"/>
  <c r="P911" i="4"/>
  <c r="AP911" i="4" s="1"/>
  <c r="Q911" i="4"/>
  <c r="AQ911" i="4" s="1"/>
  <c r="R911" i="4"/>
  <c r="AR911" i="4" s="1"/>
  <c r="S911" i="4"/>
  <c r="AN911" i="4" s="1"/>
  <c r="U911" i="4"/>
  <c r="V911" i="4"/>
  <c r="W911" i="4"/>
  <c r="X911" i="4"/>
  <c r="Y911" i="4"/>
  <c r="Z911" i="4"/>
  <c r="AA911" i="4"/>
  <c r="AB911" i="4"/>
  <c r="AC911" i="4"/>
  <c r="AF911" i="4"/>
  <c r="AJ911" i="4"/>
  <c r="AK911" i="4"/>
  <c r="AL911" i="4"/>
  <c r="P912" i="4"/>
  <c r="AP912" i="4" s="1"/>
  <c r="Q912" i="4"/>
  <c r="AQ912" i="4" s="1"/>
  <c r="R912" i="4"/>
  <c r="AR912" i="4" s="1"/>
  <c r="S912" i="4"/>
  <c r="AN912" i="4" s="1"/>
  <c r="U912" i="4"/>
  <c r="V912" i="4"/>
  <c r="W912" i="4"/>
  <c r="X912" i="4"/>
  <c r="Y912" i="4"/>
  <c r="Z912" i="4"/>
  <c r="AA912" i="4"/>
  <c r="AB912" i="4"/>
  <c r="AC912" i="4"/>
  <c r="AF912" i="4"/>
  <c r="AJ912" i="4"/>
  <c r="AL912" i="4"/>
  <c r="P913" i="4"/>
  <c r="AE913" i="4" s="1"/>
  <c r="Q913" i="4"/>
  <c r="AQ913" i="4" s="1"/>
  <c r="R913" i="4"/>
  <c r="AR913" i="4" s="1"/>
  <c r="S913" i="4"/>
  <c r="U913" i="4"/>
  <c r="V913" i="4"/>
  <c r="W913" i="4"/>
  <c r="X913" i="4"/>
  <c r="Y913" i="4"/>
  <c r="Z913" i="4"/>
  <c r="AA913" i="4"/>
  <c r="AB913" i="4"/>
  <c r="AC913" i="4"/>
  <c r="AF913" i="4"/>
  <c r="AJ913" i="4"/>
  <c r="AL913" i="4"/>
  <c r="AM913" i="4"/>
  <c r="AN913" i="4"/>
  <c r="P914" i="4"/>
  <c r="AE914" i="4" s="1"/>
  <c r="Q914" i="4"/>
  <c r="R914" i="4"/>
  <c r="AR914" i="4" s="1"/>
  <c r="S914" i="4"/>
  <c r="U914" i="4"/>
  <c r="V914" i="4"/>
  <c r="W914" i="4"/>
  <c r="X914" i="4"/>
  <c r="Y914" i="4"/>
  <c r="Z914" i="4"/>
  <c r="AA914" i="4"/>
  <c r="AB914" i="4"/>
  <c r="AC914" i="4"/>
  <c r="AF914" i="4"/>
  <c r="AJ914" i="4"/>
  <c r="AN914" i="4"/>
  <c r="P915" i="4"/>
  <c r="AP915" i="4" s="1"/>
  <c r="Q915" i="4"/>
  <c r="R915" i="4"/>
  <c r="S915" i="4"/>
  <c r="AN915" i="4" s="1"/>
  <c r="U915" i="4"/>
  <c r="V915" i="4"/>
  <c r="W915" i="4"/>
  <c r="X915" i="4"/>
  <c r="Y915" i="4"/>
  <c r="Z915" i="4"/>
  <c r="AA915" i="4"/>
  <c r="AB915" i="4"/>
  <c r="AC915" i="4"/>
  <c r="AF915" i="4"/>
  <c r="AG915" i="4"/>
  <c r="AJ915" i="4"/>
  <c r="P916" i="4"/>
  <c r="AP916" i="4" s="1"/>
  <c r="Q916" i="4"/>
  <c r="AQ916" i="4" s="1"/>
  <c r="R916" i="4"/>
  <c r="AG916" i="4" s="1"/>
  <c r="S916" i="4"/>
  <c r="AN916" i="4" s="1"/>
  <c r="U916" i="4"/>
  <c r="V916" i="4"/>
  <c r="W916" i="4"/>
  <c r="X916" i="4"/>
  <c r="Y916" i="4"/>
  <c r="Z916" i="4"/>
  <c r="AA916" i="4"/>
  <c r="AB916" i="4"/>
  <c r="AC916" i="4"/>
  <c r="AJ916" i="4"/>
  <c r="P917" i="4"/>
  <c r="AP917" i="4" s="1"/>
  <c r="Q917" i="4"/>
  <c r="AQ917" i="4" s="1"/>
  <c r="R917" i="4"/>
  <c r="AR917" i="4" s="1"/>
  <c r="S917" i="4"/>
  <c r="AN917" i="4" s="1"/>
  <c r="U917" i="4"/>
  <c r="V917" i="4"/>
  <c r="W917" i="4"/>
  <c r="X917" i="4"/>
  <c r="Y917" i="4"/>
  <c r="Z917" i="4"/>
  <c r="AA917" i="4"/>
  <c r="AB917" i="4"/>
  <c r="AC917" i="4"/>
  <c r="AJ917" i="4"/>
  <c r="P918" i="4"/>
  <c r="AP918" i="4" s="1"/>
  <c r="Q918" i="4"/>
  <c r="AQ918" i="4" s="1"/>
  <c r="R918" i="4"/>
  <c r="AR918" i="4" s="1"/>
  <c r="S918" i="4"/>
  <c r="AN918" i="4" s="1"/>
  <c r="U918" i="4"/>
  <c r="V918" i="4"/>
  <c r="W918" i="4"/>
  <c r="X918" i="4"/>
  <c r="Y918" i="4"/>
  <c r="Z918" i="4"/>
  <c r="AA918" i="4"/>
  <c r="AB918" i="4"/>
  <c r="AC918" i="4"/>
  <c r="AE918" i="4"/>
  <c r="AJ918" i="4"/>
  <c r="AK918" i="4"/>
  <c r="P919" i="4"/>
  <c r="AP919" i="4" s="1"/>
  <c r="Q919" i="4"/>
  <c r="AQ919" i="4" s="1"/>
  <c r="R919" i="4"/>
  <c r="AR919" i="4" s="1"/>
  <c r="S919" i="4"/>
  <c r="AN919" i="4" s="1"/>
  <c r="U919" i="4"/>
  <c r="V919" i="4"/>
  <c r="W919" i="4"/>
  <c r="X919" i="4"/>
  <c r="Y919" i="4"/>
  <c r="Z919" i="4"/>
  <c r="AA919" i="4"/>
  <c r="AB919" i="4"/>
  <c r="AC919" i="4"/>
  <c r="AE919" i="4"/>
  <c r="AJ919" i="4"/>
  <c r="AK919" i="4"/>
  <c r="AL919" i="4"/>
  <c r="P920" i="4"/>
  <c r="AP920" i="4" s="1"/>
  <c r="Q920" i="4"/>
  <c r="AQ920" i="4" s="1"/>
  <c r="R920" i="4"/>
  <c r="AR920" i="4" s="1"/>
  <c r="S920" i="4"/>
  <c r="AN920" i="4" s="1"/>
  <c r="U920" i="4"/>
  <c r="V920" i="4"/>
  <c r="W920" i="4"/>
  <c r="X920" i="4"/>
  <c r="Y920" i="4"/>
  <c r="Z920" i="4"/>
  <c r="AA920" i="4"/>
  <c r="AB920" i="4"/>
  <c r="AC920" i="4"/>
  <c r="AE920" i="4"/>
  <c r="AG920" i="4"/>
  <c r="AJ920" i="4"/>
  <c r="AK920" i="4"/>
  <c r="AM920" i="4"/>
  <c r="P921" i="4"/>
  <c r="Q921" i="4"/>
  <c r="AQ921" i="4" s="1"/>
  <c r="R921" i="4"/>
  <c r="AR921" i="4" s="1"/>
  <c r="S921" i="4"/>
  <c r="U921" i="4"/>
  <c r="V921" i="4"/>
  <c r="W921" i="4"/>
  <c r="X921" i="4"/>
  <c r="Y921" i="4"/>
  <c r="Z921" i="4"/>
  <c r="AA921" i="4"/>
  <c r="AB921" i="4"/>
  <c r="AC921" i="4"/>
  <c r="AE921" i="4"/>
  <c r="AG921" i="4"/>
  <c r="AJ921" i="4"/>
  <c r="AL921" i="4"/>
  <c r="AM921" i="4"/>
  <c r="AN921" i="4"/>
  <c r="P922" i="4"/>
  <c r="Q922" i="4"/>
  <c r="AF922" i="4" s="1"/>
  <c r="R922" i="4"/>
  <c r="AR922" i="4" s="1"/>
  <c r="S922" i="4"/>
  <c r="AN922" i="4" s="1"/>
  <c r="U922" i="4"/>
  <c r="V922" i="4"/>
  <c r="W922" i="4"/>
  <c r="X922" i="4"/>
  <c r="Y922" i="4"/>
  <c r="Z922" i="4"/>
  <c r="AA922" i="4"/>
  <c r="AB922" i="4"/>
  <c r="AC922" i="4"/>
  <c r="AE922" i="4"/>
  <c r="AG922" i="4"/>
  <c r="AJ922" i="4"/>
  <c r="AM922" i="4"/>
  <c r="P923" i="4"/>
  <c r="AP923" i="4" s="1"/>
  <c r="Q923" i="4"/>
  <c r="R923" i="4"/>
  <c r="S923" i="4"/>
  <c r="U923" i="4"/>
  <c r="V923" i="4"/>
  <c r="W923" i="4"/>
  <c r="X923" i="4"/>
  <c r="Y923" i="4"/>
  <c r="Z923" i="4"/>
  <c r="AA923" i="4"/>
  <c r="AB923" i="4"/>
  <c r="AC923" i="4"/>
  <c r="AF923" i="4"/>
  <c r="AG923" i="4"/>
  <c r="AJ923" i="4"/>
  <c r="AN923" i="4"/>
  <c r="P924" i="4"/>
  <c r="AP924" i="4" s="1"/>
  <c r="Q924" i="4"/>
  <c r="AQ924" i="4" s="1"/>
  <c r="R924" i="4"/>
  <c r="S924" i="4"/>
  <c r="AN924" i="4" s="1"/>
  <c r="U924" i="4"/>
  <c r="V924" i="4"/>
  <c r="W924" i="4"/>
  <c r="X924" i="4"/>
  <c r="Y924" i="4"/>
  <c r="Z924" i="4"/>
  <c r="AA924" i="4"/>
  <c r="AB924" i="4"/>
  <c r="AC924" i="4"/>
  <c r="AG924" i="4"/>
  <c r="AJ924" i="4"/>
  <c r="P925" i="4"/>
  <c r="Q925" i="4"/>
  <c r="R925" i="4"/>
  <c r="S925" i="4"/>
  <c r="AN925" i="4" s="1"/>
  <c r="U925" i="4"/>
  <c r="V925" i="4"/>
  <c r="W925" i="4"/>
  <c r="X925" i="4"/>
  <c r="Y925" i="4"/>
  <c r="Z925" i="4"/>
  <c r="AA925" i="4"/>
  <c r="AB925" i="4"/>
  <c r="AC925" i="4"/>
  <c r="AJ925" i="4"/>
  <c r="P926" i="4"/>
  <c r="AE926" i="4" s="1"/>
  <c r="Q926" i="4"/>
  <c r="R926" i="4"/>
  <c r="S926" i="4"/>
  <c r="AN926" i="4" s="1"/>
  <c r="U926" i="4"/>
  <c r="V926" i="4"/>
  <c r="W926" i="4"/>
  <c r="X926" i="4"/>
  <c r="Y926" i="4"/>
  <c r="Z926" i="4"/>
  <c r="AA926" i="4"/>
  <c r="AB926" i="4"/>
  <c r="AC926" i="4"/>
  <c r="AJ926" i="4"/>
  <c r="P927" i="4"/>
  <c r="AE927" i="4" s="1"/>
  <c r="Q927" i="4"/>
  <c r="R927" i="4"/>
  <c r="S927" i="4"/>
  <c r="AN927" i="4" s="1"/>
  <c r="U927" i="4"/>
  <c r="V927" i="4"/>
  <c r="W927" i="4"/>
  <c r="X927" i="4"/>
  <c r="Y927" i="4"/>
  <c r="Z927" i="4"/>
  <c r="AA927" i="4"/>
  <c r="AB927" i="4"/>
  <c r="AC927" i="4"/>
  <c r="AF927" i="4"/>
  <c r="AJ927" i="4"/>
  <c r="AK927" i="4"/>
  <c r="AL927" i="4"/>
  <c r="P928" i="4"/>
  <c r="AE928" i="4" s="1"/>
  <c r="Q928" i="4"/>
  <c r="R928" i="4"/>
  <c r="AG928" i="4" s="1"/>
  <c r="S928" i="4"/>
  <c r="AN928" i="4" s="1"/>
  <c r="U928" i="4"/>
  <c r="V928" i="4"/>
  <c r="W928" i="4"/>
  <c r="X928" i="4"/>
  <c r="Y928" i="4"/>
  <c r="Z928" i="4"/>
  <c r="AA928" i="4"/>
  <c r="AB928" i="4"/>
  <c r="AC928" i="4"/>
  <c r="AF928" i="4"/>
  <c r="AJ928" i="4"/>
  <c r="AL928" i="4"/>
  <c r="P929" i="4"/>
  <c r="AK929" i="4" s="1"/>
  <c r="Q929" i="4"/>
  <c r="R929" i="4"/>
  <c r="AG929" i="4" s="1"/>
  <c r="S929" i="4"/>
  <c r="U929" i="4"/>
  <c r="V929" i="4"/>
  <c r="W929" i="4"/>
  <c r="X929" i="4"/>
  <c r="Y929" i="4"/>
  <c r="Z929" i="4"/>
  <c r="AA929" i="4"/>
  <c r="AB929" i="4"/>
  <c r="AC929" i="4"/>
  <c r="AF929" i="4"/>
  <c r="AJ929" i="4"/>
  <c r="AL929" i="4"/>
  <c r="AM929" i="4"/>
  <c r="AN929" i="4"/>
  <c r="P930" i="4"/>
  <c r="AK930" i="4" s="1"/>
  <c r="Q930" i="4"/>
  <c r="AL930" i="4" s="1"/>
  <c r="R930" i="4"/>
  <c r="AG930" i="4" s="1"/>
  <c r="S930" i="4"/>
  <c r="U930" i="4"/>
  <c r="V930" i="4"/>
  <c r="W930" i="4"/>
  <c r="X930" i="4"/>
  <c r="Y930" i="4"/>
  <c r="Z930" i="4"/>
  <c r="AA930" i="4"/>
  <c r="AB930" i="4"/>
  <c r="AC930" i="4"/>
  <c r="AF930" i="4"/>
  <c r="AJ930" i="4"/>
  <c r="AN930" i="4"/>
  <c r="P931" i="4"/>
  <c r="Q931" i="4"/>
  <c r="AL931" i="4" s="1"/>
  <c r="R931" i="4"/>
  <c r="AM931" i="4" s="1"/>
  <c r="S931" i="4"/>
  <c r="AN931" i="4" s="1"/>
  <c r="U931" i="4"/>
  <c r="V931" i="4"/>
  <c r="W931" i="4"/>
  <c r="X931" i="4"/>
  <c r="Y931" i="4"/>
  <c r="Z931" i="4"/>
  <c r="AA931" i="4"/>
  <c r="AB931" i="4"/>
  <c r="AC931" i="4"/>
  <c r="AF931" i="4"/>
  <c r="AG931" i="4"/>
  <c r="AJ931" i="4"/>
  <c r="P932" i="4"/>
  <c r="Q932" i="4"/>
  <c r="R932" i="4"/>
  <c r="AM932" i="4" s="1"/>
  <c r="S932" i="4"/>
  <c r="AN932" i="4" s="1"/>
  <c r="U932" i="4"/>
  <c r="V932" i="4"/>
  <c r="W932" i="4"/>
  <c r="X932" i="4"/>
  <c r="Y932" i="4"/>
  <c r="Z932" i="4"/>
  <c r="AA932" i="4"/>
  <c r="AB932" i="4"/>
  <c r="AC932" i="4"/>
  <c r="AJ932" i="4"/>
  <c r="P933" i="4"/>
  <c r="Q933" i="4"/>
  <c r="R933" i="4"/>
  <c r="S933" i="4"/>
  <c r="AN933" i="4" s="1"/>
  <c r="U933" i="4"/>
  <c r="V933" i="4"/>
  <c r="W933" i="4"/>
  <c r="X933" i="4"/>
  <c r="Y933" i="4"/>
  <c r="Z933" i="4"/>
  <c r="AA933" i="4"/>
  <c r="AB933" i="4"/>
  <c r="AC933" i="4"/>
  <c r="AJ933" i="4"/>
  <c r="P934" i="4"/>
  <c r="Q934" i="4"/>
  <c r="R934" i="4"/>
  <c r="S934" i="4"/>
  <c r="AN934" i="4" s="1"/>
  <c r="U934" i="4"/>
  <c r="V934" i="4"/>
  <c r="W934" i="4"/>
  <c r="X934" i="4"/>
  <c r="Y934" i="4"/>
  <c r="Z934" i="4"/>
  <c r="AA934" i="4"/>
  <c r="AB934" i="4"/>
  <c r="AC934" i="4"/>
  <c r="AE934" i="4"/>
  <c r="AJ934" i="4"/>
  <c r="AK934" i="4"/>
  <c r="P935" i="4"/>
  <c r="Q935" i="4"/>
  <c r="AF935" i="4" s="1"/>
  <c r="R935" i="4"/>
  <c r="S935" i="4"/>
  <c r="AN935" i="4" s="1"/>
  <c r="U935" i="4"/>
  <c r="V935" i="4"/>
  <c r="W935" i="4"/>
  <c r="X935" i="4"/>
  <c r="Y935" i="4"/>
  <c r="Z935" i="4"/>
  <c r="AA935" i="4"/>
  <c r="AB935" i="4"/>
  <c r="AC935" i="4"/>
  <c r="AE935" i="4"/>
  <c r="AJ935" i="4"/>
  <c r="AK935" i="4"/>
  <c r="AL935" i="4"/>
  <c r="P936" i="4"/>
  <c r="Q936" i="4"/>
  <c r="AF936" i="4" s="1"/>
  <c r="R936" i="4"/>
  <c r="S936" i="4"/>
  <c r="AN936" i="4" s="1"/>
  <c r="U936" i="4"/>
  <c r="V936" i="4"/>
  <c r="W936" i="4"/>
  <c r="X936" i="4"/>
  <c r="Y936" i="4"/>
  <c r="Z936" i="4"/>
  <c r="AA936" i="4"/>
  <c r="AB936" i="4"/>
  <c r="AC936" i="4"/>
  <c r="AE936" i="4"/>
  <c r="AG936" i="4"/>
  <c r="AJ936" i="4"/>
  <c r="AK936" i="4"/>
  <c r="AM936" i="4"/>
  <c r="P937" i="4"/>
  <c r="AK937" i="4" s="1"/>
  <c r="Q937" i="4"/>
  <c r="AF937" i="4" s="1"/>
  <c r="R937" i="4"/>
  <c r="S937" i="4"/>
  <c r="U937" i="4"/>
  <c r="V937" i="4"/>
  <c r="W937" i="4"/>
  <c r="X937" i="4"/>
  <c r="Y937" i="4"/>
  <c r="Z937" i="4"/>
  <c r="AA937" i="4"/>
  <c r="AB937" i="4"/>
  <c r="AC937" i="4"/>
  <c r="AE937" i="4"/>
  <c r="AG937" i="4"/>
  <c r="AJ937" i="4"/>
  <c r="AL937" i="4"/>
  <c r="AM937" i="4"/>
  <c r="AN937" i="4"/>
  <c r="P938" i="4"/>
  <c r="AK938" i="4" s="1"/>
  <c r="Q938" i="4"/>
  <c r="AL938" i="4" s="1"/>
  <c r="R938" i="4"/>
  <c r="S938" i="4"/>
  <c r="AN938" i="4" s="1"/>
  <c r="U938" i="4"/>
  <c r="V938" i="4"/>
  <c r="W938" i="4"/>
  <c r="X938" i="4"/>
  <c r="Y938" i="4"/>
  <c r="Z938" i="4"/>
  <c r="AA938" i="4"/>
  <c r="AB938" i="4"/>
  <c r="AC938" i="4"/>
  <c r="AE938" i="4"/>
  <c r="AG938" i="4"/>
  <c r="AJ938" i="4"/>
  <c r="AM938" i="4"/>
  <c r="P939" i="4"/>
  <c r="Q939" i="4"/>
  <c r="AL939" i="4" s="1"/>
  <c r="R939" i="4"/>
  <c r="AM939" i="4" s="1"/>
  <c r="S939" i="4"/>
  <c r="U939" i="4"/>
  <c r="V939" i="4"/>
  <c r="W939" i="4"/>
  <c r="X939" i="4"/>
  <c r="Y939" i="4"/>
  <c r="Z939" i="4"/>
  <c r="AA939" i="4"/>
  <c r="AB939" i="4"/>
  <c r="AC939" i="4"/>
  <c r="AF939" i="4"/>
  <c r="AG939" i="4"/>
  <c r="AJ939" i="4"/>
  <c r="AN939" i="4"/>
  <c r="P940" i="4"/>
  <c r="Q940" i="4"/>
  <c r="R940" i="4"/>
  <c r="AM940" i="4" s="1"/>
  <c r="S940" i="4"/>
  <c r="AN940" i="4" s="1"/>
  <c r="U940" i="4"/>
  <c r="V940" i="4"/>
  <c r="W940" i="4"/>
  <c r="X940" i="4"/>
  <c r="Y940" i="4"/>
  <c r="Z940" i="4"/>
  <c r="AA940" i="4"/>
  <c r="AB940" i="4"/>
  <c r="AC940" i="4"/>
  <c r="AG940" i="4"/>
  <c r="AJ940" i="4"/>
  <c r="P941" i="4"/>
  <c r="Q941" i="4"/>
  <c r="R941" i="4"/>
  <c r="S941" i="4"/>
  <c r="AN941" i="4" s="1"/>
  <c r="U941" i="4"/>
  <c r="V941" i="4"/>
  <c r="W941" i="4"/>
  <c r="X941" i="4"/>
  <c r="Y941" i="4"/>
  <c r="Z941" i="4"/>
  <c r="AA941" i="4"/>
  <c r="AB941" i="4"/>
  <c r="AC941" i="4"/>
  <c r="AJ941" i="4"/>
  <c r="P942" i="4"/>
  <c r="AE942" i="4" s="1"/>
  <c r="Q942" i="4"/>
  <c r="R942" i="4"/>
  <c r="S942" i="4"/>
  <c r="AN942" i="4" s="1"/>
  <c r="U942" i="4"/>
  <c r="V942" i="4"/>
  <c r="W942" i="4"/>
  <c r="X942" i="4"/>
  <c r="Y942" i="4"/>
  <c r="Z942" i="4"/>
  <c r="AA942" i="4"/>
  <c r="AB942" i="4"/>
  <c r="AC942" i="4"/>
  <c r="AJ942" i="4"/>
  <c r="P943" i="4"/>
  <c r="AE943" i="4" s="1"/>
  <c r="Q943" i="4"/>
  <c r="R943" i="4"/>
  <c r="S943" i="4"/>
  <c r="AN943" i="4" s="1"/>
  <c r="U943" i="4"/>
  <c r="V943" i="4"/>
  <c r="W943" i="4"/>
  <c r="X943" i="4"/>
  <c r="Y943" i="4"/>
  <c r="Z943" i="4"/>
  <c r="AA943" i="4"/>
  <c r="AB943" i="4"/>
  <c r="AC943" i="4"/>
  <c r="AF943" i="4"/>
  <c r="AJ943" i="4"/>
  <c r="AK943" i="4"/>
  <c r="AL943" i="4"/>
  <c r="P944" i="4"/>
  <c r="AE944" i="4" s="1"/>
  <c r="Q944" i="4"/>
  <c r="R944" i="4"/>
  <c r="AG944" i="4" s="1"/>
  <c r="S944" i="4"/>
  <c r="AN944" i="4" s="1"/>
  <c r="U944" i="4"/>
  <c r="V944" i="4"/>
  <c r="W944" i="4"/>
  <c r="X944" i="4"/>
  <c r="Y944" i="4"/>
  <c r="Z944" i="4"/>
  <c r="AA944" i="4"/>
  <c r="AB944" i="4"/>
  <c r="AC944" i="4"/>
  <c r="AF944" i="4"/>
  <c r="AJ944" i="4"/>
  <c r="AL944" i="4"/>
  <c r="P945" i="4"/>
  <c r="AK945" i="4" s="1"/>
  <c r="Q945" i="4"/>
  <c r="R945" i="4"/>
  <c r="AG945" i="4" s="1"/>
  <c r="S945" i="4"/>
  <c r="U945" i="4"/>
  <c r="V945" i="4"/>
  <c r="W945" i="4"/>
  <c r="X945" i="4"/>
  <c r="Y945" i="4"/>
  <c r="Z945" i="4"/>
  <c r="AA945" i="4"/>
  <c r="AB945" i="4"/>
  <c r="AC945" i="4"/>
  <c r="AF945" i="4"/>
  <c r="AJ945" i="4"/>
  <c r="AL945" i="4"/>
  <c r="AM945" i="4"/>
  <c r="AN945" i="4"/>
  <c r="P946" i="4"/>
  <c r="AK946" i="4" s="1"/>
  <c r="Q946" i="4"/>
  <c r="AL946" i="4" s="1"/>
  <c r="R946" i="4"/>
  <c r="AG946" i="4" s="1"/>
  <c r="S946" i="4"/>
  <c r="U946" i="4"/>
  <c r="V946" i="4"/>
  <c r="W946" i="4"/>
  <c r="X946" i="4"/>
  <c r="Y946" i="4"/>
  <c r="Z946" i="4"/>
  <c r="AA946" i="4"/>
  <c r="AB946" i="4"/>
  <c r="AC946" i="4"/>
  <c r="AF946" i="4"/>
  <c r="AJ946" i="4"/>
  <c r="AN946" i="4"/>
  <c r="P947" i="4"/>
  <c r="Q947" i="4"/>
  <c r="AL947" i="4" s="1"/>
  <c r="R947" i="4"/>
  <c r="AM947" i="4" s="1"/>
  <c r="S947" i="4"/>
  <c r="AN947" i="4" s="1"/>
  <c r="U947" i="4"/>
  <c r="V947" i="4"/>
  <c r="W947" i="4"/>
  <c r="X947" i="4"/>
  <c r="Y947" i="4"/>
  <c r="Z947" i="4"/>
  <c r="AA947" i="4"/>
  <c r="AB947" i="4"/>
  <c r="AC947" i="4"/>
  <c r="AF947" i="4"/>
  <c r="AG947" i="4"/>
  <c r="AJ947" i="4"/>
  <c r="P948" i="4"/>
  <c r="Q948" i="4"/>
  <c r="R948" i="4"/>
  <c r="AM948" i="4" s="1"/>
  <c r="S948" i="4"/>
  <c r="AN948" i="4" s="1"/>
  <c r="U948" i="4"/>
  <c r="V948" i="4"/>
  <c r="W948" i="4"/>
  <c r="X948" i="4"/>
  <c r="Y948" i="4"/>
  <c r="Z948" i="4"/>
  <c r="AA948" i="4"/>
  <c r="AB948" i="4"/>
  <c r="AC948" i="4"/>
  <c r="AJ948" i="4"/>
  <c r="P949" i="4"/>
  <c r="Q949" i="4"/>
  <c r="R949" i="4"/>
  <c r="S949" i="4"/>
  <c r="AN949" i="4" s="1"/>
  <c r="U949" i="4"/>
  <c r="V949" i="4"/>
  <c r="W949" i="4"/>
  <c r="X949" i="4"/>
  <c r="Y949" i="4"/>
  <c r="Z949" i="4"/>
  <c r="AA949" i="4"/>
  <c r="AB949" i="4"/>
  <c r="AC949" i="4"/>
  <c r="AJ949" i="4"/>
  <c r="P950" i="4"/>
  <c r="Q950" i="4"/>
  <c r="R950" i="4"/>
  <c r="S950" i="4"/>
  <c r="AN950" i="4" s="1"/>
  <c r="U950" i="4"/>
  <c r="V950" i="4"/>
  <c r="W950" i="4"/>
  <c r="X950" i="4"/>
  <c r="Y950" i="4"/>
  <c r="Z950" i="4"/>
  <c r="AA950" i="4"/>
  <c r="AB950" i="4"/>
  <c r="AC950" i="4"/>
  <c r="AE950" i="4"/>
  <c r="AJ950" i="4"/>
  <c r="AK950" i="4"/>
  <c r="P951" i="4"/>
  <c r="Q951" i="4"/>
  <c r="AF951" i="4" s="1"/>
  <c r="R951" i="4"/>
  <c r="S951" i="4"/>
  <c r="AN951" i="4" s="1"/>
  <c r="U951" i="4"/>
  <c r="V951" i="4"/>
  <c r="W951" i="4"/>
  <c r="X951" i="4"/>
  <c r="Y951" i="4"/>
  <c r="Z951" i="4"/>
  <c r="AA951" i="4"/>
  <c r="AB951" i="4"/>
  <c r="AC951" i="4"/>
  <c r="AE951" i="4"/>
  <c r="AJ951" i="4"/>
  <c r="AK951" i="4"/>
  <c r="AL951" i="4"/>
  <c r="P952" i="4"/>
  <c r="Q952" i="4"/>
  <c r="AF952" i="4" s="1"/>
  <c r="R952" i="4"/>
  <c r="S952" i="4"/>
  <c r="AN952" i="4" s="1"/>
  <c r="U952" i="4"/>
  <c r="V952" i="4"/>
  <c r="W952" i="4"/>
  <c r="X952" i="4"/>
  <c r="Y952" i="4"/>
  <c r="Z952" i="4"/>
  <c r="AA952" i="4"/>
  <c r="AB952" i="4"/>
  <c r="AC952" i="4"/>
  <c r="AE952" i="4"/>
  <c r="AG952" i="4"/>
  <c r="AJ952" i="4"/>
  <c r="AK952" i="4"/>
  <c r="AM952" i="4"/>
  <c r="P953" i="4"/>
  <c r="AK953" i="4" s="1"/>
  <c r="Q953" i="4"/>
  <c r="AF953" i="4" s="1"/>
  <c r="R953" i="4"/>
  <c r="S953" i="4"/>
  <c r="U953" i="4"/>
  <c r="V953" i="4"/>
  <c r="W953" i="4"/>
  <c r="X953" i="4"/>
  <c r="Y953" i="4"/>
  <c r="Z953" i="4"/>
  <c r="AA953" i="4"/>
  <c r="AB953" i="4"/>
  <c r="AC953" i="4"/>
  <c r="AE953" i="4"/>
  <c r="AG953" i="4"/>
  <c r="AJ953" i="4"/>
  <c r="AL953" i="4"/>
  <c r="AM953" i="4"/>
  <c r="AN953" i="4"/>
  <c r="P954" i="4"/>
  <c r="AK954" i="4" s="1"/>
  <c r="Q954" i="4"/>
  <c r="AL954" i="4" s="1"/>
  <c r="R954" i="4"/>
  <c r="S954" i="4"/>
  <c r="AN954" i="4" s="1"/>
  <c r="U954" i="4"/>
  <c r="V954" i="4"/>
  <c r="W954" i="4"/>
  <c r="X954" i="4"/>
  <c r="Y954" i="4"/>
  <c r="Z954" i="4"/>
  <c r="AA954" i="4"/>
  <c r="AB954" i="4"/>
  <c r="AC954" i="4"/>
  <c r="AE954" i="4"/>
  <c r="AG954" i="4"/>
  <c r="AJ954" i="4"/>
  <c r="AM954" i="4"/>
  <c r="P955" i="4"/>
  <c r="Q955" i="4"/>
  <c r="AL955" i="4" s="1"/>
  <c r="R955" i="4"/>
  <c r="AM955" i="4" s="1"/>
  <c r="S955" i="4"/>
  <c r="U955" i="4"/>
  <c r="V955" i="4"/>
  <c r="W955" i="4"/>
  <c r="X955" i="4"/>
  <c r="Y955" i="4"/>
  <c r="Z955" i="4"/>
  <c r="AA955" i="4"/>
  <c r="AB955" i="4"/>
  <c r="AC955" i="4"/>
  <c r="AF955" i="4"/>
  <c r="AG955" i="4"/>
  <c r="AJ955" i="4"/>
  <c r="AN955" i="4"/>
  <c r="P956" i="4"/>
  <c r="Q956" i="4"/>
  <c r="R956" i="4"/>
  <c r="AM956" i="4" s="1"/>
  <c r="S956" i="4"/>
  <c r="AN956" i="4" s="1"/>
  <c r="U956" i="4"/>
  <c r="V956" i="4"/>
  <c r="W956" i="4"/>
  <c r="X956" i="4"/>
  <c r="Y956" i="4"/>
  <c r="Z956" i="4"/>
  <c r="AA956" i="4"/>
  <c r="AB956" i="4"/>
  <c r="AC956" i="4"/>
  <c r="AG956" i="4"/>
  <c r="AJ956" i="4"/>
  <c r="P957" i="4"/>
  <c r="Q957" i="4"/>
  <c r="R957" i="4"/>
  <c r="S957" i="4"/>
  <c r="AN957" i="4" s="1"/>
  <c r="U957" i="4"/>
  <c r="V957" i="4"/>
  <c r="W957" i="4"/>
  <c r="X957" i="4"/>
  <c r="Y957" i="4"/>
  <c r="Z957" i="4"/>
  <c r="AA957" i="4"/>
  <c r="AB957" i="4"/>
  <c r="AC957" i="4"/>
  <c r="AJ957" i="4"/>
  <c r="P958" i="4"/>
  <c r="AE958" i="4" s="1"/>
  <c r="Q958" i="4"/>
  <c r="R958" i="4"/>
  <c r="S958" i="4"/>
  <c r="AN958" i="4" s="1"/>
  <c r="U958" i="4"/>
  <c r="V958" i="4"/>
  <c r="W958" i="4"/>
  <c r="X958" i="4"/>
  <c r="Y958" i="4"/>
  <c r="Z958" i="4"/>
  <c r="AA958" i="4"/>
  <c r="AB958" i="4"/>
  <c r="AC958" i="4"/>
  <c r="AJ958" i="4"/>
  <c r="P959" i="4"/>
  <c r="AE959" i="4" s="1"/>
  <c r="Q959" i="4"/>
  <c r="R959" i="4"/>
  <c r="S959" i="4"/>
  <c r="AN959" i="4" s="1"/>
  <c r="U959" i="4"/>
  <c r="V959" i="4"/>
  <c r="W959" i="4"/>
  <c r="X959" i="4"/>
  <c r="Y959" i="4"/>
  <c r="Z959" i="4"/>
  <c r="AA959" i="4"/>
  <c r="AB959" i="4"/>
  <c r="AC959" i="4"/>
  <c r="AF959" i="4"/>
  <c r="AJ959" i="4"/>
  <c r="AK959" i="4"/>
  <c r="AL959" i="4"/>
  <c r="P960" i="4"/>
  <c r="AE960" i="4" s="1"/>
  <c r="Q960" i="4"/>
  <c r="R960" i="4"/>
  <c r="AG960" i="4" s="1"/>
  <c r="S960" i="4"/>
  <c r="AN960" i="4" s="1"/>
  <c r="U960" i="4"/>
  <c r="V960" i="4"/>
  <c r="W960" i="4"/>
  <c r="X960" i="4"/>
  <c r="Y960" i="4"/>
  <c r="Z960" i="4"/>
  <c r="AA960" i="4"/>
  <c r="AB960" i="4"/>
  <c r="AC960" i="4"/>
  <c r="AF960" i="4"/>
  <c r="AJ960" i="4"/>
  <c r="AL960" i="4"/>
  <c r="P961" i="4"/>
  <c r="AK961" i="4" s="1"/>
  <c r="Q961" i="4"/>
  <c r="R961" i="4"/>
  <c r="AG961" i="4" s="1"/>
  <c r="S961" i="4"/>
  <c r="U961" i="4"/>
  <c r="V961" i="4"/>
  <c r="W961" i="4"/>
  <c r="X961" i="4"/>
  <c r="Y961" i="4"/>
  <c r="Z961" i="4"/>
  <c r="AA961" i="4"/>
  <c r="AB961" i="4"/>
  <c r="AC961" i="4"/>
  <c r="AF961" i="4"/>
  <c r="AJ961" i="4"/>
  <c r="AL961" i="4"/>
  <c r="AM961" i="4"/>
  <c r="AN961" i="4"/>
  <c r="P962" i="4"/>
  <c r="AK962" i="4" s="1"/>
  <c r="Q962" i="4"/>
  <c r="AL962" i="4" s="1"/>
  <c r="R962" i="4"/>
  <c r="S962" i="4"/>
  <c r="U962" i="4"/>
  <c r="V962" i="4"/>
  <c r="W962" i="4"/>
  <c r="X962" i="4"/>
  <c r="Y962" i="4"/>
  <c r="Z962" i="4"/>
  <c r="AA962" i="4"/>
  <c r="AB962" i="4"/>
  <c r="AC962" i="4"/>
  <c r="AG962" i="4"/>
  <c r="AJ962" i="4"/>
  <c r="AM962" i="4"/>
  <c r="AN962" i="4"/>
  <c r="P963" i="4"/>
  <c r="Q963" i="4"/>
  <c r="AL963" i="4" s="1"/>
  <c r="R963" i="4"/>
  <c r="AM963" i="4" s="1"/>
  <c r="S963" i="4"/>
  <c r="U963" i="4"/>
  <c r="V963" i="4"/>
  <c r="W963" i="4"/>
  <c r="X963" i="4"/>
  <c r="Y963" i="4"/>
  <c r="Z963" i="4"/>
  <c r="AA963" i="4"/>
  <c r="AB963" i="4"/>
  <c r="AC963" i="4"/>
  <c r="AF963" i="4"/>
  <c r="AG963" i="4"/>
  <c r="AJ963" i="4"/>
  <c r="AN963" i="4"/>
  <c r="P964" i="4"/>
  <c r="AE964" i="4" s="1"/>
  <c r="Q964" i="4"/>
  <c r="R964" i="4"/>
  <c r="AM964" i="4" s="1"/>
  <c r="S964" i="4"/>
  <c r="AN964" i="4" s="1"/>
  <c r="U964" i="4"/>
  <c r="V964" i="4"/>
  <c r="W964" i="4"/>
  <c r="X964" i="4"/>
  <c r="Y964" i="4"/>
  <c r="Z964" i="4"/>
  <c r="AA964" i="4"/>
  <c r="AB964" i="4"/>
  <c r="AC964" i="4"/>
  <c r="AG964" i="4"/>
  <c r="AJ964" i="4"/>
  <c r="AK964" i="4"/>
  <c r="P965" i="4"/>
  <c r="Q965" i="4"/>
  <c r="AF965" i="4" s="1"/>
  <c r="R965" i="4"/>
  <c r="S965" i="4"/>
  <c r="AN965" i="4" s="1"/>
  <c r="U965" i="4"/>
  <c r="V965" i="4"/>
  <c r="W965" i="4"/>
  <c r="X965" i="4"/>
  <c r="Y965" i="4"/>
  <c r="Z965" i="4"/>
  <c r="AA965" i="4"/>
  <c r="AB965" i="4"/>
  <c r="AC965" i="4"/>
  <c r="AJ965" i="4"/>
  <c r="P966" i="4"/>
  <c r="Q966" i="4"/>
  <c r="R966" i="4"/>
  <c r="AG966" i="4" s="1"/>
  <c r="S966" i="4"/>
  <c r="AN966" i="4" s="1"/>
  <c r="U966" i="4"/>
  <c r="V966" i="4"/>
  <c r="W966" i="4"/>
  <c r="X966" i="4"/>
  <c r="Y966" i="4"/>
  <c r="Z966" i="4"/>
  <c r="AA966" i="4"/>
  <c r="AB966" i="4"/>
  <c r="AC966" i="4"/>
  <c r="AE966" i="4"/>
  <c r="AJ966" i="4"/>
  <c r="AK966" i="4"/>
  <c r="P967" i="4"/>
  <c r="Q967" i="4"/>
  <c r="AF967" i="4" s="1"/>
  <c r="R967" i="4"/>
  <c r="S967" i="4"/>
  <c r="AN967" i="4" s="1"/>
  <c r="U967" i="4"/>
  <c r="V967" i="4"/>
  <c r="W967" i="4"/>
  <c r="X967" i="4"/>
  <c r="Y967" i="4"/>
  <c r="Z967" i="4"/>
  <c r="AA967" i="4"/>
  <c r="AB967" i="4"/>
  <c r="AC967" i="4"/>
  <c r="AE967" i="4"/>
  <c r="AJ967" i="4"/>
  <c r="AK967" i="4"/>
  <c r="AL967" i="4"/>
  <c r="P968" i="4"/>
  <c r="AE968" i="4" s="1"/>
  <c r="Q968" i="4"/>
  <c r="R968" i="4"/>
  <c r="AG968" i="4" s="1"/>
  <c r="S968" i="4"/>
  <c r="AN968" i="4" s="1"/>
  <c r="U968" i="4"/>
  <c r="V968" i="4"/>
  <c r="W968" i="4"/>
  <c r="X968" i="4"/>
  <c r="Y968" i="4"/>
  <c r="Z968" i="4"/>
  <c r="AA968" i="4"/>
  <c r="AB968" i="4"/>
  <c r="AC968" i="4"/>
  <c r="AF968" i="4"/>
  <c r="AJ968" i="4"/>
  <c r="AL968" i="4"/>
  <c r="P969" i="4"/>
  <c r="AK969" i="4" s="1"/>
  <c r="Q969" i="4"/>
  <c r="R969" i="4"/>
  <c r="AM969" i="4" s="1"/>
  <c r="S969" i="4"/>
  <c r="U969" i="4"/>
  <c r="V969" i="4"/>
  <c r="W969" i="4"/>
  <c r="X969" i="4"/>
  <c r="Y969" i="4"/>
  <c r="Z969" i="4"/>
  <c r="AA969" i="4"/>
  <c r="AB969" i="4"/>
  <c r="AC969" i="4"/>
  <c r="AF969" i="4"/>
  <c r="AG969" i="4"/>
  <c r="AJ969" i="4"/>
  <c r="AL969" i="4"/>
  <c r="AN969" i="4"/>
  <c r="P970" i="4"/>
  <c r="AK970" i="4" s="1"/>
  <c r="Q970" i="4"/>
  <c r="AL970" i="4" s="1"/>
  <c r="R970" i="4"/>
  <c r="S970" i="4"/>
  <c r="AN970" i="4" s="1"/>
  <c r="U970" i="4"/>
  <c r="V970" i="4"/>
  <c r="W970" i="4"/>
  <c r="X970" i="4"/>
  <c r="Y970" i="4"/>
  <c r="Z970" i="4"/>
  <c r="AA970" i="4"/>
  <c r="AB970" i="4"/>
  <c r="AC970" i="4"/>
  <c r="AE970" i="4"/>
  <c r="AG970" i="4"/>
  <c r="AJ970" i="4"/>
  <c r="AM970" i="4"/>
  <c r="P971" i="4"/>
  <c r="Q971" i="4"/>
  <c r="AL971" i="4" s="1"/>
  <c r="R971" i="4"/>
  <c r="S971" i="4"/>
  <c r="U971" i="4"/>
  <c r="V971" i="4"/>
  <c r="W971" i="4"/>
  <c r="X971" i="4"/>
  <c r="Y971" i="4"/>
  <c r="Z971" i="4"/>
  <c r="AA971" i="4"/>
  <c r="AB971" i="4"/>
  <c r="AC971" i="4"/>
  <c r="AF971" i="4"/>
  <c r="AJ971" i="4"/>
  <c r="AN971" i="4"/>
  <c r="P972" i="4"/>
  <c r="Q972" i="4"/>
  <c r="AL972" i="4" s="1"/>
  <c r="R972" i="4"/>
  <c r="AM972" i="4" s="1"/>
  <c r="S972" i="4"/>
  <c r="U972" i="4"/>
  <c r="V972" i="4"/>
  <c r="W972" i="4"/>
  <c r="X972" i="4"/>
  <c r="Y972" i="4"/>
  <c r="Z972" i="4"/>
  <c r="AA972" i="4"/>
  <c r="AB972" i="4"/>
  <c r="AC972" i="4"/>
  <c r="AF972" i="4"/>
  <c r="AG972" i="4"/>
  <c r="AJ972" i="4"/>
  <c r="AN972" i="4"/>
  <c r="P973" i="4"/>
  <c r="Q973" i="4"/>
  <c r="AF973" i="4" s="1"/>
  <c r="R973" i="4"/>
  <c r="AM973" i="4" s="1"/>
  <c r="S973" i="4"/>
  <c r="AN973" i="4" s="1"/>
  <c r="U973" i="4"/>
  <c r="V973" i="4"/>
  <c r="W973" i="4"/>
  <c r="X973" i="4"/>
  <c r="Y973" i="4"/>
  <c r="Z973" i="4"/>
  <c r="AA973" i="4"/>
  <c r="AB973" i="4"/>
  <c r="AC973" i="4"/>
  <c r="AJ973" i="4"/>
  <c r="P974" i="4"/>
  <c r="AE974" i="4" s="1"/>
  <c r="Q974" i="4"/>
  <c r="R974" i="4"/>
  <c r="AG974" i="4" s="1"/>
  <c r="S974" i="4"/>
  <c r="AN974" i="4" s="1"/>
  <c r="U974" i="4"/>
  <c r="V974" i="4"/>
  <c r="W974" i="4"/>
  <c r="X974" i="4"/>
  <c r="Y974" i="4"/>
  <c r="Z974" i="4"/>
  <c r="AA974" i="4"/>
  <c r="AB974" i="4"/>
  <c r="AC974" i="4"/>
  <c r="AJ974" i="4"/>
  <c r="P975" i="4"/>
  <c r="AE975" i="4" s="1"/>
  <c r="Q975" i="4"/>
  <c r="AF975" i="4" s="1"/>
  <c r="R975" i="4"/>
  <c r="S975" i="4"/>
  <c r="U975" i="4"/>
  <c r="V975" i="4"/>
  <c r="W975" i="4"/>
  <c r="X975" i="4"/>
  <c r="Y975" i="4"/>
  <c r="Z975" i="4"/>
  <c r="AA975" i="4"/>
  <c r="AB975" i="4"/>
  <c r="AC975" i="4"/>
  <c r="AJ975" i="4"/>
  <c r="AL975" i="4"/>
  <c r="AN975" i="4"/>
  <c r="P976" i="4"/>
  <c r="AE976" i="4" s="1"/>
  <c r="Q976" i="4"/>
  <c r="R976" i="4"/>
  <c r="AG976" i="4" s="1"/>
  <c r="S976" i="4"/>
  <c r="AN976" i="4" s="1"/>
  <c r="U976" i="4"/>
  <c r="V976" i="4"/>
  <c r="W976" i="4"/>
  <c r="X976" i="4"/>
  <c r="Y976" i="4"/>
  <c r="Z976" i="4"/>
  <c r="AA976" i="4"/>
  <c r="AB976" i="4"/>
  <c r="AC976" i="4"/>
  <c r="AF976" i="4"/>
  <c r="AJ976" i="4"/>
  <c r="AL976" i="4"/>
  <c r="P977" i="4"/>
  <c r="AK977" i="4" s="1"/>
  <c r="Q977" i="4"/>
  <c r="R977" i="4"/>
  <c r="AG977" i="4" s="1"/>
  <c r="S977" i="4"/>
  <c r="AN977" i="4" s="1"/>
  <c r="U977" i="4"/>
  <c r="V977" i="4"/>
  <c r="W977" i="4"/>
  <c r="X977" i="4"/>
  <c r="Y977" i="4"/>
  <c r="Z977" i="4"/>
  <c r="AA977" i="4"/>
  <c r="AB977" i="4"/>
  <c r="AC977" i="4"/>
  <c r="AF977" i="4"/>
  <c r="AJ977" i="4"/>
  <c r="AL977" i="4"/>
  <c r="AM977" i="4"/>
  <c r="P978" i="4"/>
  <c r="AK978" i="4" s="1"/>
  <c r="Q978" i="4"/>
  <c r="R978" i="4"/>
  <c r="S978" i="4"/>
  <c r="U978" i="4"/>
  <c r="V978" i="4"/>
  <c r="W978" i="4"/>
  <c r="X978" i="4"/>
  <c r="Y978" i="4"/>
  <c r="Z978" i="4"/>
  <c r="AA978" i="4"/>
  <c r="AB978" i="4"/>
  <c r="AC978" i="4"/>
  <c r="AE978" i="4"/>
  <c r="AG978" i="4"/>
  <c r="AJ978" i="4"/>
  <c r="AM978" i="4"/>
  <c r="AN978" i="4"/>
  <c r="P979" i="4"/>
  <c r="AK979" i="4" s="1"/>
  <c r="Q979" i="4"/>
  <c r="AL979" i="4" s="1"/>
  <c r="R979" i="4"/>
  <c r="AG979" i="4" s="1"/>
  <c r="S979" i="4"/>
  <c r="AN979" i="4" s="1"/>
  <c r="U979" i="4"/>
  <c r="V979" i="4"/>
  <c r="W979" i="4"/>
  <c r="X979" i="4"/>
  <c r="Y979" i="4"/>
  <c r="Z979" i="4"/>
  <c r="AA979" i="4"/>
  <c r="AB979" i="4"/>
  <c r="AC979" i="4"/>
  <c r="AF979" i="4"/>
  <c r="AJ979" i="4"/>
  <c r="AM979" i="4"/>
  <c r="P980" i="4"/>
  <c r="Q980" i="4"/>
  <c r="AL980" i="4" s="1"/>
  <c r="R980" i="4"/>
  <c r="AM980" i="4" s="1"/>
  <c r="S980" i="4"/>
  <c r="U980" i="4"/>
  <c r="V980" i="4"/>
  <c r="W980" i="4"/>
  <c r="X980" i="4"/>
  <c r="Y980" i="4"/>
  <c r="Z980" i="4"/>
  <c r="AA980" i="4"/>
  <c r="AB980" i="4"/>
  <c r="AC980" i="4"/>
  <c r="AF980" i="4"/>
  <c r="AG980" i="4"/>
  <c r="AJ980" i="4"/>
  <c r="AN980" i="4"/>
  <c r="P981" i="4"/>
  <c r="Q981" i="4"/>
  <c r="AF981" i="4" s="1"/>
  <c r="R981" i="4"/>
  <c r="AM981" i="4" s="1"/>
  <c r="S981" i="4"/>
  <c r="AN981" i="4" s="1"/>
  <c r="U981" i="4"/>
  <c r="V981" i="4"/>
  <c r="W981" i="4"/>
  <c r="X981" i="4"/>
  <c r="Y981" i="4"/>
  <c r="Z981" i="4"/>
  <c r="AA981" i="4"/>
  <c r="AB981" i="4"/>
  <c r="AC981" i="4"/>
  <c r="AJ981" i="4"/>
  <c r="P982" i="4"/>
  <c r="AE982" i="4" s="1"/>
  <c r="Q982" i="4"/>
  <c r="AF982" i="4" s="1"/>
  <c r="R982" i="4"/>
  <c r="S982" i="4"/>
  <c r="AN982" i="4" s="1"/>
  <c r="U982" i="4"/>
  <c r="V982" i="4"/>
  <c r="W982" i="4"/>
  <c r="X982" i="4"/>
  <c r="Y982" i="4"/>
  <c r="Z982" i="4"/>
  <c r="AA982" i="4"/>
  <c r="AB982" i="4"/>
  <c r="AC982" i="4"/>
  <c r="AJ982" i="4"/>
  <c r="AL982" i="4"/>
  <c r="P983" i="4"/>
  <c r="Q983" i="4"/>
  <c r="AF983" i="4" s="1"/>
  <c r="R983" i="4"/>
  <c r="AG983" i="4" s="1"/>
  <c r="S983" i="4"/>
  <c r="AN983" i="4" s="1"/>
  <c r="U983" i="4"/>
  <c r="V983" i="4"/>
  <c r="W983" i="4"/>
  <c r="X983" i="4"/>
  <c r="Y983" i="4"/>
  <c r="Z983" i="4"/>
  <c r="AA983" i="4"/>
  <c r="AB983" i="4"/>
  <c r="AC983" i="4"/>
  <c r="AE983" i="4"/>
  <c r="AJ983" i="4"/>
  <c r="AK983" i="4"/>
  <c r="AL983" i="4"/>
  <c r="P984" i="4"/>
  <c r="AE984" i="4" s="1"/>
  <c r="Q984" i="4"/>
  <c r="R984" i="4"/>
  <c r="AM984" i="4" s="1"/>
  <c r="S984" i="4"/>
  <c r="U984" i="4"/>
  <c r="V984" i="4"/>
  <c r="W984" i="4"/>
  <c r="X984" i="4"/>
  <c r="Y984" i="4"/>
  <c r="Z984" i="4"/>
  <c r="AA984" i="4"/>
  <c r="AB984" i="4"/>
  <c r="AC984" i="4"/>
  <c r="AF984" i="4"/>
  <c r="AJ984" i="4"/>
  <c r="AL984" i="4"/>
  <c r="AN984" i="4"/>
  <c r="P985" i="4"/>
  <c r="AE985" i="4" s="1"/>
  <c r="Q985" i="4"/>
  <c r="R985" i="4"/>
  <c r="AM985" i="4" s="1"/>
  <c r="S985" i="4"/>
  <c r="U985" i="4"/>
  <c r="V985" i="4"/>
  <c r="W985" i="4"/>
  <c r="X985" i="4"/>
  <c r="Y985" i="4"/>
  <c r="Z985" i="4"/>
  <c r="AA985" i="4"/>
  <c r="AB985" i="4"/>
  <c r="AC985" i="4"/>
  <c r="AF985" i="4"/>
  <c r="AG985" i="4"/>
  <c r="AJ985" i="4"/>
  <c r="AL985" i="4"/>
  <c r="AN985" i="4"/>
  <c r="P986" i="4"/>
  <c r="AK986" i="4" s="1"/>
  <c r="Q986" i="4"/>
  <c r="AF986" i="4" s="1"/>
  <c r="AH986" i="4" s="1"/>
  <c r="AI986" i="4" s="1"/>
  <c r="R986" i="4"/>
  <c r="S986" i="4"/>
  <c r="U986" i="4"/>
  <c r="V986" i="4"/>
  <c r="W986" i="4"/>
  <c r="X986" i="4"/>
  <c r="Y986" i="4"/>
  <c r="Z986" i="4"/>
  <c r="AA986" i="4"/>
  <c r="AB986" i="4"/>
  <c r="AC986" i="4"/>
  <c r="AE986" i="4"/>
  <c r="AG986" i="4"/>
  <c r="AJ986" i="4"/>
  <c r="AL986" i="4"/>
  <c r="AM986" i="4"/>
  <c r="AN986" i="4"/>
  <c r="P987" i="4"/>
  <c r="Q987" i="4"/>
  <c r="AL987" i="4" s="1"/>
  <c r="R987" i="4"/>
  <c r="AG987" i="4" s="1"/>
  <c r="S987" i="4"/>
  <c r="AN987" i="4" s="1"/>
  <c r="U987" i="4"/>
  <c r="V987" i="4"/>
  <c r="W987" i="4"/>
  <c r="X987" i="4"/>
  <c r="Y987" i="4"/>
  <c r="Z987" i="4"/>
  <c r="AA987" i="4"/>
  <c r="AB987" i="4"/>
  <c r="AC987" i="4"/>
  <c r="AF987" i="4"/>
  <c r="AJ987" i="4"/>
  <c r="AM987" i="4"/>
  <c r="P988" i="4"/>
  <c r="AE988" i="4" s="1"/>
  <c r="Q988" i="4"/>
  <c r="AL988" i="4" s="1"/>
  <c r="R988" i="4"/>
  <c r="AM988" i="4" s="1"/>
  <c r="S988" i="4"/>
  <c r="AN988" i="4" s="1"/>
  <c r="U988" i="4"/>
  <c r="V988" i="4"/>
  <c r="W988" i="4"/>
  <c r="X988" i="4"/>
  <c r="Y988" i="4"/>
  <c r="Z988" i="4"/>
  <c r="AA988" i="4"/>
  <c r="AB988" i="4"/>
  <c r="AC988" i="4"/>
  <c r="AJ988" i="4"/>
  <c r="P989" i="4"/>
  <c r="AE989" i="4" s="1"/>
  <c r="Q989" i="4"/>
  <c r="AF989" i="4" s="1"/>
  <c r="R989" i="4"/>
  <c r="AM989" i="4" s="1"/>
  <c r="S989" i="4"/>
  <c r="AN989" i="4" s="1"/>
  <c r="U989" i="4"/>
  <c r="V989" i="4"/>
  <c r="W989" i="4"/>
  <c r="X989" i="4"/>
  <c r="Y989" i="4"/>
  <c r="Z989" i="4"/>
  <c r="AA989" i="4"/>
  <c r="AB989" i="4"/>
  <c r="AC989" i="4"/>
  <c r="AG989" i="4"/>
  <c r="AJ989" i="4"/>
  <c r="P990" i="4"/>
  <c r="AE990" i="4" s="1"/>
  <c r="Q990" i="4"/>
  <c r="AF990" i="4" s="1"/>
  <c r="R990" i="4"/>
  <c r="AG990" i="4" s="1"/>
  <c r="S990" i="4"/>
  <c r="AN990" i="4" s="1"/>
  <c r="U990" i="4"/>
  <c r="V990" i="4"/>
  <c r="W990" i="4"/>
  <c r="X990" i="4"/>
  <c r="Y990" i="4"/>
  <c r="Z990" i="4"/>
  <c r="AA990" i="4"/>
  <c r="AB990" i="4"/>
  <c r="AC990" i="4"/>
  <c r="AJ990" i="4"/>
  <c r="AL990" i="4"/>
  <c r="P991" i="4"/>
  <c r="Q991" i="4"/>
  <c r="AL991" i="4" s="1"/>
  <c r="R991" i="4"/>
  <c r="AG991" i="4" s="1"/>
  <c r="S991" i="4"/>
  <c r="AN991" i="4" s="1"/>
  <c r="U991" i="4"/>
  <c r="V991" i="4"/>
  <c r="W991" i="4"/>
  <c r="X991" i="4"/>
  <c r="Y991" i="4"/>
  <c r="Z991" i="4"/>
  <c r="AA991" i="4"/>
  <c r="AB991" i="4"/>
  <c r="AC991" i="4"/>
  <c r="AE991" i="4"/>
  <c r="AJ991" i="4"/>
  <c r="AK991" i="4"/>
  <c r="AM991" i="4"/>
  <c r="P992" i="4"/>
  <c r="AE992" i="4" s="1"/>
  <c r="Q992" i="4"/>
  <c r="AF992" i="4" s="1"/>
  <c r="R992" i="4"/>
  <c r="S992" i="4"/>
  <c r="AN992" i="4" s="1"/>
  <c r="U992" i="4"/>
  <c r="V992" i="4"/>
  <c r="W992" i="4"/>
  <c r="X992" i="4"/>
  <c r="Y992" i="4"/>
  <c r="Z992" i="4"/>
  <c r="AA992" i="4"/>
  <c r="AB992" i="4"/>
  <c r="AC992" i="4"/>
  <c r="AG992" i="4"/>
  <c r="AJ992" i="4"/>
  <c r="AK992" i="4"/>
  <c r="AL992" i="4"/>
  <c r="AM992" i="4"/>
  <c r="P993" i="4"/>
  <c r="Q993" i="4"/>
  <c r="AF993" i="4" s="1"/>
  <c r="R993" i="4"/>
  <c r="AG993" i="4" s="1"/>
  <c r="S993" i="4"/>
  <c r="AN993" i="4" s="1"/>
  <c r="U993" i="4"/>
  <c r="V993" i="4"/>
  <c r="W993" i="4"/>
  <c r="X993" i="4"/>
  <c r="Y993" i="4"/>
  <c r="Z993" i="4"/>
  <c r="AA993" i="4"/>
  <c r="AB993" i="4"/>
  <c r="AC993" i="4"/>
  <c r="AE993" i="4"/>
  <c r="AJ993" i="4"/>
  <c r="AK993" i="4"/>
  <c r="AL993" i="4"/>
  <c r="P994" i="4"/>
  <c r="AE994" i="4" s="1"/>
  <c r="AH994" i="4" s="1"/>
  <c r="AI994" i="4" s="1"/>
  <c r="Q994" i="4"/>
  <c r="AF994" i="4" s="1"/>
  <c r="R994" i="4"/>
  <c r="S994" i="4"/>
  <c r="AN994" i="4" s="1"/>
  <c r="U994" i="4"/>
  <c r="V994" i="4"/>
  <c r="W994" i="4"/>
  <c r="X994" i="4"/>
  <c r="Y994" i="4"/>
  <c r="Z994" i="4"/>
  <c r="AA994" i="4"/>
  <c r="AB994" i="4"/>
  <c r="AC994" i="4"/>
  <c r="AG994" i="4"/>
  <c r="AJ994" i="4"/>
  <c r="AK994" i="4"/>
  <c r="AL994" i="4"/>
  <c r="AM994" i="4"/>
  <c r="P995" i="4"/>
  <c r="Q995" i="4"/>
  <c r="AL995" i="4" s="1"/>
  <c r="R995" i="4"/>
  <c r="AG995" i="4" s="1"/>
  <c r="S995" i="4"/>
  <c r="AN995" i="4" s="1"/>
  <c r="U995" i="4"/>
  <c r="V995" i="4"/>
  <c r="W995" i="4"/>
  <c r="X995" i="4"/>
  <c r="Y995" i="4"/>
  <c r="Z995" i="4"/>
  <c r="AA995" i="4"/>
  <c r="AB995" i="4"/>
  <c r="AC995" i="4"/>
  <c r="AF995" i="4"/>
  <c r="AJ995" i="4"/>
  <c r="AM995" i="4"/>
  <c r="P996" i="4"/>
  <c r="AK996" i="4" s="1"/>
  <c r="Q996" i="4"/>
  <c r="AL996" i="4" s="1"/>
  <c r="R996" i="4"/>
  <c r="S996" i="4"/>
  <c r="AN996" i="4" s="1"/>
  <c r="U996" i="4"/>
  <c r="V996" i="4"/>
  <c r="W996" i="4"/>
  <c r="X996" i="4"/>
  <c r="Y996" i="4"/>
  <c r="Z996" i="4"/>
  <c r="AA996" i="4"/>
  <c r="AB996" i="4"/>
  <c r="AC996" i="4"/>
  <c r="AF996" i="4"/>
  <c r="AJ996" i="4"/>
  <c r="P997" i="4"/>
  <c r="AE997" i="4" s="1"/>
  <c r="Q997" i="4"/>
  <c r="AF997" i="4" s="1"/>
  <c r="R997" i="4"/>
  <c r="AM997" i="4" s="1"/>
  <c r="S997" i="4"/>
  <c r="AN997" i="4" s="1"/>
  <c r="U997" i="4"/>
  <c r="V997" i="4"/>
  <c r="W997" i="4"/>
  <c r="X997" i="4"/>
  <c r="Y997" i="4"/>
  <c r="Z997" i="4"/>
  <c r="AA997" i="4"/>
  <c r="AB997" i="4"/>
  <c r="AC997" i="4"/>
  <c r="AJ997" i="4"/>
  <c r="P998" i="4"/>
  <c r="AK998" i="4" s="1"/>
  <c r="Q998" i="4"/>
  <c r="AF998" i="4" s="1"/>
  <c r="R998" i="4"/>
  <c r="AG998" i="4" s="1"/>
  <c r="S998" i="4"/>
  <c r="AN998" i="4" s="1"/>
  <c r="U998" i="4"/>
  <c r="V998" i="4"/>
  <c r="W998" i="4"/>
  <c r="X998" i="4"/>
  <c r="Y998" i="4"/>
  <c r="Z998" i="4"/>
  <c r="AA998" i="4"/>
  <c r="AB998" i="4"/>
  <c r="AC998" i="4"/>
  <c r="AJ998" i="4"/>
  <c r="AL998" i="4"/>
  <c r="AM998" i="4"/>
  <c r="P999" i="4"/>
  <c r="AE999" i="4" s="1"/>
  <c r="Q999" i="4"/>
  <c r="AL999" i="4" s="1"/>
  <c r="R999" i="4"/>
  <c r="S999" i="4"/>
  <c r="AN999" i="4" s="1"/>
  <c r="U999" i="4"/>
  <c r="V999" i="4"/>
  <c r="W999" i="4"/>
  <c r="X999" i="4"/>
  <c r="Y999" i="4"/>
  <c r="Z999" i="4"/>
  <c r="AA999" i="4"/>
  <c r="AB999" i="4"/>
  <c r="AC999" i="4"/>
  <c r="AF999" i="4"/>
  <c r="AJ999" i="4"/>
  <c r="AK999" i="4"/>
  <c r="P1000" i="4"/>
  <c r="AE1000" i="4" s="1"/>
  <c r="Q1000" i="4"/>
  <c r="AF1000" i="4" s="1"/>
  <c r="R1000" i="4"/>
  <c r="AG1000" i="4" s="1"/>
  <c r="S1000" i="4"/>
  <c r="U1000" i="4"/>
  <c r="V1000" i="4"/>
  <c r="W1000" i="4"/>
  <c r="X1000" i="4"/>
  <c r="Y1000" i="4"/>
  <c r="Z1000" i="4"/>
  <c r="AA1000" i="4"/>
  <c r="AB1000" i="4"/>
  <c r="AC1000" i="4"/>
  <c r="AJ1000" i="4"/>
  <c r="AM1000" i="4"/>
  <c r="AN1000" i="4"/>
  <c r="P1001" i="4"/>
  <c r="AE1001" i="4" s="1"/>
  <c r="Q1001" i="4"/>
  <c r="R1001" i="4"/>
  <c r="AG1001" i="4" s="1"/>
  <c r="S1001" i="4"/>
  <c r="AN1001" i="4" s="1"/>
  <c r="U1001" i="4"/>
  <c r="V1001" i="4"/>
  <c r="W1001" i="4"/>
  <c r="X1001" i="4"/>
  <c r="Y1001" i="4"/>
  <c r="Z1001" i="4"/>
  <c r="AA1001" i="4"/>
  <c r="AB1001" i="4"/>
  <c r="AC1001" i="4"/>
  <c r="AF1001" i="4"/>
  <c r="AJ1001" i="4"/>
  <c r="AL1001" i="4"/>
  <c r="P1002" i="4"/>
  <c r="Q1002" i="4"/>
  <c r="AL1002" i="4" s="1"/>
  <c r="R1002" i="4"/>
  <c r="S1002" i="4"/>
  <c r="AN1002" i="4" s="1"/>
  <c r="U1002" i="4"/>
  <c r="V1002" i="4"/>
  <c r="W1002" i="4"/>
  <c r="X1002" i="4"/>
  <c r="Y1002" i="4"/>
  <c r="Z1002" i="4"/>
  <c r="AA1002" i="4"/>
  <c r="AB1002" i="4"/>
  <c r="AC1002" i="4"/>
  <c r="AF1002" i="4"/>
  <c r="AG1002" i="4"/>
  <c r="AJ1002" i="4"/>
  <c r="AM1002" i="4"/>
  <c r="P1003" i="4"/>
  <c r="AK1003" i="4" s="1"/>
  <c r="Q1003" i="4"/>
  <c r="R1003" i="4"/>
  <c r="AM1003" i="4" s="1"/>
  <c r="S1003" i="4"/>
  <c r="U1003" i="4"/>
  <c r="V1003" i="4"/>
  <c r="W1003" i="4"/>
  <c r="X1003" i="4"/>
  <c r="Y1003" i="4"/>
  <c r="Z1003" i="4"/>
  <c r="AA1003" i="4"/>
  <c r="AB1003" i="4"/>
  <c r="AC1003" i="4"/>
  <c r="AG1003" i="4"/>
  <c r="AJ1003" i="4"/>
  <c r="AN1003" i="4"/>
  <c r="P1004" i="4"/>
  <c r="AE1004" i="4" s="1"/>
  <c r="Q1004" i="4"/>
  <c r="AL1004" i="4" s="1"/>
  <c r="R1004" i="4"/>
  <c r="S1004" i="4"/>
  <c r="AN1004" i="4" s="1"/>
  <c r="U1004" i="4"/>
  <c r="V1004" i="4"/>
  <c r="W1004" i="4"/>
  <c r="X1004" i="4"/>
  <c r="Y1004" i="4"/>
  <c r="Z1004" i="4"/>
  <c r="AA1004" i="4"/>
  <c r="AB1004" i="4"/>
  <c r="AC1004" i="4"/>
  <c r="AG1004" i="4"/>
  <c r="AJ1004" i="4"/>
  <c r="AK1004" i="4"/>
  <c r="AM1004" i="4"/>
  <c r="P1005" i="4"/>
  <c r="AE1005" i="4" s="1"/>
  <c r="Q1005" i="4"/>
  <c r="AF1005" i="4" s="1"/>
  <c r="R1005" i="4"/>
  <c r="AM1005" i="4" s="1"/>
  <c r="S1005" i="4"/>
  <c r="U1005" i="4"/>
  <c r="V1005" i="4"/>
  <c r="W1005" i="4"/>
  <c r="X1005" i="4"/>
  <c r="Y1005" i="4"/>
  <c r="Z1005" i="4"/>
  <c r="AA1005" i="4"/>
  <c r="AB1005" i="4"/>
  <c r="AC1005" i="4"/>
  <c r="AJ1005" i="4"/>
  <c r="AL1005" i="4"/>
  <c r="AN1005" i="4"/>
  <c r="P1006" i="4"/>
  <c r="AE1006" i="4" s="1"/>
  <c r="AH1006" i="4" s="1"/>
  <c r="AI1006" i="4" s="1"/>
  <c r="Q1006" i="4"/>
  <c r="AF1006" i="4" s="1"/>
  <c r="R1006" i="4"/>
  <c r="AG1006" i="4" s="1"/>
  <c r="S1006" i="4"/>
  <c r="AN1006" i="4" s="1"/>
  <c r="U1006" i="4"/>
  <c r="V1006" i="4"/>
  <c r="W1006" i="4"/>
  <c r="X1006" i="4"/>
  <c r="Y1006" i="4"/>
  <c r="Z1006" i="4"/>
  <c r="AA1006" i="4"/>
  <c r="AB1006" i="4"/>
  <c r="AC1006" i="4"/>
  <c r="AJ1006" i="4"/>
  <c r="AM1006" i="4"/>
  <c r="P1007" i="4"/>
  <c r="AE1007" i="4" s="1"/>
  <c r="Q1007" i="4"/>
  <c r="AL1007" i="4" s="1"/>
  <c r="R1007" i="4"/>
  <c r="AG1007" i="4" s="1"/>
  <c r="S1007" i="4"/>
  <c r="U1007" i="4"/>
  <c r="V1007" i="4"/>
  <c r="W1007" i="4"/>
  <c r="X1007" i="4"/>
  <c r="Y1007" i="4"/>
  <c r="Z1007" i="4"/>
  <c r="AA1007" i="4"/>
  <c r="AB1007" i="4"/>
  <c r="AC1007" i="4"/>
  <c r="AF1007" i="4"/>
  <c r="AJ1007" i="4"/>
  <c r="AK1007" i="4"/>
  <c r="AN1007" i="4"/>
  <c r="P1008" i="4"/>
  <c r="Q1008" i="4"/>
  <c r="AF1008" i="4" s="1"/>
  <c r="R1008" i="4"/>
  <c r="S1008" i="4"/>
  <c r="AN1008" i="4" s="1"/>
  <c r="U1008" i="4"/>
  <c r="V1008" i="4"/>
  <c r="W1008" i="4"/>
  <c r="X1008" i="4"/>
  <c r="Y1008" i="4"/>
  <c r="Z1008" i="4"/>
  <c r="AA1008" i="4"/>
  <c r="AB1008" i="4"/>
  <c r="AC1008" i="4"/>
  <c r="AE1008" i="4"/>
  <c r="AG1008" i="4"/>
  <c r="AJ1008" i="4"/>
  <c r="AK1008" i="4"/>
  <c r="AL1008" i="4"/>
  <c r="AM1008" i="4"/>
  <c r="P1009" i="4"/>
  <c r="Q1009" i="4"/>
  <c r="R1009" i="4"/>
  <c r="AG1009" i="4" s="1"/>
  <c r="S1009" i="4"/>
  <c r="U1009" i="4"/>
  <c r="V1009" i="4"/>
  <c r="W1009" i="4"/>
  <c r="X1009" i="4"/>
  <c r="Y1009" i="4"/>
  <c r="Z1009" i="4"/>
  <c r="AA1009" i="4"/>
  <c r="AB1009" i="4"/>
  <c r="AC1009" i="4"/>
  <c r="AF1009" i="4"/>
  <c r="AJ1009" i="4"/>
  <c r="AL1009" i="4"/>
  <c r="AM1009" i="4"/>
  <c r="AN1009" i="4"/>
  <c r="P1010" i="4"/>
  <c r="AE1010" i="4" s="1"/>
  <c r="Q1010" i="4"/>
  <c r="R1010" i="4"/>
  <c r="AM1010" i="4" s="1"/>
  <c r="S1010" i="4"/>
  <c r="U1010" i="4"/>
  <c r="V1010" i="4"/>
  <c r="W1010" i="4"/>
  <c r="X1010" i="4"/>
  <c r="Y1010" i="4"/>
  <c r="Z1010" i="4"/>
  <c r="AA1010" i="4"/>
  <c r="AB1010" i="4"/>
  <c r="AC1010" i="4"/>
  <c r="AG1010" i="4"/>
  <c r="AJ1010" i="4"/>
  <c r="AK1010" i="4"/>
  <c r="AN1010" i="4"/>
  <c r="P1011" i="4"/>
  <c r="AK1011" i="4" s="1"/>
  <c r="Q1011" i="4"/>
  <c r="R1011" i="4"/>
  <c r="S1011" i="4"/>
  <c r="AN1011" i="4" s="1"/>
  <c r="U1011" i="4"/>
  <c r="V1011" i="4"/>
  <c r="W1011" i="4"/>
  <c r="X1011" i="4"/>
  <c r="Y1011" i="4"/>
  <c r="Z1011" i="4"/>
  <c r="AA1011" i="4"/>
  <c r="AB1011" i="4"/>
  <c r="AC1011" i="4"/>
  <c r="AF1011" i="4"/>
  <c r="AJ1011" i="4"/>
  <c r="AL1011" i="4"/>
  <c r="P1012" i="4"/>
  <c r="AE1012" i="4" s="1"/>
  <c r="Q1012" i="4"/>
  <c r="AL1012" i="4" s="1"/>
  <c r="R1012" i="4"/>
  <c r="AG1012" i="4" s="1"/>
  <c r="S1012" i="4"/>
  <c r="AN1012" i="4" s="1"/>
  <c r="U1012" i="4"/>
  <c r="V1012" i="4"/>
  <c r="W1012" i="4"/>
  <c r="X1012" i="4"/>
  <c r="Y1012" i="4"/>
  <c r="Z1012" i="4"/>
  <c r="AA1012" i="4"/>
  <c r="AB1012" i="4"/>
  <c r="AC1012" i="4"/>
  <c r="AJ1012" i="4"/>
  <c r="AM1012" i="4"/>
  <c r="P1013" i="4"/>
  <c r="AE1013" i="4" s="1"/>
  <c r="Q1013" i="4"/>
  <c r="AF1013" i="4" s="1"/>
  <c r="R1013" i="4"/>
  <c r="AM1013" i="4" s="1"/>
  <c r="S1013" i="4"/>
  <c r="U1013" i="4"/>
  <c r="V1013" i="4"/>
  <c r="W1013" i="4"/>
  <c r="X1013" i="4"/>
  <c r="Y1013" i="4"/>
  <c r="Z1013" i="4"/>
  <c r="AA1013" i="4"/>
  <c r="AB1013" i="4"/>
  <c r="AC1013" i="4"/>
  <c r="AJ1013" i="4"/>
  <c r="AN1013" i="4"/>
  <c r="P1014" i="4"/>
  <c r="Q1014" i="4"/>
  <c r="AF1014" i="4" s="1"/>
  <c r="R1014" i="4"/>
  <c r="AG1014" i="4" s="1"/>
  <c r="S1014" i="4"/>
  <c r="AN1014" i="4" s="1"/>
  <c r="U1014" i="4"/>
  <c r="V1014" i="4"/>
  <c r="W1014" i="4"/>
  <c r="X1014" i="4"/>
  <c r="Y1014" i="4"/>
  <c r="Z1014" i="4"/>
  <c r="AA1014" i="4"/>
  <c r="AB1014" i="4"/>
  <c r="AC1014" i="4"/>
  <c r="AE1014" i="4"/>
  <c r="AH1014" i="4" s="1"/>
  <c r="AI1014" i="4" s="1"/>
  <c r="AJ1014" i="4"/>
  <c r="AK1014" i="4"/>
  <c r="AM1014" i="4"/>
  <c r="P1015" i="4"/>
  <c r="Q1015" i="4"/>
  <c r="R1015" i="4"/>
  <c r="AG1015" i="4" s="1"/>
  <c r="S1015" i="4"/>
  <c r="U1015" i="4"/>
  <c r="V1015" i="4"/>
  <c r="W1015" i="4"/>
  <c r="X1015" i="4"/>
  <c r="Y1015" i="4"/>
  <c r="Z1015" i="4"/>
  <c r="AA1015" i="4"/>
  <c r="AB1015" i="4"/>
  <c r="AC1015" i="4"/>
  <c r="AF1015" i="4"/>
  <c r="AJ1015" i="4"/>
  <c r="AL1015" i="4"/>
  <c r="AN1015" i="4"/>
  <c r="P1016" i="4"/>
  <c r="AE1016" i="4" s="1"/>
  <c r="Q1016" i="4"/>
  <c r="AF1016" i="4" s="1"/>
  <c r="R1016" i="4"/>
  <c r="S1016" i="4"/>
  <c r="AN1016" i="4" s="1"/>
  <c r="U1016" i="4"/>
  <c r="V1016" i="4"/>
  <c r="W1016" i="4"/>
  <c r="X1016" i="4"/>
  <c r="Y1016" i="4"/>
  <c r="Z1016" i="4"/>
  <c r="AA1016" i="4"/>
  <c r="AB1016" i="4"/>
  <c r="AC1016" i="4"/>
  <c r="AG1016" i="4"/>
  <c r="AJ1016" i="4"/>
  <c r="AK1016" i="4"/>
  <c r="AL1016" i="4"/>
  <c r="AM1016" i="4"/>
  <c r="P1017" i="4"/>
  <c r="Q1017" i="4"/>
  <c r="R1017" i="4"/>
  <c r="AG1017" i="4" s="1"/>
  <c r="S1017" i="4"/>
  <c r="U1017" i="4"/>
  <c r="V1017" i="4"/>
  <c r="W1017" i="4"/>
  <c r="X1017" i="4"/>
  <c r="Y1017" i="4"/>
  <c r="Z1017" i="4"/>
  <c r="AA1017" i="4"/>
  <c r="AB1017" i="4"/>
  <c r="AC1017" i="4"/>
  <c r="AF1017" i="4"/>
  <c r="AJ1017" i="4"/>
  <c r="AL1017" i="4"/>
  <c r="AM1017" i="4"/>
  <c r="AN1017" i="4"/>
  <c r="P1018" i="4"/>
  <c r="Q1018" i="4"/>
  <c r="R1018" i="4"/>
  <c r="S1018" i="4"/>
  <c r="AN1018" i="4" s="1"/>
  <c r="U1018" i="4"/>
  <c r="V1018" i="4"/>
  <c r="W1018" i="4"/>
  <c r="X1018" i="4"/>
  <c r="Y1018" i="4"/>
  <c r="Z1018" i="4"/>
  <c r="AA1018" i="4"/>
  <c r="AB1018" i="4"/>
  <c r="AC1018" i="4"/>
  <c r="AE1018" i="4"/>
  <c r="AG1018" i="4"/>
  <c r="AJ1018" i="4"/>
  <c r="AK1018" i="4"/>
  <c r="AM1018" i="4"/>
  <c r="P1019" i="4"/>
  <c r="AK1019" i="4" s="1"/>
  <c r="Q1019" i="4"/>
  <c r="R1019" i="4"/>
  <c r="S1019" i="4"/>
  <c r="U1019" i="4"/>
  <c r="V1019" i="4"/>
  <c r="W1019" i="4"/>
  <c r="X1019" i="4"/>
  <c r="Y1019" i="4"/>
  <c r="Z1019" i="4"/>
  <c r="AA1019" i="4"/>
  <c r="AB1019" i="4"/>
  <c r="AC1019" i="4"/>
  <c r="AF1019" i="4"/>
  <c r="AJ1019" i="4"/>
  <c r="AL1019" i="4"/>
  <c r="AN1019" i="4"/>
  <c r="P1020" i="4"/>
  <c r="AE1020" i="4" s="1"/>
  <c r="Q1020" i="4"/>
  <c r="AL1020" i="4" s="1"/>
  <c r="R1020" i="4"/>
  <c r="S1020" i="4"/>
  <c r="AN1020" i="4" s="1"/>
  <c r="U1020" i="4"/>
  <c r="V1020" i="4"/>
  <c r="W1020" i="4"/>
  <c r="X1020" i="4"/>
  <c r="Y1020" i="4"/>
  <c r="Z1020" i="4"/>
  <c r="AA1020" i="4"/>
  <c r="AB1020" i="4"/>
  <c r="AC1020" i="4"/>
  <c r="AG1020" i="4"/>
  <c r="AJ1020" i="4"/>
  <c r="AK1020" i="4"/>
  <c r="AM1020" i="4"/>
  <c r="P1021" i="4"/>
  <c r="Q1021" i="4"/>
  <c r="AF1021" i="4" s="1"/>
  <c r="R1021" i="4"/>
  <c r="AM1021" i="4" s="1"/>
  <c r="S1021" i="4"/>
  <c r="U1021" i="4"/>
  <c r="V1021" i="4"/>
  <c r="W1021" i="4"/>
  <c r="X1021" i="4"/>
  <c r="Y1021" i="4"/>
  <c r="Z1021" i="4"/>
  <c r="AA1021" i="4"/>
  <c r="AB1021" i="4"/>
  <c r="AC1021" i="4"/>
  <c r="AJ1021" i="4"/>
  <c r="AL1021" i="4"/>
  <c r="AN1021" i="4"/>
  <c r="P1022" i="4"/>
  <c r="Q1022" i="4"/>
  <c r="R1022" i="4"/>
  <c r="AG1022" i="4" s="1"/>
  <c r="S1022" i="4"/>
  <c r="AN1022" i="4" s="1"/>
  <c r="U1022" i="4"/>
  <c r="V1022" i="4"/>
  <c r="W1022" i="4"/>
  <c r="X1022" i="4"/>
  <c r="Y1022" i="4"/>
  <c r="Z1022" i="4"/>
  <c r="AA1022" i="4"/>
  <c r="AB1022" i="4"/>
  <c r="AC1022" i="4"/>
  <c r="AJ1022" i="4"/>
  <c r="AM1022" i="4"/>
  <c r="P1023" i="4"/>
  <c r="AE1023" i="4" s="1"/>
  <c r="Q1023" i="4"/>
  <c r="AL1023" i="4" s="1"/>
  <c r="R1023" i="4"/>
  <c r="S1023" i="4"/>
  <c r="U1023" i="4"/>
  <c r="V1023" i="4"/>
  <c r="W1023" i="4"/>
  <c r="X1023" i="4"/>
  <c r="Y1023" i="4"/>
  <c r="Z1023" i="4"/>
  <c r="AA1023" i="4"/>
  <c r="AB1023" i="4"/>
  <c r="AC1023" i="4"/>
  <c r="AF1023" i="4"/>
  <c r="AJ1023" i="4"/>
  <c r="AK1023" i="4"/>
  <c r="AN1023" i="4"/>
  <c r="P1024" i="4"/>
  <c r="Q1024" i="4"/>
  <c r="AF1024" i="4" s="1"/>
  <c r="R1024" i="4"/>
  <c r="S1024" i="4"/>
  <c r="AN1024" i="4" s="1"/>
  <c r="U1024" i="4"/>
  <c r="V1024" i="4"/>
  <c r="W1024" i="4"/>
  <c r="X1024" i="4"/>
  <c r="Y1024" i="4"/>
  <c r="Z1024" i="4"/>
  <c r="AA1024" i="4"/>
  <c r="AB1024" i="4"/>
  <c r="AC1024" i="4"/>
  <c r="AE1024" i="4"/>
  <c r="AG1024" i="4"/>
  <c r="AJ1024" i="4"/>
  <c r="AK1024" i="4"/>
  <c r="AL1024" i="4"/>
  <c r="AM1024" i="4"/>
  <c r="P1025" i="4"/>
  <c r="Q1025" i="4"/>
  <c r="R1025" i="4"/>
  <c r="AG1025" i="4" s="1"/>
  <c r="S1025" i="4"/>
  <c r="U1025" i="4"/>
  <c r="V1025" i="4"/>
  <c r="W1025" i="4"/>
  <c r="X1025" i="4"/>
  <c r="Y1025" i="4"/>
  <c r="Z1025" i="4"/>
  <c r="AA1025" i="4"/>
  <c r="AB1025" i="4"/>
  <c r="AC1025" i="4"/>
  <c r="AF1025" i="4"/>
  <c r="AJ1025" i="4"/>
  <c r="AL1025" i="4"/>
  <c r="AM1025" i="4"/>
  <c r="AN1025" i="4"/>
  <c r="P1026" i="4"/>
  <c r="AE1026" i="4" s="1"/>
  <c r="Q1026" i="4"/>
  <c r="R1026" i="4"/>
  <c r="AM1026" i="4" s="1"/>
  <c r="S1026" i="4"/>
  <c r="U1026" i="4"/>
  <c r="V1026" i="4"/>
  <c r="W1026" i="4"/>
  <c r="X1026" i="4"/>
  <c r="Y1026" i="4"/>
  <c r="Z1026" i="4"/>
  <c r="AA1026" i="4"/>
  <c r="AB1026" i="4"/>
  <c r="AC1026" i="4"/>
  <c r="AJ1026" i="4"/>
  <c r="AN1026" i="4"/>
  <c r="P1027" i="4"/>
  <c r="AK1027" i="4" s="1"/>
  <c r="Q1027" i="4"/>
  <c r="R1027" i="4"/>
  <c r="S1027" i="4"/>
  <c r="AN1027" i="4" s="1"/>
  <c r="U1027" i="4"/>
  <c r="V1027" i="4"/>
  <c r="W1027" i="4"/>
  <c r="X1027" i="4"/>
  <c r="Y1027" i="4"/>
  <c r="Z1027" i="4"/>
  <c r="AA1027" i="4"/>
  <c r="AB1027" i="4"/>
  <c r="AC1027" i="4"/>
  <c r="AF1027" i="4"/>
  <c r="AJ1027" i="4"/>
  <c r="AL1027" i="4"/>
  <c r="P1028" i="4"/>
  <c r="Q1028" i="4"/>
  <c r="AL1028" i="4" s="1"/>
  <c r="R1028" i="4"/>
  <c r="AG1028" i="4" s="1"/>
  <c r="S1028" i="4"/>
  <c r="AN1028" i="4" s="1"/>
  <c r="U1028" i="4"/>
  <c r="V1028" i="4"/>
  <c r="W1028" i="4"/>
  <c r="X1028" i="4"/>
  <c r="Y1028" i="4"/>
  <c r="Z1028" i="4"/>
  <c r="AA1028" i="4"/>
  <c r="AB1028" i="4"/>
  <c r="AC1028" i="4"/>
  <c r="AJ1028" i="4"/>
  <c r="AM1028" i="4"/>
  <c r="P1029" i="4"/>
  <c r="Q1029" i="4"/>
  <c r="R1029" i="4"/>
  <c r="AM1029" i="4" s="1"/>
  <c r="S1029" i="4"/>
  <c r="U1029" i="4"/>
  <c r="V1029" i="4"/>
  <c r="W1029" i="4"/>
  <c r="X1029" i="4"/>
  <c r="Y1029" i="4"/>
  <c r="Z1029" i="4"/>
  <c r="AA1029" i="4"/>
  <c r="AB1029" i="4"/>
  <c r="AC1029" i="4"/>
  <c r="AJ1029" i="4"/>
  <c r="AN1029" i="4"/>
  <c r="P1030" i="4"/>
  <c r="Q1030" i="4"/>
  <c r="R1030" i="4"/>
  <c r="AG1030" i="4" s="1"/>
  <c r="S1030" i="4"/>
  <c r="AN1030" i="4" s="1"/>
  <c r="U1030" i="4"/>
  <c r="V1030" i="4"/>
  <c r="W1030" i="4"/>
  <c r="X1030" i="4"/>
  <c r="Y1030" i="4"/>
  <c r="Z1030" i="4"/>
  <c r="AA1030" i="4"/>
  <c r="AB1030" i="4"/>
  <c r="AC1030" i="4"/>
  <c r="AE1030" i="4"/>
  <c r="AJ1030" i="4"/>
  <c r="AK1030" i="4"/>
  <c r="AM1030" i="4"/>
  <c r="P1031" i="4"/>
  <c r="Q1031" i="4"/>
  <c r="R1031" i="4"/>
  <c r="S1031" i="4"/>
  <c r="U1031" i="4"/>
  <c r="V1031" i="4"/>
  <c r="W1031" i="4"/>
  <c r="X1031" i="4"/>
  <c r="Y1031" i="4"/>
  <c r="Z1031" i="4"/>
  <c r="AA1031" i="4"/>
  <c r="AB1031" i="4"/>
  <c r="AC1031" i="4"/>
  <c r="AF1031" i="4"/>
  <c r="AJ1031" i="4"/>
  <c r="AL1031" i="4"/>
  <c r="AN1031" i="4"/>
  <c r="P1032" i="4"/>
  <c r="AE1032" i="4" s="1"/>
  <c r="Q1032" i="4"/>
  <c r="AF1032" i="4" s="1"/>
  <c r="R1032" i="4"/>
  <c r="S1032" i="4"/>
  <c r="AN1032" i="4" s="1"/>
  <c r="U1032" i="4"/>
  <c r="V1032" i="4"/>
  <c r="W1032" i="4"/>
  <c r="X1032" i="4"/>
  <c r="Y1032" i="4"/>
  <c r="Z1032" i="4"/>
  <c r="AA1032" i="4"/>
  <c r="AB1032" i="4"/>
  <c r="AC1032" i="4"/>
  <c r="AG1032" i="4"/>
  <c r="AJ1032" i="4"/>
  <c r="AK1032" i="4"/>
  <c r="AL1032" i="4"/>
  <c r="AM1032" i="4"/>
  <c r="P1033" i="4"/>
  <c r="Q1033" i="4"/>
  <c r="R1033" i="4"/>
  <c r="AG1033" i="4" s="1"/>
  <c r="S1033" i="4"/>
  <c r="U1033" i="4"/>
  <c r="V1033" i="4"/>
  <c r="W1033" i="4"/>
  <c r="X1033" i="4"/>
  <c r="Y1033" i="4"/>
  <c r="Z1033" i="4"/>
  <c r="AA1033" i="4"/>
  <c r="AB1033" i="4"/>
  <c r="AC1033" i="4"/>
  <c r="AF1033" i="4"/>
  <c r="AJ1033" i="4"/>
  <c r="AL1033" i="4"/>
  <c r="AM1033" i="4"/>
  <c r="AN1033" i="4"/>
  <c r="P1034" i="4"/>
  <c r="Q1034" i="4"/>
  <c r="R1034" i="4"/>
  <c r="S1034" i="4"/>
  <c r="AN1034" i="4" s="1"/>
  <c r="U1034" i="4"/>
  <c r="V1034" i="4"/>
  <c r="W1034" i="4"/>
  <c r="X1034" i="4"/>
  <c r="Y1034" i="4"/>
  <c r="Z1034" i="4"/>
  <c r="AA1034" i="4"/>
  <c r="AB1034" i="4"/>
  <c r="AC1034" i="4"/>
  <c r="AE1034" i="4"/>
  <c r="AG1034" i="4"/>
  <c r="AJ1034" i="4"/>
  <c r="AK1034" i="4"/>
  <c r="AM1034" i="4"/>
  <c r="P1035" i="4"/>
  <c r="AK1035" i="4" s="1"/>
  <c r="Q1035" i="4"/>
  <c r="R1035" i="4"/>
  <c r="S1035" i="4"/>
  <c r="U1035" i="4"/>
  <c r="V1035" i="4"/>
  <c r="W1035" i="4"/>
  <c r="X1035" i="4"/>
  <c r="Y1035" i="4"/>
  <c r="Z1035" i="4"/>
  <c r="AA1035" i="4"/>
  <c r="AB1035" i="4"/>
  <c r="AC1035" i="4"/>
  <c r="AF1035" i="4"/>
  <c r="AJ1035" i="4"/>
  <c r="AL1035" i="4"/>
  <c r="AN1035" i="4"/>
  <c r="P1036" i="4"/>
  <c r="AE1036" i="4" s="1"/>
  <c r="Q1036" i="4"/>
  <c r="AL1036" i="4" s="1"/>
  <c r="R1036" i="4"/>
  <c r="S1036" i="4"/>
  <c r="AN1036" i="4" s="1"/>
  <c r="U1036" i="4"/>
  <c r="V1036" i="4"/>
  <c r="W1036" i="4"/>
  <c r="X1036" i="4"/>
  <c r="Y1036" i="4"/>
  <c r="Z1036" i="4"/>
  <c r="AA1036" i="4"/>
  <c r="AB1036" i="4"/>
  <c r="AC1036" i="4"/>
  <c r="AG1036" i="4"/>
  <c r="AJ1036" i="4"/>
  <c r="AK1036" i="4"/>
  <c r="AM1036" i="4"/>
  <c r="P1037" i="4"/>
  <c r="Q1037" i="4"/>
  <c r="AF1037" i="4" s="1"/>
  <c r="R1037" i="4"/>
  <c r="AM1037" i="4" s="1"/>
  <c r="S1037" i="4"/>
  <c r="U1037" i="4"/>
  <c r="V1037" i="4"/>
  <c r="W1037" i="4"/>
  <c r="X1037" i="4"/>
  <c r="Y1037" i="4"/>
  <c r="Z1037" i="4"/>
  <c r="AA1037" i="4"/>
  <c r="AB1037" i="4"/>
  <c r="AC1037" i="4"/>
  <c r="AJ1037" i="4"/>
  <c r="AL1037" i="4"/>
  <c r="AN1037" i="4"/>
  <c r="P1038" i="4"/>
  <c r="Q1038" i="4"/>
  <c r="R1038" i="4"/>
  <c r="AG1038" i="4" s="1"/>
  <c r="S1038" i="4"/>
  <c r="AN1038" i="4" s="1"/>
  <c r="U1038" i="4"/>
  <c r="V1038" i="4"/>
  <c r="W1038" i="4"/>
  <c r="X1038" i="4"/>
  <c r="Y1038" i="4"/>
  <c r="Z1038" i="4"/>
  <c r="AA1038" i="4"/>
  <c r="AB1038" i="4"/>
  <c r="AC1038" i="4"/>
  <c r="AJ1038" i="4"/>
  <c r="AM1038" i="4"/>
  <c r="P1039" i="4"/>
  <c r="AE1039" i="4" s="1"/>
  <c r="Q1039" i="4"/>
  <c r="AL1039" i="4" s="1"/>
  <c r="R1039" i="4"/>
  <c r="S1039" i="4"/>
  <c r="U1039" i="4"/>
  <c r="V1039" i="4"/>
  <c r="W1039" i="4"/>
  <c r="X1039" i="4"/>
  <c r="Y1039" i="4"/>
  <c r="Z1039" i="4"/>
  <c r="AA1039" i="4"/>
  <c r="AB1039" i="4"/>
  <c r="AC1039" i="4"/>
  <c r="AF1039" i="4"/>
  <c r="AJ1039" i="4"/>
  <c r="AK1039" i="4"/>
  <c r="AN1039" i="4"/>
  <c r="P1040" i="4"/>
  <c r="Q1040" i="4"/>
  <c r="AF1040" i="4" s="1"/>
  <c r="R1040" i="4"/>
  <c r="S1040" i="4"/>
  <c r="AN1040" i="4" s="1"/>
  <c r="U1040" i="4"/>
  <c r="V1040" i="4"/>
  <c r="W1040" i="4"/>
  <c r="X1040" i="4"/>
  <c r="Y1040" i="4"/>
  <c r="Z1040" i="4"/>
  <c r="AA1040" i="4"/>
  <c r="AB1040" i="4"/>
  <c r="AC1040" i="4"/>
  <c r="AE1040" i="4"/>
  <c r="AH1040" i="4" s="1"/>
  <c r="AI1040" i="4" s="1"/>
  <c r="AG1040" i="4"/>
  <c r="AJ1040" i="4"/>
  <c r="AK1040" i="4"/>
  <c r="AL1040" i="4"/>
  <c r="AM1040" i="4"/>
  <c r="P1041" i="4"/>
  <c r="Q1041" i="4"/>
  <c r="R1041" i="4"/>
  <c r="AG1041" i="4" s="1"/>
  <c r="S1041" i="4"/>
  <c r="U1041" i="4"/>
  <c r="V1041" i="4"/>
  <c r="W1041" i="4"/>
  <c r="X1041" i="4"/>
  <c r="Y1041" i="4"/>
  <c r="Z1041" i="4"/>
  <c r="AA1041" i="4"/>
  <c r="AB1041" i="4"/>
  <c r="AC1041" i="4"/>
  <c r="AF1041" i="4"/>
  <c r="AJ1041" i="4"/>
  <c r="AL1041" i="4"/>
  <c r="AM1041" i="4"/>
  <c r="AN1041" i="4"/>
  <c r="P1042" i="4"/>
  <c r="AE1042" i="4" s="1"/>
  <c r="Q1042" i="4"/>
  <c r="R1042" i="4"/>
  <c r="AM1042" i="4" s="1"/>
  <c r="S1042" i="4"/>
  <c r="U1042" i="4"/>
  <c r="V1042" i="4"/>
  <c r="W1042" i="4"/>
  <c r="X1042" i="4"/>
  <c r="Y1042" i="4"/>
  <c r="Z1042" i="4"/>
  <c r="AA1042" i="4"/>
  <c r="AB1042" i="4"/>
  <c r="AC1042" i="4"/>
  <c r="AJ1042" i="4"/>
  <c r="AN1042" i="4"/>
  <c r="P1043" i="4"/>
  <c r="AK1043" i="4" s="1"/>
  <c r="Q1043" i="4"/>
  <c r="R1043" i="4"/>
  <c r="S1043" i="4"/>
  <c r="AN1043" i="4" s="1"/>
  <c r="U1043" i="4"/>
  <c r="V1043" i="4"/>
  <c r="W1043" i="4"/>
  <c r="X1043" i="4"/>
  <c r="Y1043" i="4"/>
  <c r="Z1043" i="4"/>
  <c r="AA1043" i="4"/>
  <c r="AB1043" i="4"/>
  <c r="AC1043" i="4"/>
  <c r="AF1043" i="4"/>
  <c r="AJ1043" i="4"/>
  <c r="AL1043" i="4"/>
  <c r="P1044" i="4"/>
  <c r="Q1044" i="4"/>
  <c r="AL1044" i="4" s="1"/>
  <c r="R1044" i="4"/>
  <c r="AG1044" i="4" s="1"/>
  <c r="S1044" i="4"/>
  <c r="AN1044" i="4" s="1"/>
  <c r="U1044" i="4"/>
  <c r="V1044" i="4"/>
  <c r="W1044" i="4"/>
  <c r="X1044" i="4"/>
  <c r="Y1044" i="4"/>
  <c r="Z1044" i="4"/>
  <c r="AA1044" i="4"/>
  <c r="AB1044" i="4"/>
  <c r="AC1044" i="4"/>
  <c r="AJ1044" i="4"/>
  <c r="AM1044" i="4"/>
  <c r="P1045" i="4"/>
  <c r="Q1045" i="4"/>
  <c r="R1045" i="4"/>
  <c r="AM1045" i="4" s="1"/>
  <c r="S1045" i="4"/>
  <c r="U1045" i="4"/>
  <c r="V1045" i="4"/>
  <c r="W1045" i="4"/>
  <c r="X1045" i="4"/>
  <c r="Y1045" i="4"/>
  <c r="Z1045" i="4"/>
  <c r="AA1045" i="4"/>
  <c r="AB1045" i="4"/>
  <c r="AC1045" i="4"/>
  <c r="AJ1045" i="4"/>
  <c r="AN1045" i="4"/>
  <c r="P1046" i="4"/>
  <c r="Q1046" i="4"/>
  <c r="R1046" i="4"/>
  <c r="AG1046" i="4" s="1"/>
  <c r="S1046" i="4"/>
  <c r="AN1046" i="4" s="1"/>
  <c r="U1046" i="4"/>
  <c r="V1046" i="4"/>
  <c r="W1046" i="4"/>
  <c r="X1046" i="4"/>
  <c r="Y1046" i="4"/>
  <c r="Z1046" i="4"/>
  <c r="AA1046" i="4"/>
  <c r="AB1046" i="4"/>
  <c r="AC1046" i="4"/>
  <c r="AE1046" i="4"/>
  <c r="AJ1046" i="4"/>
  <c r="AK1046" i="4"/>
  <c r="AM1046" i="4"/>
  <c r="P1047" i="4"/>
  <c r="Q1047" i="4"/>
  <c r="R1047" i="4"/>
  <c r="S1047" i="4"/>
  <c r="U1047" i="4"/>
  <c r="V1047" i="4"/>
  <c r="W1047" i="4"/>
  <c r="X1047" i="4"/>
  <c r="Y1047" i="4"/>
  <c r="Z1047" i="4"/>
  <c r="AA1047" i="4"/>
  <c r="AB1047" i="4"/>
  <c r="AC1047" i="4"/>
  <c r="AF1047" i="4"/>
  <c r="AJ1047" i="4"/>
  <c r="AL1047" i="4"/>
  <c r="AN1047" i="4"/>
  <c r="P1048" i="4"/>
  <c r="AE1048" i="4" s="1"/>
  <c r="Q1048" i="4"/>
  <c r="AF1048" i="4" s="1"/>
  <c r="R1048" i="4"/>
  <c r="S1048" i="4"/>
  <c r="AN1048" i="4" s="1"/>
  <c r="U1048" i="4"/>
  <c r="V1048" i="4"/>
  <c r="W1048" i="4"/>
  <c r="X1048" i="4"/>
  <c r="Y1048" i="4"/>
  <c r="Z1048" i="4"/>
  <c r="AA1048" i="4"/>
  <c r="AB1048" i="4"/>
  <c r="AC1048" i="4"/>
  <c r="AG1048" i="4"/>
  <c r="AJ1048" i="4"/>
  <c r="AK1048" i="4"/>
  <c r="AL1048" i="4"/>
  <c r="AM1048" i="4"/>
  <c r="P1049" i="4"/>
  <c r="Q1049" i="4"/>
  <c r="R1049" i="4"/>
  <c r="AG1049" i="4" s="1"/>
  <c r="S1049" i="4"/>
  <c r="U1049" i="4"/>
  <c r="V1049" i="4"/>
  <c r="W1049" i="4"/>
  <c r="X1049" i="4"/>
  <c r="Y1049" i="4"/>
  <c r="Z1049" i="4"/>
  <c r="AA1049" i="4"/>
  <c r="AB1049" i="4"/>
  <c r="AC1049" i="4"/>
  <c r="AF1049" i="4"/>
  <c r="AJ1049" i="4"/>
  <c r="AL1049" i="4"/>
  <c r="AM1049" i="4"/>
  <c r="AN1049" i="4"/>
  <c r="P1050" i="4"/>
  <c r="Q1050" i="4"/>
  <c r="R1050" i="4"/>
  <c r="S1050" i="4"/>
  <c r="AN1050" i="4" s="1"/>
  <c r="U1050" i="4"/>
  <c r="V1050" i="4"/>
  <c r="W1050" i="4"/>
  <c r="X1050" i="4"/>
  <c r="Y1050" i="4"/>
  <c r="Z1050" i="4"/>
  <c r="AA1050" i="4"/>
  <c r="AB1050" i="4"/>
  <c r="AC1050" i="4"/>
  <c r="AE1050" i="4"/>
  <c r="AG1050" i="4"/>
  <c r="AJ1050" i="4"/>
  <c r="AK1050" i="4"/>
  <c r="AM1050" i="4"/>
  <c r="P1051" i="4"/>
  <c r="AK1051" i="4" s="1"/>
  <c r="Q1051" i="4"/>
  <c r="R1051" i="4"/>
  <c r="S1051" i="4"/>
  <c r="U1051" i="4"/>
  <c r="V1051" i="4"/>
  <c r="W1051" i="4"/>
  <c r="X1051" i="4"/>
  <c r="Y1051" i="4"/>
  <c r="Z1051" i="4"/>
  <c r="AA1051" i="4"/>
  <c r="AB1051" i="4"/>
  <c r="AC1051" i="4"/>
  <c r="AF1051" i="4"/>
  <c r="AJ1051" i="4"/>
  <c r="AL1051" i="4"/>
  <c r="AN1051" i="4"/>
  <c r="P1052" i="4"/>
  <c r="AE1052" i="4" s="1"/>
  <c r="Q1052" i="4"/>
  <c r="AL1052" i="4" s="1"/>
  <c r="R1052" i="4"/>
  <c r="S1052" i="4"/>
  <c r="AN1052" i="4" s="1"/>
  <c r="U1052" i="4"/>
  <c r="V1052" i="4"/>
  <c r="W1052" i="4"/>
  <c r="X1052" i="4"/>
  <c r="Y1052" i="4"/>
  <c r="Z1052" i="4"/>
  <c r="AA1052" i="4"/>
  <c r="AB1052" i="4"/>
  <c r="AC1052" i="4"/>
  <c r="AG1052" i="4"/>
  <c r="AJ1052" i="4"/>
  <c r="AK1052" i="4"/>
  <c r="AM1052" i="4"/>
  <c r="P1053" i="4"/>
  <c r="Q1053" i="4"/>
  <c r="AF1053" i="4" s="1"/>
  <c r="R1053" i="4"/>
  <c r="AM1053" i="4" s="1"/>
  <c r="S1053" i="4"/>
  <c r="U1053" i="4"/>
  <c r="V1053" i="4"/>
  <c r="W1053" i="4"/>
  <c r="X1053" i="4"/>
  <c r="Y1053" i="4"/>
  <c r="Z1053" i="4"/>
  <c r="AA1053" i="4"/>
  <c r="AB1053" i="4"/>
  <c r="AC1053" i="4"/>
  <c r="AJ1053" i="4"/>
  <c r="AL1053" i="4"/>
  <c r="AN1053" i="4"/>
  <c r="P1054" i="4"/>
  <c r="Q1054" i="4"/>
  <c r="R1054" i="4"/>
  <c r="AG1054" i="4" s="1"/>
  <c r="S1054" i="4"/>
  <c r="AN1054" i="4" s="1"/>
  <c r="U1054" i="4"/>
  <c r="V1054" i="4"/>
  <c r="W1054" i="4"/>
  <c r="X1054" i="4"/>
  <c r="Y1054" i="4"/>
  <c r="Z1054" i="4"/>
  <c r="AA1054" i="4"/>
  <c r="AB1054" i="4"/>
  <c r="AC1054" i="4"/>
  <c r="AJ1054" i="4"/>
  <c r="AM1054" i="4"/>
  <c r="P1055" i="4"/>
  <c r="AE1055" i="4" s="1"/>
  <c r="Q1055" i="4"/>
  <c r="AL1055" i="4" s="1"/>
  <c r="R1055" i="4"/>
  <c r="S1055" i="4"/>
  <c r="U1055" i="4"/>
  <c r="V1055" i="4"/>
  <c r="W1055" i="4"/>
  <c r="X1055" i="4"/>
  <c r="Y1055" i="4"/>
  <c r="Z1055" i="4"/>
  <c r="AA1055" i="4"/>
  <c r="AB1055" i="4"/>
  <c r="AC1055" i="4"/>
  <c r="AF1055" i="4"/>
  <c r="AJ1055" i="4"/>
  <c r="AK1055" i="4"/>
  <c r="AN1055" i="4"/>
  <c r="P1056" i="4"/>
  <c r="Q1056" i="4"/>
  <c r="AF1056" i="4" s="1"/>
  <c r="R1056" i="4"/>
  <c r="S1056" i="4"/>
  <c r="AN1056" i="4" s="1"/>
  <c r="U1056" i="4"/>
  <c r="V1056" i="4"/>
  <c r="W1056" i="4"/>
  <c r="X1056" i="4"/>
  <c r="Y1056" i="4"/>
  <c r="Z1056" i="4"/>
  <c r="AA1056" i="4"/>
  <c r="AB1056" i="4"/>
  <c r="AC1056" i="4"/>
  <c r="AE1056" i="4"/>
  <c r="AH1056" i="4" s="1"/>
  <c r="AI1056" i="4" s="1"/>
  <c r="AG1056" i="4"/>
  <c r="AJ1056" i="4"/>
  <c r="AK1056" i="4"/>
  <c r="AL1056" i="4"/>
  <c r="AM1056" i="4"/>
  <c r="P1057" i="4"/>
  <c r="Q1057" i="4"/>
  <c r="R1057" i="4"/>
  <c r="AG1057" i="4" s="1"/>
  <c r="S1057" i="4"/>
  <c r="U1057" i="4"/>
  <c r="V1057" i="4"/>
  <c r="W1057" i="4"/>
  <c r="X1057" i="4"/>
  <c r="Y1057" i="4"/>
  <c r="Z1057" i="4"/>
  <c r="AA1057" i="4"/>
  <c r="AB1057" i="4"/>
  <c r="AC1057" i="4"/>
  <c r="AF1057" i="4"/>
  <c r="AJ1057" i="4"/>
  <c r="AL1057" i="4"/>
  <c r="AM1057" i="4"/>
  <c r="AN1057" i="4"/>
  <c r="P1058" i="4"/>
  <c r="AE1058" i="4" s="1"/>
  <c r="Q1058" i="4"/>
  <c r="R1058" i="4"/>
  <c r="AM1058" i="4" s="1"/>
  <c r="S1058" i="4"/>
  <c r="U1058" i="4"/>
  <c r="V1058" i="4"/>
  <c r="W1058" i="4"/>
  <c r="X1058" i="4"/>
  <c r="Y1058" i="4"/>
  <c r="Z1058" i="4"/>
  <c r="AA1058" i="4"/>
  <c r="AB1058" i="4"/>
  <c r="AC1058" i="4"/>
  <c r="AJ1058" i="4"/>
  <c r="AN1058" i="4"/>
  <c r="P1059" i="4"/>
  <c r="AK1059" i="4" s="1"/>
  <c r="Q1059" i="4"/>
  <c r="R1059" i="4"/>
  <c r="S1059" i="4"/>
  <c r="AN1059" i="4" s="1"/>
  <c r="U1059" i="4"/>
  <c r="V1059" i="4"/>
  <c r="W1059" i="4"/>
  <c r="X1059" i="4"/>
  <c r="Y1059" i="4"/>
  <c r="Z1059" i="4"/>
  <c r="AA1059" i="4"/>
  <c r="AB1059" i="4"/>
  <c r="AC1059" i="4"/>
  <c r="AF1059" i="4"/>
  <c r="AJ1059" i="4"/>
  <c r="AL1059" i="4"/>
  <c r="P1060" i="4"/>
  <c r="AE1060" i="4" s="1"/>
  <c r="Q1060" i="4"/>
  <c r="AL1060" i="4" s="1"/>
  <c r="R1060" i="4"/>
  <c r="AG1060" i="4" s="1"/>
  <c r="S1060" i="4"/>
  <c r="AN1060" i="4" s="1"/>
  <c r="U1060" i="4"/>
  <c r="V1060" i="4"/>
  <c r="W1060" i="4"/>
  <c r="X1060" i="4"/>
  <c r="Y1060" i="4"/>
  <c r="Z1060" i="4"/>
  <c r="AA1060" i="4"/>
  <c r="AB1060" i="4"/>
  <c r="AC1060" i="4"/>
  <c r="AJ1060" i="4"/>
  <c r="AM1060" i="4"/>
  <c r="P1061" i="4"/>
  <c r="Q1061" i="4"/>
  <c r="AF1061" i="4" s="1"/>
  <c r="R1061" i="4"/>
  <c r="AM1061" i="4" s="1"/>
  <c r="S1061" i="4"/>
  <c r="U1061" i="4"/>
  <c r="V1061" i="4"/>
  <c r="W1061" i="4"/>
  <c r="X1061" i="4"/>
  <c r="Y1061" i="4"/>
  <c r="Z1061" i="4"/>
  <c r="AA1061" i="4"/>
  <c r="AB1061" i="4"/>
  <c r="AC1061" i="4"/>
  <c r="AJ1061" i="4"/>
  <c r="AN1061" i="4"/>
  <c r="P1062" i="4"/>
  <c r="Q1062" i="4"/>
  <c r="R1062" i="4"/>
  <c r="AG1062" i="4" s="1"/>
  <c r="S1062" i="4"/>
  <c r="AN1062" i="4" s="1"/>
  <c r="U1062" i="4"/>
  <c r="V1062" i="4"/>
  <c r="W1062" i="4"/>
  <c r="X1062" i="4"/>
  <c r="Y1062" i="4"/>
  <c r="Z1062" i="4"/>
  <c r="AA1062" i="4"/>
  <c r="AB1062" i="4"/>
  <c r="AC1062" i="4"/>
  <c r="AE1062" i="4"/>
  <c r="AJ1062" i="4"/>
  <c r="AK1062" i="4"/>
  <c r="AM1062" i="4"/>
  <c r="P1063" i="4"/>
  <c r="AE1063" i="4" s="1"/>
  <c r="Q1063" i="4"/>
  <c r="R1063" i="4"/>
  <c r="S1063" i="4"/>
  <c r="U1063" i="4"/>
  <c r="V1063" i="4"/>
  <c r="W1063" i="4"/>
  <c r="X1063" i="4"/>
  <c r="Y1063" i="4"/>
  <c r="Z1063" i="4"/>
  <c r="AA1063" i="4"/>
  <c r="AB1063" i="4"/>
  <c r="AC1063" i="4"/>
  <c r="AF1063" i="4"/>
  <c r="AJ1063" i="4"/>
  <c r="AL1063" i="4"/>
  <c r="AN1063" i="4"/>
  <c r="P1064" i="4"/>
  <c r="AE1064" i="4" s="1"/>
  <c r="AH1064" i="4" s="1"/>
  <c r="AI1064" i="4" s="1"/>
  <c r="Q1064" i="4"/>
  <c r="AF1064" i="4" s="1"/>
  <c r="R1064" i="4"/>
  <c r="S1064" i="4"/>
  <c r="AN1064" i="4" s="1"/>
  <c r="U1064" i="4"/>
  <c r="V1064" i="4"/>
  <c r="W1064" i="4"/>
  <c r="X1064" i="4"/>
  <c r="Y1064" i="4"/>
  <c r="Z1064" i="4"/>
  <c r="AA1064" i="4"/>
  <c r="AB1064" i="4"/>
  <c r="AC1064" i="4"/>
  <c r="AG1064" i="4"/>
  <c r="AJ1064" i="4"/>
  <c r="AK1064" i="4"/>
  <c r="AL1064" i="4"/>
  <c r="AM1064" i="4"/>
  <c r="P1065" i="4"/>
  <c r="Q1065" i="4"/>
  <c r="R1065" i="4"/>
  <c r="AG1065" i="4" s="1"/>
  <c r="S1065" i="4"/>
  <c r="U1065" i="4"/>
  <c r="V1065" i="4"/>
  <c r="W1065" i="4"/>
  <c r="X1065" i="4"/>
  <c r="Y1065" i="4"/>
  <c r="Z1065" i="4"/>
  <c r="AA1065" i="4"/>
  <c r="AB1065" i="4"/>
  <c r="AC1065" i="4"/>
  <c r="AF1065" i="4"/>
  <c r="AJ1065" i="4"/>
  <c r="AL1065" i="4"/>
  <c r="AM1065" i="4"/>
  <c r="AN1065" i="4"/>
  <c r="P1066" i="4"/>
  <c r="Q1066" i="4"/>
  <c r="R1066" i="4"/>
  <c r="S1066" i="4"/>
  <c r="AN1066" i="4" s="1"/>
  <c r="U1066" i="4"/>
  <c r="V1066" i="4"/>
  <c r="W1066" i="4"/>
  <c r="X1066" i="4"/>
  <c r="Y1066" i="4"/>
  <c r="Z1066" i="4"/>
  <c r="AA1066" i="4"/>
  <c r="AB1066" i="4"/>
  <c r="AC1066" i="4"/>
  <c r="AE1066" i="4"/>
  <c r="AG1066" i="4"/>
  <c r="AJ1066" i="4"/>
  <c r="AK1066" i="4"/>
  <c r="AM1066" i="4"/>
  <c r="P1067" i="4"/>
  <c r="AK1067" i="4" s="1"/>
  <c r="Q1067" i="4"/>
  <c r="R1067" i="4"/>
  <c r="S1067" i="4"/>
  <c r="U1067" i="4"/>
  <c r="V1067" i="4"/>
  <c r="W1067" i="4"/>
  <c r="X1067" i="4"/>
  <c r="Y1067" i="4"/>
  <c r="Z1067" i="4"/>
  <c r="AA1067" i="4"/>
  <c r="AB1067" i="4"/>
  <c r="AC1067" i="4"/>
  <c r="AF1067" i="4"/>
  <c r="AJ1067" i="4"/>
  <c r="AL1067" i="4"/>
  <c r="AN1067" i="4"/>
  <c r="P1068" i="4"/>
  <c r="AE1068" i="4" s="1"/>
  <c r="Q1068" i="4"/>
  <c r="AL1068" i="4" s="1"/>
  <c r="R1068" i="4"/>
  <c r="S1068" i="4"/>
  <c r="AN1068" i="4" s="1"/>
  <c r="U1068" i="4"/>
  <c r="V1068" i="4"/>
  <c r="W1068" i="4"/>
  <c r="X1068" i="4"/>
  <c r="Y1068" i="4"/>
  <c r="Z1068" i="4"/>
  <c r="AA1068" i="4"/>
  <c r="AB1068" i="4"/>
  <c r="AC1068" i="4"/>
  <c r="AG1068" i="4"/>
  <c r="AJ1068" i="4"/>
  <c r="AK1068" i="4"/>
  <c r="AM1068" i="4"/>
  <c r="P1069" i="4"/>
  <c r="Q1069" i="4"/>
  <c r="AF1069" i="4" s="1"/>
  <c r="R1069" i="4"/>
  <c r="AM1069" i="4" s="1"/>
  <c r="S1069" i="4"/>
  <c r="U1069" i="4"/>
  <c r="V1069" i="4"/>
  <c r="W1069" i="4"/>
  <c r="X1069" i="4"/>
  <c r="Y1069" i="4"/>
  <c r="Z1069" i="4"/>
  <c r="AA1069" i="4"/>
  <c r="AB1069" i="4"/>
  <c r="AC1069" i="4"/>
  <c r="AJ1069" i="4"/>
  <c r="AL1069" i="4"/>
  <c r="AN1069" i="4"/>
  <c r="P1070" i="4"/>
  <c r="AE1070" i="4" s="1"/>
  <c r="Q1070" i="4"/>
  <c r="R1070" i="4"/>
  <c r="AG1070" i="4" s="1"/>
  <c r="S1070" i="4"/>
  <c r="AN1070" i="4" s="1"/>
  <c r="U1070" i="4"/>
  <c r="V1070" i="4"/>
  <c r="W1070" i="4"/>
  <c r="X1070" i="4"/>
  <c r="Y1070" i="4"/>
  <c r="Z1070" i="4"/>
  <c r="AA1070" i="4"/>
  <c r="AB1070" i="4"/>
  <c r="AC1070" i="4"/>
  <c r="AJ1070" i="4"/>
  <c r="AM1070" i="4"/>
  <c r="P1071" i="4"/>
  <c r="AE1071" i="4" s="1"/>
  <c r="Q1071" i="4"/>
  <c r="AL1071" i="4" s="1"/>
  <c r="R1071" i="4"/>
  <c r="S1071" i="4"/>
  <c r="U1071" i="4"/>
  <c r="V1071" i="4"/>
  <c r="W1071" i="4"/>
  <c r="X1071" i="4"/>
  <c r="Y1071" i="4"/>
  <c r="Z1071" i="4"/>
  <c r="AA1071" i="4"/>
  <c r="AB1071" i="4"/>
  <c r="AC1071" i="4"/>
  <c r="AF1071" i="4"/>
  <c r="AJ1071" i="4"/>
  <c r="AK1071" i="4"/>
  <c r="AN1071" i="4"/>
  <c r="P1072" i="4"/>
  <c r="Q1072" i="4"/>
  <c r="AF1072" i="4" s="1"/>
  <c r="R1072" i="4"/>
  <c r="S1072" i="4"/>
  <c r="AN1072" i="4" s="1"/>
  <c r="U1072" i="4"/>
  <c r="V1072" i="4"/>
  <c r="W1072" i="4"/>
  <c r="X1072" i="4"/>
  <c r="Y1072" i="4"/>
  <c r="Z1072" i="4"/>
  <c r="AA1072" i="4"/>
  <c r="AB1072" i="4"/>
  <c r="AC1072" i="4"/>
  <c r="AE1072" i="4"/>
  <c r="AG1072" i="4"/>
  <c r="AJ1072" i="4"/>
  <c r="AK1072" i="4"/>
  <c r="AL1072" i="4"/>
  <c r="AM1072" i="4"/>
  <c r="P1073" i="4"/>
  <c r="Q1073" i="4"/>
  <c r="R1073" i="4"/>
  <c r="AG1073" i="4" s="1"/>
  <c r="S1073" i="4"/>
  <c r="U1073" i="4"/>
  <c r="V1073" i="4"/>
  <c r="W1073" i="4"/>
  <c r="X1073" i="4"/>
  <c r="Y1073" i="4"/>
  <c r="Z1073" i="4"/>
  <c r="AA1073" i="4"/>
  <c r="AB1073" i="4"/>
  <c r="AC1073" i="4"/>
  <c r="AF1073" i="4"/>
  <c r="AJ1073" i="4"/>
  <c r="AL1073" i="4"/>
  <c r="AM1073" i="4"/>
  <c r="AN1073" i="4"/>
  <c r="P1074" i="4"/>
  <c r="AE1074" i="4" s="1"/>
  <c r="Q1074" i="4"/>
  <c r="R1074" i="4"/>
  <c r="AM1074" i="4" s="1"/>
  <c r="S1074" i="4"/>
  <c r="U1074" i="4"/>
  <c r="V1074" i="4"/>
  <c r="W1074" i="4"/>
  <c r="X1074" i="4"/>
  <c r="Y1074" i="4"/>
  <c r="Z1074" i="4"/>
  <c r="AA1074" i="4"/>
  <c r="AB1074" i="4"/>
  <c r="AC1074" i="4"/>
  <c r="AG1074" i="4"/>
  <c r="AJ1074" i="4"/>
  <c r="AK1074" i="4"/>
  <c r="AN1074" i="4"/>
  <c r="P1075" i="4"/>
  <c r="Q1075" i="4"/>
  <c r="R1075" i="4"/>
  <c r="S1075" i="4"/>
  <c r="AN1075" i="4" s="1"/>
  <c r="U1075" i="4"/>
  <c r="V1075" i="4"/>
  <c r="W1075" i="4"/>
  <c r="X1075" i="4"/>
  <c r="Y1075" i="4"/>
  <c r="Z1075" i="4"/>
  <c r="AA1075" i="4"/>
  <c r="AB1075" i="4"/>
  <c r="AC1075" i="4"/>
  <c r="AF1075" i="4"/>
  <c r="AJ1075" i="4"/>
  <c r="AL1075" i="4"/>
  <c r="P1076" i="4"/>
  <c r="AE1076" i="4" s="1"/>
  <c r="Q1076" i="4"/>
  <c r="R1076" i="4"/>
  <c r="AG1076" i="4" s="1"/>
  <c r="S1076" i="4"/>
  <c r="AN1076" i="4" s="1"/>
  <c r="U1076" i="4"/>
  <c r="V1076" i="4"/>
  <c r="W1076" i="4"/>
  <c r="X1076" i="4"/>
  <c r="Y1076" i="4"/>
  <c r="Z1076" i="4"/>
  <c r="AA1076" i="4"/>
  <c r="AB1076" i="4"/>
  <c r="AC1076" i="4"/>
  <c r="AJ1076" i="4"/>
  <c r="AM1076" i="4"/>
  <c r="P1077" i="4"/>
  <c r="Q1077" i="4"/>
  <c r="AF1077" i="4" s="1"/>
  <c r="R1077" i="4"/>
  <c r="S1077" i="4"/>
  <c r="U1077" i="4"/>
  <c r="V1077" i="4"/>
  <c r="W1077" i="4"/>
  <c r="X1077" i="4"/>
  <c r="Y1077" i="4"/>
  <c r="Z1077" i="4"/>
  <c r="AA1077" i="4"/>
  <c r="AB1077" i="4"/>
  <c r="AC1077" i="4"/>
  <c r="AJ1077" i="4"/>
  <c r="AN1077" i="4"/>
  <c r="P1078" i="4"/>
  <c r="Q1078" i="4"/>
  <c r="R1078" i="4"/>
  <c r="AG1078" i="4" s="1"/>
  <c r="S1078" i="4"/>
  <c r="AN1078" i="4" s="1"/>
  <c r="U1078" i="4"/>
  <c r="V1078" i="4"/>
  <c r="W1078" i="4"/>
  <c r="X1078" i="4"/>
  <c r="Y1078" i="4"/>
  <c r="Z1078" i="4"/>
  <c r="AA1078" i="4"/>
  <c r="AB1078" i="4"/>
  <c r="AC1078" i="4"/>
  <c r="AE1078" i="4"/>
  <c r="AJ1078" i="4"/>
  <c r="AK1078" i="4"/>
  <c r="AM1078" i="4"/>
  <c r="P1079" i="4"/>
  <c r="AE1079" i="4" s="1"/>
  <c r="Q1079" i="4"/>
  <c r="R1079" i="4"/>
  <c r="S1079" i="4"/>
  <c r="U1079" i="4"/>
  <c r="V1079" i="4"/>
  <c r="W1079" i="4"/>
  <c r="X1079" i="4"/>
  <c r="Y1079" i="4"/>
  <c r="Z1079" i="4"/>
  <c r="AA1079" i="4"/>
  <c r="AB1079" i="4"/>
  <c r="AC1079" i="4"/>
  <c r="AF1079" i="4"/>
  <c r="AJ1079" i="4"/>
  <c r="AL1079" i="4"/>
  <c r="AN1079" i="4"/>
  <c r="P1080" i="4"/>
  <c r="AE1080" i="4" s="1"/>
  <c r="Q1080" i="4"/>
  <c r="AF1080" i="4" s="1"/>
  <c r="R1080" i="4"/>
  <c r="S1080" i="4"/>
  <c r="AN1080" i="4" s="1"/>
  <c r="U1080" i="4"/>
  <c r="V1080" i="4"/>
  <c r="W1080" i="4"/>
  <c r="X1080" i="4"/>
  <c r="Y1080" i="4"/>
  <c r="Z1080" i="4"/>
  <c r="AA1080" i="4"/>
  <c r="AB1080" i="4"/>
  <c r="AC1080" i="4"/>
  <c r="AG1080" i="4"/>
  <c r="AJ1080" i="4"/>
  <c r="AK1080" i="4"/>
  <c r="AL1080" i="4"/>
  <c r="AM1080" i="4"/>
  <c r="P1081" i="4"/>
  <c r="Q1081" i="4"/>
  <c r="R1081" i="4"/>
  <c r="AG1081" i="4" s="1"/>
  <c r="S1081" i="4"/>
  <c r="U1081" i="4"/>
  <c r="V1081" i="4"/>
  <c r="W1081" i="4"/>
  <c r="X1081" i="4"/>
  <c r="Y1081" i="4"/>
  <c r="Z1081" i="4"/>
  <c r="AA1081" i="4"/>
  <c r="AB1081" i="4"/>
  <c r="AC1081" i="4"/>
  <c r="AF1081" i="4"/>
  <c r="AJ1081" i="4"/>
  <c r="AL1081" i="4"/>
  <c r="AM1081" i="4"/>
  <c r="AN1081" i="4"/>
  <c r="P1082" i="4"/>
  <c r="Q1082" i="4"/>
  <c r="R1082" i="4"/>
  <c r="S1082" i="4"/>
  <c r="AN1082" i="4" s="1"/>
  <c r="U1082" i="4"/>
  <c r="V1082" i="4"/>
  <c r="W1082" i="4"/>
  <c r="X1082" i="4"/>
  <c r="Y1082" i="4"/>
  <c r="Z1082" i="4"/>
  <c r="AA1082" i="4"/>
  <c r="AB1082" i="4"/>
  <c r="AC1082" i="4"/>
  <c r="AE1082" i="4"/>
  <c r="AG1082" i="4"/>
  <c r="AJ1082" i="4"/>
  <c r="AK1082" i="4"/>
  <c r="AM1082" i="4"/>
  <c r="P1083" i="4"/>
  <c r="Q1083" i="4"/>
  <c r="R1083" i="4"/>
  <c r="S1083" i="4"/>
  <c r="U1083" i="4"/>
  <c r="V1083" i="4"/>
  <c r="W1083" i="4"/>
  <c r="X1083" i="4"/>
  <c r="Y1083" i="4"/>
  <c r="Z1083" i="4"/>
  <c r="AA1083" i="4"/>
  <c r="AB1083" i="4"/>
  <c r="AC1083" i="4"/>
  <c r="AF1083" i="4"/>
  <c r="AJ1083" i="4"/>
  <c r="AL1083" i="4"/>
  <c r="AN1083" i="4"/>
  <c r="P1084" i="4"/>
  <c r="AE1084" i="4" s="1"/>
  <c r="Q1084" i="4"/>
  <c r="R1084" i="4"/>
  <c r="S1084" i="4"/>
  <c r="AN1084" i="4" s="1"/>
  <c r="U1084" i="4"/>
  <c r="V1084" i="4"/>
  <c r="W1084" i="4"/>
  <c r="X1084" i="4"/>
  <c r="Y1084" i="4"/>
  <c r="Z1084" i="4"/>
  <c r="AA1084" i="4"/>
  <c r="AB1084" i="4"/>
  <c r="AC1084" i="4"/>
  <c r="AG1084" i="4"/>
  <c r="AJ1084" i="4"/>
  <c r="AK1084" i="4"/>
  <c r="AM1084" i="4"/>
  <c r="P1085" i="4"/>
  <c r="Q1085" i="4"/>
  <c r="AF1085" i="4" s="1"/>
  <c r="R1085" i="4"/>
  <c r="S1085" i="4"/>
  <c r="U1085" i="4"/>
  <c r="V1085" i="4"/>
  <c r="W1085" i="4"/>
  <c r="X1085" i="4"/>
  <c r="Y1085" i="4"/>
  <c r="Z1085" i="4"/>
  <c r="AA1085" i="4"/>
  <c r="AB1085" i="4"/>
  <c r="AC1085" i="4"/>
  <c r="AJ1085" i="4"/>
  <c r="AL1085" i="4"/>
  <c r="AN1085" i="4"/>
  <c r="P1086" i="4"/>
  <c r="AE1086" i="4" s="1"/>
  <c r="Q1086" i="4"/>
  <c r="R1086" i="4"/>
  <c r="AG1086" i="4" s="1"/>
  <c r="S1086" i="4"/>
  <c r="AN1086" i="4" s="1"/>
  <c r="U1086" i="4"/>
  <c r="V1086" i="4"/>
  <c r="W1086" i="4"/>
  <c r="X1086" i="4"/>
  <c r="Y1086" i="4"/>
  <c r="Z1086" i="4"/>
  <c r="AA1086" i="4"/>
  <c r="AB1086" i="4"/>
  <c r="AC1086" i="4"/>
  <c r="AJ1086" i="4"/>
  <c r="AM1086" i="4"/>
  <c r="P1087" i="4"/>
  <c r="AE1087" i="4" s="1"/>
  <c r="Q1087" i="4"/>
  <c r="AL1087" i="4" s="1"/>
  <c r="R1087" i="4"/>
  <c r="S1087" i="4"/>
  <c r="U1087" i="4"/>
  <c r="V1087" i="4"/>
  <c r="W1087" i="4"/>
  <c r="X1087" i="4"/>
  <c r="Y1087" i="4"/>
  <c r="Z1087" i="4"/>
  <c r="AA1087" i="4"/>
  <c r="AB1087" i="4"/>
  <c r="AC1087" i="4"/>
  <c r="AF1087" i="4"/>
  <c r="AJ1087" i="4"/>
  <c r="AK1087" i="4"/>
  <c r="AN1087" i="4"/>
  <c r="P1088" i="4"/>
  <c r="Q1088" i="4"/>
  <c r="AF1088" i="4" s="1"/>
  <c r="R1088" i="4"/>
  <c r="S1088" i="4"/>
  <c r="AN1088" i="4" s="1"/>
  <c r="U1088" i="4"/>
  <c r="V1088" i="4"/>
  <c r="W1088" i="4"/>
  <c r="X1088" i="4"/>
  <c r="Y1088" i="4"/>
  <c r="Z1088" i="4"/>
  <c r="AA1088" i="4"/>
  <c r="AB1088" i="4"/>
  <c r="AC1088" i="4"/>
  <c r="AE1088" i="4"/>
  <c r="AH1088" i="4" s="1"/>
  <c r="AI1088" i="4" s="1"/>
  <c r="AG1088" i="4"/>
  <c r="AJ1088" i="4"/>
  <c r="AK1088" i="4"/>
  <c r="AL1088" i="4"/>
  <c r="AM1088" i="4"/>
  <c r="P1089" i="4"/>
  <c r="Q1089" i="4"/>
  <c r="R1089" i="4"/>
  <c r="AG1089" i="4" s="1"/>
  <c r="S1089" i="4"/>
  <c r="U1089" i="4"/>
  <c r="V1089" i="4"/>
  <c r="W1089" i="4"/>
  <c r="X1089" i="4"/>
  <c r="Y1089" i="4"/>
  <c r="Z1089" i="4"/>
  <c r="AA1089" i="4"/>
  <c r="AB1089" i="4"/>
  <c r="AC1089" i="4"/>
  <c r="AF1089" i="4"/>
  <c r="AJ1089" i="4"/>
  <c r="AL1089" i="4"/>
  <c r="AM1089" i="4"/>
  <c r="AN1089" i="4"/>
  <c r="P1090" i="4"/>
  <c r="AE1090" i="4" s="1"/>
  <c r="Q1090" i="4"/>
  <c r="R1090" i="4"/>
  <c r="AM1090" i="4" s="1"/>
  <c r="S1090" i="4"/>
  <c r="U1090" i="4"/>
  <c r="V1090" i="4"/>
  <c r="W1090" i="4"/>
  <c r="X1090" i="4"/>
  <c r="Y1090" i="4"/>
  <c r="Z1090" i="4"/>
  <c r="AA1090" i="4"/>
  <c r="AB1090" i="4"/>
  <c r="AC1090" i="4"/>
  <c r="AG1090" i="4"/>
  <c r="AJ1090" i="4"/>
  <c r="AK1090" i="4"/>
  <c r="AN1090" i="4"/>
  <c r="P1091" i="4"/>
  <c r="Q1091" i="4"/>
  <c r="R1091" i="4"/>
  <c r="S1091" i="4"/>
  <c r="AN1091" i="4" s="1"/>
  <c r="U1091" i="4"/>
  <c r="V1091" i="4"/>
  <c r="W1091" i="4"/>
  <c r="X1091" i="4"/>
  <c r="Y1091" i="4"/>
  <c r="Z1091" i="4"/>
  <c r="AA1091" i="4"/>
  <c r="AB1091" i="4"/>
  <c r="AC1091" i="4"/>
  <c r="AF1091" i="4"/>
  <c r="AJ1091" i="4"/>
  <c r="AL1091" i="4"/>
  <c r="P1092" i="4"/>
  <c r="AE1092" i="4" s="1"/>
  <c r="Q1092" i="4"/>
  <c r="R1092" i="4"/>
  <c r="AG1092" i="4" s="1"/>
  <c r="S1092" i="4"/>
  <c r="AN1092" i="4" s="1"/>
  <c r="U1092" i="4"/>
  <c r="V1092" i="4"/>
  <c r="W1092" i="4"/>
  <c r="X1092" i="4"/>
  <c r="Y1092" i="4"/>
  <c r="Z1092" i="4"/>
  <c r="AA1092" i="4"/>
  <c r="AB1092" i="4"/>
  <c r="AC1092" i="4"/>
  <c r="AJ1092" i="4"/>
  <c r="AM1092" i="4"/>
  <c r="P1093" i="4"/>
  <c r="Q1093" i="4"/>
  <c r="AF1093" i="4" s="1"/>
  <c r="R1093" i="4"/>
  <c r="S1093" i="4"/>
  <c r="U1093" i="4"/>
  <c r="V1093" i="4"/>
  <c r="W1093" i="4"/>
  <c r="X1093" i="4"/>
  <c r="Y1093" i="4"/>
  <c r="Z1093" i="4"/>
  <c r="AA1093" i="4"/>
  <c r="AB1093" i="4"/>
  <c r="AC1093" i="4"/>
  <c r="AJ1093" i="4"/>
  <c r="AN1093" i="4"/>
  <c r="P1094" i="4"/>
  <c r="Q1094" i="4"/>
  <c r="R1094" i="4"/>
  <c r="AG1094" i="4" s="1"/>
  <c r="S1094" i="4"/>
  <c r="AN1094" i="4" s="1"/>
  <c r="U1094" i="4"/>
  <c r="V1094" i="4"/>
  <c r="W1094" i="4"/>
  <c r="X1094" i="4"/>
  <c r="Y1094" i="4"/>
  <c r="Z1094" i="4"/>
  <c r="AA1094" i="4"/>
  <c r="AB1094" i="4"/>
  <c r="AC1094" i="4"/>
  <c r="AE1094" i="4"/>
  <c r="AJ1094" i="4"/>
  <c r="AK1094" i="4"/>
  <c r="AM1094" i="4"/>
  <c r="P1095" i="4"/>
  <c r="AE1095" i="4" s="1"/>
  <c r="Q1095" i="4"/>
  <c r="R1095" i="4"/>
  <c r="S1095" i="4"/>
  <c r="U1095" i="4"/>
  <c r="V1095" i="4"/>
  <c r="W1095" i="4"/>
  <c r="X1095" i="4"/>
  <c r="Y1095" i="4"/>
  <c r="Z1095" i="4"/>
  <c r="AA1095" i="4"/>
  <c r="AB1095" i="4"/>
  <c r="AC1095" i="4"/>
  <c r="AF1095" i="4"/>
  <c r="AJ1095" i="4"/>
  <c r="AL1095" i="4"/>
  <c r="AN1095" i="4"/>
  <c r="P1096" i="4"/>
  <c r="AE1096" i="4" s="1"/>
  <c r="Q1096" i="4"/>
  <c r="AF1096" i="4" s="1"/>
  <c r="R1096" i="4"/>
  <c r="S1096" i="4"/>
  <c r="AN1096" i="4" s="1"/>
  <c r="U1096" i="4"/>
  <c r="V1096" i="4"/>
  <c r="W1096" i="4"/>
  <c r="X1096" i="4"/>
  <c r="Y1096" i="4"/>
  <c r="Z1096" i="4"/>
  <c r="AA1096" i="4"/>
  <c r="AB1096" i="4"/>
  <c r="AC1096" i="4"/>
  <c r="AG1096" i="4"/>
  <c r="AJ1096" i="4"/>
  <c r="AK1096" i="4"/>
  <c r="AL1096" i="4"/>
  <c r="AM1096" i="4"/>
  <c r="P1097" i="4"/>
  <c r="Q1097" i="4"/>
  <c r="R1097" i="4"/>
  <c r="AG1097" i="4" s="1"/>
  <c r="S1097" i="4"/>
  <c r="U1097" i="4"/>
  <c r="V1097" i="4"/>
  <c r="W1097" i="4"/>
  <c r="X1097" i="4"/>
  <c r="Y1097" i="4"/>
  <c r="Z1097" i="4"/>
  <c r="AA1097" i="4"/>
  <c r="AB1097" i="4"/>
  <c r="AC1097" i="4"/>
  <c r="AF1097" i="4"/>
  <c r="AJ1097" i="4"/>
  <c r="AL1097" i="4"/>
  <c r="AM1097" i="4"/>
  <c r="AN1097" i="4"/>
  <c r="P1098" i="4"/>
  <c r="Q1098" i="4"/>
  <c r="R1098" i="4"/>
  <c r="S1098" i="4"/>
  <c r="AN1098" i="4" s="1"/>
  <c r="U1098" i="4"/>
  <c r="V1098" i="4"/>
  <c r="W1098" i="4"/>
  <c r="X1098" i="4"/>
  <c r="Y1098" i="4"/>
  <c r="Z1098" i="4"/>
  <c r="AA1098" i="4"/>
  <c r="AB1098" i="4"/>
  <c r="AC1098" i="4"/>
  <c r="AE1098" i="4"/>
  <c r="AG1098" i="4"/>
  <c r="AJ1098" i="4"/>
  <c r="AK1098" i="4"/>
  <c r="AM1098" i="4"/>
  <c r="P1099" i="4"/>
  <c r="Q1099" i="4"/>
  <c r="R1099" i="4"/>
  <c r="S1099" i="4"/>
  <c r="U1099" i="4"/>
  <c r="V1099" i="4"/>
  <c r="W1099" i="4"/>
  <c r="X1099" i="4"/>
  <c r="Y1099" i="4"/>
  <c r="Z1099" i="4"/>
  <c r="AA1099" i="4"/>
  <c r="AB1099" i="4"/>
  <c r="AC1099" i="4"/>
  <c r="AF1099" i="4"/>
  <c r="AJ1099" i="4"/>
  <c r="AL1099" i="4"/>
  <c r="AN1099" i="4"/>
  <c r="P1100" i="4"/>
  <c r="AE1100" i="4" s="1"/>
  <c r="Q1100" i="4"/>
  <c r="R1100" i="4"/>
  <c r="S1100" i="4"/>
  <c r="AN1100" i="4" s="1"/>
  <c r="U1100" i="4"/>
  <c r="V1100" i="4"/>
  <c r="W1100" i="4"/>
  <c r="X1100" i="4"/>
  <c r="Y1100" i="4"/>
  <c r="Z1100" i="4"/>
  <c r="AA1100" i="4"/>
  <c r="AB1100" i="4"/>
  <c r="AC1100" i="4"/>
  <c r="AG1100" i="4"/>
  <c r="AJ1100" i="4"/>
  <c r="AK1100" i="4"/>
  <c r="AM1100" i="4"/>
  <c r="P1101" i="4"/>
  <c r="Q1101" i="4"/>
  <c r="AF1101" i="4" s="1"/>
  <c r="R1101" i="4"/>
  <c r="S1101" i="4"/>
  <c r="U1101" i="4"/>
  <c r="V1101" i="4"/>
  <c r="W1101" i="4"/>
  <c r="X1101" i="4"/>
  <c r="Y1101" i="4"/>
  <c r="Z1101" i="4"/>
  <c r="AA1101" i="4"/>
  <c r="AB1101" i="4"/>
  <c r="AC1101" i="4"/>
  <c r="AJ1101" i="4"/>
  <c r="AL1101" i="4"/>
  <c r="AN1101" i="4"/>
  <c r="P1102" i="4"/>
  <c r="AE1102" i="4" s="1"/>
  <c r="Q1102" i="4"/>
  <c r="R1102" i="4"/>
  <c r="AG1102" i="4" s="1"/>
  <c r="S1102" i="4"/>
  <c r="AN1102" i="4" s="1"/>
  <c r="U1102" i="4"/>
  <c r="V1102" i="4"/>
  <c r="W1102" i="4"/>
  <c r="X1102" i="4"/>
  <c r="Y1102" i="4"/>
  <c r="Z1102" i="4"/>
  <c r="AA1102" i="4"/>
  <c r="AB1102" i="4"/>
  <c r="AC1102" i="4"/>
  <c r="AJ1102" i="4"/>
  <c r="P1103" i="4"/>
  <c r="AE1103" i="4" s="1"/>
  <c r="Q1103" i="4"/>
  <c r="R1103" i="4"/>
  <c r="S1103" i="4"/>
  <c r="U1103" i="4"/>
  <c r="V1103" i="4"/>
  <c r="W1103" i="4"/>
  <c r="X1103" i="4"/>
  <c r="Y1103" i="4"/>
  <c r="Z1103" i="4"/>
  <c r="AA1103" i="4"/>
  <c r="AB1103" i="4"/>
  <c r="AC1103" i="4"/>
  <c r="AF1103" i="4"/>
  <c r="AJ1103" i="4"/>
  <c r="AK1103" i="4"/>
  <c r="AL1103" i="4"/>
  <c r="AN1103" i="4"/>
  <c r="P1104" i="4"/>
  <c r="Q1104" i="4"/>
  <c r="AF1104" i="4" s="1"/>
  <c r="R1104" i="4"/>
  <c r="S1104" i="4"/>
  <c r="AN1104" i="4" s="1"/>
  <c r="U1104" i="4"/>
  <c r="V1104" i="4"/>
  <c r="W1104" i="4"/>
  <c r="X1104" i="4"/>
  <c r="Y1104" i="4"/>
  <c r="Z1104" i="4"/>
  <c r="AA1104" i="4"/>
  <c r="AB1104" i="4"/>
  <c r="AC1104" i="4"/>
  <c r="AE1104" i="4"/>
  <c r="AG1104" i="4"/>
  <c r="AJ1104" i="4"/>
  <c r="AK1104" i="4"/>
  <c r="AM1104" i="4"/>
  <c r="P1105" i="4"/>
  <c r="AK1105" i="4" s="1"/>
  <c r="Q1105" i="4"/>
  <c r="AL1105" i="4" s="1"/>
  <c r="R1105" i="4"/>
  <c r="S1105" i="4"/>
  <c r="AN1105" i="4" s="1"/>
  <c r="U1105" i="4"/>
  <c r="V1105" i="4"/>
  <c r="W1105" i="4"/>
  <c r="X1105" i="4"/>
  <c r="Y1105" i="4"/>
  <c r="Z1105" i="4"/>
  <c r="AA1105" i="4"/>
  <c r="AB1105" i="4"/>
  <c r="AC1105" i="4"/>
  <c r="AF1105" i="4"/>
  <c r="AG1105" i="4"/>
  <c r="AJ1105" i="4"/>
  <c r="AM1105" i="4"/>
  <c r="P1106" i="4"/>
  <c r="AE1106" i="4" s="1"/>
  <c r="Q1106" i="4"/>
  <c r="AL1106" i="4" s="1"/>
  <c r="R1106" i="4"/>
  <c r="AG1106" i="4" s="1"/>
  <c r="S1106" i="4"/>
  <c r="U1106" i="4"/>
  <c r="V1106" i="4"/>
  <c r="W1106" i="4"/>
  <c r="X1106" i="4"/>
  <c r="Y1106" i="4"/>
  <c r="Z1106" i="4"/>
  <c r="AA1106" i="4"/>
  <c r="AB1106" i="4"/>
  <c r="AC1106" i="4"/>
  <c r="AF1106" i="4"/>
  <c r="AJ1106" i="4"/>
  <c r="AM1106" i="4"/>
  <c r="AN1106" i="4"/>
  <c r="P1107" i="4"/>
  <c r="AE1107" i="4" s="1"/>
  <c r="AH1107" i="4" s="1"/>
  <c r="AI1107" i="4" s="1"/>
  <c r="Q1107" i="4"/>
  <c r="R1107" i="4"/>
  <c r="AM1107" i="4" s="1"/>
  <c r="S1107" i="4"/>
  <c r="U1107" i="4"/>
  <c r="V1107" i="4"/>
  <c r="W1107" i="4"/>
  <c r="X1107" i="4"/>
  <c r="Y1107" i="4"/>
  <c r="Z1107" i="4"/>
  <c r="AA1107" i="4"/>
  <c r="AB1107" i="4"/>
  <c r="AC1107" i="4"/>
  <c r="AF1107" i="4"/>
  <c r="AG1107" i="4"/>
  <c r="AJ1107" i="4"/>
  <c r="AL1107" i="4"/>
  <c r="AN1107" i="4"/>
  <c r="P1108" i="4"/>
  <c r="AE1108" i="4" s="1"/>
  <c r="Q1108" i="4"/>
  <c r="AL1108" i="4" s="1"/>
  <c r="R1108" i="4"/>
  <c r="S1108" i="4"/>
  <c r="AN1108" i="4" s="1"/>
  <c r="U1108" i="4"/>
  <c r="V1108" i="4"/>
  <c r="W1108" i="4"/>
  <c r="X1108" i="4"/>
  <c r="Y1108" i="4"/>
  <c r="Z1108" i="4"/>
  <c r="AA1108" i="4"/>
  <c r="AB1108" i="4"/>
  <c r="AC1108" i="4"/>
  <c r="AG1108" i="4"/>
  <c r="AJ1108" i="4"/>
  <c r="AK1108" i="4"/>
  <c r="AM1108" i="4"/>
  <c r="P1109" i="4"/>
  <c r="AK1109" i="4" s="1"/>
  <c r="Q1109" i="4"/>
  <c r="AF1109" i="4" s="1"/>
  <c r="R1109" i="4"/>
  <c r="AG1109" i="4" s="1"/>
  <c r="S1109" i="4"/>
  <c r="U1109" i="4"/>
  <c r="V1109" i="4"/>
  <c r="W1109" i="4"/>
  <c r="X1109" i="4"/>
  <c r="Y1109" i="4"/>
  <c r="Z1109" i="4"/>
  <c r="AA1109" i="4"/>
  <c r="AB1109" i="4"/>
  <c r="AC1109" i="4"/>
  <c r="AJ1109" i="4"/>
  <c r="AL1109" i="4"/>
  <c r="AM1109" i="4"/>
  <c r="AN1109" i="4"/>
  <c r="P1110" i="4"/>
  <c r="AE1110" i="4" s="1"/>
  <c r="Q1110" i="4"/>
  <c r="AL1110" i="4" s="1"/>
  <c r="R1110" i="4"/>
  <c r="AG1110" i="4" s="1"/>
  <c r="S1110" i="4"/>
  <c r="U1110" i="4"/>
  <c r="V1110" i="4"/>
  <c r="W1110" i="4"/>
  <c r="X1110" i="4"/>
  <c r="Y1110" i="4"/>
  <c r="Z1110" i="4"/>
  <c r="AA1110" i="4"/>
  <c r="AB1110" i="4"/>
  <c r="AC1110" i="4"/>
  <c r="AF1110" i="4"/>
  <c r="AJ1110" i="4"/>
  <c r="AM1110" i="4"/>
  <c r="AN1110" i="4"/>
  <c r="P1111" i="4"/>
  <c r="AE1111" i="4" s="1"/>
  <c r="Q1111" i="4"/>
  <c r="R1111" i="4"/>
  <c r="AM1111" i="4" s="1"/>
  <c r="S1111" i="4"/>
  <c r="U1111" i="4"/>
  <c r="V1111" i="4"/>
  <c r="W1111" i="4"/>
  <c r="X1111" i="4"/>
  <c r="Y1111" i="4"/>
  <c r="Z1111" i="4"/>
  <c r="AA1111" i="4"/>
  <c r="AB1111" i="4"/>
  <c r="AC1111" i="4"/>
  <c r="AF1111" i="4"/>
  <c r="AG1111" i="4"/>
  <c r="AJ1111" i="4"/>
  <c r="AL1111" i="4"/>
  <c r="AN1111" i="4"/>
  <c r="P1112" i="4"/>
  <c r="AE1112" i="4" s="1"/>
  <c r="Q1112" i="4"/>
  <c r="AF1112" i="4" s="1"/>
  <c r="R1112" i="4"/>
  <c r="S1112" i="4"/>
  <c r="AN1112" i="4" s="1"/>
  <c r="U1112" i="4"/>
  <c r="V1112" i="4"/>
  <c r="W1112" i="4"/>
  <c r="X1112" i="4"/>
  <c r="Y1112" i="4"/>
  <c r="Z1112" i="4"/>
  <c r="AA1112" i="4"/>
  <c r="AB1112" i="4"/>
  <c r="AC1112" i="4"/>
  <c r="AG1112" i="4"/>
  <c r="AJ1112" i="4"/>
  <c r="AM1112" i="4"/>
  <c r="P1113" i="4"/>
  <c r="AK1113" i="4" s="1"/>
  <c r="Q1113" i="4"/>
  <c r="AF1113" i="4" s="1"/>
  <c r="R1113" i="4"/>
  <c r="AG1113" i="4" s="1"/>
  <c r="S1113" i="4"/>
  <c r="U1113" i="4"/>
  <c r="V1113" i="4"/>
  <c r="W1113" i="4"/>
  <c r="X1113" i="4"/>
  <c r="Y1113" i="4"/>
  <c r="Z1113" i="4"/>
  <c r="AA1113" i="4"/>
  <c r="AB1113" i="4"/>
  <c r="AC1113" i="4"/>
  <c r="AJ1113" i="4"/>
  <c r="AN1113" i="4"/>
  <c r="P1114" i="4"/>
  <c r="AE1114" i="4" s="1"/>
  <c r="Q1114" i="4"/>
  <c r="AL1114" i="4" s="1"/>
  <c r="R1114" i="4"/>
  <c r="AG1114" i="4" s="1"/>
  <c r="S1114" i="4"/>
  <c r="AN1114" i="4" s="1"/>
  <c r="U1114" i="4"/>
  <c r="V1114" i="4"/>
  <c r="W1114" i="4"/>
  <c r="X1114" i="4"/>
  <c r="Y1114" i="4"/>
  <c r="Z1114" i="4"/>
  <c r="AA1114" i="4"/>
  <c r="AB1114" i="4"/>
  <c r="AC1114" i="4"/>
  <c r="AJ1114" i="4"/>
  <c r="AK1114" i="4"/>
  <c r="P1115" i="4"/>
  <c r="AE1115" i="4" s="1"/>
  <c r="Q1115" i="4"/>
  <c r="AF1115" i="4" s="1"/>
  <c r="R1115" i="4"/>
  <c r="AM1115" i="4" s="1"/>
  <c r="S1115" i="4"/>
  <c r="AN1115" i="4" s="1"/>
  <c r="U1115" i="4"/>
  <c r="V1115" i="4"/>
  <c r="W1115" i="4"/>
  <c r="X1115" i="4"/>
  <c r="Y1115" i="4"/>
  <c r="Z1115" i="4"/>
  <c r="AA1115" i="4"/>
  <c r="AB1115" i="4"/>
  <c r="AC1115" i="4"/>
  <c r="AJ1115" i="4"/>
  <c r="AL1115" i="4"/>
  <c r="P1116" i="4"/>
  <c r="Q1116" i="4"/>
  <c r="AF1116" i="4" s="1"/>
  <c r="R1116" i="4"/>
  <c r="AG1116" i="4" s="1"/>
  <c r="S1116" i="4"/>
  <c r="U1116" i="4"/>
  <c r="V1116" i="4"/>
  <c r="W1116" i="4"/>
  <c r="X1116" i="4"/>
  <c r="Y1116" i="4"/>
  <c r="Z1116" i="4"/>
  <c r="AA1116" i="4"/>
  <c r="AB1116" i="4"/>
  <c r="AC1116" i="4"/>
  <c r="AE1116" i="4"/>
  <c r="AJ1116" i="4"/>
  <c r="AK1116" i="4"/>
  <c r="AL1116" i="4"/>
  <c r="AM1116" i="4"/>
  <c r="AN1116" i="4"/>
  <c r="P1117" i="4"/>
  <c r="Q1117" i="4"/>
  <c r="AF1117" i="4" s="1"/>
  <c r="R1117" i="4"/>
  <c r="S1117" i="4"/>
  <c r="AN1117" i="4" s="1"/>
  <c r="U1117" i="4"/>
  <c r="V1117" i="4"/>
  <c r="W1117" i="4"/>
  <c r="X1117" i="4"/>
  <c r="Y1117" i="4"/>
  <c r="Z1117" i="4"/>
  <c r="AA1117" i="4"/>
  <c r="AB1117" i="4"/>
  <c r="AC1117" i="4"/>
  <c r="AE1117" i="4"/>
  <c r="AG1117" i="4"/>
  <c r="AJ1117" i="4"/>
  <c r="AK1117" i="4"/>
  <c r="AM1117" i="4"/>
  <c r="P1118" i="4"/>
  <c r="AK1118" i="4" s="1"/>
  <c r="Q1118" i="4"/>
  <c r="R1118" i="4"/>
  <c r="AG1118" i="4" s="1"/>
  <c r="S1118" i="4"/>
  <c r="U1118" i="4"/>
  <c r="V1118" i="4"/>
  <c r="W1118" i="4"/>
  <c r="X1118" i="4"/>
  <c r="Y1118" i="4"/>
  <c r="Z1118" i="4"/>
  <c r="AA1118" i="4"/>
  <c r="AB1118" i="4"/>
  <c r="AC1118" i="4"/>
  <c r="AF1118" i="4"/>
  <c r="AJ1118" i="4"/>
  <c r="AL1118" i="4"/>
  <c r="AM1118" i="4"/>
  <c r="AN1118" i="4"/>
  <c r="P1119" i="4"/>
  <c r="AE1119" i="4" s="1"/>
  <c r="Q1119" i="4"/>
  <c r="AL1119" i="4" s="1"/>
  <c r="R1119" i="4"/>
  <c r="S1119" i="4"/>
  <c r="U1119" i="4"/>
  <c r="V1119" i="4"/>
  <c r="W1119" i="4"/>
  <c r="X1119" i="4"/>
  <c r="Y1119" i="4"/>
  <c r="Z1119" i="4"/>
  <c r="AA1119" i="4"/>
  <c r="AB1119" i="4"/>
  <c r="AC1119" i="4"/>
  <c r="AF1119" i="4"/>
  <c r="AG1119" i="4"/>
  <c r="AJ1119" i="4"/>
  <c r="AM1119" i="4"/>
  <c r="AN1119" i="4"/>
  <c r="P1120" i="4"/>
  <c r="AE1120" i="4" s="1"/>
  <c r="Q1120" i="4"/>
  <c r="AF1120" i="4" s="1"/>
  <c r="R1120" i="4"/>
  <c r="AM1120" i="4" s="1"/>
  <c r="S1120" i="4"/>
  <c r="U1120" i="4"/>
  <c r="V1120" i="4"/>
  <c r="W1120" i="4"/>
  <c r="X1120" i="4"/>
  <c r="Y1120" i="4"/>
  <c r="Z1120" i="4"/>
  <c r="AA1120" i="4"/>
  <c r="AB1120" i="4"/>
  <c r="AC1120" i="4"/>
  <c r="AJ1120" i="4"/>
  <c r="AN1120" i="4"/>
  <c r="P1121" i="4"/>
  <c r="AK1121" i="4" s="1"/>
  <c r="Q1121" i="4"/>
  <c r="AF1121" i="4" s="1"/>
  <c r="R1121" i="4"/>
  <c r="AG1121" i="4" s="1"/>
  <c r="S1121" i="4"/>
  <c r="AN1121" i="4" s="1"/>
  <c r="U1121" i="4"/>
  <c r="V1121" i="4"/>
  <c r="W1121" i="4"/>
  <c r="X1121" i="4"/>
  <c r="Y1121" i="4"/>
  <c r="Z1121" i="4"/>
  <c r="AA1121" i="4"/>
  <c r="AB1121" i="4"/>
  <c r="AC1121" i="4"/>
  <c r="AJ1121" i="4"/>
  <c r="P1122" i="4"/>
  <c r="AE1122" i="4" s="1"/>
  <c r="Q1122" i="4"/>
  <c r="AL1122" i="4" s="1"/>
  <c r="R1122" i="4"/>
  <c r="AG1122" i="4" s="1"/>
  <c r="S1122" i="4"/>
  <c r="AN1122" i="4" s="1"/>
  <c r="U1122" i="4"/>
  <c r="V1122" i="4"/>
  <c r="W1122" i="4"/>
  <c r="X1122" i="4"/>
  <c r="Y1122" i="4"/>
  <c r="Z1122" i="4"/>
  <c r="AA1122" i="4"/>
  <c r="AB1122" i="4"/>
  <c r="AC1122" i="4"/>
  <c r="AJ1122" i="4"/>
  <c r="AK1122" i="4"/>
  <c r="P1123" i="4"/>
  <c r="Q1123" i="4"/>
  <c r="AF1123" i="4" s="1"/>
  <c r="R1123" i="4"/>
  <c r="AM1123" i="4" s="1"/>
  <c r="S1123" i="4"/>
  <c r="AN1123" i="4" s="1"/>
  <c r="U1123" i="4"/>
  <c r="V1123" i="4"/>
  <c r="W1123" i="4"/>
  <c r="X1123" i="4"/>
  <c r="Y1123" i="4"/>
  <c r="Z1123" i="4"/>
  <c r="AA1123" i="4"/>
  <c r="AB1123" i="4"/>
  <c r="AC1123" i="4"/>
  <c r="AE1123" i="4"/>
  <c r="AJ1123" i="4"/>
  <c r="AK1123" i="4"/>
  <c r="P1124" i="4"/>
  <c r="AE1124" i="4" s="1"/>
  <c r="Q1124" i="4"/>
  <c r="R1124" i="4"/>
  <c r="AG1124" i="4" s="1"/>
  <c r="S1124" i="4"/>
  <c r="AN1124" i="4" s="1"/>
  <c r="U1124" i="4"/>
  <c r="V1124" i="4"/>
  <c r="W1124" i="4"/>
  <c r="X1124" i="4"/>
  <c r="Y1124" i="4"/>
  <c r="Z1124" i="4"/>
  <c r="AA1124" i="4"/>
  <c r="AB1124" i="4"/>
  <c r="AC1124" i="4"/>
  <c r="AF1124" i="4"/>
  <c r="AJ1124" i="4"/>
  <c r="AK1124" i="4"/>
  <c r="AL1124" i="4"/>
  <c r="AM1124" i="4"/>
  <c r="P1125" i="4"/>
  <c r="Q1125" i="4"/>
  <c r="AF1125" i="4" s="1"/>
  <c r="R1125" i="4"/>
  <c r="S1125" i="4"/>
  <c r="AN1125" i="4" s="1"/>
  <c r="U1125" i="4"/>
  <c r="V1125" i="4"/>
  <c r="W1125" i="4"/>
  <c r="X1125" i="4"/>
  <c r="Y1125" i="4"/>
  <c r="Z1125" i="4"/>
  <c r="AA1125" i="4"/>
  <c r="AB1125" i="4"/>
  <c r="AC1125" i="4"/>
  <c r="AE1125" i="4"/>
  <c r="AG1125" i="4"/>
  <c r="AJ1125" i="4"/>
  <c r="AK1125" i="4"/>
  <c r="AM1125" i="4"/>
  <c r="P1126" i="4"/>
  <c r="AK1126" i="4" s="1"/>
  <c r="Q1126" i="4"/>
  <c r="R1126" i="4"/>
  <c r="AG1126" i="4" s="1"/>
  <c r="S1126" i="4"/>
  <c r="U1126" i="4"/>
  <c r="V1126" i="4"/>
  <c r="W1126" i="4"/>
  <c r="X1126" i="4"/>
  <c r="Y1126" i="4"/>
  <c r="Z1126" i="4"/>
  <c r="AA1126" i="4"/>
  <c r="AB1126" i="4"/>
  <c r="AC1126" i="4"/>
  <c r="AF1126" i="4"/>
  <c r="AJ1126" i="4"/>
  <c r="AL1126" i="4"/>
  <c r="AM1126" i="4"/>
  <c r="AN1126" i="4"/>
  <c r="P1127" i="4"/>
  <c r="AE1127" i="4" s="1"/>
  <c r="Q1127" i="4"/>
  <c r="AL1127" i="4" s="1"/>
  <c r="R1127" i="4"/>
  <c r="S1127" i="4"/>
  <c r="U1127" i="4"/>
  <c r="V1127" i="4"/>
  <c r="W1127" i="4"/>
  <c r="X1127" i="4"/>
  <c r="Y1127" i="4"/>
  <c r="Z1127" i="4"/>
  <c r="AA1127" i="4"/>
  <c r="AB1127" i="4"/>
  <c r="AC1127" i="4"/>
  <c r="AF1127" i="4"/>
  <c r="AG1127" i="4"/>
  <c r="AJ1127" i="4"/>
  <c r="AM1127" i="4"/>
  <c r="AN1127" i="4"/>
  <c r="P1128" i="4"/>
  <c r="AE1128" i="4" s="1"/>
  <c r="Q1128" i="4"/>
  <c r="AF1128" i="4" s="1"/>
  <c r="R1128" i="4"/>
  <c r="AM1128" i="4" s="1"/>
  <c r="S1128" i="4"/>
  <c r="U1128" i="4"/>
  <c r="V1128" i="4"/>
  <c r="W1128" i="4"/>
  <c r="X1128" i="4"/>
  <c r="Y1128" i="4"/>
  <c r="Z1128" i="4"/>
  <c r="AA1128" i="4"/>
  <c r="AB1128" i="4"/>
  <c r="AC1128" i="4"/>
  <c r="AJ1128" i="4"/>
  <c r="AN1128" i="4"/>
  <c r="P1129" i="4"/>
  <c r="AK1129" i="4" s="1"/>
  <c r="Q1129" i="4"/>
  <c r="AF1129" i="4" s="1"/>
  <c r="R1129" i="4"/>
  <c r="AG1129" i="4" s="1"/>
  <c r="S1129" i="4"/>
  <c r="AN1129" i="4" s="1"/>
  <c r="U1129" i="4"/>
  <c r="V1129" i="4"/>
  <c r="W1129" i="4"/>
  <c r="X1129" i="4"/>
  <c r="Y1129" i="4"/>
  <c r="Z1129" i="4"/>
  <c r="AA1129" i="4"/>
  <c r="AB1129" i="4"/>
  <c r="AC1129" i="4"/>
  <c r="AJ1129" i="4"/>
  <c r="P1130" i="4"/>
  <c r="AE1130" i="4" s="1"/>
  <c r="Q1130" i="4"/>
  <c r="AL1130" i="4" s="1"/>
  <c r="R1130" i="4"/>
  <c r="AG1130" i="4" s="1"/>
  <c r="S1130" i="4"/>
  <c r="AN1130" i="4" s="1"/>
  <c r="U1130" i="4"/>
  <c r="V1130" i="4"/>
  <c r="W1130" i="4"/>
  <c r="X1130" i="4"/>
  <c r="Y1130" i="4"/>
  <c r="Z1130" i="4"/>
  <c r="AA1130" i="4"/>
  <c r="AB1130" i="4"/>
  <c r="AC1130" i="4"/>
  <c r="AJ1130" i="4"/>
  <c r="AK1130" i="4"/>
  <c r="P1131" i="4"/>
  <c r="Q1131" i="4"/>
  <c r="AF1131" i="4" s="1"/>
  <c r="R1131" i="4"/>
  <c r="AM1131" i="4" s="1"/>
  <c r="S1131" i="4"/>
  <c r="AN1131" i="4" s="1"/>
  <c r="U1131" i="4"/>
  <c r="V1131" i="4"/>
  <c r="W1131" i="4"/>
  <c r="X1131" i="4"/>
  <c r="Y1131" i="4"/>
  <c r="Z1131" i="4"/>
  <c r="AA1131" i="4"/>
  <c r="AB1131" i="4"/>
  <c r="AC1131" i="4"/>
  <c r="AE1131" i="4"/>
  <c r="AJ1131" i="4"/>
  <c r="AK1131" i="4"/>
  <c r="P1132" i="4"/>
  <c r="AE1132" i="4" s="1"/>
  <c r="AH1132" i="4" s="1"/>
  <c r="AI1132" i="4" s="1"/>
  <c r="Q1132" i="4"/>
  <c r="R1132" i="4"/>
  <c r="AG1132" i="4" s="1"/>
  <c r="S1132" i="4"/>
  <c r="AN1132" i="4" s="1"/>
  <c r="U1132" i="4"/>
  <c r="V1132" i="4"/>
  <c r="W1132" i="4"/>
  <c r="X1132" i="4"/>
  <c r="Y1132" i="4"/>
  <c r="Z1132" i="4"/>
  <c r="AA1132" i="4"/>
  <c r="AB1132" i="4"/>
  <c r="AC1132" i="4"/>
  <c r="AF1132" i="4"/>
  <c r="AJ1132" i="4"/>
  <c r="AK1132" i="4"/>
  <c r="AL1132" i="4"/>
  <c r="AM1132" i="4"/>
  <c r="P1133" i="4"/>
  <c r="Q1133" i="4"/>
  <c r="AF1133" i="4" s="1"/>
  <c r="R1133" i="4"/>
  <c r="S1133" i="4"/>
  <c r="AN1133" i="4" s="1"/>
  <c r="U1133" i="4"/>
  <c r="V1133" i="4"/>
  <c r="W1133" i="4"/>
  <c r="X1133" i="4"/>
  <c r="Y1133" i="4"/>
  <c r="Z1133" i="4"/>
  <c r="AA1133" i="4"/>
  <c r="AB1133" i="4"/>
  <c r="AC1133" i="4"/>
  <c r="AE1133" i="4"/>
  <c r="AG1133" i="4"/>
  <c r="AJ1133" i="4"/>
  <c r="AK1133" i="4"/>
  <c r="AM1133" i="4"/>
  <c r="P1134" i="4"/>
  <c r="AK1134" i="4" s="1"/>
  <c r="Q1134" i="4"/>
  <c r="R1134" i="4"/>
  <c r="AG1134" i="4" s="1"/>
  <c r="S1134" i="4"/>
  <c r="U1134" i="4"/>
  <c r="V1134" i="4"/>
  <c r="W1134" i="4"/>
  <c r="X1134" i="4"/>
  <c r="Y1134" i="4"/>
  <c r="Z1134" i="4"/>
  <c r="AA1134" i="4"/>
  <c r="AB1134" i="4"/>
  <c r="AC1134" i="4"/>
  <c r="AF1134" i="4"/>
  <c r="AJ1134" i="4"/>
  <c r="AL1134" i="4"/>
  <c r="AM1134" i="4"/>
  <c r="AN1134" i="4"/>
  <c r="P1135" i="4"/>
  <c r="AE1135" i="4" s="1"/>
  <c r="Q1135" i="4"/>
  <c r="AL1135" i="4" s="1"/>
  <c r="R1135" i="4"/>
  <c r="S1135" i="4"/>
  <c r="U1135" i="4"/>
  <c r="V1135" i="4"/>
  <c r="W1135" i="4"/>
  <c r="X1135" i="4"/>
  <c r="Y1135" i="4"/>
  <c r="Z1135" i="4"/>
  <c r="AA1135" i="4"/>
  <c r="AB1135" i="4"/>
  <c r="AC1135" i="4"/>
  <c r="AF1135" i="4"/>
  <c r="AG1135" i="4"/>
  <c r="AJ1135" i="4"/>
  <c r="AM1135" i="4"/>
  <c r="AN1135" i="4"/>
  <c r="P1136" i="4"/>
  <c r="AE1136" i="4" s="1"/>
  <c r="Q1136" i="4"/>
  <c r="AF1136" i="4" s="1"/>
  <c r="R1136" i="4"/>
  <c r="AM1136" i="4" s="1"/>
  <c r="S1136" i="4"/>
  <c r="U1136" i="4"/>
  <c r="V1136" i="4"/>
  <c r="W1136" i="4"/>
  <c r="X1136" i="4"/>
  <c r="Y1136" i="4"/>
  <c r="Z1136" i="4"/>
  <c r="AA1136" i="4"/>
  <c r="AB1136" i="4"/>
  <c r="AC1136" i="4"/>
  <c r="AJ1136" i="4"/>
  <c r="AN1136" i="4"/>
  <c r="P1137" i="4"/>
  <c r="AK1137" i="4" s="1"/>
  <c r="Q1137" i="4"/>
  <c r="AF1137" i="4" s="1"/>
  <c r="R1137" i="4"/>
  <c r="AG1137" i="4" s="1"/>
  <c r="S1137" i="4"/>
  <c r="AN1137" i="4" s="1"/>
  <c r="U1137" i="4"/>
  <c r="V1137" i="4"/>
  <c r="W1137" i="4"/>
  <c r="X1137" i="4"/>
  <c r="Y1137" i="4"/>
  <c r="Z1137" i="4"/>
  <c r="AA1137" i="4"/>
  <c r="AB1137" i="4"/>
  <c r="AC1137" i="4"/>
  <c r="AJ1137" i="4"/>
  <c r="P1138" i="4"/>
  <c r="AE1138" i="4" s="1"/>
  <c r="Q1138" i="4"/>
  <c r="AL1138" i="4" s="1"/>
  <c r="R1138" i="4"/>
  <c r="AG1138" i="4" s="1"/>
  <c r="S1138" i="4"/>
  <c r="AN1138" i="4" s="1"/>
  <c r="U1138" i="4"/>
  <c r="V1138" i="4"/>
  <c r="W1138" i="4"/>
  <c r="X1138" i="4"/>
  <c r="Y1138" i="4"/>
  <c r="Z1138" i="4"/>
  <c r="AA1138" i="4"/>
  <c r="AB1138" i="4"/>
  <c r="AC1138" i="4"/>
  <c r="AJ1138" i="4"/>
  <c r="AK1138" i="4"/>
  <c r="P1139" i="4"/>
  <c r="Q1139" i="4"/>
  <c r="AF1139" i="4" s="1"/>
  <c r="R1139" i="4"/>
  <c r="AM1139" i="4" s="1"/>
  <c r="S1139" i="4"/>
  <c r="AN1139" i="4" s="1"/>
  <c r="U1139" i="4"/>
  <c r="V1139" i="4"/>
  <c r="W1139" i="4"/>
  <c r="X1139" i="4"/>
  <c r="Y1139" i="4"/>
  <c r="Z1139" i="4"/>
  <c r="AA1139" i="4"/>
  <c r="AB1139" i="4"/>
  <c r="AC1139" i="4"/>
  <c r="AE1139" i="4"/>
  <c r="AJ1139" i="4"/>
  <c r="AK1139" i="4"/>
  <c r="P1140" i="4"/>
  <c r="AE1140" i="4" s="1"/>
  <c r="Q1140" i="4"/>
  <c r="R1140" i="4"/>
  <c r="AG1140" i="4" s="1"/>
  <c r="S1140" i="4"/>
  <c r="AN1140" i="4" s="1"/>
  <c r="U1140" i="4"/>
  <c r="V1140" i="4"/>
  <c r="W1140" i="4"/>
  <c r="X1140" i="4"/>
  <c r="Y1140" i="4"/>
  <c r="Z1140" i="4"/>
  <c r="AA1140" i="4"/>
  <c r="AB1140" i="4"/>
  <c r="AC1140" i="4"/>
  <c r="AF1140" i="4"/>
  <c r="AJ1140" i="4"/>
  <c r="AK1140" i="4"/>
  <c r="AL1140" i="4"/>
  <c r="AM1140" i="4"/>
  <c r="P1141" i="4"/>
  <c r="Q1141" i="4"/>
  <c r="AF1141" i="4" s="1"/>
  <c r="R1141" i="4"/>
  <c r="S1141" i="4"/>
  <c r="AN1141" i="4" s="1"/>
  <c r="U1141" i="4"/>
  <c r="V1141" i="4"/>
  <c r="W1141" i="4"/>
  <c r="X1141" i="4"/>
  <c r="Y1141" i="4"/>
  <c r="Z1141" i="4"/>
  <c r="AA1141" i="4"/>
  <c r="AB1141" i="4"/>
  <c r="AC1141" i="4"/>
  <c r="AE1141" i="4"/>
  <c r="AG1141" i="4"/>
  <c r="AJ1141" i="4"/>
  <c r="AK1141" i="4"/>
  <c r="AM1141" i="4"/>
  <c r="P1142" i="4"/>
  <c r="AK1142" i="4" s="1"/>
  <c r="Q1142" i="4"/>
  <c r="R1142" i="4"/>
  <c r="AG1142" i="4" s="1"/>
  <c r="S1142" i="4"/>
  <c r="U1142" i="4"/>
  <c r="V1142" i="4"/>
  <c r="W1142" i="4"/>
  <c r="X1142" i="4"/>
  <c r="Y1142" i="4"/>
  <c r="Z1142" i="4"/>
  <c r="AA1142" i="4"/>
  <c r="AB1142" i="4"/>
  <c r="AC1142" i="4"/>
  <c r="AF1142" i="4"/>
  <c r="AJ1142" i="4"/>
  <c r="AL1142" i="4"/>
  <c r="AM1142" i="4"/>
  <c r="AN1142" i="4"/>
  <c r="P1143" i="4"/>
  <c r="AE1143" i="4" s="1"/>
  <c r="Q1143" i="4"/>
  <c r="AL1143" i="4" s="1"/>
  <c r="R1143" i="4"/>
  <c r="S1143" i="4"/>
  <c r="U1143" i="4"/>
  <c r="V1143" i="4"/>
  <c r="W1143" i="4"/>
  <c r="X1143" i="4"/>
  <c r="Y1143" i="4"/>
  <c r="Z1143" i="4"/>
  <c r="AA1143" i="4"/>
  <c r="AB1143" i="4"/>
  <c r="AC1143" i="4"/>
  <c r="AF1143" i="4"/>
  <c r="AG1143" i="4"/>
  <c r="AJ1143" i="4"/>
  <c r="AM1143" i="4"/>
  <c r="AN1143" i="4"/>
  <c r="P1144" i="4"/>
  <c r="AE1144" i="4" s="1"/>
  <c r="Q1144" i="4"/>
  <c r="AF1144" i="4" s="1"/>
  <c r="R1144" i="4"/>
  <c r="AM1144" i="4" s="1"/>
  <c r="S1144" i="4"/>
  <c r="U1144" i="4"/>
  <c r="V1144" i="4"/>
  <c r="W1144" i="4"/>
  <c r="X1144" i="4"/>
  <c r="Y1144" i="4"/>
  <c r="Z1144" i="4"/>
  <c r="AA1144" i="4"/>
  <c r="AB1144" i="4"/>
  <c r="AC1144" i="4"/>
  <c r="AJ1144" i="4"/>
  <c r="AN1144" i="4"/>
  <c r="P1145" i="4"/>
  <c r="AK1145" i="4" s="1"/>
  <c r="Q1145" i="4"/>
  <c r="AF1145" i="4" s="1"/>
  <c r="R1145" i="4"/>
  <c r="AG1145" i="4" s="1"/>
  <c r="S1145" i="4"/>
  <c r="AN1145" i="4" s="1"/>
  <c r="U1145" i="4"/>
  <c r="V1145" i="4"/>
  <c r="W1145" i="4"/>
  <c r="X1145" i="4"/>
  <c r="Y1145" i="4"/>
  <c r="Z1145" i="4"/>
  <c r="AA1145" i="4"/>
  <c r="AB1145" i="4"/>
  <c r="AC1145" i="4"/>
  <c r="AJ1145" i="4"/>
  <c r="P1146" i="4"/>
  <c r="AE1146" i="4" s="1"/>
  <c r="Q1146" i="4"/>
  <c r="AL1146" i="4" s="1"/>
  <c r="R1146" i="4"/>
  <c r="AG1146" i="4" s="1"/>
  <c r="S1146" i="4"/>
  <c r="AN1146" i="4" s="1"/>
  <c r="U1146" i="4"/>
  <c r="V1146" i="4"/>
  <c r="W1146" i="4"/>
  <c r="X1146" i="4"/>
  <c r="Y1146" i="4"/>
  <c r="Z1146" i="4"/>
  <c r="AA1146" i="4"/>
  <c r="AB1146" i="4"/>
  <c r="AC1146" i="4"/>
  <c r="AJ1146" i="4"/>
  <c r="AK1146" i="4"/>
  <c r="P1147" i="4"/>
  <c r="Q1147" i="4"/>
  <c r="AF1147" i="4" s="1"/>
  <c r="R1147" i="4"/>
  <c r="AM1147" i="4" s="1"/>
  <c r="S1147" i="4"/>
  <c r="AN1147" i="4" s="1"/>
  <c r="U1147" i="4"/>
  <c r="V1147" i="4"/>
  <c r="W1147" i="4"/>
  <c r="X1147" i="4"/>
  <c r="Y1147" i="4"/>
  <c r="Z1147" i="4"/>
  <c r="AA1147" i="4"/>
  <c r="AB1147" i="4"/>
  <c r="AC1147" i="4"/>
  <c r="AE1147" i="4"/>
  <c r="AJ1147" i="4"/>
  <c r="AK1147" i="4"/>
  <c r="P1148" i="4"/>
  <c r="AE1148" i="4" s="1"/>
  <c r="AH1148" i="4" s="1"/>
  <c r="AI1148" i="4" s="1"/>
  <c r="Q1148" i="4"/>
  <c r="R1148" i="4"/>
  <c r="AG1148" i="4" s="1"/>
  <c r="S1148" i="4"/>
  <c r="AN1148" i="4" s="1"/>
  <c r="U1148" i="4"/>
  <c r="V1148" i="4"/>
  <c r="W1148" i="4"/>
  <c r="X1148" i="4"/>
  <c r="Y1148" i="4"/>
  <c r="Z1148" i="4"/>
  <c r="AA1148" i="4"/>
  <c r="AB1148" i="4"/>
  <c r="AC1148" i="4"/>
  <c r="AF1148" i="4"/>
  <c r="AJ1148" i="4"/>
  <c r="AK1148" i="4"/>
  <c r="AL1148" i="4"/>
  <c r="AM1148" i="4"/>
  <c r="P1149" i="4"/>
  <c r="Q1149" i="4"/>
  <c r="AF1149" i="4" s="1"/>
  <c r="R1149" i="4"/>
  <c r="S1149" i="4"/>
  <c r="AN1149" i="4" s="1"/>
  <c r="U1149" i="4"/>
  <c r="V1149" i="4"/>
  <c r="W1149" i="4"/>
  <c r="X1149" i="4"/>
  <c r="Y1149" i="4"/>
  <c r="Z1149" i="4"/>
  <c r="AA1149" i="4"/>
  <c r="AB1149" i="4"/>
  <c r="AC1149" i="4"/>
  <c r="AE1149" i="4"/>
  <c r="AG1149" i="4"/>
  <c r="AJ1149" i="4"/>
  <c r="AK1149" i="4"/>
  <c r="AM1149" i="4"/>
  <c r="P1150" i="4"/>
  <c r="AK1150" i="4" s="1"/>
  <c r="Q1150" i="4"/>
  <c r="R1150" i="4"/>
  <c r="AG1150" i="4" s="1"/>
  <c r="S1150" i="4"/>
  <c r="U1150" i="4"/>
  <c r="V1150" i="4"/>
  <c r="W1150" i="4"/>
  <c r="X1150" i="4"/>
  <c r="Y1150" i="4"/>
  <c r="Z1150" i="4"/>
  <c r="AA1150" i="4"/>
  <c r="AB1150" i="4"/>
  <c r="AC1150" i="4"/>
  <c r="AF1150" i="4"/>
  <c r="AJ1150" i="4"/>
  <c r="AL1150" i="4"/>
  <c r="AM1150" i="4"/>
  <c r="AN1150" i="4"/>
  <c r="P1151" i="4"/>
  <c r="AE1151" i="4" s="1"/>
  <c r="Q1151" i="4"/>
  <c r="AL1151" i="4" s="1"/>
  <c r="R1151" i="4"/>
  <c r="S1151" i="4"/>
  <c r="U1151" i="4"/>
  <c r="V1151" i="4"/>
  <c r="W1151" i="4"/>
  <c r="X1151" i="4"/>
  <c r="Y1151" i="4"/>
  <c r="Z1151" i="4"/>
  <c r="AA1151" i="4"/>
  <c r="AB1151" i="4"/>
  <c r="AC1151" i="4"/>
  <c r="AF1151" i="4"/>
  <c r="AG1151" i="4"/>
  <c r="AJ1151" i="4"/>
  <c r="AM1151" i="4"/>
  <c r="AN1151" i="4"/>
  <c r="P1152" i="4"/>
  <c r="AE1152" i="4" s="1"/>
  <c r="Q1152" i="4"/>
  <c r="AF1152" i="4" s="1"/>
  <c r="R1152" i="4"/>
  <c r="AM1152" i="4" s="1"/>
  <c r="S1152" i="4"/>
  <c r="U1152" i="4"/>
  <c r="V1152" i="4"/>
  <c r="W1152" i="4"/>
  <c r="X1152" i="4"/>
  <c r="Y1152" i="4"/>
  <c r="Z1152" i="4"/>
  <c r="AA1152" i="4"/>
  <c r="AB1152" i="4"/>
  <c r="AC1152" i="4"/>
  <c r="AJ1152" i="4"/>
  <c r="AN1152" i="4"/>
  <c r="P1153" i="4"/>
  <c r="AK1153" i="4" s="1"/>
  <c r="Q1153" i="4"/>
  <c r="AF1153" i="4" s="1"/>
  <c r="R1153" i="4"/>
  <c r="AG1153" i="4" s="1"/>
  <c r="S1153" i="4"/>
  <c r="AN1153" i="4" s="1"/>
  <c r="U1153" i="4"/>
  <c r="V1153" i="4"/>
  <c r="W1153" i="4"/>
  <c r="X1153" i="4"/>
  <c r="Y1153" i="4"/>
  <c r="Z1153" i="4"/>
  <c r="AA1153" i="4"/>
  <c r="AB1153" i="4"/>
  <c r="AC1153" i="4"/>
  <c r="AJ1153" i="4"/>
  <c r="P1154" i="4"/>
  <c r="AE1154" i="4" s="1"/>
  <c r="Q1154" i="4"/>
  <c r="AL1154" i="4" s="1"/>
  <c r="R1154" i="4"/>
  <c r="AG1154" i="4" s="1"/>
  <c r="S1154" i="4"/>
  <c r="AN1154" i="4" s="1"/>
  <c r="U1154" i="4"/>
  <c r="V1154" i="4"/>
  <c r="W1154" i="4"/>
  <c r="X1154" i="4"/>
  <c r="Y1154" i="4"/>
  <c r="Z1154" i="4"/>
  <c r="AA1154" i="4"/>
  <c r="AB1154" i="4"/>
  <c r="AC1154" i="4"/>
  <c r="AJ1154" i="4"/>
  <c r="AK1154" i="4"/>
  <c r="P1155" i="4"/>
  <c r="Q1155" i="4"/>
  <c r="AF1155" i="4" s="1"/>
  <c r="R1155" i="4"/>
  <c r="AM1155" i="4" s="1"/>
  <c r="S1155" i="4"/>
  <c r="AN1155" i="4" s="1"/>
  <c r="U1155" i="4"/>
  <c r="V1155" i="4"/>
  <c r="W1155" i="4"/>
  <c r="X1155" i="4"/>
  <c r="Y1155" i="4"/>
  <c r="Z1155" i="4"/>
  <c r="AA1155" i="4"/>
  <c r="AB1155" i="4"/>
  <c r="AC1155" i="4"/>
  <c r="AE1155" i="4"/>
  <c r="AJ1155" i="4"/>
  <c r="AK1155" i="4"/>
  <c r="P1156" i="4"/>
  <c r="AE1156" i="4" s="1"/>
  <c r="Q1156" i="4"/>
  <c r="R1156" i="4"/>
  <c r="AG1156" i="4" s="1"/>
  <c r="S1156" i="4"/>
  <c r="AN1156" i="4" s="1"/>
  <c r="U1156" i="4"/>
  <c r="V1156" i="4"/>
  <c r="W1156" i="4"/>
  <c r="X1156" i="4"/>
  <c r="Y1156" i="4"/>
  <c r="Z1156" i="4"/>
  <c r="AA1156" i="4"/>
  <c r="AB1156" i="4"/>
  <c r="AC1156" i="4"/>
  <c r="AF1156" i="4"/>
  <c r="AJ1156" i="4"/>
  <c r="AK1156" i="4"/>
  <c r="AL1156" i="4"/>
  <c r="AM1156" i="4"/>
  <c r="P1157" i="4"/>
  <c r="Q1157" i="4"/>
  <c r="AF1157" i="4" s="1"/>
  <c r="R1157" i="4"/>
  <c r="S1157" i="4"/>
  <c r="AN1157" i="4" s="1"/>
  <c r="U1157" i="4"/>
  <c r="V1157" i="4"/>
  <c r="W1157" i="4"/>
  <c r="X1157" i="4"/>
  <c r="Y1157" i="4"/>
  <c r="Z1157" i="4"/>
  <c r="AA1157" i="4"/>
  <c r="AB1157" i="4"/>
  <c r="AC1157" i="4"/>
  <c r="AE1157" i="4"/>
  <c r="AG1157" i="4"/>
  <c r="AJ1157" i="4"/>
  <c r="AK1157" i="4"/>
  <c r="AM1157" i="4"/>
  <c r="P1158" i="4"/>
  <c r="AK1158" i="4" s="1"/>
  <c r="Q1158" i="4"/>
  <c r="R1158" i="4"/>
  <c r="AG1158" i="4" s="1"/>
  <c r="S1158" i="4"/>
  <c r="U1158" i="4"/>
  <c r="V1158" i="4"/>
  <c r="W1158" i="4"/>
  <c r="X1158" i="4"/>
  <c r="Y1158" i="4"/>
  <c r="Z1158" i="4"/>
  <c r="AA1158" i="4"/>
  <c r="AB1158" i="4"/>
  <c r="AC1158" i="4"/>
  <c r="AF1158" i="4"/>
  <c r="AJ1158" i="4"/>
  <c r="AL1158" i="4"/>
  <c r="AM1158" i="4"/>
  <c r="AN1158" i="4"/>
  <c r="P1159" i="4"/>
  <c r="AE1159" i="4" s="1"/>
  <c r="Q1159" i="4"/>
  <c r="AL1159" i="4" s="1"/>
  <c r="R1159" i="4"/>
  <c r="S1159" i="4"/>
  <c r="U1159" i="4"/>
  <c r="V1159" i="4"/>
  <c r="W1159" i="4"/>
  <c r="X1159" i="4"/>
  <c r="Y1159" i="4"/>
  <c r="Z1159" i="4"/>
  <c r="AA1159" i="4"/>
  <c r="AB1159" i="4"/>
  <c r="AC1159" i="4"/>
  <c r="AF1159" i="4"/>
  <c r="AG1159" i="4"/>
  <c r="AJ1159" i="4"/>
  <c r="AM1159" i="4"/>
  <c r="AN1159" i="4"/>
  <c r="P1160" i="4"/>
  <c r="AE1160" i="4" s="1"/>
  <c r="Q1160" i="4"/>
  <c r="AF1160" i="4" s="1"/>
  <c r="R1160" i="4"/>
  <c r="AM1160" i="4" s="1"/>
  <c r="S1160" i="4"/>
  <c r="U1160" i="4"/>
  <c r="V1160" i="4"/>
  <c r="W1160" i="4"/>
  <c r="X1160" i="4"/>
  <c r="Y1160" i="4"/>
  <c r="Z1160" i="4"/>
  <c r="AA1160" i="4"/>
  <c r="AB1160" i="4"/>
  <c r="AC1160" i="4"/>
  <c r="AJ1160" i="4"/>
  <c r="AN1160" i="4"/>
  <c r="P1161" i="4"/>
  <c r="AK1161" i="4" s="1"/>
  <c r="Q1161" i="4"/>
  <c r="AF1161" i="4" s="1"/>
  <c r="R1161" i="4"/>
  <c r="AG1161" i="4" s="1"/>
  <c r="S1161" i="4"/>
  <c r="AN1161" i="4" s="1"/>
  <c r="U1161" i="4"/>
  <c r="V1161" i="4"/>
  <c r="W1161" i="4"/>
  <c r="X1161" i="4"/>
  <c r="Y1161" i="4"/>
  <c r="Z1161" i="4"/>
  <c r="AA1161" i="4"/>
  <c r="AB1161" i="4"/>
  <c r="AC1161" i="4"/>
  <c r="AJ1161" i="4"/>
  <c r="P1162" i="4"/>
  <c r="AE1162" i="4" s="1"/>
  <c r="Q1162" i="4"/>
  <c r="AL1162" i="4" s="1"/>
  <c r="R1162" i="4"/>
  <c r="AG1162" i="4" s="1"/>
  <c r="S1162" i="4"/>
  <c r="AN1162" i="4" s="1"/>
  <c r="U1162" i="4"/>
  <c r="V1162" i="4"/>
  <c r="W1162" i="4"/>
  <c r="X1162" i="4"/>
  <c r="Y1162" i="4"/>
  <c r="Z1162" i="4"/>
  <c r="AA1162" i="4"/>
  <c r="AB1162" i="4"/>
  <c r="AC1162" i="4"/>
  <c r="AJ1162" i="4"/>
  <c r="AK1162" i="4"/>
  <c r="P1163" i="4"/>
  <c r="Q1163" i="4"/>
  <c r="AF1163" i="4" s="1"/>
  <c r="R1163" i="4"/>
  <c r="AM1163" i="4" s="1"/>
  <c r="S1163" i="4"/>
  <c r="AN1163" i="4" s="1"/>
  <c r="U1163" i="4"/>
  <c r="V1163" i="4"/>
  <c r="W1163" i="4"/>
  <c r="X1163" i="4"/>
  <c r="Y1163" i="4"/>
  <c r="Z1163" i="4"/>
  <c r="AA1163" i="4"/>
  <c r="AB1163" i="4"/>
  <c r="AC1163" i="4"/>
  <c r="AE1163" i="4"/>
  <c r="AJ1163" i="4"/>
  <c r="AK1163" i="4"/>
  <c r="P1164" i="4"/>
  <c r="AE1164" i="4" s="1"/>
  <c r="AH1164" i="4" s="1"/>
  <c r="AI1164" i="4" s="1"/>
  <c r="Q1164" i="4"/>
  <c r="R1164" i="4"/>
  <c r="AG1164" i="4" s="1"/>
  <c r="S1164" i="4"/>
  <c r="AN1164" i="4" s="1"/>
  <c r="U1164" i="4"/>
  <c r="V1164" i="4"/>
  <c r="W1164" i="4"/>
  <c r="X1164" i="4"/>
  <c r="Y1164" i="4"/>
  <c r="Z1164" i="4"/>
  <c r="AA1164" i="4"/>
  <c r="AB1164" i="4"/>
  <c r="AC1164" i="4"/>
  <c r="AF1164" i="4"/>
  <c r="AJ1164" i="4"/>
  <c r="AK1164" i="4"/>
  <c r="AL1164" i="4"/>
  <c r="AM1164" i="4"/>
  <c r="P1165" i="4"/>
  <c r="Q1165" i="4"/>
  <c r="AF1165" i="4" s="1"/>
  <c r="R1165" i="4"/>
  <c r="S1165" i="4"/>
  <c r="AN1165" i="4" s="1"/>
  <c r="U1165" i="4"/>
  <c r="V1165" i="4"/>
  <c r="W1165" i="4"/>
  <c r="X1165" i="4"/>
  <c r="Y1165" i="4"/>
  <c r="Z1165" i="4"/>
  <c r="AA1165" i="4"/>
  <c r="AB1165" i="4"/>
  <c r="AC1165" i="4"/>
  <c r="AE1165" i="4"/>
  <c r="AG1165" i="4"/>
  <c r="AJ1165" i="4"/>
  <c r="AK1165" i="4"/>
  <c r="AM1165" i="4"/>
  <c r="P1166" i="4"/>
  <c r="AK1166" i="4" s="1"/>
  <c r="Q1166" i="4"/>
  <c r="R1166" i="4"/>
  <c r="AG1166" i="4" s="1"/>
  <c r="S1166" i="4"/>
  <c r="U1166" i="4"/>
  <c r="V1166" i="4"/>
  <c r="W1166" i="4"/>
  <c r="X1166" i="4"/>
  <c r="Y1166" i="4"/>
  <c r="Z1166" i="4"/>
  <c r="AA1166" i="4"/>
  <c r="AB1166" i="4"/>
  <c r="AC1166" i="4"/>
  <c r="AF1166" i="4"/>
  <c r="AJ1166" i="4"/>
  <c r="AL1166" i="4"/>
  <c r="AM1166" i="4"/>
  <c r="AN1166" i="4"/>
  <c r="P1167" i="4"/>
  <c r="AE1167" i="4" s="1"/>
  <c r="Q1167" i="4"/>
  <c r="AL1167" i="4" s="1"/>
  <c r="R1167" i="4"/>
  <c r="S1167" i="4"/>
  <c r="U1167" i="4"/>
  <c r="V1167" i="4"/>
  <c r="W1167" i="4"/>
  <c r="X1167" i="4"/>
  <c r="Y1167" i="4"/>
  <c r="Z1167" i="4"/>
  <c r="AA1167" i="4"/>
  <c r="AB1167" i="4"/>
  <c r="AC1167" i="4"/>
  <c r="AF1167" i="4"/>
  <c r="AG1167" i="4"/>
  <c r="AJ1167" i="4"/>
  <c r="AM1167" i="4"/>
  <c r="AN1167" i="4"/>
  <c r="P1168" i="4"/>
  <c r="AE1168" i="4" s="1"/>
  <c r="Q1168" i="4"/>
  <c r="AF1168" i="4" s="1"/>
  <c r="R1168" i="4"/>
  <c r="AM1168" i="4" s="1"/>
  <c r="S1168" i="4"/>
  <c r="U1168" i="4"/>
  <c r="V1168" i="4"/>
  <c r="W1168" i="4"/>
  <c r="X1168" i="4"/>
  <c r="Y1168" i="4"/>
  <c r="Z1168" i="4"/>
  <c r="AA1168" i="4"/>
  <c r="AB1168" i="4"/>
  <c r="AC1168" i="4"/>
  <c r="AJ1168" i="4"/>
  <c r="AN1168" i="4"/>
  <c r="P1169" i="4"/>
  <c r="AK1169" i="4" s="1"/>
  <c r="Q1169" i="4"/>
  <c r="AF1169" i="4" s="1"/>
  <c r="R1169" i="4"/>
  <c r="AG1169" i="4" s="1"/>
  <c r="S1169" i="4"/>
  <c r="AN1169" i="4" s="1"/>
  <c r="U1169" i="4"/>
  <c r="V1169" i="4"/>
  <c r="W1169" i="4"/>
  <c r="X1169" i="4"/>
  <c r="Y1169" i="4"/>
  <c r="Z1169" i="4"/>
  <c r="AA1169" i="4"/>
  <c r="AB1169" i="4"/>
  <c r="AC1169" i="4"/>
  <c r="AJ1169" i="4"/>
  <c r="P1170" i="4"/>
  <c r="AE1170" i="4" s="1"/>
  <c r="Q1170" i="4"/>
  <c r="AL1170" i="4" s="1"/>
  <c r="R1170" i="4"/>
  <c r="AG1170" i="4" s="1"/>
  <c r="S1170" i="4"/>
  <c r="AN1170" i="4" s="1"/>
  <c r="U1170" i="4"/>
  <c r="V1170" i="4"/>
  <c r="W1170" i="4"/>
  <c r="X1170" i="4"/>
  <c r="Y1170" i="4"/>
  <c r="Z1170" i="4"/>
  <c r="AA1170" i="4"/>
  <c r="AB1170" i="4"/>
  <c r="AC1170" i="4"/>
  <c r="AJ1170" i="4"/>
  <c r="AK1170" i="4"/>
  <c r="P1171" i="4"/>
  <c r="Q1171" i="4"/>
  <c r="AF1171" i="4" s="1"/>
  <c r="R1171" i="4"/>
  <c r="AM1171" i="4" s="1"/>
  <c r="S1171" i="4"/>
  <c r="AN1171" i="4" s="1"/>
  <c r="U1171" i="4"/>
  <c r="V1171" i="4"/>
  <c r="W1171" i="4"/>
  <c r="X1171" i="4"/>
  <c r="Y1171" i="4"/>
  <c r="Z1171" i="4"/>
  <c r="AA1171" i="4"/>
  <c r="AB1171" i="4"/>
  <c r="AC1171" i="4"/>
  <c r="AE1171" i="4"/>
  <c r="AJ1171" i="4"/>
  <c r="AK1171" i="4"/>
  <c r="P1172" i="4"/>
  <c r="AE1172" i="4" s="1"/>
  <c r="Q1172" i="4"/>
  <c r="R1172" i="4"/>
  <c r="AG1172" i="4" s="1"/>
  <c r="S1172" i="4"/>
  <c r="AN1172" i="4" s="1"/>
  <c r="U1172" i="4"/>
  <c r="V1172" i="4"/>
  <c r="W1172" i="4"/>
  <c r="X1172" i="4"/>
  <c r="Y1172" i="4"/>
  <c r="Z1172" i="4"/>
  <c r="AA1172" i="4"/>
  <c r="AB1172" i="4"/>
  <c r="AC1172" i="4"/>
  <c r="AF1172" i="4"/>
  <c r="AJ1172" i="4"/>
  <c r="AK1172" i="4"/>
  <c r="AL1172" i="4"/>
  <c r="AM1172" i="4"/>
  <c r="P1173" i="4"/>
  <c r="Q1173" i="4"/>
  <c r="AF1173" i="4" s="1"/>
  <c r="R1173" i="4"/>
  <c r="S1173" i="4"/>
  <c r="AN1173" i="4" s="1"/>
  <c r="U1173" i="4"/>
  <c r="V1173" i="4"/>
  <c r="W1173" i="4"/>
  <c r="X1173" i="4"/>
  <c r="Y1173" i="4"/>
  <c r="Z1173" i="4"/>
  <c r="AA1173" i="4"/>
  <c r="AB1173" i="4"/>
  <c r="AC1173" i="4"/>
  <c r="AE1173" i="4"/>
  <c r="AG1173" i="4"/>
  <c r="AJ1173" i="4"/>
  <c r="AK1173" i="4"/>
  <c r="AM1173" i="4"/>
  <c r="P1174" i="4"/>
  <c r="AK1174" i="4" s="1"/>
  <c r="Q1174" i="4"/>
  <c r="R1174" i="4"/>
  <c r="AG1174" i="4" s="1"/>
  <c r="S1174" i="4"/>
  <c r="U1174" i="4"/>
  <c r="V1174" i="4"/>
  <c r="W1174" i="4"/>
  <c r="X1174" i="4"/>
  <c r="Y1174" i="4"/>
  <c r="Z1174" i="4"/>
  <c r="AA1174" i="4"/>
  <c r="AB1174" i="4"/>
  <c r="AC1174" i="4"/>
  <c r="AF1174" i="4"/>
  <c r="AJ1174" i="4"/>
  <c r="AL1174" i="4"/>
  <c r="AM1174" i="4"/>
  <c r="AN1174" i="4"/>
  <c r="P1175" i="4"/>
  <c r="AE1175" i="4" s="1"/>
  <c r="Q1175" i="4"/>
  <c r="AL1175" i="4" s="1"/>
  <c r="R1175" i="4"/>
  <c r="S1175" i="4"/>
  <c r="U1175" i="4"/>
  <c r="V1175" i="4"/>
  <c r="W1175" i="4"/>
  <c r="X1175" i="4"/>
  <c r="Y1175" i="4"/>
  <c r="Z1175" i="4"/>
  <c r="AA1175" i="4"/>
  <c r="AB1175" i="4"/>
  <c r="AC1175" i="4"/>
  <c r="AF1175" i="4"/>
  <c r="AG1175" i="4"/>
  <c r="AJ1175" i="4"/>
  <c r="AM1175" i="4"/>
  <c r="AN1175" i="4"/>
  <c r="P1176" i="4"/>
  <c r="Q1176" i="4"/>
  <c r="AF1176" i="4" s="1"/>
  <c r="R1176" i="4"/>
  <c r="AM1176" i="4" s="1"/>
  <c r="S1176" i="4"/>
  <c r="U1176" i="4"/>
  <c r="V1176" i="4"/>
  <c r="W1176" i="4"/>
  <c r="X1176" i="4"/>
  <c r="Y1176" i="4"/>
  <c r="Z1176" i="4"/>
  <c r="AA1176" i="4"/>
  <c r="AB1176" i="4"/>
  <c r="AC1176" i="4"/>
  <c r="AJ1176" i="4"/>
  <c r="AN1176" i="4"/>
  <c r="P1177" i="4"/>
  <c r="AK1177" i="4" s="1"/>
  <c r="Q1177" i="4"/>
  <c r="R1177" i="4"/>
  <c r="AG1177" i="4" s="1"/>
  <c r="S1177" i="4"/>
  <c r="AN1177" i="4" s="1"/>
  <c r="U1177" i="4"/>
  <c r="V1177" i="4"/>
  <c r="W1177" i="4"/>
  <c r="X1177" i="4"/>
  <c r="Y1177" i="4"/>
  <c r="Z1177" i="4"/>
  <c r="AA1177" i="4"/>
  <c r="AB1177" i="4"/>
  <c r="AC1177" i="4"/>
  <c r="AJ1177" i="4"/>
  <c r="P1178" i="4"/>
  <c r="AE1178" i="4" s="1"/>
  <c r="Q1178" i="4"/>
  <c r="AL1178" i="4" s="1"/>
  <c r="R1178" i="4"/>
  <c r="S1178" i="4"/>
  <c r="AN1178" i="4" s="1"/>
  <c r="U1178" i="4"/>
  <c r="V1178" i="4"/>
  <c r="W1178" i="4"/>
  <c r="X1178" i="4"/>
  <c r="Y1178" i="4"/>
  <c r="Z1178" i="4"/>
  <c r="AA1178" i="4"/>
  <c r="AB1178" i="4"/>
  <c r="AC1178" i="4"/>
  <c r="AJ1178" i="4"/>
  <c r="AK1178" i="4"/>
  <c r="P1179" i="4"/>
  <c r="Q1179" i="4"/>
  <c r="AF1179" i="4" s="1"/>
  <c r="R1179" i="4"/>
  <c r="AM1179" i="4" s="1"/>
  <c r="S1179" i="4"/>
  <c r="AN1179" i="4" s="1"/>
  <c r="U1179" i="4"/>
  <c r="V1179" i="4"/>
  <c r="W1179" i="4"/>
  <c r="X1179" i="4"/>
  <c r="Y1179" i="4"/>
  <c r="Z1179" i="4"/>
  <c r="AA1179" i="4"/>
  <c r="AB1179" i="4"/>
  <c r="AC1179" i="4"/>
  <c r="AE1179" i="4"/>
  <c r="AJ1179" i="4"/>
  <c r="AK1179" i="4"/>
  <c r="P1180" i="4"/>
  <c r="AE1180" i="4" s="1"/>
  <c r="Q1180" i="4"/>
  <c r="R1180" i="4"/>
  <c r="AG1180" i="4" s="1"/>
  <c r="S1180" i="4"/>
  <c r="AN1180" i="4" s="1"/>
  <c r="U1180" i="4"/>
  <c r="V1180" i="4"/>
  <c r="W1180" i="4"/>
  <c r="X1180" i="4"/>
  <c r="Y1180" i="4"/>
  <c r="Z1180" i="4"/>
  <c r="AA1180" i="4"/>
  <c r="AB1180" i="4"/>
  <c r="AC1180" i="4"/>
  <c r="AF1180" i="4"/>
  <c r="AJ1180" i="4"/>
  <c r="AK1180" i="4"/>
  <c r="AL1180" i="4"/>
  <c r="AM1180" i="4"/>
  <c r="P1181" i="4"/>
  <c r="Q1181" i="4"/>
  <c r="AF1181" i="4" s="1"/>
  <c r="R1181" i="4"/>
  <c r="S1181" i="4"/>
  <c r="AN1181" i="4" s="1"/>
  <c r="U1181" i="4"/>
  <c r="V1181" i="4"/>
  <c r="W1181" i="4"/>
  <c r="X1181" i="4"/>
  <c r="Y1181" i="4"/>
  <c r="Z1181" i="4"/>
  <c r="AA1181" i="4"/>
  <c r="AB1181" i="4"/>
  <c r="AC1181" i="4"/>
  <c r="AE1181" i="4"/>
  <c r="AG1181" i="4"/>
  <c r="AJ1181" i="4"/>
  <c r="AK1181" i="4"/>
  <c r="AM1181" i="4"/>
  <c r="P1182" i="4"/>
  <c r="AK1182" i="4" s="1"/>
  <c r="Q1182" i="4"/>
  <c r="R1182" i="4"/>
  <c r="AG1182" i="4" s="1"/>
  <c r="S1182" i="4"/>
  <c r="U1182" i="4"/>
  <c r="V1182" i="4"/>
  <c r="W1182" i="4"/>
  <c r="X1182" i="4"/>
  <c r="Y1182" i="4"/>
  <c r="Z1182" i="4"/>
  <c r="AA1182" i="4"/>
  <c r="AB1182" i="4"/>
  <c r="AC1182" i="4"/>
  <c r="AF1182" i="4"/>
  <c r="AJ1182" i="4"/>
  <c r="AL1182" i="4"/>
  <c r="AM1182" i="4"/>
  <c r="AN1182" i="4"/>
  <c r="P1183" i="4"/>
  <c r="Q1183" i="4"/>
  <c r="AL1183" i="4" s="1"/>
  <c r="R1183" i="4"/>
  <c r="S1183" i="4"/>
  <c r="U1183" i="4"/>
  <c r="V1183" i="4"/>
  <c r="W1183" i="4"/>
  <c r="X1183" i="4"/>
  <c r="Y1183" i="4"/>
  <c r="Z1183" i="4"/>
  <c r="AA1183" i="4"/>
  <c r="AB1183" i="4"/>
  <c r="AC1183" i="4"/>
  <c r="AF1183" i="4"/>
  <c r="AG1183" i="4"/>
  <c r="AJ1183" i="4"/>
  <c r="AM1183" i="4"/>
  <c r="AN1183" i="4"/>
  <c r="P1184" i="4"/>
  <c r="Q1184" i="4"/>
  <c r="R1184" i="4"/>
  <c r="AM1184" i="4" s="1"/>
  <c r="S1184" i="4"/>
  <c r="U1184" i="4"/>
  <c r="V1184" i="4"/>
  <c r="W1184" i="4"/>
  <c r="X1184" i="4"/>
  <c r="Y1184" i="4"/>
  <c r="Z1184" i="4"/>
  <c r="AA1184" i="4"/>
  <c r="AB1184" i="4"/>
  <c r="AC1184" i="4"/>
  <c r="AJ1184" i="4"/>
  <c r="AN1184" i="4"/>
  <c r="P1185" i="4"/>
  <c r="Q1185" i="4"/>
  <c r="R1185" i="4"/>
  <c r="S1185" i="4"/>
  <c r="AN1185" i="4" s="1"/>
  <c r="U1185" i="4"/>
  <c r="V1185" i="4"/>
  <c r="W1185" i="4"/>
  <c r="X1185" i="4"/>
  <c r="Y1185" i="4"/>
  <c r="Z1185" i="4"/>
  <c r="AA1185" i="4"/>
  <c r="AB1185" i="4"/>
  <c r="AC1185" i="4"/>
  <c r="AJ1185" i="4"/>
  <c r="P1186" i="4"/>
  <c r="AE1186" i="4" s="1"/>
  <c r="Q1186" i="4"/>
  <c r="R1186" i="4"/>
  <c r="S1186" i="4"/>
  <c r="AN1186" i="4" s="1"/>
  <c r="U1186" i="4"/>
  <c r="V1186" i="4"/>
  <c r="W1186" i="4"/>
  <c r="X1186" i="4"/>
  <c r="Y1186" i="4"/>
  <c r="Z1186" i="4"/>
  <c r="AA1186" i="4"/>
  <c r="AB1186" i="4"/>
  <c r="AC1186" i="4"/>
  <c r="AJ1186" i="4"/>
  <c r="AK1186" i="4"/>
  <c r="P1187" i="4"/>
  <c r="Q1187" i="4"/>
  <c r="AF1187" i="4" s="1"/>
  <c r="R1187" i="4"/>
  <c r="S1187" i="4"/>
  <c r="AN1187" i="4" s="1"/>
  <c r="U1187" i="4"/>
  <c r="V1187" i="4"/>
  <c r="W1187" i="4"/>
  <c r="X1187" i="4"/>
  <c r="Y1187" i="4"/>
  <c r="Z1187" i="4"/>
  <c r="AA1187" i="4"/>
  <c r="AB1187" i="4"/>
  <c r="AC1187" i="4"/>
  <c r="AE1187" i="4"/>
  <c r="AJ1187" i="4"/>
  <c r="AK1187" i="4"/>
  <c r="P1188" i="4"/>
  <c r="AE1188" i="4" s="1"/>
  <c r="Q1188" i="4"/>
  <c r="R1188" i="4"/>
  <c r="AG1188" i="4" s="1"/>
  <c r="S1188" i="4"/>
  <c r="AN1188" i="4" s="1"/>
  <c r="U1188" i="4"/>
  <c r="V1188" i="4"/>
  <c r="W1188" i="4"/>
  <c r="X1188" i="4"/>
  <c r="Y1188" i="4"/>
  <c r="Z1188" i="4"/>
  <c r="AA1188" i="4"/>
  <c r="AB1188" i="4"/>
  <c r="AC1188" i="4"/>
  <c r="AF1188" i="4"/>
  <c r="AJ1188" i="4"/>
  <c r="AK1188" i="4"/>
  <c r="AL1188" i="4"/>
  <c r="AM1188" i="4"/>
  <c r="P1189" i="4"/>
  <c r="Q1189" i="4"/>
  <c r="AF1189" i="4" s="1"/>
  <c r="R1189" i="4"/>
  <c r="S1189" i="4"/>
  <c r="AN1189" i="4" s="1"/>
  <c r="U1189" i="4"/>
  <c r="V1189" i="4"/>
  <c r="W1189" i="4"/>
  <c r="X1189" i="4"/>
  <c r="Y1189" i="4"/>
  <c r="Z1189" i="4"/>
  <c r="AA1189" i="4"/>
  <c r="AB1189" i="4"/>
  <c r="AC1189" i="4"/>
  <c r="AE1189" i="4"/>
  <c r="AG1189" i="4"/>
  <c r="AJ1189" i="4"/>
  <c r="AK1189" i="4"/>
  <c r="AM1189" i="4"/>
  <c r="P1190" i="4"/>
  <c r="AK1190" i="4" s="1"/>
  <c r="Q1190" i="4"/>
  <c r="R1190" i="4"/>
  <c r="AG1190" i="4" s="1"/>
  <c r="S1190" i="4"/>
  <c r="U1190" i="4"/>
  <c r="V1190" i="4"/>
  <c r="W1190" i="4"/>
  <c r="X1190" i="4"/>
  <c r="Y1190" i="4"/>
  <c r="Z1190" i="4"/>
  <c r="AA1190" i="4"/>
  <c r="AB1190" i="4"/>
  <c r="AC1190" i="4"/>
  <c r="AF1190" i="4"/>
  <c r="AJ1190" i="4"/>
  <c r="AL1190" i="4"/>
  <c r="AM1190" i="4"/>
  <c r="AN1190" i="4"/>
  <c r="P1191" i="4"/>
  <c r="Q1191" i="4"/>
  <c r="AL1191" i="4" s="1"/>
  <c r="R1191" i="4"/>
  <c r="S1191" i="4"/>
  <c r="U1191" i="4"/>
  <c r="V1191" i="4"/>
  <c r="W1191" i="4"/>
  <c r="X1191" i="4"/>
  <c r="Y1191" i="4"/>
  <c r="Z1191" i="4"/>
  <c r="AA1191" i="4"/>
  <c r="AB1191" i="4"/>
  <c r="AC1191" i="4"/>
  <c r="AF1191" i="4"/>
  <c r="AG1191" i="4"/>
  <c r="AJ1191" i="4"/>
  <c r="AM1191" i="4"/>
  <c r="AN1191" i="4"/>
  <c r="P1192" i="4"/>
  <c r="Q1192" i="4"/>
  <c r="R1192" i="4"/>
  <c r="AM1192" i="4" s="1"/>
  <c r="S1192" i="4"/>
  <c r="U1192" i="4"/>
  <c r="V1192" i="4"/>
  <c r="W1192" i="4"/>
  <c r="X1192" i="4"/>
  <c r="Y1192" i="4"/>
  <c r="Z1192" i="4"/>
  <c r="AA1192" i="4"/>
  <c r="AB1192" i="4"/>
  <c r="AC1192" i="4"/>
  <c r="AJ1192" i="4"/>
  <c r="AN1192" i="4"/>
  <c r="P1193" i="4"/>
  <c r="Q1193" i="4"/>
  <c r="R1193" i="4"/>
  <c r="AM1193" i="4" s="1"/>
  <c r="S1193" i="4"/>
  <c r="AN1193" i="4" s="1"/>
  <c r="U1193" i="4"/>
  <c r="V1193" i="4"/>
  <c r="W1193" i="4"/>
  <c r="X1193" i="4"/>
  <c r="Y1193" i="4"/>
  <c r="Z1193" i="4"/>
  <c r="AA1193" i="4"/>
  <c r="AB1193" i="4"/>
  <c r="AC1193" i="4"/>
  <c r="AJ1193" i="4"/>
  <c r="P1194" i="4"/>
  <c r="AE1194" i="4" s="1"/>
  <c r="Q1194" i="4"/>
  <c r="AF1194" i="4" s="1"/>
  <c r="R1194" i="4"/>
  <c r="S1194" i="4"/>
  <c r="AN1194" i="4" s="1"/>
  <c r="U1194" i="4"/>
  <c r="V1194" i="4"/>
  <c r="W1194" i="4"/>
  <c r="X1194" i="4"/>
  <c r="Y1194" i="4"/>
  <c r="Z1194" i="4"/>
  <c r="AA1194" i="4"/>
  <c r="AB1194" i="4"/>
  <c r="AC1194" i="4"/>
  <c r="AJ1194" i="4"/>
  <c r="AK1194" i="4"/>
  <c r="AL1194" i="4"/>
  <c r="P1195" i="4"/>
  <c r="Q1195" i="4"/>
  <c r="AF1195" i="4" s="1"/>
  <c r="R1195" i="4"/>
  <c r="AG1195" i="4" s="1"/>
  <c r="S1195" i="4"/>
  <c r="AN1195" i="4" s="1"/>
  <c r="U1195" i="4"/>
  <c r="V1195" i="4"/>
  <c r="W1195" i="4"/>
  <c r="X1195" i="4"/>
  <c r="Y1195" i="4"/>
  <c r="Z1195" i="4"/>
  <c r="AA1195" i="4"/>
  <c r="AB1195" i="4"/>
  <c r="AC1195" i="4"/>
  <c r="AE1195" i="4"/>
  <c r="AH1195" i="4" s="1"/>
  <c r="AI1195" i="4" s="1"/>
  <c r="AJ1195" i="4"/>
  <c r="AK1195" i="4"/>
  <c r="AM1195" i="4"/>
  <c r="P1196" i="4"/>
  <c r="Q1196" i="4"/>
  <c r="AF1196" i="4" s="1"/>
  <c r="R1196" i="4"/>
  <c r="AG1196" i="4" s="1"/>
  <c r="S1196" i="4"/>
  <c r="U1196" i="4"/>
  <c r="V1196" i="4"/>
  <c r="W1196" i="4"/>
  <c r="X1196" i="4"/>
  <c r="Y1196" i="4"/>
  <c r="Z1196" i="4"/>
  <c r="AA1196" i="4"/>
  <c r="AB1196" i="4"/>
  <c r="AC1196" i="4"/>
  <c r="AE1196" i="4"/>
  <c r="AJ1196" i="4"/>
  <c r="AK1196" i="4"/>
  <c r="AL1196" i="4"/>
  <c r="AM1196" i="4"/>
  <c r="AN1196" i="4"/>
  <c r="P1197" i="4"/>
  <c r="Q1197" i="4"/>
  <c r="AF1197" i="4" s="1"/>
  <c r="R1197" i="4"/>
  <c r="S1197" i="4"/>
  <c r="AN1197" i="4" s="1"/>
  <c r="U1197" i="4"/>
  <c r="V1197" i="4"/>
  <c r="W1197" i="4"/>
  <c r="X1197" i="4"/>
  <c r="Y1197" i="4"/>
  <c r="Z1197" i="4"/>
  <c r="AA1197" i="4"/>
  <c r="AB1197" i="4"/>
  <c r="AC1197" i="4"/>
  <c r="AE1197" i="4"/>
  <c r="AG1197" i="4"/>
  <c r="AJ1197" i="4"/>
  <c r="AK1197" i="4"/>
  <c r="AM1197" i="4"/>
  <c r="P1198" i="4"/>
  <c r="Q1198" i="4"/>
  <c r="AL1198" i="4" s="1"/>
  <c r="R1198" i="4"/>
  <c r="S1198" i="4"/>
  <c r="AN1198" i="4" s="1"/>
  <c r="U1198" i="4"/>
  <c r="V1198" i="4"/>
  <c r="W1198" i="4"/>
  <c r="X1198" i="4"/>
  <c r="Y1198" i="4"/>
  <c r="Z1198" i="4"/>
  <c r="AA1198" i="4"/>
  <c r="AB1198" i="4"/>
  <c r="AC1198" i="4"/>
  <c r="AF1198" i="4"/>
  <c r="AG1198" i="4"/>
  <c r="AJ1198" i="4"/>
  <c r="AM1198" i="4"/>
  <c r="P1199" i="4"/>
  <c r="AK1199" i="4" s="1"/>
  <c r="Q1199" i="4"/>
  <c r="R1199" i="4"/>
  <c r="AM1199" i="4" s="1"/>
  <c r="S1199" i="4"/>
  <c r="U1199" i="4"/>
  <c r="V1199" i="4"/>
  <c r="W1199" i="4"/>
  <c r="X1199" i="4"/>
  <c r="Y1199" i="4"/>
  <c r="Z1199" i="4"/>
  <c r="AA1199" i="4"/>
  <c r="AB1199" i="4"/>
  <c r="AC1199" i="4"/>
  <c r="AF1199" i="4"/>
  <c r="AG1199" i="4"/>
  <c r="AJ1199" i="4"/>
  <c r="AL1199" i="4"/>
  <c r="AN1199" i="4"/>
  <c r="P1200" i="4"/>
  <c r="AK1200" i="4" s="1"/>
  <c r="Q1200" i="4"/>
  <c r="AL1200" i="4" s="1"/>
  <c r="R1200" i="4"/>
  <c r="AM1200" i="4" s="1"/>
  <c r="S1200" i="4"/>
  <c r="AN1200" i="4" s="1"/>
  <c r="U1200" i="4"/>
  <c r="V1200" i="4"/>
  <c r="W1200" i="4"/>
  <c r="X1200" i="4"/>
  <c r="Y1200" i="4"/>
  <c r="Z1200" i="4"/>
  <c r="AA1200" i="4"/>
  <c r="AB1200" i="4"/>
  <c r="AC1200" i="4"/>
  <c r="AE1200" i="4"/>
  <c r="AJ1200" i="4"/>
  <c r="P1201" i="4"/>
  <c r="AE1201" i="4" s="1"/>
  <c r="AH1201" i="4" s="1"/>
  <c r="AI1201" i="4" s="1"/>
  <c r="Q1201" i="4"/>
  <c r="AL1201" i="4" s="1"/>
  <c r="R1201" i="4"/>
  <c r="AM1201" i="4" s="1"/>
  <c r="S1201" i="4"/>
  <c r="U1201" i="4"/>
  <c r="V1201" i="4"/>
  <c r="W1201" i="4"/>
  <c r="X1201" i="4"/>
  <c r="Y1201" i="4"/>
  <c r="Z1201" i="4"/>
  <c r="AA1201" i="4"/>
  <c r="AB1201" i="4"/>
  <c r="AC1201" i="4"/>
  <c r="AF1201" i="4"/>
  <c r="AG1201" i="4"/>
  <c r="AJ1201" i="4"/>
  <c r="AN1201" i="4"/>
  <c r="P1202" i="4"/>
  <c r="AE1202" i="4" s="1"/>
  <c r="Q1202" i="4"/>
  <c r="AF1202" i="4" s="1"/>
  <c r="R1202" i="4"/>
  <c r="AM1202" i="4" s="1"/>
  <c r="S1202" i="4"/>
  <c r="AN1202" i="4" s="1"/>
  <c r="U1202" i="4"/>
  <c r="V1202" i="4"/>
  <c r="W1202" i="4"/>
  <c r="X1202" i="4"/>
  <c r="Y1202" i="4"/>
  <c r="Z1202" i="4"/>
  <c r="AA1202" i="4"/>
  <c r="AB1202" i="4"/>
  <c r="AC1202" i="4"/>
  <c r="AJ1202" i="4"/>
  <c r="P1203" i="4"/>
  <c r="Q1203" i="4"/>
  <c r="AF1203" i="4" s="1"/>
  <c r="R1203" i="4"/>
  <c r="AG1203" i="4" s="1"/>
  <c r="S1203" i="4"/>
  <c r="AN1203" i="4" s="1"/>
  <c r="U1203" i="4"/>
  <c r="V1203" i="4"/>
  <c r="W1203" i="4"/>
  <c r="X1203" i="4"/>
  <c r="Y1203" i="4"/>
  <c r="Z1203" i="4"/>
  <c r="AA1203" i="4"/>
  <c r="AB1203" i="4"/>
  <c r="AC1203" i="4"/>
  <c r="AJ1203" i="4"/>
  <c r="P1204" i="4"/>
  <c r="AE1204" i="4" s="1"/>
  <c r="AH1204" i="4" s="1"/>
  <c r="AI1204" i="4" s="1"/>
  <c r="Q1204" i="4"/>
  <c r="R1204" i="4"/>
  <c r="AG1204" i="4" s="1"/>
  <c r="S1204" i="4"/>
  <c r="U1204" i="4"/>
  <c r="V1204" i="4"/>
  <c r="W1204" i="4"/>
  <c r="X1204" i="4"/>
  <c r="Y1204" i="4"/>
  <c r="Z1204" i="4"/>
  <c r="AA1204" i="4"/>
  <c r="AB1204" i="4"/>
  <c r="AC1204" i="4"/>
  <c r="AF1204" i="4"/>
  <c r="AJ1204" i="4"/>
  <c r="AK1204" i="4"/>
  <c r="AL1204" i="4"/>
  <c r="AN1204" i="4"/>
  <c r="P1205" i="4"/>
  <c r="Q1205" i="4"/>
  <c r="AF1205" i="4" s="1"/>
  <c r="R1205" i="4"/>
  <c r="S1205" i="4"/>
  <c r="AN1205" i="4" s="1"/>
  <c r="U1205" i="4"/>
  <c r="V1205" i="4"/>
  <c r="W1205" i="4"/>
  <c r="X1205" i="4"/>
  <c r="Y1205" i="4"/>
  <c r="Z1205" i="4"/>
  <c r="AA1205" i="4"/>
  <c r="AB1205" i="4"/>
  <c r="AC1205" i="4"/>
  <c r="AE1205" i="4"/>
  <c r="AG1205" i="4"/>
  <c r="AJ1205" i="4"/>
  <c r="AK1205" i="4"/>
  <c r="AM1205" i="4"/>
  <c r="P1206" i="4"/>
  <c r="Q1206" i="4"/>
  <c r="AF1206" i="4" s="1"/>
  <c r="R1206" i="4"/>
  <c r="AG1206" i="4" s="1"/>
  <c r="S1206" i="4"/>
  <c r="AN1206" i="4" s="1"/>
  <c r="U1206" i="4"/>
  <c r="V1206" i="4"/>
  <c r="W1206" i="4"/>
  <c r="X1206" i="4"/>
  <c r="Y1206" i="4"/>
  <c r="Z1206" i="4"/>
  <c r="AA1206" i="4"/>
  <c r="AB1206" i="4"/>
  <c r="AC1206" i="4"/>
  <c r="AE1206" i="4"/>
  <c r="AJ1206" i="4"/>
  <c r="AK1206" i="4"/>
  <c r="AL1206" i="4"/>
  <c r="P1207" i="4"/>
  <c r="AE1207" i="4" s="1"/>
  <c r="Q1207" i="4"/>
  <c r="AL1207" i="4" s="1"/>
  <c r="R1207" i="4"/>
  <c r="S1207" i="4"/>
  <c r="AN1207" i="4" s="1"/>
  <c r="U1207" i="4"/>
  <c r="V1207" i="4"/>
  <c r="W1207" i="4"/>
  <c r="X1207" i="4"/>
  <c r="Y1207" i="4"/>
  <c r="Z1207" i="4"/>
  <c r="AA1207" i="4"/>
  <c r="AB1207" i="4"/>
  <c r="AC1207" i="4"/>
  <c r="AF1207" i="4"/>
  <c r="AJ1207" i="4"/>
  <c r="AK1207" i="4"/>
  <c r="P1208" i="4"/>
  <c r="AE1208" i="4" s="1"/>
  <c r="AH1208" i="4" s="1"/>
  <c r="AI1208" i="4" s="1"/>
  <c r="Q1208" i="4"/>
  <c r="AF1208" i="4" s="1"/>
  <c r="R1208" i="4"/>
  <c r="S1208" i="4"/>
  <c r="AN1208" i="4" s="1"/>
  <c r="U1208" i="4"/>
  <c r="V1208" i="4"/>
  <c r="W1208" i="4"/>
  <c r="X1208" i="4"/>
  <c r="Y1208" i="4"/>
  <c r="Z1208" i="4"/>
  <c r="AA1208" i="4"/>
  <c r="AB1208" i="4"/>
  <c r="AC1208" i="4"/>
  <c r="AG1208" i="4"/>
  <c r="AJ1208" i="4"/>
  <c r="AK1208" i="4"/>
  <c r="AL1208" i="4"/>
  <c r="AM1208" i="4"/>
  <c r="P1209" i="4"/>
  <c r="AK1209" i="4" s="1"/>
  <c r="Q1209" i="4"/>
  <c r="AF1209" i="4" s="1"/>
  <c r="R1209" i="4"/>
  <c r="AG1209" i="4" s="1"/>
  <c r="S1209" i="4"/>
  <c r="AN1209" i="4" s="1"/>
  <c r="U1209" i="4"/>
  <c r="V1209" i="4"/>
  <c r="W1209" i="4"/>
  <c r="X1209" i="4"/>
  <c r="Y1209" i="4"/>
  <c r="Z1209" i="4"/>
  <c r="AA1209" i="4"/>
  <c r="AB1209" i="4"/>
  <c r="AC1209" i="4"/>
  <c r="AE1209" i="4"/>
  <c r="AJ1209" i="4"/>
  <c r="AM1209" i="4"/>
  <c r="P1210" i="4"/>
  <c r="AE1210" i="4" s="1"/>
  <c r="Q1210" i="4"/>
  <c r="AL1210" i="4" s="1"/>
  <c r="R1210" i="4"/>
  <c r="AG1210" i="4" s="1"/>
  <c r="S1210" i="4"/>
  <c r="U1210" i="4"/>
  <c r="V1210" i="4"/>
  <c r="W1210" i="4"/>
  <c r="X1210" i="4"/>
  <c r="Y1210" i="4"/>
  <c r="Z1210" i="4"/>
  <c r="AA1210" i="4"/>
  <c r="AB1210" i="4"/>
  <c r="AC1210" i="4"/>
  <c r="AF1210" i="4"/>
  <c r="AJ1210" i="4"/>
  <c r="AM1210" i="4"/>
  <c r="AN1210" i="4"/>
  <c r="P1211" i="4"/>
  <c r="AE1211" i="4" s="1"/>
  <c r="Q1211" i="4"/>
  <c r="R1211" i="4"/>
  <c r="AM1211" i="4" s="1"/>
  <c r="S1211" i="4"/>
  <c r="U1211" i="4"/>
  <c r="V1211" i="4"/>
  <c r="W1211" i="4"/>
  <c r="X1211" i="4"/>
  <c r="Y1211" i="4"/>
  <c r="Z1211" i="4"/>
  <c r="AA1211" i="4"/>
  <c r="AB1211" i="4"/>
  <c r="AC1211" i="4"/>
  <c r="AF1211" i="4"/>
  <c r="AG1211" i="4"/>
  <c r="AJ1211" i="4"/>
  <c r="AL1211" i="4"/>
  <c r="AN1211" i="4"/>
  <c r="P1212" i="4"/>
  <c r="AE1212" i="4" s="1"/>
  <c r="Q1212" i="4"/>
  <c r="AF1212" i="4" s="1"/>
  <c r="R1212" i="4"/>
  <c r="AG1212" i="4" s="1"/>
  <c r="S1212" i="4"/>
  <c r="AN1212" i="4" s="1"/>
  <c r="U1212" i="4"/>
  <c r="V1212" i="4"/>
  <c r="W1212" i="4"/>
  <c r="X1212" i="4"/>
  <c r="Y1212" i="4"/>
  <c r="Z1212" i="4"/>
  <c r="AA1212" i="4"/>
  <c r="AB1212" i="4"/>
  <c r="AC1212" i="4"/>
  <c r="AJ1212" i="4"/>
  <c r="P1213" i="4"/>
  <c r="Q1213" i="4"/>
  <c r="AF1213" i="4" s="1"/>
  <c r="R1213" i="4"/>
  <c r="AG1213" i="4" s="1"/>
  <c r="S1213" i="4"/>
  <c r="U1213" i="4"/>
  <c r="V1213" i="4"/>
  <c r="W1213" i="4"/>
  <c r="X1213" i="4"/>
  <c r="Y1213" i="4"/>
  <c r="Z1213" i="4"/>
  <c r="AA1213" i="4"/>
  <c r="AB1213" i="4"/>
  <c r="AC1213" i="4"/>
  <c r="AJ1213" i="4"/>
  <c r="AN1213" i="4"/>
  <c r="P1214" i="4"/>
  <c r="Q1214" i="4"/>
  <c r="R1214" i="4"/>
  <c r="AG1214" i="4" s="1"/>
  <c r="S1214" i="4"/>
  <c r="AN1214" i="4" s="1"/>
  <c r="U1214" i="4"/>
  <c r="V1214" i="4"/>
  <c r="W1214" i="4"/>
  <c r="X1214" i="4"/>
  <c r="Y1214" i="4"/>
  <c r="Z1214" i="4"/>
  <c r="AA1214" i="4"/>
  <c r="AB1214" i="4"/>
  <c r="AC1214" i="4"/>
  <c r="AE1214" i="4"/>
  <c r="AJ1214" i="4"/>
  <c r="AK1214" i="4"/>
  <c r="P1215" i="4"/>
  <c r="AE1215" i="4" s="1"/>
  <c r="Q1215" i="4"/>
  <c r="AL1215" i="4" s="1"/>
  <c r="R1215" i="4"/>
  <c r="S1215" i="4"/>
  <c r="AN1215" i="4" s="1"/>
  <c r="U1215" i="4"/>
  <c r="V1215" i="4"/>
  <c r="W1215" i="4"/>
  <c r="X1215" i="4"/>
  <c r="Y1215" i="4"/>
  <c r="Z1215" i="4"/>
  <c r="AA1215" i="4"/>
  <c r="AB1215" i="4"/>
  <c r="AC1215" i="4"/>
  <c r="AF1215" i="4"/>
  <c r="AJ1215" i="4"/>
  <c r="AK1215" i="4"/>
  <c r="P1216" i="4"/>
  <c r="AE1216" i="4" s="1"/>
  <c r="Q1216" i="4"/>
  <c r="AF1216" i="4" s="1"/>
  <c r="R1216" i="4"/>
  <c r="S1216" i="4"/>
  <c r="AN1216" i="4" s="1"/>
  <c r="U1216" i="4"/>
  <c r="V1216" i="4"/>
  <c r="W1216" i="4"/>
  <c r="X1216" i="4"/>
  <c r="Y1216" i="4"/>
  <c r="Z1216" i="4"/>
  <c r="AA1216" i="4"/>
  <c r="AB1216" i="4"/>
  <c r="AC1216" i="4"/>
  <c r="AG1216" i="4"/>
  <c r="AJ1216" i="4"/>
  <c r="AK1216" i="4"/>
  <c r="AL1216" i="4"/>
  <c r="AM1216" i="4"/>
  <c r="P1217" i="4"/>
  <c r="AK1217" i="4" s="1"/>
  <c r="Q1217" i="4"/>
  <c r="AF1217" i="4" s="1"/>
  <c r="R1217" i="4"/>
  <c r="AG1217" i="4" s="1"/>
  <c r="S1217" i="4"/>
  <c r="AN1217" i="4" s="1"/>
  <c r="U1217" i="4"/>
  <c r="V1217" i="4"/>
  <c r="W1217" i="4"/>
  <c r="X1217" i="4"/>
  <c r="Y1217" i="4"/>
  <c r="Z1217" i="4"/>
  <c r="AA1217" i="4"/>
  <c r="AB1217" i="4"/>
  <c r="AC1217" i="4"/>
  <c r="AE1217" i="4"/>
  <c r="AJ1217" i="4"/>
  <c r="AM1217" i="4"/>
  <c r="P1218" i="4"/>
  <c r="AE1218" i="4" s="1"/>
  <c r="Q1218" i="4"/>
  <c r="AL1218" i="4" s="1"/>
  <c r="R1218" i="4"/>
  <c r="AG1218" i="4" s="1"/>
  <c r="S1218" i="4"/>
  <c r="U1218" i="4"/>
  <c r="V1218" i="4"/>
  <c r="W1218" i="4"/>
  <c r="X1218" i="4"/>
  <c r="Y1218" i="4"/>
  <c r="Z1218" i="4"/>
  <c r="AA1218" i="4"/>
  <c r="AB1218" i="4"/>
  <c r="AC1218" i="4"/>
  <c r="AF1218" i="4"/>
  <c r="AJ1218" i="4"/>
  <c r="AM1218" i="4"/>
  <c r="AN1218" i="4"/>
  <c r="P1219" i="4"/>
  <c r="AE1219" i="4" s="1"/>
  <c r="Q1219" i="4"/>
  <c r="R1219" i="4"/>
  <c r="AM1219" i="4" s="1"/>
  <c r="S1219" i="4"/>
  <c r="U1219" i="4"/>
  <c r="V1219" i="4"/>
  <c r="W1219" i="4"/>
  <c r="X1219" i="4"/>
  <c r="Y1219" i="4"/>
  <c r="Z1219" i="4"/>
  <c r="AA1219" i="4"/>
  <c r="AB1219" i="4"/>
  <c r="AC1219" i="4"/>
  <c r="AF1219" i="4"/>
  <c r="AG1219" i="4"/>
  <c r="AJ1219" i="4"/>
  <c r="AL1219" i="4"/>
  <c r="AN1219" i="4"/>
  <c r="P1220" i="4"/>
  <c r="AE1220" i="4" s="1"/>
  <c r="Q1220" i="4"/>
  <c r="AF1220" i="4" s="1"/>
  <c r="R1220" i="4"/>
  <c r="AG1220" i="4" s="1"/>
  <c r="S1220" i="4"/>
  <c r="AN1220" i="4" s="1"/>
  <c r="U1220" i="4"/>
  <c r="V1220" i="4"/>
  <c r="W1220" i="4"/>
  <c r="X1220" i="4"/>
  <c r="Y1220" i="4"/>
  <c r="Z1220" i="4"/>
  <c r="AA1220" i="4"/>
  <c r="AB1220" i="4"/>
  <c r="AC1220" i="4"/>
  <c r="AJ1220" i="4"/>
  <c r="P1221" i="4"/>
  <c r="Q1221" i="4"/>
  <c r="AF1221" i="4" s="1"/>
  <c r="R1221" i="4"/>
  <c r="AG1221" i="4" s="1"/>
  <c r="S1221" i="4"/>
  <c r="U1221" i="4"/>
  <c r="V1221" i="4"/>
  <c r="W1221" i="4"/>
  <c r="X1221" i="4"/>
  <c r="Y1221" i="4"/>
  <c r="Z1221" i="4"/>
  <c r="AA1221" i="4"/>
  <c r="AB1221" i="4"/>
  <c r="AC1221" i="4"/>
  <c r="AJ1221" i="4"/>
  <c r="AN1221" i="4"/>
  <c r="P1222" i="4"/>
  <c r="Q1222" i="4"/>
  <c r="R1222" i="4"/>
  <c r="AG1222" i="4" s="1"/>
  <c r="S1222" i="4"/>
  <c r="AN1222" i="4" s="1"/>
  <c r="U1222" i="4"/>
  <c r="V1222" i="4"/>
  <c r="W1222" i="4"/>
  <c r="X1222" i="4"/>
  <c r="Y1222" i="4"/>
  <c r="Z1222" i="4"/>
  <c r="AA1222" i="4"/>
  <c r="AB1222" i="4"/>
  <c r="AC1222" i="4"/>
  <c r="AE1222" i="4"/>
  <c r="AJ1222" i="4"/>
  <c r="AK1222" i="4"/>
  <c r="P1223" i="4"/>
  <c r="AE1223" i="4" s="1"/>
  <c r="Q1223" i="4"/>
  <c r="AL1223" i="4" s="1"/>
  <c r="R1223" i="4"/>
  <c r="S1223" i="4"/>
  <c r="AN1223" i="4" s="1"/>
  <c r="U1223" i="4"/>
  <c r="V1223" i="4"/>
  <c r="W1223" i="4"/>
  <c r="X1223" i="4"/>
  <c r="Y1223" i="4"/>
  <c r="Z1223" i="4"/>
  <c r="AA1223" i="4"/>
  <c r="AB1223" i="4"/>
  <c r="AC1223" i="4"/>
  <c r="AF1223" i="4"/>
  <c r="AJ1223" i="4"/>
  <c r="AK1223" i="4"/>
  <c r="P1224" i="4"/>
  <c r="AE1224" i="4" s="1"/>
  <c r="Q1224" i="4"/>
  <c r="AF1224" i="4" s="1"/>
  <c r="R1224" i="4"/>
  <c r="S1224" i="4"/>
  <c r="AN1224" i="4" s="1"/>
  <c r="U1224" i="4"/>
  <c r="V1224" i="4"/>
  <c r="W1224" i="4"/>
  <c r="X1224" i="4"/>
  <c r="Y1224" i="4"/>
  <c r="Z1224" i="4"/>
  <c r="AA1224" i="4"/>
  <c r="AB1224" i="4"/>
  <c r="AC1224" i="4"/>
  <c r="AG1224" i="4"/>
  <c r="AJ1224" i="4"/>
  <c r="AK1224" i="4"/>
  <c r="AL1224" i="4"/>
  <c r="AM1224" i="4"/>
  <c r="P1225" i="4"/>
  <c r="AK1225" i="4" s="1"/>
  <c r="Q1225" i="4"/>
  <c r="AF1225" i="4" s="1"/>
  <c r="R1225" i="4"/>
  <c r="AG1225" i="4" s="1"/>
  <c r="S1225" i="4"/>
  <c r="AN1225" i="4" s="1"/>
  <c r="U1225" i="4"/>
  <c r="V1225" i="4"/>
  <c r="W1225" i="4"/>
  <c r="X1225" i="4"/>
  <c r="Y1225" i="4"/>
  <c r="Z1225" i="4"/>
  <c r="AA1225" i="4"/>
  <c r="AB1225" i="4"/>
  <c r="AC1225" i="4"/>
  <c r="AE1225" i="4"/>
  <c r="AJ1225" i="4"/>
  <c r="AM1225" i="4"/>
  <c r="P1226" i="4"/>
  <c r="AE1226" i="4" s="1"/>
  <c r="Q1226" i="4"/>
  <c r="AL1226" i="4" s="1"/>
  <c r="R1226" i="4"/>
  <c r="AG1226" i="4" s="1"/>
  <c r="S1226" i="4"/>
  <c r="U1226" i="4"/>
  <c r="V1226" i="4"/>
  <c r="W1226" i="4"/>
  <c r="X1226" i="4"/>
  <c r="Y1226" i="4"/>
  <c r="Z1226" i="4"/>
  <c r="AA1226" i="4"/>
  <c r="AB1226" i="4"/>
  <c r="AC1226" i="4"/>
  <c r="AF1226" i="4"/>
  <c r="AJ1226" i="4"/>
  <c r="AM1226" i="4"/>
  <c r="AN1226" i="4"/>
  <c r="P1227" i="4"/>
  <c r="AE1227" i="4" s="1"/>
  <c r="Q1227" i="4"/>
  <c r="R1227" i="4"/>
  <c r="AM1227" i="4" s="1"/>
  <c r="S1227" i="4"/>
  <c r="U1227" i="4"/>
  <c r="V1227" i="4"/>
  <c r="W1227" i="4"/>
  <c r="X1227" i="4"/>
  <c r="Y1227" i="4"/>
  <c r="Z1227" i="4"/>
  <c r="AA1227" i="4"/>
  <c r="AB1227" i="4"/>
  <c r="AC1227" i="4"/>
  <c r="AF1227" i="4"/>
  <c r="AG1227" i="4"/>
  <c r="AJ1227" i="4"/>
  <c r="AL1227" i="4"/>
  <c r="AN1227" i="4"/>
  <c r="P1228" i="4"/>
  <c r="AE1228" i="4" s="1"/>
  <c r="Q1228" i="4"/>
  <c r="AF1228" i="4" s="1"/>
  <c r="R1228" i="4"/>
  <c r="AG1228" i="4" s="1"/>
  <c r="S1228" i="4"/>
  <c r="AN1228" i="4" s="1"/>
  <c r="U1228" i="4"/>
  <c r="V1228" i="4"/>
  <c r="W1228" i="4"/>
  <c r="X1228" i="4"/>
  <c r="Y1228" i="4"/>
  <c r="Z1228" i="4"/>
  <c r="AA1228" i="4"/>
  <c r="AB1228" i="4"/>
  <c r="AC1228" i="4"/>
  <c r="AJ1228" i="4"/>
  <c r="P1229" i="4"/>
  <c r="Q1229" i="4"/>
  <c r="AF1229" i="4" s="1"/>
  <c r="R1229" i="4"/>
  <c r="AG1229" i="4" s="1"/>
  <c r="S1229" i="4"/>
  <c r="U1229" i="4"/>
  <c r="V1229" i="4"/>
  <c r="W1229" i="4"/>
  <c r="X1229" i="4"/>
  <c r="Y1229" i="4"/>
  <c r="Z1229" i="4"/>
  <c r="AA1229" i="4"/>
  <c r="AB1229" i="4"/>
  <c r="AC1229" i="4"/>
  <c r="AJ1229" i="4"/>
  <c r="AN1229" i="4"/>
  <c r="P1230" i="4"/>
  <c r="Q1230" i="4"/>
  <c r="R1230" i="4"/>
  <c r="AG1230" i="4" s="1"/>
  <c r="S1230" i="4"/>
  <c r="AN1230" i="4" s="1"/>
  <c r="U1230" i="4"/>
  <c r="V1230" i="4"/>
  <c r="W1230" i="4"/>
  <c r="X1230" i="4"/>
  <c r="Y1230" i="4"/>
  <c r="Z1230" i="4"/>
  <c r="AA1230" i="4"/>
  <c r="AB1230" i="4"/>
  <c r="AC1230" i="4"/>
  <c r="AE1230" i="4"/>
  <c r="AJ1230" i="4"/>
  <c r="AK1230" i="4"/>
  <c r="P1231" i="4"/>
  <c r="AE1231" i="4" s="1"/>
  <c r="Q1231" i="4"/>
  <c r="AL1231" i="4" s="1"/>
  <c r="R1231" i="4"/>
  <c r="S1231" i="4"/>
  <c r="AN1231" i="4" s="1"/>
  <c r="U1231" i="4"/>
  <c r="V1231" i="4"/>
  <c r="W1231" i="4"/>
  <c r="X1231" i="4"/>
  <c r="Y1231" i="4"/>
  <c r="Z1231" i="4"/>
  <c r="AA1231" i="4"/>
  <c r="AB1231" i="4"/>
  <c r="AC1231" i="4"/>
  <c r="AF1231" i="4"/>
  <c r="AJ1231" i="4"/>
  <c r="AK1231" i="4"/>
  <c r="P1232" i="4"/>
  <c r="AE1232" i="4" s="1"/>
  <c r="AH1232" i="4" s="1"/>
  <c r="AI1232" i="4" s="1"/>
  <c r="Q1232" i="4"/>
  <c r="AF1232" i="4" s="1"/>
  <c r="R1232" i="4"/>
  <c r="S1232" i="4"/>
  <c r="AN1232" i="4" s="1"/>
  <c r="U1232" i="4"/>
  <c r="V1232" i="4"/>
  <c r="W1232" i="4"/>
  <c r="X1232" i="4"/>
  <c r="Y1232" i="4"/>
  <c r="Z1232" i="4"/>
  <c r="AA1232" i="4"/>
  <c r="AB1232" i="4"/>
  <c r="AC1232" i="4"/>
  <c r="AG1232" i="4"/>
  <c r="AJ1232" i="4"/>
  <c r="AK1232" i="4"/>
  <c r="AL1232" i="4"/>
  <c r="AM1232" i="4"/>
  <c r="P1233" i="4"/>
  <c r="AK1233" i="4" s="1"/>
  <c r="Q1233" i="4"/>
  <c r="AF1233" i="4" s="1"/>
  <c r="R1233" i="4"/>
  <c r="AG1233" i="4" s="1"/>
  <c r="S1233" i="4"/>
  <c r="AN1233" i="4" s="1"/>
  <c r="U1233" i="4"/>
  <c r="V1233" i="4"/>
  <c r="W1233" i="4"/>
  <c r="X1233" i="4"/>
  <c r="Y1233" i="4"/>
  <c r="Z1233" i="4"/>
  <c r="AA1233" i="4"/>
  <c r="AB1233" i="4"/>
  <c r="AC1233" i="4"/>
  <c r="AE1233" i="4"/>
  <c r="AJ1233" i="4"/>
  <c r="AM1233" i="4"/>
  <c r="P1234" i="4"/>
  <c r="AE1234" i="4" s="1"/>
  <c r="Q1234" i="4"/>
  <c r="AL1234" i="4" s="1"/>
  <c r="R1234" i="4"/>
  <c r="AG1234" i="4" s="1"/>
  <c r="S1234" i="4"/>
  <c r="U1234" i="4"/>
  <c r="V1234" i="4"/>
  <c r="W1234" i="4"/>
  <c r="X1234" i="4"/>
  <c r="Y1234" i="4"/>
  <c r="Z1234" i="4"/>
  <c r="AA1234" i="4"/>
  <c r="AB1234" i="4"/>
  <c r="AC1234" i="4"/>
  <c r="AF1234" i="4"/>
  <c r="AJ1234" i="4"/>
  <c r="AM1234" i="4"/>
  <c r="AN1234" i="4"/>
  <c r="P1235" i="4"/>
  <c r="AE1235" i="4" s="1"/>
  <c r="Q1235" i="4"/>
  <c r="R1235" i="4"/>
  <c r="AM1235" i="4" s="1"/>
  <c r="S1235" i="4"/>
  <c r="U1235" i="4"/>
  <c r="V1235" i="4"/>
  <c r="W1235" i="4"/>
  <c r="X1235" i="4"/>
  <c r="Y1235" i="4"/>
  <c r="Z1235" i="4"/>
  <c r="AA1235" i="4"/>
  <c r="AB1235" i="4"/>
  <c r="AC1235" i="4"/>
  <c r="AF1235" i="4"/>
  <c r="AG1235" i="4"/>
  <c r="AJ1235" i="4"/>
  <c r="AL1235" i="4"/>
  <c r="AN1235" i="4"/>
  <c r="P1236" i="4"/>
  <c r="AE1236" i="4" s="1"/>
  <c r="Q1236" i="4"/>
  <c r="AF1236" i="4" s="1"/>
  <c r="R1236" i="4"/>
  <c r="AG1236" i="4" s="1"/>
  <c r="S1236" i="4"/>
  <c r="AN1236" i="4" s="1"/>
  <c r="U1236" i="4"/>
  <c r="V1236" i="4"/>
  <c r="W1236" i="4"/>
  <c r="X1236" i="4"/>
  <c r="Y1236" i="4"/>
  <c r="Z1236" i="4"/>
  <c r="AA1236" i="4"/>
  <c r="AB1236" i="4"/>
  <c r="AC1236" i="4"/>
  <c r="AJ1236" i="4"/>
  <c r="P1237" i="4"/>
  <c r="Q1237" i="4"/>
  <c r="AF1237" i="4" s="1"/>
  <c r="R1237" i="4"/>
  <c r="AG1237" i="4" s="1"/>
  <c r="S1237" i="4"/>
  <c r="U1237" i="4"/>
  <c r="V1237" i="4"/>
  <c r="W1237" i="4"/>
  <c r="X1237" i="4"/>
  <c r="Y1237" i="4"/>
  <c r="Z1237" i="4"/>
  <c r="AA1237" i="4"/>
  <c r="AB1237" i="4"/>
  <c r="AC1237" i="4"/>
  <c r="AJ1237" i="4"/>
  <c r="AN1237" i="4"/>
  <c r="P1238" i="4"/>
  <c r="Q1238" i="4"/>
  <c r="R1238" i="4"/>
  <c r="AG1238" i="4" s="1"/>
  <c r="S1238" i="4"/>
  <c r="AN1238" i="4" s="1"/>
  <c r="U1238" i="4"/>
  <c r="V1238" i="4"/>
  <c r="W1238" i="4"/>
  <c r="X1238" i="4"/>
  <c r="Y1238" i="4"/>
  <c r="Z1238" i="4"/>
  <c r="AA1238" i="4"/>
  <c r="AB1238" i="4"/>
  <c r="AC1238" i="4"/>
  <c r="AE1238" i="4"/>
  <c r="AJ1238" i="4"/>
  <c r="AK1238" i="4"/>
  <c r="P1239" i="4"/>
  <c r="AE1239" i="4" s="1"/>
  <c r="Q1239" i="4"/>
  <c r="AL1239" i="4" s="1"/>
  <c r="R1239" i="4"/>
  <c r="S1239" i="4"/>
  <c r="AN1239" i="4" s="1"/>
  <c r="U1239" i="4"/>
  <c r="V1239" i="4"/>
  <c r="W1239" i="4"/>
  <c r="X1239" i="4"/>
  <c r="Y1239" i="4"/>
  <c r="Z1239" i="4"/>
  <c r="AA1239" i="4"/>
  <c r="AB1239" i="4"/>
  <c r="AC1239" i="4"/>
  <c r="AF1239" i="4"/>
  <c r="AJ1239" i="4"/>
  <c r="AK1239" i="4"/>
  <c r="P1240" i="4"/>
  <c r="AE1240" i="4" s="1"/>
  <c r="AH1240" i="4" s="1"/>
  <c r="AI1240" i="4" s="1"/>
  <c r="Q1240" i="4"/>
  <c r="AF1240" i="4" s="1"/>
  <c r="R1240" i="4"/>
  <c r="S1240" i="4"/>
  <c r="AN1240" i="4" s="1"/>
  <c r="U1240" i="4"/>
  <c r="V1240" i="4"/>
  <c r="W1240" i="4"/>
  <c r="X1240" i="4"/>
  <c r="Y1240" i="4"/>
  <c r="Z1240" i="4"/>
  <c r="AA1240" i="4"/>
  <c r="AB1240" i="4"/>
  <c r="AC1240" i="4"/>
  <c r="AG1240" i="4"/>
  <c r="AJ1240" i="4"/>
  <c r="AK1240" i="4"/>
  <c r="AL1240" i="4"/>
  <c r="AM1240" i="4"/>
  <c r="P1241" i="4"/>
  <c r="AK1241" i="4" s="1"/>
  <c r="Q1241" i="4"/>
  <c r="AF1241" i="4" s="1"/>
  <c r="R1241" i="4"/>
  <c r="AG1241" i="4" s="1"/>
  <c r="S1241" i="4"/>
  <c r="AN1241" i="4" s="1"/>
  <c r="U1241" i="4"/>
  <c r="V1241" i="4"/>
  <c r="W1241" i="4"/>
  <c r="X1241" i="4"/>
  <c r="Y1241" i="4"/>
  <c r="Z1241" i="4"/>
  <c r="AA1241" i="4"/>
  <c r="AB1241" i="4"/>
  <c r="AC1241" i="4"/>
  <c r="AE1241" i="4"/>
  <c r="AJ1241" i="4"/>
  <c r="AM1241" i="4"/>
  <c r="P1242" i="4"/>
  <c r="AE1242" i="4" s="1"/>
  <c r="Q1242" i="4"/>
  <c r="AL1242" i="4" s="1"/>
  <c r="R1242" i="4"/>
  <c r="AG1242" i="4" s="1"/>
  <c r="S1242" i="4"/>
  <c r="U1242" i="4"/>
  <c r="V1242" i="4"/>
  <c r="W1242" i="4"/>
  <c r="X1242" i="4"/>
  <c r="Y1242" i="4"/>
  <c r="Z1242" i="4"/>
  <c r="AA1242" i="4"/>
  <c r="AB1242" i="4"/>
  <c r="AC1242" i="4"/>
  <c r="AF1242" i="4"/>
  <c r="AJ1242" i="4"/>
  <c r="AM1242" i="4"/>
  <c r="AN1242" i="4"/>
  <c r="P1243" i="4"/>
  <c r="AE1243" i="4" s="1"/>
  <c r="Q1243" i="4"/>
  <c r="R1243" i="4"/>
  <c r="AM1243" i="4" s="1"/>
  <c r="S1243" i="4"/>
  <c r="U1243" i="4"/>
  <c r="V1243" i="4"/>
  <c r="W1243" i="4"/>
  <c r="X1243" i="4"/>
  <c r="Y1243" i="4"/>
  <c r="Z1243" i="4"/>
  <c r="AA1243" i="4"/>
  <c r="AB1243" i="4"/>
  <c r="AC1243" i="4"/>
  <c r="AF1243" i="4"/>
  <c r="AG1243" i="4"/>
  <c r="AJ1243" i="4"/>
  <c r="AL1243" i="4"/>
  <c r="AN1243" i="4"/>
  <c r="P1244" i="4"/>
  <c r="AE1244" i="4" s="1"/>
  <c r="Q1244" i="4"/>
  <c r="AF1244" i="4" s="1"/>
  <c r="R1244" i="4"/>
  <c r="AG1244" i="4" s="1"/>
  <c r="S1244" i="4"/>
  <c r="AN1244" i="4" s="1"/>
  <c r="U1244" i="4"/>
  <c r="V1244" i="4"/>
  <c r="W1244" i="4"/>
  <c r="X1244" i="4"/>
  <c r="Y1244" i="4"/>
  <c r="Z1244" i="4"/>
  <c r="AA1244" i="4"/>
  <c r="AB1244" i="4"/>
  <c r="AC1244" i="4"/>
  <c r="AJ1244" i="4"/>
  <c r="P1245" i="4"/>
  <c r="Q1245" i="4"/>
  <c r="AF1245" i="4" s="1"/>
  <c r="R1245" i="4"/>
  <c r="AG1245" i="4" s="1"/>
  <c r="S1245" i="4"/>
  <c r="U1245" i="4"/>
  <c r="V1245" i="4"/>
  <c r="W1245" i="4"/>
  <c r="X1245" i="4"/>
  <c r="Y1245" i="4"/>
  <c r="Z1245" i="4"/>
  <c r="AA1245" i="4"/>
  <c r="AB1245" i="4"/>
  <c r="AC1245" i="4"/>
  <c r="AJ1245" i="4"/>
  <c r="AN1245" i="4"/>
  <c r="P1246" i="4"/>
  <c r="Q1246" i="4"/>
  <c r="R1246" i="4"/>
  <c r="AG1246" i="4" s="1"/>
  <c r="S1246" i="4"/>
  <c r="AN1246" i="4" s="1"/>
  <c r="U1246" i="4"/>
  <c r="V1246" i="4"/>
  <c r="W1246" i="4"/>
  <c r="X1246" i="4"/>
  <c r="Y1246" i="4"/>
  <c r="Z1246" i="4"/>
  <c r="AA1246" i="4"/>
  <c r="AB1246" i="4"/>
  <c r="AC1246" i="4"/>
  <c r="AE1246" i="4"/>
  <c r="AJ1246" i="4"/>
  <c r="AK1246" i="4"/>
  <c r="P1247" i="4"/>
  <c r="AE1247" i="4" s="1"/>
  <c r="Q1247" i="4"/>
  <c r="AL1247" i="4" s="1"/>
  <c r="R1247" i="4"/>
  <c r="S1247" i="4"/>
  <c r="AN1247" i="4" s="1"/>
  <c r="U1247" i="4"/>
  <c r="V1247" i="4"/>
  <c r="W1247" i="4"/>
  <c r="X1247" i="4"/>
  <c r="Y1247" i="4"/>
  <c r="Z1247" i="4"/>
  <c r="AA1247" i="4"/>
  <c r="AB1247" i="4"/>
  <c r="AC1247" i="4"/>
  <c r="AF1247" i="4"/>
  <c r="AJ1247" i="4"/>
  <c r="AK1247" i="4"/>
  <c r="P1248" i="4"/>
  <c r="AE1248" i="4" s="1"/>
  <c r="Q1248" i="4"/>
  <c r="AF1248" i="4" s="1"/>
  <c r="R1248" i="4"/>
  <c r="S1248" i="4"/>
  <c r="AN1248" i="4" s="1"/>
  <c r="U1248" i="4"/>
  <c r="V1248" i="4"/>
  <c r="W1248" i="4"/>
  <c r="X1248" i="4"/>
  <c r="Y1248" i="4"/>
  <c r="Z1248" i="4"/>
  <c r="AA1248" i="4"/>
  <c r="AB1248" i="4"/>
  <c r="AC1248" i="4"/>
  <c r="AG1248" i="4"/>
  <c r="AJ1248" i="4"/>
  <c r="AK1248" i="4"/>
  <c r="AL1248" i="4"/>
  <c r="AM1248" i="4"/>
  <c r="P1249" i="4"/>
  <c r="AK1249" i="4" s="1"/>
  <c r="Q1249" i="4"/>
  <c r="AF1249" i="4" s="1"/>
  <c r="R1249" i="4"/>
  <c r="AG1249" i="4" s="1"/>
  <c r="S1249" i="4"/>
  <c r="AN1249" i="4" s="1"/>
  <c r="U1249" i="4"/>
  <c r="V1249" i="4"/>
  <c r="W1249" i="4"/>
  <c r="X1249" i="4"/>
  <c r="Y1249" i="4"/>
  <c r="Z1249" i="4"/>
  <c r="AA1249" i="4"/>
  <c r="AB1249" i="4"/>
  <c r="AC1249" i="4"/>
  <c r="AE1249" i="4"/>
  <c r="AJ1249" i="4"/>
  <c r="AM1249" i="4"/>
  <c r="P1250" i="4"/>
  <c r="AE1250" i="4" s="1"/>
  <c r="Q1250" i="4"/>
  <c r="AL1250" i="4" s="1"/>
  <c r="R1250" i="4"/>
  <c r="AG1250" i="4" s="1"/>
  <c r="S1250" i="4"/>
  <c r="U1250" i="4"/>
  <c r="V1250" i="4"/>
  <c r="W1250" i="4"/>
  <c r="X1250" i="4"/>
  <c r="Y1250" i="4"/>
  <c r="Z1250" i="4"/>
  <c r="AA1250" i="4"/>
  <c r="AB1250" i="4"/>
  <c r="AC1250" i="4"/>
  <c r="AF1250" i="4"/>
  <c r="AJ1250" i="4"/>
  <c r="AM1250" i="4"/>
  <c r="AN1250" i="4"/>
  <c r="P1251" i="4"/>
  <c r="AE1251" i="4" s="1"/>
  <c r="Q1251" i="4"/>
  <c r="R1251" i="4"/>
  <c r="AM1251" i="4" s="1"/>
  <c r="S1251" i="4"/>
  <c r="U1251" i="4"/>
  <c r="V1251" i="4"/>
  <c r="W1251" i="4"/>
  <c r="X1251" i="4"/>
  <c r="Y1251" i="4"/>
  <c r="Z1251" i="4"/>
  <c r="AA1251" i="4"/>
  <c r="AB1251" i="4"/>
  <c r="AC1251" i="4"/>
  <c r="AF1251" i="4"/>
  <c r="AG1251" i="4"/>
  <c r="AJ1251" i="4"/>
  <c r="AL1251" i="4"/>
  <c r="AN1251" i="4"/>
  <c r="P1252" i="4"/>
  <c r="AE1252" i="4" s="1"/>
  <c r="Q1252" i="4"/>
  <c r="AF1252" i="4" s="1"/>
  <c r="R1252" i="4"/>
  <c r="AG1252" i="4" s="1"/>
  <c r="S1252" i="4"/>
  <c r="AN1252" i="4" s="1"/>
  <c r="U1252" i="4"/>
  <c r="V1252" i="4"/>
  <c r="W1252" i="4"/>
  <c r="X1252" i="4"/>
  <c r="Y1252" i="4"/>
  <c r="Z1252" i="4"/>
  <c r="AA1252" i="4"/>
  <c r="AB1252" i="4"/>
  <c r="AC1252" i="4"/>
  <c r="AJ1252" i="4"/>
  <c r="P1253" i="4"/>
  <c r="Q1253" i="4"/>
  <c r="AF1253" i="4" s="1"/>
  <c r="R1253" i="4"/>
  <c r="AG1253" i="4" s="1"/>
  <c r="S1253" i="4"/>
  <c r="U1253" i="4"/>
  <c r="V1253" i="4"/>
  <c r="W1253" i="4"/>
  <c r="X1253" i="4"/>
  <c r="Y1253" i="4"/>
  <c r="Z1253" i="4"/>
  <c r="AA1253" i="4"/>
  <c r="AB1253" i="4"/>
  <c r="AC1253" i="4"/>
  <c r="AJ1253" i="4"/>
  <c r="AN1253" i="4"/>
  <c r="P1254" i="4"/>
  <c r="Q1254" i="4"/>
  <c r="R1254" i="4"/>
  <c r="AG1254" i="4" s="1"/>
  <c r="S1254" i="4"/>
  <c r="AN1254" i="4" s="1"/>
  <c r="U1254" i="4"/>
  <c r="V1254" i="4"/>
  <c r="W1254" i="4"/>
  <c r="X1254" i="4"/>
  <c r="Y1254" i="4"/>
  <c r="Z1254" i="4"/>
  <c r="AA1254" i="4"/>
  <c r="AB1254" i="4"/>
  <c r="AC1254" i="4"/>
  <c r="AE1254" i="4"/>
  <c r="AJ1254" i="4"/>
  <c r="AK1254" i="4"/>
  <c r="P1255" i="4"/>
  <c r="AE1255" i="4" s="1"/>
  <c r="Q1255" i="4"/>
  <c r="AL1255" i="4" s="1"/>
  <c r="R1255" i="4"/>
  <c r="S1255" i="4"/>
  <c r="AN1255" i="4" s="1"/>
  <c r="U1255" i="4"/>
  <c r="V1255" i="4"/>
  <c r="W1255" i="4"/>
  <c r="X1255" i="4"/>
  <c r="Y1255" i="4"/>
  <c r="Z1255" i="4"/>
  <c r="AA1255" i="4"/>
  <c r="AB1255" i="4"/>
  <c r="AC1255" i="4"/>
  <c r="AF1255" i="4"/>
  <c r="AJ1255" i="4"/>
  <c r="AK1255" i="4"/>
  <c r="P1256" i="4"/>
  <c r="AE1256" i="4" s="1"/>
  <c r="Q1256" i="4"/>
  <c r="AF1256" i="4" s="1"/>
  <c r="R1256" i="4"/>
  <c r="S1256" i="4"/>
  <c r="AN1256" i="4" s="1"/>
  <c r="U1256" i="4"/>
  <c r="V1256" i="4"/>
  <c r="W1256" i="4"/>
  <c r="X1256" i="4"/>
  <c r="Y1256" i="4"/>
  <c r="Z1256" i="4"/>
  <c r="AA1256" i="4"/>
  <c r="AB1256" i="4"/>
  <c r="AC1256" i="4"/>
  <c r="AG1256" i="4"/>
  <c r="AJ1256" i="4"/>
  <c r="AK1256" i="4"/>
  <c r="AL1256" i="4"/>
  <c r="AM1256" i="4"/>
  <c r="P1257" i="4"/>
  <c r="AK1257" i="4" s="1"/>
  <c r="Q1257" i="4"/>
  <c r="AF1257" i="4" s="1"/>
  <c r="R1257" i="4"/>
  <c r="AG1257" i="4" s="1"/>
  <c r="S1257" i="4"/>
  <c r="AN1257" i="4" s="1"/>
  <c r="U1257" i="4"/>
  <c r="V1257" i="4"/>
  <c r="W1257" i="4"/>
  <c r="X1257" i="4"/>
  <c r="Y1257" i="4"/>
  <c r="Z1257" i="4"/>
  <c r="AA1257" i="4"/>
  <c r="AB1257" i="4"/>
  <c r="AC1257" i="4"/>
  <c r="AE1257" i="4"/>
  <c r="AJ1257" i="4"/>
  <c r="AM1257" i="4"/>
  <c r="P1258" i="4"/>
  <c r="AE1258" i="4" s="1"/>
  <c r="Q1258" i="4"/>
  <c r="AL1258" i="4" s="1"/>
  <c r="R1258" i="4"/>
  <c r="AG1258" i="4" s="1"/>
  <c r="S1258" i="4"/>
  <c r="U1258" i="4"/>
  <c r="V1258" i="4"/>
  <c r="W1258" i="4"/>
  <c r="X1258" i="4"/>
  <c r="Y1258" i="4"/>
  <c r="Z1258" i="4"/>
  <c r="AA1258" i="4"/>
  <c r="AB1258" i="4"/>
  <c r="AC1258" i="4"/>
  <c r="AF1258" i="4"/>
  <c r="AJ1258" i="4"/>
  <c r="AM1258" i="4"/>
  <c r="AN1258" i="4"/>
  <c r="P1259" i="4"/>
  <c r="AE1259" i="4" s="1"/>
  <c r="Q1259" i="4"/>
  <c r="R1259" i="4"/>
  <c r="AM1259" i="4" s="1"/>
  <c r="S1259" i="4"/>
  <c r="U1259" i="4"/>
  <c r="V1259" i="4"/>
  <c r="W1259" i="4"/>
  <c r="X1259" i="4"/>
  <c r="Y1259" i="4"/>
  <c r="Z1259" i="4"/>
  <c r="AA1259" i="4"/>
  <c r="AB1259" i="4"/>
  <c r="AC1259" i="4"/>
  <c r="AF1259" i="4"/>
  <c r="AG1259" i="4"/>
  <c r="AJ1259" i="4"/>
  <c r="AL1259" i="4"/>
  <c r="AN1259" i="4"/>
  <c r="P1260" i="4"/>
  <c r="AE1260" i="4" s="1"/>
  <c r="Q1260" i="4"/>
  <c r="AF1260" i="4" s="1"/>
  <c r="R1260" i="4"/>
  <c r="AG1260" i="4" s="1"/>
  <c r="S1260" i="4"/>
  <c r="AN1260" i="4" s="1"/>
  <c r="U1260" i="4"/>
  <c r="V1260" i="4"/>
  <c r="W1260" i="4"/>
  <c r="X1260" i="4"/>
  <c r="Y1260" i="4"/>
  <c r="Z1260" i="4"/>
  <c r="AA1260" i="4"/>
  <c r="AB1260" i="4"/>
  <c r="AC1260" i="4"/>
  <c r="AJ1260" i="4"/>
  <c r="P1261" i="4"/>
  <c r="Q1261" i="4"/>
  <c r="AF1261" i="4" s="1"/>
  <c r="R1261" i="4"/>
  <c r="AG1261" i="4" s="1"/>
  <c r="S1261" i="4"/>
  <c r="U1261" i="4"/>
  <c r="V1261" i="4"/>
  <c r="W1261" i="4"/>
  <c r="X1261" i="4"/>
  <c r="Y1261" i="4"/>
  <c r="Z1261" i="4"/>
  <c r="AA1261" i="4"/>
  <c r="AB1261" i="4"/>
  <c r="AC1261" i="4"/>
  <c r="AJ1261" i="4"/>
  <c r="AN1261" i="4"/>
  <c r="P1262" i="4"/>
  <c r="Q1262" i="4"/>
  <c r="R1262" i="4"/>
  <c r="AG1262" i="4" s="1"/>
  <c r="S1262" i="4"/>
  <c r="AN1262" i="4" s="1"/>
  <c r="U1262" i="4"/>
  <c r="V1262" i="4"/>
  <c r="W1262" i="4"/>
  <c r="X1262" i="4"/>
  <c r="Y1262" i="4"/>
  <c r="Z1262" i="4"/>
  <c r="AA1262" i="4"/>
  <c r="AB1262" i="4"/>
  <c r="AC1262" i="4"/>
  <c r="AE1262" i="4"/>
  <c r="AJ1262" i="4"/>
  <c r="AK1262" i="4"/>
  <c r="P1263" i="4"/>
  <c r="AE1263" i="4" s="1"/>
  <c r="Q1263" i="4"/>
  <c r="AL1263" i="4" s="1"/>
  <c r="R1263" i="4"/>
  <c r="S1263" i="4"/>
  <c r="AN1263" i="4" s="1"/>
  <c r="U1263" i="4"/>
  <c r="V1263" i="4"/>
  <c r="W1263" i="4"/>
  <c r="X1263" i="4"/>
  <c r="Y1263" i="4"/>
  <c r="Z1263" i="4"/>
  <c r="AA1263" i="4"/>
  <c r="AB1263" i="4"/>
  <c r="AC1263" i="4"/>
  <c r="AF1263" i="4"/>
  <c r="AJ1263" i="4"/>
  <c r="AK1263" i="4"/>
  <c r="P1264" i="4"/>
  <c r="AE1264" i="4" s="1"/>
  <c r="Q1264" i="4"/>
  <c r="AF1264" i="4" s="1"/>
  <c r="R1264" i="4"/>
  <c r="S1264" i="4"/>
  <c r="AN1264" i="4" s="1"/>
  <c r="U1264" i="4"/>
  <c r="V1264" i="4"/>
  <c r="W1264" i="4"/>
  <c r="X1264" i="4"/>
  <c r="Y1264" i="4"/>
  <c r="Z1264" i="4"/>
  <c r="AA1264" i="4"/>
  <c r="AB1264" i="4"/>
  <c r="AC1264" i="4"/>
  <c r="AG1264" i="4"/>
  <c r="AJ1264" i="4"/>
  <c r="AK1264" i="4"/>
  <c r="AL1264" i="4"/>
  <c r="AM1264" i="4"/>
  <c r="P1265" i="4"/>
  <c r="AK1265" i="4" s="1"/>
  <c r="Q1265" i="4"/>
  <c r="AF1265" i="4" s="1"/>
  <c r="R1265" i="4"/>
  <c r="AG1265" i="4" s="1"/>
  <c r="S1265" i="4"/>
  <c r="AN1265" i="4" s="1"/>
  <c r="U1265" i="4"/>
  <c r="V1265" i="4"/>
  <c r="W1265" i="4"/>
  <c r="X1265" i="4"/>
  <c r="Y1265" i="4"/>
  <c r="Z1265" i="4"/>
  <c r="AA1265" i="4"/>
  <c r="AB1265" i="4"/>
  <c r="AC1265" i="4"/>
  <c r="AE1265" i="4"/>
  <c r="AJ1265" i="4"/>
  <c r="AM1265" i="4"/>
  <c r="P1266" i="4"/>
  <c r="AE1266" i="4" s="1"/>
  <c r="Q1266" i="4"/>
  <c r="AL1266" i="4" s="1"/>
  <c r="R1266" i="4"/>
  <c r="AG1266" i="4" s="1"/>
  <c r="S1266" i="4"/>
  <c r="U1266" i="4"/>
  <c r="V1266" i="4"/>
  <c r="W1266" i="4"/>
  <c r="X1266" i="4"/>
  <c r="Y1266" i="4"/>
  <c r="Z1266" i="4"/>
  <c r="AA1266" i="4"/>
  <c r="AB1266" i="4"/>
  <c r="AC1266" i="4"/>
  <c r="AF1266" i="4"/>
  <c r="AJ1266" i="4"/>
  <c r="AM1266" i="4"/>
  <c r="AN1266" i="4"/>
  <c r="P1267" i="4"/>
  <c r="AE1267" i="4" s="1"/>
  <c r="Q1267" i="4"/>
  <c r="R1267" i="4"/>
  <c r="AM1267" i="4" s="1"/>
  <c r="S1267" i="4"/>
  <c r="U1267" i="4"/>
  <c r="V1267" i="4"/>
  <c r="W1267" i="4"/>
  <c r="X1267" i="4"/>
  <c r="Y1267" i="4"/>
  <c r="Z1267" i="4"/>
  <c r="AA1267" i="4"/>
  <c r="AB1267" i="4"/>
  <c r="AC1267" i="4"/>
  <c r="AF1267" i="4"/>
  <c r="AG1267" i="4"/>
  <c r="AJ1267" i="4"/>
  <c r="AL1267" i="4"/>
  <c r="AN1267" i="4"/>
  <c r="P1268" i="4"/>
  <c r="AE1268" i="4" s="1"/>
  <c r="Q1268" i="4"/>
  <c r="AF1268" i="4" s="1"/>
  <c r="R1268" i="4"/>
  <c r="AG1268" i="4" s="1"/>
  <c r="S1268" i="4"/>
  <c r="AN1268" i="4" s="1"/>
  <c r="U1268" i="4"/>
  <c r="V1268" i="4"/>
  <c r="W1268" i="4"/>
  <c r="X1268" i="4"/>
  <c r="Y1268" i="4"/>
  <c r="Z1268" i="4"/>
  <c r="AA1268" i="4"/>
  <c r="AB1268" i="4"/>
  <c r="AC1268" i="4"/>
  <c r="AJ1268" i="4"/>
  <c r="P1269" i="4"/>
  <c r="Q1269" i="4"/>
  <c r="AF1269" i="4" s="1"/>
  <c r="R1269" i="4"/>
  <c r="AG1269" i="4" s="1"/>
  <c r="S1269" i="4"/>
  <c r="U1269" i="4"/>
  <c r="V1269" i="4"/>
  <c r="W1269" i="4"/>
  <c r="X1269" i="4"/>
  <c r="Y1269" i="4"/>
  <c r="Z1269" i="4"/>
  <c r="AA1269" i="4"/>
  <c r="AB1269" i="4"/>
  <c r="AC1269" i="4"/>
  <c r="AJ1269" i="4"/>
  <c r="AN1269" i="4"/>
  <c r="P1270" i="4"/>
  <c r="Q1270" i="4"/>
  <c r="R1270" i="4"/>
  <c r="AG1270" i="4" s="1"/>
  <c r="S1270" i="4"/>
  <c r="AN1270" i="4" s="1"/>
  <c r="U1270" i="4"/>
  <c r="V1270" i="4"/>
  <c r="W1270" i="4"/>
  <c r="X1270" i="4"/>
  <c r="Y1270" i="4"/>
  <c r="Z1270" i="4"/>
  <c r="AA1270" i="4"/>
  <c r="AB1270" i="4"/>
  <c r="AC1270" i="4"/>
  <c r="AE1270" i="4"/>
  <c r="AJ1270" i="4"/>
  <c r="AK1270" i="4"/>
  <c r="P1271" i="4"/>
  <c r="AE1271" i="4" s="1"/>
  <c r="Q1271" i="4"/>
  <c r="AL1271" i="4" s="1"/>
  <c r="R1271" i="4"/>
  <c r="S1271" i="4"/>
  <c r="AN1271" i="4" s="1"/>
  <c r="U1271" i="4"/>
  <c r="V1271" i="4"/>
  <c r="W1271" i="4"/>
  <c r="X1271" i="4"/>
  <c r="Y1271" i="4"/>
  <c r="Z1271" i="4"/>
  <c r="AA1271" i="4"/>
  <c r="AB1271" i="4"/>
  <c r="AC1271" i="4"/>
  <c r="AF1271" i="4"/>
  <c r="AJ1271" i="4"/>
  <c r="AK1271" i="4"/>
  <c r="P1272" i="4"/>
  <c r="AE1272" i="4" s="1"/>
  <c r="AH1272" i="4" s="1"/>
  <c r="AI1272" i="4" s="1"/>
  <c r="Q1272" i="4"/>
  <c r="AF1272" i="4" s="1"/>
  <c r="R1272" i="4"/>
  <c r="S1272" i="4"/>
  <c r="AN1272" i="4" s="1"/>
  <c r="U1272" i="4"/>
  <c r="V1272" i="4"/>
  <c r="W1272" i="4"/>
  <c r="X1272" i="4"/>
  <c r="Y1272" i="4"/>
  <c r="Z1272" i="4"/>
  <c r="AA1272" i="4"/>
  <c r="AB1272" i="4"/>
  <c r="AC1272" i="4"/>
  <c r="AG1272" i="4"/>
  <c r="AJ1272" i="4"/>
  <c r="AK1272" i="4"/>
  <c r="AL1272" i="4"/>
  <c r="AM1272" i="4"/>
  <c r="P1273" i="4"/>
  <c r="AK1273" i="4" s="1"/>
  <c r="Q1273" i="4"/>
  <c r="AF1273" i="4" s="1"/>
  <c r="R1273" i="4"/>
  <c r="AG1273" i="4" s="1"/>
  <c r="S1273" i="4"/>
  <c r="AN1273" i="4" s="1"/>
  <c r="U1273" i="4"/>
  <c r="V1273" i="4"/>
  <c r="W1273" i="4"/>
  <c r="X1273" i="4"/>
  <c r="Y1273" i="4"/>
  <c r="Z1273" i="4"/>
  <c r="AA1273" i="4"/>
  <c r="AB1273" i="4"/>
  <c r="AC1273" i="4"/>
  <c r="AE1273" i="4"/>
  <c r="AJ1273" i="4"/>
  <c r="AM1273" i="4"/>
  <c r="P1274" i="4"/>
  <c r="AE1274" i="4" s="1"/>
  <c r="Q1274" i="4"/>
  <c r="AL1274" i="4" s="1"/>
  <c r="R1274" i="4"/>
  <c r="AG1274" i="4" s="1"/>
  <c r="S1274" i="4"/>
  <c r="U1274" i="4"/>
  <c r="V1274" i="4"/>
  <c r="W1274" i="4"/>
  <c r="X1274" i="4"/>
  <c r="Y1274" i="4"/>
  <c r="Z1274" i="4"/>
  <c r="AA1274" i="4"/>
  <c r="AB1274" i="4"/>
  <c r="AC1274" i="4"/>
  <c r="AF1274" i="4"/>
  <c r="AJ1274" i="4"/>
  <c r="AM1274" i="4"/>
  <c r="AN1274" i="4"/>
  <c r="P1275" i="4"/>
  <c r="Q1275" i="4"/>
  <c r="R1275" i="4"/>
  <c r="AM1275" i="4" s="1"/>
  <c r="S1275" i="4"/>
  <c r="U1275" i="4"/>
  <c r="V1275" i="4"/>
  <c r="W1275" i="4"/>
  <c r="X1275" i="4"/>
  <c r="Y1275" i="4"/>
  <c r="Z1275" i="4"/>
  <c r="AA1275" i="4"/>
  <c r="AB1275" i="4"/>
  <c r="AC1275" i="4"/>
  <c r="AF1275" i="4"/>
  <c r="AG1275" i="4"/>
  <c r="AJ1275" i="4"/>
  <c r="AL1275" i="4"/>
  <c r="AN1275" i="4"/>
  <c r="P1276" i="4"/>
  <c r="AE1276" i="4" s="1"/>
  <c r="Q1276" i="4"/>
  <c r="R1276" i="4"/>
  <c r="AG1276" i="4" s="1"/>
  <c r="S1276" i="4"/>
  <c r="AN1276" i="4" s="1"/>
  <c r="U1276" i="4"/>
  <c r="V1276" i="4"/>
  <c r="W1276" i="4"/>
  <c r="X1276" i="4"/>
  <c r="Y1276" i="4"/>
  <c r="Z1276" i="4"/>
  <c r="AA1276" i="4"/>
  <c r="AB1276" i="4"/>
  <c r="AC1276" i="4"/>
  <c r="AJ1276" i="4"/>
  <c r="P1277" i="4"/>
  <c r="Q1277" i="4"/>
  <c r="AF1277" i="4" s="1"/>
  <c r="R1277" i="4"/>
  <c r="S1277" i="4"/>
  <c r="U1277" i="4"/>
  <c r="V1277" i="4"/>
  <c r="W1277" i="4"/>
  <c r="X1277" i="4"/>
  <c r="Y1277" i="4"/>
  <c r="Z1277" i="4"/>
  <c r="AA1277" i="4"/>
  <c r="AB1277" i="4"/>
  <c r="AC1277" i="4"/>
  <c r="AJ1277" i="4"/>
  <c r="AN1277" i="4"/>
  <c r="P1278" i="4"/>
  <c r="Q1278" i="4"/>
  <c r="R1278" i="4"/>
  <c r="AG1278" i="4" s="1"/>
  <c r="S1278" i="4"/>
  <c r="AN1278" i="4" s="1"/>
  <c r="U1278" i="4"/>
  <c r="V1278" i="4"/>
  <c r="W1278" i="4"/>
  <c r="X1278" i="4"/>
  <c r="Y1278" i="4"/>
  <c r="Z1278" i="4"/>
  <c r="AA1278" i="4"/>
  <c r="AB1278" i="4"/>
  <c r="AC1278" i="4"/>
  <c r="AE1278" i="4"/>
  <c r="AJ1278" i="4"/>
  <c r="AK1278" i="4"/>
  <c r="P1279" i="4"/>
  <c r="AE1279" i="4" s="1"/>
  <c r="Q1279" i="4"/>
  <c r="AL1279" i="4" s="1"/>
  <c r="R1279" i="4"/>
  <c r="S1279" i="4"/>
  <c r="AN1279" i="4" s="1"/>
  <c r="U1279" i="4"/>
  <c r="V1279" i="4"/>
  <c r="W1279" i="4"/>
  <c r="X1279" i="4"/>
  <c r="Y1279" i="4"/>
  <c r="Z1279" i="4"/>
  <c r="AA1279" i="4"/>
  <c r="AB1279" i="4"/>
  <c r="AC1279" i="4"/>
  <c r="AF1279" i="4"/>
  <c r="AJ1279" i="4"/>
  <c r="AK1279" i="4"/>
  <c r="P1280" i="4"/>
  <c r="AE1280" i="4" s="1"/>
  <c r="AH1280" i="4" s="1"/>
  <c r="AI1280" i="4" s="1"/>
  <c r="Q1280" i="4"/>
  <c r="AF1280" i="4" s="1"/>
  <c r="R1280" i="4"/>
  <c r="S1280" i="4"/>
  <c r="AN1280" i="4" s="1"/>
  <c r="U1280" i="4"/>
  <c r="V1280" i="4"/>
  <c r="W1280" i="4"/>
  <c r="X1280" i="4"/>
  <c r="Y1280" i="4"/>
  <c r="Z1280" i="4"/>
  <c r="AA1280" i="4"/>
  <c r="AB1280" i="4"/>
  <c r="AC1280" i="4"/>
  <c r="AG1280" i="4"/>
  <c r="AJ1280" i="4"/>
  <c r="AK1280" i="4"/>
  <c r="AL1280" i="4"/>
  <c r="AM1280" i="4"/>
  <c r="P1281" i="4"/>
  <c r="AK1281" i="4" s="1"/>
  <c r="Q1281" i="4"/>
  <c r="AF1281" i="4" s="1"/>
  <c r="R1281" i="4"/>
  <c r="AG1281" i="4" s="1"/>
  <c r="S1281" i="4"/>
  <c r="AN1281" i="4" s="1"/>
  <c r="U1281" i="4"/>
  <c r="V1281" i="4"/>
  <c r="W1281" i="4"/>
  <c r="X1281" i="4"/>
  <c r="Y1281" i="4"/>
  <c r="Z1281" i="4"/>
  <c r="AA1281" i="4"/>
  <c r="AB1281" i="4"/>
  <c r="AC1281" i="4"/>
  <c r="AE1281" i="4"/>
  <c r="AJ1281" i="4"/>
  <c r="AM1281" i="4"/>
  <c r="P1282" i="4"/>
  <c r="AE1282" i="4" s="1"/>
  <c r="Q1282" i="4"/>
  <c r="AL1282" i="4" s="1"/>
  <c r="R1282" i="4"/>
  <c r="AG1282" i="4" s="1"/>
  <c r="S1282" i="4"/>
  <c r="U1282" i="4"/>
  <c r="V1282" i="4"/>
  <c r="W1282" i="4"/>
  <c r="X1282" i="4"/>
  <c r="Y1282" i="4"/>
  <c r="Z1282" i="4"/>
  <c r="AA1282" i="4"/>
  <c r="AB1282" i="4"/>
  <c r="AC1282" i="4"/>
  <c r="AF1282" i="4"/>
  <c r="AJ1282" i="4"/>
  <c r="AM1282" i="4"/>
  <c r="AN1282" i="4"/>
  <c r="P1283" i="4"/>
  <c r="Q1283" i="4"/>
  <c r="R1283" i="4"/>
  <c r="AM1283" i="4" s="1"/>
  <c r="S1283" i="4"/>
  <c r="U1283" i="4"/>
  <c r="V1283" i="4"/>
  <c r="W1283" i="4"/>
  <c r="X1283" i="4"/>
  <c r="Y1283" i="4"/>
  <c r="Z1283" i="4"/>
  <c r="AA1283" i="4"/>
  <c r="AB1283" i="4"/>
  <c r="AC1283" i="4"/>
  <c r="AF1283" i="4"/>
  <c r="AG1283" i="4"/>
  <c r="AJ1283" i="4"/>
  <c r="AL1283" i="4"/>
  <c r="AN1283" i="4"/>
  <c r="P1284" i="4"/>
  <c r="AE1284" i="4" s="1"/>
  <c r="Q1284" i="4"/>
  <c r="R1284" i="4"/>
  <c r="AG1284" i="4" s="1"/>
  <c r="S1284" i="4"/>
  <c r="AN1284" i="4" s="1"/>
  <c r="U1284" i="4"/>
  <c r="V1284" i="4"/>
  <c r="W1284" i="4"/>
  <c r="X1284" i="4"/>
  <c r="Y1284" i="4"/>
  <c r="Z1284" i="4"/>
  <c r="AA1284" i="4"/>
  <c r="AB1284" i="4"/>
  <c r="AC1284" i="4"/>
  <c r="AJ1284" i="4"/>
  <c r="P1285" i="4"/>
  <c r="Q1285" i="4"/>
  <c r="AF1285" i="4" s="1"/>
  <c r="R1285" i="4"/>
  <c r="S1285" i="4"/>
  <c r="U1285" i="4"/>
  <c r="V1285" i="4"/>
  <c r="W1285" i="4"/>
  <c r="X1285" i="4"/>
  <c r="Y1285" i="4"/>
  <c r="Z1285" i="4"/>
  <c r="AA1285" i="4"/>
  <c r="AB1285" i="4"/>
  <c r="AC1285" i="4"/>
  <c r="AJ1285" i="4"/>
  <c r="AN1285" i="4"/>
  <c r="P1286" i="4"/>
  <c r="Q1286" i="4"/>
  <c r="R1286" i="4"/>
  <c r="AG1286" i="4" s="1"/>
  <c r="S1286" i="4"/>
  <c r="AN1286" i="4" s="1"/>
  <c r="U1286" i="4"/>
  <c r="V1286" i="4"/>
  <c r="W1286" i="4"/>
  <c r="X1286" i="4"/>
  <c r="Y1286" i="4"/>
  <c r="Z1286" i="4"/>
  <c r="AA1286" i="4"/>
  <c r="AB1286" i="4"/>
  <c r="AC1286" i="4"/>
  <c r="AE1286" i="4"/>
  <c r="AJ1286" i="4"/>
  <c r="AK1286" i="4"/>
  <c r="P1287" i="4"/>
  <c r="AE1287" i="4" s="1"/>
  <c r="Q1287" i="4"/>
  <c r="AL1287" i="4" s="1"/>
  <c r="R1287" i="4"/>
  <c r="S1287" i="4"/>
  <c r="AN1287" i="4" s="1"/>
  <c r="U1287" i="4"/>
  <c r="V1287" i="4"/>
  <c r="W1287" i="4"/>
  <c r="X1287" i="4"/>
  <c r="Y1287" i="4"/>
  <c r="Z1287" i="4"/>
  <c r="AA1287" i="4"/>
  <c r="AB1287" i="4"/>
  <c r="AC1287" i="4"/>
  <c r="AF1287" i="4"/>
  <c r="AJ1287" i="4"/>
  <c r="AK1287" i="4"/>
  <c r="P1288" i="4"/>
  <c r="AE1288" i="4" s="1"/>
  <c r="AH1288" i="4" s="1"/>
  <c r="AI1288" i="4" s="1"/>
  <c r="Q1288" i="4"/>
  <c r="AF1288" i="4" s="1"/>
  <c r="R1288" i="4"/>
  <c r="S1288" i="4"/>
  <c r="AN1288" i="4" s="1"/>
  <c r="U1288" i="4"/>
  <c r="V1288" i="4"/>
  <c r="W1288" i="4"/>
  <c r="X1288" i="4"/>
  <c r="Y1288" i="4"/>
  <c r="Z1288" i="4"/>
  <c r="AA1288" i="4"/>
  <c r="AB1288" i="4"/>
  <c r="AC1288" i="4"/>
  <c r="AG1288" i="4"/>
  <c r="AJ1288" i="4"/>
  <c r="AK1288" i="4"/>
  <c r="AL1288" i="4"/>
  <c r="AM1288" i="4"/>
  <c r="P1289" i="4"/>
  <c r="AK1289" i="4" s="1"/>
  <c r="Q1289" i="4"/>
  <c r="AF1289" i="4" s="1"/>
  <c r="R1289" i="4"/>
  <c r="AG1289" i="4" s="1"/>
  <c r="S1289" i="4"/>
  <c r="AN1289" i="4" s="1"/>
  <c r="U1289" i="4"/>
  <c r="V1289" i="4"/>
  <c r="W1289" i="4"/>
  <c r="X1289" i="4"/>
  <c r="Y1289" i="4"/>
  <c r="Z1289" i="4"/>
  <c r="AA1289" i="4"/>
  <c r="AB1289" i="4"/>
  <c r="AC1289" i="4"/>
  <c r="AE1289" i="4"/>
  <c r="AJ1289" i="4"/>
  <c r="AM1289" i="4"/>
  <c r="P1290" i="4"/>
  <c r="AE1290" i="4" s="1"/>
  <c r="Q1290" i="4"/>
  <c r="AL1290" i="4" s="1"/>
  <c r="R1290" i="4"/>
  <c r="AG1290" i="4" s="1"/>
  <c r="S1290" i="4"/>
  <c r="U1290" i="4"/>
  <c r="V1290" i="4"/>
  <c r="W1290" i="4"/>
  <c r="X1290" i="4"/>
  <c r="Y1290" i="4"/>
  <c r="Z1290" i="4"/>
  <c r="AA1290" i="4"/>
  <c r="AB1290" i="4"/>
  <c r="AC1290" i="4"/>
  <c r="AF1290" i="4"/>
  <c r="AJ1290" i="4"/>
  <c r="AM1290" i="4"/>
  <c r="AN1290" i="4"/>
  <c r="P1291" i="4"/>
  <c r="Q1291" i="4"/>
  <c r="R1291" i="4"/>
  <c r="AM1291" i="4" s="1"/>
  <c r="S1291" i="4"/>
  <c r="U1291" i="4"/>
  <c r="V1291" i="4"/>
  <c r="W1291" i="4"/>
  <c r="X1291" i="4"/>
  <c r="Y1291" i="4"/>
  <c r="Z1291" i="4"/>
  <c r="AA1291" i="4"/>
  <c r="AB1291" i="4"/>
  <c r="AC1291" i="4"/>
  <c r="AF1291" i="4"/>
  <c r="AG1291" i="4"/>
  <c r="AJ1291" i="4"/>
  <c r="AL1291" i="4"/>
  <c r="AN1291" i="4"/>
  <c r="P1292" i="4"/>
  <c r="AE1292" i="4" s="1"/>
  <c r="Q1292" i="4"/>
  <c r="R1292" i="4"/>
  <c r="AG1292" i="4" s="1"/>
  <c r="S1292" i="4"/>
  <c r="AN1292" i="4" s="1"/>
  <c r="U1292" i="4"/>
  <c r="V1292" i="4"/>
  <c r="W1292" i="4"/>
  <c r="X1292" i="4"/>
  <c r="Y1292" i="4"/>
  <c r="Z1292" i="4"/>
  <c r="AA1292" i="4"/>
  <c r="AB1292" i="4"/>
  <c r="AC1292" i="4"/>
  <c r="AJ1292" i="4"/>
  <c r="P1293" i="4"/>
  <c r="Q1293" i="4"/>
  <c r="AF1293" i="4" s="1"/>
  <c r="R1293" i="4"/>
  <c r="S1293" i="4"/>
  <c r="U1293" i="4"/>
  <c r="V1293" i="4"/>
  <c r="W1293" i="4"/>
  <c r="X1293" i="4"/>
  <c r="Y1293" i="4"/>
  <c r="Z1293" i="4"/>
  <c r="AA1293" i="4"/>
  <c r="AB1293" i="4"/>
  <c r="AC1293" i="4"/>
  <c r="AJ1293" i="4"/>
  <c r="AN1293" i="4"/>
  <c r="P1294" i="4"/>
  <c r="Q1294" i="4"/>
  <c r="R1294" i="4"/>
  <c r="AG1294" i="4" s="1"/>
  <c r="S1294" i="4"/>
  <c r="AN1294" i="4" s="1"/>
  <c r="U1294" i="4"/>
  <c r="V1294" i="4"/>
  <c r="W1294" i="4"/>
  <c r="X1294" i="4"/>
  <c r="Y1294" i="4"/>
  <c r="Z1294" i="4"/>
  <c r="AA1294" i="4"/>
  <c r="AB1294" i="4"/>
  <c r="AC1294" i="4"/>
  <c r="AE1294" i="4"/>
  <c r="AJ1294" i="4"/>
  <c r="AK1294" i="4"/>
  <c r="P1295" i="4"/>
  <c r="AE1295" i="4" s="1"/>
  <c r="Q1295" i="4"/>
  <c r="AL1295" i="4" s="1"/>
  <c r="R1295" i="4"/>
  <c r="S1295" i="4"/>
  <c r="AN1295" i="4" s="1"/>
  <c r="U1295" i="4"/>
  <c r="V1295" i="4"/>
  <c r="W1295" i="4"/>
  <c r="X1295" i="4"/>
  <c r="Y1295" i="4"/>
  <c r="Z1295" i="4"/>
  <c r="AA1295" i="4"/>
  <c r="AB1295" i="4"/>
  <c r="AC1295" i="4"/>
  <c r="AF1295" i="4"/>
  <c r="AJ1295" i="4"/>
  <c r="AK1295" i="4"/>
  <c r="P1296" i="4"/>
  <c r="AE1296" i="4" s="1"/>
  <c r="AH1296" i="4" s="1"/>
  <c r="AI1296" i="4" s="1"/>
  <c r="Q1296" i="4"/>
  <c r="AF1296" i="4" s="1"/>
  <c r="R1296" i="4"/>
  <c r="S1296" i="4"/>
  <c r="AN1296" i="4" s="1"/>
  <c r="U1296" i="4"/>
  <c r="V1296" i="4"/>
  <c r="W1296" i="4"/>
  <c r="X1296" i="4"/>
  <c r="Y1296" i="4"/>
  <c r="Z1296" i="4"/>
  <c r="AA1296" i="4"/>
  <c r="AB1296" i="4"/>
  <c r="AC1296" i="4"/>
  <c r="AG1296" i="4"/>
  <c r="AJ1296" i="4"/>
  <c r="AK1296" i="4"/>
  <c r="AL1296" i="4"/>
  <c r="AM1296" i="4"/>
  <c r="P1297" i="4"/>
  <c r="AK1297" i="4" s="1"/>
  <c r="Q1297" i="4"/>
  <c r="AF1297" i="4" s="1"/>
  <c r="R1297" i="4"/>
  <c r="AG1297" i="4" s="1"/>
  <c r="S1297" i="4"/>
  <c r="AN1297" i="4" s="1"/>
  <c r="U1297" i="4"/>
  <c r="V1297" i="4"/>
  <c r="W1297" i="4"/>
  <c r="X1297" i="4"/>
  <c r="Y1297" i="4"/>
  <c r="Z1297" i="4"/>
  <c r="AA1297" i="4"/>
  <c r="AB1297" i="4"/>
  <c r="AC1297" i="4"/>
  <c r="AE1297" i="4"/>
  <c r="AJ1297" i="4"/>
  <c r="AM1297" i="4"/>
  <c r="P1298" i="4"/>
  <c r="AE1298" i="4" s="1"/>
  <c r="Q1298" i="4"/>
  <c r="AL1298" i="4" s="1"/>
  <c r="R1298" i="4"/>
  <c r="AG1298" i="4" s="1"/>
  <c r="S1298" i="4"/>
  <c r="U1298" i="4"/>
  <c r="V1298" i="4"/>
  <c r="W1298" i="4"/>
  <c r="X1298" i="4"/>
  <c r="Y1298" i="4"/>
  <c r="Z1298" i="4"/>
  <c r="AA1298" i="4"/>
  <c r="AB1298" i="4"/>
  <c r="AC1298" i="4"/>
  <c r="AF1298" i="4"/>
  <c r="AJ1298" i="4"/>
  <c r="AM1298" i="4"/>
  <c r="AN1298" i="4"/>
  <c r="P1299" i="4"/>
  <c r="Q1299" i="4"/>
  <c r="R1299" i="4"/>
  <c r="AM1299" i="4" s="1"/>
  <c r="S1299" i="4"/>
  <c r="U1299" i="4"/>
  <c r="V1299" i="4"/>
  <c r="W1299" i="4"/>
  <c r="X1299" i="4"/>
  <c r="Y1299" i="4"/>
  <c r="Z1299" i="4"/>
  <c r="AA1299" i="4"/>
  <c r="AB1299" i="4"/>
  <c r="AC1299" i="4"/>
  <c r="AF1299" i="4"/>
  <c r="AG1299" i="4"/>
  <c r="AJ1299" i="4"/>
  <c r="AL1299" i="4"/>
  <c r="AN1299" i="4"/>
  <c r="P1300" i="4"/>
  <c r="AE1300" i="4" s="1"/>
  <c r="Q1300" i="4"/>
  <c r="R1300" i="4"/>
  <c r="AG1300" i="4" s="1"/>
  <c r="S1300" i="4"/>
  <c r="AN1300" i="4" s="1"/>
  <c r="U1300" i="4"/>
  <c r="V1300" i="4"/>
  <c r="W1300" i="4"/>
  <c r="X1300" i="4"/>
  <c r="Y1300" i="4"/>
  <c r="Z1300" i="4"/>
  <c r="AA1300" i="4"/>
  <c r="AB1300" i="4"/>
  <c r="AC1300" i="4"/>
  <c r="AJ1300" i="4"/>
  <c r="P1301" i="4"/>
  <c r="Q1301" i="4"/>
  <c r="AF1301" i="4" s="1"/>
  <c r="R1301" i="4"/>
  <c r="S1301" i="4"/>
  <c r="U1301" i="4"/>
  <c r="V1301" i="4"/>
  <c r="W1301" i="4"/>
  <c r="X1301" i="4"/>
  <c r="Y1301" i="4"/>
  <c r="Z1301" i="4"/>
  <c r="AA1301" i="4"/>
  <c r="AB1301" i="4"/>
  <c r="AC1301" i="4"/>
  <c r="AJ1301" i="4"/>
  <c r="AN1301" i="4"/>
  <c r="P1302" i="4"/>
  <c r="Q1302" i="4"/>
  <c r="R1302" i="4"/>
  <c r="AG1302" i="4" s="1"/>
  <c r="S1302" i="4"/>
  <c r="AN1302" i="4" s="1"/>
  <c r="U1302" i="4"/>
  <c r="V1302" i="4"/>
  <c r="W1302" i="4"/>
  <c r="X1302" i="4"/>
  <c r="Y1302" i="4"/>
  <c r="Z1302" i="4"/>
  <c r="AA1302" i="4"/>
  <c r="AB1302" i="4"/>
  <c r="AC1302" i="4"/>
  <c r="AE1302" i="4"/>
  <c r="AJ1302" i="4"/>
  <c r="AK1302" i="4"/>
  <c r="P1303" i="4"/>
  <c r="AE1303" i="4" s="1"/>
  <c r="Q1303" i="4"/>
  <c r="AL1303" i="4" s="1"/>
  <c r="R1303" i="4"/>
  <c r="S1303" i="4"/>
  <c r="AN1303" i="4" s="1"/>
  <c r="U1303" i="4"/>
  <c r="V1303" i="4"/>
  <c r="W1303" i="4"/>
  <c r="X1303" i="4"/>
  <c r="Y1303" i="4"/>
  <c r="Z1303" i="4"/>
  <c r="AA1303" i="4"/>
  <c r="AB1303" i="4"/>
  <c r="AC1303" i="4"/>
  <c r="AF1303" i="4"/>
  <c r="AJ1303" i="4"/>
  <c r="AK1303" i="4"/>
  <c r="P1304" i="4"/>
  <c r="AE1304" i="4" s="1"/>
  <c r="AH1304" i="4" s="1"/>
  <c r="AI1304" i="4" s="1"/>
  <c r="Q1304" i="4"/>
  <c r="AF1304" i="4" s="1"/>
  <c r="R1304" i="4"/>
  <c r="S1304" i="4"/>
  <c r="AN1304" i="4" s="1"/>
  <c r="U1304" i="4"/>
  <c r="V1304" i="4"/>
  <c r="W1304" i="4"/>
  <c r="X1304" i="4"/>
  <c r="Y1304" i="4"/>
  <c r="Z1304" i="4"/>
  <c r="AA1304" i="4"/>
  <c r="AB1304" i="4"/>
  <c r="AC1304" i="4"/>
  <c r="AG1304" i="4"/>
  <c r="AJ1304" i="4"/>
  <c r="AK1304" i="4"/>
  <c r="AL1304" i="4"/>
  <c r="AM1304" i="4"/>
  <c r="P1305" i="4"/>
  <c r="AK1305" i="4" s="1"/>
  <c r="Q1305" i="4"/>
  <c r="AF1305" i="4" s="1"/>
  <c r="R1305" i="4"/>
  <c r="AG1305" i="4" s="1"/>
  <c r="S1305" i="4"/>
  <c r="AN1305" i="4" s="1"/>
  <c r="U1305" i="4"/>
  <c r="V1305" i="4"/>
  <c r="W1305" i="4"/>
  <c r="X1305" i="4"/>
  <c r="Y1305" i="4"/>
  <c r="Z1305" i="4"/>
  <c r="AA1305" i="4"/>
  <c r="AB1305" i="4"/>
  <c r="AC1305" i="4"/>
  <c r="AE1305" i="4"/>
  <c r="AJ1305" i="4"/>
  <c r="AM1305" i="4"/>
  <c r="P1306" i="4"/>
  <c r="AE1306" i="4" s="1"/>
  <c r="Q1306" i="4"/>
  <c r="AL1306" i="4" s="1"/>
  <c r="R1306" i="4"/>
  <c r="AG1306" i="4" s="1"/>
  <c r="S1306" i="4"/>
  <c r="U1306" i="4"/>
  <c r="V1306" i="4"/>
  <c r="W1306" i="4"/>
  <c r="X1306" i="4"/>
  <c r="Y1306" i="4"/>
  <c r="Z1306" i="4"/>
  <c r="AA1306" i="4"/>
  <c r="AB1306" i="4"/>
  <c r="AC1306" i="4"/>
  <c r="AF1306" i="4"/>
  <c r="AJ1306" i="4"/>
  <c r="AM1306" i="4"/>
  <c r="AN1306" i="4"/>
  <c r="P1307" i="4"/>
  <c r="Q1307" i="4"/>
  <c r="R1307" i="4"/>
  <c r="AM1307" i="4" s="1"/>
  <c r="S1307" i="4"/>
  <c r="U1307" i="4"/>
  <c r="V1307" i="4"/>
  <c r="W1307" i="4"/>
  <c r="X1307" i="4"/>
  <c r="Y1307" i="4"/>
  <c r="Z1307" i="4"/>
  <c r="AA1307" i="4"/>
  <c r="AB1307" i="4"/>
  <c r="AC1307" i="4"/>
  <c r="AF1307" i="4"/>
  <c r="AG1307" i="4"/>
  <c r="AJ1307" i="4"/>
  <c r="AL1307" i="4"/>
  <c r="AN1307" i="4"/>
  <c r="P1308" i="4"/>
  <c r="AE1308" i="4" s="1"/>
  <c r="Q1308" i="4"/>
  <c r="R1308" i="4"/>
  <c r="AG1308" i="4" s="1"/>
  <c r="S1308" i="4"/>
  <c r="AN1308" i="4" s="1"/>
  <c r="U1308" i="4"/>
  <c r="V1308" i="4"/>
  <c r="W1308" i="4"/>
  <c r="X1308" i="4"/>
  <c r="Y1308" i="4"/>
  <c r="Z1308" i="4"/>
  <c r="AA1308" i="4"/>
  <c r="AB1308" i="4"/>
  <c r="AC1308" i="4"/>
  <c r="AJ1308" i="4"/>
  <c r="P1309" i="4"/>
  <c r="Q1309" i="4"/>
  <c r="AF1309" i="4" s="1"/>
  <c r="R1309" i="4"/>
  <c r="S1309" i="4"/>
  <c r="U1309" i="4"/>
  <c r="V1309" i="4"/>
  <c r="W1309" i="4"/>
  <c r="X1309" i="4"/>
  <c r="Y1309" i="4"/>
  <c r="Z1309" i="4"/>
  <c r="AA1309" i="4"/>
  <c r="AB1309" i="4"/>
  <c r="AC1309" i="4"/>
  <c r="AJ1309" i="4"/>
  <c r="AN1309" i="4"/>
  <c r="P1310" i="4"/>
  <c r="Q1310" i="4"/>
  <c r="R1310" i="4"/>
  <c r="AG1310" i="4" s="1"/>
  <c r="S1310" i="4"/>
  <c r="AN1310" i="4" s="1"/>
  <c r="U1310" i="4"/>
  <c r="V1310" i="4"/>
  <c r="W1310" i="4"/>
  <c r="X1310" i="4"/>
  <c r="Y1310" i="4"/>
  <c r="Z1310" i="4"/>
  <c r="AA1310" i="4"/>
  <c r="AB1310" i="4"/>
  <c r="AC1310" i="4"/>
  <c r="AE1310" i="4"/>
  <c r="AJ1310" i="4"/>
  <c r="AK1310" i="4"/>
  <c r="P1311" i="4"/>
  <c r="AE1311" i="4" s="1"/>
  <c r="Q1311" i="4"/>
  <c r="AL1311" i="4" s="1"/>
  <c r="R1311" i="4"/>
  <c r="S1311" i="4"/>
  <c r="AN1311" i="4" s="1"/>
  <c r="U1311" i="4"/>
  <c r="V1311" i="4"/>
  <c r="W1311" i="4"/>
  <c r="X1311" i="4"/>
  <c r="Y1311" i="4"/>
  <c r="Z1311" i="4"/>
  <c r="AA1311" i="4"/>
  <c r="AB1311" i="4"/>
  <c r="AC1311" i="4"/>
  <c r="AF1311" i="4"/>
  <c r="AJ1311" i="4"/>
  <c r="AK1311" i="4"/>
  <c r="P1312" i="4"/>
  <c r="AE1312" i="4" s="1"/>
  <c r="AH1312" i="4" s="1"/>
  <c r="AI1312" i="4" s="1"/>
  <c r="Q1312" i="4"/>
  <c r="AF1312" i="4" s="1"/>
  <c r="R1312" i="4"/>
  <c r="S1312" i="4"/>
  <c r="AN1312" i="4" s="1"/>
  <c r="U1312" i="4"/>
  <c r="V1312" i="4"/>
  <c r="W1312" i="4"/>
  <c r="X1312" i="4"/>
  <c r="Y1312" i="4"/>
  <c r="Z1312" i="4"/>
  <c r="AA1312" i="4"/>
  <c r="AB1312" i="4"/>
  <c r="AC1312" i="4"/>
  <c r="AG1312" i="4"/>
  <c r="AJ1312" i="4"/>
  <c r="AK1312" i="4"/>
  <c r="AL1312" i="4"/>
  <c r="AM1312" i="4"/>
  <c r="P1313" i="4"/>
  <c r="AK1313" i="4" s="1"/>
  <c r="Q1313" i="4"/>
  <c r="AF1313" i="4" s="1"/>
  <c r="R1313" i="4"/>
  <c r="AG1313" i="4" s="1"/>
  <c r="S1313" i="4"/>
  <c r="AN1313" i="4" s="1"/>
  <c r="U1313" i="4"/>
  <c r="V1313" i="4"/>
  <c r="W1313" i="4"/>
  <c r="X1313" i="4"/>
  <c r="Y1313" i="4"/>
  <c r="Z1313" i="4"/>
  <c r="AA1313" i="4"/>
  <c r="AB1313" i="4"/>
  <c r="AC1313" i="4"/>
  <c r="AE1313" i="4"/>
  <c r="AJ1313" i="4"/>
  <c r="AM1313" i="4"/>
  <c r="P1314" i="4"/>
  <c r="AE1314" i="4" s="1"/>
  <c r="Q1314" i="4"/>
  <c r="AL1314" i="4" s="1"/>
  <c r="R1314" i="4"/>
  <c r="AG1314" i="4" s="1"/>
  <c r="S1314" i="4"/>
  <c r="U1314" i="4"/>
  <c r="V1314" i="4"/>
  <c r="W1314" i="4"/>
  <c r="X1314" i="4"/>
  <c r="Y1314" i="4"/>
  <c r="Z1314" i="4"/>
  <c r="AA1314" i="4"/>
  <c r="AB1314" i="4"/>
  <c r="AC1314" i="4"/>
  <c r="AF1314" i="4"/>
  <c r="AJ1314" i="4"/>
  <c r="AM1314" i="4"/>
  <c r="AN1314" i="4"/>
  <c r="P1315" i="4"/>
  <c r="Q1315" i="4"/>
  <c r="R1315" i="4"/>
  <c r="AM1315" i="4" s="1"/>
  <c r="S1315" i="4"/>
  <c r="U1315" i="4"/>
  <c r="V1315" i="4"/>
  <c r="W1315" i="4"/>
  <c r="X1315" i="4"/>
  <c r="Y1315" i="4"/>
  <c r="Z1315" i="4"/>
  <c r="AA1315" i="4"/>
  <c r="AB1315" i="4"/>
  <c r="AC1315" i="4"/>
  <c r="AF1315" i="4"/>
  <c r="AG1315" i="4"/>
  <c r="AJ1315" i="4"/>
  <c r="AL1315" i="4"/>
  <c r="AN1315" i="4"/>
  <c r="P1316" i="4"/>
  <c r="AE1316" i="4" s="1"/>
  <c r="Q1316" i="4"/>
  <c r="R1316" i="4"/>
  <c r="AG1316" i="4" s="1"/>
  <c r="S1316" i="4"/>
  <c r="AN1316" i="4" s="1"/>
  <c r="U1316" i="4"/>
  <c r="V1316" i="4"/>
  <c r="W1316" i="4"/>
  <c r="X1316" i="4"/>
  <c r="Y1316" i="4"/>
  <c r="Z1316" i="4"/>
  <c r="AA1316" i="4"/>
  <c r="AB1316" i="4"/>
  <c r="AC1316" i="4"/>
  <c r="AJ1316" i="4"/>
  <c r="P1317" i="4"/>
  <c r="Q1317" i="4"/>
  <c r="AF1317" i="4" s="1"/>
  <c r="R1317" i="4"/>
  <c r="S1317" i="4"/>
  <c r="U1317" i="4"/>
  <c r="V1317" i="4"/>
  <c r="W1317" i="4"/>
  <c r="X1317" i="4"/>
  <c r="Y1317" i="4"/>
  <c r="Z1317" i="4"/>
  <c r="AA1317" i="4"/>
  <c r="AB1317" i="4"/>
  <c r="AC1317" i="4"/>
  <c r="AJ1317" i="4"/>
  <c r="AN1317" i="4"/>
  <c r="P1318" i="4"/>
  <c r="Q1318" i="4"/>
  <c r="R1318" i="4"/>
  <c r="AG1318" i="4" s="1"/>
  <c r="S1318" i="4"/>
  <c r="AN1318" i="4" s="1"/>
  <c r="U1318" i="4"/>
  <c r="V1318" i="4"/>
  <c r="W1318" i="4"/>
  <c r="X1318" i="4"/>
  <c r="Y1318" i="4"/>
  <c r="Z1318" i="4"/>
  <c r="AA1318" i="4"/>
  <c r="AB1318" i="4"/>
  <c r="AC1318" i="4"/>
  <c r="AE1318" i="4"/>
  <c r="AJ1318" i="4"/>
  <c r="AK1318" i="4"/>
  <c r="P1319" i="4"/>
  <c r="AE1319" i="4" s="1"/>
  <c r="Q1319" i="4"/>
  <c r="AL1319" i="4" s="1"/>
  <c r="R1319" i="4"/>
  <c r="S1319" i="4"/>
  <c r="AN1319" i="4" s="1"/>
  <c r="U1319" i="4"/>
  <c r="V1319" i="4"/>
  <c r="W1319" i="4"/>
  <c r="X1319" i="4"/>
  <c r="Y1319" i="4"/>
  <c r="Z1319" i="4"/>
  <c r="AA1319" i="4"/>
  <c r="AB1319" i="4"/>
  <c r="AC1319" i="4"/>
  <c r="AF1319" i="4"/>
  <c r="AJ1319" i="4"/>
  <c r="AK1319" i="4"/>
  <c r="P1320" i="4"/>
  <c r="AE1320" i="4" s="1"/>
  <c r="AH1320" i="4" s="1"/>
  <c r="AI1320" i="4" s="1"/>
  <c r="Q1320" i="4"/>
  <c r="AF1320" i="4" s="1"/>
  <c r="R1320" i="4"/>
  <c r="S1320" i="4"/>
  <c r="AN1320" i="4" s="1"/>
  <c r="U1320" i="4"/>
  <c r="V1320" i="4"/>
  <c r="W1320" i="4"/>
  <c r="X1320" i="4"/>
  <c r="Y1320" i="4"/>
  <c r="Z1320" i="4"/>
  <c r="AA1320" i="4"/>
  <c r="AB1320" i="4"/>
  <c r="AC1320" i="4"/>
  <c r="AG1320" i="4"/>
  <c r="AJ1320" i="4"/>
  <c r="AK1320" i="4"/>
  <c r="AL1320" i="4"/>
  <c r="AM1320" i="4"/>
  <c r="P1321" i="4"/>
  <c r="AK1321" i="4" s="1"/>
  <c r="Q1321" i="4"/>
  <c r="AF1321" i="4" s="1"/>
  <c r="R1321" i="4"/>
  <c r="AG1321" i="4" s="1"/>
  <c r="S1321" i="4"/>
  <c r="AN1321" i="4" s="1"/>
  <c r="U1321" i="4"/>
  <c r="V1321" i="4"/>
  <c r="W1321" i="4"/>
  <c r="X1321" i="4"/>
  <c r="Y1321" i="4"/>
  <c r="Z1321" i="4"/>
  <c r="AA1321" i="4"/>
  <c r="AB1321" i="4"/>
  <c r="AC1321" i="4"/>
  <c r="AE1321" i="4"/>
  <c r="AJ1321" i="4"/>
  <c r="AM1321" i="4"/>
  <c r="P1322" i="4"/>
  <c r="AE1322" i="4" s="1"/>
  <c r="Q1322" i="4"/>
  <c r="AL1322" i="4" s="1"/>
  <c r="R1322" i="4"/>
  <c r="AG1322" i="4" s="1"/>
  <c r="S1322" i="4"/>
  <c r="U1322" i="4"/>
  <c r="V1322" i="4"/>
  <c r="W1322" i="4"/>
  <c r="X1322" i="4"/>
  <c r="Y1322" i="4"/>
  <c r="Z1322" i="4"/>
  <c r="AA1322" i="4"/>
  <c r="AB1322" i="4"/>
  <c r="AC1322" i="4"/>
  <c r="AF1322" i="4"/>
  <c r="AJ1322" i="4"/>
  <c r="AM1322" i="4"/>
  <c r="AN1322" i="4"/>
  <c r="P1323" i="4"/>
  <c r="Q1323" i="4"/>
  <c r="R1323" i="4"/>
  <c r="AM1323" i="4" s="1"/>
  <c r="S1323" i="4"/>
  <c r="U1323" i="4"/>
  <c r="V1323" i="4"/>
  <c r="W1323" i="4"/>
  <c r="X1323" i="4"/>
  <c r="Y1323" i="4"/>
  <c r="Z1323" i="4"/>
  <c r="AA1323" i="4"/>
  <c r="AB1323" i="4"/>
  <c r="AC1323" i="4"/>
  <c r="AF1323" i="4"/>
  <c r="AG1323" i="4"/>
  <c r="AJ1323" i="4"/>
  <c r="AL1323" i="4"/>
  <c r="AN1323" i="4"/>
  <c r="P1324" i="4"/>
  <c r="Q1324" i="4"/>
  <c r="R1324" i="4"/>
  <c r="AG1324" i="4" s="1"/>
  <c r="S1324" i="4"/>
  <c r="AN1324" i="4" s="1"/>
  <c r="U1324" i="4"/>
  <c r="V1324" i="4"/>
  <c r="W1324" i="4"/>
  <c r="X1324" i="4"/>
  <c r="Y1324" i="4"/>
  <c r="Z1324" i="4"/>
  <c r="AA1324" i="4"/>
  <c r="AB1324" i="4"/>
  <c r="AC1324" i="4"/>
  <c r="AJ1324" i="4"/>
  <c r="P1325" i="4"/>
  <c r="Q1325" i="4"/>
  <c r="R1325" i="4"/>
  <c r="S1325" i="4"/>
  <c r="U1325" i="4"/>
  <c r="V1325" i="4"/>
  <c r="W1325" i="4"/>
  <c r="X1325" i="4"/>
  <c r="Y1325" i="4"/>
  <c r="Z1325" i="4"/>
  <c r="AA1325" i="4"/>
  <c r="AB1325" i="4"/>
  <c r="AC1325" i="4"/>
  <c r="AJ1325" i="4"/>
  <c r="AN1325" i="4"/>
  <c r="P1326" i="4"/>
  <c r="Q1326" i="4"/>
  <c r="R1326" i="4"/>
  <c r="S1326" i="4"/>
  <c r="AN1326" i="4" s="1"/>
  <c r="U1326" i="4"/>
  <c r="V1326" i="4"/>
  <c r="W1326" i="4"/>
  <c r="X1326" i="4"/>
  <c r="Y1326" i="4"/>
  <c r="Z1326" i="4"/>
  <c r="AA1326" i="4"/>
  <c r="AB1326" i="4"/>
  <c r="AC1326" i="4"/>
  <c r="AE1326" i="4"/>
  <c r="AJ1326" i="4"/>
  <c r="AK1326" i="4"/>
  <c r="P1327" i="4"/>
  <c r="AE1327" i="4" s="1"/>
  <c r="Q1327" i="4"/>
  <c r="AL1327" i="4" s="1"/>
  <c r="R1327" i="4"/>
  <c r="S1327" i="4"/>
  <c r="AN1327" i="4" s="1"/>
  <c r="U1327" i="4"/>
  <c r="V1327" i="4"/>
  <c r="W1327" i="4"/>
  <c r="X1327" i="4"/>
  <c r="Y1327" i="4"/>
  <c r="Z1327" i="4"/>
  <c r="AA1327" i="4"/>
  <c r="AB1327" i="4"/>
  <c r="AC1327" i="4"/>
  <c r="AF1327" i="4"/>
  <c r="AJ1327" i="4"/>
  <c r="AK1327" i="4"/>
  <c r="P1328" i="4"/>
  <c r="AE1328" i="4" s="1"/>
  <c r="Q1328" i="4"/>
  <c r="AF1328" i="4" s="1"/>
  <c r="R1328" i="4"/>
  <c r="S1328" i="4"/>
  <c r="AN1328" i="4" s="1"/>
  <c r="U1328" i="4"/>
  <c r="V1328" i="4"/>
  <c r="W1328" i="4"/>
  <c r="X1328" i="4"/>
  <c r="Y1328" i="4"/>
  <c r="Z1328" i="4"/>
  <c r="AA1328" i="4"/>
  <c r="AB1328" i="4"/>
  <c r="AC1328" i="4"/>
  <c r="AG1328" i="4"/>
  <c r="AJ1328" i="4"/>
  <c r="AK1328" i="4"/>
  <c r="AL1328" i="4"/>
  <c r="AM1328" i="4"/>
  <c r="P1329" i="4"/>
  <c r="AK1329" i="4" s="1"/>
  <c r="Q1329" i="4"/>
  <c r="R1329" i="4"/>
  <c r="AG1329" i="4" s="1"/>
  <c r="S1329" i="4"/>
  <c r="U1329" i="4"/>
  <c r="V1329" i="4"/>
  <c r="W1329" i="4"/>
  <c r="X1329" i="4"/>
  <c r="Y1329" i="4"/>
  <c r="Z1329" i="4"/>
  <c r="AA1329" i="4"/>
  <c r="AB1329" i="4"/>
  <c r="AC1329" i="4"/>
  <c r="AF1329" i="4"/>
  <c r="AJ1329" i="4"/>
  <c r="AL1329" i="4"/>
  <c r="AM1329" i="4"/>
  <c r="AN1329" i="4"/>
  <c r="P1330" i="4"/>
  <c r="Q1330" i="4"/>
  <c r="AL1330" i="4" s="1"/>
  <c r="R1330" i="4"/>
  <c r="S1330" i="4"/>
  <c r="U1330" i="4"/>
  <c r="V1330" i="4"/>
  <c r="W1330" i="4"/>
  <c r="X1330" i="4"/>
  <c r="Y1330" i="4"/>
  <c r="Z1330" i="4"/>
  <c r="AA1330" i="4"/>
  <c r="AB1330" i="4"/>
  <c r="AC1330" i="4"/>
  <c r="AE1330" i="4"/>
  <c r="AG1330" i="4"/>
  <c r="AJ1330" i="4"/>
  <c r="AK1330" i="4"/>
  <c r="AM1330" i="4"/>
  <c r="AN1330" i="4"/>
  <c r="P1331" i="4"/>
  <c r="Q1331" i="4"/>
  <c r="AL1331" i="4" s="1"/>
  <c r="R1331" i="4"/>
  <c r="AM1331" i="4" s="1"/>
  <c r="S1331" i="4"/>
  <c r="U1331" i="4"/>
  <c r="V1331" i="4"/>
  <c r="W1331" i="4"/>
  <c r="X1331" i="4"/>
  <c r="Y1331" i="4"/>
  <c r="Z1331" i="4"/>
  <c r="AA1331" i="4"/>
  <c r="AB1331" i="4"/>
  <c r="AC1331" i="4"/>
  <c r="AF1331" i="4"/>
  <c r="AG1331" i="4"/>
  <c r="AJ1331" i="4"/>
  <c r="AN1331" i="4"/>
  <c r="P1332" i="4"/>
  <c r="AE1332" i="4" s="1"/>
  <c r="Q1332" i="4"/>
  <c r="R1332" i="4"/>
  <c r="S1332" i="4"/>
  <c r="AN1332" i="4" s="1"/>
  <c r="U1332" i="4"/>
  <c r="V1332" i="4"/>
  <c r="W1332" i="4"/>
  <c r="X1332" i="4"/>
  <c r="Y1332" i="4"/>
  <c r="Z1332" i="4"/>
  <c r="AA1332" i="4"/>
  <c r="AB1332" i="4"/>
  <c r="AC1332" i="4"/>
  <c r="AG1332" i="4"/>
  <c r="AJ1332" i="4"/>
  <c r="AM1332" i="4"/>
  <c r="P1333" i="4"/>
  <c r="Q1333" i="4"/>
  <c r="AF1333" i="4" s="1"/>
  <c r="R1333" i="4"/>
  <c r="S1333" i="4"/>
  <c r="U1333" i="4"/>
  <c r="V1333" i="4"/>
  <c r="W1333" i="4"/>
  <c r="X1333" i="4"/>
  <c r="Y1333" i="4"/>
  <c r="Z1333" i="4"/>
  <c r="AA1333" i="4"/>
  <c r="AB1333" i="4"/>
  <c r="AC1333" i="4"/>
  <c r="AJ1333" i="4"/>
  <c r="AN1333" i="4"/>
  <c r="P1334" i="4"/>
  <c r="Q1334" i="4"/>
  <c r="R1334" i="4"/>
  <c r="S1334" i="4"/>
  <c r="AN1334" i="4" s="1"/>
  <c r="U1334" i="4"/>
  <c r="V1334" i="4"/>
  <c r="W1334" i="4"/>
  <c r="X1334" i="4"/>
  <c r="Y1334" i="4"/>
  <c r="Z1334" i="4"/>
  <c r="AA1334" i="4"/>
  <c r="AB1334" i="4"/>
  <c r="AC1334" i="4"/>
  <c r="AE1334" i="4"/>
  <c r="AG1334" i="4"/>
  <c r="AJ1334" i="4"/>
  <c r="AK1334" i="4"/>
  <c r="AM1334" i="4"/>
  <c r="P1335" i="4"/>
  <c r="AE1335" i="4" s="1"/>
  <c r="Q1335" i="4"/>
  <c r="AL1335" i="4" s="1"/>
  <c r="R1335" i="4"/>
  <c r="S1335" i="4"/>
  <c r="AN1335" i="4" s="1"/>
  <c r="U1335" i="4"/>
  <c r="V1335" i="4"/>
  <c r="W1335" i="4"/>
  <c r="X1335" i="4"/>
  <c r="Y1335" i="4"/>
  <c r="Z1335" i="4"/>
  <c r="AA1335" i="4"/>
  <c r="AB1335" i="4"/>
  <c r="AC1335" i="4"/>
  <c r="AF1335" i="4"/>
  <c r="AJ1335" i="4"/>
  <c r="AK1335" i="4"/>
  <c r="P1336" i="4"/>
  <c r="AE1336" i="4" s="1"/>
  <c r="Q1336" i="4"/>
  <c r="AF1336" i="4" s="1"/>
  <c r="R1336" i="4"/>
  <c r="AM1336" i="4" s="1"/>
  <c r="S1336" i="4"/>
  <c r="AN1336" i="4" s="1"/>
  <c r="U1336" i="4"/>
  <c r="V1336" i="4"/>
  <c r="W1336" i="4"/>
  <c r="X1336" i="4"/>
  <c r="Y1336" i="4"/>
  <c r="Z1336" i="4"/>
  <c r="AA1336" i="4"/>
  <c r="AB1336" i="4"/>
  <c r="AC1336" i="4"/>
  <c r="AG1336" i="4"/>
  <c r="AJ1336" i="4"/>
  <c r="AK1336" i="4"/>
  <c r="P1337" i="4"/>
  <c r="AK1337" i="4" s="1"/>
  <c r="Q1337" i="4"/>
  <c r="R1337" i="4"/>
  <c r="AG1337" i="4" s="1"/>
  <c r="S1337" i="4"/>
  <c r="U1337" i="4"/>
  <c r="V1337" i="4"/>
  <c r="W1337" i="4"/>
  <c r="X1337" i="4"/>
  <c r="Y1337" i="4"/>
  <c r="Z1337" i="4"/>
  <c r="AA1337" i="4"/>
  <c r="AB1337" i="4"/>
  <c r="AC1337" i="4"/>
  <c r="AF1337" i="4"/>
  <c r="AJ1337" i="4"/>
  <c r="AL1337" i="4"/>
  <c r="AN1337" i="4"/>
  <c r="P1338" i="4"/>
  <c r="Q1338" i="4"/>
  <c r="AL1338" i="4" s="1"/>
  <c r="R1338" i="4"/>
  <c r="S1338" i="4"/>
  <c r="AN1338" i="4" s="1"/>
  <c r="U1338" i="4"/>
  <c r="V1338" i="4"/>
  <c r="W1338" i="4"/>
  <c r="X1338" i="4"/>
  <c r="Y1338" i="4"/>
  <c r="Z1338" i="4"/>
  <c r="AA1338" i="4"/>
  <c r="AB1338" i="4"/>
  <c r="AC1338" i="4"/>
  <c r="AE1338" i="4"/>
  <c r="AG1338" i="4"/>
  <c r="AJ1338" i="4"/>
  <c r="AK1338" i="4"/>
  <c r="AM1338" i="4"/>
  <c r="P1339" i="4"/>
  <c r="Q1339" i="4"/>
  <c r="R1339" i="4"/>
  <c r="AM1339" i="4" s="1"/>
  <c r="S1339" i="4"/>
  <c r="AN1339" i="4" s="1"/>
  <c r="U1339" i="4"/>
  <c r="V1339" i="4"/>
  <c r="W1339" i="4"/>
  <c r="X1339" i="4"/>
  <c r="Y1339" i="4"/>
  <c r="Z1339" i="4"/>
  <c r="AA1339" i="4"/>
  <c r="AB1339" i="4"/>
  <c r="AC1339" i="4"/>
  <c r="AF1339" i="4"/>
  <c r="AJ1339" i="4"/>
  <c r="AL1339" i="4"/>
  <c r="P1340" i="4"/>
  <c r="AK1340" i="4" s="1"/>
  <c r="Q1340" i="4"/>
  <c r="R1340" i="4"/>
  <c r="AG1340" i="4" s="1"/>
  <c r="S1340" i="4"/>
  <c r="AN1340" i="4" s="1"/>
  <c r="U1340" i="4"/>
  <c r="V1340" i="4"/>
  <c r="W1340" i="4"/>
  <c r="X1340" i="4"/>
  <c r="Y1340" i="4"/>
  <c r="Z1340" i="4"/>
  <c r="AA1340" i="4"/>
  <c r="AB1340" i="4"/>
  <c r="AC1340" i="4"/>
  <c r="AJ1340" i="4"/>
  <c r="P1341" i="4"/>
  <c r="Q1341" i="4"/>
  <c r="R1341" i="4"/>
  <c r="S1341" i="4"/>
  <c r="U1341" i="4"/>
  <c r="V1341" i="4"/>
  <c r="W1341" i="4"/>
  <c r="X1341" i="4"/>
  <c r="Y1341" i="4"/>
  <c r="Z1341" i="4"/>
  <c r="AA1341" i="4"/>
  <c r="AB1341" i="4"/>
  <c r="AC1341" i="4"/>
  <c r="AF1341" i="4"/>
  <c r="AJ1341" i="4"/>
  <c r="AL1341" i="4"/>
  <c r="AN1341" i="4"/>
  <c r="P1342" i="4"/>
  <c r="Q1342" i="4"/>
  <c r="R1342" i="4"/>
  <c r="AM1342" i="4" s="1"/>
  <c r="S1342" i="4"/>
  <c r="AN1342" i="4" s="1"/>
  <c r="U1342" i="4"/>
  <c r="V1342" i="4"/>
  <c r="W1342" i="4"/>
  <c r="X1342" i="4"/>
  <c r="Y1342" i="4"/>
  <c r="Z1342" i="4"/>
  <c r="AA1342" i="4"/>
  <c r="AB1342" i="4"/>
  <c r="AC1342" i="4"/>
  <c r="AE1342" i="4"/>
  <c r="AJ1342" i="4"/>
  <c r="AK1342" i="4"/>
  <c r="P1343" i="4"/>
  <c r="AE1343" i="4" s="1"/>
  <c r="Q1343" i="4"/>
  <c r="R1343" i="4"/>
  <c r="S1343" i="4"/>
  <c r="AN1343" i="4" s="1"/>
  <c r="U1343" i="4"/>
  <c r="V1343" i="4"/>
  <c r="W1343" i="4"/>
  <c r="X1343" i="4"/>
  <c r="Y1343" i="4"/>
  <c r="Z1343" i="4"/>
  <c r="AA1343" i="4"/>
  <c r="AB1343" i="4"/>
  <c r="AC1343" i="4"/>
  <c r="AF1343" i="4"/>
  <c r="AJ1343" i="4"/>
  <c r="AL1343" i="4"/>
  <c r="P1344" i="4"/>
  <c r="AE1344" i="4" s="1"/>
  <c r="Q1344" i="4"/>
  <c r="AF1344" i="4" s="1"/>
  <c r="R1344" i="4"/>
  <c r="AM1344" i="4" s="1"/>
  <c r="S1344" i="4"/>
  <c r="AN1344" i="4" s="1"/>
  <c r="U1344" i="4"/>
  <c r="V1344" i="4"/>
  <c r="W1344" i="4"/>
  <c r="X1344" i="4"/>
  <c r="Y1344" i="4"/>
  <c r="Z1344" i="4"/>
  <c r="AA1344" i="4"/>
  <c r="AB1344" i="4"/>
  <c r="AC1344" i="4"/>
  <c r="AJ1344" i="4"/>
  <c r="AL1344" i="4"/>
  <c r="P1345" i="4"/>
  <c r="AK1345" i="4" s="1"/>
  <c r="Q1345" i="4"/>
  <c r="AF1345" i="4" s="1"/>
  <c r="R1345" i="4"/>
  <c r="AG1345" i="4" s="1"/>
  <c r="S1345" i="4"/>
  <c r="U1345" i="4"/>
  <c r="V1345" i="4"/>
  <c r="W1345" i="4"/>
  <c r="X1345" i="4"/>
  <c r="Y1345" i="4"/>
  <c r="Z1345" i="4"/>
  <c r="AA1345" i="4"/>
  <c r="AB1345" i="4"/>
  <c r="AC1345" i="4"/>
  <c r="AE1345" i="4"/>
  <c r="AJ1345" i="4"/>
  <c r="AN1345" i="4"/>
  <c r="P1346" i="4"/>
  <c r="AK1346" i="4" s="1"/>
  <c r="Q1346" i="4"/>
  <c r="AF1346" i="4" s="1"/>
  <c r="R1346" i="4"/>
  <c r="S1346" i="4"/>
  <c r="AN1346" i="4" s="1"/>
  <c r="U1346" i="4"/>
  <c r="V1346" i="4"/>
  <c r="W1346" i="4"/>
  <c r="X1346" i="4"/>
  <c r="Y1346" i="4"/>
  <c r="Z1346" i="4"/>
  <c r="AA1346" i="4"/>
  <c r="AB1346" i="4"/>
  <c r="AC1346" i="4"/>
  <c r="AG1346" i="4"/>
  <c r="AJ1346" i="4"/>
  <c r="AM1346" i="4"/>
  <c r="P1347" i="4"/>
  <c r="AK1347" i="4" s="1"/>
  <c r="Q1347" i="4"/>
  <c r="AL1347" i="4" s="1"/>
  <c r="R1347" i="4"/>
  <c r="AG1347" i="4" s="1"/>
  <c r="S1347" i="4"/>
  <c r="AN1347" i="4" s="1"/>
  <c r="U1347" i="4"/>
  <c r="V1347" i="4"/>
  <c r="W1347" i="4"/>
  <c r="X1347" i="4"/>
  <c r="Y1347" i="4"/>
  <c r="Z1347" i="4"/>
  <c r="AA1347" i="4"/>
  <c r="AB1347" i="4"/>
  <c r="AC1347" i="4"/>
  <c r="AJ1347" i="4"/>
  <c r="P1348" i="4"/>
  <c r="AE1348" i="4" s="1"/>
  <c r="Q1348" i="4"/>
  <c r="AL1348" i="4" s="1"/>
  <c r="R1348" i="4"/>
  <c r="AM1348" i="4" s="1"/>
  <c r="S1348" i="4"/>
  <c r="AN1348" i="4" s="1"/>
  <c r="U1348" i="4"/>
  <c r="V1348" i="4"/>
  <c r="W1348" i="4"/>
  <c r="X1348" i="4"/>
  <c r="Y1348" i="4"/>
  <c r="Z1348" i="4"/>
  <c r="AA1348" i="4"/>
  <c r="AB1348" i="4"/>
  <c r="AC1348" i="4"/>
  <c r="AJ1348" i="4"/>
  <c r="P1349" i="4"/>
  <c r="AE1349" i="4" s="1"/>
  <c r="Q1349" i="4"/>
  <c r="R1349" i="4"/>
  <c r="AM1349" i="4" s="1"/>
  <c r="S1349" i="4"/>
  <c r="AN1349" i="4" s="1"/>
  <c r="U1349" i="4"/>
  <c r="V1349" i="4"/>
  <c r="W1349" i="4"/>
  <c r="X1349" i="4"/>
  <c r="Y1349" i="4"/>
  <c r="Z1349" i="4"/>
  <c r="AA1349" i="4"/>
  <c r="AB1349" i="4"/>
  <c r="AC1349" i="4"/>
  <c r="AF1349" i="4"/>
  <c r="AJ1349" i="4"/>
  <c r="AL1349" i="4"/>
  <c r="P1350" i="4"/>
  <c r="Q1350" i="4"/>
  <c r="AF1350" i="4" s="1"/>
  <c r="R1350" i="4"/>
  <c r="S1350" i="4"/>
  <c r="AN1350" i="4" s="1"/>
  <c r="U1350" i="4"/>
  <c r="V1350" i="4"/>
  <c r="W1350" i="4"/>
  <c r="X1350" i="4"/>
  <c r="Y1350" i="4"/>
  <c r="Z1350" i="4"/>
  <c r="AA1350" i="4"/>
  <c r="AB1350" i="4"/>
  <c r="AC1350" i="4"/>
  <c r="AE1350" i="4"/>
  <c r="AG1350" i="4"/>
  <c r="AJ1350" i="4"/>
  <c r="AK1350" i="4"/>
  <c r="AL1350" i="4"/>
  <c r="AM1350" i="4"/>
  <c r="P1351" i="4"/>
  <c r="AK1351" i="4" s="1"/>
  <c r="Q1351" i="4"/>
  <c r="R1351" i="4"/>
  <c r="AG1351" i="4" s="1"/>
  <c r="S1351" i="4"/>
  <c r="U1351" i="4"/>
  <c r="V1351" i="4"/>
  <c r="W1351" i="4"/>
  <c r="X1351" i="4"/>
  <c r="Y1351" i="4"/>
  <c r="Z1351" i="4"/>
  <c r="AA1351" i="4"/>
  <c r="AB1351" i="4"/>
  <c r="AC1351" i="4"/>
  <c r="AF1351" i="4"/>
  <c r="AJ1351" i="4"/>
  <c r="AL1351" i="4"/>
  <c r="AN1351" i="4"/>
  <c r="P1352" i="4"/>
  <c r="Q1352" i="4"/>
  <c r="AL1352" i="4" s="1"/>
  <c r="R1352" i="4"/>
  <c r="S1352" i="4"/>
  <c r="U1352" i="4"/>
  <c r="V1352" i="4"/>
  <c r="W1352" i="4"/>
  <c r="X1352" i="4"/>
  <c r="Y1352" i="4"/>
  <c r="Z1352" i="4"/>
  <c r="AA1352" i="4"/>
  <c r="AB1352" i="4"/>
  <c r="AC1352" i="4"/>
  <c r="AE1352" i="4"/>
  <c r="AG1352" i="4"/>
  <c r="AJ1352" i="4"/>
  <c r="AK1352" i="4"/>
  <c r="AM1352" i="4"/>
  <c r="AN1352" i="4"/>
  <c r="P1353" i="4"/>
  <c r="AE1353" i="4" s="1"/>
  <c r="Q1353" i="4"/>
  <c r="AL1353" i="4" s="1"/>
  <c r="R1353" i="4"/>
  <c r="AM1353" i="4" s="1"/>
  <c r="S1353" i="4"/>
  <c r="U1353" i="4"/>
  <c r="V1353" i="4"/>
  <c r="W1353" i="4"/>
  <c r="X1353" i="4"/>
  <c r="Y1353" i="4"/>
  <c r="Z1353" i="4"/>
  <c r="AA1353" i="4"/>
  <c r="AB1353" i="4"/>
  <c r="AC1353" i="4"/>
  <c r="AF1353" i="4"/>
  <c r="AG1353" i="4"/>
  <c r="AJ1353" i="4"/>
  <c r="AN1353" i="4"/>
  <c r="P1354" i="4"/>
  <c r="AK1354" i="4" s="1"/>
  <c r="Q1354" i="4"/>
  <c r="AF1354" i="4" s="1"/>
  <c r="R1354" i="4"/>
  <c r="S1354" i="4"/>
  <c r="AN1354" i="4" s="1"/>
  <c r="U1354" i="4"/>
  <c r="V1354" i="4"/>
  <c r="W1354" i="4"/>
  <c r="X1354" i="4"/>
  <c r="Y1354" i="4"/>
  <c r="Z1354" i="4"/>
  <c r="AA1354" i="4"/>
  <c r="AB1354" i="4"/>
  <c r="AC1354" i="4"/>
  <c r="AG1354" i="4"/>
  <c r="AJ1354" i="4"/>
  <c r="AM1354" i="4"/>
  <c r="P1355" i="4"/>
  <c r="AK1355" i="4" s="1"/>
  <c r="Q1355" i="4"/>
  <c r="AL1355" i="4" s="1"/>
  <c r="R1355" i="4"/>
  <c r="AG1355" i="4" s="1"/>
  <c r="S1355" i="4"/>
  <c r="AN1355" i="4" s="1"/>
  <c r="U1355" i="4"/>
  <c r="V1355" i="4"/>
  <c r="W1355" i="4"/>
  <c r="X1355" i="4"/>
  <c r="Y1355" i="4"/>
  <c r="Z1355" i="4"/>
  <c r="AA1355" i="4"/>
  <c r="AB1355" i="4"/>
  <c r="AC1355" i="4"/>
  <c r="AJ1355" i="4"/>
  <c r="P1356" i="4"/>
  <c r="AE1356" i="4" s="1"/>
  <c r="Q1356" i="4"/>
  <c r="AL1356" i="4" s="1"/>
  <c r="R1356" i="4"/>
  <c r="AM1356" i="4" s="1"/>
  <c r="S1356" i="4"/>
  <c r="AN1356" i="4" s="1"/>
  <c r="U1356" i="4"/>
  <c r="V1356" i="4"/>
  <c r="W1356" i="4"/>
  <c r="X1356" i="4"/>
  <c r="Y1356" i="4"/>
  <c r="Z1356" i="4"/>
  <c r="AA1356" i="4"/>
  <c r="AB1356" i="4"/>
  <c r="AC1356" i="4"/>
  <c r="AJ1356" i="4"/>
  <c r="P1357" i="4"/>
  <c r="AE1357" i="4" s="1"/>
  <c r="Q1357" i="4"/>
  <c r="R1357" i="4"/>
  <c r="AM1357" i="4" s="1"/>
  <c r="S1357" i="4"/>
  <c r="AN1357" i="4" s="1"/>
  <c r="U1357" i="4"/>
  <c r="V1357" i="4"/>
  <c r="W1357" i="4"/>
  <c r="X1357" i="4"/>
  <c r="Y1357" i="4"/>
  <c r="Z1357" i="4"/>
  <c r="AA1357" i="4"/>
  <c r="AB1357" i="4"/>
  <c r="AC1357" i="4"/>
  <c r="AF1357" i="4"/>
  <c r="AJ1357" i="4"/>
  <c r="AL1357" i="4"/>
  <c r="P1358" i="4"/>
  <c r="Q1358" i="4"/>
  <c r="AF1358" i="4" s="1"/>
  <c r="R1358" i="4"/>
  <c r="S1358" i="4"/>
  <c r="AN1358" i="4" s="1"/>
  <c r="U1358" i="4"/>
  <c r="V1358" i="4"/>
  <c r="W1358" i="4"/>
  <c r="X1358" i="4"/>
  <c r="Y1358" i="4"/>
  <c r="Z1358" i="4"/>
  <c r="AA1358" i="4"/>
  <c r="AB1358" i="4"/>
  <c r="AC1358" i="4"/>
  <c r="AE1358" i="4"/>
  <c r="AH1358" i="4" s="1"/>
  <c r="AI1358" i="4" s="1"/>
  <c r="AG1358" i="4"/>
  <c r="AJ1358" i="4"/>
  <c r="AK1358" i="4"/>
  <c r="AL1358" i="4"/>
  <c r="AM1358" i="4"/>
  <c r="P1359" i="4"/>
  <c r="AK1359" i="4" s="1"/>
  <c r="Q1359" i="4"/>
  <c r="R1359" i="4"/>
  <c r="AG1359" i="4" s="1"/>
  <c r="S1359" i="4"/>
  <c r="U1359" i="4"/>
  <c r="V1359" i="4"/>
  <c r="W1359" i="4"/>
  <c r="X1359" i="4"/>
  <c r="Y1359" i="4"/>
  <c r="Z1359" i="4"/>
  <c r="AA1359" i="4"/>
  <c r="AB1359" i="4"/>
  <c r="AC1359" i="4"/>
  <c r="AF1359" i="4"/>
  <c r="AJ1359" i="4"/>
  <c r="AL1359" i="4"/>
  <c r="AN1359" i="4"/>
  <c r="P1360" i="4"/>
  <c r="Q1360" i="4"/>
  <c r="AL1360" i="4" s="1"/>
  <c r="R1360" i="4"/>
  <c r="S1360" i="4"/>
  <c r="U1360" i="4"/>
  <c r="V1360" i="4"/>
  <c r="W1360" i="4"/>
  <c r="X1360" i="4"/>
  <c r="Y1360" i="4"/>
  <c r="Z1360" i="4"/>
  <c r="AA1360" i="4"/>
  <c r="AB1360" i="4"/>
  <c r="AC1360" i="4"/>
  <c r="AE1360" i="4"/>
  <c r="AG1360" i="4"/>
  <c r="AJ1360" i="4"/>
  <c r="AK1360" i="4"/>
  <c r="AM1360" i="4"/>
  <c r="AN1360" i="4"/>
  <c r="P1361" i="4"/>
  <c r="AE1361" i="4" s="1"/>
  <c r="Q1361" i="4"/>
  <c r="AL1361" i="4" s="1"/>
  <c r="R1361" i="4"/>
  <c r="AM1361" i="4" s="1"/>
  <c r="S1361" i="4"/>
  <c r="U1361" i="4"/>
  <c r="V1361" i="4"/>
  <c r="W1361" i="4"/>
  <c r="X1361" i="4"/>
  <c r="Y1361" i="4"/>
  <c r="Z1361" i="4"/>
  <c r="AA1361" i="4"/>
  <c r="AB1361" i="4"/>
  <c r="AC1361" i="4"/>
  <c r="AF1361" i="4"/>
  <c r="AG1361" i="4"/>
  <c r="AJ1361" i="4"/>
  <c r="AN1361" i="4"/>
  <c r="P1362" i="4"/>
  <c r="AK1362" i="4" s="1"/>
  <c r="Q1362" i="4"/>
  <c r="AF1362" i="4" s="1"/>
  <c r="R1362" i="4"/>
  <c r="S1362" i="4"/>
  <c r="AN1362" i="4" s="1"/>
  <c r="U1362" i="4"/>
  <c r="V1362" i="4"/>
  <c r="W1362" i="4"/>
  <c r="X1362" i="4"/>
  <c r="Y1362" i="4"/>
  <c r="Z1362" i="4"/>
  <c r="AA1362" i="4"/>
  <c r="AB1362" i="4"/>
  <c r="AC1362" i="4"/>
  <c r="AG1362" i="4"/>
  <c r="AJ1362" i="4"/>
  <c r="AM1362" i="4"/>
  <c r="P1363" i="4"/>
  <c r="AK1363" i="4" s="1"/>
  <c r="Q1363" i="4"/>
  <c r="AL1363" i="4" s="1"/>
  <c r="R1363" i="4"/>
  <c r="AG1363" i="4" s="1"/>
  <c r="S1363" i="4"/>
  <c r="AN1363" i="4" s="1"/>
  <c r="U1363" i="4"/>
  <c r="V1363" i="4"/>
  <c r="W1363" i="4"/>
  <c r="X1363" i="4"/>
  <c r="Y1363" i="4"/>
  <c r="Z1363" i="4"/>
  <c r="AA1363" i="4"/>
  <c r="AB1363" i="4"/>
  <c r="AC1363" i="4"/>
  <c r="AJ1363" i="4"/>
  <c r="P1364" i="4"/>
  <c r="AE1364" i="4" s="1"/>
  <c r="Q1364" i="4"/>
  <c r="AL1364" i="4" s="1"/>
  <c r="R1364" i="4"/>
  <c r="AM1364" i="4" s="1"/>
  <c r="S1364" i="4"/>
  <c r="AN1364" i="4" s="1"/>
  <c r="U1364" i="4"/>
  <c r="V1364" i="4"/>
  <c r="W1364" i="4"/>
  <c r="X1364" i="4"/>
  <c r="Y1364" i="4"/>
  <c r="Z1364" i="4"/>
  <c r="AA1364" i="4"/>
  <c r="AB1364" i="4"/>
  <c r="AC1364" i="4"/>
  <c r="AJ1364" i="4"/>
  <c r="P1365" i="4"/>
  <c r="AE1365" i="4" s="1"/>
  <c r="Q1365" i="4"/>
  <c r="R1365" i="4"/>
  <c r="AM1365" i="4" s="1"/>
  <c r="S1365" i="4"/>
  <c r="AN1365" i="4" s="1"/>
  <c r="U1365" i="4"/>
  <c r="V1365" i="4"/>
  <c r="W1365" i="4"/>
  <c r="X1365" i="4"/>
  <c r="Y1365" i="4"/>
  <c r="Z1365" i="4"/>
  <c r="AA1365" i="4"/>
  <c r="AB1365" i="4"/>
  <c r="AC1365" i="4"/>
  <c r="AF1365" i="4"/>
  <c r="AJ1365" i="4"/>
  <c r="AL1365" i="4"/>
  <c r="P1366" i="4"/>
  <c r="Q1366" i="4"/>
  <c r="AF1366" i="4" s="1"/>
  <c r="R1366" i="4"/>
  <c r="S1366" i="4"/>
  <c r="AN1366" i="4" s="1"/>
  <c r="U1366" i="4"/>
  <c r="V1366" i="4"/>
  <c r="W1366" i="4"/>
  <c r="X1366" i="4"/>
  <c r="Y1366" i="4"/>
  <c r="Z1366" i="4"/>
  <c r="AA1366" i="4"/>
  <c r="AB1366" i="4"/>
  <c r="AC1366" i="4"/>
  <c r="AE1366" i="4"/>
  <c r="AG1366" i="4"/>
  <c r="AJ1366" i="4"/>
  <c r="AK1366" i="4"/>
  <c r="AL1366" i="4"/>
  <c r="AM1366" i="4"/>
  <c r="P1367" i="4"/>
  <c r="AK1367" i="4" s="1"/>
  <c r="Q1367" i="4"/>
  <c r="R1367" i="4"/>
  <c r="AG1367" i="4" s="1"/>
  <c r="S1367" i="4"/>
  <c r="U1367" i="4"/>
  <c r="V1367" i="4"/>
  <c r="W1367" i="4"/>
  <c r="X1367" i="4"/>
  <c r="Y1367" i="4"/>
  <c r="Z1367" i="4"/>
  <c r="AA1367" i="4"/>
  <c r="AB1367" i="4"/>
  <c r="AC1367" i="4"/>
  <c r="AF1367" i="4"/>
  <c r="AJ1367" i="4"/>
  <c r="AL1367" i="4"/>
  <c r="AN1367" i="4"/>
  <c r="P1368" i="4"/>
  <c r="Q1368" i="4"/>
  <c r="AL1368" i="4" s="1"/>
  <c r="R1368" i="4"/>
  <c r="S1368" i="4"/>
  <c r="U1368" i="4"/>
  <c r="V1368" i="4"/>
  <c r="W1368" i="4"/>
  <c r="X1368" i="4"/>
  <c r="Y1368" i="4"/>
  <c r="Z1368" i="4"/>
  <c r="AA1368" i="4"/>
  <c r="AB1368" i="4"/>
  <c r="AC1368" i="4"/>
  <c r="AE1368" i="4"/>
  <c r="AG1368" i="4"/>
  <c r="AJ1368" i="4"/>
  <c r="AK1368" i="4"/>
  <c r="AM1368" i="4"/>
  <c r="AN1368" i="4"/>
  <c r="P1369" i="4"/>
  <c r="AE1369" i="4" s="1"/>
  <c r="Q1369" i="4"/>
  <c r="AL1369" i="4" s="1"/>
  <c r="R1369" i="4"/>
  <c r="AM1369" i="4" s="1"/>
  <c r="S1369" i="4"/>
  <c r="U1369" i="4"/>
  <c r="V1369" i="4"/>
  <c r="W1369" i="4"/>
  <c r="X1369" i="4"/>
  <c r="Y1369" i="4"/>
  <c r="Z1369" i="4"/>
  <c r="AA1369" i="4"/>
  <c r="AB1369" i="4"/>
  <c r="AC1369" i="4"/>
  <c r="AF1369" i="4"/>
  <c r="AG1369" i="4"/>
  <c r="AJ1369" i="4"/>
  <c r="AN1369" i="4"/>
  <c r="P1370" i="4"/>
  <c r="AK1370" i="4" s="1"/>
  <c r="Q1370" i="4"/>
  <c r="AF1370" i="4" s="1"/>
  <c r="R1370" i="4"/>
  <c r="S1370" i="4"/>
  <c r="AN1370" i="4" s="1"/>
  <c r="U1370" i="4"/>
  <c r="V1370" i="4"/>
  <c r="W1370" i="4"/>
  <c r="X1370" i="4"/>
  <c r="Y1370" i="4"/>
  <c r="Z1370" i="4"/>
  <c r="AA1370" i="4"/>
  <c r="AB1370" i="4"/>
  <c r="AC1370" i="4"/>
  <c r="AG1370" i="4"/>
  <c r="AJ1370" i="4"/>
  <c r="AM1370" i="4"/>
  <c r="P1371" i="4"/>
  <c r="AK1371" i="4" s="1"/>
  <c r="Q1371" i="4"/>
  <c r="AL1371" i="4" s="1"/>
  <c r="R1371" i="4"/>
  <c r="AG1371" i="4" s="1"/>
  <c r="S1371" i="4"/>
  <c r="AN1371" i="4" s="1"/>
  <c r="U1371" i="4"/>
  <c r="V1371" i="4"/>
  <c r="W1371" i="4"/>
  <c r="X1371" i="4"/>
  <c r="Y1371" i="4"/>
  <c r="Z1371" i="4"/>
  <c r="AA1371" i="4"/>
  <c r="AB1371" i="4"/>
  <c r="AC1371" i="4"/>
  <c r="AJ1371" i="4"/>
  <c r="P1372" i="4"/>
  <c r="AE1372" i="4" s="1"/>
  <c r="Q1372" i="4"/>
  <c r="AL1372" i="4" s="1"/>
  <c r="R1372" i="4"/>
  <c r="AM1372" i="4" s="1"/>
  <c r="S1372" i="4"/>
  <c r="AN1372" i="4" s="1"/>
  <c r="U1372" i="4"/>
  <c r="V1372" i="4"/>
  <c r="W1372" i="4"/>
  <c r="X1372" i="4"/>
  <c r="Y1372" i="4"/>
  <c r="Z1372" i="4"/>
  <c r="AA1372" i="4"/>
  <c r="AB1372" i="4"/>
  <c r="AC1372" i="4"/>
  <c r="AJ1372" i="4"/>
  <c r="P1373" i="4"/>
  <c r="AE1373" i="4" s="1"/>
  <c r="Q1373" i="4"/>
  <c r="R1373" i="4"/>
  <c r="AM1373" i="4" s="1"/>
  <c r="S1373" i="4"/>
  <c r="AN1373" i="4" s="1"/>
  <c r="U1373" i="4"/>
  <c r="V1373" i="4"/>
  <c r="W1373" i="4"/>
  <c r="X1373" i="4"/>
  <c r="Y1373" i="4"/>
  <c r="Z1373" i="4"/>
  <c r="AA1373" i="4"/>
  <c r="AB1373" i="4"/>
  <c r="AC1373" i="4"/>
  <c r="AF1373" i="4"/>
  <c r="AJ1373" i="4"/>
  <c r="AL1373" i="4"/>
  <c r="P1374" i="4"/>
  <c r="Q1374" i="4"/>
  <c r="AF1374" i="4" s="1"/>
  <c r="R1374" i="4"/>
  <c r="S1374" i="4"/>
  <c r="AN1374" i="4" s="1"/>
  <c r="U1374" i="4"/>
  <c r="V1374" i="4"/>
  <c r="W1374" i="4"/>
  <c r="X1374" i="4"/>
  <c r="Y1374" i="4"/>
  <c r="Z1374" i="4"/>
  <c r="AA1374" i="4"/>
  <c r="AB1374" i="4"/>
  <c r="AC1374" i="4"/>
  <c r="AE1374" i="4"/>
  <c r="AH1374" i="4" s="1"/>
  <c r="AI1374" i="4" s="1"/>
  <c r="AG1374" i="4"/>
  <c r="AJ1374" i="4"/>
  <c r="AK1374" i="4"/>
  <c r="AL1374" i="4"/>
  <c r="AM1374" i="4"/>
  <c r="P1375" i="4"/>
  <c r="AK1375" i="4" s="1"/>
  <c r="Q1375" i="4"/>
  <c r="R1375" i="4"/>
  <c r="AG1375" i="4" s="1"/>
  <c r="S1375" i="4"/>
  <c r="U1375" i="4"/>
  <c r="V1375" i="4"/>
  <c r="W1375" i="4"/>
  <c r="X1375" i="4"/>
  <c r="Y1375" i="4"/>
  <c r="Z1375" i="4"/>
  <c r="AA1375" i="4"/>
  <c r="AB1375" i="4"/>
  <c r="AC1375" i="4"/>
  <c r="AF1375" i="4"/>
  <c r="AJ1375" i="4"/>
  <c r="AL1375" i="4"/>
  <c r="AN1375" i="4"/>
  <c r="P1376" i="4"/>
  <c r="Q1376" i="4"/>
  <c r="AL1376" i="4" s="1"/>
  <c r="R1376" i="4"/>
  <c r="S1376" i="4"/>
  <c r="U1376" i="4"/>
  <c r="V1376" i="4"/>
  <c r="W1376" i="4"/>
  <c r="X1376" i="4"/>
  <c r="Y1376" i="4"/>
  <c r="Z1376" i="4"/>
  <c r="AA1376" i="4"/>
  <c r="AB1376" i="4"/>
  <c r="AC1376" i="4"/>
  <c r="AE1376" i="4"/>
  <c r="AG1376" i="4"/>
  <c r="AJ1376" i="4"/>
  <c r="AK1376" i="4"/>
  <c r="AM1376" i="4"/>
  <c r="AN1376" i="4"/>
  <c r="P1377" i="4"/>
  <c r="AE1377" i="4" s="1"/>
  <c r="Q1377" i="4"/>
  <c r="AL1377" i="4" s="1"/>
  <c r="R1377" i="4"/>
  <c r="AM1377" i="4" s="1"/>
  <c r="S1377" i="4"/>
  <c r="U1377" i="4"/>
  <c r="V1377" i="4"/>
  <c r="W1377" i="4"/>
  <c r="X1377" i="4"/>
  <c r="Y1377" i="4"/>
  <c r="Z1377" i="4"/>
  <c r="AA1377" i="4"/>
  <c r="AB1377" i="4"/>
  <c r="AC1377" i="4"/>
  <c r="AF1377" i="4"/>
  <c r="AG1377" i="4"/>
  <c r="AJ1377" i="4"/>
  <c r="AN1377" i="4"/>
  <c r="P1378" i="4"/>
  <c r="AK1378" i="4" s="1"/>
  <c r="Q1378" i="4"/>
  <c r="AF1378" i="4" s="1"/>
  <c r="R1378" i="4"/>
  <c r="S1378" i="4"/>
  <c r="AN1378" i="4" s="1"/>
  <c r="U1378" i="4"/>
  <c r="V1378" i="4"/>
  <c r="W1378" i="4"/>
  <c r="X1378" i="4"/>
  <c r="Y1378" i="4"/>
  <c r="Z1378" i="4"/>
  <c r="AA1378" i="4"/>
  <c r="AB1378" i="4"/>
  <c r="AC1378" i="4"/>
  <c r="AG1378" i="4"/>
  <c r="AJ1378" i="4"/>
  <c r="AM1378" i="4"/>
  <c r="P1379" i="4"/>
  <c r="AK1379" i="4" s="1"/>
  <c r="Q1379" i="4"/>
  <c r="AL1379" i="4" s="1"/>
  <c r="R1379" i="4"/>
  <c r="AG1379" i="4" s="1"/>
  <c r="S1379" i="4"/>
  <c r="AN1379" i="4" s="1"/>
  <c r="U1379" i="4"/>
  <c r="V1379" i="4"/>
  <c r="W1379" i="4"/>
  <c r="X1379" i="4"/>
  <c r="Y1379" i="4"/>
  <c r="Z1379" i="4"/>
  <c r="AA1379" i="4"/>
  <c r="AB1379" i="4"/>
  <c r="AC1379" i="4"/>
  <c r="AJ1379" i="4"/>
  <c r="P1380" i="4"/>
  <c r="AE1380" i="4" s="1"/>
  <c r="Q1380" i="4"/>
  <c r="AL1380" i="4" s="1"/>
  <c r="R1380" i="4"/>
  <c r="AM1380" i="4" s="1"/>
  <c r="S1380" i="4"/>
  <c r="AN1380" i="4" s="1"/>
  <c r="U1380" i="4"/>
  <c r="V1380" i="4"/>
  <c r="W1380" i="4"/>
  <c r="X1380" i="4"/>
  <c r="Y1380" i="4"/>
  <c r="Z1380" i="4"/>
  <c r="AA1380" i="4"/>
  <c r="AB1380" i="4"/>
  <c r="AC1380" i="4"/>
  <c r="AJ1380" i="4"/>
  <c r="P1381" i="4"/>
  <c r="AE1381" i="4" s="1"/>
  <c r="Q1381" i="4"/>
  <c r="R1381" i="4"/>
  <c r="AM1381" i="4" s="1"/>
  <c r="S1381" i="4"/>
  <c r="AN1381" i="4" s="1"/>
  <c r="U1381" i="4"/>
  <c r="V1381" i="4"/>
  <c r="W1381" i="4"/>
  <c r="X1381" i="4"/>
  <c r="Y1381" i="4"/>
  <c r="Z1381" i="4"/>
  <c r="AA1381" i="4"/>
  <c r="AB1381" i="4"/>
  <c r="AC1381" i="4"/>
  <c r="AF1381" i="4"/>
  <c r="AJ1381" i="4"/>
  <c r="AL1381" i="4"/>
  <c r="P1382" i="4"/>
  <c r="Q1382" i="4"/>
  <c r="AF1382" i="4" s="1"/>
  <c r="R1382" i="4"/>
  <c r="S1382" i="4"/>
  <c r="AN1382" i="4" s="1"/>
  <c r="U1382" i="4"/>
  <c r="V1382" i="4"/>
  <c r="W1382" i="4"/>
  <c r="X1382" i="4"/>
  <c r="Y1382" i="4"/>
  <c r="Z1382" i="4"/>
  <c r="AA1382" i="4"/>
  <c r="AB1382" i="4"/>
  <c r="AC1382" i="4"/>
  <c r="AE1382" i="4"/>
  <c r="AG1382" i="4"/>
  <c r="AJ1382" i="4"/>
  <c r="AK1382" i="4"/>
  <c r="AL1382" i="4"/>
  <c r="AM1382" i="4"/>
  <c r="P1383" i="4"/>
  <c r="AK1383" i="4" s="1"/>
  <c r="Q1383" i="4"/>
  <c r="R1383" i="4"/>
  <c r="AG1383" i="4" s="1"/>
  <c r="S1383" i="4"/>
  <c r="U1383" i="4"/>
  <c r="V1383" i="4"/>
  <c r="W1383" i="4"/>
  <c r="X1383" i="4"/>
  <c r="Y1383" i="4"/>
  <c r="Z1383" i="4"/>
  <c r="AA1383" i="4"/>
  <c r="AB1383" i="4"/>
  <c r="AC1383" i="4"/>
  <c r="AF1383" i="4"/>
  <c r="AJ1383" i="4"/>
  <c r="AL1383" i="4"/>
  <c r="AN1383" i="4"/>
  <c r="P1384" i="4"/>
  <c r="Q1384" i="4"/>
  <c r="AL1384" i="4" s="1"/>
  <c r="R1384" i="4"/>
  <c r="S1384" i="4"/>
  <c r="U1384" i="4"/>
  <c r="V1384" i="4"/>
  <c r="W1384" i="4"/>
  <c r="X1384" i="4"/>
  <c r="Y1384" i="4"/>
  <c r="Z1384" i="4"/>
  <c r="AA1384" i="4"/>
  <c r="AB1384" i="4"/>
  <c r="AC1384" i="4"/>
  <c r="AE1384" i="4"/>
  <c r="AG1384" i="4"/>
  <c r="AJ1384" i="4"/>
  <c r="AK1384" i="4"/>
  <c r="AM1384" i="4"/>
  <c r="AN1384" i="4"/>
  <c r="P1385" i="4"/>
  <c r="AE1385" i="4" s="1"/>
  <c r="Q1385" i="4"/>
  <c r="AL1385" i="4" s="1"/>
  <c r="R1385" i="4"/>
  <c r="AM1385" i="4" s="1"/>
  <c r="S1385" i="4"/>
  <c r="U1385" i="4"/>
  <c r="V1385" i="4"/>
  <c r="W1385" i="4"/>
  <c r="X1385" i="4"/>
  <c r="Y1385" i="4"/>
  <c r="Z1385" i="4"/>
  <c r="AA1385" i="4"/>
  <c r="AB1385" i="4"/>
  <c r="AC1385" i="4"/>
  <c r="AF1385" i="4"/>
  <c r="AG1385" i="4"/>
  <c r="AJ1385" i="4"/>
  <c r="AN1385" i="4"/>
  <c r="P1386" i="4"/>
  <c r="AK1386" i="4" s="1"/>
  <c r="Q1386" i="4"/>
  <c r="AF1386" i="4" s="1"/>
  <c r="R1386" i="4"/>
  <c r="S1386" i="4"/>
  <c r="AN1386" i="4" s="1"/>
  <c r="U1386" i="4"/>
  <c r="V1386" i="4"/>
  <c r="W1386" i="4"/>
  <c r="X1386" i="4"/>
  <c r="Y1386" i="4"/>
  <c r="Z1386" i="4"/>
  <c r="AA1386" i="4"/>
  <c r="AB1386" i="4"/>
  <c r="AC1386" i="4"/>
  <c r="AG1386" i="4"/>
  <c r="AJ1386" i="4"/>
  <c r="AM1386" i="4"/>
  <c r="P1387" i="4"/>
  <c r="AK1387" i="4" s="1"/>
  <c r="Q1387" i="4"/>
  <c r="AL1387" i="4" s="1"/>
  <c r="R1387" i="4"/>
  <c r="AG1387" i="4" s="1"/>
  <c r="S1387" i="4"/>
  <c r="AN1387" i="4" s="1"/>
  <c r="U1387" i="4"/>
  <c r="V1387" i="4"/>
  <c r="W1387" i="4"/>
  <c r="X1387" i="4"/>
  <c r="Y1387" i="4"/>
  <c r="Z1387" i="4"/>
  <c r="AA1387" i="4"/>
  <c r="AB1387" i="4"/>
  <c r="AC1387" i="4"/>
  <c r="AJ1387" i="4"/>
  <c r="P1388" i="4"/>
  <c r="AE1388" i="4" s="1"/>
  <c r="Q1388" i="4"/>
  <c r="AL1388" i="4" s="1"/>
  <c r="R1388" i="4"/>
  <c r="AM1388" i="4" s="1"/>
  <c r="S1388" i="4"/>
  <c r="AN1388" i="4" s="1"/>
  <c r="U1388" i="4"/>
  <c r="V1388" i="4"/>
  <c r="W1388" i="4"/>
  <c r="X1388" i="4"/>
  <c r="Y1388" i="4"/>
  <c r="Z1388" i="4"/>
  <c r="AA1388" i="4"/>
  <c r="AB1388" i="4"/>
  <c r="AC1388" i="4"/>
  <c r="AJ1388" i="4"/>
  <c r="P1389" i="4"/>
  <c r="AE1389" i="4" s="1"/>
  <c r="Q1389" i="4"/>
  <c r="R1389" i="4"/>
  <c r="AM1389" i="4" s="1"/>
  <c r="S1389" i="4"/>
  <c r="AN1389" i="4" s="1"/>
  <c r="U1389" i="4"/>
  <c r="V1389" i="4"/>
  <c r="W1389" i="4"/>
  <c r="X1389" i="4"/>
  <c r="Y1389" i="4"/>
  <c r="Z1389" i="4"/>
  <c r="AA1389" i="4"/>
  <c r="AB1389" i="4"/>
  <c r="AC1389" i="4"/>
  <c r="AF1389" i="4"/>
  <c r="AJ1389" i="4"/>
  <c r="AL1389" i="4"/>
  <c r="P1390" i="4"/>
  <c r="Q1390" i="4"/>
  <c r="AF1390" i="4" s="1"/>
  <c r="R1390" i="4"/>
  <c r="S1390" i="4"/>
  <c r="AN1390" i="4" s="1"/>
  <c r="U1390" i="4"/>
  <c r="V1390" i="4"/>
  <c r="W1390" i="4"/>
  <c r="X1390" i="4"/>
  <c r="Y1390" i="4"/>
  <c r="Z1390" i="4"/>
  <c r="AA1390" i="4"/>
  <c r="AB1390" i="4"/>
  <c r="AC1390" i="4"/>
  <c r="AE1390" i="4"/>
  <c r="AH1390" i="4" s="1"/>
  <c r="AI1390" i="4" s="1"/>
  <c r="AG1390" i="4"/>
  <c r="AJ1390" i="4"/>
  <c r="AK1390" i="4"/>
  <c r="AL1390" i="4"/>
  <c r="AM1390" i="4"/>
  <c r="P1391" i="4"/>
  <c r="AK1391" i="4" s="1"/>
  <c r="Q1391" i="4"/>
  <c r="R1391" i="4"/>
  <c r="AG1391" i="4" s="1"/>
  <c r="S1391" i="4"/>
  <c r="U1391" i="4"/>
  <c r="V1391" i="4"/>
  <c r="W1391" i="4"/>
  <c r="X1391" i="4"/>
  <c r="Y1391" i="4"/>
  <c r="Z1391" i="4"/>
  <c r="AA1391" i="4"/>
  <c r="AB1391" i="4"/>
  <c r="AC1391" i="4"/>
  <c r="AF1391" i="4"/>
  <c r="AJ1391" i="4"/>
  <c r="AL1391" i="4"/>
  <c r="AN1391" i="4"/>
  <c r="P1392" i="4"/>
  <c r="Q1392" i="4"/>
  <c r="AL1392" i="4" s="1"/>
  <c r="R1392" i="4"/>
  <c r="S1392" i="4"/>
  <c r="U1392" i="4"/>
  <c r="V1392" i="4"/>
  <c r="W1392" i="4"/>
  <c r="X1392" i="4"/>
  <c r="Y1392" i="4"/>
  <c r="Z1392" i="4"/>
  <c r="AA1392" i="4"/>
  <c r="AB1392" i="4"/>
  <c r="AC1392" i="4"/>
  <c r="AE1392" i="4"/>
  <c r="AG1392" i="4"/>
  <c r="AJ1392" i="4"/>
  <c r="AK1392" i="4"/>
  <c r="AM1392" i="4"/>
  <c r="AN1392" i="4"/>
  <c r="P1393" i="4"/>
  <c r="AE1393" i="4" s="1"/>
  <c r="Q1393" i="4"/>
  <c r="AL1393" i="4" s="1"/>
  <c r="R1393" i="4"/>
  <c r="AM1393" i="4" s="1"/>
  <c r="S1393" i="4"/>
  <c r="U1393" i="4"/>
  <c r="V1393" i="4"/>
  <c r="W1393" i="4"/>
  <c r="X1393" i="4"/>
  <c r="Y1393" i="4"/>
  <c r="Z1393" i="4"/>
  <c r="AA1393" i="4"/>
  <c r="AB1393" i="4"/>
  <c r="AC1393" i="4"/>
  <c r="AF1393" i="4"/>
  <c r="AG1393" i="4"/>
  <c r="AJ1393" i="4"/>
  <c r="AN1393" i="4"/>
  <c r="P1394" i="4"/>
  <c r="AK1394" i="4" s="1"/>
  <c r="Q1394" i="4"/>
  <c r="AF1394" i="4" s="1"/>
  <c r="R1394" i="4"/>
  <c r="S1394" i="4"/>
  <c r="AN1394" i="4" s="1"/>
  <c r="U1394" i="4"/>
  <c r="V1394" i="4"/>
  <c r="W1394" i="4"/>
  <c r="X1394" i="4"/>
  <c r="Y1394" i="4"/>
  <c r="Z1394" i="4"/>
  <c r="AA1394" i="4"/>
  <c r="AB1394" i="4"/>
  <c r="AC1394" i="4"/>
  <c r="AG1394" i="4"/>
  <c r="AJ1394" i="4"/>
  <c r="AM1394" i="4"/>
  <c r="P1395" i="4"/>
  <c r="AK1395" i="4" s="1"/>
  <c r="Q1395" i="4"/>
  <c r="AL1395" i="4" s="1"/>
  <c r="R1395" i="4"/>
  <c r="AG1395" i="4" s="1"/>
  <c r="S1395" i="4"/>
  <c r="AN1395" i="4" s="1"/>
  <c r="U1395" i="4"/>
  <c r="V1395" i="4"/>
  <c r="W1395" i="4"/>
  <c r="X1395" i="4"/>
  <c r="Y1395" i="4"/>
  <c r="Z1395" i="4"/>
  <c r="AA1395" i="4"/>
  <c r="AB1395" i="4"/>
  <c r="AC1395" i="4"/>
  <c r="AJ1395" i="4"/>
  <c r="P1396" i="4"/>
  <c r="AE1396" i="4" s="1"/>
  <c r="Q1396" i="4"/>
  <c r="AL1396" i="4" s="1"/>
  <c r="R1396" i="4"/>
  <c r="AM1396" i="4" s="1"/>
  <c r="S1396" i="4"/>
  <c r="AN1396" i="4" s="1"/>
  <c r="U1396" i="4"/>
  <c r="V1396" i="4"/>
  <c r="W1396" i="4"/>
  <c r="X1396" i="4"/>
  <c r="Y1396" i="4"/>
  <c r="Z1396" i="4"/>
  <c r="AA1396" i="4"/>
  <c r="AB1396" i="4"/>
  <c r="AC1396" i="4"/>
  <c r="AJ1396" i="4"/>
  <c r="P1397" i="4"/>
  <c r="AE1397" i="4" s="1"/>
  <c r="Q1397" i="4"/>
  <c r="R1397" i="4"/>
  <c r="AM1397" i="4" s="1"/>
  <c r="S1397" i="4"/>
  <c r="AN1397" i="4" s="1"/>
  <c r="U1397" i="4"/>
  <c r="V1397" i="4"/>
  <c r="W1397" i="4"/>
  <c r="X1397" i="4"/>
  <c r="Y1397" i="4"/>
  <c r="Z1397" i="4"/>
  <c r="AA1397" i="4"/>
  <c r="AB1397" i="4"/>
  <c r="AC1397" i="4"/>
  <c r="AF1397" i="4"/>
  <c r="AJ1397" i="4"/>
  <c r="AL1397" i="4"/>
  <c r="P1398" i="4"/>
  <c r="Q1398" i="4"/>
  <c r="AF1398" i="4" s="1"/>
  <c r="R1398" i="4"/>
  <c r="S1398" i="4"/>
  <c r="AN1398" i="4" s="1"/>
  <c r="U1398" i="4"/>
  <c r="V1398" i="4"/>
  <c r="W1398" i="4"/>
  <c r="X1398" i="4"/>
  <c r="Y1398" i="4"/>
  <c r="Z1398" i="4"/>
  <c r="AA1398" i="4"/>
  <c r="AB1398" i="4"/>
  <c r="AC1398" i="4"/>
  <c r="AE1398" i="4"/>
  <c r="AG1398" i="4"/>
  <c r="AJ1398" i="4"/>
  <c r="AK1398" i="4"/>
  <c r="AL1398" i="4"/>
  <c r="AM1398" i="4"/>
  <c r="P1399" i="4"/>
  <c r="AK1399" i="4" s="1"/>
  <c r="Q1399" i="4"/>
  <c r="R1399" i="4"/>
  <c r="AG1399" i="4" s="1"/>
  <c r="S1399" i="4"/>
  <c r="U1399" i="4"/>
  <c r="V1399" i="4"/>
  <c r="W1399" i="4"/>
  <c r="X1399" i="4"/>
  <c r="Y1399" i="4"/>
  <c r="Z1399" i="4"/>
  <c r="AA1399" i="4"/>
  <c r="AB1399" i="4"/>
  <c r="AC1399" i="4"/>
  <c r="AF1399" i="4"/>
  <c r="AJ1399" i="4"/>
  <c r="AL1399" i="4"/>
  <c r="AN1399" i="4"/>
  <c r="P1400" i="4"/>
  <c r="Q1400" i="4"/>
  <c r="AL1400" i="4" s="1"/>
  <c r="R1400" i="4"/>
  <c r="S1400" i="4"/>
  <c r="U1400" i="4"/>
  <c r="V1400" i="4"/>
  <c r="W1400" i="4"/>
  <c r="X1400" i="4"/>
  <c r="Y1400" i="4"/>
  <c r="Z1400" i="4"/>
  <c r="AA1400" i="4"/>
  <c r="AB1400" i="4"/>
  <c r="AC1400" i="4"/>
  <c r="AE1400" i="4"/>
  <c r="AG1400" i="4"/>
  <c r="AJ1400" i="4"/>
  <c r="AK1400" i="4"/>
  <c r="AM1400" i="4"/>
  <c r="AN1400" i="4"/>
  <c r="P1401" i="4"/>
  <c r="AE1401" i="4" s="1"/>
  <c r="Q1401" i="4"/>
  <c r="AL1401" i="4" s="1"/>
  <c r="R1401" i="4"/>
  <c r="AM1401" i="4" s="1"/>
  <c r="S1401" i="4"/>
  <c r="U1401" i="4"/>
  <c r="V1401" i="4"/>
  <c r="W1401" i="4"/>
  <c r="X1401" i="4"/>
  <c r="Y1401" i="4"/>
  <c r="Z1401" i="4"/>
  <c r="AA1401" i="4"/>
  <c r="AB1401" i="4"/>
  <c r="AC1401" i="4"/>
  <c r="AF1401" i="4"/>
  <c r="AG1401" i="4"/>
  <c r="AJ1401" i="4"/>
  <c r="AN1401" i="4"/>
  <c r="P1402" i="4"/>
  <c r="AK1402" i="4" s="1"/>
  <c r="Q1402" i="4"/>
  <c r="AF1402" i="4" s="1"/>
  <c r="R1402" i="4"/>
  <c r="S1402" i="4"/>
  <c r="AN1402" i="4" s="1"/>
  <c r="U1402" i="4"/>
  <c r="V1402" i="4"/>
  <c r="W1402" i="4"/>
  <c r="X1402" i="4"/>
  <c r="Y1402" i="4"/>
  <c r="Z1402" i="4"/>
  <c r="AA1402" i="4"/>
  <c r="AB1402" i="4"/>
  <c r="AC1402" i="4"/>
  <c r="AG1402" i="4"/>
  <c r="AJ1402" i="4"/>
  <c r="AM1402" i="4"/>
  <c r="P1403" i="4"/>
  <c r="AK1403" i="4" s="1"/>
  <c r="Q1403" i="4"/>
  <c r="AL1403" i="4" s="1"/>
  <c r="R1403" i="4"/>
  <c r="AG1403" i="4" s="1"/>
  <c r="S1403" i="4"/>
  <c r="AN1403" i="4" s="1"/>
  <c r="U1403" i="4"/>
  <c r="V1403" i="4"/>
  <c r="W1403" i="4"/>
  <c r="X1403" i="4"/>
  <c r="Y1403" i="4"/>
  <c r="Z1403" i="4"/>
  <c r="AA1403" i="4"/>
  <c r="AB1403" i="4"/>
  <c r="AC1403" i="4"/>
  <c r="AJ1403" i="4"/>
  <c r="P1404" i="4"/>
  <c r="AE1404" i="4" s="1"/>
  <c r="Q1404" i="4"/>
  <c r="AL1404" i="4" s="1"/>
  <c r="R1404" i="4"/>
  <c r="AM1404" i="4" s="1"/>
  <c r="S1404" i="4"/>
  <c r="AN1404" i="4" s="1"/>
  <c r="U1404" i="4"/>
  <c r="V1404" i="4"/>
  <c r="W1404" i="4"/>
  <c r="X1404" i="4"/>
  <c r="Y1404" i="4"/>
  <c r="Z1404" i="4"/>
  <c r="AA1404" i="4"/>
  <c r="AB1404" i="4"/>
  <c r="AC1404" i="4"/>
  <c r="AJ1404" i="4"/>
  <c r="P1405" i="4"/>
  <c r="AE1405" i="4" s="1"/>
  <c r="Q1405" i="4"/>
  <c r="R1405" i="4"/>
  <c r="AM1405" i="4" s="1"/>
  <c r="S1405" i="4"/>
  <c r="AN1405" i="4" s="1"/>
  <c r="U1405" i="4"/>
  <c r="V1405" i="4"/>
  <c r="W1405" i="4"/>
  <c r="X1405" i="4"/>
  <c r="Y1405" i="4"/>
  <c r="Z1405" i="4"/>
  <c r="AA1405" i="4"/>
  <c r="AB1405" i="4"/>
  <c r="AC1405" i="4"/>
  <c r="AF1405" i="4"/>
  <c r="AJ1405" i="4"/>
  <c r="AL1405" i="4"/>
  <c r="P1406" i="4"/>
  <c r="Q1406" i="4"/>
  <c r="AF1406" i="4" s="1"/>
  <c r="R1406" i="4"/>
  <c r="S1406" i="4"/>
  <c r="AN1406" i="4" s="1"/>
  <c r="U1406" i="4"/>
  <c r="V1406" i="4"/>
  <c r="W1406" i="4"/>
  <c r="X1406" i="4"/>
  <c r="Y1406" i="4"/>
  <c r="Z1406" i="4"/>
  <c r="AA1406" i="4"/>
  <c r="AB1406" i="4"/>
  <c r="AC1406" i="4"/>
  <c r="AE1406" i="4"/>
  <c r="AH1406" i="4" s="1"/>
  <c r="AI1406" i="4" s="1"/>
  <c r="AG1406" i="4"/>
  <c r="AJ1406" i="4"/>
  <c r="AK1406" i="4"/>
  <c r="AL1406" i="4"/>
  <c r="AM1406" i="4"/>
  <c r="P1407" i="4"/>
  <c r="AK1407" i="4" s="1"/>
  <c r="Q1407" i="4"/>
  <c r="R1407" i="4"/>
  <c r="AG1407" i="4" s="1"/>
  <c r="S1407" i="4"/>
  <c r="U1407" i="4"/>
  <c r="V1407" i="4"/>
  <c r="W1407" i="4"/>
  <c r="X1407" i="4"/>
  <c r="Y1407" i="4"/>
  <c r="Z1407" i="4"/>
  <c r="AA1407" i="4"/>
  <c r="AB1407" i="4"/>
  <c r="AC1407" i="4"/>
  <c r="AF1407" i="4"/>
  <c r="AJ1407" i="4"/>
  <c r="AL1407" i="4"/>
  <c r="AN1407" i="4"/>
  <c r="P1408" i="4"/>
  <c r="Q1408" i="4"/>
  <c r="AL1408" i="4" s="1"/>
  <c r="R1408" i="4"/>
  <c r="S1408" i="4"/>
  <c r="U1408" i="4"/>
  <c r="V1408" i="4"/>
  <c r="W1408" i="4"/>
  <c r="X1408" i="4"/>
  <c r="Y1408" i="4"/>
  <c r="Z1408" i="4"/>
  <c r="AA1408" i="4"/>
  <c r="AB1408" i="4"/>
  <c r="AC1408" i="4"/>
  <c r="AE1408" i="4"/>
  <c r="AG1408" i="4"/>
  <c r="AJ1408" i="4"/>
  <c r="AK1408" i="4"/>
  <c r="AM1408" i="4"/>
  <c r="AN1408" i="4"/>
  <c r="P1409" i="4"/>
  <c r="AE1409" i="4" s="1"/>
  <c r="Q1409" i="4"/>
  <c r="AL1409" i="4" s="1"/>
  <c r="R1409" i="4"/>
  <c r="AM1409" i="4" s="1"/>
  <c r="S1409" i="4"/>
  <c r="U1409" i="4"/>
  <c r="V1409" i="4"/>
  <c r="W1409" i="4"/>
  <c r="X1409" i="4"/>
  <c r="Y1409" i="4"/>
  <c r="Z1409" i="4"/>
  <c r="AA1409" i="4"/>
  <c r="AB1409" i="4"/>
  <c r="AC1409" i="4"/>
  <c r="AF1409" i="4"/>
  <c r="AG1409" i="4"/>
  <c r="AJ1409" i="4"/>
  <c r="AN1409" i="4"/>
  <c r="P1410" i="4"/>
  <c r="AK1410" i="4" s="1"/>
  <c r="Q1410" i="4"/>
  <c r="AF1410" i="4" s="1"/>
  <c r="R1410" i="4"/>
  <c r="S1410" i="4"/>
  <c r="AN1410" i="4" s="1"/>
  <c r="U1410" i="4"/>
  <c r="V1410" i="4"/>
  <c r="W1410" i="4"/>
  <c r="X1410" i="4"/>
  <c r="Y1410" i="4"/>
  <c r="Z1410" i="4"/>
  <c r="AA1410" i="4"/>
  <c r="AB1410" i="4"/>
  <c r="AC1410" i="4"/>
  <c r="AG1410" i="4"/>
  <c r="AJ1410" i="4"/>
  <c r="AM1410" i="4"/>
  <c r="P1411" i="4"/>
  <c r="AK1411" i="4" s="1"/>
  <c r="Q1411" i="4"/>
  <c r="AL1411" i="4" s="1"/>
  <c r="R1411" i="4"/>
  <c r="AG1411" i="4" s="1"/>
  <c r="S1411" i="4"/>
  <c r="AN1411" i="4" s="1"/>
  <c r="U1411" i="4"/>
  <c r="V1411" i="4"/>
  <c r="W1411" i="4"/>
  <c r="X1411" i="4"/>
  <c r="Y1411" i="4"/>
  <c r="Z1411" i="4"/>
  <c r="AA1411" i="4"/>
  <c r="AB1411" i="4"/>
  <c r="AC1411" i="4"/>
  <c r="AJ1411" i="4"/>
  <c r="P1412" i="4"/>
  <c r="AE1412" i="4" s="1"/>
  <c r="Q1412" i="4"/>
  <c r="AL1412" i="4" s="1"/>
  <c r="R1412" i="4"/>
  <c r="AM1412" i="4" s="1"/>
  <c r="S1412" i="4"/>
  <c r="AN1412" i="4" s="1"/>
  <c r="U1412" i="4"/>
  <c r="V1412" i="4"/>
  <c r="W1412" i="4"/>
  <c r="X1412" i="4"/>
  <c r="Y1412" i="4"/>
  <c r="Z1412" i="4"/>
  <c r="AA1412" i="4"/>
  <c r="AB1412" i="4"/>
  <c r="AC1412" i="4"/>
  <c r="AJ1412" i="4"/>
  <c r="P1413" i="4"/>
  <c r="AE1413" i="4" s="1"/>
  <c r="Q1413" i="4"/>
  <c r="R1413" i="4"/>
  <c r="AM1413" i="4" s="1"/>
  <c r="S1413" i="4"/>
  <c r="AN1413" i="4" s="1"/>
  <c r="U1413" i="4"/>
  <c r="V1413" i="4"/>
  <c r="W1413" i="4"/>
  <c r="X1413" i="4"/>
  <c r="Y1413" i="4"/>
  <c r="Z1413" i="4"/>
  <c r="AA1413" i="4"/>
  <c r="AB1413" i="4"/>
  <c r="AC1413" i="4"/>
  <c r="AF1413" i="4"/>
  <c r="AJ1413" i="4"/>
  <c r="AL1413" i="4"/>
  <c r="P1414" i="4"/>
  <c r="Q1414" i="4"/>
  <c r="AF1414" i="4" s="1"/>
  <c r="R1414" i="4"/>
  <c r="S1414" i="4"/>
  <c r="AN1414" i="4" s="1"/>
  <c r="U1414" i="4"/>
  <c r="V1414" i="4"/>
  <c r="W1414" i="4"/>
  <c r="X1414" i="4"/>
  <c r="Y1414" i="4"/>
  <c r="Z1414" i="4"/>
  <c r="AA1414" i="4"/>
  <c r="AB1414" i="4"/>
  <c r="AC1414" i="4"/>
  <c r="AE1414" i="4"/>
  <c r="AG1414" i="4"/>
  <c r="AJ1414" i="4"/>
  <c r="AK1414" i="4"/>
  <c r="AL1414" i="4"/>
  <c r="AM1414" i="4"/>
  <c r="P1415" i="4"/>
  <c r="AK1415" i="4" s="1"/>
  <c r="Q1415" i="4"/>
  <c r="R1415" i="4"/>
  <c r="AG1415" i="4" s="1"/>
  <c r="S1415" i="4"/>
  <c r="U1415" i="4"/>
  <c r="V1415" i="4"/>
  <c r="W1415" i="4"/>
  <c r="X1415" i="4"/>
  <c r="Y1415" i="4"/>
  <c r="Z1415" i="4"/>
  <c r="AA1415" i="4"/>
  <c r="AB1415" i="4"/>
  <c r="AC1415" i="4"/>
  <c r="AF1415" i="4"/>
  <c r="AJ1415" i="4"/>
  <c r="AL1415" i="4"/>
  <c r="AN1415" i="4"/>
  <c r="P1416" i="4"/>
  <c r="Q1416" i="4"/>
  <c r="AL1416" i="4" s="1"/>
  <c r="R1416" i="4"/>
  <c r="S1416" i="4"/>
  <c r="U1416" i="4"/>
  <c r="V1416" i="4"/>
  <c r="W1416" i="4"/>
  <c r="X1416" i="4"/>
  <c r="Y1416" i="4"/>
  <c r="Z1416" i="4"/>
  <c r="AA1416" i="4"/>
  <c r="AB1416" i="4"/>
  <c r="AC1416" i="4"/>
  <c r="AE1416" i="4"/>
  <c r="AG1416" i="4"/>
  <c r="AJ1416" i="4"/>
  <c r="AK1416" i="4"/>
  <c r="AM1416" i="4"/>
  <c r="AN1416" i="4"/>
  <c r="P1417" i="4"/>
  <c r="AE1417" i="4" s="1"/>
  <c r="Q1417" i="4"/>
  <c r="AL1417" i="4" s="1"/>
  <c r="R1417" i="4"/>
  <c r="AM1417" i="4" s="1"/>
  <c r="S1417" i="4"/>
  <c r="U1417" i="4"/>
  <c r="V1417" i="4"/>
  <c r="W1417" i="4"/>
  <c r="X1417" i="4"/>
  <c r="Y1417" i="4"/>
  <c r="Z1417" i="4"/>
  <c r="AA1417" i="4"/>
  <c r="AB1417" i="4"/>
  <c r="AC1417" i="4"/>
  <c r="AF1417" i="4"/>
  <c r="AG1417" i="4"/>
  <c r="AJ1417" i="4"/>
  <c r="AN1417" i="4"/>
  <c r="P1418" i="4"/>
  <c r="AK1418" i="4" s="1"/>
  <c r="Q1418" i="4"/>
  <c r="AF1418" i="4" s="1"/>
  <c r="R1418" i="4"/>
  <c r="S1418" i="4"/>
  <c r="AN1418" i="4" s="1"/>
  <c r="U1418" i="4"/>
  <c r="V1418" i="4"/>
  <c r="W1418" i="4"/>
  <c r="X1418" i="4"/>
  <c r="Y1418" i="4"/>
  <c r="Z1418" i="4"/>
  <c r="AA1418" i="4"/>
  <c r="AB1418" i="4"/>
  <c r="AC1418" i="4"/>
  <c r="AG1418" i="4"/>
  <c r="AJ1418" i="4"/>
  <c r="AM1418" i="4"/>
  <c r="P1419" i="4"/>
  <c r="AK1419" i="4" s="1"/>
  <c r="Q1419" i="4"/>
  <c r="R1419" i="4"/>
  <c r="S1419" i="4"/>
  <c r="AN1419" i="4" s="1"/>
  <c r="U1419" i="4"/>
  <c r="V1419" i="4"/>
  <c r="W1419" i="4"/>
  <c r="X1419" i="4"/>
  <c r="Y1419" i="4"/>
  <c r="Z1419" i="4"/>
  <c r="AA1419" i="4"/>
  <c r="AB1419" i="4"/>
  <c r="AC1419" i="4"/>
  <c r="AJ1419" i="4"/>
  <c r="P1420" i="4"/>
  <c r="AE1420" i="4" s="1"/>
  <c r="Q1420" i="4"/>
  <c r="AL1420" i="4" s="1"/>
  <c r="R1420" i="4"/>
  <c r="S1420" i="4"/>
  <c r="AN1420" i="4" s="1"/>
  <c r="U1420" i="4"/>
  <c r="V1420" i="4"/>
  <c r="W1420" i="4"/>
  <c r="X1420" i="4"/>
  <c r="Y1420" i="4"/>
  <c r="Z1420" i="4"/>
  <c r="AA1420" i="4"/>
  <c r="AB1420" i="4"/>
  <c r="AC1420" i="4"/>
  <c r="AJ1420" i="4"/>
  <c r="P1421" i="4"/>
  <c r="AE1421" i="4" s="1"/>
  <c r="Q1421" i="4"/>
  <c r="R1421" i="4"/>
  <c r="AM1421" i="4" s="1"/>
  <c r="S1421" i="4"/>
  <c r="AN1421" i="4" s="1"/>
  <c r="U1421" i="4"/>
  <c r="V1421" i="4"/>
  <c r="W1421" i="4"/>
  <c r="X1421" i="4"/>
  <c r="Y1421" i="4"/>
  <c r="Z1421" i="4"/>
  <c r="AA1421" i="4"/>
  <c r="AB1421" i="4"/>
  <c r="AC1421" i="4"/>
  <c r="AF1421" i="4"/>
  <c r="AJ1421" i="4"/>
  <c r="AL1421" i="4"/>
  <c r="P1422" i="4"/>
  <c r="Q1422" i="4"/>
  <c r="AF1422" i="4" s="1"/>
  <c r="R1422" i="4"/>
  <c r="S1422" i="4"/>
  <c r="AN1422" i="4" s="1"/>
  <c r="U1422" i="4"/>
  <c r="V1422" i="4"/>
  <c r="W1422" i="4"/>
  <c r="X1422" i="4"/>
  <c r="Y1422" i="4"/>
  <c r="Z1422" i="4"/>
  <c r="AA1422" i="4"/>
  <c r="AB1422" i="4"/>
  <c r="AC1422" i="4"/>
  <c r="AE1422" i="4"/>
  <c r="AG1422" i="4"/>
  <c r="AJ1422" i="4"/>
  <c r="AK1422" i="4"/>
  <c r="AL1422" i="4"/>
  <c r="AM1422" i="4"/>
  <c r="P1423" i="4"/>
  <c r="AK1423" i="4" s="1"/>
  <c r="Q1423" i="4"/>
  <c r="R1423" i="4"/>
  <c r="AG1423" i="4" s="1"/>
  <c r="S1423" i="4"/>
  <c r="U1423" i="4"/>
  <c r="V1423" i="4"/>
  <c r="W1423" i="4"/>
  <c r="X1423" i="4"/>
  <c r="Y1423" i="4"/>
  <c r="Z1423" i="4"/>
  <c r="AA1423" i="4"/>
  <c r="AB1423" i="4"/>
  <c r="AC1423" i="4"/>
  <c r="AF1423" i="4"/>
  <c r="AJ1423" i="4"/>
  <c r="AL1423" i="4"/>
  <c r="AN1423" i="4"/>
  <c r="P1424" i="4"/>
  <c r="Q1424" i="4"/>
  <c r="AL1424" i="4" s="1"/>
  <c r="R1424" i="4"/>
  <c r="S1424" i="4"/>
  <c r="U1424" i="4"/>
  <c r="V1424" i="4"/>
  <c r="W1424" i="4"/>
  <c r="X1424" i="4"/>
  <c r="Y1424" i="4"/>
  <c r="Z1424" i="4"/>
  <c r="AA1424" i="4"/>
  <c r="AB1424" i="4"/>
  <c r="AC1424" i="4"/>
  <c r="AE1424" i="4"/>
  <c r="AG1424" i="4"/>
  <c r="AJ1424" i="4"/>
  <c r="AK1424" i="4"/>
  <c r="AM1424" i="4"/>
  <c r="AN1424" i="4"/>
  <c r="P1425" i="4"/>
  <c r="Q1425" i="4"/>
  <c r="AL1425" i="4" s="1"/>
  <c r="R1425" i="4"/>
  <c r="AM1425" i="4" s="1"/>
  <c r="S1425" i="4"/>
  <c r="U1425" i="4"/>
  <c r="V1425" i="4"/>
  <c r="W1425" i="4"/>
  <c r="X1425" i="4"/>
  <c r="Y1425" i="4"/>
  <c r="Z1425" i="4"/>
  <c r="AA1425" i="4"/>
  <c r="AB1425" i="4"/>
  <c r="AC1425" i="4"/>
  <c r="AF1425" i="4"/>
  <c r="AG1425" i="4"/>
  <c r="AJ1425" i="4"/>
  <c r="AN1425" i="4"/>
  <c r="P1426" i="4"/>
  <c r="Q1426" i="4"/>
  <c r="R1426" i="4"/>
  <c r="S1426" i="4"/>
  <c r="AN1426" i="4" s="1"/>
  <c r="U1426" i="4"/>
  <c r="V1426" i="4"/>
  <c r="W1426" i="4"/>
  <c r="X1426" i="4"/>
  <c r="Y1426" i="4"/>
  <c r="Z1426" i="4"/>
  <c r="AA1426" i="4"/>
  <c r="AB1426" i="4"/>
  <c r="AC1426" i="4"/>
  <c r="AG1426" i="4"/>
  <c r="AJ1426" i="4"/>
  <c r="AM1426" i="4"/>
  <c r="P1427" i="4"/>
  <c r="Q1427" i="4"/>
  <c r="R1427" i="4"/>
  <c r="S1427" i="4"/>
  <c r="AN1427" i="4" s="1"/>
  <c r="U1427" i="4"/>
  <c r="V1427" i="4"/>
  <c r="W1427" i="4"/>
  <c r="X1427" i="4"/>
  <c r="Y1427" i="4"/>
  <c r="Z1427" i="4"/>
  <c r="AA1427" i="4"/>
  <c r="AB1427" i="4"/>
  <c r="AC1427" i="4"/>
  <c r="AJ1427" i="4"/>
  <c r="P1428" i="4"/>
  <c r="AE1428" i="4" s="1"/>
  <c r="Q1428" i="4"/>
  <c r="R1428" i="4"/>
  <c r="S1428" i="4"/>
  <c r="AN1428" i="4" s="1"/>
  <c r="U1428" i="4"/>
  <c r="V1428" i="4"/>
  <c r="W1428" i="4"/>
  <c r="X1428" i="4"/>
  <c r="Y1428" i="4"/>
  <c r="Z1428" i="4"/>
  <c r="AA1428" i="4"/>
  <c r="AB1428" i="4"/>
  <c r="AC1428" i="4"/>
  <c r="AJ1428" i="4"/>
  <c r="P1429" i="4"/>
  <c r="AE1429" i="4" s="1"/>
  <c r="Q1429" i="4"/>
  <c r="R1429" i="4"/>
  <c r="S1429" i="4"/>
  <c r="AN1429" i="4" s="1"/>
  <c r="U1429" i="4"/>
  <c r="V1429" i="4"/>
  <c r="W1429" i="4"/>
  <c r="X1429" i="4"/>
  <c r="Y1429" i="4"/>
  <c r="Z1429" i="4"/>
  <c r="AA1429" i="4"/>
  <c r="AB1429" i="4"/>
  <c r="AC1429" i="4"/>
  <c r="AF1429" i="4"/>
  <c r="AJ1429" i="4"/>
  <c r="AL1429" i="4"/>
  <c r="P1430" i="4"/>
  <c r="Q1430" i="4"/>
  <c r="AF1430" i="4" s="1"/>
  <c r="R1430" i="4"/>
  <c r="S1430" i="4"/>
  <c r="AN1430" i="4" s="1"/>
  <c r="U1430" i="4"/>
  <c r="V1430" i="4"/>
  <c r="W1430" i="4"/>
  <c r="X1430" i="4"/>
  <c r="Y1430" i="4"/>
  <c r="Z1430" i="4"/>
  <c r="AA1430" i="4"/>
  <c r="AB1430" i="4"/>
  <c r="AC1430" i="4"/>
  <c r="AE1430" i="4"/>
  <c r="AG1430" i="4"/>
  <c r="AJ1430" i="4"/>
  <c r="AK1430" i="4"/>
  <c r="AL1430" i="4"/>
  <c r="AM1430" i="4"/>
  <c r="P1431" i="4"/>
  <c r="AK1431" i="4" s="1"/>
  <c r="Q1431" i="4"/>
  <c r="R1431" i="4"/>
  <c r="AG1431" i="4" s="1"/>
  <c r="S1431" i="4"/>
  <c r="U1431" i="4"/>
  <c r="V1431" i="4"/>
  <c r="W1431" i="4"/>
  <c r="X1431" i="4"/>
  <c r="Y1431" i="4"/>
  <c r="Z1431" i="4"/>
  <c r="AA1431" i="4"/>
  <c r="AB1431" i="4"/>
  <c r="AC1431" i="4"/>
  <c r="AF1431" i="4"/>
  <c r="AJ1431" i="4"/>
  <c r="AL1431" i="4"/>
  <c r="AM1431" i="4"/>
  <c r="AN1431" i="4"/>
  <c r="P1432" i="4"/>
  <c r="AE1432" i="4" s="1"/>
  <c r="Q1432" i="4"/>
  <c r="AL1432" i="4" s="1"/>
  <c r="R1432" i="4"/>
  <c r="AM1432" i="4" s="1"/>
  <c r="S1432" i="4"/>
  <c r="U1432" i="4"/>
  <c r="V1432" i="4"/>
  <c r="W1432" i="4"/>
  <c r="X1432" i="4"/>
  <c r="Y1432" i="4"/>
  <c r="Z1432" i="4"/>
  <c r="AA1432" i="4"/>
  <c r="AB1432" i="4"/>
  <c r="AC1432" i="4"/>
  <c r="AG1432" i="4"/>
  <c r="AJ1432" i="4"/>
  <c r="AK1432" i="4"/>
  <c r="AN1432" i="4"/>
  <c r="P1433" i="4"/>
  <c r="Q1433" i="4"/>
  <c r="AL1433" i="4" s="1"/>
  <c r="R1433" i="4"/>
  <c r="AM1433" i="4" s="1"/>
  <c r="S1433" i="4"/>
  <c r="U1433" i="4"/>
  <c r="V1433" i="4"/>
  <c r="W1433" i="4"/>
  <c r="X1433" i="4"/>
  <c r="Y1433" i="4"/>
  <c r="Z1433" i="4"/>
  <c r="AA1433" i="4"/>
  <c r="AB1433" i="4"/>
  <c r="AC1433" i="4"/>
  <c r="AF1433" i="4"/>
  <c r="AG1433" i="4"/>
  <c r="AJ1433" i="4"/>
  <c r="AN1433" i="4"/>
  <c r="P1434" i="4"/>
  <c r="AE1434" i="4" s="1"/>
  <c r="Q1434" i="4"/>
  <c r="R1434" i="4"/>
  <c r="S1434" i="4"/>
  <c r="AN1434" i="4" s="1"/>
  <c r="U1434" i="4"/>
  <c r="V1434" i="4"/>
  <c r="W1434" i="4"/>
  <c r="X1434" i="4"/>
  <c r="Y1434" i="4"/>
  <c r="Z1434" i="4"/>
  <c r="AA1434" i="4"/>
  <c r="AB1434" i="4"/>
  <c r="AC1434" i="4"/>
  <c r="AG1434" i="4"/>
  <c r="AJ1434" i="4"/>
  <c r="AM1434" i="4"/>
  <c r="P1435" i="4"/>
  <c r="Q1435" i="4"/>
  <c r="AF1435" i="4" s="1"/>
  <c r="R1435" i="4"/>
  <c r="S1435" i="4"/>
  <c r="AN1435" i="4" s="1"/>
  <c r="U1435" i="4"/>
  <c r="V1435" i="4"/>
  <c r="W1435" i="4"/>
  <c r="X1435" i="4"/>
  <c r="Y1435" i="4"/>
  <c r="Z1435" i="4"/>
  <c r="AA1435" i="4"/>
  <c r="AB1435" i="4"/>
  <c r="AC1435" i="4"/>
  <c r="AJ1435" i="4"/>
  <c r="P1436" i="4"/>
  <c r="AE1436" i="4" s="1"/>
  <c r="Q1436" i="4"/>
  <c r="R1436" i="4"/>
  <c r="AG1436" i="4" s="1"/>
  <c r="S1436" i="4"/>
  <c r="AN1436" i="4" s="1"/>
  <c r="U1436" i="4"/>
  <c r="V1436" i="4"/>
  <c r="W1436" i="4"/>
  <c r="X1436" i="4"/>
  <c r="Y1436" i="4"/>
  <c r="Z1436" i="4"/>
  <c r="AA1436" i="4"/>
  <c r="AB1436" i="4"/>
  <c r="AC1436" i="4"/>
  <c r="AJ1436" i="4"/>
  <c r="P1437" i="4"/>
  <c r="AE1437" i="4" s="1"/>
  <c r="Q1437" i="4"/>
  <c r="R1437" i="4"/>
  <c r="S1437" i="4"/>
  <c r="U1437" i="4"/>
  <c r="V1437" i="4"/>
  <c r="W1437" i="4"/>
  <c r="X1437" i="4"/>
  <c r="Y1437" i="4"/>
  <c r="Z1437" i="4"/>
  <c r="AA1437" i="4"/>
  <c r="AB1437" i="4"/>
  <c r="AC1437" i="4"/>
  <c r="AF1437" i="4"/>
  <c r="AJ1437" i="4"/>
  <c r="AL1437" i="4"/>
  <c r="AN1437" i="4"/>
  <c r="P1438" i="4"/>
  <c r="AE1438" i="4" s="1"/>
  <c r="Q1438" i="4"/>
  <c r="AF1438" i="4" s="1"/>
  <c r="R1438" i="4"/>
  <c r="S1438" i="4"/>
  <c r="AN1438" i="4" s="1"/>
  <c r="U1438" i="4"/>
  <c r="V1438" i="4"/>
  <c r="W1438" i="4"/>
  <c r="X1438" i="4"/>
  <c r="Y1438" i="4"/>
  <c r="Z1438" i="4"/>
  <c r="AA1438" i="4"/>
  <c r="AB1438" i="4"/>
  <c r="AC1438" i="4"/>
  <c r="AG1438" i="4"/>
  <c r="AJ1438" i="4"/>
  <c r="AK1438" i="4"/>
  <c r="AL1438" i="4"/>
  <c r="AM1438" i="4"/>
  <c r="P1439" i="4"/>
  <c r="AK1439" i="4" s="1"/>
  <c r="Q1439" i="4"/>
  <c r="R1439" i="4"/>
  <c r="AG1439" i="4" s="1"/>
  <c r="S1439" i="4"/>
  <c r="U1439" i="4"/>
  <c r="V1439" i="4"/>
  <c r="W1439" i="4"/>
  <c r="X1439" i="4"/>
  <c r="Y1439" i="4"/>
  <c r="Z1439" i="4"/>
  <c r="AA1439" i="4"/>
  <c r="AB1439" i="4"/>
  <c r="AC1439" i="4"/>
  <c r="AF1439" i="4"/>
  <c r="AJ1439" i="4"/>
  <c r="AL1439" i="4"/>
  <c r="AM1439" i="4"/>
  <c r="AN1439" i="4"/>
  <c r="P1440" i="4"/>
  <c r="Q1440" i="4"/>
  <c r="AL1440" i="4" s="1"/>
  <c r="R1440" i="4"/>
  <c r="S1440" i="4"/>
  <c r="AN1440" i="4" s="1"/>
  <c r="U1440" i="4"/>
  <c r="V1440" i="4"/>
  <c r="W1440" i="4"/>
  <c r="X1440" i="4"/>
  <c r="Y1440" i="4"/>
  <c r="Z1440" i="4"/>
  <c r="AA1440" i="4"/>
  <c r="AB1440" i="4"/>
  <c r="AC1440" i="4"/>
  <c r="AE1440" i="4"/>
  <c r="AG1440" i="4"/>
  <c r="AJ1440" i="4"/>
  <c r="AK1440" i="4"/>
  <c r="AM1440" i="4"/>
  <c r="P1441" i="4"/>
  <c r="Q1441" i="4"/>
  <c r="R1441" i="4"/>
  <c r="AM1441" i="4" s="1"/>
  <c r="S1441" i="4"/>
  <c r="U1441" i="4"/>
  <c r="V1441" i="4"/>
  <c r="W1441" i="4"/>
  <c r="X1441" i="4"/>
  <c r="Y1441" i="4"/>
  <c r="Z1441" i="4"/>
  <c r="AA1441" i="4"/>
  <c r="AB1441" i="4"/>
  <c r="AC1441" i="4"/>
  <c r="AF1441" i="4"/>
  <c r="AG1441" i="4"/>
  <c r="AJ1441" i="4"/>
  <c r="AL1441" i="4"/>
  <c r="AN1441" i="4"/>
  <c r="P1442" i="4"/>
  <c r="AE1442" i="4" s="1"/>
  <c r="Q1442" i="4"/>
  <c r="R1442" i="4"/>
  <c r="AG1442" i="4" s="1"/>
  <c r="S1442" i="4"/>
  <c r="AN1442" i="4" s="1"/>
  <c r="U1442" i="4"/>
  <c r="V1442" i="4"/>
  <c r="W1442" i="4"/>
  <c r="X1442" i="4"/>
  <c r="Y1442" i="4"/>
  <c r="Z1442" i="4"/>
  <c r="AA1442" i="4"/>
  <c r="AB1442" i="4"/>
  <c r="AC1442" i="4"/>
  <c r="AJ1442" i="4"/>
  <c r="P1443" i="4"/>
  <c r="Q1443" i="4"/>
  <c r="AF1443" i="4" s="1"/>
  <c r="R1443" i="4"/>
  <c r="S1443" i="4"/>
  <c r="U1443" i="4"/>
  <c r="V1443" i="4"/>
  <c r="W1443" i="4"/>
  <c r="X1443" i="4"/>
  <c r="Y1443" i="4"/>
  <c r="Z1443" i="4"/>
  <c r="AA1443" i="4"/>
  <c r="AB1443" i="4"/>
  <c r="AC1443" i="4"/>
  <c r="AJ1443" i="4"/>
  <c r="AN1443" i="4"/>
  <c r="P1444" i="4"/>
  <c r="Q1444" i="4"/>
  <c r="R1444" i="4"/>
  <c r="AG1444" i="4" s="1"/>
  <c r="S1444" i="4"/>
  <c r="AN1444" i="4" s="1"/>
  <c r="U1444" i="4"/>
  <c r="V1444" i="4"/>
  <c r="W1444" i="4"/>
  <c r="X1444" i="4"/>
  <c r="Y1444" i="4"/>
  <c r="Z1444" i="4"/>
  <c r="AA1444" i="4"/>
  <c r="AB1444" i="4"/>
  <c r="AC1444" i="4"/>
  <c r="AE1444" i="4"/>
  <c r="AJ1444" i="4"/>
  <c r="AK1444" i="4"/>
  <c r="P1445" i="4"/>
  <c r="AE1445" i="4" s="1"/>
  <c r="Q1445" i="4"/>
  <c r="AL1445" i="4" s="1"/>
  <c r="R1445" i="4"/>
  <c r="S1445" i="4"/>
  <c r="U1445" i="4"/>
  <c r="V1445" i="4"/>
  <c r="W1445" i="4"/>
  <c r="X1445" i="4"/>
  <c r="Y1445" i="4"/>
  <c r="Z1445" i="4"/>
  <c r="AA1445" i="4"/>
  <c r="AB1445" i="4"/>
  <c r="AC1445" i="4"/>
  <c r="AF1445" i="4"/>
  <c r="AJ1445" i="4"/>
  <c r="AK1445" i="4"/>
  <c r="AN1445" i="4"/>
  <c r="P1446" i="4"/>
  <c r="Q1446" i="4"/>
  <c r="AF1446" i="4" s="1"/>
  <c r="R1446" i="4"/>
  <c r="S1446" i="4"/>
  <c r="AN1446" i="4" s="1"/>
  <c r="U1446" i="4"/>
  <c r="V1446" i="4"/>
  <c r="W1446" i="4"/>
  <c r="X1446" i="4"/>
  <c r="Y1446" i="4"/>
  <c r="Z1446" i="4"/>
  <c r="AA1446" i="4"/>
  <c r="AB1446" i="4"/>
  <c r="AC1446" i="4"/>
  <c r="AE1446" i="4"/>
  <c r="AG1446" i="4"/>
  <c r="AJ1446" i="4"/>
  <c r="AK1446" i="4"/>
  <c r="AL1446" i="4"/>
  <c r="AM1446" i="4"/>
  <c r="P1447" i="4"/>
  <c r="AK1447" i="4" s="1"/>
  <c r="Q1447" i="4"/>
  <c r="R1447" i="4"/>
  <c r="AG1447" i="4" s="1"/>
  <c r="S1447" i="4"/>
  <c r="U1447" i="4"/>
  <c r="V1447" i="4"/>
  <c r="W1447" i="4"/>
  <c r="X1447" i="4"/>
  <c r="Y1447" i="4"/>
  <c r="Z1447" i="4"/>
  <c r="AA1447" i="4"/>
  <c r="AB1447" i="4"/>
  <c r="AC1447" i="4"/>
  <c r="AF1447" i="4"/>
  <c r="AJ1447" i="4"/>
  <c r="AL1447" i="4"/>
  <c r="AM1447" i="4"/>
  <c r="AN1447" i="4"/>
  <c r="P1448" i="4"/>
  <c r="AE1448" i="4" s="1"/>
  <c r="Q1448" i="4"/>
  <c r="AL1448" i="4" s="1"/>
  <c r="R1448" i="4"/>
  <c r="AM1448" i="4" s="1"/>
  <c r="S1448" i="4"/>
  <c r="U1448" i="4"/>
  <c r="V1448" i="4"/>
  <c r="W1448" i="4"/>
  <c r="X1448" i="4"/>
  <c r="Y1448" i="4"/>
  <c r="Z1448" i="4"/>
  <c r="AA1448" i="4"/>
  <c r="AB1448" i="4"/>
  <c r="AC1448" i="4"/>
  <c r="AG1448" i="4"/>
  <c r="AJ1448" i="4"/>
  <c r="AK1448" i="4"/>
  <c r="AN1448" i="4"/>
  <c r="P1449" i="4"/>
  <c r="Q1449" i="4"/>
  <c r="AL1449" i="4" s="1"/>
  <c r="R1449" i="4"/>
  <c r="AM1449" i="4" s="1"/>
  <c r="S1449" i="4"/>
  <c r="U1449" i="4"/>
  <c r="V1449" i="4"/>
  <c r="W1449" i="4"/>
  <c r="X1449" i="4"/>
  <c r="Y1449" i="4"/>
  <c r="Z1449" i="4"/>
  <c r="AA1449" i="4"/>
  <c r="AB1449" i="4"/>
  <c r="AC1449" i="4"/>
  <c r="AF1449" i="4"/>
  <c r="AG1449" i="4"/>
  <c r="AJ1449" i="4"/>
  <c r="AN1449" i="4"/>
  <c r="P1450" i="4"/>
  <c r="AE1450" i="4" s="1"/>
  <c r="Q1450" i="4"/>
  <c r="R1450" i="4"/>
  <c r="S1450" i="4"/>
  <c r="AN1450" i="4" s="1"/>
  <c r="U1450" i="4"/>
  <c r="V1450" i="4"/>
  <c r="W1450" i="4"/>
  <c r="X1450" i="4"/>
  <c r="Y1450" i="4"/>
  <c r="Z1450" i="4"/>
  <c r="AA1450" i="4"/>
  <c r="AB1450" i="4"/>
  <c r="AC1450" i="4"/>
  <c r="AG1450" i="4"/>
  <c r="AJ1450" i="4"/>
  <c r="AM1450" i="4"/>
  <c r="P1451" i="4"/>
  <c r="Q1451" i="4"/>
  <c r="AF1451" i="4" s="1"/>
  <c r="R1451" i="4"/>
  <c r="S1451" i="4"/>
  <c r="U1451" i="4"/>
  <c r="V1451" i="4"/>
  <c r="W1451" i="4"/>
  <c r="X1451" i="4"/>
  <c r="Y1451" i="4"/>
  <c r="Z1451" i="4"/>
  <c r="AA1451" i="4"/>
  <c r="AB1451" i="4"/>
  <c r="AC1451" i="4"/>
  <c r="AJ1451" i="4"/>
  <c r="AN1451" i="4"/>
  <c r="P1452" i="4"/>
  <c r="Q1452" i="4"/>
  <c r="R1452" i="4"/>
  <c r="S1452" i="4"/>
  <c r="AN1452" i="4" s="1"/>
  <c r="U1452" i="4"/>
  <c r="V1452" i="4"/>
  <c r="W1452" i="4"/>
  <c r="X1452" i="4"/>
  <c r="Y1452" i="4"/>
  <c r="Z1452" i="4"/>
  <c r="AA1452" i="4"/>
  <c r="AB1452" i="4"/>
  <c r="AC1452" i="4"/>
  <c r="AE1452" i="4"/>
  <c r="AG1452" i="4"/>
  <c r="AJ1452" i="4"/>
  <c r="AK1452" i="4"/>
  <c r="AM1452" i="4"/>
  <c r="P1453" i="4"/>
  <c r="AE1453" i="4" s="1"/>
  <c r="Q1453" i="4"/>
  <c r="AL1453" i="4" s="1"/>
  <c r="R1453" i="4"/>
  <c r="S1453" i="4"/>
  <c r="U1453" i="4"/>
  <c r="V1453" i="4"/>
  <c r="W1453" i="4"/>
  <c r="X1453" i="4"/>
  <c r="Y1453" i="4"/>
  <c r="Z1453" i="4"/>
  <c r="AA1453" i="4"/>
  <c r="AB1453" i="4"/>
  <c r="AC1453" i="4"/>
  <c r="AF1453" i="4"/>
  <c r="AJ1453" i="4"/>
  <c r="AK1453" i="4"/>
  <c r="AN1453" i="4"/>
  <c r="P1454" i="4"/>
  <c r="Q1454" i="4"/>
  <c r="AF1454" i="4" s="1"/>
  <c r="R1454" i="4"/>
  <c r="S1454" i="4"/>
  <c r="AN1454" i="4" s="1"/>
  <c r="U1454" i="4"/>
  <c r="V1454" i="4"/>
  <c r="W1454" i="4"/>
  <c r="X1454" i="4"/>
  <c r="Y1454" i="4"/>
  <c r="Z1454" i="4"/>
  <c r="AA1454" i="4"/>
  <c r="AB1454" i="4"/>
  <c r="AC1454" i="4"/>
  <c r="AE1454" i="4"/>
  <c r="AG1454" i="4"/>
  <c r="AJ1454" i="4"/>
  <c r="AK1454" i="4"/>
  <c r="AM1454" i="4"/>
  <c r="P1455" i="4"/>
  <c r="AK1455" i="4" s="1"/>
  <c r="Q1455" i="4"/>
  <c r="AF1455" i="4" s="1"/>
  <c r="R1455" i="4"/>
  <c r="AG1455" i="4" s="1"/>
  <c r="S1455" i="4"/>
  <c r="AN1455" i="4" s="1"/>
  <c r="U1455" i="4"/>
  <c r="V1455" i="4"/>
  <c r="W1455" i="4"/>
  <c r="X1455" i="4"/>
  <c r="Y1455" i="4"/>
  <c r="Z1455" i="4"/>
  <c r="AA1455" i="4"/>
  <c r="AB1455" i="4"/>
  <c r="AC1455" i="4"/>
  <c r="AE1455" i="4"/>
  <c r="AJ1455" i="4"/>
  <c r="AM1455" i="4"/>
  <c r="P1456" i="4"/>
  <c r="AE1456" i="4" s="1"/>
  <c r="Q1456" i="4"/>
  <c r="AL1456" i="4" s="1"/>
  <c r="R1456" i="4"/>
  <c r="AM1456" i="4" s="1"/>
  <c r="S1456" i="4"/>
  <c r="U1456" i="4"/>
  <c r="V1456" i="4"/>
  <c r="W1456" i="4"/>
  <c r="X1456" i="4"/>
  <c r="Y1456" i="4"/>
  <c r="Z1456" i="4"/>
  <c r="AA1456" i="4"/>
  <c r="AB1456" i="4"/>
  <c r="AC1456" i="4"/>
  <c r="AG1456" i="4"/>
  <c r="AJ1456" i="4"/>
  <c r="AK1456" i="4"/>
  <c r="AN1456" i="4"/>
  <c r="P1457" i="4"/>
  <c r="Q1457" i="4"/>
  <c r="R1457" i="4"/>
  <c r="AM1457" i="4" s="1"/>
  <c r="S1457" i="4"/>
  <c r="AN1457" i="4" s="1"/>
  <c r="U1457" i="4"/>
  <c r="V1457" i="4"/>
  <c r="W1457" i="4"/>
  <c r="X1457" i="4"/>
  <c r="Y1457" i="4"/>
  <c r="Z1457" i="4"/>
  <c r="AA1457" i="4"/>
  <c r="AB1457" i="4"/>
  <c r="AC1457" i="4"/>
  <c r="AF1457" i="4"/>
  <c r="AJ1457" i="4"/>
  <c r="AL1457" i="4"/>
  <c r="P1458" i="4"/>
  <c r="AE1458" i="4" s="1"/>
  <c r="Q1458" i="4"/>
  <c r="R1458" i="4"/>
  <c r="AG1458" i="4" s="1"/>
  <c r="S1458" i="4"/>
  <c r="AN1458" i="4" s="1"/>
  <c r="U1458" i="4"/>
  <c r="V1458" i="4"/>
  <c r="W1458" i="4"/>
  <c r="X1458" i="4"/>
  <c r="Y1458" i="4"/>
  <c r="Z1458" i="4"/>
  <c r="AA1458" i="4"/>
  <c r="AB1458" i="4"/>
  <c r="AC1458" i="4"/>
  <c r="AJ1458" i="4"/>
  <c r="P1459" i="4"/>
  <c r="Q1459" i="4"/>
  <c r="R1459" i="4"/>
  <c r="S1459" i="4"/>
  <c r="U1459" i="4"/>
  <c r="V1459" i="4"/>
  <c r="W1459" i="4"/>
  <c r="X1459" i="4"/>
  <c r="Y1459" i="4"/>
  <c r="Z1459" i="4"/>
  <c r="AA1459" i="4"/>
  <c r="AB1459" i="4"/>
  <c r="AC1459" i="4"/>
  <c r="AF1459" i="4"/>
  <c r="AJ1459" i="4"/>
  <c r="AL1459" i="4"/>
  <c r="AN1459" i="4"/>
  <c r="P1460" i="4"/>
  <c r="Q1460" i="4"/>
  <c r="R1460" i="4"/>
  <c r="AG1460" i="4" s="1"/>
  <c r="S1460" i="4"/>
  <c r="AN1460" i="4" s="1"/>
  <c r="U1460" i="4"/>
  <c r="V1460" i="4"/>
  <c r="W1460" i="4"/>
  <c r="X1460" i="4"/>
  <c r="Y1460" i="4"/>
  <c r="Z1460" i="4"/>
  <c r="AA1460" i="4"/>
  <c r="AB1460" i="4"/>
  <c r="AC1460" i="4"/>
  <c r="AE1460" i="4"/>
  <c r="AJ1460" i="4"/>
  <c r="AK1460" i="4"/>
  <c r="AM1460" i="4"/>
  <c r="P1461" i="4"/>
  <c r="AE1461" i="4" s="1"/>
  <c r="Q1461" i="4"/>
  <c r="R1461" i="4"/>
  <c r="S1461" i="4"/>
  <c r="U1461" i="4"/>
  <c r="V1461" i="4"/>
  <c r="W1461" i="4"/>
  <c r="X1461" i="4"/>
  <c r="Y1461" i="4"/>
  <c r="Z1461" i="4"/>
  <c r="AA1461" i="4"/>
  <c r="AB1461" i="4"/>
  <c r="AC1461" i="4"/>
  <c r="AF1461" i="4"/>
  <c r="AJ1461" i="4"/>
  <c r="AL1461" i="4"/>
  <c r="AN1461" i="4"/>
  <c r="P1462" i="4"/>
  <c r="AE1462" i="4" s="1"/>
  <c r="Q1462" i="4"/>
  <c r="AF1462" i="4" s="1"/>
  <c r="R1462" i="4"/>
  <c r="S1462" i="4"/>
  <c r="AN1462" i="4" s="1"/>
  <c r="U1462" i="4"/>
  <c r="V1462" i="4"/>
  <c r="W1462" i="4"/>
  <c r="X1462" i="4"/>
  <c r="Y1462" i="4"/>
  <c r="Z1462" i="4"/>
  <c r="AA1462" i="4"/>
  <c r="AB1462" i="4"/>
  <c r="AC1462" i="4"/>
  <c r="AG1462" i="4"/>
  <c r="AJ1462" i="4"/>
  <c r="AK1462" i="4"/>
  <c r="AL1462" i="4"/>
  <c r="AM1462" i="4"/>
  <c r="P1463" i="4"/>
  <c r="AK1463" i="4" s="1"/>
  <c r="Q1463" i="4"/>
  <c r="R1463" i="4"/>
  <c r="AG1463" i="4" s="1"/>
  <c r="S1463" i="4"/>
  <c r="U1463" i="4"/>
  <c r="V1463" i="4"/>
  <c r="W1463" i="4"/>
  <c r="X1463" i="4"/>
  <c r="Y1463" i="4"/>
  <c r="Z1463" i="4"/>
  <c r="AA1463" i="4"/>
  <c r="AB1463" i="4"/>
  <c r="AC1463" i="4"/>
  <c r="AF1463" i="4"/>
  <c r="AJ1463" i="4"/>
  <c r="AL1463" i="4"/>
  <c r="AM1463" i="4"/>
  <c r="AN1463" i="4"/>
  <c r="P1464" i="4"/>
  <c r="Q1464" i="4"/>
  <c r="AL1464" i="4" s="1"/>
  <c r="R1464" i="4"/>
  <c r="S1464" i="4"/>
  <c r="AN1464" i="4" s="1"/>
  <c r="U1464" i="4"/>
  <c r="V1464" i="4"/>
  <c r="W1464" i="4"/>
  <c r="X1464" i="4"/>
  <c r="Y1464" i="4"/>
  <c r="Z1464" i="4"/>
  <c r="AA1464" i="4"/>
  <c r="AB1464" i="4"/>
  <c r="AC1464" i="4"/>
  <c r="AE1464" i="4"/>
  <c r="AG1464" i="4"/>
  <c r="AJ1464" i="4"/>
  <c r="AK1464" i="4"/>
  <c r="AM1464" i="4"/>
  <c r="P1465" i="4"/>
  <c r="Q1465" i="4"/>
  <c r="R1465" i="4"/>
  <c r="AM1465" i="4" s="1"/>
  <c r="S1465" i="4"/>
  <c r="U1465" i="4"/>
  <c r="V1465" i="4"/>
  <c r="W1465" i="4"/>
  <c r="X1465" i="4"/>
  <c r="Y1465" i="4"/>
  <c r="Z1465" i="4"/>
  <c r="AA1465" i="4"/>
  <c r="AB1465" i="4"/>
  <c r="AC1465" i="4"/>
  <c r="AF1465" i="4"/>
  <c r="AJ1465" i="4"/>
  <c r="AL1465" i="4"/>
  <c r="AN1465" i="4"/>
  <c r="P1466" i="4"/>
  <c r="AE1466" i="4" s="1"/>
  <c r="Q1466" i="4"/>
  <c r="R1466" i="4"/>
  <c r="S1466" i="4"/>
  <c r="AN1466" i="4" s="1"/>
  <c r="U1466" i="4"/>
  <c r="V1466" i="4"/>
  <c r="W1466" i="4"/>
  <c r="X1466" i="4"/>
  <c r="Y1466" i="4"/>
  <c r="Z1466" i="4"/>
  <c r="AA1466" i="4"/>
  <c r="AB1466" i="4"/>
  <c r="AC1466" i="4"/>
  <c r="AG1466" i="4"/>
  <c r="AJ1466" i="4"/>
  <c r="AK1466" i="4"/>
  <c r="AM1466" i="4"/>
  <c r="P1467" i="4"/>
  <c r="Q1467" i="4"/>
  <c r="R1467" i="4"/>
  <c r="S1467" i="4"/>
  <c r="U1467" i="4"/>
  <c r="V1467" i="4"/>
  <c r="W1467" i="4"/>
  <c r="X1467" i="4"/>
  <c r="Y1467" i="4"/>
  <c r="Z1467" i="4"/>
  <c r="AA1467" i="4"/>
  <c r="AB1467" i="4"/>
  <c r="AC1467" i="4"/>
  <c r="AF1467" i="4"/>
  <c r="AJ1467" i="4"/>
  <c r="AL1467" i="4"/>
  <c r="AN1467" i="4"/>
  <c r="P1468" i="4"/>
  <c r="Q1468" i="4"/>
  <c r="R1468" i="4"/>
  <c r="AG1468" i="4" s="1"/>
  <c r="S1468" i="4"/>
  <c r="AN1468" i="4" s="1"/>
  <c r="U1468" i="4"/>
  <c r="V1468" i="4"/>
  <c r="W1468" i="4"/>
  <c r="X1468" i="4"/>
  <c r="Y1468" i="4"/>
  <c r="Z1468" i="4"/>
  <c r="AA1468" i="4"/>
  <c r="AB1468" i="4"/>
  <c r="AC1468" i="4"/>
  <c r="AE1468" i="4"/>
  <c r="AJ1468" i="4"/>
  <c r="AK1468" i="4"/>
  <c r="AM1468" i="4"/>
  <c r="P1469" i="4"/>
  <c r="AE1469" i="4" s="1"/>
  <c r="Q1469" i="4"/>
  <c r="R1469" i="4"/>
  <c r="S1469" i="4"/>
  <c r="U1469" i="4"/>
  <c r="V1469" i="4"/>
  <c r="W1469" i="4"/>
  <c r="X1469" i="4"/>
  <c r="Y1469" i="4"/>
  <c r="Z1469" i="4"/>
  <c r="AA1469" i="4"/>
  <c r="AB1469" i="4"/>
  <c r="AC1469" i="4"/>
  <c r="AF1469" i="4"/>
  <c r="AJ1469" i="4"/>
  <c r="AL1469" i="4"/>
  <c r="AN1469" i="4"/>
  <c r="P1470" i="4"/>
  <c r="AE1470" i="4" s="1"/>
  <c r="AH1470" i="4" s="1"/>
  <c r="AI1470" i="4" s="1"/>
  <c r="Q1470" i="4"/>
  <c r="AF1470" i="4" s="1"/>
  <c r="R1470" i="4"/>
  <c r="AM1470" i="4" s="1"/>
  <c r="S1470" i="4"/>
  <c r="AN1470" i="4" s="1"/>
  <c r="U1470" i="4"/>
  <c r="V1470" i="4"/>
  <c r="W1470" i="4"/>
  <c r="X1470" i="4"/>
  <c r="Y1470" i="4"/>
  <c r="Z1470" i="4"/>
  <c r="AA1470" i="4"/>
  <c r="AB1470" i="4"/>
  <c r="AC1470" i="4"/>
  <c r="AG1470" i="4"/>
  <c r="AJ1470" i="4"/>
  <c r="AL1470" i="4"/>
  <c r="P1471" i="4"/>
  <c r="AK1471" i="4" s="1"/>
  <c r="Q1471" i="4"/>
  <c r="R1471" i="4"/>
  <c r="AG1471" i="4" s="1"/>
  <c r="S1471" i="4"/>
  <c r="U1471" i="4"/>
  <c r="V1471" i="4"/>
  <c r="W1471" i="4"/>
  <c r="X1471" i="4"/>
  <c r="Y1471" i="4"/>
  <c r="Z1471" i="4"/>
  <c r="AA1471" i="4"/>
  <c r="AB1471" i="4"/>
  <c r="AC1471" i="4"/>
  <c r="AF1471" i="4"/>
  <c r="AJ1471" i="4"/>
  <c r="AL1471" i="4"/>
  <c r="AM1471" i="4"/>
  <c r="AN1471" i="4"/>
  <c r="P1472" i="4"/>
  <c r="AE1472" i="4" s="1"/>
  <c r="Q1472" i="4"/>
  <c r="AL1472" i="4" s="1"/>
  <c r="R1472" i="4"/>
  <c r="AG1472" i="4" s="1"/>
  <c r="S1472" i="4"/>
  <c r="U1472" i="4"/>
  <c r="V1472" i="4"/>
  <c r="W1472" i="4"/>
  <c r="X1472" i="4"/>
  <c r="Y1472" i="4"/>
  <c r="Z1472" i="4"/>
  <c r="AA1472" i="4"/>
  <c r="AB1472" i="4"/>
  <c r="AC1472" i="4"/>
  <c r="AF1472" i="4"/>
  <c r="AJ1472" i="4"/>
  <c r="AM1472" i="4"/>
  <c r="AN1472" i="4"/>
  <c r="P1473" i="4"/>
  <c r="Q1473" i="4"/>
  <c r="R1473" i="4"/>
  <c r="AM1473" i="4" s="1"/>
  <c r="S1473" i="4"/>
  <c r="U1473" i="4"/>
  <c r="V1473" i="4"/>
  <c r="W1473" i="4"/>
  <c r="X1473" i="4"/>
  <c r="Y1473" i="4"/>
  <c r="Z1473" i="4"/>
  <c r="AA1473" i="4"/>
  <c r="AB1473" i="4"/>
  <c r="AC1473" i="4"/>
  <c r="AF1473" i="4"/>
  <c r="AJ1473" i="4"/>
  <c r="AL1473" i="4"/>
  <c r="AN1473" i="4"/>
  <c r="P1474" i="4"/>
  <c r="Q1474" i="4"/>
  <c r="AF1474" i="4" s="1"/>
  <c r="R1474" i="4"/>
  <c r="S1474" i="4"/>
  <c r="AN1474" i="4" s="1"/>
  <c r="U1474" i="4"/>
  <c r="V1474" i="4"/>
  <c r="W1474" i="4"/>
  <c r="X1474" i="4"/>
  <c r="Y1474" i="4"/>
  <c r="Z1474" i="4"/>
  <c r="AA1474" i="4"/>
  <c r="AB1474" i="4"/>
  <c r="AC1474" i="4"/>
  <c r="AE1474" i="4"/>
  <c r="AG1474" i="4"/>
  <c r="AH1474" i="4"/>
  <c r="AI1474" i="4" s="1"/>
  <c r="AJ1474" i="4"/>
  <c r="AK1474" i="4"/>
  <c r="AM1474" i="4"/>
  <c r="P1475" i="4"/>
  <c r="AK1475" i="4" s="1"/>
  <c r="Q1475" i="4"/>
  <c r="AF1475" i="4" s="1"/>
  <c r="R1475" i="4"/>
  <c r="AG1475" i="4" s="1"/>
  <c r="S1475" i="4"/>
  <c r="U1475" i="4"/>
  <c r="V1475" i="4"/>
  <c r="W1475" i="4"/>
  <c r="X1475" i="4"/>
  <c r="Y1475" i="4"/>
  <c r="Z1475" i="4"/>
  <c r="AA1475" i="4"/>
  <c r="AB1475" i="4"/>
  <c r="AC1475" i="4"/>
  <c r="AJ1475" i="4"/>
  <c r="AN1475" i="4"/>
  <c r="P1476" i="4"/>
  <c r="Q1476" i="4"/>
  <c r="AL1476" i="4" s="1"/>
  <c r="R1476" i="4"/>
  <c r="AG1476" i="4" s="1"/>
  <c r="S1476" i="4"/>
  <c r="AN1476" i="4" s="1"/>
  <c r="U1476" i="4"/>
  <c r="V1476" i="4"/>
  <c r="W1476" i="4"/>
  <c r="X1476" i="4"/>
  <c r="Y1476" i="4"/>
  <c r="Z1476" i="4"/>
  <c r="AA1476" i="4"/>
  <c r="AB1476" i="4"/>
  <c r="AC1476" i="4"/>
  <c r="AE1476" i="4"/>
  <c r="AJ1476" i="4"/>
  <c r="AK1476" i="4"/>
  <c r="AM1476" i="4"/>
  <c r="P1477" i="4"/>
  <c r="AE1477" i="4" s="1"/>
  <c r="Q1477" i="4"/>
  <c r="R1477" i="4"/>
  <c r="AM1477" i="4" s="1"/>
  <c r="S1477" i="4"/>
  <c r="U1477" i="4"/>
  <c r="V1477" i="4"/>
  <c r="W1477" i="4"/>
  <c r="X1477" i="4"/>
  <c r="Y1477" i="4"/>
  <c r="Z1477" i="4"/>
  <c r="AA1477" i="4"/>
  <c r="AB1477" i="4"/>
  <c r="AC1477" i="4"/>
  <c r="AF1477" i="4"/>
  <c r="AG1477" i="4"/>
  <c r="AJ1477" i="4"/>
  <c r="AL1477" i="4"/>
  <c r="AN1477" i="4"/>
  <c r="P1478" i="4"/>
  <c r="AK1478" i="4" s="1"/>
  <c r="Q1478" i="4"/>
  <c r="AF1478" i="4" s="1"/>
  <c r="R1478" i="4"/>
  <c r="AG1478" i="4" s="1"/>
  <c r="S1478" i="4"/>
  <c r="AN1478" i="4" s="1"/>
  <c r="U1478" i="4"/>
  <c r="V1478" i="4"/>
  <c r="W1478" i="4"/>
  <c r="X1478" i="4"/>
  <c r="Y1478" i="4"/>
  <c r="Z1478" i="4"/>
  <c r="AA1478" i="4"/>
  <c r="AB1478" i="4"/>
  <c r="AC1478" i="4"/>
  <c r="AJ1478" i="4"/>
  <c r="AL1478" i="4"/>
  <c r="P1479" i="4"/>
  <c r="Q1479" i="4"/>
  <c r="AL1479" i="4" s="1"/>
  <c r="R1479" i="4"/>
  <c r="AG1479" i="4" s="1"/>
  <c r="S1479" i="4"/>
  <c r="AN1479" i="4" s="1"/>
  <c r="U1479" i="4"/>
  <c r="V1479" i="4"/>
  <c r="W1479" i="4"/>
  <c r="X1479" i="4"/>
  <c r="Y1479" i="4"/>
  <c r="Z1479" i="4"/>
  <c r="AA1479" i="4"/>
  <c r="AB1479" i="4"/>
  <c r="AC1479" i="4"/>
  <c r="AE1479" i="4"/>
  <c r="AJ1479" i="4"/>
  <c r="AK1479" i="4"/>
  <c r="AM1479" i="4"/>
  <c r="P1480" i="4"/>
  <c r="AE1480" i="4" s="1"/>
  <c r="Q1480" i="4"/>
  <c r="R1480" i="4"/>
  <c r="AM1480" i="4" s="1"/>
  <c r="S1480" i="4"/>
  <c r="U1480" i="4"/>
  <c r="V1480" i="4"/>
  <c r="W1480" i="4"/>
  <c r="X1480" i="4"/>
  <c r="Y1480" i="4"/>
  <c r="Z1480" i="4"/>
  <c r="AA1480" i="4"/>
  <c r="AB1480" i="4"/>
  <c r="AC1480" i="4"/>
  <c r="AF1480" i="4"/>
  <c r="AJ1480" i="4"/>
  <c r="AK1480" i="4"/>
  <c r="AL1480" i="4"/>
  <c r="AN1480" i="4"/>
  <c r="P1481" i="4"/>
  <c r="Q1481" i="4"/>
  <c r="AF1481" i="4" s="1"/>
  <c r="R1481" i="4"/>
  <c r="S1481" i="4"/>
  <c r="AN1481" i="4" s="1"/>
  <c r="U1481" i="4"/>
  <c r="V1481" i="4"/>
  <c r="W1481" i="4"/>
  <c r="X1481" i="4"/>
  <c r="Y1481" i="4"/>
  <c r="Z1481" i="4"/>
  <c r="AA1481" i="4"/>
  <c r="AB1481" i="4"/>
  <c r="AC1481" i="4"/>
  <c r="AE1481" i="4"/>
  <c r="AG1481" i="4"/>
  <c r="AJ1481" i="4"/>
  <c r="AK1481" i="4"/>
  <c r="AM1481" i="4"/>
  <c r="P1482" i="4"/>
  <c r="AK1482" i="4" s="1"/>
  <c r="Q1482" i="4"/>
  <c r="AL1482" i="4" s="1"/>
  <c r="R1482" i="4"/>
  <c r="S1482" i="4"/>
  <c r="AN1482" i="4" s="1"/>
  <c r="U1482" i="4"/>
  <c r="V1482" i="4"/>
  <c r="W1482" i="4"/>
  <c r="X1482" i="4"/>
  <c r="Y1482" i="4"/>
  <c r="Z1482" i="4"/>
  <c r="AA1482" i="4"/>
  <c r="AB1482" i="4"/>
  <c r="AC1482" i="4"/>
  <c r="AF1482" i="4"/>
  <c r="AG1482" i="4"/>
  <c r="AJ1482" i="4"/>
  <c r="AM1482" i="4"/>
  <c r="P1483" i="4"/>
  <c r="AK1483" i="4" s="1"/>
  <c r="Q1483" i="4"/>
  <c r="AL1483" i="4" s="1"/>
  <c r="R1483" i="4"/>
  <c r="S1483" i="4"/>
  <c r="U1483" i="4"/>
  <c r="V1483" i="4"/>
  <c r="W1483" i="4"/>
  <c r="X1483" i="4"/>
  <c r="Y1483" i="4"/>
  <c r="Z1483" i="4"/>
  <c r="AA1483" i="4"/>
  <c r="AB1483" i="4"/>
  <c r="AC1483" i="4"/>
  <c r="AG1483" i="4"/>
  <c r="AJ1483" i="4"/>
  <c r="AM1483" i="4"/>
  <c r="AN1483" i="4"/>
  <c r="P1484" i="4"/>
  <c r="AE1484" i="4" s="1"/>
  <c r="Q1484" i="4"/>
  <c r="AL1484" i="4" s="1"/>
  <c r="R1484" i="4"/>
  <c r="AM1484" i="4" s="1"/>
  <c r="S1484" i="4"/>
  <c r="U1484" i="4"/>
  <c r="V1484" i="4"/>
  <c r="W1484" i="4"/>
  <c r="X1484" i="4"/>
  <c r="Y1484" i="4"/>
  <c r="Z1484" i="4"/>
  <c r="AA1484" i="4"/>
  <c r="AB1484" i="4"/>
  <c r="AC1484" i="4"/>
  <c r="AF1484" i="4"/>
  <c r="AJ1484" i="4"/>
  <c r="AN1484" i="4"/>
  <c r="P1485" i="4"/>
  <c r="AE1485" i="4" s="1"/>
  <c r="Q1485" i="4"/>
  <c r="AF1485" i="4" s="1"/>
  <c r="R1485" i="4"/>
  <c r="AM1485" i="4" s="1"/>
  <c r="S1485" i="4"/>
  <c r="AN1485" i="4" s="1"/>
  <c r="U1485" i="4"/>
  <c r="V1485" i="4"/>
  <c r="W1485" i="4"/>
  <c r="X1485" i="4"/>
  <c r="Y1485" i="4"/>
  <c r="Z1485" i="4"/>
  <c r="AA1485" i="4"/>
  <c r="AB1485" i="4"/>
  <c r="AC1485" i="4"/>
  <c r="AJ1485" i="4"/>
  <c r="P1486" i="4"/>
  <c r="AK1486" i="4" s="1"/>
  <c r="Q1486" i="4"/>
  <c r="AF1486" i="4" s="1"/>
  <c r="R1486" i="4"/>
  <c r="AG1486" i="4" s="1"/>
  <c r="S1486" i="4"/>
  <c r="AN1486" i="4" s="1"/>
  <c r="U1486" i="4"/>
  <c r="V1486" i="4"/>
  <c r="W1486" i="4"/>
  <c r="X1486" i="4"/>
  <c r="Y1486" i="4"/>
  <c r="Z1486" i="4"/>
  <c r="AA1486" i="4"/>
  <c r="AB1486" i="4"/>
  <c r="AC1486" i="4"/>
  <c r="AJ1486" i="4"/>
  <c r="AL1486" i="4"/>
  <c r="P1487" i="4"/>
  <c r="Q1487" i="4"/>
  <c r="AL1487" i="4" s="1"/>
  <c r="R1487" i="4"/>
  <c r="AG1487" i="4" s="1"/>
  <c r="S1487" i="4"/>
  <c r="AN1487" i="4" s="1"/>
  <c r="U1487" i="4"/>
  <c r="V1487" i="4"/>
  <c r="W1487" i="4"/>
  <c r="X1487" i="4"/>
  <c r="Y1487" i="4"/>
  <c r="Z1487" i="4"/>
  <c r="AA1487" i="4"/>
  <c r="AB1487" i="4"/>
  <c r="AC1487" i="4"/>
  <c r="AE1487" i="4"/>
  <c r="AJ1487" i="4"/>
  <c r="AK1487" i="4"/>
  <c r="AM1487" i="4"/>
  <c r="P1488" i="4"/>
  <c r="AE1488" i="4" s="1"/>
  <c r="Q1488" i="4"/>
  <c r="R1488" i="4"/>
  <c r="AM1488" i="4" s="1"/>
  <c r="S1488" i="4"/>
  <c r="U1488" i="4"/>
  <c r="V1488" i="4"/>
  <c r="W1488" i="4"/>
  <c r="X1488" i="4"/>
  <c r="Y1488" i="4"/>
  <c r="Z1488" i="4"/>
  <c r="AA1488" i="4"/>
  <c r="AB1488" i="4"/>
  <c r="AC1488" i="4"/>
  <c r="AF1488" i="4"/>
  <c r="AJ1488" i="4"/>
  <c r="AK1488" i="4"/>
  <c r="AL1488" i="4"/>
  <c r="AN1488" i="4"/>
  <c r="P1489" i="4"/>
  <c r="Q1489" i="4"/>
  <c r="AF1489" i="4" s="1"/>
  <c r="R1489" i="4"/>
  <c r="S1489" i="4"/>
  <c r="AN1489" i="4" s="1"/>
  <c r="U1489" i="4"/>
  <c r="V1489" i="4"/>
  <c r="W1489" i="4"/>
  <c r="X1489" i="4"/>
  <c r="Y1489" i="4"/>
  <c r="Z1489" i="4"/>
  <c r="AA1489" i="4"/>
  <c r="AB1489" i="4"/>
  <c r="AC1489" i="4"/>
  <c r="AE1489" i="4"/>
  <c r="AG1489" i="4"/>
  <c r="AJ1489" i="4"/>
  <c r="AK1489" i="4"/>
  <c r="AM1489" i="4"/>
  <c r="P1490" i="4"/>
  <c r="AK1490" i="4" s="1"/>
  <c r="Q1490" i="4"/>
  <c r="AL1490" i="4" s="1"/>
  <c r="R1490" i="4"/>
  <c r="S1490" i="4"/>
  <c r="AN1490" i="4" s="1"/>
  <c r="U1490" i="4"/>
  <c r="V1490" i="4"/>
  <c r="W1490" i="4"/>
  <c r="X1490" i="4"/>
  <c r="Y1490" i="4"/>
  <c r="Z1490" i="4"/>
  <c r="AA1490" i="4"/>
  <c r="AB1490" i="4"/>
  <c r="AC1490" i="4"/>
  <c r="AF1490" i="4"/>
  <c r="AG1490" i="4"/>
  <c r="AJ1490" i="4"/>
  <c r="AM1490" i="4"/>
  <c r="P1491" i="4"/>
  <c r="AK1491" i="4" s="1"/>
  <c r="Q1491" i="4"/>
  <c r="AL1491" i="4" s="1"/>
  <c r="R1491" i="4"/>
  <c r="S1491" i="4"/>
  <c r="U1491" i="4"/>
  <c r="V1491" i="4"/>
  <c r="W1491" i="4"/>
  <c r="X1491" i="4"/>
  <c r="Y1491" i="4"/>
  <c r="Z1491" i="4"/>
  <c r="AA1491" i="4"/>
  <c r="AB1491" i="4"/>
  <c r="AC1491" i="4"/>
  <c r="AG1491" i="4"/>
  <c r="AJ1491" i="4"/>
  <c r="AM1491" i="4"/>
  <c r="AN1491" i="4"/>
  <c r="P1492" i="4"/>
  <c r="AE1492" i="4" s="1"/>
  <c r="Q1492" i="4"/>
  <c r="AL1492" i="4" s="1"/>
  <c r="R1492" i="4"/>
  <c r="AM1492" i="4" s="1"/>
  <c r="S1492" i="4"/>
  <c r="U1492" i="4"/>
  <c r="V1492" i="4"/>
  <c r="W1492" i="4"/>
  <c r="X1492" i="4"/>
  <c r="Y1492" i="4"/>
  <c r="Z1492" i="4"/>
  <c r="AA1492" i="4"/>
  <c r="AB1492" i="4"/>
  <c r="AC1492" i="4"/>
  <c r="AF1492" i="4"/>
  <c r="AJ1492" i="4"/>
  <c r="AN1492" i="4"/>
  <c r="P1493" i="4"/>
  <c r="AE1493" i="4" s="1"/>
  <c r="Q1493" i="4"/>
  <c r="AF1493" i="4" s="1"/>
  <c r="R1493" i="4"/>
  <c r="AM1493" i="4" s="1"/>
  <c r="S1493" i="4"/>
  <c r="AN1493" i="4" s="1"/>
  <c r="U1493" i="4"/>
  <c r="V1493" i="4"/>
  <c r="W1493" i="4"/>
  <c r="X1493" i="4"/>
  <c r="Y1493" i="4"/>
  <c r="Z1493" i="4"/>
  <c r="AA1493" i="4"/>
  <c r="AB1493" i="4"/>
  <c r="AC1493" i="4"/>
  <c r="AJ1493" i="4"/>
  <c r="P1494" i="4"/>
  <c r="AK1494" i="4" s="1"/>
  <c r="Q1494" i="4"/>
  <c r="AF1494" i="4" s="1"/>
  <c r="R1494" i="4"/>
  <c r="AG1494" i="4" s="1"/>
  <c r="S1494" i="4"/>
  <c r="AN1494" i="4" s="1"/>
  <c r="U1494" i="4"/>
  <c r="V1494" i="4"/>
  <c r="W1494" i="4"/>
  <c r="X1494" i="4"/>
  <c r="Y1494" i="4"/>
  <c r="Z1494" i="4"/>
  <c r="AA1494" i="4"/>
  <c r="AB1494" i="4"/>
  <c r="AC1494" i="4"/>
  <c r="AJ1494" i="4"/>
  <c r="AL1494" i="4"/>
  <c r="P1495" i="4"/>
  <c r="Q1495" i="4"/>
  <c r="AL1495" i="4" s="1"/>
  <c r="R1495" i="4"/>
  <c r="AG1495" i="4" s="1"/>
  <c r="S1495" i="4"/>
  <c r="AN1495" i="4" s="1"/>
  <c r="U1495" i="4"/>
  <c r="V1495" i="4"/>
  <c r="W1495" i="4"/>
  <c r="X1495" i="4"/>
  <c r="Y1495" i="4"/>
  <c r="Z1495" i="4"/>
  <c r="AA1495" i="4"/>
  <c r="AB1495" i="4"/>
  <c r="AC1495" i="4"/>
  <c r="AE1495" i="4"/>
  <c r="AJ1495" i="4"/>
  <c r="AK1495" i="4"/>
  <c r="AM1495" i="4"/>
  <c r="P1496" i="4"/>
  <c r="AE1496" i="4" s="1"/>
  <c r="Q1496" i="4"/>
  <c r="R1496" i="4"/>
  <c r="AM1496" i="4" s="1"/>
  <c r="S1496" i="4"/>
  <c r="U1496" i="4"/>
  <c r="V1496" i="4"/>
  <c r="W1496" i="4"/>
  <c r="X1496" i="4"/>
  <c r="Y1496" i="4"/>
  <c r="Z1496" i="4"/>
  <c r="AA1496" i="4"/>
  <c r="AB1496" i="4"/>
  <c r="AC1496" i="4"/>
  <c r="AF1496" i="4"/>
  <c r="AJ1496" i="4"/>
  <c r="AK1496" i="4"/>
  <c r="AL1496" i="4"/>
  <c r="AN1496" i="4"/>
  <c r="P1497" i="4"/>
  <c r="Q1497" i="4"/>
  <c r="AF1497" i="4" s="1"/>
  <c r="R1497" i="4"/>
  <c r="S1497" i="4"/>
  <c r="AN1497" i="4" s="1"/>
  <c r="U1497" i="4"/>
  <c r="V1497" i="4"/>
  <c r="W1497" i="4"/>
  <c r="X1497" i="4"/>
  <c r="Y1497" i="4"/>
  <c r="Z1497" i="4"/>
  <c r="AA1497" i="4"/>
  <c r="AB1497" i="4"/>
  <c r="AC1497" i="4"/>
  <c r="AE1497" i="4"/>
  <c r="AG1497" i="4"/>
  <c r="AJ1497" i="4"/>
  <c r="AK1497" i="4"/>
  <c r="AM1497" i="4"/>
  <c r="P1498" i="4"/>
  <c r="AK1498" i="4" s="1"/>
  <c r="Q1498" i="4"/>
  <c r="AL1498" i="4" s="1"/>
  <c r="R1498" i="4"/>
  <c r="S1498" i="4"/>
  <c r="AN1498" i="4" s="1"/>
  <c r="U1498" i="4"/>
  <c r="V1498" i="4"/>
  <c r="W1498" i="4"/>
  <c r="X1498" i="4"/>
  <c r="Y1498" i="4"/>
  <c r="Z1498" i="4"/>
  <c r="AA1498" i="4"/>
  <c r="AB1498" i="4"/>
  <c r="AC1498" i="4"/>
  <c r="AF1498" i="4"/>
  <c r="AG1498" i="4"/>
  <c r="AJ1498" i="4"/>
  <c r="AM1498" i="4"/>
  <c r="P1499" i="4"/>
  <c r="AK1499" i="4" s="1"/>
  <c r="Q1499" i="4"/>
  <c r="AL1499" i="4" s="1"/>
  <c r="R1499" i="4"/>
  <c r="S1499" i="4"/>
  <c r="U1499" i="4"/>
  <c r="V1499" i="4"/>
  <c r="W1499" i="4"/>
  <c r="X1499" i="4"/>
  <c r="Y1499" i="4"/>
  <c r="Z1499" i="4"/>
  <c r="AA1499" i="4"/>
  <c r="AB1499" i="4"/>
  <c r="AC1499" i="4"/>
  <c r="AG1499" i="4"/>
  <c r="AJ1499" i="4"/>
  <c r="AM1499" i="4"/>
  <c r="AN1499" i="4"/>
  <c r="P1500" i="4"/>
  <c r="AE1500" i="4" s="1"/>
  <c r="Q1500" i="4"/>
  <c r="AL1500" i="4" s="1"/>
  <c r="R1500" i="4"/>
  <c r="AM1500" i="4" s="1"/>
  <c r="S1500" i="4"/>
  <c r="U1500" i="4"/>
  <c r="V1500" i="4"/>
  <c r="W1500" i="4"/>
  <c r="X1500" i="4"/>
  <c r="Y1500" i="4"/>
  <c r="Z1500" i="4"/>
  <c r="AA1500" i="4"/>
  <c r="AB1500" i="4"/>
  <c r="AC1500" i="4"/>
  <c r="AF1500" i="4"/>
  <c r="AJ1500" i="4"/>
  <c r="AN1500" i="4"/>
  <c r="P1501" i="4"/>
  <c r="AE1501" i="4" s="1"/>
  <c r="Q1501" i="4"/>
  <c r="AF1501" i="4" s="1"/>
  <c r="R1501" i="4"/>
  <c r="AM1501" i="4" s="1"/>
  <c r="S1501" i="4"/>
  <c r="AN1501" i="4" s="1"/>
  <c r="U1501" i="4"/>
  <c r="V1501" i="4"/>
  <c r="W1501" i="4"/>
  <c r="X1501" i="4"/>
  <c r="Y1501" i="4"/>
  <c r="Z1501" i="4"/>
  <c r="AA1501" i="4"/>
  <c r="AB1501" i="4"/>
  <c r="AC1501" i="4"/>
  <c r="AJ1501" i="4"/>
  <c r="P1502" i="4"/>
  <c r="AK1502" i="4" s="1"/>
  <c r="Q1502" i="4"/>
  <c r="AF1502" i="4" s="1"/>
  <c r="R1502" i="4"/>
  <c r="AG1502" i="4" s="1"/>
  <c r="S1502" i="4"/>
  <c r="AN1502" i="4" s="1"/>
  <c r="U1502" i="4"/>
  <c r="V1502" i="4"/>
  <c r="W1502" i="4"/>
  <c r="X1502" i="4"/>
  <c r="Y1502" i="4"/>
  <c r="Z1502" i="4"/>
  <c r="AA1502" i="4"/>
  <c r="AB1502" i="4"/>
  <c r="AC1502" i="4"/>
  <c r="AJ1502" i="4"/>
  <c r="AL1502" i="4"/>
  <c r="P1503" i="4"/>
  <c r="Q1503" i="4"/>
  <c r="AL1503" i="4" s="1"/>
  <c r="R1503" i="4"/>
  <c r="AG1503" i="4" s="1"/>
  <c r="S1503" i="4"/>
  <c r="AN1503" i="4" s="1"/>
  <c r="U1503" i="4"/>
  <c r="V1503" i="4"/>
  <c r="W1503" i="4"/>
  <c r="X1503" i="4"/>
  <c r="Y1503" i="4"/>
  <c r="Z1503" i="4"/>
  <c r="AA1503" i="4"/>
  <c r="AB1503" i="4"/>
  <c r="AC1503" i="4"/>
  <c r="AE1503" i="4"/>
  <c r="AJ1503" i="4"/>
  <c r="AK1503" i="4"/>
  <c r="AM1503" i="4"/>
  <c r="P1504" i="4"/>
  <c r="AE1504" i="4" s="1"/>
  <c r="Q1504" i="4"/>
  <c r="R1504" i="4"/>
  <c r="AM1504" i="4" s="1"/>
  <c r="S1504" i="4"/>
  <c r="U1504" i="4"/>
  <c r="V1504" i="4"/>
  <c r="W1504" i="4"/>
  <c r="X1504" i="4"/>
  <c r="Y1504" i="4"/>
  <c r="Z1504" i="4"/>
  <c r="AA1504" i="4"/>
  <c r="AB1504" i="4"/>
  <c r="AC1504" i="4"/>
  <c r="AF1504" i="4"/>
  <c r="AJ1504" i="4"/>
  <c r="AK1504" i="4"/>
  <c r="AL1504" i="4"/>
  <c r="AN1504" i="4"/>
  <c r="P1505" i="4"/>
  <c r="Q1505" i="4"/>
  <c r="AF1505" i="4" s="1"/>
  <c r="R1505" i="4"/>
  <c r="S1505" i="4"/>
  <c r="AN1505" i="4" s="1"/>
  <c r="U1505" i="4"/>
  <c r="V1505" i="4"/>
  <c r="W1505" i="4"/>
  <c r="X1505" i="4"/>
  <c r="Y1505" i="4"/>
  <c r="Z1505" i="4"/>
  <c r="AA1505" i="4"/>
  <c r="AB1505" i="4"/>
  <c r="AC1505" i="4"/>
  <c r="AE1505" i="4"/>
  <c r="AG1505" i="4"/>
  <c r="AJ1505" i="4"/>
  <c r="AK1505" i="4"/>
  <c r="AM1505" i="4"/>
  <c r="P1506" i="4"/>
  <c r="AK1506" i="4" s="1"/>
  <c r="Q1506" i="4"/>
  <c r="AL1506" i="4" s="1"/>
  <c r="R1506" i="4"/>
  <c r="S1506" i="4"/>
  <c r="AN1506" i="4" s="1"/>
  <c r="U1506" i="4"/>
  <c r="V1506" i="4"/>
  <c r="W1506" i="4"/>
  <c r="X1506" i="4"/>
  <c r="Y1506" i="4"/>
  <c r="Z1506" i="4"/>
  <c r="AA1506" i="4"/>
  <c r="AB1506" i="4"/>
  <c r="AC1506" i="4"/>
  <c r="AF1506" i="4"/>
  <c r="AG1506" i="4"/>
  <c r="AJ1506" i="4"/>
  <c r="AM1506" i="4"/>
  <c r="P1507" i="4"/>
  <c r="AK1507" i="4" s="1"/>
  <c r="Q1507" i="4"/>
  <c r="AL1507" i="4" s="1"/>
  <c r="R1507" i="4"/>
  <c r="S1507" i="4"/>
  <c r="U1507" i="4"/>
  <c r="V1507" i="4"/>
  <c r="W1507" i="4"/>
  <c r="X1507" i="4"/>
  <c r="Y1507" i="4"/>
  <c r="Z1507" i="4"/>
  <c r="AA1507" i="4"/>
  <c r="AB1507" i="4"/>
  <c r="AC1507" i="4"/>
  <c r="AG1507" i="4"/>
  <c r="AJ1507" i="4"/>
  <c r="AM1507" i="4"/>
  <c r="AN1507" i="4"/>
  <c r="P1508" i="4"/>
  <c r="AE1508" i="4" s="1"/>
  <c r="Q1508" i="4"/>
  <c r="AL1508" i="4" s="1"/>
  <c r="R1508" i="4"/>
  <c r="AM1508" i="4" s="1"/>
  <c r="S1508" i="4"/>
  <c r="U1508" i="4"/>
  <c r="V1508" i="4"/>
  <c r="W1508" i="4"/>
  <c r="X1508" i="4"/>
  <c r="Y1508" i="4"/>
  <c r="Z1508" i="4"/>
  <c r="AA1508" i="4"/>
  <c r="AB1508" i="4"/>
  <c r="AC1508" i="4"/>
  <c r="AF1508" i="4"/>
  <c r="AJ1508" i="4"/>
  <c r="AN1508" i="4"/>
  <c r="P1509" i="4"/>
  <c r="AE1509" i="4" s="1"/>
  <c r="Q1509" i="4"/>
  <c r="AF1509" i="4" s="1"/>
  <c r="R1509" i="4"/>
  <c r="AM1509" i="4" s="1"/>
  <c r="S1509" i="4"/>
  <c r="AN1509" i="4" s="1"/>
  <c r="U1509" i="4"/>
  <c r="V1509" i="4"/>
  <c r="W1509" i="4"/>
  <c r="X1509" i="4"/>
  <c r="Y1509" i="4"/>
  <c r="Z1509" i="4"/>
  <c r="AA1509" i="4"/>
  <c r="AB1509" i="4"/>
  <c r="AC1509" i="4"/>
  <c r="AJ1509" i="4"/>
  <c r="P1510" i="4"/>
  <c r="AK1510" i="4" s="1"/>
  <c r="Q1510" i="4"/>
  <c r="AF1510" i="4" s="1"/>
  <c r="R1510" i="4"/>
  <c r="AG1510" i="4" s="1"/>
  <c r="S1510" i="4"/>
  <c r="AN1510" i="4" s="1"/>
  <c r="U1510" i="4"/>
  <c r="V1510" i="4"/>
  <c r="W1510" i="4"/>
  <c r="X1510" i="4"/>
  <c r="Y1510" i="4"/>
  <c r="Z1510" i="4"/>
  <c r="AA1510" i="4"/>
  <c r="AB1510" i="4"/>
  <c r="AC1510" i="4"/>
  <c r="AJ1510" i="4"/>
  <c r="AL1510" i="4"/>
  <c r="P1511" i="4"/>
  <c r="Q1511" i="4"/>
  <c r="AL1511" i="4" s="1"/>
  <c r="R1511" i="4"/>
  <c r="AG1511" i="4" s="1"/>
  <c r="S1511" i="4"/>
  <c r="AN1511" i="4" s="1"/>
  <c r="U1511" i="4"/>
  <c r="V1511" i="4"/>
  <c r="W1511" i="4"/>
  <c r="X1511" i="4"/>
  <c r="Y1511" i="4"/>
  <c r="Z1511" i="4"/>
  <c r="AA1511" i="4"/>
  <c r="AB1511" i="4"/>
  <c r="AC1511" i="4"/>
  <c r="AE1511" i="4"/>
  <c r="AJ1511" i="4"/>
  <c r="AK1511" i="4"/>
  <c r="AM1511" i="4"/>
  <c r="P1512" i="4"/>
  <c r="AE1512" i="4" s="1"/>
  <c r="Q1512" i="4"/>
  <c r="R1512" i="4"/>
  <c r="AM1512" i="4" s="1"/>
  <c r="S1512" i="4"/>
  <c r="U1512" i="4"/>
  <c r="V1512" i="4"/>
  <c r="W1512" i="4"/>
  <c r="X1512" i="4"/>
  <c r="Y1512" i="4"/>
  <c r="Z1512" i="4"/>
  <c r="AA1512" i="4"/>
  <c r="AB1512" i="4"/>
  <c r="AC1512" i="4"/>
  <c r="AF1512" i="4"/>
  <c r="AJ1512" i="4"/>
  <c r="AK1512" i="4"/>
  <c r="AL1512" i="4"/>
  <c r="AN1512" i="4"/>
  <c r="P1513" i="4"/>
  <c r="Q1513" i="4"/>
  <c r="AF1513" i="4" s="1"/>
  <c r="R1513" i="4"/>
  <c r="S1513" i="4"/>
  <c r="AN1513" i="4" s="1"/>
  <c r="U1513" i="4"/>
  <c r="V1513" i="4"/>
  <c r="W1513" i="4"/>
  <c r="X1513" i="4"/>
  <c r="Y1513" i="4"/>
  <c r="Z1513" i="4"/>
  <c r="AA1513" i="4"/>
  <c r="AB1513" i="4"/>
  <c r="AC1513" i="4"/>
  <c r="AE1513" i="4"/>
  <c r="AG1513" i="4"/>
  <c r="AJ1513" i="4"/>
  <c r="AK1513" i="4"/>
  <c r="AM1513" i="4"/>
  <c r="P1514" i="4"/>
  <c r="AK1514" i="4" s="1"/>
  <c r="Q1514" i="4"/>
  <c r="AL1514" i="4" s="1"/>
  <c r="R1514" i="4"/>
  <c r="S1514" i="4"/>
  <c r="AN1514" i="4" s="1"/>
  <c r="U1514" i="4"/>
  <c r="V1514" i="4"/>
  <c r="W1514" i="4"/>
  <c r="X1514" i="4"/>
  <c r="Y1514" i="4"/>
  <c r="Z1514" i="4"/>
  <c r="AA1514" i="4"/>
  <c r="AB1514" i="4"/>
  <c r="AC1514" i="4"/>
  <c r="AF1514" i="4"/>
  <c r="AG1514" i="4"/>
  <c r="AJ1514" i="4"/>
  <c r="AM1514" i="4"/>
  <c r="P1515" i="4"/>
  <c r="AK1515" i="4" s="1"/>
  <c r="Q1515" i="4"/>
  <c r="AL1515" i="4" s="1"/>
  <c r="R1515" i="4"/>
  <c r="S1515" i="4"/>
  <c r="U1515" i="4"/>
  <c r="V1515" i="4"/>
  <c r="W1515" i="4"/>
  <c r="X1515" i="4"/>
  <c r="Y1515" i="4"/>
  <c r="Z1515" i="4"/>
  <c r="AA1515" i="4"/>
  <c r="AB1515" i="4"/>
  <c r="AC1515" i="4"/>
  <c r="AG1515" i="4"/>
  <c r="AJ1515" i="4"/>
  <c r="AM1515" i="4"/>
  <c r="AN1515" i="4"/>
  <c r="P1516" i="4"/>
  <c r="AE1516" i="4" s="1"/>
  <c r="Q1516" i="4"/>
  <c r="AL1516" i="4" s="1"/>
  <c r="R1516" i="4"/>
  <c r="AM1516" i="4" s="1"/>
  <c r="S1516" i="4"/>
  <c r="U1516" i="4"/>
  <c r="V1516" i="4"/>
  <c r="W1516" i="4"/>
  <c r="X1516" i="4"/>
  <c r="Y1516" i="4"/>
  <c r="Z1516" i="4"/>
  <c r="AA1516" i="4"/>
  <c r="AB1516" i="4"/>
  <c r="AC1516" i="4"/>
  <c r="AF1516" i="4"/>
  <c r="AJ1516" i="4"/>
  <c r="AN1516" i="4"/>
  <c r="P1517" i="4"/>
  <c r="AE1517" i="4" s="1"/>
  <c r="Q1517" i="4"/>
  <c r="AF1517" i="4" s="1"/>
  <c r="R1517" i="4"/>
  <c r="AM1517" i="4" s="1"/>
  <c r="S1517" i="4"/>
  <c r="AN1517" i="4" s="1"/>
  <c r="U1517" i="4"/>
  <c r="V1517" i="4"/>
  <c r="W1517" i="4"/>
  <c r="X1517" i="4"/>
  <c r="Y1517" i="4"/>
  <c r="Z1517" i="4"/>
  <c r="AA1517" i="4"/>
  <c r="AB1517" i="4"/>
  <c r="AC1517" i="4"/>
  <c r="AJ1517" i="4"/>
  <c r="P1518" i="4"/>
  <c r="AK1518" i="4" s="1"/>
  <c r="Q1518" i="4"/>
  <c r="AF1518" i="4" s="1"/>
  <c r="R1518" i="4"/>
  <c r="AG1518" i="4" s="1"/>
  <c r="S1518" i="4"/>
  <c r="AN1518" i="4" s="1"/>
  <c r="U1518" i="4"/>
  <c r="V1518" i="4"/>
  <c r="W1518" i="4"/>
  <c r="X1518" i="4"/>
  <c r="Y1518" i="4"/>
  <c r="Z1518" i="4"/>
  <c r="AA1518" i="4"/>
  <c r="AB1518" i="4"/>
  <c r="AC1518" i="4"/>
  <c r="AJ1518" i="4"/>
  <c r="AL1518" i="4"/>
  <c r="P1519" i="4"/>
  <c r="Q1519" i="4"/>
  <c r="AL1519" i="4" s="1"/>
  <c r="R1519" i="4"/>
  <c r="AG1519" i="4" s="1"/>
  <c r="S1519" i="4"/>
  <c r="AN1519" i="4" s="1"/>
  <c r="U1519" i="4"/>
  <c r="V1519" i="4"/>
  <c r="W1519" i="4"/>
  <c r="X1519" i="4"/>
  <c r="Y1519" i="4"/>
  <c r="Z1519" i="4"/>
  <c r="AA1519" i="4"/>
  <c r="AB1519" i="4"/>
  <c r="AC1519" i="4"/>
  <c r="AE1519" i="4"/>
  <c r="AJ1519" i="4"/>
  <c r="AK1519" i="4"/>
  <c r="AM1519" i="4"/>
  <c r="P1520" i="4"/>
  <c r="AE1520" i="4" s="1"/>
  <c r="Q1520" i="4"/>
  <c r="R1520" i="4"/>
  <c r="AM1520" i="4" s="1"/>
  <c r="S1520" i="4"/>
  <c r="U1520" i="4"/>
  <c r="V1520" i="4"/>
  <c r="W1520" i="4"/>
  <c r="X1520" i="4"/>
  <c r="Y1520" i="4"/>
  <c r="Z1520" i="4"/>
  <c r="AA1520" i="4"/>
  <c r="AB1520" i="4"/>
  <c r="AC1520" i="4"/>
  <c r="AF1520" i="4"/>
  <c r="AJ1520" i="4"/>
  <c r="AK1520" i="4"/>
  <c r="AL1520" i="4"/>
  <c r="AN1520" i="4"/>
  <c r="P1521" i="4"/>
  <c r="Q1521" i="4"/>
  <c r="AF1521" i="4" s="1"/>
  <c r="R1521" i="4"/>
  <c r="S1521" i="4"/>
  <c r="AN1521" i="4" s="1"/>
  <c r="U1521" i="4"/>
  <c r="V1521" i="4"/>
  <c r="W1521" i="4"/>
  <c r="X1521" i="4"/>
  <c r="Y1521" i="4"/>
  <c r="Z1521" i="4"/>
  <c r="AA1521" i="4"/>
  <c r="AB1521" i="4"/>
  <c r="AC1521" i="4"/>
  <c r="AE1521" i="4"/>
  <c r="AG1521" i="4"/>
  <c r="AJ1521" i="4"/>
  <c r="AK1521" i="4"/>
  <c r="AM1521" i="4"/>
  <c r="P1522" i="4"/>
  <c r="AK1522" i="4" s="1"/>
  <c r="Q1522" i="4"/>
  <c r="AL1522" i="4" s="1"/>
  <c r="R1522" i="4"/>
  <c r="S1522" i="4"/>
  <c r="AN1522" i="4" s="1"/>
  <c r="U1522" i="4"/>
  <c r="V1522" i="4"/>
  <c r="W1522" i="4"/>
  <c r="X1522" i="4"/>
  <c r="Y1522" i="4"/>
  <c r="Z1522" i="4"/>
  <c r="AA1522" i="4"/>
  <c r="AB1522" i="4"/>
  <c r="AC1522" i="4"/>
  <c r="AF1522" i="4"/>
  <c r="AG1522" i="4"/>
  <c r="AJ1522" i="4"/>
  <c r="AM1522" i="4"/>
  <c r="P1523" i="4"/>
  <c r="AK1523" i="4" s="1"/>
  <c r="Q1523" i="4"/>
  <c r="AL1523" i="4" s="1"/>
  <c r="R1523" i="4"/>
  <c r="S1523" i="4"/>
  <c r="U1523" i="4"/>
  <c r="V1523" i="4"/>
  <c r="W1523" i="4"/>
  <c r="X1523" i="4"/>
  <c r="Y1523" i="4"/>
  <c r="Z1523" i="4"/>
  <c r="AA1523" i="4"/>
  <c r="AB1523" i="4"/>
  <c r="AC1523" i="4"/>
  <c r="AG1523" i="4"/>
  <c r="AJ1523" i="4"/>
  <c r="AM1523" i="4"/>
  <c r="AN1523" i="4"/>
  <c r="P1524" i="4"/>
  <c r="AE1524" i="4" s="1"/>
  <c r="Q1524" i="4"/>
  <c r="AL1524" i="4" s="1"/>
  <c r="R1524" i="4"/>
  <c r="AM1524" i="4" s="1"/>
  <c r="S1524" i="4"/>
  <c r="U1524" i="4"/>
  <c r="V1524" i="4"/>
  <c r="W1524" i="4"/>
  <c r="X1524" i="4"/>
  <c r="Y1524" i="4"/>
  <c r="Z1524" i="4"/>
  <c r="AA1524" i="4"/>
  <c r="AB1524" i="4"/>
  <c r="AC1524" i="4"/>
  <c r="AF1524" i="4"/>
  <c r="AJ1524" i="4"/>
  <c r="AN1524" i="4"/>
  <c r="P1525" i="4"/>
  <c r="AE1525" i="4" s="1"/>
  <c r="Q1525" i="4"/>
  <c r="AF1525" i="4" s="1"/>
  <c r="R1525" i="4"/>
  <c r="AM1525" i="4" s="1"/>
  <c r="S1525" i="4"/>
  <c r="AN1525" i="4" s="1"/>
  <c r="U1525" i="4"/>
  <c r="V1525" i="4"/>
  <c r="W1525" i="4"/>
  <c r="X1525" i="4"/>
  <c r="Y1525" i="4"/>
  <c r="Z1525" i="4"/>
  <c r="AA1525" i="4"/>
  <c r="AB1525" i="4"/>
  <c r="AC1525" i="4"/>
  <c r="AJ1525" i="4"/>
  <c r="P1526" i="4"/>
  <c r="AK1526" i="4" s="1"/>
  <c r="Q1526" i="4"/>
  <c r="AF1526" i="4" s="1"/>
  <c r="R1526" i="4"/>
  <c r="AG1526" i="4" s="1"/>
  <c r="S1526" i="4"/>
  <c r="AN1526" i="4" s="1"/>
  <c r="U1526" i="4"/>
  <c r="V1526" i="4"/>
  <c r="W1526" i="4"/>
  <c r="X1526" i="4"/>
  <c r="Y1526" i="4"/>
  <c r="Z1526" i="4"/>
  <c r="AA1526" i="4"/>
  <c r="AB1526" i="4"/>
  <c r="AC1526" i="4"/>
  <c r="AJ1526" i="4"/>
  <c r="AL1526" i="4"/>
  <c r="P1527" i="4"/>
  <c r="Q1527" i="4"/>
  <c r="AL1527" i="4" s="1"/>
  <c r="R1527" i="4"/>
  <c r="AG1527" i="4" s="1"/>
  <c r="S1527" i="4"/>
  <c r="AN1527" i="4" s="1"/>
  <c r="U1527" i="4"/>
  <c r="V1527" i="4"/>
  <c r="W1527" i="4"/>
  <c r="X1527" i="4"/>
  <c r="Y1527" i="4"/>
  <c r="Z1527" i="4"/>
  <c r="AA1527" i="4"/>
  <c r="AB1527" i="4"/>
  <c r="AC1527" i="4"/>
  <c r="AE1527" i="4"/>
  <c r="AJ1527" i="4"/>
  <c r="AK1527" i="4"/>
  <c r="AM1527" i="4"/>
  <c r="P1528" i="4"/>
  <c r="AE1528" i="4" s="1"/>
  <c r="Q1528" i="4"/>
  <c r="R1528" i="4"/>
  <c r="AM1528" i="4" s="1"/>
  <c r="S1528" i="4"/>
  <c r="U1528" i="4"/>
  <c r="V1528" i="4"/>
  <c r="W1528" i="4"/>
  <c r="X1528" i="4"/>
  <c r="Y1528" i="4"/>
  <c r="Z1528" i="4"/>
  <c r="AA1528" i="4"/>
  <c r="AB1528" i="4"/>
  <c r="AC1528" i="4"/>
  <c r="AF1528" i="4"/>
  <c r="AJ1528" i="4"/>
  <c r="AK1528" i="4"/>
  <c r="AL1528" i="4"/>
  <c r="AN1528" i="4"/>
  <c r="P1529" i="4"/>
  <c r="Q1529" i="4"/>
  <c r="AF1529" i="4" s="1"/>
  <c r="R1529" i="4"/>
  <c r="S1529" i="4"/>
  <c r="AN1529" i="4" s="1"/>
  <c r="U1529" i="4"/>
  <c r="V1529" i="4"/>
  <c r="W1529" i="4"/>
  <c r="X1529" i="4"/>
  <c r="Y1529" i="4"/>
  <c r="Z1529" i="4"/>
  <c r="AA1529" i="4"/>
  <c r="AB1529" i="4"/>
  <c r="AC1529" i="4"/>
  <c r="AE1529" i="4"/>
  <c r="AG1529" i="4"/>
  <c r="AJ1529" i="4"/>
  <c r="AK1529" i="4"/>
  <c r="AM1529" i="4"/>
  <c r="P1530" i="4"/>
  <c r="AK1530" i="4" s="1"/>
  <c r="Q1530" i="4"/>
  <c r="AL1530" i="4" s="1"/>
  <c r="R1530" i="4"/>
  <c r="S1530" i="4"/>
  <c r="AN1530" i="4" s="1"/>
  <c r="U1530" i="4"/>
  <c r="V1530" i="4"/>
  <c r="W1530" i="4"/>
  <c r="X1530" i="4"/>
  <c r="Y1530" i="4"/>
  <c r="Z1530" i="4"/>
  <c r="AA1530" i="4"/>
  <c r="AB1530" i="4"/>
  <c r="AC1530" i="4"/>
  <c r="AF1530" i="4"/>
  <c r="AG1530" i="4"/>
  <c r="AJ1530" i="4"/>
  <c r="AM1530" i="4"/>
  <c r="P1531" i="4"/>
  <c r="AK1531" i="4" s="1"/>
  <c r="Q1531" i="4"/>
  <c r="AL1531" i="4" s="1"/>
  <c r="R1531" i="4"/>
  <c r="S1531" i="4"/>
  <c r="U1531" i="4"/>
  <c r="V1531" i="4"/>
  <c r="W1531" i="4"/>
  <c r="X1531" i="4"/>
  <c r="Y1531" i="4"/>
  <c r="Z1531" i="4"/>
  <c r="AA1531" i="4"/>
  <c r="AB1531" i="4"/>
  <c r="AC1531" i="4"/>
  <c r="AG1531" i="4"/>
  <c r="AJ1531" i="4"/>
  <c r="AM1531" i="4"/>
  <c r="AN1531" i="4"/>
  <c r="P1532" i="4"/>
  <c r="AE1532" i="4" s="1"/>
  <c r="Q1532" i="4"/>
  <c r="AL1532" i="4" s="1"/>
  <c r="R1532" i="4"/>
  <c r="AM1532" i="4" s="1"/>
  <c r="S1532" i="4"/>
  <c r="U1532" i="4"/>
  <c r="V1532" i="4"/>
  <c r="W1532" i="4"/>
  <c r="X1532" i="4"/>
  <c r="Y1532" i="4"/>
  <c r="Z1532" i="4"/>
  <c r="AA1532" i="4"/>
  <c r="AB1532" i="4"/>
  <c r="AC1532" i="4"/>
  <c r="AF1532" i="4"/>
  <c r="AJ1532" i="4"/>
  <c r="AN1532" i="4"/>
  <c r="P1533" i="4"/>
  <c r="AE1533" i="4" s="1"/>
  <c r="Q1533" i="4"/>
  <c r="AF1533" i="4" s="1"/>
  <c r="R1533" i="4"/>
  <c r="AM1533" i="4" s="1"/>
  <c r="S1533" i="4"/>
  <c r="AN1533" i="4" s="1"/>
  <c r="U1533" i="4"/>
  <c r="V1533" i="4"/>
  <c r="W1533" i="4"/>
  <c r="X1533" i="4"/>
  <c r="Y1533" i="4"/>
  <c r="Z1533" i="4"/>
  <c r="AA1533" i="4"/>
  <c r="AB1533" i="4"/>
  <c r="AC1533" i="4"/>
  <c r="AJ1533" i="4"/>
  <c r="P1534" i="4"/>
  <c r="AK1534" i="4" s="1"/>
  <c r="Q1534" i="4"/>
  <c r="AF1534" i="4" s="1"/>
  <c r="R1534" i="4"/>
  <c r="AG1534" i="4" s="1"/>
  <c r="S1534" i="4"/>
  <c r="AN1534" i="4" s="1"/>
  <c r="U1534" i="4"/>
  <c r="V1534" i="4"/>
  <c r="W1534" i="4"/>
  <c r="X1534" i="4"/>
  <c r="Y1534" i="4"/>
  <c r="Z1534" i="4"/>
  <c r="AA1534" i="4"/>
  <c r="AB1534" i="4"/>
  <c r="AC1534" i="4"/>
  <c r="AJ1534" i="4"/>
  <c r="AL1534" i="4"/>
  <c r="P1535" i="4"/>
  <c r="Q1535" i="4"/>
  <c r="AL1535" i="4" s="1"/>
  <c r="R1535" i="4"/>
  <c r="AG1535" i="4" s="1"/>
  <c r="S1535" i="4"/>
  <c r="AN1535" i="4" s="1"/>
  <c r="U1535" i="4"/>
  <c r="V1535" i="4"/>
  <c r="W1535" i="4"/>
  <c r="X1535" i="4"/>
  <c r="Y1535" i="4"/>
  <c r="Z1535" i="4"/>
  <c r="AA1535" i="4"/>
  <c r="AB1535" i="4"/>
  <c r="AC1535" i="4"/>
  <c r="AE1535" i="4"/>
  <c r="AJ1535" i="4"/>
  <c r="AK1535" i="4"/>
  <c r="AM1535" i="4"/>
  <c r="P1536" i="4"/>
  <c r="AE1536" i="4" s="1"/>
  <c r="Q1536" i="4"/>
  <c r="R1536" i="4"/>
  <c r="AM1536" i="4" s="1"/>
  <c r="S1536" i="4"/>
  <c r="U1536" i="4"/>
  <c r="V1536" i="4"/>
  <c r="W1536" i="4"/>
  <c r="X1536" i="4"/>
  <c r="Y1536" i="4"/>
  <c r="Z1536" i="4"/>
  <c r="AA1536" i="4"/>
  <c r="AB1536" i="4"/>
  <c r="AC1536" i="4"/>
  <c r="AF1536" i="4"/>
  <c r="AJ1536" i="4"/>
  <c r="AK1536" i="4"/>
  <c r="AL1536" i="4"/>
  <c r="AN1536" i="4"/>
  <c r="P1537" i="4"/>
  <c r="Q1537" i="4"/>
  <c r="AF1537" i="4" s="1"/>
  <c r="R1537" i="4"/>
  <c r="S1537" i="4"/>
  <c r="AN1537" i="4" s="1"/>
  <c r="U1537" i="4"/>
  <c r="V1537" i="4"/>
  <c r="W1537" i="4"/>
  <c r="X1537" i="4"/>
  <c r="Y1537" i="4"/>
  <c r="Z1537" i="4"/>
  <c r="AA1537" i="4"/>
  <c r="AB1537" i="4"/>
  <c r="AC1537" i="4"/>
  <c r="AE1537" i="4"/>
  <c r="AG1537" i="4"/>
  <c r="AJ1537" i="4"/>
  <c r="AK1537" i="4"/>
  <c r="AM1537" i="4"/>
  <c r="P1538" i="4"/>
  <c r="AK1538" i="4" s="1"/>
  <c r="Q1538" i="4"/>
  <c r="AL1538" i="4" s="1"/>
  <c r="R1538" i="4"/>
  <c r="S1538" i="4"/>
  <c r="AN1538" i="4" s="1"/>
  <c r="U1538" i="4"/>
  <c r="V1538" i="4"/>
  <c r="W1538" i="4"/>
  <c r="X1538" i="4"/>
  <c r="Y1538" i="4"/>
  <c r="Z1538" i="4"/>
  <c r="AA1538" i="4"/>
  <c r="AB1538" i="4"/>
  <c r="AC1538" i="4"/>
  <c r="AF1538" i="4"/>
  <c r="AG1538" i="4"/>
  <c r="AJ1538" i="4"/>
  <c r="AM1538" i="4"/>
  <c r="P1539" i="4"/>
  <c r="AK1539" i="4" s="1"/>
  <c r="Q1539" i="4"/>
  <c r="AL1539" i="4" s="1"/>
  <c r="R1539" i="4"/>
  <c r="S1539" i="4"/>
  <c r="U1539" i="4"/>
  <c r="V1539" i="4"/>
  <c r="W1539" i="4"/>
  <c r="X1539" i="4"/>
  <c r="Y1539" i="4"/>
  <c r="Z1539" i="4"/>
  <c r="AA1539" i="4"/>
  <c r="AB1539" i="4"/>
  <c r="AC1539" i="4"/>
  <c r="AG1539" i="4"/>
  <c r="AJ1539" i="4"/>
  <c r="AM1539" i="4"/>
  <c r="AN1539" i="4"/>
  <c r="P1540" i="4"/>
  <c r="AE1540" i="4" s="1"/>
  <c r="Q1540" i="4"/>
  <c r="AL1540" i="4" s="1"/>
  <c r="R1540" i="4"/>
  <c r="AM1540" i="4" s="1"/>
  <c r="S1540" i="4"/>
  <c r="U1540" i="4"/>
  <c r="V1540" i="4"/>
  <c r="W1540" i="4"/>
  <c r="X1540" i="4"/>
  <c r="Y1540" i="4"/>
  <c r="Z1540" i="4"/>
  <c r="AA1540" i="4"/>
  <c r="AB1540" i="4"/>
  <c r="AC1540" i="4"/>
  <c r="AF1540" i="4"/>
  <c r="AJ1540" i="4"/>
  <c r="AN1540" i="4"/>
  <c r="P1541" i="4"/>
  <c r="AE1541" i="4" s="1"/>
  <c r="Q1541" i="4"/>
  <c r="AF1541" i="4" s="1"/>
  <c r="R1541" i="4"/>
  <c r="AM1541" i="4" s="1"/>
  <c r="S1541" i="4"/>
  <c r="AN1541" i="4" s="1"/>
  <c r="U1541" i="4"/>
  <c r="V1541" i="4"/>
  <c r="W1541" i="4"/>
  <c r="X1541" i="4"/>
  <c r="Y1541" i="4"/>
  <c r="Z1541" i="4"/>
  <c r="AA1541" i="4"/>
  <c r="AB1541" i="4"/>
  <c r="AC1541" i="4"/>
  <c r="AJ1541" i="4"/>
  <c r="P1542" i="4"/>
  <c r="AK1542" i="4" s="1"/>
  <c r="Q1542" i="4"/>
  <c r="AF1542" i="4" s="1"/>
  <c r="R1542" i="4"/>
  <c r="AG1542" i="4" s="1"/>
  <c r="S1542" i="4"/>
  <c r="AN1542" i="4" s="1"/>
  <c r="U1542" i="4"/>
  <c r="V1542" i="4"/>
  <c r="W1542" i="4"/>
  <c r="X1542" i="4"/>
  <c r="Y1542" i="4"/>
  <c r="Z1542" i="4"/>
  <c r="AA1542" i="4"/>
  <c r="AB1542" i="4"/>
  <c r="AC1542" i="4"/>
  <c r="AJ1542" i="4"/>
  <c r="AL1542" i="4"/>
  <c r="P1543" i="4"/>
  <c r="Q1543" i="4"/>
  <c r="AL1543" i="4" s="1"/>
  <c r="R1543" i="4"/>
  <c r="AG1543" i="4" s="1"/>
  <c r="S1543" i="4"/>
  <c r="AN1543" i="4" s="1"/>
  <c r="U1543" i="4"/>
  <c r="V1543" i="4"/>
  <c r="W1543" i="4"/>
  <c r="X1543" i="4"/>
  <c r="Y1543" i="4"/>
  <c r="Z1543" i="4"/>
  <c r="AA1543" i="4"/>
  <c r="AB1543" i="4"/>
  <c r="AC1543" i="4"/>
  <c r="AE1543" i="4"/>
  <c r="AJ1543" i="4"/>
  <c r="AK1543" i="4"/>
  <c r="AM1543" i="4"/>
  <c r="P1544" i="4"/>
  <c r="AE1544" i="4" s="1"/>
  <c r="Q1544" i="4"/>
  <c r="R1544" i="4"/>
  <c r="AM1544" i="4" s="1"/>
  <c r="S1544" i="4"/>
  <c r="U1544" i="4"/>
  <c r="V1544" i="4"/>
  <c r="W1544" i="4"/>
  <c r="X1544" i="4"/>
  <c r="Y1544" i="4"/>
  <c r="Z1544" i="4"/>
  <c r="AA1544" i="4"/>
  <c r="AB1544" i="4"/>
  <c r="AC1544" i="4"/>
  <c r="AF1544" i="4"/>
  <c r="AJ1544" i="4"/>
  <c r="AK1544" i="4"/>
  <c r="AL1544" i="4"/>
  <c r="AN1544" i="4"/>
  <c r="P1545" i="4"/>
  <c r="Q1545" i="4"/>
  <c r="AF1545" i="4" s="1"/>
  <c r="R1545" i="4"/>
  <c r="S1545" i="4"/>
  <c r="AN1545" i="4" s="1"/>
  <c r="U1545" i="4"/>
  <c r="V1545" i="4"/>
  <c r="W1545" i="4"/>
  <c r="X1545" i="4"/>
  <c r="Y1545" i="4"/>
  <c r="Z1545" i="4"/>
  <c r="AA1545" i="4"/>
  <c r="AB1545" i="4"/>
  <c r="AC1545" i="4"/>
  <c r="AE1545" i="4"/>
  <c r="AG1545" i="4"/>
  <c r="AJ1545" i="4"/>
  <c r="AK1545" i="4"/>
  <c r="AM1545" i="4"/>
  <c r="P1546" i="4"/>
  <c r="AK1546" i="4" s="1"/>
  <c r="Q1546" i="4"/>
  <c r="AL1546" i="4" s="1"/>
  <c r="R1546" i="4"/>
  <c r="S1546" i="4"/>
  <c r="AN1546" i="4" s="1"/>
  <c r="U1546" i="4"/>
  <c r="V1546" i="4"/>
  <c r="W1546" i="4"/>
  <c r="X1546" i="4"/>
  <c r="Y1546" i="4"/>
  <c r="Z1546" i="4"/>
  <c r="AA1546" i="4"/>
  <c r="AB1546" i="4"/>
  <c r="AC1546" i="4"/>
  <c r="AF1546" i="4"/>
  <c r="AG1546" i="4"/>
  <c r="AJ1546" i="4"/>
  <c r="AM1546" i="4"/>
  <c r="P1547" i="4"/>
  <c r="AK1547" i="4" s="1"/>
  <c r="Q1547" i="4"/>
  <c r="AL1547" i="4" s="1"/>
  <c r="R1547" i="4"/>
  <c r="S1547" i="4"/>
  <c r="U1547" i="4"/>
  <c r="V1547" i="4"/>
  <c r="W1547" i="4"/>
  <c r="X1547" i="4"/>
  <c r="Y1547" i="4"/>
  <c r="Z1547" i="4"/>
  <c r="AA1547" i="4"/>
  <c r="AB1547" i="4"/>
  <c r="AC1547" i="4"/>
  <c r="AG1547" i="4"/>
  <c r="AJ1547" i="4"/>
  <c r="AM1547" i="4"/>
  <c r="AN1547" i="4"/>
  <c r="P1548" i="4"/>
  <c r="AE1548" i="4" s="1"/>
  <c r="Q1548" i="4"/>
  <c r="AL1548" i="4" s="1"/>
  <c r="R1548" i="4"/>
  <c r="AM1548" i="4" s="1"/>
  <c r="S1548" i="4"/>
  <c r="U1548" i="4"/>
  <c r="V1548" i="4"/>
  <c r="W1548" i="4"/>
  <c r="X1548" i="4"/>
  <c r="Y1548" i="4"/>
  <c r="Z1548" i="4"/>
  <c r="AA1548" i="4"/>
  <c r="AB1548" i="4"/>
  <c r="AC1548" i="4"/>
  <c r="AF1548" i="4"/>
  <c r="AJ1548" i="4"/>
  <c r="AN1548" i="4"/>
  <c r="P1549" i="4"/>
  <c r="AE1549" i="4" s="1"/>
  <c r="Q1549" i="4"/>
  <c r="AF1549" i="4" s="1"/>
  <c r="R1549" i="4"/>
  <c r="AM1549" i="4" s="1"/>
  <c r="S1549" i="4"/>
  <c r="AN1549" i="4" s="1"/>
  <c r="U1549" i="4"/>
  <c r="V1549" i="4"/>
  <c r="W1549" i="4"/>
  <c r="X1549" i="4"/>
  <c r="Y1549" i="4"/>
  <c r="Z1549" i="4"/>
  <c r="AA1549" i="4"/>
  <c r="AB1549" i="4"/>
  <c r="AC1549" i="4"/>
  <c r="AJ1549" i="4"/>
  <c r="P1550" i="4"/>
  <c r="AK1550" i="4" s="1"/>
  <c r="Q1550" i="4"/>
  <c r="AF1550" i="4" s="1"/>
  <c r="R1550" i="4"/>
  <c r="AG1550" i="4" s="1"/>
  <c r="S1550" i="4"/>
  <c r="AN1550" i="4" s="1"/>
  <c r="U1550" i="4"/>
  <c r="V1550" i="4"/>
  <c r="W1550" i="4"/>
  <c r="X1550" i="4"/>
  <c r="Y1550" i="4"/>
  <c r="Z1550" i="4"/>
  <c r="AA1550" i="4"/>
  <c r="AB1550" i="4"/>
  <c r="AC1550" i="4"/>
  <c r="AJ1550" i="4"/>
  <c r="AL1550" i="4"/>
  <c r="P1551" i="4"/>
  <c r="Q1551" i="4"/>
  <c r="AL1551" i="4" s="1"/>
  <c r="R1551" i="4"/>
  <c r="AG1551" i="4" s="1"/>
  <c r="S1551" i="4"/>
  <c r="AN1551" i="4" s="1"/>
  <c r="U1551" i="4"/>
  <c r="V1551" i="4"/>
  <c r="W1551" i="4"/>
  <c r="X1551" i="4"/>
  <c r="Y1551" i="4"/>
  <c r="Z1551" i="4"/>
  <c r="AA1551" i="4"/>
  <c r="AB1551" i="4"/>
  <c r="AC1551" i="4"/>
  <c r="AE1551" i="4"/>
  <c r="AJ1551" i="4"/>
  <c r="AK1551" i="4"/>
  <c r="AM1551" i="4"/>
  <c r="P1552" i="4"/>
  <c r="AE1552" i="4" s="1"/>
  <c r="Q1552" i="4"/>
  <c r="R1552" i="4"/>
  <c r="AM1552" i="4" s="1"/>
  <c r="S1552" i="4"/>
  <c r="U1552" i="4"/>
  <c r="V1552" i="4"/>
  <c r="W1552" i="4"/>
  <c r="X1552" i="4"/>
  <c r="Y1552" i="4"/>
  <c r="Z1552" i="4"/>
  <c r="AA1552" i="4"/>
  <c r="AB1552" i="4"/>
  <c r="AC1552" i="4"/>
  <c r="AF1552" i="4"/>
  <c r="AJ1552" i="4"/>
  <c r="AK1552" i="4"/>
  <c r="AL1552" i="4"/>
  <c r="AN1552" i="4"/>
  <c r="P1553" i="4"/>
  <c r="Q1553" i="4"/>
  <c r="AF1553" i="4" s="1"/>
  <c r="R1553" i="4"/>
  <c r="S1553" i="4"/>
  <c r="AN1553" i="4" s="1"/>
  <c r="U1553" i="4"/>
  <c r="V1553" i="4"/>
  <c r="W1553" i="4"/>
  <c r="X1553" i="4"/>
  <c r="Y1553" i="4"/>
  <c r="Z1553" i="4"/>
  <c r="AA1553" i="4"/>
  <c r="AB1553" i="4"/>
  <c r="AC1553" i="4"/>
  <c r="AE1553" i="4"/>
  <c r="AG1553" i="4"/>
  <c r="AJ1553" i="4"/>
  <c r="AK1553" i="4"/>
  <c r="AM1553" i="4"/>
  <c r="P1554" i="4"/>
  <c r="AK1554" i="4" s="1"/>
  <c r="Q1554" i="4"/>
  <c r="AL1554" i="4" s="1"/>
  <c r="R1554" i="4"/>
  <c r="S1554" i="4"/>
  <c r="AN1554" i="4" s="1"/>
  <c r="U1554" i="4"/>
  <c r="V1554" i="4"/>
  <c r="W1554" i="4"/>
  <c r="X1554" i="4"/>
  <c r="Y1554" i="4"/>
  <c r="Z1554" i="4"/>
  <c r="AA1554" i="4"/>
  <c r="AB1554" i="4"/>
  <c r="AC1554" i="4"/>
  <c r="AF1554" i="4"/>
  <c r="AG1554" i="4"/>
  <c r="AJ1554" i="4"/>
  <c r="AM1554" i="4"/>
  <c r="P1555" i="4"/>
  <c r="AK1555" i="4" s="1"/>
  <c r="Q1555" i="4"/>
  <c r="AL1555" i="4" s="1"/>
  <c r="R1555" i="4"/>
  <c r="S1555" i="4"/>
  <c r="U1555" i="4"/>
  <c r="V1555" i="4"/>
  <c r="W1555" i="4"/>
  <c r="X1555" i="4"/>
  <c r="Y1555" i="4"/>
  <c r="Z1555" i="4"/>
  <c r="AA1555" i="4"/>
  <c r="AB1555" i="4"/>
  <c r="AC1555" i="4"/>
  <c r="AG1555" i="4"/>
  <c r="AJ1555" i="4"/>
  <c r="AM1555" i="4"/>
  <c r="AN1555" i="4"/>
  <c r="P1556" i="4"/>
  <c r="AE1556" i="4" s="1"/>
  <c r="Q1556" i="4"/>
  <c r="AL1556" i="4" s="1"/>
  <c r="R1556" i="4"/>
  <c r="AM1556" i="4" s="1"/>
  <c r="S1556" i="4"/>
  <c r="U1556" i="4"/>
  <c r="V1556" i="4"/>
  <c r="W1556" i="4"/>
  <c r="X1556" i="4"/>
  <c r="Y1556" i="4"/>
  <c r="Z1556" i="4"/>
  <c r="AA1556" i="4"/>
  <c r="AB1556" i="4"/>
  <c r="AC1556" i="4"/>
  <c r="AF1556" i="4"/>
  <c r="AJ1556" i="4"/>
  <c r="AN1556" i="4"/>
  <c r="P1557" i="4"/>
  <c r="AE1557" i="4" s="1"/>
  <c r="Q1557" i="4"/>
  <c r="AF1557" i="4" s="1"/>
  <c r="R1557" i="4"/>
  <c r="AM1557" i="4" s="1"/>
  <c r="S1557" i="4"/>
  <c r="AN1557" i="4" s="1"/>
  <c r="U1557" i="4"/>
  <c r="V1557" i="4"/>
  <c r="W1557" i="4"/>
  <c r="X1557" i="4"/>
  <c r="Y1557" i="4"/>
  <c r="Z1557" i="4"/>
  <c r="AA1557" i="4"/>
  <c r="AB1557" i="4"/>
  <c r="AC1557" i="4"/>
  <c r="AJ1557" i="4"/>
  <c r="P1558" i="4"/>
  <c r="AK1558" i="4" s="1"/>
  <c r="Q1558" i="4"/>
  <c r="AF1558" i="4" s="1"/>
  <c r="R1558" i="4"/>
  <c r="AG1558" i="4" s="1"/>
  <c r="S1558" i="4"/>
  <c r="AN1558" i="4" s="1"/>
  <c r="U1558" i="4"/>
  <c r="V1558" i="4"/>
  <c r="W1558" i="4"/>
  <c r="X1558" i="4"/>
  <c r="Y1558" i="4"/>
  <c r="Z1558" i="4"/>
  <c r="AA1558" i="4"/>
  <c r="AB1558" i="4"/>
  <c r="AC1558" i="4"/>
  <c r="AJ1558" i="4"/>
  <c r="AL1558" i="4"/>
  <c r="P1559" i="4"/>
  <c r="Q1559" i="4"/>
  <c r="AL1559" i="4" s="1"/>
  <c r="R1559" i="4"/>
  <c r="AG1559" i="4" s="1"/>
  <c r="S1559" i="4"/>
  <c r="AN1559" i="4" s="1"/>
  <c r="U1559" i="4"/>
  <c r="V1559" i="4"/>
  <c r="W1559" i="4"/>
  <c r="X1559" i="4"/>
  <c r="Y1559" i="4"/>
  <c r="Z1559" i="4"/>
  <c r="AA1559" i="4"/>
  <c r="AB1559" i="4"/>
  <c r="AC1559" i="4"/>
  <c r="AE1559" i="4"/>
  <c r="AJ1559" i="4"/>
  <c r="AK1559" i="4"/>
  <c r="AM1559" i="4"/>
  <c r="P1560" i="4"/>
  <c r="AE1560" i="4" s="1"/>
  <c r="Q1560" i="4"/>
  <c r="R1560" i="4"/>
  <c r="AM1560" i="4" s="1"/>
  <c r="S1560" i="4"/>
  <c r="U1560" i="4"/>
  <c r="V1560" i="4"/>
  <c r="W1560" i="4"/>
  <c r="X1560" i="4"/>
  <c r="Y1560" i="4"/>
  <c r="Z1560" i="4"/>
  <c r="AA1560" i="4"/>
  <c r="AB1560" i="4"/>
  <c r="AC1560" i="4"/>
  <c r="AF1560" i="4"/>
  <c r="AJ1560" i="4"/>
  <c r="AK1560" i="4"/>
  <c r="AL1560" i="4"/>
  <c r="AN1560" i="4"/>
  <c r="P1561" i="4"/>
  <c r="Q1561" i="4"/>
  <c r="AF1561" i="4" s="1"/>
  <c r="R1561" i="4"/>
  <c r="S1561" i="4"/>
  <c r="AN1561" i="4" s="1"/>
  <c r="U1561" i="4"/>
  <c r="V1561" i="4"/>
  <c r="W1561" i="4"/>
  <c r="X1561" i="4"/>
  <c r="Y1561" i="4"/>
  <c r="Z1561" i="4"/>
  <c r="AA1561" i="4"/>
  <c r="AB1561" i="4"/>
  <c r="AC1561" i="4"/>
  <c r="AE1561" i="4"/>
  <c r="AG1561" i="4"/>
  <c r="AJ1561" i="4"/>
  <c r="AK1561" i="4"/>
  <c r="AM1561" i="4"/>
  <c r="P1562" i="4"/>
  <c r="AK1562" i="4" s="1"/>
  <c r="Q1562" i="4"/>
  <c r="AL1562" i="4" s="1"/>
  <c r="R1562" i="4"/>
  <c r="S1562" i="4"/>
  <c r="AN1562" i="4" s="1"/>
  <c r="U1562" i="4"/>
  <c r="V1562" i="4"/>
  <c r="W1562" i="4"/>
  <c r="X1562" i="4"/>
  <c r="Y1562" i="4"/>
  <c r="Z1562" i="4"/>
  <c r="AA1562" i="4"/>
  <c r="AB1562" i="4"/>
  <c r="AC1562" i="4"/>
  <c r="AF1562" i="4"/>
  <c r="AG1562" i="4"/>
  <c r="AJ1562" i="4"/>
  <c r="AM1562" i="4"/>
  <c r="P1563" i="4"/>
  <c r="AK1563" i="4" s="1"/>
  <c r="Q1563" i="4"/>
  <c r="AL1563" i="4" s="1"/>
  <c r="R1563" i="4"/>
  <c r="S1563" i="4"/>
  <c r="U1563" i="4"/>
  <c r="V1563" i="4"/>
  <c r="W1563" i="4"/>
  <c r="X1563" i="4"/>
  <c r="Y1563" i="4"/>
  <c r="Z1563" i="4"/>
  <c r="AA1563" i="4"/>
  <c r="AB1563" i="4"/>
  <c r="AC1563" i="4"/>
  <c r="AG1563" i="4"/>
  <c r="AJ1563" i="4"/>
  <c r="AM1563" i="4"/>
  <c r="AN1563" i="4"/>
  <c r="P1564" i="4"/>
  <c r="AE1564" i="4" s="1"/>
  <c r="Q1564" i="4"/>
  <c r="AL1564" i="4" s="1"/>
  <c r="R1564" i="4"/>
  <c r="AM1564" i="4" s="1"/>
  <c r="S1564" i="4"/>
  <c r="U1564" i="4"/>
  <c r="V1564" i="4"/>
  <c r="W1564" i="4"/>
  <c r="X1564" i="4"/>
  <c r="Y1564" i="4"/>
  <c r="Z1564" i="4"/>
  <c r="AA1564" i="4"/>
  <c r="AB1564" i="4"/>
  <c r="AC1564" i="4"/>
  <c r="AF1564" i="4"/>
  <c r="AJ1564" i="4"/>
  <c r="AN1564" i="4"/>
  <c r="P1565" i="4"/>
  <c r="AE1565" i="4" s="1"/>
  <c r="Q1565" i="4"/>
  <c r="AF1565" i="4" s="1"/>
  <c r="R1565" i="4"/>
  <c r="AM1565" i="4" s="1"/>
  <c r="S1565" i="4"/>
  <c r="AN1565" i="4" s="1"/>
  <c r="U1565" i="4"/>
  <c r="V1565" i="4"/>
  <c r="W1565" i="4"/>
  <c r="X1565" i="4"/>
  <c r="Y1565" i="4"/>
  <c r="Z1565" i="4"/>
  <c r="AA1565" i="4"/>
  <c r="AB1565" i="4"/>
  <c r="AC1565" i="4"/>
  <c r="AJ1565" i="4"/>
  <c r="P1566" i="4"/>
  <c r="AK1566" i="4" s="1"/>
  <c r="Q1566" i="4"/>
  <c r="AF1566" i="4" s="1"/>
  <c r="R1566" i="4"/>
  <c r="AG1566" i="4" s="1"/>
  <c r="S1566" i="4"/>
  <c r="AN1566" i="4" s="1"/>
  <c r="U1566" i="4"/>
  <c r="V1566" i="4"/>
  <c r="W1566" i="4"/>
  <c r="X1566" i="4"/>
  <c r="Y1566" i="4"/>
  <c r="Z1566" i="4"/>
  <c r="AA1566" i="4"/>
  <c r="AB1566" i="4"/>
  <c r="AC1566" i="4"/>
  <c r="AJ1566" i="4"/>
  <c r="AL1566" i="4"/>
  <c r="P1567" i="4"/>
  <c r="Q1567" i="4"/>
  <c r="AL1567" i="4" s="1"/>
  <c r="R1567" i="4"/>
  <c r="AG1567" i="4" s="1"/>
  <c r="S1567" i="4"/>
  <c r="AN1567" i="4" s="1"/>
  <c r="U1567" i="4"/>
  <c r="V1567" i="4"/>
  <c r="W1567" i="4"/>
  <c r="X1567" i="4"/>
  <c r="Y1567" i="4"/>
  <c r="Z1567" i="4"/>
  <c r="AA1567" i="4"/>
  <c r="AB1567" i="4"/>
  <c r="AC1567" i="4"/>
  <c r="AE1567" i="4"/>
  <c r="AJ1567" i="4"/>
  <c r="AK1567" i="4"/>
  <c r="AM1567" i="4"/>
  <c r="P1568" i="4"/>
  <c r="AE1568" i="4" s="1"/>
  <c r="Q1568" i="4"/>
  <c r="R1568" i="4"/>
  <c r="AM1568" i="4" s="1"/>
  <c r="S1568" i="4"/>
  <c r="U1568" i="4"/>
  <c r="V1568" i="4"/>
  <c r="W1568" i="4"/>
  <c r="X1568" i="4"/>
  <c r="Y1568" i="4"/>
  <c r="Z1568" i="4"/>
  <c r="AA1568" i="4"/>
  <c r="AB1568" i="4"/>
  <c r="AC1568" i="4"/>
  <c r="AF1568" i="4"/>
  <c r="AJ1568" i="4"/>
  <c r="AK1568" i="4"/>
  <c r="AL1568" i="4"/>
  <c r="AN1568" i="4"/>
  <c r="P1569" i="4"/>
  <c r="Q1569" i="4"/>
  <c r="AF1569" i="4" s="1"/>
  <c r="R1569" i="4"/>
  <c r="S1569" i="4"/>
  <c r="AN1569" i="4" s="1"/>
  <c r="U1569" i="4"/>
  <c r="V1569" i="4"/>
  <c r="W1569" i="4"/>
  <c r="X1569" i="4"/>
  <c r="Y1569" i="4"/>
  <c r="Z1569" i="4"/>
  <c r="AA1569" i="4"/>
  <c r="AB1569" i="4"/>
  <c r="AC1569" i="4"/>
  <c r="AE1569" i="4"/>
  <c r="AG1569" i="4"/>
  <c r="AJ1569" i="4"/>
  <c r="AK1569" i="4"/>
  <c r="AM1569" i="4"/>
  <c r="P1570" i="4"/>
  <c r="AK1570" i="4" s="1"/>
  <c r="Q1570" i="4"/>
  <c r="AL1570" i="4" s="1"/>
  <c r="R1570" i="4"/>
  <c r="S1570" i="4"/>
  <c r="AN1570" i="4" s="1"/>
  <c r="U1570" i="4"/>
  <c r="V1570" i="4"/>
  <c r="W1570" i="4"/>
  <c r="X1570" i="4"/>
  <c r="Y1570" i="4"/>
  <c r="Z1570" i="4"/>
  <c r="AA1570" i="4"/>
  <c r="AB1570" i="4"/>
  <c r="AC1570" i="4"/>
  <c r="AF1570" i="4"/>
  <c r="AG1570" i="4"/>
  <c r="AJ1570" i="4"/>
  <c r="AM1570" i="4"/>
  <c r="P1571" i="4"/>
  <c r="AK1571" i="4" s="1"/>
  <c r="Q1571" i="4"/>
  <c r="AL1571" i="4" s="1"/>
  <c r="R1571" i="4"/>
  <c r="S1571" i="4"/>
  <c r="U1571" i="4"/>
  <c r="V1571" i="4"/>
  <c r="W1571" i="4"/>
  <c r="X1571" i="4"/>
  <c r="Y1571" i="4"/>
  <c r="Z1571" i="4"/>
  <c r="AA1571" i="4"/>
  <c r="AB1571" i="4"/>
  <c r="AC1571" i="4"/>
  <c r="AG1571" i="4"/>
  <c r="AJ1571" i="4"/>
  <c r="AM1571" i="4"/>
  <c r="AN1571" i="4"/>
  <c r="P1572" i="4"/>
  <c r="AE1572" i="4" s="1"/>
  <c r="Q1572" i="4"/>
  <c r="AL1572" i="4" s="1"/>
  <c r="R1572" i="4"/>
  <c r="AM1572" i="4" s="1"/>
  <c r="S1572" i="4"/>
  <c r="U1572" i="4"/>
  <c r="V1572" i="4"/>
  <c r="W1572" i="4"/>
  <c r="X1572" i="4"/>
  <c r="Y1572" i="4"/>
  <c r="Z1572" i="4"/>
  <c r="AA1572" i="4"/>
  <c r="AB1572" i="4"/>
  <c r="AC1572" i="4"/>
  <c r="AF1572" i="4"/>
  <c r="AJ1572" i="4"/>
  <c r="AN1572" i="4"/>
  <c r="P1573" i="4"/>
  <c r="AE1573" i="4" s="1"/>
  <c r="Q1573" i="4"/>
  <c r="AF1573" i="4" s="1"/>
  <c r="R1573" i="4"/>
  <c r="AM1573" i="4" s="1"/>
  <c r="S1573" i="4"/>
  <c r="AN1573" i="4" s="1"/>
  <c r="U1573" i="4"/>
  <c r="V1573" i="4"/>
  <c r="W1573" i="4"/>
  <c r="X1573" i="4"/>
  <c r="Y1573" i="4"/>
  <c r="Z1573" i="4"/>
  <c r="AA1573" i="4"/>
  <c r="AB1573" i="4"/>
  <c r="AC1573" i="4"/>
  <c r="AJ1573" i="4"/>
  <c r="P1574" i="4"/>
  <c r="AK1574" i="4" s="1"/>
  <c r="Q1574" i="4"/>
  <c r="AF1574" i="4" s="1"/>
  <c r="R1574" i="4"/>
  <c r="AG1574" i="4" s="1"/>
  <c r="S1574" i="4"/>
  <c r="AN1574" i="4" s="1"/>
  <c r="U1574" i="4"/>
  <c r="V1574" i="4"/>
  <c r="W1574" i="4"/>
  <c r="X1574" i="4"/>
  <c r="Y1574" i="4"/>
  <c r="Z1574" i="4"/>
  <c r="AA1574" i="4"/>
  <c r="AB1574" i="4"/>
  <c r="AC1574" i="4"/>
  <c r="AJ1574" i="4"/>
  <c r="AL1574" i="4"/>
  <c r="P1575" i="4"/>
  <c r="Q1575" i="4"/>
  <c r="AL1575" i="4" s="1"/>
  <c r="R1575" i="4"/>
  <c r="AG1575" i="4" s="1"/>
  <c r="S1575" i="4"/>
  <c r="AN1575" i="4" s="1"/>
  <c r="U1575" i="4"/>
  <c r="V1575" i="4"/>
  <c r="W1575" i="4"/>
  <c r="X1575" i="4"/>
  <c r="Y1575" i="4"/>
  <c r="Z1575" i="4"/>
  <c r="AA1575" i="4"/>
  <c r="AB1575" i="4"/>
  <c r="AC1575" i="4"/>
  <c r="AE1575" i="4"/>
  <c r="AJ1575" i="4"/>
  <c r="AK1575" i="4"/>
  <c r="AM1575" i="4"/>
  <c r="P1576" i="4"/>
  <c r="AE1576" i="4" s="1"/>
  <c r="Q1576" i="4"/>
  <c r="R1576" i="4"/>
  <c r="AM1576" i="4" s="1"/>
  <c r="S1576" i="4"/>
  <c r="U1576" i="4"/>
  <c r="V1576" i="4"/>
  <c r="W1576" i="4"/>
  <c r="X1576" i="4"/>
  <c r="Y1576" i="4"/>
  <c r="Z1576" i="4"/>
  <c r="AA1576" i="4"/>
  <c r="AB1576" i="4"/>
  <c r="AC1576" i="4"/>
  <c r="AF1576" i="4"/>
  <c r="AJ1576" i="4"/>
  <c r="AK1576" i="4"/>
  <c r="AL1576" i="4"/>
  <c r="AN1576" i="4"/>
  <c r="P1577" i="4"/>
  <c r="Q1577" i="4"/>
  <c r="AF1577" i="4" s="1"/>
  <c r="R1577" i="4"/>
  <c r="S1577" i="4"/>
  <c r="AN1577" i="4" s="1"/>
  <c r="U1577" i="4"/>
  <c r="V1577" i="4"/>
  <c r="W1577" i="4"/>
  <c r="X1577" i="4"/>
  <c r="Y1577" i="4"/>
  <c r="Z1577" i="4"/>
  <c r="AA1577" i="4"/>
  <c r="AB1577" i="4"/>
  <c r="AC1577" i="4"/>
  <c r="AE1577" i="4"/>
  <c r="AG1577" i="4"/>
  <c r="AJ1577" i="4"/>
  <c r="AK1577" i="4"/>
  <c r="AM1577" i="4"/>
  <c r="P1578" i="4"/>
  <c r="AK1578" i="4" s="1"/>
  <c r="Q1578" i="4"/>
  <c r="AL1578" i="4" s="1"/>
  <c r="R1578" i="4"/>
  <c r="S1578" i="4"/>
  <c r="AN1578" i="4" s="1"/>
  <c r="U1578" i="4"/>
  <c r="V1578" i="4"/>
  <c r="W1578" i="4"/>
  <c r="X1578" i="4"/>
  <c r="Y1578" i="4"/>
  <c r="Z1578" i="4"/>
  <c r="AA1578" i="4"/>
  <c r="AB1578" i="4"/>
  <c r="AC1578" i="4"/>
  <c r="AF1578" i="4"/>
  <c r="AG1578" i="4"/>
  <c r="AJ1578" i="4"/>
  <c r="AM1578" i="4"/>
  <c r="P1579" i="4"/>
  <c r="AK1579" i="4" s="1"/>
  <c r="Q1579" i="4"/>
  <c r="AL1579" i="4" s="1"/>
  <c r="R1579" i="4"/>
  <c r="S1579" i="4"/>
  <c r="U1579" i="4"/>
  <c r="V1579" i="4"/>
  <c r="W1579" i="4"/>
  <c r="X1579" i="4"/>
  <c r="Y1579" i="4"/>
  <c r="Z1579" i="4"/>
  <c r="AA1579" i="4"/>
  <c r="AB1579" i="4"/>
  <c r="AC1579" i="4"/>
  <c r="AG1579" i="4"/>
  <c r="AJ1579" i="4"/>
  <c r="AM1579" i="4"/>
  <c r="AN1579" i="4"/>
  <c r="P1580" i="4"/>
  <c r="AE1580" i="4" s="1"/>
  <c r="Q1580" i="4"/>
  <c r="AL1580" i="4" s="1"/>
  <c r="R1580" i="4"/>
  <c r="AM1580" i="4" s="1"/>
  <c r="S1580" i="4"/>
  <c r="U1580" i="4"/>
  <c r="V1580" i="4"/>
  <c r="W1580" i="4"/>
  <c r="X1580" i="4"/>
  <c r="Y1580" i="4"/>
  <c r="Z1580" i="4"/>
  <c r="AA1580" i="4"/>
  <c r="AB1580" i="4"/>
  <c r="AC1580" i="4"/>
  <c r="AF1580" i="4"/>
  <c r="AJ1580" i="4"/>
  <c r="AN1580" i="4"/>
  <c r="P1581" i="4"/>
  <c r="AE1581" i="4" s="1"/>
  <c r="Q1581" i="4"/>
  <c r="AF1581" i="4" s="1"/>
  <c r="R1581" i="4"/>
  <c r="AM1581" i="4" s="1"/>
  <c r="S1581" i="4"/>
  <c r="AN1581" i="4" s="1"/>
  <c r="U1581" i="4"/>
  <c r="V1581" i="4"/>
  <c r="W1581" i="4"/>
  <c r="X1581" i="4"/>
  <c r="Y1581" i="4"/>
  <c r="Z1581" i="4"/>
  <c r="AA1581" i="4"/>
  <c r="AB1581" i="4"/>
  <c r="AC1581" i="4"/>
  <c r="AJ1581" i="4"/>
  <c r="P1582" i="4"/>
  <c r="AK1582" i="4" s="1"/>
  <c r="Q1582" i="4"/>
  <c r="AF1582" i="4" s="1"/>
  <c r="R1582" i="4"/>
  <c r="AG1582" i="4" s="1"/>
  <c r="S1582" i="4"/>
  <c r="AN1582" i="4" s="1"/>
  <c r="U1582" i="4"/>
  <c r="V1582" i="4"/>
  <c r="W1582" i="4"/>
  <c r="X1582" i="4"/>
  <c r="Y1582" i="4"/>
  <c r="Z1582" i="4"/>
  <c r="AA1582" i="4"/>
  <c r="AB1582" i="4"/>
  <c r="AC1582" i="4"/>
  <c r="AJ1582" i="4"/>
  <c r="AL1582" i="4"/>
  <c r="P1583" i="4"/>
  <c r="Q1583" i="4"/>
  <c r="AL1583" i="4" s="1"/>
  <c r="R1583" i="4"/>
  <c r="AG1583" i="4" s="1"/>
  <c r="S1583" i="4"/>
  <c r="AN1583" i="4" s="1"/>
  <c r="U1583" i="4"/>
  <c r="V1583" i="4"/>
  <c r="W1583" i="4"/>
  <c r="X1583" i="4"/>
  <c r="Y1583" i="4"/>
  <c r="Z1583" i="4"/>
  <c r="AA1583" i="4"/>
  <c r="AB1583" i="4"/>
  <c r="AC1583" i="4"/>
  <c r="AE1583" i="4"/>
  <c r="AJ1583" i="4"/>
  <c r="AK1583" i="4"/>
  <c r="AM1583" i="4"/>
  <c r="P1584" i="4"/>
  <c r="AE1584" i="4" s="1"/>
  <c r="Q1584" i="4"/>
  <c r="R1584" i="4"/>
  <c r="AM1584" i="4" s="1"/>
  <c r="S1584" i="4"/>
  <c r="U1584" i="4"/>
  <c r="V1584" i="4"/>
  <c r="W1584" i="4"/>
  <c r="X1584" i="4"/>
  <c r="Y1584" i="4"/>
  <c r="Z1584" i="4"/>
  <c r="AA1584" i="4"/>
  <c r="AB1584" i="4"/>
  <c r="AC1584" i="4"/>
  <c r="AF1584" i="4"/>
  <c r="AJ1584" i="4"/>
  <c r="AK1584" i="4"/>
  <c r="AL1584" i="4"/>
  <c r="AN1584" i="4"/>
  <c r="P1585" i="4"/>
  <c r="Q1585" i="4"/>
  <c r="AF1585" i="4" s="1"/>
  <c r="R1585" i="4"/>
  <c r="S1585" i="4"/>
  <c r="AN1585" i="4" s="1"/>
  <c r="U1585" i="4"/>
  <c r="V1585" i="4"/>
  <c r="W1585" i="4"/>
  <c r="X1585" i="4"/>
  <c r="Y1585" i="4"/>
  <c r="Z1585" i="4"/>
  <c r="AA1585" i="4"/>
  <c r="AB1585" i="4"/>
  <c r="AC1585" i="4"/>
  <c r="AE1585" i="4"/>
  <c r="AG1585" i="4"/>
  <c r="AJ1585" i="4"/>
  <c r="AK1585" i="4"/>
  <c r="AM1585" i="4"/>
  <c r="P1586" i="4"/>
  <c r="AK1586" i="4" s="1"/>
  <c r="Q1586" i="4"/>
  <c r="AL1586" i="4" s="1"/>
  <c r="R1586" i="4"/>
  <c r="S1586" i="4"/>
  <c r="AN1586" i="4" s="1"/>
  <c r="U1586" i="4"/>
  <c r="V1586" i="4"/>
  <c r="W1586" i="4"/>
  <c r="X1586" i="4"/>
  <c r="Y1586" i="4"/>
  <c r="Z1586" i="4"/>
  <c r="AA1586" i="4"/>
  <c r="AB1586" i="4"/>
  <c r="AC1586" i="4"/>
  <c r="AF1586" i="4"/>
  <c r="AG1586" i="4"/>
  <c r="AJ1586" i="4"/>
  <c r="AM1586" i="4"/>
  <c r="P1587" i="4"/>
  <c r="AK1587" i="4" s="1"/>
  <c r="Q1587" i="4"/>
  <c r="AL1587" i="4" s="1"/>
  <c r="R1587" i="4"/>
  <c r="S1587" i="4"/>
  <c r="U1587" i="4"/>
  <c r="V1587" i="4"/>
  <c r="W1587" i="4"/>
  <c r="X1587" i="4"/>
  <c r="Y1587" i="4"/>
  <c r="Z1587" i="4"/>
  <c r="AA1587" i="4"/>
  <c r="AB1587" i="4"/>
  <c r="AC1587" i="4"/>
  <c r="AG1587" i="4"/>
  <c r="AJ1587" i="4"/>
  <c r="AM1587" i="4"/>
  <c r="AN1587" i="4"/>
  <c r="P1588" i="4"/>
  <c r="AE1588" i="4" s="1"/>
  <c r="Q1588" i="4"/>
  <c r="AL1588" i="4" s="1"/>
  <c r="R1588" i="4"/>
  <c r="AM1588" i="4" s="1"/>
  <c r="S1588" i="4"/>
  <c r="U1588" i="4"/>
  <c r="V1588" i="4"/>
  <c r="W1588" i="4"/>
  <c r="X1588" i="4"/>
  <c r="Y1588" i="4"/>
  <c r="Z1588" i="4"/>
  <c r="AA1588" i="4"/>
  <c r="AB1588" i="4"/>
  <c r="AC1588" i="4"/>
  <c r="AF1588" i="4"/>
  <c r="AJ1588" i="4"/>
  <c r="AN1588" i="4"/>
  <c r="P1589" i="4"/>
  <c r="AE1589" i="4" s="1"/>
  <c r="Q1589" i="4"/>
  <c r="AF1589" i="4" s="1"/>
  <c r="R1589" i="4"/>
  <c r="AM1589" i="4" s="1"/>
  <c r="S1589" i="4"/>
  <c r="AN1589" i="4" s="1"/>
  <c r="U1589" i="4"/>
  <c r="V1589" i="4"/>
  <c r="W1589" i="4"/>
  <c r="X1589" i="4"/>
  <c r="Y1589" i="4"/>
  <c r="Z1589" i="4"/>
  <c r="AA1589" i="4"/>
  <c r="AB1589" i="4"/>
  <c r="AC1589" i="4"/>
  <c r="AJ1589" i="4"/>
  <c r="P1590" i="4"/>
  <c r="AK1590" i="4" s="1"/>
  <c r="Q1590" i="4"/>
  <c r="AF1590" i="4" s="1"/>
  <c r="R1590" i="4"/>
  <c r="AG1590" i="4" s="1"/>
  <c r="S1590" i="4"/>
  <c r="AN1590" i="4" s="1"/>
  <c r="U1590" i="4"/>
  <c r="V1590" i="4"/>
  <c r="W1590" i="4"/>
  <c r="X1590" i="4"/>
  <c r="Y1590" i="4"/>
  <c r="Z1590" i="4"/>
  <c r="AA1590" i="4"/>
  <c r="AB1590" i="4"/>
  <c r="AC1590" i="4"/>
  <c r="AJ1590" i="4"/>
  <c r="AL1590" i="4"/>
  <c r="P1591" i="4"/>
  <c r="Q1591" i="4"/>
  <c r="AL1591" i="4" s="1"/>
  <c r="R1591" i="4"/>
  <c r="AG1591" i="4" s="1"/>
  <c r="S1591" i="4"/>
  <c r="AN1591" i="4" s="1"/>
  <c r="U1591" i="4"/>
  <c r="V1591" i="4"/>
  <c r="W1591" i="4"/>
  <c r="X1591" i="4"/>
  <c r="Y1591" i="4"/>
  <c r="Z1591" i="4"/>
  <c r="AA1591" i="4"/>
  <c r="AB1591" i="4"/>
  <c r="AC1591" i="4"/>
  <c r="AE1591" i="4"/>
  <c r="AJ1591" i="4"/>
  <c r="AK1591" i="4"/>
  <c r="AM1591" i="4"/>
  <c r="P1592" i="4"/>
  <c r="AE1592" i="4" s="1"/>
  <c r="Q1592" i="4"/>
  <c r="R1592" i="4"/>
  <c r="AM1592" i="4" s="1"/>
  <c r="S1592" i="4"/>
  <c r="U1592" i="4"/>
  <c r="V1592" i="4"/>
  <c r="W1592" i="4"/>
  <c r="X1592" i="4"/>
  <c r="Y1592" i="4"/>
  <c r="Z1592" i="4"/>
  <c r="AA1592" i="4"/>
  <c r="AB1592" i="4"/>
  <c r="AC1592" i="4"/>
  <c r="AF1592" i="4"/>
  <c r="AJ1592" i="4"/>
  <c r="AK1592" i="4"/>
  <c r="AL1592" i="4"/>
  <c r="AN1592" i="4"/>
  <c r="P1593" i="4"/>
  <c r="Q1593" i="4"/>
  <c r="AF1593" i="4" s="1"/>
  <c r="R1593" i="4"/>
  <c r="S1593" i="4"/>
  <c r="AN1593" i="4" s="1"/>
  <c r="U1593" i="4"/>
  <c r="V1593" i="4"/>
  <c r="W1593" i="4"/>
  <c r="X1593" i="4"/>
  <c r="Y1593" i="4"/>
  <c r="Z1593" i="4"/>
  <c r="AA1593" i="4"/>
  <c r="AB1593" i="4"/>
  <c r="AC1593" i="4"/>
  <c r="AE1593" i="4"/>
  <c r="AG1593" i="4"/>
  <c r="AJ1593" i="4"/>
  <c r="AK1593" i="4"/>
  <c r="AM1593" i="4"/>
  <c r="AK183" i="4"/>
  <c r="AJ3" i="4"/>
  <c r="AJ4" i="4"/>
  <c r="AJ5" i="4"/>
  <c r="AJ6" i="4"/>
  <c r="AJ7" i="4"/>
  <c r="AJ8" i="4"/>
  <c r="AJ9" i="4"/>
  <c r="AJ10" i="4"/>
  <c r="AJ11" i="4"/>
  <c r="AJ12" i="4"/>
  <c r="AJ13" i="4"/>
  <c r="AJ14" i="4"/>
  <c r="AJ15" i="4"/>
  <c r="AJ16" i="4"/>
  <c r="AJ17" i="4"/>
  <c r="AJ18" i="4"/>
  <c r="AJ19" i="4"/>
  <c r="AJ20" i="4"/>
  <c r="AJ22" i="4"/>
  <c r="AJ23" i="4"/>
  <c r="AJ24" i="4"/>
  <c r="AJ25" i="4"/>
  <c r="AJ26" i="4"/>
  <c r="AJ27" i="4"/>
  <c r="AJ28" i="4"/>
  <c r="AJ29" i="4"/>
  <c r="AJ30" i="4"/>
  <c r="AJ31" i="4"/>
  <c r="AJ32" i="4"/>
  <c r="AJ33" i="4"/>
  <c r="AJ34" i="4"/>
  <c r="AJ35" i="4"/>
  <c r="AJ36" i="4"/>
  <c r="AJ37" i="4"/>
  <c r="AJ38" i="4"/>
  <c r="AJ39" i="4"/>
  <c r="AJ40" i="4"/>
  <c r="AJ41" i="4"/>
  <c r="AJ42" i="4"/>
  <c r="AJ43" i="4"/>
  <c r="AJ44" i="4"/>
  <c r="AJ45" i="4"/>
  <c r="AJ46" i="4"/>
  <c r="AJ47" i="4"/>
  <c r="AJ48" i="4"/>
  <c r="AJ49" i="4"/>
  <c r="AJ50" i="4"/>
  <c r="AJ51" i="4"/>
  <c r="AJ52" i="4"/>
  <c r="AJ53" i="4"/>
  <c r="AJ54" i="4"/>
  <c r="AJ55" i="4"/>
  <c r="AJ56" i="4"/>
  <c r="AJ57" i="4"/>
  <c r="AJ58" i="4"/>
  <c r="AJ59" i="4"/>
  <c r="AJ60" i="4"/>
  <c r="AJ61" i="4"/>
  <c r="AJ62" i="4"/>
  <c r="AJ63" i="4"/>
  <c r="AJ64" i="4"/>
  <c r="AJ65" i="4"/>
  <c r="AJ66" i="4"/>
  <c r="AJ67" i="4"/>
  <c r="AJ68" i="4"/>
  <c r="AJ69" i="4"/>
  <c r="AJ70" i="4"/>
  <c r="AJ71" i="4"/>
  <c r="AJ72" i="4"/>
  <c r="AJ73" i="4"/>
  <c r="AJ74" i="4"/>
  <c r="AJ75" i="4"/>
  <c r="AJ76" i="4"/>
  <c r="AJ77" i="4"/>
  <c r="AJ78" i="4"/>
  <c r="AJ79" i="4"/>
  <c r="AJ80" i="4"/>
  <c r="AJ81" i="4"/>
  <c r="AJ82" i="4"/>
  <c r="AJ83" i="4"/>
  <c r="AJ84" i="4"/>
  <c r="AJ85" i="4"/>
  <c r="AJ86" i="4"/>
  <c r="AJ87" i="4"/>
  <c r="AJ88" i="4"/>
  <c r="AJ89" i="4"/>
  <c r="AJ90" i="4"/>
  <c r="AJ91" i="4"/>
  <c r="AJ92" i="4"/>
  <c r="AJ93" i="4"/>
  <c r="AJ94" i="4"/>
  <c r="AJ95" i="4"/>
  <c r="AJ96" i="4"/>
  <c r="AJ97" i="4"/>
  <c r="AJ98" i="4"/>
  <c r="AJ99" i="4"/>
  <c r="AJ100" i="4"/>
  <c r="AJ101" i="4"/>
  <c r="AJ102" i="4"/>
  <c r="AJ103" i="4"/>
  <c r="AJ104" i="4"/>
  <c r="AJ105" i="4"/>
  <c r="AJ106" i="4"/>
  <c r="AJ107" i="4"/>
  <c r="AJ108" i="4"/>
  <c r="AJ109" i="4"/>
  <c r="AJ110" i="4"/>
  <c r="AJ111" i="4"/>
  <c r="AJ112" i="4"/>
  <c r="AJ113" i="4"/>
  <c r="AJ114" i="4"/>
  <c r="AJ115" i="4"/>
  <c r="AJ116" i="4"/>
  <c r="AJ117" i="4"/>
  <c r="AJ118" i="4"/>
  <c r="AJ119" i="4"/>
  <c r="AJ120" i="4"/>
  <c r="AJ121" i="4"/>
  <c r="AJ122" i="4"/>
  <c r="AJ123" i="4"/>
  <c r="AJ124" i="4"/>
  <c r="AJ125" i="4"/>
  <c r="AJ126" i="4"/>
  <c r="AJ127" i="4"/>
  <c r="AJ128" i="4"/>
  <c r="AJ129" i="4"/>
  <c r="AJ130" i="4"/>
  <c r="AJ131" i="4"/>
  <c r="AJ132" i="4"/>
  <c r="AJ133" i="4"/>
  <c r="AJ134" i="4"/>
  <c r="AJ135" i="4"/>
  <c r="AJ136" i="4"/>
  <c r="AJ137" i="4"/>
  <c r="AJ138" i="4"/>
  <c r="AJ139" i="4"/>
  <c r="AJ140" i="4"/>
  <c r="AJ141" i="4"/>
  <c r="AJ142" i="4"/>
  <c r="AJ143" i="4"/>
  <c r="AJ144" i="4"/>
  <c r="AJ145" i="4"/>
  <c r="AJ146" i="4"/>
  <c r="AJ147" i="4"/>
  <c r="AJ148" i="4"/>
  <c r="AJ149" i="4"/>
  <c r="AJ150" i="4"/>
  <c r="AJ151" i="4"/>
  <c r="AJ152" i="4"/>
  <c r="AJ153" i="4"/>
  <c r="AJ154" i="4"/>
  <c r="AJ155" i="4"/>
  <c r="AJ156" i="4"/>
  <c r="AJ157" i="4"/>
  <c r="AJ158" i="4"/>
  <c r="AJ159" i="4"/>
  <c r="AJ160" i="4"/>
  <c r="AJ161" i="4"/>
  <c r="AJ162" i="4"/>
  <c r="AJ163" i="4"/>
  <c r="AJ164" i="4"/>
  <c r="AJ165" i="4"/>
  <c r="AJ166" i="4"/>
  <c r="AJ167" i="4"/>
  <c r="AJ168" i="4"/>
  <c r="AJ169" i="4"/>
  <c r="AJ170" i="4"/>
  <c r="AJ171" i="4"/>
  <c r="AJ172" i="4"/>
  <c r="AJ173" i="4"/>
  <c r="AJ174" i="4"/>
  <c r="AJ175" i="4"/>
  <c r="AJ176" i="4"/>
  <c r="AJ177" i="4"/>
  <c r="AJ178" i="4"/>
  <c r="AJ179" i="4"/>
  <c r="AJ180" i="4"/>
  <c r="AJ181" i="4"/>
  <c r="AJ182" i="4"/>
  <c r="AJ183" i="4"/>
  <c r="AJ184" i="4"/>
  <c r="AJ185" i="4"/>
  <c r="AJ186" i="4"/>
  <c r="AJ187" i="4"/>
  <c r="AJ188" i="4"/>
  <c r="AJ189" i="4"/>
  <c r="AJ21" i="4"/>
  <c r="P7" i="4"/>
  <c r="P4" i="4"/>
  <c r="P5" i="4"/>
  <c r="P6" i="4"/>
  <c r="P8" i="4"/>
  <c r="P9" i="4"/>
  <c r="P10" i="4"/>
  <c r="P11" i="4"/>
  <c r="AP11" i="4" s="1"/>
  <c r="P12" i="4"/>
  <c r="P13" i="4"/>
  <c r="P14" i="4"/>
  <c r="P15" i="4"/>
  <c r="P16" i="4"/>
  <c r="P17" i="4"/>
  <c r="P18" i="4"/>
  <c r="P19" i="4"/>
  <c r="AP19" i="4" s="1"/>
  <c r="P20" i="4"/>
  <c r="P21" i="4"/>
  <c r="P22" i="4"/>
  <c r="P23" i="4"/>
  <c r="P24" i="4"/>
  <c r="P25" i="4"/>
  <c r="P26" i="4"/>
  <c r="P27" i="4"/>
  <c r="AP27" i="4" s="1"/>
  <c r="P28" i="4"/>
  <c r="P29" i="4"/>
  <c r="P30" i="4"/>
  <c r="P31" i="4"/>
  <c r="P32" i="4"/>
  <c r="P33" i="4"/>
  <c r="P34" i="4"/>
  <c r="P35" i="4"/>
  <c r="AP35" i="4" s="1"/>
  <c r="P36" i="4"/>
  <c r="P37" i="4"/>
  <c r="P38" i="4"/>
  <c r="P39" i="4"/>
  <c r="P40" i="4"/>
  <c r="P41" i="4"/>
  <c r="P42" i="4"/>
  <c r="P43" i="4"/>
  <c r="AP43" i="4" s="1"/>
  <c r="P44" i="4"/>
  <c r="P45" i="4"/>
  <c r="P46" i="4"/>
  <c r="P47" i="4"/>
  <c r="P48" i="4"/>
  <c r="P49" i="4"/>
  <c r="P50" i="4"/>
  <c r="P51" i="4"/>
  <c r="AP51" i="4" s="1"/>
  <c r="P52" i="4"/>
  <c r="P53" i="4"/>
  <c r="P54" i="4"/>
  <c r="P55" i="4"/>
  <c r="P56" i="4"/>
  <c r="P57" i="4"/>
  <c r="AP57" i="4" s="1"/>
  <c r="P58" i="4"/>
  <c r="AP58" i="4" s="1"/>
  <c r="P59" i="4"/>
  <c r="AP59" i="4" s="1"/>
  <c r="P60" i="4"/>
  <c r="AP60" i="4" s="1"/>
  <c r="P61" i="4"/>
  <c r="AP61" i="4" s="1"/>
  <c r="P62" i="4"/>
  <c r="AP62" i="4" s="1"/>
  <c r="P63" i="4"/>
  <c r="AP63" i="4" s="1"/>
  <c r="P64" i="4"/>
  <c r="AP64" i="4" s="1"/>
  <c r="P65" i="4"/>
  <c r="AP65" i="4" s="1"/>
  <c r="P66" i="4"/>
  <c r="AP66" i="4" s="1"/>
  <c r="P67" i="4"/>
  <c r="AP67" i="4" s="1"/>
  <c r="P68" i="4"/>
  <c r="AP68" i="4" s="1"/>
  <c r="P69" i="4"/>
  <c r="AP69" i="4" s="1"/>
  <c r="P70" i="4"/>
  <c r="AP70" i="4" s="1"/>
  <c r="P71" i="4"/>
  <c r="AP71" i="4" s="1"/>
  <c r="P72" i="4"/>
  <c r="AP72" i="4" s="1"/>
  <c r="P73" i="4"/>
  <c r="AP73" i="4" s="1"/>
  <c r="P74" i="4"/>
  <c r="AP74" i="4" s="1"/>
  <c r="P75" i="4"/>
  <c r="AP75" i="4" s="1"/>
  <c r="P76" i="4"/>
  <c r="AP76" i="4" s="1"/>
  <c r="P77" i="4"/>
  <c r="AP77" i="4" s="1"/>
  <c r="P78" i="4"/>
  <c r="AP78" i="4" s="1"/>
  <c r="P79" i="4"/>
  <c r="AP79" i="4" s="1"/>
  <c r="P80" i="4"/>
  <c r="AP80" i="4" s="1"/>
  <c r="P81" i="4"/>
  <c r="AP81" i="4" s="1"/>
  <c r="P82" i="4"/>
  <c r="AP82" i="4" s="1"/>
  <c r="P83" i="4"/>
  <c r="AP83" i="4" s="1"/>
  <c r="P84" i="4"/>
  <c r="AP84" i="4" s="1"/>
  <c r="P85" i="4"/>
  <c r="AP85" i="4" s="1"/>
  <c r="P86" i="4"/>
  <c r="AP86" i="4" s="1"/>
  <c r="P87" i="4"/>
  <c r="AP87" i="4" s="1"/>
  <c r="P88" i="4"/>
  <c r="AP88" i="4" s="1"/>
  <c r="P89" i="4"/>
  <c r="AP89" i="4" s="1"/>
  <c r="P90" i="4"/>
  <c r="AP90" i="4" s="1"/>
  <c r="P91" i="4"/>
  <c r="AP91" i="4" s="1"/>
  <c r="P92" i="4"/>
  <c r="AP92" i="4" s="1"/>
  <c r="P93" i="4"/>
  <c r="AP93" i="4" s="1"/>
  <c r="P94" i="4"/>
  <c r="AP94" i="4" s="1"/>
  <c r="P95" i="4"/>
  <c r="AP95" i="4" s="1"/>
  <c r="P96" i="4"/>
  <c r="AP96" i="4" s="1"/>
  <c r="P97" i="4"/>
  <c r="AP97" i="4" s="1"/>
  <c r="P98" i="4"/>
  <c r="AP98" i="4" s="1"/>
  <c r="P99" i="4"/>
  <c r="AP99" i="4" s="1"/>
  <c r="P100" i="4"/>
  <c r="AP100" i="4" s="1"/>
  <c r="P101" i="4"/>
  <c r="AP101" i="4" s="1"/>
  <c r="P102" i="4"/>
  <c r="AP102" i="4" s="1"/>
  <c r="P103" i="4"/>
  <c r="AP103" i="4" s="1"/>
  <c r="P104" i="4"/>
  <c r="AP104" i="4" s="1"/>
  <c r="P105" i="4"/>
  <c r="AP105" i="4" s="1"/>
  <c r="P106" i="4"/>
  <c r="AP106" i="4" s="1"/>
  <c r="P107" i="4"/>
  <c r="AP107" i="4" s="1"/>
  <c r="P108" i="4"/>
  <c r="AP108" i="4" s="1"/>
  <c r="P109" i="4"/>
  <c r="AP109" i="4" s="1"/>
  <c r="P110" i="4"/>
  <c r="AP110" i="4" s="1"/>
  <c r="P111" i="4"/>
  <c r="AP111" i="4" s="1"/>
  <c r="P112" i="4"/>
  <c r="AP112" i="4" s="1"/>
  <c r="P113" i="4"/>
  <c r="AP113" i="4" s="1"/>
  <c r="P114" i="4"/>
  <c r="AP114" i="4" s="1"/>
  <c r="P115" i="4"/>
  <c r="AP115" i="4" s="1"/>
  <c r="P116" i="4"/>
  <c r="AP116" i="4" s="1"/>
  <c r="P117" i="4"/>
  <c r="AP117" i="4" s="1"/>
  <c r="P118" i="4"/>
  <c r="AP118" i="4" s="1"/>
  <c r="P119" i="4"/>
  <c r="AP119" i="4" s="1"/>
  <c r="P120" i="4"/>
  <c r="AP120" i="4" s="1"/>
  <c r="P121" i="4"/>
  <c r="AP121" i="4" s="1"/>
  <c r="P122" i="4"/>
  <c r="AP122" i="4" s="1"/>
  <c r="P123" i="4"/>
  <c r="AP123" i="4" s="1"/>
  <c r="P124" i="4"/>
  <c r="AP124" i="4" s="1"/>
  <c r="P125" i="4"/>
  <c r="AP125" i="4" s="1"/>
  <c r="P126" i="4"/>
  <c r="AP126" i="4" s="1"/>
  <c r="P127" i="4"/>
  <c r="AP127" i="4" s="1"/>
  <c r="P128" i="4"/>
  <c r="AP128" i="4" s="1"/>
  <c r="P129" i="4"/>
  <c r="AP129" i="4" s="1"/>
  <c r="P130" i="4"/>
  <c r="AP130" i="4" s="1"/>
  <c r="P131" i="4"/>
  <c r="AP131" i="4" s="1"/>
  <c r="P132" i="4"/>
  <c r="AP132" i="4" s="1"/>
  <c r="P133" i="4"/>
  <c r="AP133" i="4" s="1"/>
  <c r="P134" i="4"/>
  <c r="AP134" i="4" s="1"/>
  <c r="P135" i="4"/>
  <c r="AP135" i="4" s="1"/>
  <c r="P136" i="4"/>
  <c r="AP136" i="4" s="1"/>
  <c r="P137" i="4"/>
  <c r="AP137" i="4" s="1"/>
  <c r="P138" i="4"/>
  <c r="AP138" i="4" s="1"/>
  <c r="P139" i="4"/>
  <c r="AP139" i="4" s="1"/>
  <c r="P140" i="4"/>
  <c r="AP140" i="4" s="1"/>
  <c r="P141" i="4"/>
  <c r="AP141" i="4" s="1"/>
  <c r="P142" i="4"/>
  <c r="AP142" i="4" s="1"/>
  <c r="P143" i="4"/>
  <c r="AP143" i="4" s="1"/>
  <c r="P144" i="4"/>
  <c r="P145" i="4"/>
  <c r="P146" i="4"/>
  <c r="P147" i="4"/>
  <c r="AP147" i="4" s="1"/>
  <c r="P148" i="4"/>
  <c r="P149" i="4"/>
  <c r="P150" i="4"/>
  <c r="P151" i="4"/>
  <c r="P152" i="4"/>
  <c r="P153" i="4"/>
  <c r="P154" i="4"/>
  <c r="P155" i="4"/>
  <c r="AP155" i="4" s="1"/>
  <c r="P156" i="4"/>
  <c r="P157" i="4"/>
  <c r="P158" i="4"/>
  <c r="P159" i="4"/>
  <c r="P160" i="4"/>
  <c r="P161" i="4"/>
  <c r="P162" i="4"/>
  <c r="P163" i="4"/>
  <c r="AP163" i="4" s="1"/>
  <c r="P164" i="4"/>
  <c r="P165" i="4"/>
  <c r="P166" i="4"/>
  <c r="P167" i="4"/>
  <c r="P168" i="4"/>
  <c r="P169" i="4"/>
  <c r="P170" i="4"/>
  <c r="P171" i="4"/>
  <c r="AP171" i="4" s="1"/>
  <c r="P172" i="4"/>
  <c r="P173" i="4"/>
  <c r="P174" i="4"/>
  <c r="P175" i="4"/>
  <c r="P176" i="4"/>
  <c r="P177" i="4"/>
  <c r="P178" i="4"/>
  <c r="P179" i="4"/>
  <c r="AP179" i="4" s="1"/>
  <c r="P180" i="4"/>
  <c r="P181" i="4"/>
  <c r="P182" i="4"/>
  <c r="P183" i="4"/>
  <c r="P184" i="4"/>
  <c r="P185" i="4"/>
  <c r="P186" i="4"/>
  <c r="P187" i="4"/>
  <c r="P188" i="4"/>
  <c r="P189" i="4"/>
  <c r="AE3" i="4"/>
  <c r="AC4" i="4"/>
  <c r="AC5" i="4"/>
  <c r="AC6" i="4"/>
  <c r="AC7" i="4"/>
  <c r="AC8" i="4"/>
  <c r="AC9" i="4"/>
  <c r="AC10" i="4"/>
  <c r="AC11" i="4"/>
  <c r="AC12" i="4"/>
  <c r="AC13" i="4"/>
  <c r="AC14" i="4"/>
  <c r="AC15" i="4"/>
  <c r="AC16" i="4"/>
  <c r="AC17" i="4"/>
  <c r="AC18" i="4"/>
  <c r="AC19" i="4"/>
  <c r="AC20" i="4"/>
  <c r="AC21" i="4"/>
  <c r="AC22" i="4"/>
  <c r="AC23" i="4"/>
  <c r="AC24" i="4"/>
  <c r="AC25" i="4"/>
  <c r="AC26" i="4"/>
  <c r="AC27" i="4"/>
  <c r="AC28" i="4"/>
  <c r="AC29" i="4"/>
  <c r="AC30" i="4"/>
  <c r="AC31" i="4"/>
  <c r="AC32" i="4"/>
  <c r="AC33" i="4"/>
  <c r="AC34" i="4"/>
  <c r="AC35" i="4"/>
  <c r="AC36" i="4"/>
  <c r="AC37" i="4"/>
  <c r="AC38" i="4"/>
  <c r="AC39" i="4"/>
  <c r="AC40" i="4"/>
  <c r="AC41" i="4"/>
  <c r="AC42" i="4"/>
  <c r="AC43" i="4"/>
  <c r="AC44" i="4"/>
  <c r="AC45" i="4"/>
  <c r="AC46" i="4"/>
  <c r="AC47" i="4"/>
  <c r="AC48" i="4"/>
  <c r="AC49" i="4"/>
  <c r="AC50" i="4"/>
  <c r="AC51" i="4"/>
  <c r="AC52" i="4"/>
  <c r="AC53" i="4"/>
  <c r="AC54" i="4"/>
  <c r="AC55" i="4"/>
  <c r="AC56" i="4"/>
  <c r="AC57" i="4"/>
  <c r="AC58" i="4"/>
  <c r="AC59" i="4"/>
  <c r="AC60" i="4"/>
  <c r="AC61" i="4"/>
  <c r="AC62" i="4"/>
  <c r="AC63" i="4"/>
  <c r="AC64" i="4"/>
  <c r="AC65" i="4"/>
  <c r="AC66" i="4"/>
  <c r="AC67" i="4"/>
  <c r="AC68" i="4"/>
  <c r="AC69" i="4"/>
  <c r="AC70" i="4"/>
  <c r="AC71" i="4"/>
  <c r="AC72" i="4"/>
  <c r="AC73" i="4"/>
  <c r="AC74" i="4"/>
  <c r="AC75" i="4"/>
  <c r="AC76" i="4"/>
  <c r="AC77" i="4"/>
  <c r="AC78" i="4"/>
  <c r="AC79" i="4"/>
  <c r="AC80" i="4"/>
  <c r="AC81" i="4"/>
  <c r="AC82" i="4"/>
  <c r="AC83" i="4"/>
  <c r="AC84" i="4"/>
  <c r="AC85" i="4"/>
  <c r="AC86" i="4"/>
  <c r="AC87" i="4"/>
  <c r="AC88" i="4"/>
  <c r="AC89" i="4"/>
  <c r="AC90" i="4"/>
  <c r="AC91" i="4"/>
  <c r="AC92" i="4"/>
  <c r="AC93" i="4"/>
  <c r="AC94" i="4"/>
  <c r="AC95" i="4"/>
  <c r="AC96" i="4"/>
  <c r="AC97" i="4"/>
  <c r="AC98" i="4"/>
  <c r="AC99" i="4"/>
  <c r="AC100" i="4"/>
  <c r="AC101" i="4"/>
  <c r="AC102" i="4"/>
  <c r="AC103" i="4"/>
  <c r="AC104" i="4"/>
  <c r="AC105" i="4"/>
  <c r="AC106" i="4"/>
  <c r="AC107" i="4"/>
  <c r="AC108" i="4"/>
  <c r="AC109" i="4"/>
  <c r="AC110" i="4"/>
  <c r="AC111" i="4"/>
  <c r="AC112" i="4"/>
  <c r="AC113" i="4"/>
  <c r="AC114" i="4"/>
  <c r="AC115" i="4"/>
  <c r="AC116" i="4"/>
  <c r="AC117" i="4"/>
  <c r="AC118" i="4"/>
  <c r="AC119" i="4"/>
  <c r="AC120" i="4"/>
  <c r="AC121" i="4"/>
  <c r="AC122" i="4"/>
  <c r="AC123" i="4"/>
  <c r="AC124" i="4"/>
  <c r="AC125" i="4"/>
  <c r="AC126" i="4"/>
  <c r="AC127" i="4"/>
  <c r="AC128" i="4"/>
  <c r="AC129" i="4"/>
  <c r="AC130" i="4"/>
  <c r="AC131" i="4"/>
  <c r="AC132" i="4"/>
  <c r="AC133" i="4"/>
  <c r="AC134" i="4"/>
  <c r="AC135" i="4"/>
  <c r="AC136" i="4"/>
  <c r="AC137" i="4"/>
  <c r="AC138" i="4"/>
  <c r="AC139" i="4"/>
  <c r="AC140" i="4"/>
  <c r="AC141" i="4"/>
  <c r="AC142" i="4"/>
  <c r="AC143" i="4"/>
  <c r="AC144" i="4"/>
  <c r="AC145" i="4"/>
  <c r="AC146" i="4"/>
  <c r="AC147" i="4"/>
  <c r="AC148" i="4"/>
  <c r="AC149" i="4"/>
  <c r="AC150" i="4"/>
  <c r="AC151" i="4"/>
  <c r="AC152" i="4"/>
  <c r="AC153" i="4"/>
  <c r="AC154" i="4"/>
  <c r="AC155" i="4"/>
  <c r="AC156" i="4"/>
  <c r="AC157" i="4"/>
  <c r="AC158" i="4"/>
  <c r="AC159" i="4"/>
  <c r="AC160" i="4"/>
  <c r="AC161" i="4"/>
  <c r="AC162" i="4"/>
  <c r="AC163" i="4"/>
  <c r="AC164" i="4"/>
  <c r="AC165" i="4"/>
  <c r="AC166" i="4"/>
  <c r="AC167" i="4"/>
  <c r="AC168" i="4"/>
  <c r="AC169" i="4"/>
  <c r="AC170" i="4"/>
  <c r="AC171" i="4"/>
  <c r="AC172" i="4"/>
  <c r="AC173" i="4"/>
  <c r="AC174" i="4"/>
  <c r="AC175" i="4"/>
  <c r="AC176" i="4"/>
  <c r="AC177" i="4"/>
  <c r="AC178" i="4"/>
  <c r="AC179" i="4"/>
  <c r="AC180" i="4"/>
  <c r="AC181" i="4"/>
  <c r="AC182" i="4"/>
  <c r="AC183" i="4"/>
  <c r="AC184" i="4"/>
  <c r="AC185" i="4"/>
  <c r="AC186" i="4"/>
  <c r="AC187" i="4"/>
  <c r="AC188" i="4"/>
  <c r="AC189" i="4"/>
  <c r="AC3" i="4"/>
  <c r="Q85" i="4"/>
  <c r="AQ85" i="4" s="1"/>
  <c r="R85" i="4"/>
  <c r="AR85" i="4" s="1"/>
  <c r="S85" i="4"/>
  <c r="AN85" i="4" s="1"/>
  <c r="U85" i="4"/>
  <c r="V85" i="4"/>
  <c r="W85" i="4"/>
  <c r="X85" i="4"/>
  <c r="Y85" i="4"/>
  <c r="Z85" i="4"/>
  <c r="AA85" i="4"/>
  <c r="AB85" i="4"/>
  <c r="Q86" i="4"/>
  <c r="R86" i="4"/>
  <c r="S86" i="4"/>
  <c r="AN86" i="4" s="1"/>
  <c r="U86" i="4"/>
  <c r="V86" i="4"/>
  <c r="W86" i="4"/>
  <c r="X86" i="4"/>
  <c r="Y86" i="4"/>
  <c r="Z86" i="4"/>
  <c r="AA86" i="4"/>
  <c r="AB86" i="4"/>
  <c r="Q87" i="4"/>
  <c r="AQ87" i="4" s="1"/>
  <c r="R87" i="4"/>
  <c r="AR87" i="4" s="1"/>
  <c r="S87" i="4"/>
  <c r="AN87" i="4" s="1"/>
  <c r="U87" i="4"/>
  <c r="V87" i="4"/>
  <c r="W87" i="4"/>
  <c r="X87" i="4"/>
  <c r="Y87" i="4"/>
  <c r="Z87" i="4"/>
  <c r="AA87" i="4"/>
  <c r="AB87" i="4"/>
  <c r="Q88" i="4"/>
  <c r="AQ88" i="4" s="1"/>
  <c r="R88" i="4"/>
  <c r="S88" i="4"/>
  <c r="AN88" i="4" s="1"/>
  <c r="U88" i="4"/>
  <c r="V88" i="4"/>
  <c r="W88" i="4"/>
  <c r="X88" i="4"/>
  <c r="Y88" i="4"/>
  <c r="Z88" i="4"/>
  <c r="AA88" i="4"/>
  <c r="AB88" i="4"/>
  <c r="Q89" i="4"/>
  <c r="AQ89" i="4" s="1"/>
  <c r="R89" i="4"/>
  <c r="AR89" i="4" s="1"/>
  <c r="S89" i="4"/>
  <c r="AN89" i="4" s="1"/>
  <c r="U89" i="4"/>
  <c r="V89" i="4"/>
  <c r="W89" i="4"/>
  <c r="X89" i="4"/>
  <c r="Y89" i="4"/>
  <c r="Z89" i="4"/>
  <c r="AA89" i="4"/>
  <c r="AB89" i="4"/>
  <c r="Q90" i="4"/>
  <c r="AQ90" i="4" s="1"/>
  <c r="R90" i="4"/>
  <c r="AR90" i="4" s="1"/>
  <c r="S90" i="4"/>
  <c r="AN90" i="4" s="1"/>
  <c r="U90" i="4"/>
  <c r="V90" i="4"/>
  <c r="W90" i="4"/>
  <c r="X90" i="4"/>
  <c r="Y90" i="4"/>
  <c r="Z90" i="4"/>
  <c r="AA90" i="4"/>
  <c r="AB90" i="4"/>
  <c r="Q91" i="4"/>
  <c r="AQ91" i="4" s="1"/>
  <c r="R91" i="4"/>
  <c r="AR91" i="4" s="1"/>
  <c r="S91" i="4"/>
  <c r="AN91" i="4" s="1"/>
  <c r="U91" i="4"/>
  <c r="V91" i="4"/>
  <c r="W91" i="4"/>
  <c r="X91" i="4"/>
  <c r="Y91" i="4"/>
  <c r="Z91" i="4"/>
  <c r="AA91" i="4"/>
  <c r="AB91" i="4"/>
  <c r="Q92" i="4"/>
  <c r="AQ92" i="4" s="1"/>
  <c r="R92" i="4"/>
  <c r="S92" i="4"/>
  <c r="AN92" i="4" s="1"/>
  <c r="U92" i="4"/>
  <c r="V92" i="4"/>
  <c r="W92" i="4"/>
  <c r="X92" i="4"/>
  <c r="Y92" i="4"/>
  <c r="Z92" i="4"/>
  <c r="AA92" i="4"/>
  <c r="AB92" i="4"/>
  <c r="Q93" i="4"/>
  <c r="AQ93" i="4" s="1"/>
  <c r="R93" i="4"/>
  <c r="AR93" i="4" s="1"/>
  <c r="S93" i="4"/>
  <c r="AN93" i="4" s="1"/>
  <c r="U93" i="4"/>
  <c r="V93" i="4"/>
  <c r="W93" i="4"/>
  <c r="X93" i="4"/>
  <c r="Y93" i="4"/>
  <c r="Z93" i="4"/>
  <c r="AA93" i="4"/>
  <c r="AB93" i="4"/>
  <c r="Q94" i="4"/>
  <c r="R94" i="4"/>
  <c r="AR94" i="4" s="1"/>
  <c r="S94" i="4"/>
  <c r="AN94" i="4" s="1"/>
  <c r="U94" i="4"/>
  <c r="V94" i="4"/>
  <c r="W94" i="4"/>
  <c r="X94" i="4"/>
  <c r="Y94" i="4"/>
  <c r="Z94" i="4"/>
  <c r="AA94" i="4"/>
  <c r="AB94" i="4"/>
  <c r="Q95" i="4"/>
  <c r="AQ95" i="4" s="1"/>
  <c r="R95" i="4"/>
  <c r="AR95" i="4" s="1"/>
  <c r="S95" i="4"/>
  <c r="AN95" i="4" s="1"/>
  <c r="U95" i="4"/>
  <c r="V95" i="4"/>
  <c r="W95" i="4"/>
  <c r="X95" i="4"/>
  <c r="Y95" i="4"/>
  <c r="Z95" i="4"/>
  <c r="AA95" i="4"/>
  <c r="AB95" i="4"/>
  <c r="Q96" i="4"/>
  <c r="AQ96" i="4" s="1"/>
  <c r="R96" i="4"/>
  <c r="S96" i="4"/>
  <c r="AN96" i="4" s="1"/>
  <c r="U96" i="4"/>
  <c r="V96" i="4"/>
  <c r="W96" i="4"/>
  <c r="X96" i="4"/>
  <c r="Y96" i="4"/>
  <c r="Z96" i="4"/>
  <c r="AA96" i="4"/>
  <c r="AB96" i="4"/>
  <c r="Q97" i="4"/>
  <c r="AQ97" i="4" s="1"/>
  <c r="R97" i="4"/>
  <c r="AR97" i="4" s="1"/>
  <c r="S97" i="4"/>
  <c r="AN97" i="4" s="1"/>
  <c r="U97" i="4"/>
  <c r="V97" i="4"/>
  <c r="W97" i="4"/>
  <c r="X97" i="4"/>
  <c r="Y97" i="4"/>
  <c r="Z97" i="4"/>
  <c r="AA97" i="4"/>
  <c r="AB97" i="4"/>
  <c r="Q98" i="4"/>
  <c r="AQ98" i="4" s="1"/>
  <c r="R98" i="4"/>
  <c r="AR98" i="4" s="1"/>
  <c r="S98" i="4"/>
  <c r="AN98" i="4" s="1"/>
  <c r="U98" i="4"/>
  <c r="V98" i="4"/>
  <c r="W98" i="4"/>
  <c r="X98" i="4"/>
  <c r="Y98" i="4"/>
  <c r="Z98" i="4"/>
  <c r="AA98" i="4"/>
  <c r="AB98" i="4"/>
  <c r="Q99" i="4"/>
  <c r="AQ99" i="4" s="1"/>
  <c r="R99" i="4"/>
  <c r="AR99" i="4" s="1"/>
  <c r="S99" i="4"/>
  <c r="AN99" i="4" s="1"/>
  <c r="U99" i="4"/>
  <c r="V99" i="4"/>
  <c r="W99" i="4"/>
  <c r="X99" i="4"/>
  <c r="Y99" i="4"/>
  <c r="Z99" i="4"/>
  <c r="AA99" i="4"/>
  <c r="AB99" i="4"/>
  <c r="Q100" i="4"/>
  <c r="AQ100" i="4" s="1"/>
  <c r="R100" i="4"/>
  <c r="AM100" i="4" s="1"/>
  <c r="S100" i="4"/>
  <c r="AN100" i="4" s="1"/>
  <c r="U100" i="4"/>
  <c r="V100" i="4"/>
  <c r="W100" i="4"/>
  <c r="X100" i="4"/>
  <c r="Y100" i="4"/>
  <c r="Z100" i="4"/>
  <c r="AA100" i="4"/>
  <c r="AB100" i="4"/>
  <c r="Q101" i="4"/>
  <c r="AQ101" i="4" s="1"/>
  <c r="R101" i="4"/>
  <c r="AR101" i="4" s="1"/>
  <c r="S101" i="4"/>
  <c r="AN101" i="4" s="1"/>
  <c r="U101" i="4"/>
  <c r="V101" i="4"/>
  <c r="W101" i="4"/>
  <c r="X101" i="4"/>
  <c r="Y101" i="4"/>
  <c r="Z101" i="4"/>
  <c r="AA101" i="4"/>
  <c r="AB101" i="4"/>
  <c r="Q102" i="4"/>
  <c r="R102" i="4"/>
  <c r="AR102" i="4" s="1"/>
  <c r="S102" i="4"/>
  <c r="AN102" i="4" s="1"/>
  <c r="U102" i="4"/>
  <c r="V102" i="4"/>
  <c r="W102" i="4"/>
  <c r="X102" i="4"/>
  <c r="Y102" i="4"/>
  <c r="Z102" i="4"/>
  <c r="AA102" i="4"/>
  <c r="AB102" i="4"/>
  <c r="Q103" i="4"/>
  <c r="AQ103" i="4" s="1"/>
  <c r="R103" i="4"/>
  <c r="AR103" i="4" s="1"/>
  <c r="S103" i="4"/>
  <c r="AN103" i="4" s="1"/>
  <c r="U103" i="4"/>
  <c r="V103" i="4"/>
  <c r="W103" i="4"/>
  <c r="X103" i="4"/>
  <c r="Y103" i="4"/>
  <c r="Z103" i="4"/>
  <c r="AA103" i="4"/>
  <c r="AB103" i="4"/>
  <c r="Q104" i="4"/>
  <c r="AQ104" i="4" s="1"/>
  <c r="R104" i="4"/>
  <c r="S104" i="4"/>
  <c r="AN104" i="4" s="1"/>
  <c r="U104" i="4"/>
  <c r="V104" i="4"/>
  <c r="W104" i="4"/>
  <c r="X104" i="4"/>
  <c r="Y104" i="4"/>
  <c r="Z104" i="4"/>
  <c r="AA104" i="4"/>
  <c r="AB104" i="4"/>
  <c r="Q105" i="4"/>
  <c r="AQ105" i="4" s="1"/>
  <c r="R105" i="4"/>
  <c r="AR105" i="4" s="1"/>
  <c r="S105" i="4"/>
  <c r="AN105" i="4" s="1"/>
  <c r="U105" i="4"/>
  <c r="V105" i="4"/>
  <c r="W105" i="4"/>
  <c r="X105" i="4"/>
  <c r="Y105" i="4"/>
  <c r="Z105" i="4"/>
  <c r="AA105" i="4"/>
  <c r="AB105" i="4"/>
  <c r="Q106" i="4"/>
  <c r="AQ106" i="4" s="1"/>
  <c r="R106" i="4"/>
  <c r="AR106" i="4" s="1"/>
  <c r="S106" i="4"/>
  <c r="AN106" i="4" s="1"/>
  <c r="U106" i="4"/>
  <c r="V106" i="4"/>
  <c r="W106" i="4"/>
  <c r="X106" i="4"/>
  <c r="Y106" i="4"/>
  <c r="Z106" i="4"/>
  <c r="AA106" i="4"/>
  <c r="AB106" i="4"/>
  <c r="Q107" i="4"/>
  <c r="AQ107" i="4" s="1"/>
  <c r="R107" i="4"/>
  <c r="AR107" i="4" s="1"/>
  <c r="S107" i="4"/>
  <c r="AN107" i="4" s="1"/>
  <c r="U107" i="4"/>
  <c r="V107" i="4"/>
  <c r="W107" i="4"/>
  <c r="X107" i="4"/>
  <c r="Y107" i="4"/>
  <c r="Z107" i="4"/>
  <c r="AA107" i="4"/>
  <c r="AB107" i="4"/>
  <c r="Q108" i="4"/>
  <c r="AQ108" i="4" s="1"/>
  <c r="R108" i="4"/>
  <c r="AR108" i="4" s="1"/>
  <c r="S108" i="4"/>
  <c r="AN108" i="4" s="1"/>
  <c r="U108" i="4"/>
  <c r="V108" i="4"/>
  <c r="W108" i="4"/>
  <c r="X108" i="4"/>
  <c r="Y108" i="4"/>
  <c r="Z108" i="4"/>
  <c r="AA108" i="4"/>
  <c r="AB108" i="4"/>
  <c r="Q109" i="4"/>
  <c r="AQ109" i="4" s="1"/>
  <c r="R109" i="4"/>
  <c r="AR109" i="4" s="1"/>
  <c r="S109" i="4"/>
  <c r="AN109" i="4" s="1"/>
  <c r="U109" i="4"/>
  <c r="V109" i="4"/>
  <c r="W109" i="4"/>
  <c r="X109" i="4"/>
  <c r="Y109" i="4"/>
  <c r="Z109" i="4"/>
  <c r="AA109" i="4"/>
  <c r="AB109" i="4"/>
  <c r="Q110" i="4"/>
  <c r="AQ110" i="4" s="1"/>
  <c r="R110" i="4"/>
  <c r="AR110" i="4" s="1"/>
  <c r="S110" i="4"/>
  <c r="AN110" i="4" s="1"/>
  <c r="U110" i="4"/>
  <c r="V110" i="4"/>
  <c r="W110" i="4"/>
  <c r="X110" i="4"/>
  <c r="Y110" i="4"/>
  <c r="Z110" i="4"/>
  <c r="AA110" i="4"/>
  <c r="AB110" i="4"/>
  <c r="Q111" i="4"/>
  <c r="AQ111" i="4" s="1"/>
  <c r="R111" i="4"/>
  <c r="AR111" i="4" s="1"/>
  <c r="S111" i="4"/>
  <c r="AN111" i="4" s="1"/>
  <c r="U111" i="4"/>
  <c r="V111" i="4"/>
  <c r="W111" i="4"/>
  <c r="X111" i="4"/>
  <c r="Y111" i="4"/>
  <c r="Z111" i="4"/>
  <c r="AA111" i="4"/>
  <c r="AB111" i="4"/>
  <c r="Q112" i="4"/>
  <c r="AQ112" i="4" s="1"/>
  <c r="R112" i="4"/>
  <c r="AR112" i="4" s="1"/>
  <c r="S112" i="4"/>
  <c r="AN112" i="4" s="1"/>
  <c r="U112" i="4"/>
  <c r="V112" i="4"/>
  <c r="W112" i="4"/>
  <c r="X112" i="4"/>
  <c r="Y112" i="4"/>
  <c r="Z112" i="4"/>
  <c r="AA112" i="4"/>
  <c r="AB112" i="4"/>
  <c r="Q113" i="4"/>
  <c r="AQ113" i="4" s="1"/>
  <c r="R113" i="4"/>
  <c r="AR113" i="4" s="1"/>
  <c r="S113" i="4"/>
  <c r="AN113" i="4" s="1"/>
  <c r="U113" i="4"/>
  <c r="V113" i="4"/>
  <c r="W113" i="4"/>
  <c r="X113" i="4"/>
  <c r="Y113" i="4"/>
  <c r="Z113" i="4"/>
  <c r="AA113" i="4"/>
  <c r="AB113" i="4"/>
  <c r="Q114" i="4"/>
  <c r="AQ114" i="4" s="1"/>
  <c r="R114" i="4"/>
  <c r="AR114" i="4" s="1"/>
  <c r="S114" i="4"/>
  <c r="AN114" i="4" s="1"/>
  <c r="U114" i="4"/>
  <c r="V114" i="4"/>
  <c r="W114" i="4"/>
  <c r="X114" i="4"/>
  <c r="Y114" i="4"/>
  <c r="Z114" i="4"/>
  <c r="AA114" i="4"/>
  <c r="AB114" i="4"/>
  <c r="Q115" i="4"/>
  <c r="AQ115" i="4" s="1"/>
  <c r="R115" i="4"/>
  <c r="AR115" i="4" s="1"/>
  <c r="S115" i="4"/>
  <c r="AN115" i="4" s="1"/>
  <c r="U115" i="4"/>
  <c r="V115" i="4"/>
  <c r="W115" i="4"/>
  <c r="X115" i="4"/>
  <c r="Y115" i="4"/>
  <c r="Z115" i="4"/>
  <c r="AA115" i="4"/>
  <c r="AB115" i="4"/>
  <c r="Q116" i="4"/>
  <c r="AQ116" i="4" s="1"/>
  <c r="R116" i="4"/>
  <c r="S116" i="4"/>
  <c r="AN116" i="4" s="1"/>
  <c r="U116" i="4"/>
  <c r="V116" i="4"/>
  <c r="W116" i="4"/>
  <c r="X116" i="4"/>
  <c r="Y116" i="4"/>
  <c r="Z116" i="4"/>
  <c r="AA116" i="4"/>
  <c r="AB116" i="4"/>
  <c r="Q117" i="4"/>
  <c r="AQ117" i="4" s="1"/>
  <c r="R117" i="4"/>
  <c r="AR117" i="4" s="1"/>
  <c r="S117" i="4"/>
  <c r="AN117" i="4" s="1"/>
  <c r="U117" i="4"/>
  <c r="V117" i="4"/>
  <c r="W117" i="4"/>
  <c r="X117" i="4"/>
  <c r="Y117" i="4"/>
  <c r="Z117" i="4"/>
  <c r="AA117" i="4"/>
  <c r="AB117" i="4"/>
  <c r="Q118" i="4"/>
  <c r="AQ118" i="4" s="1"/>
  <c r="R118" i="4"/>
  <c r="AR118" i="4" s="1"/>
  <c r="S118" i="4"/>
  <c r="AN118" i="4" s="1"/>
  <c r="U118" i="4"/>
  <c r="V118" i="4"/>
  <c r="W118" i="4"/>
  <c r="X118" i="4"/>
  <c r="Y118" i="4"/>
  <c r="Z118" i="4"/>
  <c r="AA118" i="4"/>
  <c r="AB118" i="4"/>
  <c r="Q119" i="4"/>
  <c r="AQ119" i="4" s="1"/>
  <c r="R119" i="4"/>
  <c r="AR119" i="4" s="1"/>
  <c r="S119" i="4"/>
  <c r="AN119" i="4" s="1"/>
  <c r="U119" i="4"/>
  <c r="V119" i="4"/>
  <c r="W119" i="4"/>
  <c r="X119" i="4"/>
  <c r="Y119" i="4"/>
  <c r="Z119" i="4"/>
  <c r="AA119" i="4"/>
  <c r="AB119" i="4"/>
  <c r="Q120" i="4"/>
  <c r="AQ120" i="4" s="1"/>
  <c r="R120" i="4"/>
  <c r="AR120" i="4" s="1"/>
  <c r="S120" i="4"/>
  <c r="AN120" i="4" s="1"/>
  <c r="U120" i="4"/>
  <c r="V120" i="4"/>
  <c r="W120" i="4"/>
  <c r="X120" i="4"/>
  <c r="Y120" i="4"/>
  <c r="Z120" i="4"/>
  <c r="AA120" i="4"/>
  <c r="AB120" i="4"/>
  <c r="Q121" i="4"/>
  <c r="AQ121" i="4" s="1"/>
  <c r="R121" i="4"/>
  <c r="AR121" i="4" s="1"/>
  <c r="S121" i="4"/>
  <c r="AN121" i="4" s="1"/>
  <c r="U121" i="4"/>
  <c r="V121" i="4"/>
  <c r="W121" i="4"/>
  <c r="X121" i="4"/>
  <c r="Y121" i="4"/>
  <c r="Z121" i="4"/>
  <c r="AA121" i="4"/>
  <c r="AB121" i="4"/>
  <c r="Q122" i="4"/>
  <c r="AQ122" i="4" s="1"/>
  <c r="R122" i="4"/>
  <c r="AR122" i="4" s="1"/>
  <c r="S122" i="4"/>
  <c r="AN122" i="4" s="1"/>
  <c r="U122" i="4"/>
  <c r="V122" i="4"/>
  <c r="W122" i="4"/>
  <c r="X122" i="4"/>
  <c r="Y122" i="4"/>
  <c r="Z122" i="4"/>
  <c r="AA122" i="4"/>
  <c r="AB122" i="4"/>
  <c r="Q123" i="4"/>
  <c r="AQ123" i="4" s="1"/>
  <c r="R123" i="4"/>
  <c r="AR123" i="4" s="1"/>
  <c r="S123" i="4"/>
  <c r="AN123" i="4" s="1"/>
  <c r="U123" i="4"/>
  <c r="V123" i="4"/>
  <c r="W123" i="4"/>
  <c r="X123" i="4"/>
  <c r="Y123" i="4"/>
  <c r="Z123" i="4"/>
  <c r="AA123" i="4"/>
  <c r="AB123" i="4"/>
  <c r="Q124" i="4"/>
  <c r="AQ124" i="4" s="1"/>
  <c r="R124" i="4"/>
  <c r="AR124" i="4" s="1"/>
  <c r="S124" i="4"/>
  <c r="AN124" i="4" s="1"/>
  <c r="U124" i="4"/>
  <c r="V124" i="4"/>
  <c r="W124" i="4"/>
  <c r="X124" i="4"/>
  <c r="Y124" i="4"/>
  <c r="Z124" i="4"/>
  <c r="AA124" i="4"/>
  <c r="AB124" i="4"/>
  <c r="Q125" i="4"/>
  <c r="AQ125" i="4" s="1"/>
  <c r="R125" i="4"/>
  <c r="AR125" i="4" s="1"/>
  <c r="S125" i="4"/>
  <c r="AN125" i="4" s="1"/>
  <c r="U125" i="4"/>
  <c r="V125" i="4"/>
  <c r="W125" i="4"/>
  <c r="X125" i="4"/>
  <c r="Y125" i="4"/>
  <c r="Z125" i="4"/>
  <c r="AA125" i="4"/>
  <c r="AB125" i="4"/>
  <c r="Q126" i="4"/>
  <c r="AQ126" i="4" s="1"/>
  <c r="R126" i="4"/>
  <c r="AR126" i="4" s="1"/>
  <c r="S126" i="4"/>
  <c r="AN126" i="4" s="1"/>
  <c r="U126" i="4"/>
  <c r="V126" i="4"/>
  <c r="W126" i="4"/>
  <c r="X126" i="4"/>
  <c r="Y126" i="4"/>
  <c r="Z126" i="4"/>
  <c r="AA126" i="4"/>
  <c r="AB126" i="4"/>
  <c r="Q127" i="4"/>
  <c r="AQ127" i="4" s="1"/>
  <c r="R127" i="4"/>
  <c r="AR127" i="4" s="1"/>
  <c r="S127" i="4"/>
  <c r="AN127" i="4" s="1"/>
  <c r="U127" i="4"/>
  <c r="V127" i="4"/>
  <c r="W127" i="4"/>
  <c r="X127" i="4"/>
  <c r="Y127" i="4"/>
  <c r="Z127" i="4"/>
  <c r="AA127" i="4"/>
  <c r="AB127" i="4"/>
  <c r="Q128" i="4"/>
  <c r="AQ128" i="4" s="1"/>
  <c r="R128" i="4"/>
  <c r="AR128" i="4" s="1"/>
  <c r="S128" i="4"/>
  <c r="AN128" i="4" s="1"/>
  <c r="U128" i="4"/>
  <c r="V128" i="4"/>
  <c r="W128" i="4"/>
  <c r="X128" i="4"/>
  <c r="Y128" i="4"/>
  <c r="Z128" i="4"/>
  <c r="AA128" i="4"/>
  <c r="AB128" i="4"/>
  <c r="Q129" i="4"/>
  <c r="AQ129" i="4" s="1"/>
  <c r="R129" i="4"/>
  <c r="AR129" i="4" s="1"/>
  <c r="S129" i="4"/>
  <c r="AN129" i="4" s="1"/>
  <c r="U129" i="4"/>
  <c r="V129" i="4"/>
  <c r="W129" i="4"/>
  <c r="X129" i="4"/>
  <c r="Y129" i="4"/>
  <c r="Z129" i="4"/>
  <c r="AA129" i="4"/>
  <c r="AB129" i="4"/>
  <c r="Q130" i="4"/>
  <c r="AQ130" i="4" s="1"/>
  <c r="R130" i="4"/>
  <c r="AR130" i="4" s="1"/>
  <c r="S130" i="4"/>
  <c r="AN130" i="4" s="1"/>
  <c r="U130" i="4"/>
  <c r="V130" i="4"/>
  <c r="W130" i="4"/>
  <c r="X130" i="4"/>
  <c r="Y130" i="4"/>
  <c r="Z130" i="4"/>
  <c r="AA130" i="4"/>
  <c r="AB130" i="4"/>
  <c r="Q131" i="4"/>
  <c r="AQ131" i="4" s="1"/>
  <c r="R131" i="4"/>
  <c r="AR131" i="4" s="1"/>
  <c r="S131" i="4"/>
  <c r="AN131" i="4" s="1"/>
  <c r="U131" i="4"/>
  <c r="V131" i="4"/>
  <c r="W131" i="4"/>
  <c r="X131" i="4"/>
  <c r="Y131" i="4"/>
  <c r="Z131" i="4"/>
  <c r="AA131" i="4"/>
  <c r="AB131" i="4"/>
  <c r="Q132" i="4"/>
  <c r="AQ132" i="4" s="1"/>
  <c r="R132" i="4"/>
  <c r="S132" i="4"/>
  <c r="AN132" i="4" s="1"/>
  <c r="U132" i="4"/>
  <c r="V132" i="4"/>
  <c r="W132" i="4"/>
  <c r="X132" i="4"/>
  <c r="Y132" i="4"/>
  <c r="Z132" i="4"/>
  <c r="AA132" i="4"/>
  <c r="AB132" i="4"/>
  <c r="Q133" i="4"/>
  <c r="AQ133" i="4" s="1"/>
  <c r="R133" i="4"/>
  <c r="AR133" i="4" s="1"/>
  <c r="S133" i="4"/>
  <c r="AN133" i="4" s="1"/>
  <c r="U133" i="4"/>
  <c r="V133" i="4"/>
  <c r="W133" i="4"/>
  <c r="X133" i="4"/>
  <c r="Y133" i="4"/>
  <c r="Z133" i="4"/>
  <c r="AA133" i="4"/>
  <c r="AB133" i="4"/>
  <c r="Q134" i="4"/>
  <c r="AQ134" i="4" s="1"/>
  <c r="R134" i="4"/>
  <c r="AR134" i="4" s="1"/>
  <c r="S134" i="4"/>
  <c r="AN134" i="4" s="1"/>
  <c r="U134" i="4"/>
  <c r="V134" i="4"/>
  <c r="W134" i="4"/>
  <c r="X134" i="4"/>
  <c r="Y134" i="4"/>
  <c r="Z134" i="4"/>
  <c r="AA134" i="4"/>
  <c r="AB134" i="4"/>
  <c r="Q135" i="4"/>
  <c r="AQ135" i="4" s="1"/>
  <c r="R135" i="4"/>
  <c r="AR135" i="4" s="1"/>
  <c r="S135" i="4"/>
  <c r="AN135" i="4" s="1"/>
  <c r="U135" i="4"/>
  <c r="V135" i="4"/>
  <c r="W135" i="4"/>
  <c r="X135" i="4"/>
  <c r="Y135" i="4"/>
  <c r="Z135" i="4"/>
  <c r="AA135" i="4"/>
  <c r="AB135" i="4"/>
  <c r="Q136" i="4"/>
  <c r="AQ136" i="4" s="1"/>
  <c r="R136" i="4"/>
  <c r="AR136" i="4" s="1"/>
  <c r="S136" i="4"/>
  <c r="AN136" i="4" s="1"/>
  <c r="U136" i="4"/>
  <c r="V136" i="4"/>
  <c r="W136" i="4"/>
  <c r="X136" i="4"/>
  <c r="Y136" i="4"/>
  <c r="Z136" i="4"/>
  <c r="AA136" i="4"/>
  <c r="AB136" i="4"/>
  <c r="Q137" i="4"/>
  <c r="AQ137" i="4" s="1"/>
  <c r="R137" i="4"/>
  <c r="AR137" i="4" s="1"/>
  <c r="S137" i="4"/>
  <c r="AN137" i="4" s="1"/>
  <c r="U137" i="4"/>
  <c r="V137" i="4"/>
  <c r="W137" i="4"/>
  <c r="X137" i="4"/>
  <c r="Y137" i="4"/>
  <c r="Z137" i="4"/>
  <c r="AA137" i="4"/>
  <c r="AB137" i="4"/>
  <c r="Q138" i="4"/>
  <c r="AQ138" i="4" s="1"/>
  <c r="R138" i="4"/>
  <c r="AR138" i="4" s="1"/>
  <c r="S138" i="4"/>
  <c r="AN138" i="4" s="1"/>
  <c r="U138" i="4"/>
  <c r="V138" i="4"/>
  <c r="W138" i="4"/>
  <c r="X138" i="4"/>
  <c r="Y138" i="4"/>
  <c r="Z138" i="4"/>
  <c r="AA138" i="4"/>
  <c r="AB138" i="4"/>
  <c r="Q139" i="4"/>
  <c r="AQ139" i="4" s="1"/>
  <c r="R139" i="4"/>
  <c r="AR139" i="4" s="1"/>
  <c r="S139" i="4"/>
  <c r="AN139" i="4" s="1"/>
  <c r="U139" i="4"/>
  <c r="V139" i="4"/>
  <c r="W139" i="4"/>
  <c r="X139" i="4"/>
  <c r="Y139" i="4"/>
  <c r="Z139" i="4"/>
  <c r="AA139" i="4"/>
  <c r="AB139" i="4"/>
  <c r="Q140" i="4"/>
  <c r="AQ140" i="4" s="1"/>
  <c r="R140" i="4"/>
  <c r="AR140" i="4" s="1"/>
  <c r="S140" i="4"/>
  <c r="AN140" i="4" s="1"/>
  <c r="U140" i="4"/>
  <c r="V140" i="4"/>
  <c r="W140" i="4"/>
  <c r="X140" i="4"/>
  <c r="Y140" i="4"/>
  <c r="Z140" i="4"/>
  <c r="AA140" i="4"/>
  <c r="AB140" i="4"/>
  <c r="Q141" i="4"/>
  <c r="AQ141" i="4" s="1"/>
  <c r="R141" i="4"/>
  <c r="AR141" i="4" s="1"/>
  <c r="S141" i="4"/>
  <c r="AN141" i="4" s="1"/>
  <c r="U141" i="4"/>
  <c r="V141" i="4"/>
  <c r="W141" i="4"/>
  <c r="X141" i="4"/>
  <c r="Y141" i="4"/>
  <c r="Z141" i="4"/>
  <c r="AA141" i="4"/>
  <c r="AB141" i="4"/>
  <c r="Q142" i="4"/>
  <c r="AQ142" i="4" s="1"/>
  <c r="R142" i="4"/>
  <c r="AR142" i="4" s="1"/>
  <c r="S142" i="4"/>
  <c r="AN142" i="4" s="1"/>
  <c r="U142" i="4"/>
  <c r="V142" i="4"/>
  <c r="W142" i="4"/>
  <c r="X142" i="4"/>
  <c r="Y142" i="4"/>
  <c r="Z142" i="4"/>
  <c r="AA142" i="4"/>
  <c r="AB142" i="4"/>
  <c r="Q143" i="4"/>
  <c r="AQ143" i="4" s="1"/>
  <c r="R143" i="4"/>
  <c r="AR143" i="4" s="1"/>
  <c r="S143" i="4"/>
  <c r="AN143" i="4" s="1"/>
  <c r="U143" i="4"/>
  <c r="V143" i="4"/>
  <c r="W143" i="4"/>
  <c r="X143" i="4"/>
  <c r="Y143" i="4"/>
  <c r="Z143" i="4"/>
  <c r="AA143" i="4"/>
  <c r="AB143" i="4"/>
  <c r="Q144" i="4"/>
  <c r="AQ144" i="4" s="1"/>
  <c r="R144" i="4"/>
  <c r="S144" i="4"/>
  <c r="AN144" i="4" s="1"/>
  <c r="U144" i="4"/>
  <c r="V144" i="4"/>
  <c r="W144" i="4"/>
  <c r="X144" i="4"/>
  <c r="Y144" i="4"/>
  <c r="Z144" i="4"/>
  <c r="AA144" i="4"/>
  <c r="AB144" i="4"/>
  <c r="Q145" i="4"/>
  <c r="AQ145" i="4" s="1"/>
  <c r="R145" i="4"/>
  <c r="AR145" i="4" s="1"/>
  <c r="S145" i="4"/>
  <c r="AN145" i="4" s="1"/>
  <c r="U145" i="4"/>
  <c r="V145" i="4"/>
  <c r="W145" i="4"/>
  <c r="X145" i="4"/>
  <c r="Y145" i="4"/>
  <c r="Z145" i="4"/>
  <c r="AA145" i="4"/>
  <c r="AB145" i="4"/>
  <c r="Q146" i="4"/>
  <c r="AQ146" i="4" s="1"/>
  <c r="R146" i="4"/>
  <c r="AR146" i="4" s="1"/>
  <c r="S146" i="4"/>
  <c r="AN146" i="4" s="1"/>
  <c r="U146" i="4"/>
  <c r="V146" i="4"/>
  <c r="W146" i="4"/>
  <c r="X146" i="4"/>
  <c r="Y146" i="4"/>
  <c r="Z146" i="4"/>
  <c r="AA146" i="4"/>
  <c r="AB146" i="4"/>
  <c r="Q147" i="4"/>
  <c r="AQ147" i="4" s="1"/>
  <c r="R147" i="4"/>
  <c r="AR147" i="4" s="1"/>
  <c r="S147" i="4"/>
  <c r="AN147" i="4" s="1"/>
  <c r="U147" i="4"/>
  <c r="V147" i="4"/>
  <c r="W147" i="4"/>
  <c r="X147" i="4"/>
  <c r="Y147" i="4"/>
  <c r="Z147" i="4"/>
  <c r="AA147" i="4"/>
  <c r="AB147" i="4"/>
  <c r="Q148" i="4"/>
  <c r="AQ148" i="4" s="1"/>
  <c r="R148" i="4"/>
  <c r="AR148" i="4" s="1"/>
  <c r="S148" i="4"/>
  <c r="AN148" i="4" s="1"/>
  <c r="U148" i="4"/>
  <c r="V148" i="4"/>
  <c r="W148" i="4"/>
  <c r="X148" i="4"/>
  <c r="Y148" i="4"/>
  <c r="Z148" i="4"/>
  <c r="AA148" i="4"/>
  <c r="AB148" i="4"/>
  <c r="Q149" i="4"/>
  <c r="AQ149" i="4" s="1"/>
  <c r="R149" i="4"/>
  <c r="AR149" i="4" s="1"/>
  <c r="S149" i="4"/>
  <c r="AN149" i="4" s="1"/>
  <c r="U149" i="4"/>
  <c r="V149" i="4"/>
  <c r="W149" i="4"/>
  <c r="X149" i="4"/>
  <c r="Y149" i="4"/>
  <c r="Z149" i="4"/>
  <c r="AA149" i="4"/>
  <c r="AB149" i="4"/>
  <c r="Q150" i="4"/>
  <c r="AQ150" i="4" s="1"/>
  <c r="R150" i="4"/>
  <c r="AR150" i="4" s="1"/>
  <c r="S150" i="4"/>
  <c r="AN150" i="4" s="1"/>
  <c r="U150" i="4"/>
  <c r="V150" i="4"/>
  <c r="W150" i="4"/>
  <c r="X150" i="4"/>
  <c r="Y150" i="4"/>
  <c r="Z150" i="4"/>
  <c r="AA150" i="4"/>
  <c r="AB150" i="4"/>
  <c r="Q151" i="4"/>
  <c r="AQ151" i="4" s="1"/>
  <c r="R151" i="4"/>
  <c r="AR151" i="4" s="1"/>
  <c r="S151" i="4"/>
  <c r="AN151" i="4" s="1"/>
  <c r="U151" i="4"/>
  <c r="V151" i="4"/>
  <c r="W151" i="4"/>
  <c r="X151" i="4"/>
  <c r="Y151" i="4"/>
  <c r="Z151" i="4"/>
  <c r="AA151" i="4"/>
  <c r="AB151" i="4"/>
  <c r="Q152" i="4"/>
  <c r="AQ152" i="4" s="1"/>
  <c r="R152" i="4"/>
  <c r="AR152" i="4" s="1"/>
  <c r="S152" i="4"/>
  <c r="AN152" i="4" s="1"/>
  <c r="U152" i="4"/>
  <c r="V152" i="4"/>
  <c r="W152" i="4"/>
  <c r="X152" i="4"/>
  <c r="Y152" i="4"/>
  <c r="Z152" i="4"/>
  <c r="AA152" i="4"/>
  <c r="AB152" i="4"/>
  <c r="Q153" i="4"/>
  <c r="R153" i="4"/>
  <c r="S153" i="4"/>
  <c r="AN153" i="4" s="1"/>
  <c r="U153" i="4"/>
  <c r="V153" i="4"/>
  <c r="W153" i="4"/>
  <c r="X153" i="4"/>
  <c r="Y153" i="4"/>
  <c r="Z153" i="4"/>
  <c r="AA153" i="4"/>
  <c r="AB153" i="4"/>
  <c r="Q154" i="4"/>
  <c r="R154" i="4"/>
  <c r="S154" i="4"/>
  <c r="AN154" i="4" s="1"/>
  <c r="U154" i="4"/>
  <c r="V154" i="4"/>
  <c r="W154" i="4"/>
  <c r="X154" i="4"/>
  <c r="Y154" i="4"/>
  <c r="Z154" i="4"/>
  <c r="AA154" i="4"/>
  <c r="AB154" i="4"/>
  <c r="Q155" i="4"/>
  <c r="R155" i="4"/>
  <c r="S155" i="4"/>
  <c r="AN155" i="4" s="1"/>
  <c r="U155" i="4"/>
  <c r="V155" i="4"/>
  <c r="W155" i="4"/>
  <c r="X155" i="4"/>
  <c r="Y155" i="4"/>
  <c r="Z155" i="4"/>
  <c r="AA155" i="4"/>
  <c r="AB155" i="4"/>
  <c r="Q156" i="4"/>
  <c r="R156" i="4"/>
  <c r="S156" i="4"/>
  <c r="AN156" i="4" s="1"/>
  <c r="U156" i="4"/>
  <c r="V156" i="4"/>
  <c r="W156" i="4"/>
  <c r="X156" i="4"/>
  <c r="Y156" i="4"/>
  <c r="Z156" i="4"/>
  <c r="AA156" i="4"/>
  <c r="AB156" i="4"/>
  <c r="Q157" i="4"/>
  <c r="R157" i="4"/>
  <c r="S157" i="4"/>
  <c r="AN157" i="4" s="1"/>
  <c r="U157" i="4"/>
  <c r="V157" i="4"/>
  <c r="W157" i="4"/>
  <c r="X157" i="4"/>
  <c r="Y157" i="4"/>
  <c r="Z157" i="4"/>
  <c r="AA157" i="4"/>
  <c r="AB157" i="4"/>
  <c r="Q158" i="4"/>
  <c r="R158" i="4"/>
  <c r="S158" i="4"/>
  <c r="AN158" i="4" s="1"/>
  <c r="U158" i="4"/>
  <c r="V158" i="4"/>
  <c r="W158" i="4"/>
  <c r="X158" i="4"/>
  <c r="Y158" i="4"/>
  <c r="Z158" i="4"/>
  <c r="AA158" i="4"/>
  <c r="AB158" i="4"/>
  <c r="Q159" i="4"/>
  <c r="R159" i="4"/>
  <c r="S159" i="4"/>
  <c r="AN159" i="4" s="1"/>
  <c r="U159" i="4"/>
  <c r="V159" i="4"/>
  <c r="W159" i="4"/>
  <c r="X159" i="4"/>
  <c r="Y159" i="4"/>
  <c r="Z159" i="4"/>
  <c r="AA159" i="4"/>
  <c r="AB159" i="4"/>
  <c r="Q160" i="4"/>
  <c r="R160" i="4"/>
  <c r="S160" i="4"/>
  <c r="AN160" i="4" s="1"/>
  <c r="U160" i="4"/>
  <c r="V160" i="4"/>
  <c r="W160" i="4"/>
  <c r="X160" i="4"/>
  <c r="Y160" i="4"/>
  <c r="Z160" i="4"/>
  <c r="AA160" i="4"/>
  <c r="AB160" i="4"/>
  <c r="Q161" i="4"/>
  <c r="R161" i="4"/>
  <c r="S161" i="4"/>
  <c r="AN161" i="4" s="1"/>
  <c r="U161" i="4"/>
  <c r="V161" i="4"/>
  <c r="W161" i="4"/>
  <c r="X161" i="4"/>
  <c r="Y161" i="4"/>
  <c r="Z161" i="4"/>
  <c r="AA161" i="4"/>
  <c r="AB161" i="4"/>
  <c r="Q162" i="4"/>
  <c r="R162" i="4"/>
  <c r="S162" i="4"/>
  <c r="AN162" i="4" s="1"/>
  <c r="U162" i="4"/>
  <c r="V162" i="4"/>
  <c r="W162" i="4"/>
  <c r="X162" i="4"/>
  <c r="Y162" i="4"/>
  <c r="Z162" i="4"/>
  <c r="AA162" i="4"/>
  <c r="AB162" i="4"/>
  <c r="Q163" i="4"/>
  <c r="R163" i="4"/>
  <c r="S163" i="4"/>
  <c r="AN163" i="4" s="1"/>
  <c r="U163" i="4"/>
  <c r="V163" i="4"/>
  <c r="W163" i="4"/>
  <c r="X163" i="4"/>
  <c r="Y163" i="4"/>
  <c r="Z163" i="4"/>
  <c r="AA163" i="4"/>
  <c r="AB163" i="4"/>
  <c r="Q164" i="4"/>
  <c r="R164" i="4"/>
  <c r="S164" i="4"/>
  <c r="AN164" i="4" s="1"/>
  <c r="U164" i="4"/>
  <c r="V164" i="4"/>
  <c r="W164" i="4"/>
  <c r="X164" i="4"/>
  <c r="Y164" i="4"/>
  <c r="Z164" i="4"/>
  <c r="AA164" i="4"/>
  <c r="AB164" i="4"/>
  <c r="Q165" i="4"/>
  <c r="R165" i="4"/>
  <c r="S165" i="4"/>
  <c r="AN165" i="4" s="1"/>
  <c r="U165" i="4"/>
  <c r="V165" i="4"/>
  <c r="W165" i="4"/>
  <c r="X165" i="4"/>
  <c r="Y165" i="4"/>
  <c r="Z165" i="4"/>
  <c r="AA165" i="4"/>
  <c r="AB165" i="4"/>
  <c r="Q166" i="4"/>
  <c r="R166" i="4"/>
  <c r="S166" i="4"/>
  <c r="AN166" i="4" s="1"/>
  <c r="U166" i="4"/>
  <c r="V166" i="4"/>
  <c r="W166" i="4"/>
  <c r="X166" i="4"/>
  <c r="Y166" i="4"/>
  <c r="Z166" i="4"/>
  <c r="AA166" i="4"/>
  <c r="AB166" i="4"/>
  <c r="Q167" i="4"/>
  <c r="R167" i="4"/>
  <c r="S167" i="4"/>
  <c r="AN167" i="4" s="1"/>
  <c r="U167" i="4"/>
  <c r="V167" i="4"/>
  <c r="W167" i="4"/>
  <c r="X167" i="4"/>
  <c r="Y167" i="4"/>
  <c r="Z167" i="4"/>
  <c r="AA167" i="4"/>
  <c r="AB167" i="4"/>
  <c r="Q168" i="4"/>
  <c r="R168" i="4"/>
  <c r="S168" i="4"/>
  <c r="AN168" i="4" s="1"/>
  <c r="U168" i="4"/>
  <c r="V168" i="4"/>
  <c r="W168" i="4"/>
  <c r="X168" i="4"/>
  <c r="Y168" i="4"/>
  <c r="Z168" i="4"/>
  <c r="AA168" i="4"/>
  <c r="AB168" i="4"/>
  <c r="Q169" i="4"/>
  <c r="R169" i="4"/>
  <c r="S169" i="4"/>
  <c r="AN169" i="4" s="1"/>
  <c r="U169" i="4"/>
  <c r="V169" i="4"/>
  <c r="W169" i="4"/>
  <c r="X169" i="4"/>
  <c r="Y169" i="4"/>
  <c r="Z169" i="4"/>
  <c r="AA169" i="4"/>
  <c r="AB169" i="4"/>
  <c r="Q170" i="4"/>
  <c r="R170" i="4"/>
  <c r="S170" i="4"/>
  <c r="AN170" i="4" s="1"/>
  <c r="U170" i="4"/>
  <c r="V170" i="4"/>
  <c r="W170" i="4"/>
  <c r="X170" i="4"/>
  <c r="Y170" i="4"/>
  <c r="Z170" i="4"/>
  <c r="AA170" i="4"/>
  <c r="AB170" i="4"/>
  <c r="Q171" i="4"/>
  <c r="R171" i="4"/>
  <c r="S171" i="4"/>
  <c r="AN171" i="4" s="1"/>
  <c r="U171" i="4"/>
  <c r="V171" i="4"/>
  <c r="W171" i="4"/>
  <c r="X171" i="4"/>
  <c r="Y171" i="4"/>
  <c r="Z171" i="4"/>
  <c r="AA171" i="4"/>
  <c r="AB171" i="4"/>
  <c r="Q172" i="4"/>
  <c r="R172" i="4"/>
  <c r="S172" i="4"/>
  <c r="AN172" i="4" s="1"/>
  <c r="U172" i="4"/>
  <c r="V172" i="4"/>
  <c r="W172" i="4"/>
  <c r="X172" i="4"/>
  <c r="Y172" i="4"/>
  <c r="Z172" i="4"/>
  <c r="AA172" i="4"/>
  <c r="AB172" i="4"/>
  <c r="Q173" i="4"/>
  <c r="R173" i="4"/>
  <c r="S173" i="4"/>
  <c r="AN173" i="4" s="1"/>
  <c r="U173" i="4"/>
  <c r="V173" i="4"/>
  <c r="W173" i="4"/>
  <c r="X173" i="4"/>
  <c r="Y173" i="4"/>
  <c r="Z173" i="4"/>
  <c r="AA173" i="4"/>
  <c r="AB173" i="4"/>
  <c r="Q174" i="4"/>
  <c r="R174" i="4"/>
  <c r="S174" i="4"/>
  <c r="AN174" i="4" s="1"/>
  <c r="U174" i="4"/>
  <c r="V174" i="4"/>
  <c r="W174" i="4"/>
  <c r="X174" i="4"/>
  <c r="Y174" i="4"/>
  <c r="Z174" i="4"/>
  <c r="AA174" i="4"/>
  <c r="AB174" i="4"/>
  <c r="Q175" i="4"/>
  <c r="R175" i="4"/>
  <c r="S175" i="4"/>
  <c r="AN175" i="4" s="1"/>
  <c r="U175" i="4"/>
  <c r="V175" i="4"/>
  <c r="W175" i="4"/>
  <c r="X175" i="4"/>
  <c r="Y175" i="4"/>
  <c r="Z175" i="4"/>
  <c r="AA175" i="4"/>
  <c r="AB175" i="4"/>
  <c r="Q176" i="4"/>
  <c r="R176" i="4"/>
  <c r="S176" i="4"/>
  <c r="AN176" i="4" s="1"/>
  <c r="U176" i="4"/>
  <c r="V176" i="4"/>
  <c r="W176" i="4"/>
  <c r="X176" i="4"/>
  <c r="Y176" i="4"/>
  <c r="Z176" i="4"/>
  <c r="AA176" i="4"/>
  <c r="AB176" i="4"/>
  <c r="Q177" i="4"/>
  <c r="R177" i="4"/>
  <c r="S177" i="4"/>
  <c r="AN177" i="4" s="1"/>
  <c r="U177" i="4"/>
  <c r="V177" i="4"/>
  <c r="W177" i="4"/>
  <c r="X177" i="4"/>
  <c r="Y177" i="4"/>
  <c r="Z177" i="4"/>
  <c r="AA177" i="4"/>
  <c r="AB177" i="4"/>
  <c r="Q178" i="4"/>
  <c r="R178" i="4"/>
  <c r="S178" i="4"/>
  <c r="AN178" i="4" s="1"/>
  <c r="U178" i="4"/>
  <c r="V178" i="4"/>
  <c r="W178" i="4"/>
  <c r="X178" i="4"/>
  <c r="Y178" i="4"/>
  <c r="Z178" i="4"/>
  <c r="AA178" i="4"/>
  <c r="AB178" i="4"/>
  <c r="Q179" i="4"/>
  <c r="R179" i="4"/>
  <c r="S179" i="4"/>
  <c r="AN179" i="4" s="1"/>
  <c r="U179" i="4"/>
  <c r="V179" i="4"/>
  <c r="W179" i="4"/>
  <c r="X179" i="4"/>
  <c r="Y179" i="4"/>
  <c r="Z179" i="4"/>
  <c r="AA179" i="4"/>
  <c r="AB179" i="4"/>
  <c r="Q180" i="4"/>
  <c r="R180" i="4"/>
  <c r="S180" i="4"/>
  <c r="AN180" i="4" s="1"/>
  <c r="U180" i="4"/>
  <c r="V180" i="4"/>
  <c r="W180" i="4"/>
  <c r="X180" i="4"/>
  <c r="Y180" i="4"/>
  <c r="Z180" i="4"/>
  <c r="AA180" i="4"/>
  <c r="AB180" i="4"/>
  <c r="Q181" i="4"/>
  <c r="R181" i="4"/>
  <c r="S181" i="4"/>
  <c r="AN181" i="4" s="1"/>
  <c r="U181" i="4"/>
  <c r="V181" i="4"/>
  <c r="W181" i="4"/>
  <c r="X181" i="4"/>
  <c r="Y181" i="4"/>
  <c r="Z181" i="4"/>
  <c r="AA181" i="4"/>
  <c r="AB181" i="4"/>
  <c r="Q182" i="4"/>
  <c r="R182" i="4"/>
  <c r="S182" i="4"/>
  <c r="AN182" i="4" s="1"/>
  <c r="U182" i="4"/>
  <c r="V182" i="4"/>
  <c r="W182" i="4"/>
  <c r="X182" i="4"/>
  <c r="Y182" i="4"/>
  <c r="Z182" i="4"/>
  <c r="AA182" i="4"/>
  <c r="AB182" i="4"/>
  <c r="Q183" i="4"/>
  <c r="R183" i="4"/>
  <c r="S183" i="4"/>
  <c r="AN183" i="4" s="1"/>
  <c r="U183" i="4"/>
  <c r="V183" i="4"/>
  <c r="W183" i="4"/>
  <c r="X183" i="4"/>
  <c r="Y183" i="4"/>
  <c r="Z183" i="4"/>
  <c r="AA183" i="4"/>
  <c r="AB183" i="4"/>
  <c r="Q184" i="4"/>
  <c r="R184" i="4"/>
  <c r="S184" i="4"/>
  <c r="AN184" i="4" s="1"/>
  <c r="U184" i="4"/>
  <c r="V184" i="4"/>
  <c r="W184" i="4"/>
  <c r="X184" i="4"/>
  <c r="Y184" i="4"/>
  <c r="Z184" i="4"/>
  <c r="AA184" i="4"/>
  <c r="AB184" i="4"/>
  <c r="Q185" i="4"/>
  <c r="R185" i="4"/>
  <c r="S185" i="4"/>
  <c r="AN185" i="4" s="1"/>
  <c r="U185" i="4"/>
  <c r="V185" i="4"/>
  <c r="W185" i="4"/>
  <c r="X185" i="4"/>
  <c r="Y185" i="4"/>
  <c r="Z185" i="4"/>
  <c r="AA185" i="4"/>
  <c r="AB185" i="4"/>
  <c r="Q186" i="4"/>
  <c r="R186" i="4"/>
  <c r="S186" i="4"/>
  <c r="AN186" i="4" s="1"/>
  <c r="U186" i="4"/>
  <c r="V186" i="4"/>
  <c r="W186" i="4"/>
  <c r="X186" i="4"/>
  <c r="Y186" i="4"/>
  <c r="Z186" i="4"/>
  <c r="AA186" i="4"/>
  <c r="AB186" i="4"/>
  <c r="Q187" i="4"/>
  <c r="R187" i="4"/>
  <c r="S187" i="4"/>
  <c r="AN187" i="4" s="1"/>
  <c r="U187" i="4"/>
  <c r="V187" i="4"/>
  <c r="W187" i="4"/>
  <c r="X187" i="4"/>
  <c r="Y187" i="4"/>
  <c r="Z187" i="4"/>
  <c r="AA187" i="4"/>
  <c r="AB187" i="4"/>
  <c r="Q188" i="4"/>
  <c r="AQ188" i="4" s="1"/>
  <c r="R188" i="4"/>
  <c r="S188" i="4"/>
  <c r="AN188" i="4" s="1"/>
  <c r="U188" i="4"/>
  <c r="V188" i="4"/>
  <c r="W188" i="4"/>
  <c r="X188" i="4"/>
  <c r="Y188" i="4"/>
  <c r="Z188" i="4"/>
  <c r="AA188" i="4"/>
  <c r="AB188" i="4"/>
  <c r="Q189" i="4"/>
  <c r="R189" i="4"/>
  <c r="S189" i="4"/>
  <c r="AN189" i="4" s="1"/>
  <c r="U189" i="4"/>
  <c r="V189" i="4"/>
  <c r="W189" i="4"/>
  <c r="X189" i="4"/>
  <c r="Y189" i="4"/>
  <c r="Z189" i="4"/>
  <c r="AA189" i="4"/>
  <c r="AB189" i="4"/>
  <c r="M3" i="5"/>
  <c r="K3" i="5"/>
  <c r="AE11" i="3"/>
  <c r="AE12" i="3"/>
  <c r="AE13" i="3"/>
  <c r="AE14" i="3"/>
  <c r="AE15" i="3"/>
  <c r="AE16" i="3"/>
  <c r="AE17" i="3"/>
  <c r="AE18" i="3"/>
  <c r="AE19" i="3"/>
  <c r="AE20" i="3"/>
  <c r="AE21" i="3"/>
  <c r="AE22" i="3"/>
  <c r="AE23" i="3"/>
  <c r="AE24" i="3"/>
  <c r="AE25" i="3"/>
  <c r="AB4" i="4"/>
  <c r="AB5" i="4"/>
  <c r="AB6" i="4"/>
  <c r="AB7" i="4"/>
  <c r="AB8" i="4"/>
  <c r="AB9" i="4"/>
  <c r="AB10" i="4"/>
  <c r="AB11" i="4"/>
  <c r="AB12" i="4"/>
  <c r="AB13" i="4"/>
  <c r="AB14" i="4"/>
  <c r="AB15" i="4"/>
  <c r="AB16" i="4"/>
  <c r="AB17" i="4"/>
  <c r="AB18" i="4"/>
  <c r="AB19" i="4"/>
  <c r="AB20" i="4"/>
  <c r="AB21" i="4"/>
  <c r="AB22" i="4"/>
  <c r="AB23" i="4"/>
  <c r="AB24" i="4"/>
  <c r="AB25" i="4"/>
  <c r="AB26" i="4"/>
  <c r="AB27" i="4"/>
  <c r="AB28" i="4"/>
  <c r="AB29" i="4"/>
  <c r="AB30" i="4"/>
  <c r="AB31" i="4"/>
  <c r="AB32" i="4"/>
  <c r="AB33" i="4"/>
  <c r="AB34" i="4"/>
  <c r="AB35" i="4"/>
  <c r="AB36" i="4"/>
  <c r="AB37" i="4"/>
  <c r="AB38" i="4"/>
  <c r="AB39" i="4"/>
  <c r="AB40" i="4"/>
  <c r="AB41" i="4"/>
  <c r="AB42" i="4"/>
  <c r="AB43" i="4"/>
  <c r="AB44" i="4"/>
  <c r="AB45" i="4"/>
  <c r="AB46" i="4"/>
  <c r="AB47" i="4"/>
  <c r="AB48" i="4"/>
  <c r="AB49" i="4"/>
  <c r="AB50" i="4"/>
  <c r="AB51" i="4"/>
  <c r="AB52" i="4"/>
  <c r="AB53" i="4"/>
  <c r="AB54" i="4"/>
  <c r="AB55" i="4"/>
  <c r="AB56" i="4"/>
  <c r="AB57" i="4"/>
  <c r="AB58" i="4"/>
  <c r="AB59" i="4"/>
  <c r="AB60" i="4"/>
  <c r="AB61" i="4"/>
  <c r="AB62" i="4"/>
  <c r="AB63" i="4"/>
  <c r="AB64" i="4"/>
  <c r="AB65" i="4"/>
  <c r="AB66" i="4"/>
  <c r="AB67" i="4"/>
  <c r="AB68" i="4"/>
  <c r="AB69" i="4"/>
  <c r="AB70" i="4"/>
  <c r="AB71" i="4"/>
  <c r="AB72" i="4"/>
  <c r="AB73" i="4"/>
  <c r="AB74" i="4"/>
  <c r="AB75" i="4"/>
  <c r="AB76" i="4"/>
  <c r="AB77" i="4"/>
  <c r="AB78" i="4"/>
  <c r="AB79" i="4"/>
  <c r="AB80" i="4"/>
  <c r="AB81" i="4"/>
  <c r="AB82" i="4"/>
  <c r="AB83" i="4"/>
  <c r="AB84" i="4"/>
  <c r="AB3" i="4"/>
  <c r="AA4" i="4"/>
  <c r="AA5" i="4"/>
  <c r="AA6" i="4"/>
  <c r="AA7" i="4"/>
  <c r="AA8" i="4"/>
  <c r="AA9" i="4"/>
  <c r="AA10" i="4"/>
  <c r="AA11" i="4"/>
  <c r="AA12" i="4"/>
  <c r="AA13" i="4"/>
  <c r="AA14" i="4"/>
  <c r="AA15" i="4"/>
  <c r="AA16" i="4"/>
  <c r="AA17" i="4"/>
  <c r="AA18" i="4"/>
  <c r="AA19" i="4"/>
  <c r="AA20" i="4"/>
  <c r="AA21" i="4"/>
  <c r="AA22" i="4"/>
  <c r="AA23" i="4"/>
  <c r="AA24" i="4"/>
  <c r="AA25" i="4"/>
  <c r="AA26" i="4"/>
  <c r="AA27" i="4"/>
  <c r="AA28" i="4"/>
  <c r="AA29" i="4"/>
  <c r="AA30" i="4"/>
  <c r="AA31" i="4"/>
  <c r="AA32" i="4"/>
  <c r="AA33" i="4"/>
  <c r="AA34" i="4"/>
  <c r="AA35" i="4"/>
  <c r="AA36" i="4"/>
  <c r="AA37" i="4"/>
  <c r="AA38" i="4"/>
  <c r="AA39" i="4"/>
  <c r="AA40" i="4"/>
  <c r="AA41" i="4"/>
  <c r="AA42" i="4"/>
  <c r="AA43" i="4"/>
  <c r="AA44" i="4"/>
  <c r="AA45" i="4"/>
  <c r="AA46" i="4"/>
  <c r="AA47" i="4"/>
  <c r="AA48" i="4"/>
  <c r="AA49" i="4"/>
  <c r="AA50" i="4"/>
  <c r="AA51" i="4"/>
  <c r="AA52" i="4"/>
  <c r="AA53" i="4"/>
  <c r="AA54" i="4"/>
  <c r="AA55" i="4"/>
  <c r="AA56" i="4"/>
  <c r="AA57" i="4"/>
  <c r="AA58" i="4"/>
  <c r="AA59" i="4"/>
  <c r="AA60" i="4"/>
  <c r="AA61" i="4"/>
  <c r="AA62" i="4"/>
  <c r="AA63" i="4"/>
  <c r="AA64" i="4"/>
  <c r="AA65" i="4"/>
  <c r="AA66" i="4"/>
  <c r="AA67" i="4"/>
  <c r="AA68" i="4"/>
  <c r="AA69" i="4"/>
  <c r="AA70" i="4"/>
  <c r="AA71" i="4"/>
  <c r="AA72" i="4"/>
  <c r="AA73" i="4"/>
  <c r="AA74" i="4"/>
  <c r="AA75" i="4"/>
  <c r="AA76" i="4"/>
  <c r="AA77" i="4"/>
  <c r="AA78" i="4"/>
  <c r="AA79" i="4"/>
  <c r="AA80" i="4"/>
  <c r="AA81" i="4"/>
  <c r="AA82" i="4"/>
  <c r="AA83" i="4"/>
  <c r="AA84" i="4"/>
  <c r="AA3" i="4"/>
  <c r="Z4" i="4"/>
  <c r="Z5" i="4"/>
  <c r="Z6" i="4"/>
  <c r="Z7" i="4"/>
  <c r="Z8" i="4"/>
  <c r="Z9" i="4"/>
  <c r="Z10" i="4"/>
  <c r="Z11" i="4"/>
  <c r="Z12" i="4"/>
  <c r="Z13" i="4"/>
  <c r="Z14" i="4"/>
  <c r="Z15" i="4"/>
  <c r="Z16" i="4"/>
  <c r="Z17" i="4"/>
  <c r="Z18" i="4"/>
  <c r="Z19" i="4"/>
  <c r="Z20" i="4"/>
  <c r="Z21" i="4"/>
  <c r="Z22" i="4"/>
  <c r="Z23" i="4"/>
  <c r="Z24" i="4"/>
  <c r="Z25" i="4"/>
  <c r="Z26" i="4"/>
  <c r="Z27" i="4"/>
  <c r="Z28" i="4"/>
  <c r="Z29" i="4"/>
  <c r="Z30" i="4"/>
  <c r="Z31" i="4"/>
  <c r="Z32" i="4"/>
  <c r="Z33" i="4"/>
  <c r="Z34" i="4"/>
  <c r="Z35" i="4"/>
  <c r="Z36" i="4"/>
  <c r="Z37" i="4"/>
  <c r="Z38" i="4"/>
  <c r="Z39" i="4"/>
  <c r="Z40" i="4"/>
  <c r="Z41" i="4"/>
  <c r="Z42" i="4"/>
  <c r="Z43" i="4"/>
  <c r="Z44" i="4"/>
  <c r="Z45" i="4"/>
  <c r="Z46" i="4"/>
  <c r="Z47" i="4"/>
  <c r="Z48" i="4"/>
  <c r="Z49" i="4"/>
  <c r="Z50" i="4"/>
  <c r="Z51" i="4"/>
  <c r="Z52" i="4"/>
  <c r="Z53" i="4"/>
  <c r="Z54" i="4"/>
  <c r="Z55" i="4"/>
  <c r="Z56" i="4"/>
  <c r="Z57" i="4"/>
  <c r="Z58" i="4"/>
  <c r="Z59" i="4"/>
  <c r="Z60" i="4"/>
  <c r="Z61" i="4"/>
  <c r="Z62" i="4"/>
  <c r="Z63" i="4"/>
  <c r="Z64" i="4"/>
  <c r="Z65" i="4"/>
  <c r="Z66" i="4"/>
  <c r="Z67" i="4"/>
  <c r="Z68" i="4"/>
  <c r="Z69" i="4"/>
  <c r="Z70" i="4"/>
  <c r="Z71" i="4"/>
  <c r="Z72" i="4"/>
  <c r="Z73" i="4"/>
  <c r="Z74" i="4"/>
  <c r="Z75" i="4"/>
  <c r="Z76" i="4"/>
  <c r="Z77" i="4"/>
  <c r="Z78" i="4"/>
  <c r="Z79" i="4"/>
  <c r="Z80" i="4"/>
  <c r="Z81" i="4"/>
  <c r="Z82" i="4"/>
  <c r="Z83" i="4"/>
  <c r="Z84" i="4"/>
  <c r="Z3" i="4"/>
  <c r="U4" i="4"/>
  <c r="V4" i="4"/>
  <c r="W4" i="4"/>
  <c r="X4" i="4"/>
  <c r="Y4" i="4"/>
  <c r="U5" i="4"/>
  <c r="V5" i="4"/>
  <c r="W5" i="4"/>
  <c r="X5" i="4"/>
  <c r="Y5" i="4"/>
  <c r="U6" i="4"/>
  <c r="V6" i="4"/>
  <c r="W6" i="4"/>
  <c r="X6" i="4"/>
  <c r="Y6" i="4"/>
  <c r="U7" i="4"/>
  <c r="V7" i="4"/>
  <c r="W7" i="4"/>
  <c r="X7" i="4"/>
  <c r="Y7" i="4"/>
  <c r="U8" i="4"/>
  <c r="V8" i="4"/>
  <c r="W8" i="4"/>
  <c r="X8" i="4"/>
  <c r="Y8" i="4"/>
  <c r="U9" i="4"/>
  <c r="V9" i="4"/>
  <c r="W9" i="4"/>
  <c r="X9" i="4"/>
  <c r="Y9" i="4"/>
  <c r="U10" i="4"/>
  <c r="V10" i="4"/>
  <c r="W10" i="4"/>
  <c r="X10" i="4"/>
  <c r="Y10" i="4"/>
  <c r="U11" i="4"/>
  <c r="V11" i="4"/>
  <c r="W11" i="4"/>
  <c r="X11" i="4"/>
  <c r="Y11" i="4"/>
  <c r="U12" i="4"/>
  <c r="V12" i="4"/>
  <c r="W12" i="4"/>
  <c r="X12" i="4"/>
  <c r="Y12" i="4"/>
  <c r="U13" i="4"/>
  <c r="V13" i="4"/>
  <c r="W13" i="4"/>
  <c r="X13" i="4"/>
  <c r="Y13" i="4"/>
  <c r="U14" i="4"/>
  <c r="V14" i="4"/>
  <c r="W14" i="4"/>
  <c r="X14" i="4"/>
  <c r="Y14" i="4"/>
  <c r="U15" i="4"/>
  <c r="V15" i="4"/>
  <c r="W15" i="4"/>
  <c r="X15" i="4"/>
  <c r="Y15" i="4"/>
  <c r="U16" i="4"/>
  <c r="V16" i="4"/>
  <c r="W16" i="4"/>
  <c r="X16" i="4"/>
  <c r="Y16" i="4"/>
  <c r="U17" i="4"/>
  <c r="V17" i="4"/>
  <c r="W17" i="4"/>
  <c r="X17" i="4"/>
  <c r="Y17" i="4"/>
  <c r="U18" i="4"/>
  <c r="V18" i="4"/>
  <c r="W18" i="4"/>
  <c r="X18" i="4"/>
  <c r="Y18" i="4"/>
  <c r="U19" i="4"/>
  <c r="V19" i="4"/>
  <c r="W19" i="4"/>
  <c r="X19" i="4"/>
  <c r="Y19" i="4"/>
  <c r="U20" i="4"/>
  <c r="V20" i="4"/>
  <c r="W20" i="4"/>
  <c r="X20" i="4"/>
  <c r="Y20" i="4"/>
  <c r="U21" i="4"/>
  <c r="V21" i="4"/>
  <c r="W21" i="4"/>
  <c r="X21" i="4"/>
  <c r="Y21" i="4"/>
  <c r="U22" i="4"/>
  <c r="V22" i="4"/>
  <c r="W22" i="4"/>
  <c r="X22" i="4"/>
  <c r="Y22" i="4"/>
  <c r="U23" i="4"/>
  <c r="V23" i="4"/>
  <c r="W23" i="4"/>
  <c r="X23" i="4"/>
  <c r="Y23" i="4"/>
  <c r="U24" i="4"/>
  <c r="V24" i="4"/>
  <c r="W24" i="4"/>
  <c r="X24" i="4"/>
  <c r="Y24" i="4"/>
  <c r="U25" i="4"/>
  <c r="V25" i="4"/>
  <c r="W25" i="4"/>
  <c r="X25" i="4"/>
  <c r="Y25" i="4"/>
  <c r="U26" i="4"/>
  <c r="V26" i="4"/>
  <c r="W26" i="4"/>
  <c r="X26" i="4"/>
  <c r="Y26" i="4"/>
  <c r="U27" i="4"/>
  <c r="V27" i="4"/>
  <c r="W27" i="4"/>
  <c r="X27" i="4"/>
  <c r="Y27" i="4"/>
  <c r="U28" i="4"/>
  <c r="V28" i="4"/>
  <c r="W28" i="4"/>
  <c r="X28" i="4"/>
  <c r="Y28" i="4"/>
  <c r="U29" i="4"/>
  <c r="V29" i="4"/>
  <c r="W29" i="4"/>
  <c r="X29" i="4"/>
  <c r="Y29" i="4"/>
  <c r="U30" i="4"/>
  <c r="V30" i="4"/>
  <c r="W30" i="4"/>
  <c r="X30" i="4"/>
  <c r="Y30" i="4"/>
  <c r="U31" i="4"/>
  <c r="V31" i="4"/>
  <c r="W31" i="4"/>
  <c r="X31" i="4"/>
  <c r="Y31" i="4"/>
  <c r="U32" i="4"/>
  <c r="V32" i="4"/>
  <c r="W32" i="4"/>
  <c r="X32" i="4"/>
  <c r="Y32" i="4"/>
  <c r="U33" i="4"/>
  <c r="V33" i="4"/>
  <c r="W33" i="4"/>
  <c r="X33" i="4"/>
  <c r="Y33" i="4"/>
  <c r="U34" i="4"/>
  <c r="V34" i="4"/>
  <c r="W34" i="4"/>
  <c r="X34" i="4"/>
  <c r="Y34" i="4"/>
  <c r="U35" i="4"/>
  <c r="V35" i="4"/>
  <c r="W35" i="4"/>
  <c r="X35" i="4"/>
  <c r="Y35" i="4"/>
  <c r="U36" i="4"/>
  <c r="V36" i="4"/>
  <c r="W36" i="4"/>
  <c r="X36" i="4"/>
  <c r="Y36" i="4"/>
  <c r="U37" i="4"/>
  <c r="V37" i="4"/>
  <c r="W37" i="4"/>
  <c r="X37" i="4"/>
  <c r="Y37" i="4"/>
  <c r="U38" i="4"/>
  <c r="V38" i="4"/>
  <c r="W38" i="4"/>
  <c r="X38" i="4"/>
  <c r="Y38" i="4"/>
  <c r="U39" i="4"/>
  <c r="V39" i="4"/>
  <c r="W39" i="4"/>
  <c r="X39" i="4"/>
  <c r="Y39" i="4"/>
  <c r="U40" i="4"/>
  <c r="V40" i="4"/>
  <c r="W40" i="4"/>
  <c r="X40" i="4"/>
  <c r="Y40" i="4"/>
  <c r="U41" i="4"/>
  <c r="V41" i="4"/>
  <c r="W41" i="4"/>
  <c r="X41" i="4"/>
  <c r="Y41" i="4"/>
  <c r="U42" i="4"/>
  <c r="V42" i="4"/>
  <c r="W42" i="4"/>
  <c r="X42" i="4"/>
  <c r="Y42" i="4"/>
  <c r="U43" i="4"/>
  <c r="V43" i="4"/>
  <c r="W43" i="4"/>
  <c r="X43" i="4"/>
  <c r="Y43" i="4"/>
  <c r="U44" i="4"/>
  <c r="V44" i="4"/>
  <c r="W44" i="4"/>
  <c r="X44" i="4"/>
  <c r="Y44" i="4"/>
  <c r="U45" i="4"/>
  <c r="V45" i="4"/>
  <c r="W45" i="4"/>
  <c r="X45" i="4"/>
  <c r="Y45" i="4"/>
  <c r="U46" i="4"/>
  <c r="V46" i="4"/>
  <c r="W46" i="4"/>
  <c r="X46" i="4"/>
  <c r="Y46" i="4"/>
  <c r="U47" i="4"/>
  <c r="V47" i="4"/>
  <c r="W47" i="4"/>
  <c r="X47" i="4"/>
  <c r="Y47" i="4"/>
  <c r="U48" i="4"/>
  <c r="V48" i="4"/>
  <c r="W48" i="4"/>
  <c r="X48" i="4"/>
  <c r="Y48" i="4"/>
  <c r="U49" i="4"/>
  <c r="V49" i="4"/>
  <c r="W49" i="4"/>
  <c r="X49" i="4"/>
  <c r="Y49" i="4"/>
  <c r="U50" i="4"/>
  <c r="V50" i="4"/>
  <c r="W50" i="4"/>
  <c r="X50" i="4"/>
  <c r="Y50" i="4"/>
  <c r="U51" i="4"/>
  <c r="V51" i="4"/>
  <c r="W51" i="4"/>
  <c r="X51" i="4"/>
  <c r="Y51" i="4"/>
  <c r="U52" i="4"/>
  <c r="V52" i="4"/>
  <c r="W52" i="4"/>
  <c r="X52" i="4"/>
  <c r="Y52" i="4"/>
  <c r="U53" i="4"/>
  <c r="V53" i="4"/>
  <c r="W53" i="4"/>
  <c r="X53" i="4"/>
  <c r="Y53" i="4"/>
  <c r="U54" i="4"/>
  <c r="V54" i="4"/>
  <c r="W54" i="4"/>
  <c r="X54" i="4"/>
  <c r="Y54" i="4"/>
  <c r="U55" i="4"/>
  <c r="V55" i="4"/>
  <c r="W55" i="4"/>
  <c r="X55" i="4"/>
  <c r="Y55" i="4"/>
  <c r="U56" i="4"/>
  <c r="V56" i="4"/>
  <c r="W56" i="4"/>
  <c r="X56" i="4"/>
  <c r="Y56" i="4"/>
  <c r="U57" i="4"/>
  <c r="V57" i="4"/>
  <c r="W57" i="4"/>
  <c r="X57" i="4"/>
  <c r="Y57" i="4"/>
  <c r="U58" i="4"/>
  <c r="V58" i="4"/>
  <c r="W58" i="4"/>
  <c r="X58" i="4"/>
  <c r="Y58" i="4"/>
  <c r="U59" i="4"/>
  <c r="V59" i="4"/>
  <c r="W59" i="4"/>
  <c r="X59" i="4"/>
  <c r="Y59" i="4"/>
  <c r="U60" i="4"/>
  <c r="V60" i="4"/>
  <c r="W60" i="4"/>
  <c r="X60" i="4"/>
  <c r="Y60" i="4"/>
  <c r="U61" i="4"/>
  <c r="V61" i="4"/>
  <c r="W61" i="4"/>
  <c r="X61" i="4"/>
  <c r="Y61" i="4"/>
  <c r="U62" i="4"/>
  <c r="V62" i="4"/>
  <c r="W62" i="4"/>
  <c r="X62" i="4"/>
  <c r="Y62" i="4"/>
  <c r="U63" i="4"/>
  <c r="V63" i="4"/>
  <c r="W63" i="4"/>
  <c r="X63" i="4"/>
  <c r="Y63" i="4"/>
  <c r="U64" i="4"/>
  <c r="V64" i="4"/>
  <c r="W64" i="4"/>
  <c r="X64" i="4"/>
  <c r="Y64" i="4"/>
  <c r="U65" i="4"/>
  <c r="V65" i="4"/>
  <c r="W65" i="4"/>
  <c r="X65" i="4"/>
  <c r="Y65" i="4"/>
  <c r="U66" i="4"/>
  <c r="V66" i="4"/>
  <c r="W66" i="4"/>
  <c r="X66" i="4"/>
  <c r="Y66" i="4"/>
  <c r="U67" i="4"/>
  <c r="V67" i="4"/>
  <c r="W67" i="4"/>
  <c r="X67" i="4"/>
  <c r="Y67" i="4"/>
  <c r="U68" i="4"/>
  <c r="V68" i="4"/>
  <c r="W68" i="4"/>
  <c r="X68" i="4"/>
  <c r="Y68" i="4"/>
  <c r="U69" i="4"/>
  <c r="V69" i="4"/>
  <c r="W69" i="4"/>
  <c r="X69" i="4"/>
  <c r="Y69" i="4"/>
  <c r="U70" i="4"/>
  <c r="V70" i="4"/>
  <c r="W70" i="4"/>
  <c r="X70" i="4"/>
  <c r="Y70" i="4"/>
  <c r="U71" i="4"/>
  <c r="V71" i="4"/>
  <c r="W71" i="4"/>
  <c r="X71" i="4"/>
  <c r="Y71" i="4"/>
  <c r="U72" i="4"/>
  <c r="V72" i="4"/>
  <c r="W72" i="4"/>
  <c r="X72" i="4"/>
  <c r="Y72" i="4"/>
  <c r="U73" i="4"/>
  <c r="V73" i="4"/>
  <c r="W73" i="4"/>
  <c r="X73" i="4"/>
  <c r="Y73" i="4"/>
  <c r="U74" i="4"/>
  <c r="V74" i="4"/>
  <c r="W74" i="4"/>
  <c r="X74" i="4"/>
  <c r="Y74" i="4"/>
  <c r="U75" i="4"/>
  <c r="V75" i="4"/>
  <c r="W75" i="4"/>
  <c r="X75" i="4"/>
  <c r="Y75" i="4"/>
  <c r="U76" i="4"/>
  <c r="V76" i="4"/>
  <c r="W76" i="4"/>
  <c r="X76" i="4"/>
  <c r="Y76" i="4"/>
  <c r="U77" i="4"/>
  <c r="V77" i="4"/>
  <c r="W77" i="4"/>
  <c r="X77" i="4"/>
  <c r="Y77" i="4"/>
  <c r="U78" i="4"/>
  <c r="V78" i="4"/>
  <c r="W78" i="4"/>
  <c r="X78" i="4"/>
  <c r="Y78" i="4"/>
  <c r="U79" i="4"/>
  <c r="V79" i="4"/>
  <c r="W79" i="4"/>
  <c r="X79" i="4"/>
  <c r="Y79" i="4"/>
  <c r="U80" i="4"/>
  <c r="V80" i="4"/>
  <c r="W80" i="4"/>
  <c r="X80" i="4"/>
  <c r="Y80" i="4"/>
  <c r="U81" i="4"/>
  <c r="V81" i="4"/>
  <c r="W81" i="4"/>
  <c r="X81" i="4"/>
  <c r="Y81" i="4"/>
  <c r="U82" i="4"/>
  <c r="V82" i="4"/>
  <c r="W82" i="4"/>
  <c r="X82" i="4"/>
  <c r="Y82" i="4"/>
  <c r="U83" i="4"/>
  <c r="V83" i="4"/>
  <c r="W83" i="4"/>
  <c r="X83" i="4"/>
  <c r="Y83" i="4"/>
  <c r="U84" i="4"/>
  <c r="V84" i="4"/>
  <c r="W84" i="4"/>
  <c r="X84" i="4"/>
  <c r="Y84" i="4"/>
  <c r="V3" i="4"/>
  <c r="W3" i="4"/>
  <c r="X3" i="4"/>
  <c r="Y3" i="4"/>
  <c r="U3" i="4"/>
  <c r="S3" i="4"/>
  <c r="AN3" i="4" s="1"/>
  <c r="S4" i="4"/>
  <c r="AN4" i="4" s="1"/>
  <c r="S5" i="4"/>
  <c r="AN5" i="4" s="1"/>
  <c r="S6" i="4"/>
  <c r="AN6" i="4" s="1"/>
  <c r="S7" i="4"/>
  <c r="AN7" i="4" s="1"/>
  <c r="S8" i="4"/>
  <c r="AN8" i="4" s="1"/>
  <c r="S9" i="4"/>
  <c r="AN9" i="4" s="1"/>
  <c r="S10" i="4"/>
  <c r="AN10" i="4" s="1"/>
  <c r="S11" i="4"/>
  <c r="AN11" i="4" s="1"/>
  <c r="S12" i="4"/>
  <c r="AN12" i="4" s="1"/>
  <c r="S13" i="4"/>
  <c r="AN13" i="4" s="1"/>
  <c r="S14" i="4"/>
  <c r="AN14" i="4" s="1"/>
  <c r="S15" i="4"/>
  <c r="AN15" i="4" s="1"/>
  <c r="S16" i="4"/>
  <c r="AN16" i="4" s="1"/>
  <c r="S17" i="4"/>
  <c r="AN17" i="4" s="1"/>
  <c r="S18" i="4"/>
  <c r="AN18" i="4" s="1"/>
  <c r="S19" i="4"/>
  <c r="AN19" i="4" s="1"/>
  <c r="S20" i="4"/>
  <c r="AN20" i="4" s="1"/>
  <c r="S21" i="4"/>
  <c r="AN21" i="4" s="1"/>
  <c r="S22" i="4"/>
  <c r="AN22" i="4" s="1"/>
  <c r="S23" i="4"/>
  <c r="AN23" i="4" s="1"/>
  <c r="S24" i="4"/>
  <c r="AN24" i="4" s="1"/>
  <c r="S25" i="4"/>
  <c r="AN25" i="4" s="1"/>
  <c r="S26" i="4"/>
  <c r="AN26" i="4" s="1"/>
  <c r="S27" i="4"/>
  <c r="AN27" i="4" s="1"/>
  <c r="S28" i="4"/>
  <c r="AN28" i="4" s="1"/>
  <c r="S29" i="4"/>
  <c r="AN29" i="4" s="1"/>
  <c r="S30" i="4"/>
  <c r="AN30" i="4" s="1"/>
  <c r="S31" i="4"/>
  <c r="AN31" i="4" s="1"/>
  <c r="S32" i="4"/>
  <c r="AN32" i="4" s="1"/>
  <c r="S33" i="4"/>
  <c r="AN33" i="4" s="1"/>
  <c r="S34" i="4"/>
  <c r="AN34" i="4" s="1"/>
  <c r="S35" i="4"/>
  <c r="AN35" i="4" s="1"/>
  <c r="S36" i="4"/>
  <c r="AN36" i="4" s="1"/>
  <c r="S37" i="4"/>
  <c r="AN37" i="4" s="1"/>
  <c r="S38" i="4"/>
  <c r="AN38" i="4" s="1"/>
  <c r="S39" i="4"/>
  <c r="AN39" i="4" s="1"/>
  <c r="S40" i="4"/>
  <c r="AN40" i="4" s="1"/>
  <c r="S41" i="4"/>
  <c r="AN41" i="4" s="1"/>
  <c r="S42" i="4"/>
  <c r="AN42" i="4" s="1"/>
  <c r="S43" i="4"/>
  <c r="AN43" i="4" s="1"/>
  <c r="S44" i="4"/>
  <c r="AN44" i="4" s="1"/>
  <c r="S45" i="4"/>
  <c r="AN45" i="4" s="1"/>
  <c r="S46" i="4"/>
  <c r="AN46" i="4" s="1"/>
  <c r="S47" i="4"/>
  <c r="AN47" i="4" s="1"/>
  <c r="S48" i="4"/>
  <c r="AN48" i="4" s="1"/>
  <c r="S49" i="4"/>
  <c r="AN49" i="4" s="1"/>
  <c r="S50" i="4"/>
  <c r="AN50" i="4" s="1"/>
  <c r="S51" i="4"/>
  <c r="AN51" i="4" s="1"/>
  <c r="S52" i="4"/>
  <c r="AN52" i="4" s="1"/>
  <c r="S53" i="4"/>
  <c r="AN53" i="4" s="1"/>
  <c r="S54" i="4"/>
  <c r="AN54" i="4" s="1"/>
  <c r="S55" i="4"/>
  <c r="AN55" i="4" s="1"/>
  <c r="S56" i="4"/>
  <c r="AN56" i="4" s="1"/>
  <c r="S57" i="4"/>
  <c r="AN57" i="4" s="1"/>
  <c r="S58" i="4"/>
  <c r="AN58" i="4" s="1"/>
  <c r="S59" i="4"/>
  <c r="AN59" i="4" s="1"/>
  <c r="S60" i="4"/>
  <c r="AN60" i="4" s="1"/>
  <c r="S61" i="4"/>
  <c r="AN61" i="4" s="1"/>
  <c r="S62" i="4"/>
  <c r="AN62" i="4" s="1"/>
  <c r="S63" i="4"/>
  <c r="AN63" i="4" s="1"/>
  <c r="S64" i="4"/>
  <c r="AN64" i="4" s="1"/>
  <c r="S65" i="4"/>
  <c r="AN65" i="4" s="1"/>
  <c r="S66" i="4"/>
  <c r="AN66" i="4" s="1"/>
  <c r="S67" i="4"/>
  <c r="AN67" i="4" s="1"/>
  <c r="S68" i="4"/>
  <c r="AN68" i="4" s="1"/>
  <c r="S69" i="4"/>
  <c r="AN69" i="4" s="1"/>
  <c r="S70" i="4"/>
  <c r="AN70" i="4" s="1"/>
  <c r="S71" i="4"/>
  <c r="AN71" i="4" s="1"/>
  <c r="S72" i="4"/>
  <c r="AN72" i="4" s="1"/>
  <c r="S73" i="4"/>
  <c r="AN73" i="4" s="1"/>
  <c r="S74" i="4"/>
  <c r="AN74" i="4" s="1"/>
  <c r="S75" i="4"/>
  <c r="AN75" i="4" s="1"/>
  <c r="S76" i="4"/>
  <c r="AN76" i="4" s="1"/>
  <c r="S77" i="4"/>
  <c r="AN77" i="4" s="1"/>
  <c r="S78" i="4"/>
  <c r="AN78" i="4" s="1"/>
  <c r="S79" i="4"/>
  <c r="AN79" i="4" s="1"/>
  <c r="S80" i="4"/>
  <c r="AN80" i="4" s="1"/>
  <c r="S81" i="4"/>
  <c r="AN81" i="4" s="1"/>
  <c r="S82" i="4"/>
  <c r="AN82" i="4" s="1"/>
  <c r="S83" i="4"/>
  <c r="AN83" i="4" s="1"/>
  <c r="S84" i="4"/>
  <c r="AN84" i="4" s="1"/>
  <c r="Q57" i="4"/>
  <c r="AQ57" i="4" s="1"/>
  <c r="R57" i="4"/>
  <c r="AR57" i="4" s="1"/>
  <c r="Q58" i="4"/>
  <c r="AQ58" i="4" s="1"/>
  <c r="R58" i="4"/>
  <c r="AR58" i="4" s="1"/>
  <c r="Q59" i="4"/>
  <c r="AQ59" i="4" s="1"/>
  <c r="R59" i="4"/>
  <c r="AR59" i="4" s="1"/>
  <c r="Q60" i="4"/>
  <c r="AQ60" i="4" s="1"/>
  <c r="R60" i="4"/>
  <c r="AR60" i="4" s="1"/>
  <c r="Q61" i="4"/>
  <c r="AQ61" i="4" s="1"/>
  <c r="R61" i="4"/>
  <c r="AR61" i="4" s="1"/>
  <c r="Q62" i="4"/>
  <c r="R62" i="4"/>
  <c r="AR62" i="4" s="1"/>
  <c r="Q63" i="4"/>
  <c r="AQ63" i="4" s="1"/>
  <c r="R63" i="4"/>
  <c r="AR63" i="4" s="1"/>
  <c r="Q64" i="4"/>
  <c r="AQ64" i="4" s="1"/>
  <c r="R64" i="4"/>
  <c r="AR64" i="4" s="1"/>
  <c r="Q65" i="4"/>
  <c r="AQ65" i="4" s="1"/>
  <c r="R65" i="4"/>
  <c r="AR65" i="4" s="1"/>
  <c r="Q66" i="4"/>
  <c r="AQ66" i="4" s="1"/>
  <c r="R66" i="4"/>
  <c r="AR66" i="4" s="1"/>
  <c r="Q67" i="4"/>
  <c r="AQ67" i="4" s="1"/>
  <c r="R67" i="4"/>
  <c r="AR67" i="4" s="1"/>
  <c r="Q68" i="4"/>
  <c r="AQ68" i="4" s="1"/>
  <c r="R68" i="4"/>
  <c r="Q69" i="4"/>
  <c r="AQ69" i="4" s="1"/>
  <c r="R69" i="4"/>
  <c r="AR69" i="4" s="1"/>
  <c r="Q70" i="4"/>
  <c r="AQ70" i="4" s="1"/>
  <c r="R70" i="4"/>
  <c r="AR70" i="4" s="1"/>
  <c r="Q71" i="4"/>
  <c r="AQ71" i="4" s="1"/>
  <c r="R71" i="4"/>
  <c r="AR71" i="4" s="1"/>
  <c r="Q72" i="4"/>
  <c r="AQ72" i="4" s="1"/>
  <c r="R72" i="4"/>
  <c r="AR72" i="4" s="1"/>
  <c r="Q73" i="4"/>
  <c r="AQ73" i="4" s="1"/>
  <c r="R73" i="4"/>
  <c r="AR73" i="4" s="1"/>
  <c r="Q74" i="4"/>
  <c r="AQ74" i="4" s="1"/>
  <c r="R74" i="4"/>
  <c r="AR74" i="4" s="1"/>
  <c r="Q75" i="4"/>
  <c r="AQ75" i="4" s="1"/>
  <c r="R75" i="4"/>
  <c r="AR75" i="4" s="1"/>
  <c r="Q76" i="4"/>
  <c r="AQ76" i="4" s="1"/>
  <c r="R76" i="4"/>
  <c r="AR76" i="4" s="1"/>
  <c r="Q77" i="4"/>
  <c r="AQ77" i="4" s="1"/>
  <c r="R77" i="4"/>
  <c r="AR77" i="4" s="1"/>
  <c r="Q78" i="4"/>
  <c r="AQ78" i="4" s="1"/>
  <c r="R78" i="4"/>
  <c r="AR78" i="4" s="1"/>
  <c r="Q79" i="4"/>
  <c r="AQ79" i="4" s="1"/>
  <c r="R79" i="4"/>
  <c r="AR79" i="4" s="1"/>
  <c r="Q80" i="4"/>
  <c r="AQ80" i="4" s="1"/>
  <c r="R80" i="4"/>
  <c r="AR80" i="4" s="1"/>
  <c r="Q81" i="4"/>
  <c r="AQ81" i="4" s="1"/>
  <c r="R81" i="4"/>
  <c r="AR81" i="4" s="1"/>
  <c r="Q82" i="4"/>
  <c r="AQ82" i="4" s="1"/>
  <c r="R82" i="4"/>
  <c r="AR82" i="4" s="1"/>
  <c r="Q83" i="4"/>
  <c r="AQ83" i="4" s="1"/>
  <c r="R83" i="4"/>
  <c r="AR83" i="4" s="1"/>
  <c r="Q84" i="4"/>
  <c r="AQ84" i="4" s="1"/>
  <c r="R84" i="4"/>
  <c r="Q7" i="4"/>
  <c r="AQ7" i="4" s="1"/>
  <c r="R7" i="4"/>
  <c r="Q8" i="4"/>
  <c r="AQ8" i="4" s="1"/>
  <c r="R8" i="4"/>
  <c r="AR8" i="4" s="1"/>
  <c r="Q9" i="4"/>
  <c r="AQ9" i="4" s="1"/>
  <c r="R9" i="4"/>
  <c r="AR9" i="4" s="1"/>
  <c r="Q10" i="4"/>
  <c r="R10" i="4"/>
  <c r="AR10" i="4" s="1"/>
  <c r="Q11" i="4"/>
  <c r="AQ11" i="4" s="1"/>
  <c r="R11" i="4"/>
  <c r="AR11" i="4" s="1"/>
  <c r="Q12" i="4"/>
  <c r="AQ12" i="4" s="1"/>
  <c r="R12" i="4"/>
  <c r="AR12" i="4" s="1"/>
  <c r="Q13" i="4"/>
  <c r="AQ13" i="4" s="1"/>
  <c r="R13" i="4"/>
  <c r="AR13" i="4" s="1"/>
  <c r="Q14" i="4"/>
  <c r="AQ14" i="4" s="1"/>
  <c r="R14" i="4"/>
  <c r="AR14" i="4" s="1"/>
  <c r="Q15" i="4"/>
  <c r="AQ15" i="4" s="1"/>
  <c r="R15" i="4"/>
  <c r="Q16" i="4"/>
  <c r="AQ16" i="4" s="1"/>
  <c r="R16" i="4"/>
  <c r="AR16" i="4" s="1"/>
  <c r="Q17" i="4"/>
  <c r="AQ17" i="4" s="1"/>
  <c r="R17" i="4"/>
  <c r="AR17" i="4" s="1"/>
  <c r="Q18" i="4"/>
  <c r="R18" i="4"/>
  <c r="AR18" i="4" s="1"/>
  <c r="Q19" i="4"/>
  <c r="AQ19" i="4" s="1"/>
  <c r="R19" i="4"/>
  <c r="AR19" i="4" s="1"/>
  <c r="Q20" i="4"/>
  <c r="AQ20" i="4" s="1"/>
  <c r="R20" i="4"/>
  <c r="Q21" i="4"/>
  <c r="AQ21" i="4" s="1"/>
  <c r="R21" i="4"/>
  <c r="AR21" i="4" s="1"/>
  <c r="Q22" i="4"/>
  <c r="AQ22" i="4" s="1"/>
  <c r="R22" i="4"/>
  <c r="AR22" i="4" s="1"/>
  <c r="Q23" i="4"/>
  <c r="AQ23" i="4" s="1"/>
  <c r="R23" i="4"/>
  <c r="Q24" i="4"/>
  <c r="AQ24" i="4" s="1"/>
  <c r="R24" i="4"/>
  <c r="AR24" i="4" s="1"/>
  <c r="Q25" i="4"/>
  <c r="AQ25" i="4" s="1"/>
  <c r="R25" i="4"/>
  <c r="AR25" i="4" s="1"/>
  <c r="Q26" i="4"/>
  <c r="R26" i="4"/>
  <c r="AR26" i="4" s="1"/>
  <c r="Q27" i="4"/>
  <c r="AQ27" i="4" s="1"/>
  <c r="R27" i="4"/>
  <c r="AR27" i="4" s="1"/>
  <c r="Q28" i="4"/>
  <c r="AQ28" i="4" s="1"/>
  <c r="R28" i="4"/>
  <c r="AR28" i="4" s="1"/>
  <c r="Q29" i="4"/>
  <c r="AQ29" i="4" s="1"/>
  <c r="R29" i="4"/>
  <c r="AR29" i="4" s="1"/>
  <c r="Q30" i="4"/>
  <c r="AQ30" i="4" s="1"/>
  <c r="R30" i="4"/>
  <c r="AR30" i="4" s="1"/>
  <c r="Q31" i="4"/>
  <c r="AQ31" i="4" s="1"/>
  <c r="R31" i="4"/>
  <c r="Q32" i="4"/>
  <c r="AQ32" i="4" s="1"/>
  <c r="R32" i="4"/>
  <c r="AR32" i="4" s="1"/>
  <c r="Q33" i="4"/>
  <c r="AQ33" i="4" s="1"/>
  <c r="R33" i="4"/>
  <c r="AR33" i="4" s="1"/>
  <c r="Q34" i="4"/>
  <c r="R34" i="4"/>
  <c r="AR34" i="4" s="1"/>
  <c r="Q35" i="4"/>
  <c r="AQ35" i="4" s="1"/>
  <c r="R35" i="4"/>
  <c r="AR35" i="4" s="1"/>
  <c r="Q36" i="4"/>
  <c r="AQ36" i="4" s="1"/>
  <c r="R36" i="4"/>
  <c r="Q37" i="4"/>
  <c r="AQ37" i="4" s="1"/>
  <c r="R37" i="4"/>
  <c r="AR37" i="4" s="1"/>
  <c r="Q38" i="4"/>
  <c r="AQ38" i="4" s="1"/>
  <c r="R38" i="4"/>
  <c r="AR38" i="4" s="1"/>
  <c r="Q39" i="4"/>
  <c r="AQ39" i="4" s="1"/>
  <c r="R39" i="4"/>
  <c r="Q40" i="4"/>
  <c r="AQ40" i="4" s="1"/>
  <c r="R40" i="4"/>
  <c r="AR40" i="4" s="1"/>
  <c r="Q41" i="4"/>
  <c r="AQ41" i="4" s="1"/>
  <c r="R41" i="4"/>
  <c r="AR41" i="4" s="1"/>
  <c r="Q42" i="4"/>
  <c r="R42" i="4"/>
  <c r="AR42" i="4" s="1"/>
  <c r="Q43" i="4"/>
  <c r="AQ43" i="4" s="1"/>
  <c r="R43" i="4"/>
  <c r="AR43" i="4" s="1"/>
  <c r="Q44" i="4"/>
  <c r="AQ44" i="4" s="1"/>
  <c r="R44" i="4"/>
  <c r="AR44" i="4" s="1"/>
  <c r="Q45" i="4"/>
  <c r="AQ45" i="4" s="1"/>
  <c r="R45" i="4"/>
  <c r="AR45" i="4" s="1"/>
  <c r="Q46" i="4"/>
  <c r="AQ46" i="4" s="1"/>
  <c r="R46" i="4"/>
  <c r="AR46" i="4" s="1"/>
  <c r="Q47" i="4"/>
  <c r="AQ47" i="4" s="1"/>
  <c r="R47" i="4"/>
  <c r="Q48" i="4"/>
  <c r="AQ48" i="4" s="1"/>
  <c r="R48" i="4"/>
  <c r="AR48" i="4" s="1"/>
  <c r="Q49" i="4"/>
  <c r="AQ49" i="4" s="1"/>
  <c r="R49" i="4"/>
  <c r="AR49" i="4" s="1"/>
  <c r="Q50" i="4"/>
  <c r="R50" i="4"/>
  <c r="AR50" i="4" s="1"/>
  <c r="Q51" i="4"/>
  <c r="AQ51" i="4" s="1"/>
  <c r="R51" i="4"/>
  <c r="AR51" i="4" s="1"/>
  <c r="Q52" i="4"/>
  <c r="AQ52" i="4" s="1"/>
  <c r="R52" i="4"/>
  <c r="Q53" i="4"/>
  <c r="AQ53" i="4" s="1"/>
  <c r="R53" i="4"/>
  <c r="AR53" i="4" s="1"/>
  <c r="Q54" i="4"/>
  <c r="AQ54" i="4" s="1"/>
  <c r="R54" i="4"/>
  <c r="AR54" i="4" s="1"/>
  <c r="Q55" i="4"/>
  <c r="AQ55" i="4" s="1"/>
  <c r="R55" i="4"/>
  <c r="Q56" i="4"/>
  <c r="AQ56" i="4" s="1"/>
  <c r="R56" i="4"/>
  <c r="AR56" i="4" s="1"/>
  <c r="R3" i="4"/>
  <c r="AR3" i="4" s="1"/>
  <c r="R4" i="4"/>
  <c r="R5" i="4"/>
  <c r="AR5" i="4" s="1"/>
  <c r="R6" i="4"/>
  <c r="AR6" i="4" s="1"/>
  <c r="Q3" i="4"/>
  <c r="AQ3" i="4" s="1"/>
  <c r="Q4" i="4"/>
  <c r="AQ4" i="4" s="1"/>
  <c r="Q5" i="4"/>
  <c r="AQ5" i="4" s="1"/>
  <c r="Q6" i="4"/>
  <c r="AQ6" i="4" s="1"/>
  <c r="W38" i="1"/>
  <c r="W39" i="1"/>
  <c r="W40" i="1"/>
  <c r="W37" i="1"/>
  <c r="S38" i="1"/>
  <c r="S39" i="1"/>
  <c r="S40" i="1"/>
  <c r="S37" i="1"/>
  <c r="Y33" i="1"/>
  <c r="Y32" i="1"/>
  <c r="AH1306" i="4" l="1"/>
  <c r="AI1306" i="4" s="1"/>
  <c r="AH1298" i="4"/>
  <c r="AI1298" i="4" s="1"/>
  <c r="AH1290" i="4"/>
  <c r="AI1290" i="4" s="1"/>
  <c r="AH1282" i="4"/>
  <c r="AI1282" i="4" s="1"/>
  <c r="AH1274" i="4"/>
  <c r="AI1274" i="4" s="1"/>
  <c r="AH1266" i="4"/>
  <c r="AI1266" i="4" s="1"/>
  <c r="AH1258" i="4"/>
  <c r="AI1258" i="4" s="1"/>
  <c r="AH1250" i="4"/>
  <c r="AI1250" i="4" s="1"/>
  <c r="AH1242" i="4"/>
  <c r="AI1242" i="4" s="1"/>
  <c r="AH1234" i="4"/>
  <c r="AI1234" i="4" s="1"/>
  <c r="AH1226" i="4"/>
  <c r="AI1226" i="4" s="1"/>
  <c r="AH1218" i="4"/>
  <c r="AI1218" i="4" s="1"/>
  <c r="AH1210" i="4"/>
  <c r="AI1210" i="4" s="1"/>
  <c r="AH1110" i="4"/>
  <c r="AI1110" i="4" s="1"/>
  <c r="AH1106" i="4"/>
  <c r="AI1106" i="4" s="1"/>
  <c r="AL42" i="4"/>
  <c r="AQ42" i="4"/>
  <c r="AL18" i="4"/>
  <c r="AQ18" i="4"/>
  <c r="AG4" i="4"/>
  <c r="AR4" i="4"/>
  <c r="AM55" i="4"/>
  <c r="AR55" i="4"/>
  <c r="AG52" i="4"/>
  <c r="AR52" i="4"/>
  <c r="AM47" i="4"/>
  <c r="AR47" i="4"/>
  <c r="AM39" i="4"/>
  <c r="AR39" i="4"/>
  <c r="AG36" i="4"/>
  <c r="AR36" i="4"/>
  <c r="AM31" i="4"/>
  <c r="AR31" i="4"/>
  <c r="AM23" i="4"/>
  <c r="AR23" i="4"/>
  <c r="AG20" i="4"/>
  <c r="AR20" i="4"/>
  <c r="AM15" i="4"/>
  <c r="AR15" i="4"/>
  <c r="AM7" i="4"/>
  <c r="AR7" i="4"/>
  <c r="AG84" i="4"/>
  <c r="AR84" i="4"/>
  <c r="AG68" i="4"/>
  <c r="AR68" i="4"/>
  <c r="AG189" i="4"/>
  <c r="AR189" i="4"/>
  <c r="AG187" i="4"/>
  <c r="AR187" i="4"/>
  <c r="AF186" i="4"/>
  <c r="AQ186" i="4"/>
  <c r="AG185" i="4"/>
  <c r="AR185" i="4"/>
  <c r="AF184" i="4"/>
  <c r="AQ184" i="4"/>
  <c r="AG183" i="4"/>
  <c r="AR183" i="4"/>
  <c r="AF182" i="4"/>
  <c r="AQ182" i="4"/>
  <c r="AG181" i="4"/>
  <c r="AR181" i="4"/>
  <c r="AF180" i="4"/>
  <c r="AQ180" i="4"/>
  <c r="AG179" i="4"/>
  <c r="AR179" i="4"/>
  <c r="AF178" i="4"/>
  <c r="AQ178" i="4"/>
  <c r="AG177" i="4"/>
  <c r="AR177" i="4"/>
  <c r="AF176" i="4"/>
  <c r="AQ176" i="4"/>
  <c r="AG175" i="4"/>
  <c r="AR175" i="4"/>
  <c r="AF174" i="4"/>
  <c r="AQ174" i="4"/>
  <c r="AG173" i="4"/>
  <c r="AR173" i="4"/>
  <c r="AF172" i="4"/>
  <c r="AQ172" i="4"/>
  <c r="AG171" i="4"/>
  <c r="AR171" i="4"/>
  <c r="AF170" i="4"/>
  <c r="AQ170" i="4"/>
  <c r="AG169" i="4"/>
  <c r="AR169" i="4"/>
  <c r="AF168" i="4"/>
  <c r="AQ168" i="4"/>
  <c r="AG167" i="4"/>
  <c r="AR167" i="4"/>
  <c r="AF166" i="4"/>
  <c r="AQ166" i="4"/>
  <c r="AG165" i="4"/>
  <c r="AR165" i="4"/>
  <c r="AL164" i="4"/>
  <c r="AQ164" i="4"/>
  <c r="AG163" i="4"/>
  <c r="AR163" i="4"/>
  <c r="AF162" i="4"/>
  <c r="AQ162" i="4"/>
  <c r="AG161" i="4"/>
  <c r="AR161" i="4"/>
  <c r="AF160" i="4"/>
  <c r="AQ160" i="4"/>
  <c r="AG159" i="4"/>
  <c r="AR159" i="4"/>
  <c r="AF158" i="4"/>
  <c r="AQ158" i="4"/>
  <c r="AG157" i="4"/>
  <c r="AR157" i="4"/>
  <c r="AL156" i="4"/>
  <c r="AQ156" i="4"/>
  <c r="AG155" i="4"/>
  <c r="AR155" i="4"/>
  <c r="AF154" i="4"/>
  <c r="AQ154" i="4"/>
  <c r="AG153" i="4"/>
  <c r="AR153" i="4"/>
  <c r="AL102" i="4"/>
  <c r="AQ102" i="4"/>
  <c r="AL94" i="4"/>
  <c r="AQ94" i="4"/>
  <c r="AL86" i="4"/>
  <c r="AQ86" i="4"/>
  <c r="AE189" i="4"/>
  <c r="AP189" i="4"/>
  <c r="AE187" i="4"/>
  <c r="AP187" i="4"/>
  <c r="AE185" i="4"/>
  <c r="AP185" i="4"/>
  <c r="AE183" i="4"/>
  <c r="AP183" i="4"/>
  <c r="AE181" i="4"/>
  <c r="AP181" i="4"/>
  <c r="AE177" i="4"/>
  <c r="AP177" i="4"/>
  <c r="AE175" i="4"/>
  <c r="AP175" i="4"/>
  <c r="AE173" i="4"/>
  <c r="AP173" i="4"/>
  <c r="AE169" i="4"/>
  <c r="AP169" i="4"/>
  <c r="AE167" i="4"/>
  <c r="AP167" i="4"/>
  <c r="AE165" i="4"/>
  <c r="AP165" i="4"/>
  <c r="AE161" i="4"/>
  <c r="AP161" i="4"/>
  <c r="AE159" i="4"/>
  <c r="AP159" i="4"/>
  <c r="AE157" i="4"/>
  <c r="AP157" i="4"/>
  <c r="AE153" i="4"/>
  <c r="AP153" i="4"/>
  <c r="AE151" i="4"/>
  <c r="AP151" i="4"/>
  <c r="AE149" i="4"/>
  <c r="AP149" i="4"/>
  <c r="AE145" i="4"/>
  <c r="AP145" i="4"/>
  <c r="AK55" i="4"/>
  <c r="AP55" i="4"/>
  <c r="AK53" i="4"/>
  <c r="AP53" i="4"/>
  <c r="AK49" i="4"/>
  <c r="AP49" i="4"/>
  <c r="AK47" i="4"/>
  <c r="AP47" i="4"/>
  <c r="AK45" i="4"/>
  <c r="AP45" i="4"/>
  <c r="AK41" i="4"/>
  <c r="AP41" i="4"/>
  <c r="AK39" i="4"/>
  <c r="AP39" i="4"/>
  <c r="AK37" i="4"/>
  <c r="AP37" i="4"/>
  <c r="AK33" i="4"/>
  <c r="AP33" i="4"/>
  <c r="AK31" i="4"/>
  <c r="AP31" i="4"/>
  <c r="AK29" i="4"/>
  <c r="AP29" i="4"/>
  <c r="AK25" i="4"/>
  <c r="AP25" i="4"/>
  <c r="AK23" i="4"/>
  <c r="AP23" i="4"/>
  <c r="AK21" i="4"/>
  <c r="AP21" i="4"/>
  <c r="AK17" i="4"/>
  <c r="AP17" i="4"/>
  <c r="AK15" i="4"/>
  <c r="AP15" i="4"/>
  <c r="AK13" i="4"/>
  <c r="AP13" i="4"/>
  <c r="AK9" i="4"/>
  <c r="AP9" i="4"/>
  <c r="AK6" i="4"/>
  <c r="AP6" i="4"/>
  <c r="AK4" i="4"/>
  <c r="AP4" i="4"/>
  <c r="AF156" i="4"/>
  <c r="AE53" i="4"/>
  <c r="AK167" i="4"/>
  <c r="AL1593" i="4"/>
  <c r="AK1589" i="4"/>
  <c r="AG1589" i="4"/>
  <c r="AE1587" i="4"/>
  <c r="AL1585" i="4"/>
  <c r="AK1581" i="4"/>
  <c r="AG1581" i="4"/>
  <c r="AE1579" i="4"/>
  <c r="AL1577" i="4"/>
  <c r="AK1573" i="4"/>
  <c r="AG1573" i="4"/>
  <c r="AE1571" i="4"/>
  <c r="AL1569" i="4"/>
  <c r="AK1565" i="4"/>
  <c r="AG1565" i="4"/>
  <c r="AE1563" i="4"/>
  <c r="AL1561" i="4"/>
  <c r="AK1557" i="4"/>
  <c r="AG1557" i="4"/>
  <c r="AE1555" i="4"/>
  <c r="AL1553" i="4"/>
  <c r="AK1549" i="4"/>
  <c r="AG1549" i="4"/>
  <c r="AE1547" i="4"/>
  <c r="AL1545" i="4"/>
  <c r="AK1541" i="4"/>
  <c r="AG1541" i="4"/>
  <c r="AE1539" i="4"/>
  <c r="AL1537" i="4"/>
  <c r="AK1533" i="4"/>
  <c r="AG1533" i="4"/>
  <c r="AE1531" i="4"/>
  <c r="AL1529" i="4"/>
  <c r="AK1525" i="4"/>
  <c r="AG1525" i="4"/>
  <c r="AE1523" i="4"/>
  <c r="AL1521" i="4"/>
  <c r="AK1517" i="4"/>
  <c r="AG1517" i="4"/>
  <c r="AE1515" i="4"/>
  <c r="AL1513" i="4"/>
  <c r="AK1509" i="4"/>
  <c r="AG1509" i="4"/>
  <c r="AE1507" i="4"/>
  <c r="AL1505" i="4"/>
  <c r="AK1501" i="4"/>
  <c r="AG1501" i="4"/>
  <c r="AE1499" i="4"/>
  <c r="AL1497" i="4"/>
  <c r="AK1493" i="4"/>
  <c r="AG1493" i="4"/>
  <c r="AE1491" i="4"/>
  <c r="AL1489" i="4"/>
  <c r="AK1485" i="4"/>
  <c r="AG1485" i="4"/>
  <c r="AE1483" i="4"/>
  <c r="AL1481" i="4"/>
  <c r="AL1475" i="4"/>
  <c r="AL1474" i="4"/>
  <c r="AK1472" i="4"/>
  <c r="AK1470" i="4"/>
  <c r="AK1469" i="4"/>
  <c r="AK1461" i="4"/>
  <c r="AM1458" i="4"/>
  <c r="AL1455" i="4"/>
  <c r="AL1451" i="4"/>
  <c r="AM1442" i="4"/>
  <c r="AK1437" i="4"/>
  <c r="AK1436" i="4"/>
  <c r="AK1429" i="4"/>
  <c r="AK1428" i="4"/>
  <c r="AF1424" i="4"/>
  <c r="AM1423" i="4"/>
  <c r="AE1423" i="4"/>
  <c r="AK1421" i="4"/>
  <c r="AK1420" i="4"/>
  <c r="AH1417" i="4"/>
  <c r="AI1417" i="4" s="1"/>
  <c r="AF1416" i="4"/>
  <c r="AM1415" i="4"/>
  <c r="AE1415" i="4"/>
  <c r="AH1415" i="4" s="1"/>
  <c r="AI1415" i="4" s="1"/>
  <c r="AK1413" i="4"/>
  <c r="AK1412" i="4"/>
  <c r="AH1409" i="4"/>
  <c r="AI1409" i="4" s="1"/>
  <c r="AF1408" i="4"/>
  <c r="AM1407" i="4"/>
  <c r="AE1407" i="4"/>
  <c r="AK1405" i="4"/>
  <c r="AK1404" i="4"/>
  <c r="AH1401" i="4"/>
  <c r="AI1401" i="4" s="1"/>
  <c r="AF1400" i="4"/>
  <c r="AM1399" i="4"/>
  <c r="AE1399" i="4"/>
  <c r="AH1399" i="4" s="1"/>
  <c r="AI1399" i="4" s="1"/>
  <c r="AK1397" i="4"/>
  <c r="AK1396" i="4"/>
  <c r="AH1393" i="4"/>
  <c r="AI1393" i="4" s="1"/>
  <c r="AF1392" i="4"/>
  <c r="AM1391" i="4"/>
  <c r="AE1391" i="4"/>
  <c r="AK1389" i="4"/>
  <c r="AK1388" i="4"/>
  <c r="AH1385" i="4"/>
  <c r="AI1385" i="4" s="1"/>
  <c r="AF1384" i="4"/>
  <c r="AM1383" i="4"/>
  <c r="AE1383" i="4"/>
  <c r="AH1383" i="4" s="1"/>
  <c r="AI1383" i="4" s="1"/>
  <c r="AK1381" i="4"/>
  <c r="AK1380" i="4"/>
  <c r="AH1377" i="4"/>
  <c r="AI1377" i="4" s="1"/>
  <c r="AF1376" i="4"/>
  <c r="AM1375" i="4"/>
  <c r="AE1375" i="4"/>
  <c r="AK1373" i="4"/>
  <c r="AK1372" i="4"/>
  <c r="AH1369" i="4"/>
  <c r="AI1369" i="4" s="1"/>
  <c r="AF1368" i="4"/>
  <c r="AM1367" i="4"/>
  <c r="AE1367" i="4"/>
  <c r="AH1367" i="4" s="1"/>
  <c r="AI1367" i="4" s="1"/>
  <c r="AK1365" i="4"/>
  <c r="AK1364" i="4"/>
  <c r="AH1361" i="4"/>
  <c r="AI1361" i="4" s="1"/>
  <c r="AF1360" i="4"/>
  <c r="AM1359" i="4"/>
  <c r="AE1359" i="4"/>
  <c r="AK1357" i="4"/>
  <c r="AK1356" i="4"/>
  <c r="AH1353" i="4"/>
  <c r="AI1353" i="4" s="1"/>
  <c r="AF1352" i="4"/>
  <c r="AM1351" i="4"/>
  <c r="AE1351" i="4"/>
  <c r="AH1351" i="4" s="1"/>
  <c r="AI1351" i="4" s="1"/>
  <c r="AK1349" i="4"/>
  <c r="AK1348" i="4"/>
  <c r="AL1345" i="4"/>
  <c r="AK1344" i="4"/>
  <c r="AM1340" i="4"/>
  <c r="AM1337" i="4"/>
  <c r="AE1337" i="4"/>
  <c r="AH1337" i="4" s="1"/>
  <c r="AI1337" i="4" s="1"/>
  <c r="AL1333" i="4"/>
  <c r="AF1330" i="4"/>
  <c r="AM1324" i="4"/>
  <c r="AK1322" i="4"/>
  <c r="AL1321" i="4"/>
  <c r="AM1316" i="4"/>
  <c r="AK1314" i="4"/>
  <c r="AL1313" i="4"/>
  <c r="AM1308" i="4"/>
  <c r="AK1306" i="4"/>
  <c r="AL1305" i="4"/>
  <c r="AM1300" i="4"/>
  <c r="AK1298" i="4"/>
  <c r="AL1297" i="4"/>
  <c r="AM1292" i="4"/>
  <c r="AK1290" i="4"/>
  <c r="AL1289" i="4"/>
  <c r="AM1284" i="4"/>
  <c r="AK1282" i="4"/>
  <c r="AL1281" i="4"/>
  <c r="AM1276" i="4"/>
  <c r="AK1274" i="4"/>
  <c r="AL1273" i="4"/>
  <c r="AM1268" i="4"/>
  <c r="AK1266" i="4"/>
  <c r="AL1265" i="4"/>
  <c r="AM1260" i="4"/>
  <c r="AK1258" i="4"/>
  <c r="AL1257" i="4"/>
  <c r="AM1252" i="4"/>
  <c r="AK1250" i="4"/>
  <c r="AL1249" i="4"/>
  <c r="AM1244" i="4"/>
  <c r="AK1242" i="4"/>
  <c r="AL1241" i="4"/>
  <c r="AM1236" i="4"/>
  <c r="AK1234" i="4"/>
  <c r="AL1233" i="4"/>
  <c r="AM1228" i="4"/>
  <c r="AK1226" i="4"/>
  <c r="AL1225" i="4"/>
  <c r="AM1220" i="4"/>
  <c r="AK1218" i="4"/>
  <c r="AL1217" i="4"/>
  <c r="AM1212" i="4"/>
  <c r="AK1210" i="4"/>
  <c r="AL1209" i="4"/>
  <c r="AL1205" i="4"/>
  <c r="AK1202" i="4"/>
  <c r="AG1202" i="4"/>
  <c r="AF1200" i="4"/>
  <c r="AL1197" i="4"/>
  <c r="AL1195" i="4"/>
  <c r="AG1193" i="4"/>
  <c r="AG1192" i="4"/>
  <c r="AE1190" i="4"/>
  <c r="AL1189" i="4"/>
  <c r="AL1187" i="4"/>
  <c r="AG1184" i="4"/>
  <c r="AE1182" i="4"/>
  <c r="AL1181" i="4"/>
  <c r="AL1179" i="4"/>
  <c r="AG1176" i="4"/>
  <c r="AE1174" i="4"/>
  <c r="AL1173" i="4"/>
  <c r="AL1171" i="4"/>
  <c r="AG1168" i="4"/>
  <c r="AE1166" i="4"/>
  <c r="AH1166" i="4" s="1"/>
  <c r="AI1166" i="4" s="1"/>
  <c r="AL1165" i="4"/>
  <c r="AL1163" i="4"/>
  <c r="AG1160" i="4"/>
  <c r="AE1158" i="4"/>
  <c r="AH1158" i="4" s="1"/>
  <c r="AI1158" i="4" s="1"/>
  <c r="AL1157" i="4"/>
  <c r="AL1155" i="4"/>
  <c r="AG1152" i="4"/>
  <c r="AE1150" i="4"/>
  <c r="AH1150" i="4" s="1"/>
  <c r="AI1150" i="4" s="1"/>
  <c r="AL1149" i="4"/>
  <c r="AL1147" i="4"/>
  <c r="AG1144" i="4"/>
  <c r="AE1142" i="4"/>
  <c r="AH1142" i="4" s="1"/>
  <c r="AI1142" i="4" s="1"/>
  <c r="AL1141" i="4"/>
  <c r="AL1139" i="4"/>
  <c r="AG1136" i="4"/>
  <c r="AE1134" i="4"/>
  <c r="AH1134" i="4" s="1"/>
  <c r="AI1134" i="4" s="1"/>
  <c r="AL1133" i="4"/>
  <c r="AL1131" i="4"/>
  <c r="AG1128" i="4"/>
  <c r="AE1126" i="4"/>
  <c r="AH1126" i="4" s="1"/>
  <c r="AI1126" i="4" s="1"/>
  <c r="AL1125" i="4"/>
  <c r="AL1123" i="4"/>
  <c r="AG1120" i="4"/>
  <c r="AE1118" i="4"/>
  <c r="AL1117" i="4"/>
  <c r="AK1115" i="4"/>
  <c r="AK1110" i="4"/>
  <c r="AE1109" i="4"/>
  <c r="AK1106" i="4"/>
  <c r="AL1104" i="4"/>
  <c r="AK1102" i="4"/>
  <c r="AK1095" i="4"/>
  <c r="AL1093" i="4"/>
  <c r="AK1092" i="4"/>
  <c r="AK1086" i="4"/>
  <c r="AK1079" i="4"/>
  <c r="AL1077" i="4"/>
  <c r="AK1076" i="4"/>
  <c r="AK1070" i="4"/>
  <c r="AK1063" i="4"/>
  <c r="AL1061" i="4"/>
  <c r="AK1060" i="4"/>
  <c r="AK1058" i="4"/>
  <c r="AG1058" i="4"/>
  <c r="AE1054" i="4"/>
  <c r="AK1054" i="4"/>
  <c r="AF1045" i="4"/>
  <c r="AL1045" i="4"/>
  <c r="AE1044" i="4"/>
  <c r="AK1044" i="4"/>
  <c r="AK1042" i="4"/>
  <c r="AG1042" i="4"/>
  <c r="AE1038" i="4"/>
  <c r="AK1038" i="4"/>
  <c r="AF1029" i="4"/>
  <c r="AL1029" i="4"/>
  <c r="AE1028" i="4"/>
  <c r="AK1028" i="4"/>
  <c r="AK1026" i="4"/>
  <c r="AG1026" i="4"/>
  <c r="AE1022" i="4"/>
  <c r="AK1022" i="4"/>
  <c r="AH1016" i="4"/>
  <c r="AI1016" i="4" s="1"/>
  <c r="AH960" i="4"/>
  <c r="AI960" i="4" s="1"/>
  <c r="AH944" i="4"/>
  <c r="AI944" i="4" s="1"/>
  <c r="AH928" i="4"/>
  <c r="AI928" i="4" s="1"/>
  <c r="AL50" i="4"/>
  <c r="AQ50" i="4"/>
  <c r="AL34" i="4"/>
  <c r="AQ34" i="4"/>
  <c r="AL26" i="4"/>
  <c r="AQ26" i="4"/>
  <c r="AL10" i="4"/>
  <c r="AQ10" i="4"/>
  <c r="N10" i="5" s="1"/>
  <c r="AL62" i="4"/>
  <c r="AQ62" i="4"/>
  <c r="AF189" i="4"/>
  <c r="AQ189" i="4"/>
  <c r="AG188" i="4"/>
  <c r="AR188" i="4"/>
  <c r="AF187" i="4"/>
  <c r="AQ187" i="4"/>
  <c r="AG186" i="4"/>
  <c r="AR186" i="4"/>
  <c r="AF185" i="4"/>
  <c r="AQ185" i="4"/>
  <c r="AG184" i="4"/>
  <c r="AR184" i="4"/>
  <c r="AF183" i="4"/>
  <c r="AQ183" i="4"/>
  <c r="AG182" i="4"/>
  <c r="AR182" i="4"/>
  <c r="AF181" i="4"/>
  <c r="AH181" i="4" s="1"/>
  <c r="AI181" i="4" s="1"/>
  <c r="AQ181" i="4"/>
  <c r="AG180" i="4"/>
  <c r="AR180" i="4"/>
  <c r="AF179" i="4"/>
  <c r="AQ179" i="4"/>
  <c r="AG178" i="4"/>
  <c r="AR178" i="4"/>
  <c r="AF177" i="4"/>
  <c r="AQ177" i="4"/>
  <c r="AG176" i="4"/>
  <c r="AR176" i="4"/>
  <c r="AF175" i="4"/>
  <c r="AQ175" i="4"/>
  <c r="AG174" i="4"/>
  <c r="AR174" i="4"/>
  <c r="AF173" i="4"/>
  <c r="AH173" i="4" s="1"/>
  <c r="AI173" i="4" s="1"/>
  <c r="AQ173" i="4"/>
  <c r="AG172" i="4"/>
  <c r="AR172" i="4"/>
  <c r="AF171" i="4"/>
  <c r="AQ171" i="4"/>
  <c r="AG170" i="4"/>
  <c r="AR170" i="4"/>
  <c r="AF169" i="4"/>
  <c r="AQ169" i="4"/>
  <c r="AG168" i="4"/>
  <c r="AR168" i="4"/>
  <c r="AF167" i="4"/>
  <c r="AQ167" i="4"/>
  <c r="AG166" i="4"/>
  <c r="AR166" i="4"/>
  <c r="AF165" i="4"/>
  <c r="AH165" i="4" s="1"/>
  <c r="AI165" i="4" s="1"/>
  <c r="AQ165" i="4"/>
  <c r="AG164" i="4"/>
  <c r="AR164" i="4"/>
  <c r="AF163" i="4"/>
  <c r="AQ163" i="4"/>
  <c r="AG162" i="4"/>
  <c r="AR162" i="4"/>
  <c r="AF161" i="4"/>
  <c r="AQ161" i="4"/>
  <c r="AG160" i="4"/>
  <c r="AR160" i="4"/>
  <c r="AF159" i="4"/>
  <c r="AQ159" i="4"/>
  <c r="AG158" i="4"/>
  <c r="AR158" i="4"/>
  <c r="AF157" i="4"/>
  <c r="AH157" i="4" s="1"/>
  <c r="AI157" i="4" s="1"/>
  <c r="AQ157" i="4"/>
  <c r="AG156" i="4"/>
  <c r="AR156" i="4"/>
  <c r="AF155" i="4"/>
  <c r="AQ155" i="4"/>
  <c r="AG154" i="4"/>
  <c r="AR154" i="4"/>
  <c r="AF153" i="4"/>
  <c r="AQ153" i="4"/>
  <c r="AG144" i="4"/>
  <c r="AR144" i="4"/>
  <c r="AG132" i="4"/>
  <c r="AR132" i="4"/>
  <c r="AG116" i="4"/>
  <c r="AR116" i="4"/>
  <c r="AG104" i="4"/>
  <c r="AR104" i="4"/>
  <c r="AG100" i="4"/>
  <c r="AR100" i="4"/>
  <c r="AG96" i="4"/>
  <c r="AR96" i="4"/>
  <c r="AG92" i="4"/>
  <c r="AR92" i="4"/>
  <c r="AG88" i="4"/>
  <c r="AR88" i="4"/>
  <c r="AG86" i="4"/>
  <c r="AR86" i="4"/>
  <c r="O8" i="5" s="1"/>
  <c r="AE188" i="4"/>
  <c r="AP188" i="4"/>
  <c r="AE186" i="4"/>
  <c r="AP186" i="4"/>
  <c r="AK184" i="4"/>
  <c r="AP184" i="4"/>
  <c r="AE182" i="4"/>
  <c r="AP182" i="4"/>
  <c r="AE180" i="4"/>
  <c r="AP180" i="4"/>
  <c r="AE178" i="4"/>
  <c r="AP178" i="4"/>
  <c r="AK176" i="4"/>
  <c r="AP176" i="4"/>
  <c r="AE174" i="4"/>
  <c r="AP174" i="4"/>
  <c r="AE172" i="4"/>
  <c r="AP172" i="4"/>
  <c r="AE170" i="4"/>
  <c r="AP170" i="4"/>
  <c r="AK168" i="4"/>
  <c r="AP168" i="4"/>
  <c r="AE166" i="4"/>
  <c r="AP166" i="4"/>
  <c r="AE164" i="4"/>
  <c r="AP164" i="4"/>
  <c r="AE162" i="4"/>
  <c r="AP162" i="4"/>
  <c r="AE160" i="4"/>
  <c r="AP160" i="4"/>
  <c r="AE158" i="4"/>
  <c r="AP158" i="4"/>
  <c r="AE156" i="4"/>
  <c r="AP156" i="4"/>
  <c r="AE154" i="4"/>
  <c r="AP154" i="4"/>
  <c r="AE152" i="4"/>
  <c r="AP152" i="4"/>
  <c r="AE150" i="4"/>
  <c r="AP150" i="4"/>
  <c r="AE148" i="4"/>
  <c r="AP148" i="4"/>
  <c r="AE146" i="4"/>
  <c r="AP146" i="4"/>
  <c r="AE144" i="4"/>
  <c r="AP144" i="4"/>
  <c r="AK56" i="4"/>
  <c r="AP56" i="4"/>
  <c r="AK54" i="4"/>
  <c r="AP54" i="4"/>
  <c r="AK52" i="4"/>
  <c r="AP52" i="4"/>
  <c r="AK50" i="4"/>
  <c r="AP50" i="4"/>
  <c r="AK48" i="4"/>
  <c r="AP48" i="4"/>
  <c r="AK46" i="4"/>
  <c r="AP46" i="4"/>
  <c r="AK44" i="4"/>
  <c r="AP44" i="4"/>
  <c r="AK42" i="4"/>
  <c r="AP42" i="4"/>
  <c r="AK40" i="4"/>
  <c r="AP40" i="4"/>
  <c r="AK38" i="4"/>
  <c r="AP38" i="4"/>
  <c r="AK36" i="4"/>
  <c r="AP36" i="4"/>
  <c r="AK34" i="4"/>
  <c r="AP34" i="4"/>
  <c r="AK32" i="4"/>
  <c r="AP32" i="4"/>
  <c r="AK30" i="4"/>
  <c r="AP30" i="4"/>
  <c r="AK28" i="4"/>
  <c r="AP28" i="4"/>
  <c r="AK26" i="4"/>
  <c r="AP26" i="4"/>
  <c r="AK24" i="4"/>
  <c r="AP24" i="4"/>
  <c r="AK22" i="4"/>
  <c r="AP22" i="4"/>
  <c r="AK20" i="4"/>
  <c r="AP20" i="4"/>
  <c r="AK18" i="4"/>
  <c r="AP18" i="4"/>
  <c r="AK16" i="4"/>
  <c r="AP16" i="4"/>
  <c r="AK14" i="4"/>
  <c r="AP14" i="4"/>
  <c r="AK12" i="4"/>
  <c r="AP12" i="4"/>
  <c r="AK10" i="4"/>
  <c r="AP10" i="4"/>
  <c r="AK8" i="4"/>
  <c r="AP8" i="4"/>
  <c r="AK5" i="4"/>
  <c r="AP5" i="4"/>
  <c r="AK7" i="4"/>
  <c r="AP7" i="4"/>
  <c r="AH1593" i="4"/>
  <c r="AI1593" i="4" s="1"/>
  <c r="AH1589" i="4"/>
  <c r="AI1589" i="4" s="1"/>
  <c r="AH1585" i="4"/>
  <c r="AI1585" i="4" s="1"/>
  <c r="AH1581" i="4"/>
  <c r="AI1581" i="4" s="1"/>
  <c r="AH1577" i="4"/>
  <c r="AI1577" i="4" s="1"/>
  <c r="AH1573" i="4"/>
  <c r="AI1573" i="4" s="1"/>
  <c r="AH1569" i="4"/>
  <c r="AI1569" i="4" s="1"/>
  <c r="AH1565" i="4"/>
  <c r="AI1565" i="4" s="1"/>
  <c r="AH1561" i="4"/>
  <c r="AI1561" i="4" s="1"/>
  <c r="AH1557" i="4"/>
  <c r="AI1557" i="4" s="1"/>
  <c r="AH1553" i="4"/>
  <c r="AI1553" i="4" s="1"/>
  <c r="AH1549" i="4"/>
  <c r="AI1549" i="4" s="1"/>
  <c r="AH1545" i="4"/>
  <c r="AI1545" i="4" s="1"/>
  <c r="AH1541" i="4"/>
  <c r="AI1541" i="4" s="1"/>
  <c r="AH1537" i="4"/>
  <c r="AI1537" i="4" s="1"/>
  <c r="AH1533" i="4"/>
  <c r="AI1533" i="4" s="1"/>
  <c r="AH1529" i="4"/>
  <c r="AI1529" i="4" s="1"/>
  <c r="AH1525" i="4"/>
  <c r="AI1525" i="4" s="1"/>
  <c r="AH1521" i="4"/>
  <c r="AI1521" i="4" s="1"/>
  <c r="AH1517" i="4"/>
  <c r="AI1517" i="4" s="1"/>
  <c r="AH1513" i="4"/>
  <c r="AI1513" i="4" s="1"/>
  <c r="AH1509" i="4"/>
  <c r="AI1509" i="4" s="1"/>
  <c r="AH1505" i="4"/>
  <c r="AI1505" i="4" s="1"/>
  <c r="AH1501" i="4"/>
  <c r="AI1501" i="4" s="1"/>
  <c r="AH1497" i="4"/>
  <c r="AI1497" i="4" s="1"/>
  <c r="AH1493" i="4"/>
  <c r="AI1493" i="4" s="1"/>
  <c r="AH1489" i="4"/>
  <c r="AI1489" i="4" s="1"/>
  <c r="AH1485" i="4"/>
  <c r="AI1485" i="4" s="1"/>
  <c r="AH1481" i="4"/>
  <c r="AI1481" i="4" s="1"/>
  <c r="AH1477" i="4"/>
  <c r="AI1477" i="4" s="1"/>
  <c r="AH1455" i="4"/>
  <c r="AI1455" i="4" s="1"/>
  <c r="AH1416" i="4"/>
  <c r="AI1416" i="4" s="1"/>
  <c r="AH1408" i="4"/>
  <c r="AI1408" i="4" s="1"/>
  <c r="AH1400" i="4"/>
  <c r="AI1400" i="4" s="1"/>
  <c r="AH1392" i="4"/>
  <c r="AI1392" i="4" s="1"/>
  <c r="AH1384" i="4"/>
  <c r="AI1384" i="4" s="1"/>
  <c r="AH1376" i="4"/>
  <c r="AI1376" i="4" s="1"/>
  <c r="AH1368" i="4"/>
  <c r="AI1368" i="4" s="1"/>
  <c r="AH1360" i="4"/>
  <c r="AI1360" i="4" s="1"/>
  <c r="AH1352" i="4"/>
  <c r="AI1352" i="4" s="1"/>
  <c r="AH1345" i="4"/>
  <c r="AI1345" i="4" s="1"/>
  <c r="AH1267" i="4"/>
  <c r="AI1267" i="4" s="1"/>
  <c r="AH1257" i="4"/>
  <c r="AI1257" i="4" s="1"/>
  <c r="AH1244" i="4"/>
  <c r="AI1244" i="4" s="1"/>
  <c r="AH1235" i="4"/>
  <c r="AI1235" i="4" s="1"/>
  <c r="AH1225" i="4"/>
  <c r="AI1225" i="4" s="1"/>
  <c r="AH1212" i="4"/>
  <c r="AI1212" i="4" s="1"/>
  <c r="AH1202" i="4"/>
  <c r="AI1202" i="4" s="1"/>
  <c r="AH1197" i="4"/>
  <c r="AI1197" i="4" s="1"/>
  <c r="AH1189" i="4"/>
  <c r="AI1189" i="4" s="1"/>
  <c r="AH1181" i="4"/>
  <c r="AI1181" i="4" s="1"/>
  <c r="AH1175" i="4"/>
  <c r="AI1175" i="4" s="1"/>
  <c r="AH1173" i="4"/>
  <c r="AI1173" i="4" s="1"/>
  <c r="AH1168" i="4"/>
  <c r="AI1168" i="4" s="1"/>
  <c r="AH1167" i="4"/>
  <c r="AI1167" i="4" s="1"/>
  <c r="AH1165" i="4"/>
  <c r="AI1165" i="4" s="1"/>
  <c r="AH1160" i="4"/>
  <c r="AI1160" i="4" s="1"/>
  <c r="AH1159" i="4"/>
  <c r="AI1159" i="4" s="1"/>
  <c r="AH1157" i="4"/>
  <c r="AI1157" i="4" s="1"/>
  <c r="AH1152" i="4"/>
  <c r="AI1152" i="4" s="1"/>
  <c r="AH1151" i="4"/>
  <c r="AI1151" i="4" s="1"/>
  <c r="AH1149" i="4"/>
  <c r="AI1149" i="4" s="1"/>
  <c r="AH1144" i="4"/>
  <c r="AI1144" i="4" s="1"/>
  <c r="AH1143" i="4"/>
  <c r="AI1143" i="4" s="1"/>
  <c r="AH1141" i="4"/>
  <c r="AI1141" i="4" s="1"/>
  <c r="AH1136" i="4"/>
  <c r="AI1136" i="4" s="1"/>
  <c r="AH1135" i="4"/>
  <c r="AI1135" i="4" s="1"/>
  <c r="AH1133" i="4"/>
  <c r="AI1133" i="4" s="1"/>
  <c r="AH1127" i="4"/>
  <c r="AI1127" i="4" s="1"/>
  <c r="AH1125" i="4"/>
  <c r="AI1125" i="4" s="1"/>
  <c r="AH1120" i="4"/>
  <c r="AI1120" i="4" s="1"/>
  <c r="AH1119" i="4"/>
  <c r="AI1119" i="4" s="1"/>
  <c r="AH1118" i="4"/>
  <c r="AI1118" i="4" s="1"/>
  <c r="AH1117" i="4"/>
  <c r="AI1117" i="4" s="1"/>
  <c r="AH1116" i="4"/>
  <c r="AI1116" i="4" s="1"/>
  <c r="AH1111" i="4"/>
  <c r="AI1111" i="4" s="1"/>
  <c r="AH1104" i="4"/>
  <c r="AI1104" i="4" s="1"/>
  <c r="AE1047" i="4"/>
  <c r="AK1047" i="4"/>
  <c r="AE1031" i="4"/>
  <c r="AK1031" i="4"/>
  <c r="AE1015" i="4"/>
  <c r="AK1015" i="4"/>
  <c r="AH984" i="4"/>
  <c r="AI984" i="4" s="1"/>
  <c r="AL1013" i="4"/>
  <c r="AK1012" i="4"/>
  <c r="AK1006" i="4"/>
  <c r="AE1003" i="4"/>
  <c r="AK1001" i="4"/>
  <c r="AK1000" i="4"/>
  <c r="AE998" i="4"/>
  <c r="AF991" i="4"/>
  <c r="AL989" i="4"/>
  <c r="AH989" i="4"/>
  <c r="AI989" i="4" s="1"/>
  <c r="AG988" i="4"/>
  <c r="AK984" i="4"/>
  <c r="AG984" i="4"/>
  <c r="AL981" i="4"/>
  <c r="AE977" i="4"/>
  <c r="AH977" i="4" s="1"/>
  <c r="AI977" i="4" s="1"/>
  <c r="AM976" i="4"/>
  <c r="AK976" i="4"/>
  <c r="AK975" i="4"/>
  <c r="AL973" i="4"/>
  <c r="AF970" i="4"/>
  <c r="AM968" i="4"/>
  <c r="AK968" i="4"/>
  <c r="AE962" i="4"/>
  <c r="AE961" i="4"/>
  <c r="AM960" i="4"/>
  <c r="AK960" i="4"/>
  <c r="AK958" i="4"/>
  <c r="AF954" i="4"/>
  <c r="AL952" i="4"/>
  <c r="AG948" i="4"/>
  <c r="AM946" i="4"/>
  <c r="AE946" i="4"/>
  <c r="AE945" i="4"/>
  <c r="AM944" i="4"/>
  <c r="AK944" i="4"/>
  <c r="AK942" i="4"/>
  <c r="AF938" i="4"/>
  <c r="AL936" i="4"/>
  <c r="AG932" i="4"/>
  <c r="AM930" i="4"/>
  <c r="AE930" i="4"/>
  <c r="AE929" i="4"/>
  <c r="AM928" i="4"/>
  <c r="AK928" i="4"/>
  <c r="AK926" i="4"/>
  <c r="AM924" i="4"/>
  <c r="AR924" i="4"/>
  <c r="AL923" i="4"/>
  <c r="AQ923" i="4"/>
  <c r="AK922" i="4"/>
  <c r="AP922" i="4"/>
  <c r="AF921" i="4"/>
  <c r="AK921" i="4"/>
  <c r="AP921" i="4"/>
  <c r="AL920" i="4"/>
  <c r="AF920" i="4"/>
  <c r="AF919" i="4"/>
  <c r="AM915" i="4"/>
  <c r="AR915" i="4"/>
  <c r="AM914" i="4"/>
  <c r="AG914" i="4"/>
  <c r="AL914" i="4"/>
  <c r="AQ914" i="4"/>
  <c r="AG913" i="4"/>
  <c r="AM912" i="4"/>
  <c r="AK912" i="4"/>
  <c r="AG912" i="4"/>
  <c r="AE912" i="4"/>
  <c r="AH912" i="4" s="1"/>
  <c r="AI912" i="4" s="1"/>
  <c r="AE911" i="4"/>
  <c r="AK910" i="4"/>
  <c r="AE910" i="4"/>
  <c r="AM908" i="4"/>
  <c r="AR908" i="4"/>
  <c r="AL907" i="4"/>
  <c r="AQ907" i="4"/>
  <c r="AK906" i="4"/>
  <c r="AP906" i="4"/>
  <c r="AF905" i="4"/>
  <c r="AK905" i="4"/>
  <c r="AP905" i="4"/>
  <c r="AL904" i="4"/>
  <c r="AF904" i="4"/>
  <c r="AF903" i="4"/>
  <c r="AM899" i="4"/>
  <c r="AR899" i="4"/>
  <c r="AM898" i="4"/>
  <c r="AG898" i="4"/>
  <c r="AL898" i="4"/>
  <c r="AQ898" i="4"/>
  <c r="AG897" i="4"/>
  <c r="AM896" i="4"/>
  <c r="AK896" i="4"/>
  <c r="AG896" i="4"/>
  <c r="AE896" i="4"/>
  <c r="AH896" i="4" s="1"/>
  <c r="AI896" i="4" s="1"/>
  <c r="AE895" i="4"/>
  <c r="AK894" i="4"/>
  <c r="AE894" i="4"/>
  <c r="AL891" i="4"/>
  <c r="AM891" i="4"/>
  <c r="AR891" i="4"/>
  <c r="AK886" i="4"/>
  <c r="AE886" i="4"/>
  <c r="AL883" i="4"/>
  <c r="AM883" i="4"/>
  <c r="AR883" i="4"/>
  <c r="AK878" i="4"/>
  <c r="AE878" i="4"/>
  <c r="AL875" i="4"/>
  <c r="AM875" i="4"/>
  <c r="AR875" i="4"/>
  <c r="AK870" i="4"/>
  <c r="AE870" i="4"/>
  <c r="AL867" i="4"/>
  <c r="AM867" i="4"/>
  <c r="AR867" i="4"/>
  <c r="AK862" i="4"/>
  <c r="AE862" i="4"/>
  <c r="AL859" i="4"/>
  <c r="AM859" i="4"/>
  <c r="AR859" i="4"/>
  <c r="AK854" i="4"/>
  <c r="AE854" i="4"/>
  <c r="AL851" i="4"/>
  <c r="AM851" i="4"/>
  <c r="AR851" i="4"/>
  <c r="AK846" i="4"/>
  <c r="AE846" i="4"/>
  <c r="AL845" i="4"/>
  <c r="AM844" i="4"/>
  <c r="AK844" i="4"/>
  <c r="AG844" i="4"/>
  <c r="AE844" i="4"/>
  <c r="AE843" i="4"/>
  <c r="AK842" i="4"/>
  <c r="AE842" i="4"/>
  <c r="AF842" i="4"/>
  <c r="AQ842" i="4"/>
  <c r="AF841" i="4"/>
  <c r="AQ841" i="4"/>
  <c r="AK838" i="4"/>
  <c r="AP838" i="4"/>
  <c r="AF837" i="4"/>
  <c r="AK837" i="4"/>
  <c r="AP837" i="4"/>
  <c r="AM836" i="4"/>
  <c r="AK836" i="4"/>
  <c r="AG836" i="4"/>
  <c r="AE836" i="4"/>
  <c r="AF835" i="4"/>
  <c r="AG835" i="4"/>
  <c r="AR835" i="4"/>
  <c r="AK834" i="4"/>
  <c r="AE834" i="4"/>
  <c r="AF834" i="4"/>
  <c r="AQ834" i="4"/>
  <c r="AE833" i="4"/>
  <c r="AP833" i="4"/>
  <c r="AK830" i="4"/>
  <c r="AP830" i="4"/>
  <c r="AF829" i="4"/>
  <c r="AK829" i="4"/>
  <c r="AP829" i="4"/>
  <c r="AM828" i="4"/>
  <c r="AK828" i="4"/>
  <c r="AG828" i="4"/>
  <c r="AE828" i="4"/>
  <c r="AH828" i="4" s="1"/>
  <c r="AI828" i="4" s="1"/>
  <c r="AF827" i="4"/>
  <c r="AG827" i="4"/>
  <c r="AR827" i="4"/>
  <c r="AK826" i="4"/>
  <c r="AE826" i="4"/>
  <c r="AF826" i="4"/>
  <c r="AQ826" i="4"/>
  <c r="AE825" i="4"/>
  <c r="AP825" i="4"/>
  <c r="AK822" i="4"/>
  <c r="AP822" i="4"/>
  <c r="AF821" i="4"/>
  <c r="AK821" i="4"/>
  <c r="AP821" i="4"/>
  <c r="AM820" i="4"/>
  <c r="AK820" i="4"/>
  <c r="AG820" i="4"/>
  <c r="AE820" i="4"/>
  <c r="AH820" i="4" s="1"/>
  <c r="AI820" i="4" s="1"/>
  <c r="AF819" i="4"/>
  <c r="AG819" i="4"/>
  <c r="AR819" i="4"/>
  <c r="AK818" i="4"/>
  <c r="AE818" i="4"/>
  <c r="AF818" i="4"/>
  <c r="AQ818" i="4"/>
  <c r="AE817" i="4"/>
  <c r="AP817" i="4"/>
  <c r="AM815" i="4"/>
  <c r="AR815" i="4"/>
  <c r="AM814" i="4"/>
  <c r="AG814" i="4"/>
  <c r="AH814" i="4" s="1"/>
  <c r="AI814" i="4" s="1"/>
  <c r="AL814" i="4"/>
  <c r="AQ814" i="4"/>
  <c r="AG813" i="4"/>
  <c r="AL812" i="4"/>
  <c r="AF812" i="4"/>
  <c r="AE811" i="4"/>
  <c r="AM807" i="4"/>
  <c r="AR807" i="4"/>
  <c r="AM806" i="4"/>
  <c r="AG806" i="4"/>
  <c r="AH806" i="4" s="1"/>
  <c r="AI806" i="4" s="1"/>
  <c r="AL806" i="4"/>
  <c r="AQ806" i="4"/>
  <c r="AG805" i="4"/>
  <c r="AL804" i="4"/>
  <c r="AF804" i="4"/>
  <c r="AE803" i="4"/>
  <c r="AM799" i="4"/>
  <c r="AR799" i="4"/>
  <c r="AF797" i="4"/>
  <c r="AK797" i="4"/>
  <c r="AP797" i="4"/>
  <c r="AL796" i="4"/>
  <c r="AF796" i="4"/>
  <c r="AE795" i="4"/>
  <c r="AM791" i="4"/>
  <c r="AR791" i="4"/>
  <c r="AM790" i="4"/>
  <c r="AG790" i="4"/>
  <c r="AH790" i="4" s="1"/>
  <c r="AI790" i="4" s="1"/>
  <c r="AL790" i="4"/>
  <c r="AQ790" i="4"/>
  <c r="AG789" i="4"/>
  <c r="AM788" i="4"/>
  <c r="AK788" i="4"/>
  <c r="AG788" i="4"/>
  <c r="AE788" i="4"/>
  <c r="AH788" i="4" s="1"/>
  <c r="AI788" i="4" s="1"/>
  <c r="AE787" i="4"/>
  <c r="AK786" i="4"/>
  <c r="AE786" i="4"/>
  <c r="AM784" i="4"/>
  <c r="AR784" i="4"/>
  <c r="AL783" i="4"/>
  <c r="AQ783" i="4"/>
  <c r="AK782" i="4"/>
  <c r="AP782" i="4"/>
  <c r="AF781" i="4"/>
  <c r="AK781" i="4"/>
  <c r="AP781" i="4"/>
  <c r="AL780" i="4"/>
  <c r="AF780" i="4"/>
  <c r="AF779" i="4"/>
  <c r="AM775" i="4"/>
  <c r="AR775" i="4"/>
  <c r="AM774" i="4"/>
  <c r="AG774" i="4"/>
  <c r="AL774" i="4"/>
  <c r="AQ774" i="4"/>
  <c r="AG773" i="4"/>
  <c r="AM772" i="4"/>
  <c r="AK772" i="4"/>
  <c r="AG772" i="4"/>
  <c r="AE772" i="4"/>
  <c r="AH772" i="4" s="1"/>
  <c r="AI772" i="4" s="1"/>
  <c r="AE771" i="4"/>
  <c r="AK770" i="4"/>
  <c r="AE770" i="4"/>
  <c r="AM768" i="4"/>
  <c r="AR768" i="4"/>
  <c r="AL767" i="4"/>
  <c r="AQ767" i="4"/>
  <c r="AK766" i="4"/>
  <c r="AP766" i="4"/>
  <c r="AF765" i="4"/>
  <c r="AK765" i="4"/>
  <c r="AP765" i="4"/>
  <c r="AL764" i="4"/>
  <c r="AF764" i="4"/>
  <c r="AF763" i="4"/>
  <c r="AK760" i="4"/>
  <c r="AG760" i="4"/>
  <c r="AE760" i="4"/>
  <c r="AL760" i="4"/>
  <c r="AQ760" i="4"/>
  <c r="AF759" i="4"/>
  <c r="AQ759" i="4"/>
  <c r="AK758" i="4"/>
  <c r="AP758" i="4"/>
  <c r="AK756" i="4"/>
  <c r="AP756" i="4"/>
  <c r="AL755" i="4"/>
  <c r="AM755" i="4"/>
  <c r="AR755" i="4"/>
  <c r="AK754" i="4"/>
  <c r="AG754" i="4"/>
  <c r="AE754" i="4"/>
  <c r="AL754" i="4"/>
  <c r="AQ754" i="4"/>
  <c r="AM752" i="4"/>
  <c r="AE752" i="4"/>
  <c r="AF752" i="4"/>
  <c r="AQ752" i="4"/>
  <c r="AM750" i="4"/>
  <c r="AE750" i="4"/>
  <c r="AF749" i="4"/>
  <c r="AQ749" i="4"/>
  <c r="AM748" i="4"/>
  <c r="AE748" i="4"/>
  <c r="AG745" i="4"/>
  <c r="AR745" i="4"/>
  <c r="AK745" i="4"/>
  <c r="AP745" i="4"/>
  <c r="AE744" i="4"/>
  <c r="AF744" i="4"/>
  <c r="AQ744" i="4"/>
  <c r="AL743" i="4"/>
  <c r="AE743" i="4"/>
  <c r="AP743" i="4"/>
  <c r="AM738" i="4"/>
  <c r="AE738" i="4"/>
  <c r="AL738" i="4"/>
  <c r="AQ738" i="4"/>
  <c r="AM734" i="4"/>
  <c r="AE734" i="4"/>
  <c r="AL734" i="4"/>
  <c r="AQ734" i="4"/>
  <c r="AK733" i="4"/>
  <c r="AP733" i="4"/>
  <c r="AM730" i="4"/>
  <c r="AE730" i="4"/>
  <c r="AM726" i="4"/>
  <c r="AE726" i="4"/>
  <c r="AL726" i="4"/>
  <c r="AQ726" i="4"/>
  <c r="AK725" i="4"/>
  <c r="AP725" i="4"/>
  <c r="AM722" i="4"/>
  <c r="AE722" i="4"/>
  <c r="AM718" i="4"/>
  <c r="AE718" i="4"/>
  <c r="AL718" i="4"/>
  <c r="AQ718" i="4"/>
  <c r="AK717" i="4"/>
  <c r="AP717" i="4"/>
  <c r="AM714" i="4"/>
  <c r="AE714" i="4"/>
  <c r="AM710" i="4"/>
  <c r="AE710" i="4"/>
  <c r="AL710" i="4"/>
  <c r="AQ710" i="4"/>
  <c r="AK709" i="4"/>
  <c r="AP709" i="4"/>
  <c r="AM706" i="4"/>
  <c r="AE706" i="4"/>
  <c r="AM702" i="4"/>
  <c r="AE702" i="4"/>
  <c r="AL702" i="4"/>
  <c r="AQ702" i="4"/>
  <c r="AK701" i="4"/>
  <c r="AP701" i="4"/>
  <c r="AM698" i="4"/>
  <c r="AE698" i="4"/>
  <c r="AL698" i="4"/>
  <c r="AQ698" i="4"/>
  <c r="AG697" i="4"/>
  <c r="AR697" i="4"/>
  <c r="AK697" i="4"/>
  <c r="AP697" i="4"/>
  <c r="AM694" i="4"/>
  <c r="AE694" i="4"/>
  <c r="AL694" i="4"/>
  <c r="AQ694" i="4"/>
  <c r="AK693" i="4"/>
  <c r="AP693" i="4"/>
  <c r="AG689" i="4"/>
  <c r="AR689" i="4"/>
  <c r="AK689" i="4"/>
  <c r="AP689" i="4"/>
  <c r="AE688" i="4"/>
  <c r="AF688" i="4"/>
  <c r="AQ688" i="4"/>
  <c r="AG686" i="4"/>
  <c r="AR686" i="4"/>
  <c r="AK685" i="4"/>
  <c r="AP685" i="4"/>
  <c r="AG684" i="4"/>
  <c r="AM683" i="4"/>
  <c r="AR683" i="4"/>
  <c r="AM682" i="4"/>
  <c r="AE682" i="4"/>
  <c r="AL682" i="4"/>
  <c r="AQ682" i="4"/>
  <c r="AL679" i="4"/>
  <c r="AM679" i="4"/>
  <c r="AR679" i="4"/>
  <c r="AE679" i="4"/>
  <c r="AP679" i="4"/>
  <c r="AK678" i="4"/>
  <c r="AE678" i="4"/>
  <c r="AL678" i="4"/>
  <c r="AQ678" i="4"/>
  <c r="AF677" i="4"/>
  <c r="AQ677" i="4"/>
  <c r="AE676" i="4"/>
  <c r="AP676" i="4"/>
  <c r="AG673" i="4"/>
  <c r="AR673" i="4"/>
  <c r="AK673" i="4"/>
  <c r="AP673" i="4"/>
  <c r="AE672" i="4"/>
  <c r="AF672" i="4"/>
  <c r="AQ672" i="4"/>
  <c r="AG670" i="4"/>
  <c r="AR670" i="4"/>
  <c r="AK669" i="4"/>
  <c r="AP669" i="4"/>
  <c r="AG668" i="4"/>
  <c r="AM667" i="4"/>
  <c r="AR667" i="4"/>
  <c r="AM666" i="4"/>
  <c r="AE666" i="4"/>
  <c r="AL666" i="4"/>
  <c r="AQ666" i="4"/>
  <c r="AL663" i="4"/>
  <c r="AM663" i="4"/>
  <c r="AR663" i="4"/>
  <c r="AE663" i="4"/>
  <c r="AP663" i="4"/>
  <c r="AK662" i="4"/>
  <c r="AE662" i="4"/>
  <c r="AL662" i="4"/>
  <c r="AQ662" i="4"/>
  <c r="AF661" i="4"/>
  <c r="AQ661" i="4"/>
  <c r="AE660" i="4"/>
  <c r="AP660" i="4"/>
  <c r="AG657" i="4"/>
  <c r="AR657" i="4"/>
  <c r="AK657" i="4"/>
  <c r="AP657" i="4"/>
  <c r="AE656" i="4"/>
  <c r="AF656" i="4"/>
  <c r="AQ656" i="4"/>
  <c r="AG654" i="4"/>
  <c r="AR654" i="4"/>
  <c r="AK653" i="4"/>
  <c r="AP653" i="4"/>
  <c r="AG652" i="4"/>
  <c r="AM651" i="4"/>
  <c r="AR651" i="4"/>
  <c r="AM650" i="4"/>
  <c r="AE650" i="4"/>
  <c r="AL650" i="4"/>
  <c r="AQ650" i="4"/>
  <c r="AL647" i="4"/>
  <c r="AM647" i="4"/>
  <c r="AR647" i="4"/>
  <c r="AE647" i="4"/>
  <c r="AP647" i="4"/>
  <c r="AK646" i="4"/>
  <c r="AE646" i="4"/>
  <c r="AL646" i="4"/>
  <c r="AQ646" i="4"/>
  <c r="AF645" i="4"/>
  <c r="AQ645" i="4"/>
  <c r="AE644" i="4"/>
  <c r="AP644" i="4"/>
  <c r="AG641" i="4"/>
  <c r="AR641" i="4"/>
  <c r="AK641" i="4"/>
  <c r="AP641" i="4"/>
  <c r="AE640" i="4"/>
  <c r="AH640" i="4" s="1"/>
  <c r="AI640" i="4" s="1"/>
  <c r="AF640" i="4"/>
  <c r="AQ640" i="4"/>
  <c r="AG638" i="4"/>
  <c r="AR638" i="4"/>
  <c r="AK637" i="4"/>
  <c r="AP637" i="4"/>
  <c r="AG636" i="4"/>
  <c r="AM635" i="4"/>
  <c r="AF635" i="4"/>
  <c r="AQ635" i="4"/>
  <c r="AK633" i="4"/>
  <c r="AG633" i="4"/>
  <c r="AE633" i="4"/>
  <c r="AL633" i="4"/>
  <c r="AQ633" i="4"/>
  <c r="AG632" i="4"/>
  <c r="AR632" i="4"/>
  <c r="AK632" i="4"/>
  <c r="AP632" i="4"/>
  <c r="AK631" i="4"/>
  <c r="AP631" i="4"/>
  <c r="AL630" i="4"/>
  <c r="AM630" i="4"/>
  <c r="AR630" i="4"/>
  <c r="AE630" i="4"/>
  <c r="AP630" i="4"/>
  <c r="AK629" i="4"/>
  <c r="AE629" i="4"/>
  <c r="AL629" i="4"/>
  <c r="AQ629" i="4"/>
  <c r="AG628" i="4"/>
  <c r="AH628" i="4" s="1"/>
  <c r="AI628" i="4" s="1"/>
  <c r="AR628" i="4"/>
  <c r="AK628" i="4"/>
  <c r="AP628" i="4"/>
  <c r="AG627" i="4"/>
  <c r="AF627" i="4"/>
  <c r="AQ627" i="4"/>
  <c r="AM626" i="4"/>
  <c r="AR626" i="4"/>
  <c r="AM625" i="4"/>
  <c r="AR625" i="4"/>
  <c r="AK624" i="4"/>
  <c r="AP624" i="4"/>
  <c r="AK623" i="4"/>
  <c r="AP623" i="4"/>
  <c r="AK621" i="4"/>
  <c r="AG621" i="4"/>
  <c r="AE621" i="4"/>
  <c r="AL621" i="4"/>
  <c r="AQ621" i="4"/>
  <c r="AM619" i="4"/>
  <c r="AK619" i="4"/>
  <c r="AE619" i="4"/>
  <c r="AF619" i="4"/>
  <c r="AQ619" i="4"/>
  <c r="AL618" i="4"/>
  <c r="AE618" i="4"/>
  <c r="AP618" i="4"/>
  <c r="AM617" i="4"/>
  <c r="AR617" i="4"/>
  <c r="AL616" i="4"/>
  <c r="AQ616" i="4"/>
  <c r="AK615" i="4"/>
  <c r="AP615" i="4"/>
  <c r="AL614" i="4"/>
  <c r="AM614" i="4"/>
  <c r="AR614" i="4"/>
  <c r="AK613" i="4"/>
  <c r="AG613" i="4"/>
  <c r="AE613" i="4"/>
  <c r="AL613" i="4"/>
  <c r="AQ613" i="4"/>
  <c r="AM611" i="4"/>
  <c r="AE611" i="4"/>
  <c r="AM609" i="4"/>
  <c r="AR609" i="4"/>
  <c r="AL604" i="4"/>
  <c r="AF604" i="4"/>
  <c r="AK604" i="4"/>
  <c r="AP604" i="4"/>
  <c r="AK602" i="4"/>
  <c r="AP602" i="4"/>
  <c r="AE601" i="4"/>
  <c r="AL600" i="4"/>
  <c r="AQ600" i="4"/>
  <c r="AK599" i="4"/>
  <c r="AP599" i="4"/>
  <c r="AL598" i="4"/>
  <c r="AM598" i="4"/>
  <c r="AR598" i="4"/>
  <c r="AK598" i="4"/>
  <c r="AP598" i="4"/>
  <c r="AK597" i="4"/>
  <c r="AG597" i="4"/>
  <c r="AE597" i="4"/>
  <c r="AH597" i="4" s="1"/>
  <c r="AI597" i="4" s="1"/>
  <c r="AL597" i="4"/>
  <c r="AQ597" i="4"/>
  <c r="AM595" i="4"/>
  <c r="AE595" i="4"/>
  <c r="AL595" i="4"/>
  <c r="AQ595" i="4"/>
  <c r="AM593" i="4"/>
  <c r="AR593" i="4"/>
  <c r="AM592" i="4"/>
  <c r="AR592" i="4"/>
  <c r="AL591" i="4"/>
  <c r="AQ591" i="4"/>
  <c r="AL588" i="4"/>
  <c r="AF588" i="4"/>
  <c r="AM588" i="4"/>
  <c r="AR588" i="4"/>
  <c r="AK588" i="4"/>
  <c r="AP588" i="4"/>
  <c r="AK586" i="4"/>
  <c r="AP586" i="4"/>
  <c r="AE585" i="4"/>
  <c r="AL584" i="4"/>
  <c r="AQ584" i="4"/>
  <c r="AK583" i="4"/>
  <c r="AP583" i="4"/>
  <c r="AL582" i="4"/>
  <c r="AM582" i="4"/>
  <c r="AR582" i="4"/>
  <c r="AK582" i="4"/>
  <c r="AP582" i="4"/>
  <c r="AK581" i="4"/>
  <c r="AG581" i="4"/>
  <c r="AE581" i="4"/>
  <c r="AL581" i="4"/>
  <c r="AQ581" i="4"/>
  <c r="AM579" i="4"/>
  <c r="AE579" i="4"/>
  <c r="AL579" i="4"/>
  <c r="AQ579" i="4"/>
  <c r="AM577" i="4"/>
  <c r="AR577" i="4"/>
  <c r="AM576" i="4"/>
  <c r="AR576" i="4"/>
  <c r="AL575" i="4"/>
  <c r="AQ575" i="4"/>
  <c r="AL572" i="4"/>
  <c r="AF572" i="4"/>
  <c r="AM572" i="4"/>
  <c r="AR572" i="4"/>
  <c r="AK572" i="4"/>
  <c r="AP572" i="4"/>
  <c r="AK570" i="4"/>
  <c r="AP570" i="4"/>
  <c r="AE569" i="4"/>
  <c r="AL568" i="4"/>
  <c r="AQ568" i="4"/>
  <c r="AK567" i="4"/>
  <c r="AP567" i="4"/>
  <c r="AL566" i="4"/>
  <c r="AM566" i="4"/>
  <c r="AR566" i="4"/>
  <c r="AK566" i="4"/>
  <c r="AP566" i="4"/>
  <c r="AK565" i="4"/>
  <c r="AG565" i="4"/>
  <c r="AE565" i="4"/>
  <c r="AH565" i="4" s="1"/>
  <c r="AI565" i="4" s="1"/>
  <c r="AL565" i="4"/>
  <c r="AQ565" i="4"/>
  <c r="AM563" i="4"/>
  <c r="AE563" i="4"/>
  <c r="AL563" i="4"/>
  <c r="AQ563" i="4"/>
  <c r="AM561" i="4"/>
  <c r="AR561" i="4"/>
  <c r="AM560" i="4"/>
  <c r="AR560" i="4"/>
  <c r="AL559" i="4"/>
  <c r="AQ559" i="4"/>
  <c r="AL556" i="4"/>
  <c r="AF556" i="4"/>
  <c r="AM556" i="4"/>
  <c r="AR556" i="4"/>
  <c r="AK556" i="4"/>
  <c r="AP556" i="4"/>
  <c r="AK554" i="4"/>
  <c r="AP554" i="4"/>
  <c r="AE553" i="4"/>
  <c r="AL552" i="4"/>
  <c r="AQ552" i="4"/>
  <c r="AK551" i="4"/>
  <c r="AP551" i="4"/>
  <c r="AL550" i="4"/>
  <c r="AM550" i="4"/>
  <c r="AR550" i="4"/>
  <c r="AK550" i="4"/>
  <c r="AP550" i="4"/>
  <c r="AK549" i="4"/>
  <c r="AG549" i="4"/>
  <c r="AE549" i="4"/>
  <c r="AL549" i="4"/>
  <c r="AQ549" i="4"/>
  <c r="AM547" i="4"/>
  <c r="AE547" i="4"/>
  <c r="AL547" i="4"/>
  <c r="AQ547" i="4"/>
  <c r="AM545" i="4"/>
  <c r="AR545" i="4"/>
  <c r="AM544" i="4"/>
  <c r="AR544" i="4"/>
  <c r="AL543" i="4"/>
  <c r="AQ543" i="4"/>
  <c r="AL540" i="4"/>
  <c r="AF540" i="4"/>
  <c r="AM540" i="4"/>
  <c r="AR540" i="4"/>
  <c r="AK540" i="4"/>
  <c r="AP540" i="4"/>
  <c r="AK538" i="4"/>
  <c r="AP538" i="4"/>
  <c r="AE537" i="4"/>
  <c r="AL536" i="4"/>
  <c r="AQ536" i="4"/>
  <c r="AK535" i="4"/>
  <c r="AP535" i="4"/>
  <c r="AL534" i="4"/>
  <c r="AM534" i="4"/>
  <c r="AR534" i="4"/>
  <c r="AK534" i="4"/>
  <c r="AP534" i="4"/>
  <c r="AM533" i="4"/>
  <c r="AK533" i="4"/>
  <c r="AG533" i="4"/>
  <c r="AE533" i="4"/>
  <c r="AH533" i="4" s="1"/>
  <c r="AI533" i="4" s="1"/>
  <c r="AM532" i="4"/>
  <c r="AG532" i="4"/>
  <c r="AF532" i="4"/>
  <c r="AQ532" i="4"/>
  <c r="AM530" i="4"/>
  <c r="AE530" i="4"/>
  <c r="AL530" i="4"/>
  <c r="AQ530" i="4"/>
  <c r="AG529" i="4"/>
  <c r="AR529" i="4"/>
  <c r="AE528" i="4"/>
  <c r="AF528" i="4"/>
  <c r="AQ528" i="4"/>
  <c r="AK526" i="4"/>
  <c r="AG526" i="4"/>
  <c r="AE526" i="4"/>
  <c r="AL526" i="4"/>
  <c r="AQ526" i="4"/>
  <c r="AG525" i="4"/>
  <c r="AR525" i="4"/>
  <c r="AK525" i="4"/>
  <c r="AP525" i="4"/>
  <c r="AM522" i="4"/>
  <c r="AE522" i="4"/>
  <c r="AE520" i="4"/>
  <c r="AP520" i="4"/>
  <c r="AL519" i="4"/>
  <c r="AM519" i="4"/>
  <c r="AR519" i="4"/>
  <c r="AE519" i="4"/>
  <c r="AP519" i="4"/>
  <c r="AG518" i="4"/>
  <c r="AR518" i="4"/>
  <c r="AG517" i="4"/>
  <c r="AR517" i="4"/>
  <c r="AK517" i="4"/>
  <c r="AP517" i="4"/>
  <c r="AG516" i="4"/>
  <c r="AL513" i="4"/>
  <c r="AQ513" i="4"/>
  <c r="AM511" i="4"/>
  <c r="AR511" i="4"/>
  <c r="AE511" i="4"/>
  <c r="AP511" i="4"/>
  <c r="AG510" i="4"/>
  <c r="AR510" i="4"/>
  <c r="AF509" i="4"/>
  <c r="AQ509" i="4"/>
  <c r="AE508" i="4"/>
  <c r="AP508" i="4"/>
  <c r="AL507" i="4"/>
  <c r="AM507" i="4"/>
  <c r="AR507" i="4"/>
  <c r="AE507" i="4"/>
  <c r="AP507" i="4"/>
  <c r="AG506" i="4"/>
  <c r="AR506" i="4"/>
  <c r="AG505" i="4"/>
  <c r="AR505" i="4"/>
  <c r="AE504" i="4"/>
  <c r="AH504" i="4" s="1"/>
  <c r="AI504" i="4" s="1"/>
  <c r="AF504" i="4"/>
  <c r="AQ504" i="4"/>
  <c r="AK502" i="4"/>
  <c r="AE502" i="4"/>
  <c r="AL502" i="4"/>
  <c r="AQ502" i="4"/>
  <c r="AF501" i="4"/>
  <c r="AH501" i="4" s="1"/>
  <c r="AI501" i="4" s="1"/>
  <c r="AQ501" i="4"/>
  <c r="AE500" i="4"/>
  <c r="AP500" i="4"/>
  <c r="AL497" i="4"/>
  <c r="AQ497" i="4"/>
  <c r="AM496" i="4"/>
  <c r="AF496" i="4"/>
  <c r="AH496" i="4" s="1"/>
  <c r="AI496" i="4" s="1"/>
  <c r="AQ496" i="4"/>
  <c r="AM495" i="4"/>
  <c r="AR495" i="4"/>
  <c r="AE495" i="4"/>
  <c r="AP495" i="4"/>
  <c r="AG494" i="4"/>
  <c r="AR494" i="4"/>
  <c r="AF493" i="4"/>
  <c r="AQ493" i="4"/>
  <c r="AM492" i="4"/>
  <c r="AG492" i="4"/>
  <c r="AF492" i="4"/>
  <c r="AQ492" i="4"/>
  <c r="AL491" i="4"/>
  <c r="AM491" i="4"/>
  <c r="AR491" i="4"/>
  <c r="AK490" i="4"/>
  <c r="AE490" i="4"/>
  <c r="AH490" i="4" s="1"/>
  <c r="AI490" i="4" s="1"/>
  <c r="AL490" i="4"/>
  <c r="AQ490" i="4"/>
  <c r="AL489" i="4"/>
  <c r="AQ489" i="4"/>
  <c r="AM488" i="4"/>
  <c r="AF488" i="4"/>
  <c r="AH488" i="4" s="1"/>
  <c r="AI488" i="4" s="1"/>
  <c r="AQ488" i="4"/>
  <c r="AK485" i="4"/>
  <c r="AP485" i="4"/>
  <c r="AM482" i="4"/>
  <c r="AR482" i="4"/>
  <c r="AG481" i="4"/>
  <c r="AR481" i="4"/>
  <c r="AK481" i="4"/>
  <c r="AP481" i="4"/>
  <c r="AK480" i="4"/>
  <c r="AP480" i="4"/>
  <c r="AM479" i="4"/>
  <c r="AR479" i="4"/>
  <c r="AE479" i="4"/>
  <c r="AH479" i="4" s="1"/>
  <c r="AI479" i="4" s="1"/>
  <c r="AP479" i="4"/>
  <c r="AE478" i="4"/>
  <c r="AL478" i="4"/>
  <c r="AQ478" i="4"/>
  <c r="AM476" i="4"/>
  <c r="AG476" i="4"/>
  <c r="AL475" i="4"/>
  <c r="AM475" i="4"/>
  <c r="AR475" i="4"/>
  <c r="AK474" i="4"/>
  <c r="AE474" i="4"/>
  <c r="AL474" i="4"/>
  <c r="AQ474" i="4"/>
  <c r="AL473" i="4"/>
  <c r="AQ473" i="4"/>
  <c r="AM472" i="4"/>
  <c r="AF472" i="4"/>
  <c r="AH472" i="4" s="1"/>
  <c r="AI472" i="4" s="1"/>
  <c r="AQ472" i="4"/>
  <c r="AK469" i="4"/>
  <c r="AP469" i="4"/>
  <c r="AM466" i="4"/>
  <c r="AR466" i="4"/>
  <c r="AG465" i="4"/>
  <c r="AR465" i="4"/>
  <c r="AK465" i="4"/>
  <c r="AP465" i="4"/>
  <c r="AK464" i="4"/>
  <c r="AP464" i="4"/>
  <c r="AM463" i="4"/>
  <c r="AR463" i="4"/>
  <c r="AE463" i="4"/>
  <c r="AH463" i="4" s="1"/>
  <c r="AI463" i="4" s="1"/>
  <c r="AP463" i="4"/>
  <c r="AE462" i="4"/>
  <c r="AL462" i="4"/>
  <c r="AQ462" i="4"/>
  <c r="AM460" i="4"/>
  <c r="AG460" i="4"/>
  <c r="AQ459" i="4"/>
  <c r="AL459" i="4"/>
  <c r="AG457" i="4"/>
  <c r="AR457" i="4"/>
  <c r="AK457" i="4"/>
  <c r="AP457" i="4"/>
  <c r="AE457" i="4"/>
  <c r="AR456" i="4"/>
  <c r="AM456" i="4"/>
  <c r="AK456" i="4"/>
  <c r="AP456" i="4"/>
  <c r="AE456" i="4"/>
  <c r="AM455" i="4"/>
  <c r="AR455" i="4"/>
  <c r="AE455" i="4"/>
  <c r="AH455" i="4" s="1"/>
  <c r="AI455" i="4" s="1"/>
  <c r="AP455" i="4"/>
  <c r="AH998" i="4"/>
  <c r="AI998" i="4" s="1"/>
  <c r="AH993" i="4"/>
  <c r="AI993" i="4" s="1"/>
  <c r="AH990" i="4"/>
  <c r="AI990" i="4" s="1"/>
  <c r="AH985" i="4"/>
  <c r="AI985" i="4" s="1"/>
  <c r="AH961" i="4"/>
  <c r="AI961" i="4" s="1"/>
  <c r="AH953" i="4"/>
  <c r="AI953" i="4" s="1"/>
  <c r="AH952" i="4"/>
  <c r="AI952" i="4" s="1"/>
  <c r="AH938" i="4"/>
  <c r="AI938" i="4" s="1"/>
  <c r="AH937" i="4"/>
  <c r="AI937" i="4" s="1"/>
  <c r="AH936" i="4"/>
  <c r="AI936" i="4" s="1"/>
  <c r="AM923" i="4"/>
  <c r="AR923" i="4"/>
  <c r="AL922" i="4"/>
  <c r="AQ922" i="4"/>
  <c r="AH921" i="4"/>
  <c r="AI921" i="4" s="1"/>
  <c r="AH920" i="4"/>
  <c r="AI920" i="4" s="1"/>
  <c r="AM916" i="4"/>
  <c r="AR916" i="4"/>
  <c r="AL915" i="4"/>
  <c r="AQ915" i="4"/>
  <c r="AK914" i="4"/>
  <c r="AP914" i="4"/>
  <c r="AK913" i="4"/>
  <c r="AP913" i="4"/>
  <c r="AM907" i="4"/>
  <c r="AR907" i="4"/>
  <c r="AH906" i="4"/>
  <c r="AI906" i="4" s="1"/>
  <c r="AL906" i="4"/>
  <c r="AQ906" i="4"/>
  <c r="AH905" i="4"/>
  <c r="AI905" i="4" s="1"/>
  <c r="AH904" i="4"/>
  <c r="AI904" i="4" s="1"/>
  <c r="AM900" i="4"/>
  <c r="AR900" i="4"/>
  <c r="AL899" i="4"/>
  <c r="AQ899" i="4"/>
  <c r="AK898" i="4"/>
  <c r="AP898" i="4"/>
  <c r="AK897" i="4"/>
  <c r="AP897" i="4"/>
  <c r="AL890" i="4"/>
  <c r="AQ890" i="4"/>
  <c r="AG889" i="4"/>
  <c r="AR889" i="4"/>
  <c r="AK889" i="4"/>
  <c r="AP889" i="4"/>
  <c r="AF888" i="4"/>
  <c r="AQ888" i="4"/>
  <c r="AE887" i="4"/>
  <c r="AP887" i="4"/>
  <c r="AH882" i="4"/>
  <c r="AI882" i="4" s="1"/>
  <c r="AL882" i="4"/>
  <c r="AQ882" i="4"/>
  <c r="AG881" i="4"/>
  <c r="AR881" i="4"/>
  <c r="AK881" i="4"/>
  <c r="AP881" i="4"/>
  <c r="AF880" i="4"/>
  <c r="AQ880" i="4"/>
  <c r="AE879" i="4"/>
  <c r="AP879" i="4"/>
  <c r="AL874" i="4"/>
  <c r="AQ874" i="4"/>
  <c r="AG873" i="4"/>
  <c r="AR873" i="4"/>
  <c r="AK873" i="4"/>
  <c r="AP873" i="4"/>
  <c r="AF872" i="4"/>
  <c r="AH872" i="4" s="1"/>
  <c r="AI872" i="4" s="1"/>
  <c r="AQ872" i="4"/>
  <c r="AE871" i="4"/>
  <c r="AP871" i="4"/>
  <c r="AH866" i="4"/>
  <c r="AI866" i="4" s="1"/>
  <c r="AL866" i="4"/>
  <c r="AQ866" i="4"/>
  <c r="AG865" i="4"/>
  <c r="AR865" i="4"/>
  <c r="AK865" i="4"/>
  <c r="AP865" i="4"/>
  <c r="AF864" i="4"/>
  <c r="AH864" i="4" s="1"/>
  <c r="AI864" i="4" s="1"/>
  <c r="AQ864" i="4"/>
  <c r="AE863" i="4"/>
  <c r="AP863" i="4"/>
  <c r="AL858" i="4"/>
  <c r="AQ858" i="4"/>
  <c r="AG857" i="4"/>
  <c r="AR857" i="4"/>
  <c r="AK857" i="4"/>
  <c r="AP857" i="4"/>
  <c r="AF856" i="4"/>
  <c r="AQ856" i="4"/>
  <c r="AE855" i="4"/>
  <c r="AP855" i="4"/>
  <c r="AH850" i="4"/>
  <c r="AI850" i="4" s="1"/>
  <c r="AL850" i="4"/>
  <c r="AQ850" i="4"/>
  <c r="AG849" i="4"/>
  <c r="AH849" i="4" s="1"/>
  <c r="AI849" i="4" s="1"/>
  <c r="AR849" i="4"/>
  <c r="AK849" i="4"/>
  <c r="AP849" i="4"/>
  <c r="AF848" i="4"/>
  <c r="AQ848" i="4"/>
  <c r="AE847" i="4"/>
  <c r="AP847" i="4"/>
  <c r="AG843" i="4"/>
  <c r="AR843" i="4"/>
  <c r="AG842" i="4"/>
  <c r="AR842" i="4"/>
  <c r="AE841" i="4"/>
  <c r="AP841" i="4"/>
  <c r="AM840" i="4"/>
  <c r="AR840" i="4"/>
  <c r="AM839" i="4"/>
  <c r="AR839" i="4"/>
  <c r="AL838" i="4"/>
  <c r="AQ838" i="4"/>
  <c r="AH837" i="4"/>
  <c r="AI837" i="4" s="1"/>
  <c r="AM832" i="4"/>
  <c r="AR832" i="4"/>
  <c r="AM831" i="4"/>
  <c r="AR831" i="4"/>
  <c r="AH830" i="4"/>
  <c r="AI830" i="4" s="1"/>
  <c r="AL830" i="4"/>
  <c r="AQ830" i="4"/>
  <c r="AM824" i="4"/>
  <c r="AR824" i="4"/>
  <c r="AM823" i="4"/>
  <c r="AR823" i="4"/>
  <c r="AH822" i="4"/>
  <c r="AI822" i="4" s="1"/>
  <c r="AL822" i="4"/>
  <c r="AQ822" i="4"/>
  <c r="AM816" i="4"/>
  <c r="AR816" i="4"/>
  <c r="AL815" i="4"/>
  <c r="AQ815" i="4"/>
  <c r="AK814" i="4"/>
  <c r="AP814" i="4"/>
  <c r="AK813" i="4"/>
  <c r="AP813" i="4"/>
  <c r="AH812" i="4"/>
  <c r="AI812" i="4" s="1"/>
  <c r="AG811" i="4"/>
  <c r="AR811" i="4"/>
  <c r="AF810" i="4"/>
  <c r="AQ810" i="4"/>
  <c r="AE809" i="4"/>
  <c r="AP809" i="4"/>
  <c r="AL807" i="4"/>
  <c r="AQ807" i="4"/>
  <c r="AK806" i="4"/>
  <c r="AP806" i="4"/>
  <c r="AK805" i="4"/>
  <c r="AP805" i="4"/>
  <c r="AG803" i="4"/>
  <c r="AR803" i="4"/>
  <c r="AF802" i="4"/>
  <c r="AQ802" i="4"/>
  <c r="AE801" i="4"/>
  <c r="AP801" i="4"/>
  <c r="AL799" i="4"/>
  <c r="AQ799" i="4"/>
  <c r="AL798" i="4"/>
  <c r="AQ798" i="4"/>
  <c r="AH797" i="4"/>
  <c r="AI797" i="4" s="1"/>
  <c r="AH796" i="4"/>
  <c r="AI796" i="4" s="1"/>
  <c r="AG795" i="4"/>
  <c r="AR795" i="4"/>
  <c r="AF794" i="4"/>
  <c r="AQ794" i="4"/>
  <c r="AM792" i="4"/>
  <c r="AR792" i="4"/>
  <c r="AL791" i="4"/>
  <c r="AQ791" i="4"/>
  <c r="AK790" i="4"/>
  <c r="AP790" i="4"/>
  <c r="AK789" i="4"/>
  <c r="AP789" i="4"/>
  <c r="AM783" i="4"/>
  <c r="AR783" i="4"/>
  <c r="AL782" i="4"/>
  <c r="AQ782" i="4"/>
  <c r="AH781" i="4"/>
  <c r="AI781" i="4" s="1"/>
  <c r="AH780" i="4"/>
  <c r="AI780" i="4" s="1"/>
  <c r="AM776" i="4"/>
  <c r="AR776" i="4"/>
  <c r="AL775" i="4"/>
  <c r="AQ775" i="4"/>
  <c r="AK774" i="4"/>
  <c r="AP774" i="4"/>
  <c r="AK773" i="4"/>
  <c r="AP773" i="4"/>
  <c r="AM769" i="4"/>
  <c r="AR769" i="4"/>
  <c r="AL768" i="4"/>
  <c r="AQ768" i="4"/>
  <c r="AM767" i="4"/>
  <c r="AR767" i="4"/>
  <c r="AK767" i="4"/>
  <c r="AP767" i="4"/>
  <c r="AH766" i="4"/>
  <c r="AI766" i="4" s="1"/>
  <c r="AL766" i="4"/>
  <c r="AQ766" i="4"/>
  <c r="AH765" i="4"/>
  <c r="AI765" i="4" s="1"/>
  <c r="AH764" i="4"/>
  <c r="AI764" i="4" s="1"/>
  <c r="AM761" i="4"/>
  <c r="AR761" i="4"/>
  <c r="AE759" i="4"/>
  <c r="AP759" i="4"/>
  <c r="AG753" i="4"/>
  <c r="AR753" i="4"/>
  <c r="AK753" i="4"/>
  <c r="AP753" i="4"/>
  <c r="AE751" i="4"/>
  <c r="AP751" i="4"/>
  <c r="AM747" i="4"/>
  <c r="AR747" i="4"/>
  <c r="AH746" i="4"/>
  <c r="AI746" i="4" s="1"/>
  <c r="AL746" i="4"/>
  <c r="AQ746" i="4"/>
  <c r="AF741" i="4"/>
  <c r="AQ741" i="4"/>
  <c r="AM727" i="4"/>
  <c r="AR727" i="4"/>
  <c r="AM719" i="4"/>
  <c r="AR719" i="4"/>
  <c r="AM711" i="4"/>
  <c r="AR711" i="4"/>
  <c r="AM703" i="4"/>
  <c r="AR703" i="4"/>
  <c r="AM699" i="4"/>
  <c r="AR699" i="4"/>
  <c r="AF696" i="4"/>
  <c r="AH696" i="4" s="1"/>
  <c r="AI696" i="4" s="1"/>
  <c r="AQ696" i="4"/>
  <c r="AM695" i="4"/>
  <c r="AR695" i="4"/>
  <c r="AE695" i="4"/>
  <c r="AP695" i="4"/>
  <c r="AM691" i="4"/>
  <c r="AR691" i="4"/>
  <c r="AL690" i="4"/>
  <c r="AQ690" i="4"/>
  <c r="AM687" i="4"/>
  <c r="AR687" i="4"/>
  <c r="AE687" i="4"/>
  <c r="AP687" i="4"/>
  <c r="AL686" i="4"/>
  <c r="AQ686" i="4"/>
  <c r="AF685" i="4"/>
  <c r="AQ685" i="4"/>
  <c r="AE684" i="4"/>
  <c r="AP684" i="4"/>
  <c r="AG681" i="4"/>
  <c r="AR681" i="4"/>
  <c r="AK681" i="4"/>
  <c r="AP681" i="4"/>
  <c r="AH680" i="4"/>
  <c r="AI680" i="4" s="1"/>
  <c r="AF680" i="4"/>
  <c r="AQ680" i="4"/>
  <c r="AG678" i="4"/>
  <c r="AR678" i="4"/>
  <c r="AK677" i="4"/>
  <c r="AP677" i="4"/>
  <c r="AM675" i="4"/>
  <c r="AR675" i="4"/>
  <c r="AL674" i="4"/>
  <c r="AQ674" i="4"/>
  <c r="AM671" i="4"/>
  <c r="AR671" i="4"/>
  <c r="AE671" i="4"/>
  <c r="AP671" i="4"/>
  <c r="AL670" i="4"/>
  <c r="AQ670" i="4"/>
  <c r="AF669" i="4"/>
  <c r="AQ669" i="4"/>
  <c r="AE668" i="4"/>
  <c r="AP668" i="4"/>
  <c r="AG665" i="4"/>
  <c r="AR665" i="4"/>
  <c r="AK665" i="4"/>
  <c r="AP665" i="4"/>
  <c r="AF664" i="4"/>
  <c r="AH664" i="4" s="1"/>
  <c r="AI664" i="4" s="1"/>
  <c r="AQ664" i="4"/>
  <c r="AG662" i="4"/>
  <c r="AR662" i="4"/>
  <c r="AK661" i="4"/>
  <c r="AP661" i="4"/>
  <c r="AM659" i="4"/>
  <c r="AR659" i="4"/>
  <c r="AL658" i="4"/>
  <c r="AQ658" i="4"/>
  <c r="AM655" i="4"/>
  <c r="AR655" i="4"/>
  <c r="AE655" i="4"/>
  <c r="AP655" i="4"/>
  <c r="AL654" i="4"/>
  <c r="AQ654" i="4"/>
  <c r="AF653" i="4"/>
  <c r="AQ653" i="4"/>
  <c r="AE652" i="4"/>
  <c r="AP652" i="4"/>
  <c r="AG649" i="4"/>
  <c r="AR649" i="4"/>
  <c r="AK649" i="4"/>
  <c r="AP649" i="4"/>
  <c r="AF648" i="4"/>
  <c r="AQ648" i="4"/>
  <c r="AG646" i="4"/>
  <c r="AR646" i="4"/>
  <c r="AK645" i="4"/>
  <c r="AP645" i="4"/>
  <c r="AM643" i="4"/>
  <c r="AR643" i="4"/>
  <c r="AL642" i="4"/>
  <c r="AQ642" i="4"/>
  <c r="AM639" i="4"/>
  <c r="AR639" i="4"/>
  <c r="AE639" i="4"/>
  <c r="AP639" i="4"/>
  <c r="AL638" i="4"/>
  <c r="AQ638" i="4"/>
  <c r="AF637" i="4"/>
  <c r="AQ637" i="4"/>
  <c r="AE636" i="4"/>
  <c r="AP636" i="4"/>
  <c r="AK635" i="4"/>
  <c r="AP635" i="4"/>
  <c r="AE634" i="4"/>
  <c r="AP634" i="4"/>
  <c r="AL632" i="4"/>
  <c r="AQ632" i="4"/>
  <c r="AL628" i="4"/>
  <c r="AQ628" i="4"/>
  <c r="AE627" i="4"/>
  <c r="AH627" i="4" s="1"/>
  <c r="AI627" i="4" s="1"/>
  <c r="AP627" i="4"/>
  <c r="AL625" i="4"/>
  <c r="AQ625" i="4"/>
  <c r="AF624" i="4"/>
  <c r="AQ624" i="4"/>
  <c r="AF623" i="4"/>
  <c r="AH623" i="4" s="1"/>
  <c r="AI623" i="4" s="1"/>
  <c r="AQ623" i="4"/>
  <c r="AM622" i="4"/>
  <c r="AR622" i="4"/>
  <c r="AE622" i="4"/>
  <c r="AP622" i="4"/>
  <c r="AG620" i="4"/>
  <c r="AR620" i="4"/>
  <c r="AK620" i="4"/>
  <c r="AP620" i="4"/>
  <c r="AK612" i="4"/>
  <c r="AP612" i="4"/>
  <c r="AL608" i="4"/>
  <c r="AQ608" i="4"/>
  <c r="AK607" i="4"/>
  <c r="AP607" i="4"/>
  <c r="AM606" i="4"/>
  <c r="AR606" i="4"/>
  <c r="AL605" i="4"/>
  <c r="AQ605" i="4"/>
  <c r="AM601" i="4"/>
  <c r="AR601" i="4"/>
  <c r="AM600" i="4"/>
  <c r="AR600" i="4"/>
  <c r="AL599" i="4"/>
  <c r="AQ599" i="4"/>
  <c r="AM596" i="4"/>
  <c r="AR596" i="4"/>
  <c r="AK596" i="4"/>
  <c r="AP596" i="4"/>
  <c r="AK594" i="4"/>
  <c r="AP594" i="4"/>
  <c r="AL592" i="4"/>
  <c r="AQ592" i="4"/>
  <c r="AK591" i="4"/>
  <c r="AP591" i="4"/>
  <c r="AM590" i="4"/>
  <c r="AR590" i="4"/>
  <c r="AK590" i="4"/>
  <c r="AP590" i="4"/>
  <c r="AH589" i="4"/>
  <c r="AI589" i="4" s="1"/>
  <c r="AL589" i="4"/>
  <c r="AQ589" i="4"/>
  <c r="AL587" i="4"/>
  <c r="AQ587" i="4"/>
  <c r="AM585" i="4"/>
  <c r="AR585" i="4"/>
  <c r="AM584" i="4"/>
  <c r="AR584" i="4"/>
  <c r="AL583" i="4"/>
  <c r="AQ583" i="4"/>
  <c r="AM580" i="4"/>
  <c r="AR580" i="4"/>
  <c r="AK580" i="4"/>
  <c r="AP580" i="4"/>
  <c r="AK578" i="4"/>
  <c r="AP578" i="4"/>
  <c r="AL576" i="4"/>
  <c r="AQ576" i="4"/>
  <c r="AK575" i="4"/>
  <c r="AP575" i="4"/>
  <c r="AM574" i="4"/>
  <c r="AR574" i="4"/>
  <c r="AK574" i="4"/>
  <c r="AP574" i="4"/>
  <c r="AH573" i="4"/>
  <c r="AI573" i="4" s="1"/>
  <c r="AL573" i="4"/>
  <c r="AQ573" i="4"/>
  <c r="AL571" i="4"/>
  <c r="AQ571" i="4"/>
  <c r="AM569" i="4"/>
  <c r="AR569" i="4"/>
  <c r="AM568" i="4"/>
  <c r="AR568" i="4"/>
  <c r="AL567" i="4"/>
  <c r="AQ567" i="4"/>
  <c r="AM564" i="4"/>
  <c r="AR564" i="4"/>
  <c r="AK564" i="4"/>
  <c r="AP564" i="4"/>
  <c r="AK562" i="4"/>
  <c r="AP562" i="4"/>
  <c r="AL560" i="4"/>
  <c r="AQ560" i="4"/>
  <c r="AK559" i="4"/>
  <c r="AP559" i="4"/>
  <c r="AM558" i="4"/>
  <c r="AR558" i="4"/>
  <c r="AK558" i="4"/>
  <c r="AP558" i="4"/>
  <c r="AH557" i="4"/>
  <c r="AI557" i="4" s="1"/>
  <c r="AL557" i="4"/>
  <c r="AQ557" i="4"/>
  <c r="AL555" i="4"/>
  <c r="AQ555" i="4"/>
  <c r="AM553" i="4"/>
  <c r="AR553" i="4"/>
  <c r="AM552" i="4"/>
  <c r="AR552" i="4"/>
  <c r="AL551" i="4"/>
  <c r="AQ551" i="4"/>
  <c r="AM548" i="4"/>
  <c r="AR548" i="4"/>
  <c r="AK548" i="4"/>
  <c r="AP548" i="4"/>
  <c r="AK546" i="4"/>
  <c r="AP546" i="4"/>
  <c r="AL544" i="4"/>
  <c r="AQ544" i="4"/>
  <c r="AK543" i="4"/>
  <c r="AP543" i="4"/>
  <c r="AM542" i="4"/>
  <c r="AR542" i="4"/>
  <c r="AK542" i="4"/>
  <c r="AP542" i="4"/>
  <c r="AH541" i="4"/>
  <c r="AI541" i="4" s="1"/>
  <c r="AL541" i="4"/>
  <c r="AQ541" i="4"/>
  <c r="AL539" i="4"/>
  <c r="AQ539" i="4"/>
  <c r="AM537" i="4"/>
  <c r="AR537" i="4"/>
  <c r="AM536" i="4"/>
  <c r="AR536" i="4"/>
  <c r="AL535" i="4"/>
  <c r="AQ535" i="4"/>
  <c r="AE532" i="4"/>
  <c r="AH532" i="4" s="1"/>
  <c r="AI532" i="4" s="1"/>
  <c r="AP532" i="4"/>
  <c r="AM531" i="4"/>
  <c r="AR531" i="4"/>
  <c r="AE531" i="4"/>
  <c r="AP531" i="4"/>
  <c r="AM527" i="4"/>
  <c r="AR527" i="4"/>
  <c r="AE527" i="4"/>
  <c r="AH527" i="4" s="1"/>
  <c r="AI527" i="4" s="1"/>
  <c r="AP527" i="4"/>
  <c r="AH525" i="4"/>
  <c r="AI525" i="4" s="1"/>
  <c r="AF525" i="4"/>
  <c r="AQ525" i="4"/>
  <c r="AF524" i="4"/>
  <c r="AQ524" i="4"/>
  <c r="AM523" i="4"/>
  <c r="AR523" i="4"/>
  <c r="AE523" i="4"/>
  <c r="AH523" i="4" s="1"/>
  <c r="AI523" i="4" s="1"/>
  <c r="AP523" i="4"/>
  <c r="AG521" i="4"/>
  <c r="AR521" i="4"/>
  <c r="AK521" i="4"/>
  <c r="AP521" i="4"/>
  <c r="AF520" i="4"/>
  <c r="AQ520" i="4"/>
  <c r="AF517" i="4"/>
  <c r="AH517" i="4" s="1"/>
  <c r="AI517" i="4" s="1"/>
  <c r="AQ517" i="4"/>
  <c r="AE516" i="4"/>
  <c r="AP516" i="4"/>
  <c r="AM515" i="4"/>
  <c r="AR515" i="4"/>
  <c r="AE515" i="4"/>
  <c r="AP515" i="4"/>
  <c r="AL514" i="4"/>
  <c r="AQ514" i="4"/>
  <c r="AG513" i="4"/>
  <c r="AR513" i="4"/>
  <c r="AK513" i="4"/>
  <c r="AP513" i="4"/>
  <c r="AH512" i="4"/>
  <c r="AI512" i="4" s="1"/>
  <c r="AF512" i="4"/>
  <c r="AQ512" i="4"/>
  <c r="AL510" i="4"/>
  <c r="AQ510" i="4"/>
  <c r="AG509" i="4"/>
  <c r="AR509" i="4"/>
  <c r="AK509" i="4"/>
  <c r="AP509" i="4"/>
  <c r="AF508" i="4"/>
  <c r="AQ508" i="4"/>
  <c r="AL506" i="4"/>
  <c r="AQ506" i="4"/>
  <c r="AM503" i="4"/>
  <c r="AR503" i="4"/>
  <c r="AE503" i="4"/>
  <c r="AP503" i="4"/>
  <c r="AG502" i="4"/>
  <c r="AR502" i="4"/>
  <c r="AG501" i="4"/>
  <c r="AR501" i="4"/>
  <c r="AK501" i="4"/>
  <c r="AP501" i="4"/>
  <c r="AF500" i="4"/>
  <c r="AQ500" i="4"/>
  <c r="AM499" i="4"/>
  <c r="AR499" i="4"/>
  <c r="AE499" i="4"/>
  <c r="AP499" i="4"/>
  <c r="AL498" i="4"/>
  <c r="AQ498" i="4"/>
  <c r="AG497" i="4"/>
  <c r="AR497" i="4"/>
  <c r="AK497" i="4"/>
  <c r="AP497" i="4"/>
  <c r="AK496" i="4"/>
  <c r="AP496" i="4"/>
  <c r="AH494" i="4"/>
  <c r="AI494" i="4" s="1"/>
  <c r="AL494" i="4"/>
  <c r="AQ494" i="4"/>
  <c r="AK493" i="4"/>
  <c r="AP493" i="4"/>
  <c r="AE492" i="4"/>
  <c r="AH492" i="4" s="1"/>
  <c r="AI492" i="4" s="1"/>
  <c r="AP492" i="4"/>
  <c r="AM490" i="4"/>
  <c r="AR490" i="4"/>
  <c r="AG489" i="4"/>
  <c r="AH489" i="4" s="1"/>
  <c r="AI489" i="4" s="1"/>
  <c r="AR489" i="4"/>
  <c r="AK489" i="4"/>
  <c r="AP489" i="4"/>
  <c r="AK488" i="4"/>
  <c r="AP488" i="4"/>
  <c r="AM487" i="4"/>
  <c r="AR487" i="4"/>
  <c r="AE487" i="4"/>
  <c r="AH487" i="4" s="1"/>
  <c r="AI487" i="4" s="1"/>
  <c r="AP487" i="4"/>
  <c r="AL486" i="4"/>
  <c r="AQ486" i="4"/>
  <c r="AM483" i="4"/>
  <c r="AR483" i="4"/>
  <c r="AL482" i="4"/>
  <c r="AQ482" i="4"/>
  <c r="AL481" i="4"/>
  <c r="AQ481" i="4"/>
  <c r="AH480" i="4"/>
  <c r="AI480" i="4" s="1"/>
  <c r="AF480" i="4"/>
  <c r="AQ480" i="4"/>
  <c r="AK477" i="4"/>
  <c r="AP477" i="4"/>
  <c r="AM474" i="4"/>
  <c r="AR474" i="4"/>
  <c r="AG473" i="4"/>
  <c r="AH473" i="4" s="1"/>
  <c r="AI473" i="4" s="1"/>
  <c r="AR473" i="4"/>
  <c r="AK473" i="4"/>
  <c r="AP473" i="4"/>
  <c r="AK472" i="4"/>
  <c r="AP472" i="4"/>
  <c r="AM471" i="4"/>
  <c r="AR471" i="4"/>
  <c r="AE471" i="4"/>
  <c r="AH471" i="4" s="1"/>
  <c r="AI471" i="4" s="1"/>
  <c r="AP471" i="4"/>
  <c r="AL470" i="4"/>
  <c r="AQ470" i="4"/>
  <c r="AM467" i="4"/>
  <c r="AR467" i="4"/>
  <c r="AH466" i="4"/>
  <c r="AI466" i="4" s="1"/>
  <c r="AL466" i="4"/>
  <c r="AQ466" i="4"/>
  <c r="AL465" i="4"/>
  <c r="AQ465" i="4"/>
  <c r="AF464" i="4"/>
  <c r="AQ464" i="4"/>
  <c r="AK461" i="4"/>
  <c r="AP461" i="4"/>
  <c r="AM458" i="4"/>
  <c r="AR458" i="4"/>
  <c r="AG458" i="4"/>
  <c r="AP458" i="4"/>
  <c r="AE458" i="4"/>
  <c r="AK458" i="4"/>
  <c r="AL454" i="4"/>
  <c r="AQ454" i="4"/>
  <c r="AF454" i="4"/>
  <c r="AM451" i="4"/>
  <c r="AR451" i="4"/>
  <c r="AL450" i="4"/>
  <c r="AQ450" i="4"/>
  <c r="AF450" i="4"/>
  <c r="AL449" i="4"/>
  <c r="AQ449" i="4"/>
  <c r="AF448" i="4"/>
  <c r="AQ448" i="4"/>
  <c r="AK445" i="4"/>
  <c r="AP445" i="4"/>
  <c r="AM442" i="4"/>
  <c r="AR442" i="4"/>
  <c r="AG441" i="4"/>
  <c r="AR441" i="4"/>
  <c r="AK441" i="4"/>
  <c r="AP441" i="4"/>
  <c r="AK440" i="4"/>
  <c r="AP440" i="4"/>
  <c r="AM439" i="4"/>
  <c r="AR439" i="4"/>
  <c r="AE439" i="4"/>
  <c r="AH439" i="4" s="1"/>
  <c r="AI439" i="4" s="1"/>
  <c r="AP439" i="4"/>
  <c r="AL438" i="4"/>
  <c r="AQ438" i="4"/>
  <c r="AM435" i="4"/>
  <c r="AR435" i="4"/>
  <c r="AL434" i="4"/>
  <c r="AQ434" i="4"/>
  <c r="AL433" i="4"/>
  <c r="AQ433" i="4"/>
  <c r="AF432" i="4"/>
  <c r="AH432" i="4" s="1"/>
  <c r="AI432" i="4" s="1"/>
  <c r="AQ432" i="4"/>
  <c r="AM430" i="4"/>
  <c r="AR430" i="4"/>
  <c r="AK429" i="4"/>
  <c r="AP429" i="4"/>
  <c r="AK428" i="4"/>
  <c r="AP428" i="4"/>
  <c r="AM426" i="4"/>
  <c r="AR426" i="4"/>
  <c r="AG425" i="4"/>
  <c r="AR425" i="4"/>
  <c r="AK425" i="4"/>
  <c r="AP425" i="4"/>
  <c r="AK424" i="4"/>
  <c r="AP424" i="4"/>
  <c r="AM423" i="4"/>
  <c r="AR423" i="4"/>
  <c r="AE423" i="4"/>
  <c r="AH423" i="4" s="1"/>
  <c r="AI423" i="4" s="1"/>
  <c r="AP423" i="4"/>
  <c r="AL422" i="4"/>
  <c r="AQ422" i="4"/>
  <c r="AL421" i="4"/>
  <c r="AQ421" i="4"/>
  <c r="AM419" i="4"/>
  <c r="AR419" i="4"/>
  <c r="AL418" i="4"/>
  <c r="AQ418" i="4"/>
  <c r="AL417" i="4"/>
  <c r="AQ417" i="4"/>
  <c r="AF416" i="4"/>
  <c r="AQ416" i="4"/>
  <c r="AM414" i="4"/>
  <c r="AR414" i="4"/>
  <c r="AL413" i="4"/>
  <c r="AQ413" i="4"/>
  <c r="AG412" i="4"/>
  <c r="AR412" i="4"/>
  <c r="AK412" i="4"/>
  <c r="AP412" i="4"/>
  <c r="AE411" i="4"/>
  <c r="AP411" i="4"/>
  <c r="AF408" i="4"/>
  <c r="AQ408" i="4"/>
  <c r="AL404" i="4"/>
  <c r="AQ404" i="4"/>
  <c r="AH403" i="4"/>
  <c r="AI403" i="4" s="1"/>
  <c r="AF403" i="4"/>
  <c r="AQ403" i="4"/>
  <c r="AM402" i="4"/>
  <c r="AR402" i="4"/>
  <c r="AE402" i="4"/>
  <c r="AH402" i="4" s="1"/>
  <c r="AI402" i="4" s="1"/>
  <c r="AP402" i="4"/>
  <c r="AG401" i="4"/>
  <c r="AR401" i="4"/>
  <c r="AL400" i="4"/>
  <c r="AQ400" i="4"/>
  <c r="AF399" i="4"/>
  <c r="AH399" i="4" s="1"/>
  <c r="AI399" i="4" s="1"/>
  <c r="AQ399" i="4"/>
  <c r="AL397" i="4"/>
  <c r="AQ397" i="4"/>
  <c r="AG396" i="4"/>
  <c r="AR396" i="4"/>
  <c r="AK396" i="4"/>
  <c r="AP396" i="4"/>
  <c r="AE395" i="4"/>
  <c r="AP395" i="4"/>
  <c r="AL393" i="4"/>
  <c r="AQ393" i="4"/>
  <c r="AG392" i="4"/>
  <c r="AR392" i="4"/>
  <c r="AK392" i="4"/>
  <c r="AP392" i="4"/>
  <c r="AK391" i="4"/>
  <c r="AP391" i="4"/>
  <c r="AM390" i="4"/>
  <c r="AR390" i="4"/>
  <c r="AE390" i="4"/>
  <c r="AH390" i="4" s="1"/>
  <c r="AI390" i="4" s="1"/>
  <c r="AP390" i="4"/>
  <c r="AL389" i="4"/>
  <c r="AQ389" i="4"/>
  <c r="AG388" i="4"/>
  <c r="AR388" i="4"/>
  <c r="AK388" i="4"/>
  <c r="AP388" i="4"/>
  <c r="AE387" i="4"/>
  <c r="AP387" i="4"/>
  <c r="AL385" i="4"/>
  <c r="AQ385" i="4"/>
  <c r="AG384" i="4"/>
  <c r="AR384" i="4"/>
  <c r="AK384" i="4"/>
  <c r="AP384" i="4"/>
  <c r="AK383" i="4"/>
  <c r="AP383" i="4"/>
  <c r="AM382" i="4"/>
  <c r="AR382" i="4"/>
  <c r="AE382" i="4"/>
  <c r="AH382" i="4" s="1"/>
  <c r="AI382" i="4" s="1"/>
  <c r="AP382" i="4"/>
  <c r="AG381" i="4"/>
  <c r="AR381" i="4"/>
  <c r="AM378" i="4"/>
  <c r="AR378" i="4"/>
  <c r="AM377" i="4"/>
  <c r="AR377" i="4"/>
  <c r="AL376" i="4"/>
  <c r="AQ376" i="4"/>
  <c r="AF375" i="4"/>
  <c r="AQ375" i="4"/>
  <c r="AG373" i="4"/>
  <c r="AR373" i="4"/>
  <c r="AF372" i="4"/>
  <c r="AQ372" i="4"/>
  <c r="AL371" i="4"/>
  <c r="AQ371" i="4"/>
  <c r="AM370" i="4"/>
  <c r="AR370" i="4"/>
  <c r="AK370" i="4"/>
  <c r="AP370" i="4"/>
  <c r="AE368" i="4"/>
  <c r="AP368" i="4"/>
  <c r="AL367" i="4"/>
  <c r="AQ367" i="4"/>
  <c r="AK366" i="4"/>
  <c r="AP366" i="4"/>
  <c r="AL364" i="4"/>
  <c r="AQ364" i="4"/>
  <c r="AG363" i="4"/>
  <c r="AR363" i="4"/>
  <c r="AK363" i="4"/>
  <c r="AP363" i="4"/>
  <c r="AK362" i="4"/>
  <c r="AP362" i="4"/>
  <c r="AG360" i="4"/>
  <c r="AR360" i="4"/>
  <c r="AF359" i="4"/>
  <c r="AQ359" i="4"/>
  <c r="AM357" i="4"/>
  <c r="AR357" i="4"/>
  <c r="AE357" i="4"/>
  <c r="AP357" i="4"/>
  <c r="AM356" i="4"/>
  <c r="AR356" i="4"/>
  <c r="AF354" i="4"/>
  <c r="AH354" i="4" s="1"/>
  <c r="AI354" i="4" s="1"/>
  <c r="AQ354" i="4"/>
  <c r="AM353" i="4"/>
  <c r="AR353" i="4"/>
  <c r="AE353" i="4"/>
  <c r="AH353" i="4" s="1"/>
  <c r="AI353" i="4" s="1"/>
  <c r="AP353" i="4"/>
  <c r="AL352" i="4"/>
  <c r="AQ352" i="4"/>
  <c r="AF351" i="4"/>
  <c r="AQ351" i="4"/>
  <c r="AM349" i="4"/>
  <c r="AR349" i="4"/>
  <c r="AE349" i="4"/>
  <c r="AP349" i="4"/>
  <c r="AM348" i="4"/>
  <c r="AR348" i="4"/>
  <c r="AK346" i="4"/>
  <c r="AP346" i="4"/>
  <c r="AG344" i="4"/>
  <c r="AR344" i="4"/>
  <c r="AG343" i="4"/>
  <c r="AR343" i="4"/>
  <c r="AK343" i="4"/>
  <c r="AP343" i="4"/>
  <c r="AL340" i="4"/>
  <c r="AQ340" i="4"/>
  <c r="AG339" i="4"/>
  <c r="AR339" i="4"/>
  <c r="AK339" i="4"/>
  <c r="AP339" i="4"/>
  <c r="AF338" i="4"/>
  <c r="AQ338" i="4"/>
  <c r="AM337" i="4"/>
  <c r="AR337" i="4"/>
  <c r="AE337" i="4"/>
  <c r="AH337" i="4" s="1"/>
  <c r="AI337" i="4" s="1"/>
  <c r="AP337" i="4"/>
  <c r="AL336" i="4"/>
  <c r="AQ336" i="4"/>
  <c r="AF335" i="4"/>
  <c r="AQ335" i="4"/>
  <c r="AE334" i="4"/>
  <c r="AP334" i="4"/>
  <c r="AL332" i="4"/>
  <c r="AQ332" i="4"/>
  <c r="AG331" i="4"/>
  <c r="AR331" i="4"/>
  <c r="AK331" i="4"/>
  <c r="AP331" i="4"/>
  <c r="AF330" i="4"/>
  <c r="AQ330" i="4"/>
  <c r="AM329" i="4"/>
  <c r="AR329" i="4"/>
  <c r="AE329" i="4"/>
  <c r="AH329" i="4" s="1"/>
  <c r="AI329" i="4" s="1"/>
  <c r="AP329" i="4"/>
  <c r="AL328" i="4"/>
  <c r="AQ328" i="4"/>
  <c r="AF327" i="4"/>
  <c r="AQ327" i="4"/>
  <c r="AE326" i="4"/>
  <c r="AP326" i="4"/>
  <c r="AM325" i="4"/>
  <c r="AR325" i="4"/>
  <c r="AE325" i="4"/>
  <c r="AH325" i="4" s="1"/>
  <c r="AI325" i="4" s="1"/>
  <c r="AP325" i="4"/>
  <c r="AM324" i="4"/>
  <c r="AR324" i="4"/>
  <c r="AL323" i="4"/>
  <c r="AQ323" i="4"/>
  <c r="AG320" i="4"/>
  <c r="AR320" i="4"/>
  <c r="AG319" i="4"/>
  <c r="AR319" i="4"/>
  <c r="AK319" i="4"/>
  <c r="AP319" i="4"/>
  <c r="AF318" i="4"/>
  <c r="AQ318" i="4"/>
  <c r="AL316" i="4"/>
  <c r="AQ316" i="4"/>
  <c r="AL315" i="4"/>
  <c r="AQ315" i="4"/>
  <c r="AK314" i="4"/>
  <c r="AP314" i="4"/>
  <c r="AM313" i="4"/>
  <c r="AR313" i="4"/>
  <c r="AE313" i="4"/>
  <c r="AP313" i="4"/>
  <c r="AM311" i="4"/>
  <c r="AR311" i="4"/>
  <c r="AE311" i="4"/>
  <c r="AP311" i="4"/>
  <c r="AG310" i="4"/>
  <c r="AR310" i="4"/>
  <c r="AG309" i="4"/>
  <c r="AR309" i="4"/>
  <c r="AM307" i="4"/>
  <c r="AR307" i="4"/>
  <c r="AE307" i="4"/>
  <c r="AH307" i="4" s="1"/>
  <c r="AI307" i="4" s="1"/>
  <c r="AP307" i="4"/>
  <c r="AL306" i="4"/>
  <c r="AQ306" i="4"/>
  <c r="AG305" i="4"/>
  <c r="AR305" i="4"/>
  <c r="AK305" i="4"/>
  <c r="AP305" i="4"/>
  <c r="AF304" i="4"/>
  <c r="AQ304" i="4"/>
  <c r="AG301" i="4"/>
  <c r="AR301" i="4"/>
  <c r="AK301" i="4"/>
  <c r="AP301" i="4"/>
  <c r="AF300" i="4"/>
  <c r="AH300" i="4" s="1"/>
  <c r="AI300" i="4" s="1"/>
  <c r="AQ300" i="4"/>
  <c r="AL298" i="4"/>
  <c r="AQ298" i="4"/>
  <c r="AK296" i="4"/>
  <c r="AP296" i="4"/>
  <c r="AE295" i="4"/>
  <c r="AP295" i="4"/>
  <c r="AM294" i="4"/>
  <c r="AR294" i="4"/>
  <c r="AL293" i="4"/>
  <c r="AQ293" i="4"/>
  <c r="AM291" i="4"/>
  <c r="AR291" i="4"/>
  <c r="AE291" i="4"/>
  <c r="AP291" i="4"/>
  <c r="AL290" i="4"/>
  <c r="AQ290" i="4"/>
  <c r="AL289" i="4"/>
  <c r="AQ289" i="4"/>
  <c r="AK288" i="4"/>
  <c r="AP288" i="4"/>
  <c r="AL286" i="4"/>
  <c r="AQ286" i="4"/>
  <c r="AK285" i="4"/>
  <c r="AP285" i="4"/>
  <c r="AF284" i="4"/>
  <c r="AQ284" i="4"/>
  <c r="AL282" i="4"/>
  <c r="AQ282" i="4"/>
  <c r="AL281" i="4"/>
  <c r="AQ281" i="4"/>
  <c r="AF280" i="4"/>
  <c r="AH280" i="4" s="1"/>
  <c r="AI280" i="4" s="1"/>
  <c r="AQ280" i="4"/>
  <c r="AG278" i="4"/>
  <c r="AR278" i="4"/>
  <c r="AG277" i="4"/>
  <c r="AR277" i="4"/>
  <c r="AF276" i="4"/>
  <c r="AQ276" i="4"/>
  <c r="AM275" i="4"/>
  <c r="AR275" i="4"/>
  <c r="AE275" i="4"/>
  <c r="AP275" i="4"/>
  <c r="AG274" i="4"/>
  <c r="AR274" i="4"/>
  <c r="AF273" i="4"/>
  <c r="AQ273" i="4"/>
  <c r="AE272" i="4"/>
  <c r="AP272" i="4"/>
  <c r="AM270" i="4"/>
  <c r="AR270" i="4"/>
  <c r="AL269" i="4"/>
  <c r="AQ269" i="4"/>
  <c r="AF268" i="4"/>
  <c r="AH268" i="4" s="1"/>
  <c r="AI268" i="4" s="1"/>
  <c r="AQ268" i="4"/>
  <c r="AM267" i="4"/>
  <c r="AR267" i="4"/>
  <c r="AE267" i="4"/>
  <c r="AP267" i="4"/>
  <c r="AF266" i="4"/>
  <c r="AQ266" i="4"/>
  <c r="AE265" i="4"/>
  <c r="AP265" i="4"/>
  <c r="AF261" i="4"/>
  <c r="AQ261" i="4"/>
  <c r="AL260" i="4"/>
  <c r="AQ260" i="4"/>
  <c r="AL259" i="4"/>
  <c r="AQ259" i="4"/>
  <c r="AF258" i="4"/>
  <c r="AQ258" i="4"/>
  <c r="AM256" i="4"/>
  <c r="AR256" i="4"/>
  <c r="AG254" i="4"/>
  <c r="AR254" i="4"/>
  <c r="AG251" i="4"/>
  <c r="AR251" i="4"/>
  <c r="AK251" i="4"/>
  <c r="AP251" i="4"/>
  <c r="AK248" i="4"/>
  <c r="AP248" i="4"/>
  <c r="AF246" i="4"/>
  <c r="AQ246" i="4"/>
  <c r="AM245" i="4"/>
  <c r="AR245" i="4"/>
  <c r="AL243" i="4"/>
  <c r="AQ243" i="4"/>
  <c r="AL241" i="4"/>
  <c r="AQ241" i="4"/>
  <c r="AG239" i="4"/>
  <c r="AR239" i="4"/>
  <c r="AF237" i="4"/>
  <c r="AQ237" i="4"/>
  <c r="AF236" i="4"/>
  <c r="AQ236" i="4"/>
  <c r="AL234" i="4"/>
  <c r="AQ234" i="4"/>
  <c r="AF233" i="4"/>
  <c r="AQ233" i="4"/>
  <c r="AE232" i="4"/>
  <c r="AH232" i="4" s="1"/>
  <c r="AI232" i="4" s="1"/>
  <c r="AP232" i="4"/>
  <c r="AG229" i="4"/>
  <c r="AR229" i="4"/>
  <c r="AK229" i="4"/>
  <c r="AP229" i="4"/>
  <c r="AF228" i="4"/>
  <c r="AQ228" i="4"/>
  <c r="AE227" i="4"/>
  <c r="AP227" i="4"/>
  <c r="AL226" i="4"/>
  <c r="AQ226" i="4"/>
  <c r="AF225" i="4"/>
  <c r="AQ225" i="4"/>
  <c r="AG222" i="4"/>
  <c r="AR222" i="4"/>
  <c r="AF221" i="4"/>
  <c r="AH221" i="4" s="1"/>
  <c r="AI221" i="4" s="1"/>
  <c r="AQ221" i="4"/>
  <c r="AM220" i="4"/>
  <c r="AR220" i="4"/>
  <c r="AE220" i="4"/>
  <c r="AP220" i="4"/>
  <c r="AM219" i="4"/>
  <c r="AR219" i="4"/>
  <c r="AE219" i="4"/>
  <c r="AP219" i="4"/>
  <c r="AK218" i="4"/>
  <c r="AP218" i="4"/>
  <c r="AM215" i="4"/>
  <c r="AR215" i="4"/>
  <c r="AK215" i="4"/>
  <c r="AP215" i="4"/>
  <c r="AG214" i="4"/>
  <c r="AR214" i="4"/>
  <c r="AF213" i="4"/>
  <c r="AQ213" i="4"/>
  <c r="AF212" i="4"/>
  <c r="AQ212" i="4"/>
  <c r="AM211" i="4"/>
  <c r="AR211" i="4"/>
  <c r="AK210" i="4"/>
  <c r="AP210" i="4"/>
  <c r="AL208" i="4"/>
  <c r="AQ208" i="4"/>
  <c r="AM207" i="4"/>
  <c r="AR207" i="4"/>
  <c r="AL206" i="4"/>
  <c r="AQ206" i="4"/>
  <c r="AK205" i="4"/>
  <c r="AP205" i="4"/>
  <c r="AF204" i="4"/>
  <c r="AQ204" i="4"/>
  <c r="AM203" i="4"/>
  <c r="AR203" i="4"/>
  <c r="AE203" i="4"/>
  <c r="AP203" i="4"/>
  <c r="AL202" i="4"/>
  <c r="AQ202" i="4"/>
  <c r="AM201" i="4"/>
  <c r="AG201" i="4"/>
  <c r="AK199" i="4"/>
  <c r="AP199" i="4"/>
  <c r="AF196" i="4"/>
  <c r="AQ196" i="4"/>
  <c r="AM195" i="4"/>
  <c r="AR195" i="4"/>
  <c r="AE195" i="4"/>
  <c r="AP195" i="4"/>
  <c r="AL194" i="4"/>
  <c r="AQ194" i="4"/>
  <c r="AM193" i="4"/>
  <c r="AG193" i="4"/>
  <c r="AH191" i="4"/>
  <c r="AI191" i="4" s="1"/>
  <c r="AL191" i="4"/>
  <c r="AQ191" i="4"/>
  <c r="AL190" i="4"/>
  <c r="AQ190" i="4"/>
  <c r="AM459" i="4"/>
  <c r="AR459" i="4"/>
  <c r="AL458" i="4"/>
  <c r="AQ458" i="4"/>
  <c r="AL457" i="4"/>
  <c r="AQ457" i="4"/>
  <c r="AF456" i="4"/>
  <c r="AQ456" i="4"/>
  <c r="AK453" i="4"/>
  <c r="AP453" i="4"/>
  <c r="AM450" i="4"/>
  <c r="AR450" i="4"/>
  <c r="AF449" i="4"/>
  <c r="AG449" i="4"/>
  <c r="AR449" i="4"/>
  <c r="AK449" i="4"/>
  <c r="AP449" i="4"/>
  <c r="AL448" i="4"/>
  <c r="AK448" i="4"/>
  <c r="AP448" i="4"/>
  <c r="AM447" i="4"/>
  <c r="AR447" i="4"/>
  <c r="AE447" i="4"/>
  <c r="AH447" i="4" s="1"/>
  <c r="AI447" i="4" s="1"/>
  <c r="AP447" i="4"/>
  <c r="AE446" i="4"/>
  <c r="AL446" i="4"/>
  <c r="AQ446" i="4"/>
  <c r="AE445" i="4"/>
  <c r="AM444" i="4"/>
  <c r="AG444" i="4"/>
  <c r="AL443" i="4"/>
  <c r="AM443" i="4"/>
  <c r="AR443" i="4"/>
  <c r="AK442" i="4"/>
  <c r="AG442" i="4"/>
  <c r="AE442" i="4"/>
  <c r="AL442" i="4"/>
  <c r="AQ442" i="4"/>
  <c r="AE441" i="4"/>
  <c r="AH441" i="4" s="1"/>
  <c r="AI441" i="4" s="1"/>
  <c r="AL441" i="4"/>
  <c r="AQ441" i="4"/>
  <c r="AM440" i="4"/>
  <c r="AE440" i="4"/>
  <c r="AF440" i="4"/>
  <c r="AQ440" i="4"/>
  <c r="AF438" i="4"/>
  <c r="AK437" i="4"/>
  <c r="AP437" i="4"/>
  <c r="AF434" i="4"/>
  <c r="AH434" i="4" s="1"/>
  <c r="AI434" i="4" s="1"/>
  <c r="AM434" i="4"/>
  <c r="AR434" i="4"/>
  <c r="AF433" i="4"/>
  <c r="AG433" i="4"/>
  <c r="AR433" i="4"/>
  <c r="AK433" i="4"/>
  <c r="AP433" i="4"/>
  <c r="AL432" i="4"/>
  <c r="AK432" i="4"/>
  <c r="AP432" i="4"/>
  <c r="AM431" i="4"/>
  <c r="AR431" i="4"/>
  <c r="AE431" i="4"/>
  <c r="AH431" i="4" s="1"/>
  <c r="AI431" i="4" s="1"/>
  <c r="AP431" i="4"/>
  <c r="AE430" i="4"/>
  <c r="AL430" i="4"/>
  <c r="AQ430" i="4"/>
  <c r="AE429" i="4"/>
  <c r="AL429" i="4"/>
  <c r="AQ429" i="4"/>
  <c r="AM428" i="4"/>
  <c r="AG428" i="4"/>
  <c r="AL427" i="4"/>
  <c r="AM427" i="4"/>
  <c r="AR427" i="4"/>
  <c r="AK426" i="4"/>
  <c r="AG426" i="4"/>
  <c r="AE426" i="4"/>
  <c r="AL426" i="4"/>
  <c r="AQ426" i="4"/>
  <c r="AE425" i="4"/>
  <c r="AH425" i="4" s="1"/>
  <c r="AI425" i="4" s="1"/>
  <c r="AL425" i="4"/>
  <c r="AQ425" i="4"/>
  <c r="AM424" i="4"/>
  <c r="AE424" i="4"/>
  <c r="AF424" i="4"/>
  <c r="AQ424" i="4"/>
  <c r="AF422" i="4"/>
  <c r="AM422" i="4"/>
  <c r="AR422" i="4"/>
  <c r="AK421" i="4"/>
  <c r="AP421" i="4"/>
  <c r="AK420" i="4"/>
  <c r="AP420" i="4"/>
  <c r="AF418" i="4"/>
  <c r="AM418" i="4"/>
  <c r="AR418" i="4"/>
  <c r="AF417" i="4"/>
  <c r="AG417" i="4"/>
  <c r="AR417" i="4"/>
  <c r="AK417" i="4"/>
  <c r="AP417" i="4"/>
  <c r="AL416" i="4"/>
  <c r="AK416" i="4"/>
  <c r="AP416" i="4"/>
  <c r="AM415" i="4"/>
  <c r="AR415" i="4"/>
  <c r="AE415" i="4"/>
  <c r="AH415" i="4" s="1"/>
  <c r="AI415" i="4" s="1"/>
  <c r="AP415" i="4"/>
  <c r="AE414" i="4"/>
  <c r="AL414" i="4"/>
  <c r="AQ414" i="4"/>
  <c r="AE412" i="4"/>
  <c r="AH412" i="4" s="1"/>
  <c r="AI412" i="4" s="1"/>
  <c r="AM411" i="4"/>
  <c r="AK411" i="4"/>
  <c r="AG411" i="4"/>
  <c r="AF411" i="4"/>
  <c r="AQ411" i="4"/>
  <c r="AM410" i="4"/>
  <c r="AR410" i="4"/>
  <c r="AM409" i="4"/>
  <c r="AE409" i="4"/>
  <c r="AL409" i="4"/>
  <c r="AQ409" i="4"/>
  <c r="AK408" i="4"/>
  <c r="AP408" i="4"/>
  <c r="AK407" i="4"/>
  <c r="AE407" i="4"/>
  <c r="AF407" i="4"/>
  <c r="AQ407" i="4"/>
  <c r="AL406" i="4"/>
  <c r="AM406" i="4"/>
  <c r="AR406" i="4"/>
  <c r="AE406" i="4"/>
  <c r="AP406" i="4"/>
  <c r="AK405" i="4"/>
  <c r="AG405" i="4"/>
  <c r="AE405" i="4"/>
  <c r="AL405" i="4"/>
  <c r="AQ405" i="4"/>
  <c r="AG404" i="4"/>
  <c r="AR404" i="4"/>
  <c r="AK404" i="4"/>
  <c r="AP404" i="4"/>
  <c r="AM401" i="4"/>
  <c r="AE401" i="4"/>
  <c r="AL401" i="4"/>
  <c r="AQ401" i="4"/>
  <c r="AF400" i="4"/>
  <c r="AG400" i="4"/>
  <c r="AR400" i="4"/>
  <c r="AK400" i="4"/>
  <c r="AP400" i="4"/>
  <c r="AL399" i="4"/>
  <c r="AK399" i="4"/>
  <c r="AP399" i="4"/>
  <c r="AL398" i="4"/>
  <c r="AM398" i="4"/>
  <c r="AR398" i="4"/>
  <c r="AE398" i="4"/>
  <c r="AH398" i="4" s="1"/>
  <c r="AI398" i="4" s="1"/>
  <c r="AP398" i="4"/>
  <c r="AF397" i="4"/>
  <c r="AG397" i="4"/>
  <c r="AR397" i="4"/>
  <c r="AM396" i="4"/>
  <c r="AE396" i="4"/>
  <c r="AM395" i="4"/>
  <c r="AK395" i="4"/>
  <c r="AG395" i="4"/>
  <c r="AF395" i="4"/>
  <c r="AQ395" i="4"/>
  <c r="AL394" i="4"/>
  <c r="AM394" i="4"/>
  <c r="AR394" i="4"/>
  <c r="AE394" i="4"/>
  <c r="AH394" i="4" s="1"/>
  <c r="AI394" i="4" s="1"/>
  <c r="AP394" i="4"/>
  <c r="AF393" i="4"/>
  <c r="AM393" i="4"/>
  <c r="AR393" i="4"/>
  <c r="AM392" i="4"/>
  <c r="AE392" i="4"/>
  <c r="AH392" i="4" s="1"/>
  <c r="AI392" i="4" s="1"/>
  <c r="AL392" i="4"/>
  <c r="AQ392" i="4"/>
  <c r="AM391" i="4"/>
  <c r="AE391" i="4"/>
  <c r="AH391" i="4" s="1"/>
  <c r="AI391" i="4" s="1"/>
  <c r="AF391" i="4"/>
  <c r="AQ391" i="4"/>
  <c r="AK390" i="4"/>
  <c r="AF389" i="4"/>
  <c r="AG389" i="4"/>
  <c r="AR389" i="4"/>
  <c r="AM388" i="4"/>
  <c r="AE388" i="4"/>
  <c r="AM387" i="4"/>
  <c r="AK387" i="4"/>
  <c r="AG387" i="4"/>
  <c r="AF387" i="4"/>
  <c r="AQ387" i="4"/>
  <c r="AL386" i="4"/>
  <c r="AM386" i="4"/>
  <c r="AR386" i="4"/>
  <c r="AE386" i="4"/>
  <c r="AH386" i="4" s="1"/>
  <c r="AI386" i="4" s="1"/>
  <c r="AP386" i="4"/>
  <c r="AF385" i="4"/>
  <c r="AM385" i="4"/>
  <c r="AR385" i="4"/>
  <c r="AM384" i="4"/>
  <c r="AE384" i="4"/>
  <c r="AH384" i="4" s="1"/>
  <c r="AI384" i="4" s="1"/>
  <c r="AL384" i="4"/>
  <c r="AQ384" i="4"/>
  <c r="AM383" i="4"/>
  <c r="AE383" i="4"/>
  <c r="AF383" i="4"/>
  <c r="AQ383" i="4"/>
  <c r="AK382" i="4"/>
  <c r="AM381" i="4"/>
  <c r="AE381" i="4"/>
  <c r="AL381" i="4"/>
  <c r="AQ381" i="4"/>
  <c r="AL380" i="4"/>
  <c r="AF380" i="4"/>
  <c r="AG380" i="4"/>
  <c r="AR380" i="4"/>
  <c r="AK380" i="4"/>
  <c r="AP380" i="4"/>
  <c r="AE377" i="4"/>
  <c r="AG376" i="4"/>
  <c r="AR376" i="4"/>
  <c r="AK376" i="4"/>
  <c r="AP376" i="4"/>
  <c r="AL375" i="4"/>
  <c r="AK375" i="4"/>
  <c r="AP375" i="4"/>
  <c r="AM374" i="4"/>
  <c r="AR374" i="4"/>
  <c r="AE374" i="4"/>
  <c r="AH374" i="4" s="1"/>
  <c r="AI374" i="4" s="1"/>
  <c r="AP374" i="4"/>
  <c r="AE373" i="4"/>
  <c r="AH373" i="4" s="1"/>
  <c r="AI373" i="4" s="1"/>
  <c r="AL373" i="4"/>
  <c r="AQ373" i="4"/>
  <c r="AK372" i="4"/>
  <c r="AP372" i="4"/>
  <c r="AG370" i="4"/>
  <c r="AF370" i="4"/>
  <c r="AQ370" i="4"/>
  <c r="AL369" i="4"/>
  <c r="AE369" i="4"/>
  <c r="AP369" i="4"/>
  <c r="AK368" i="4"/>
  <c r="AG368" i="4"/>
  <c r="AL368" i="4"/>
  <c r="AQ368" i="4"/>
  <c r="AM367" i="4"/>
  <c r="AR367" i="4"/>
  <c r="AK367" i="4"/>
  <c r="AP367" i="4"/>
  <c r="AM366" i="4"/>
  <c r="AG366" i="4"/>
  <c r="AE366" i="4"/>
  <c r="AL366" i="4"/>
  <c r="AQ366" i="4"/>
  <c r="AL365" i="4"/>
  <c r="AG365" i="4"/>
  <c r="AR365" i="4"/>
  <c r="AE365" i="4"/>
  <c r="AP365" i="4"/>
  <c r="AF364" i="4"/>
  <c r="AM364" i="4"/>
  <c r="AR364" i="4"/>
  <c r="AM363" i="4"/>
  <c r="AE363" i="4"/>
  <c r="AM362" i="4"/>
  <c r="AE362" i="4"/>
  <c r="AF362" i="4"/>
  <c r="AQ362" i="4"/>
  <c r="AM361" i="4"/>
  <c r="AR361" i="4"/>
  <c r="AE361" i="4"/>
  <c r="AH361" i="4" s="1"/>
  <c r="AI361" i="4" s="1"/>
  <c r="AP361" i="4"/>
  <c r="AM360" i="4"/>
  <c r="AE360" i="4"/>
  <c r="AH360" i="4" s="1"/>
  <c r="AI360" i="4" s="1"/>
  <c r="AL360" i="4"/>
  <c r="AQ360" i="4"/>
  <c r="AG359" i="4"/>
  <c r="AR359" i="4"/>
  <c r="AK359" i="4"/>
  <c r="AP359" i="4"/>
  <c r="AK357" i="4"/>
  <c r="AE356" i="4"/>
  <c r="AL356" i="4"/>
  <c r="AQ356" i="4"/>
  <c r="AG355" i="4"/>
  <c r="AR355" i="4"/>
  <c r="AK355" i="4"/>
  <c r="AP355" i="4"/>
  <c r="AL354" i="4"/>
  <c r="AK354" i="4"/>
  <c r="AP354" i="4"/>
  <c r="AF352" i="4"/>
  <c r="AG352" i="4"/>
  <c r="AR352" i="4"/>
  <c r="AG351" i="4"/>
  <c r="AR351" i="4"/>
  <c r="AK351" i="4"/>
  <c r="AP351" i="4"/>
  <c r="AK349" i="4"/>
  <c r="AE348" i="4"/>
  <c r="AL348" i="4"/>
  <c r="AQ348" i="4"/>
  <c r="AG347" i="4"/>
  <c r="AR347" i="4"/>
  <c r="AK347" i="4"/>
  <c r="AP347" i="4"/>
  <c r="AE346" i="4"/>
  <c r="AF346" i="4"/>
  <c r="AQ346" i="4"/>
  <c r="AM345" i="4"/>
  <c r="AR345" i="4"/>
  <c r="AE345" i="4"/>
  <c r="AH345" i="4" s="1"/>
  <c r="AI345" i="4" s="1"/>
  <c r="AP345" i="4"/>
  <c r="AM344" i="4"/>
  <c r="AE344" i="4"/>
  <c r="AH344" i="4" s="1"/>
  <c r="AI344" i="4" s="1"/>
  <c r="AL344" i="4"/>
  <c r="AQ344" i="4"/>
  <c r="AE343" i="4"/>
  <c r="AF343" i="4"/>
  <c r="AQ343" i="4"/>
  <c r="AM342" i="4"/>
  <c r="AE342" i="4"/>
  <c r="AL341" i="4"/>
  <c r="AM341" i="4"/>
  <c r="AR341" i="4"/>
  <c r="AE341" i="4"/>
  <c r="AP341" i="4"/>
  <c r="AF340" i="4"/>
  <c r="AM340" i="4"/>
  <c r="AR340" i="4"/>
  <c r="AM339" i="4"/>
  <c r="AE339" i="4"/>
  <c r="AL339" i="4"/>
  <c r="AQ339" i="4"/>
  <c r="AF336" i="4"/>
  <c r="AG336" i="4"/>
  <c r="AR336" i="4"/>
  <c r="AG335" i="4"/>
  <c r="AR335" i="4"/>
  <c r="AK335" i="4"/>
  <c r="AP335" i="4"/>
  <c r="AK334" i="4"/>
  <c r="AG334" i="4"/>
  <c r="AL333" i="4"/>
  <c r="AM333" i="4"/>
  <c r="AR333" i="4"/>
  <c r="AE333" i="4"/>
  <c r="AP333" i="4"/>
  <c r="AF332" i="4"/>
  <c r="AM332" i="4"/>
  <c r="AR332" i="4"/>
  <c r="AM331" i="4"/>
  <c r="AE331" i="4"/>
  <c r="AL331" i="4"/>
  <c r="AQ331" i="4"/>
  <c r="AF328" i="4"/>
  <c r="AG328" i="4"/>
  <c r="AR328" i="4"/>
  <c r="AG327" i="4"/>
  <c r="AR327" i="4"/>
  <c r="AK327" i="4"/>
  <c r="AP327" i="4"/>
  <c r="AK326" i="4"/>
  <c r="AG326" i="4"/>
  <c r="AE324" i="4"/>
  <c r="AL324" i="4"/>
  <c r="AQ324" i="4"/>
  <c r="AG323" i="4"/>
  <c r="AR323" i="4"/>
  <c r="AK323" i="4"/>
  <c r="AP323" i="4"/>
  <c r="AG322" i="4"/>
  <c r="AF322" i="4"/>
  <c r="AQ322" i="4"/>
  <c r="AM321" i="4"/>
  <c r="AR321" i="4"/>
  <c r="AE321" i="4"/>
  <c r="AH321" i="4" s="1"/>
  <c r="AI321" i="4" s="1"/>
  <c r="AP321" i="4"/>
  <c r="AM320" i="4"/>
  <c r="AE320" i="4"/>
  <c r="AL320" i="4"/>
  <c r="AQ320" i="4"/>
  <c r="AE319" i="4"/>
  <c r="AF319" i="4"/>
  <c r="AQ319" i="4"/>
  <c r="AM317" i="4"/>
  <c r="AR317" i="4"/>
  <c r="AE317" i="4"/>
  <c r="AP317" i="4"/>
  <c r="AM316" i="4"/>
  <c r="AR316" i="4"/>
  <c r="AG315" i="4"/>
  <c r="AR315" i="4"/>
  <c r="AK315" i="4"/>
  <c r="AP315" i="4"/>
  <c r="AG314" i="4"/>
  <c r="AF314" i="4"/>
  <c r="AQ314" i="4"/>
  <c r="AM310" i="4"/>
  <c r="AE310" i="4"/>
  <c r="AL310" i="4"/>
  <c r="AQ310" i="4"/>
  <c r="AM308" i="4"/>
  <c r="AG308" i="4"/>
  <c r="AF308" i="4"/>
  <c r="AQ308" i="4"/>
  <c r="AF306" i="4"/>
  <c r="AM306" i="4"/>
  <c r="AR306" i="4"/>
  <c r="AM305" i="4"/>
  <c r="AE305" i="4"/>
  <c r="AL303" i="4"/>
  <c r="AH303" i="4"/>
  <c r="AI303" i="4" s="1"/>
  <c r="AM303" i="4"/>
  <c r="AR303" i="4"/>
  <c r="AE303" i="4"/>
  <c r="AP303" i="4"/>
  <c r="AE301" i="4"/>
  <c r="AH301" i="4" s="1"/>
  <c r="AI301" i="4" s="1"/>
  <c r="AL301" i="4"/>
  <c r="AQ301" i="4"/>
  <c r="AL299" i="4"/>
  <c r="AM299" i="4"/>
  <c r="AR299" i="4"/>
  <c r="AE299" i="4"/>
  <c r="AH299" i="4" s="1"/>
  <c r="AI299" i="4" s="1"/>
  <c r="AP299" i="4"/>
  <c r="AF298" i="4"/>
  <c r="AG297" i="4"/>
  <c r="AR297" i="4"/>
  <c r="AK297" i="4"/>
  <c r="AP297" i="4"/>
  <c r="AE296" i="4"/>
  <c r="AF296" i="4"/>
  <c r="AQ296" i="4"/>
  <c r="AK295" i="4"/>
  <c r="AK294" i="4"/>
  <c r="AG294" i="4"/>
  <c r="AE294" i="4"/>
  <c r="AL294" i="4"/>
  <c r="AQ294" i="4"/>
  <c r="AG293" i="4"/>
  <c r="AR293" i="4"/>
  <c r="AK293" i="4"/>
  <c r="AP293" i="4"/>
  <c r="AE292" i="4"/>
  <c r="AP292" i="4"/>
  <c r="AG289" i="4"/>
  <c r="AR289" i="4"/>
  <c r="AK289" i="4"/>
  <c r="AP289" i="4"/>
  <c r="AG288" i="4"/>
  <c r="AF288" i="4"/>
  <c r="AQ288" i="4"/>
  <c r="AM287" i="4"/>
  <c r="AR287" i="4"/>
  <c r="AM286" i="4"/>
  <c r="AR286" i="4"/>
  <c r="AE285" i="4"/>
  <c r="AF285" i="4"/>
  <c r="AQ285" i="4"/>
  <c r="AE284" i="4"/>
  <c r="AH284" i="4" s="1"/>
  <c r="AI284" i="4" s="1"/>
  <c r="AP284" i="4"/>
  <c r="AM283" i="4"/>
  <c r="AR283" i="4"/>
  <c r="AE283" i="4"/>
  <c r="AP283" i="4"/>
  <c r="AF282" i="4"/>
  <c r="AM282" i="4"/>
  <c r="AR282" i="4"/>
  <c r="AG281" i="4"/>
  <c r="AR281" i="4"/>
  <c r="AK281" i="4"/>
  <c r="AP281" i="4"/>
  <c r="AL279" i="4"/>
  <c r="AM279" i="4"/>
  <c r="AR279" i="4"/>
  <c r="AE279" i="4"/>
  <c r="AH279" i="4" s="1"/>
  <c r="AI279" i="4" s="1"/>
  <c r="AP279" i="4"/>
  <c r="AM278" i="4"/>
  <c r="AE278" i="4"/>
  <c r="AL278" i="4"/>
  <c r="AQ278" i="4"/>
  <c r="AK276" i="4"/>
  <c r="AP276" i="4"/>
  <c r="AM274" i="4"/>
  <c r="AE274" i="4"/>
  <c r="AH274" i="4" s="1"/>
  <c r="AI274" i="4" s="1"/>
  <c r="AL274" i="4"/>
  <c r="AQ274" i="4"/>
  <c r="AK273" i="4"/>
  <c r="AP273" i="4"/>
  <c r="AK272" i="4"/>
  <c r="AG272" i="4"/>
  <c r="AE270" i="4"/>
  <c r="AG269" i="4"/>
  <c r="AR269" i="4"/>
  <c r="AL268" i="4"/>
  <c r="AK268" i="4"/>
  <c r="AP268" i="4"/>
  <c r="AG266" i="4"/>
  <c r="AR266" i="4"/>
  <c r="AK266" i="4"/>
  <c r="AP266" i="4"/>
  <c r="AK265" i="4"/>
  <c r="AG265" i="4"/>
  <c r="AL265" i="4"/>
  <c r="AQ265" i="4"/>
  <c r="AL264" i="4"/>
  <c r="AF264" i="4"/>
  <c r="AH264" i="4" s="1"/>
  <c r="AI264" i="4" s="1"/>
  <c r="AM264" i="4"/>
  <c r="AR264" i="4"/>
  <c r="AM263" i="4"/>
  <c r="AE263" i="4"/>
  <c r="AL263" i="4"/>
  <c r="AQ263" i="4"/>
  <c r="AF262" i="4"/>
  <c r="AH262" i="4" s="1"/>
  <c r="AI262" i="4" s="1"/>
  <c r="AG262" i="4"/>
  <c r="AR262" i="4"/>
  <c r="AE261" i="4"/>
  <c r="AP261" i="4"/>
  <c r="AM260" i="4"/>
  <c r="AR260" i="4"/>
  <c r="AE260" i="4"/>
  <c r="AP260" i="4"/>
  <c r="AF259" i="4"/>
  <c r="AH259" i="4" s="1"/>
  <c r="AI259" i="4" s="1"/>
  <c r="AG259" i="4"/>
  <c r="AR259" i="4"/>
  <c r="AK258" i="4"/>
  <c r="AP258" i="4"/>
  <c r="AL257" i="4"/>
  <c r="AK257" i="4"/>
  <c r="AP257" i="4"/>
  <c r="AM255" i="4"/>
  <c r="AK255" i="4"/>
  <c r="AG255" i="4"/>
  <c r="AE255" i="4"/>
  <c r="AK254" i="4"/>
  <c r="AE254" i="4"/>
  <c r="AF254" i="4"/>
  <c r="AQ254" i="4"/>
  <c r="AM253" i="4"/>
  <c r="AR253" i="4"/>
  <c r="AL252" i="4"/>
  <c r="AM252" i="4"/>
  <c r="AR252" i="4"/>
  <c r="AE252" i="4"/>
  <c r="AH252" i="4" s="1"/>
  <c r="AI252" i="4" s="1"/>
  <c r="AP252" i="4"/>
  <c r="AM251" i="4"/>
  <c r="AE251" i="4"/>
  <c r="AL251" i="4"/>
  <c r="AQ251" i="4"/>
  <c r="AK250" i="4"/>
  <c r="AP250" i="4"/>
  <c r="AM249" i="4"/>
  <c r="AE249" i="4"/>
  <c r="AG248" i="4"/>
  <c r="AE248" i="4"/>
  <c r="AH248" i="4" s="1"/>
  <c r="AI248" i="4" s="1"/>
  <c r="AF247" i="4"/>
  <c r="AH247" i="4" s="1"/>
  <c r="AI247" i="4" s="1"/>
  <c r="AG247" i="4"/>
  <c r="AR247" i="4"/>
  <c r="AL246" i="4"/>
  <c r="AG246" i="4"/>
  <c r="AR246" i="4"/>
  <c r="AE246" i="4"/>
  <c r="AH246" i="4" s="1"/>
  <c r="AI246" i="4" s="1"/>
  <c r="AP246" i="4"/>
  <c r="AG245" i="4"/>
  <c r="AF245" i="4"/>
  <c r="AQ245" i="4"/>
  <c r="AL244" i="4"/>
  <c r="AM244" i="4"/>
  <c r="AR244" i="4"/>
  <c r="AE244" i="4"/>
  <c r="AP244" i="4"/>
  <c r="AG243" i="4"/>
  <c r="AR243" i="4"/>
  <c r="AE243" i="4"/>
  <c r="AP243" i="4"/>
  <c r="AM242" i="4"/>
  <c r="AR242" i="4"/>
  <c r="AK242" i="4"/>
  <c r="AP242" i="4"/>
  <c r="AL240" i="4"/>
  <c r="AK240" i="4"/>
  <c r="AP240" i="4"/>
  <c r="AE239" i="4"/>
  <c r="AF238" i="4"/>
  <c r="AH238" i="4" s="1"/>
  <c r="AI238" i="4" s="1"/>
  <c r="AG238" i="4"/>
  <c r="AR238" i="4"/>
  <c r="AL237" i="4"/>
  <c r="AG237" i="4"/>
  <c r="AR237" i="4"/>
  <c r="AM236" i="4"/>
  <c r="AR236" i="4"/>
  <c r="AE236" i="4"/>
  <c r="AH236" i="4" s="1"/>
  <c r="AI236" i="4" s="1"/>
  <c r="AP236" i="4"/>
  <c r="AM235" i="4"/>
  <c r="AR235" i="4"/>
  <c r="AE235" i="4"/>
  <c r="AP235" i="4"/>
  <c r="AF234" i="4"/>
  <c r="AH234" i="4" s="1"/>
  <c r="AI234" i="4" s="1"/>
  <c r="AG234" i="4"/>
  <c r="AR234" i="4"/>
  <c r="AK234" i="4"/>
  <c r="AP234" i="4"/>
  <c r="AK233" i="4"/>
  <c r="AP233" i="4"/>
  <c r="AM232" i="4"/>
  <c r="AK232" i="4"/>
  <c r="AF231" i="4"/>
  <c r="AG231" i="4"/>
  <c r="AR231" i="4"/>
  <c r="AG230" i="4"/>
  <c r="AR230" i="4"/>
  <c r="AE229" i="4"/>
  <c r="AH229" i="4" s="1"/>
  <c r="AI229" i="4" s="1"/>
  <c r="AF229" i="4"/>
  <c r="AQ229" i="4"/>
  <c r="AL228" i="4"/>
  <c r="AM228" i="4"/>
  <c r="AR228" i="4"/>
  <c r="AE228" i="4"/>
  <c r="AH228" i="4" s="1"/>
  <c r="AI228" i="4" s="1"/>
  <c r="AP228" i="4"/>
  <c r="AK227" i="4"/>
  <c r="AL227" i="4"/>
  <c r="AQ227" i="4"/>
  <c r="AF226" i="4"/>
  <c r="AH226" i="4" s="1"/>
  <c r="AI226" i="4" s="1"/>
  <c r="AG226" i="4"/>
  <c r="AR226" i="4"/>
  <c r="AK226" i="4"/>
  <c r="AP226" i="4"/>
  <c r="AK225" i="4"/>
  <c r="AP225" i="4"/>
  <c r="AL224" i="4"/>
  <c r="AE224" i="4"/>
  <c r="AP224" i="4"/>
  <c r="AL223" i="4"/>
  <c r="AF223" i="4"/>
  <c r="AM223" i="4"/>
  <c r="AR223" i="4"/>
  <c r="AM222" i="4"/>
  <c r="AE222" i="4"/>
  <c r="AH222" i="4" s="1"/>
  <c r="AI222" i="4" s="1"/>
  <c r="AL222" i="4"/>
  <c r="AQ222" i="4"/>
  <c r="AG221" i="4"/>
  <c r="AR221" i="4"/>
  <c r="AK221" i="4"/>
  <c r="AP221" i="4"/>
  <c r="AK220" i="4"/>
  <c r="AG220" i="4"/>
  <c r="AF220" i="4"/>
  <c r="AQ220" i="4"/>
  <c r="AK219" i="4"/>
  <c r="AL219" i="4"/>
  <c r="AQ219" i="4"/>
  <c r="AE218" i="4"/>
  <c r="AL218" i="4"/>
  <c r="AQ218" i="4"/>
  <c r="AK217" i="4"/>
  <c r="AP217" i="4"/>
  <c r="AF216" i="4"/>
  <c r="AQ216" i="4"/>
  <c r="AK213" i="4"/>
  <c r="AP213" i="4"/>
  <c r="AM212" i="4"/>
  <c r="AR212" i="4"/>
  <c r="AE212" i="4"/>
  <c r="AP212" i="4"/>
  <c r="AL211" i="4"/>
  <c r="AQ211" i="4"/>
  <c r="AL210" i="4"/>
  <c r="AQ210" i="4"/>
  <c r="AM209" i="4"/>
  <c r="AR209" i="4"/>
  <c r="AK209" i="4"/>
  <c r="AP209" i="4"/>
  <c r="AM208" i="4"/>
  <c r="AR208" i="4"/>
  <c r="AL207" i="4"/>
  <c r="AQ207" i="4"/>
  <c r="AK206" i="4"/>
  <c r="AP206" i="4"/>
  <c r="AF205" i="4"/>
  <c r="AH205" i="4" s="1"/>
  <c r="AI205" i="4" s="1"/>
  <c r="AQ205" i="4"/>
  <c r="AM204" i="4"/>
  <c r="AR204" i="4"/>
  <c r="AE204" i="4"/>
  <c r="AP204" i="4"/>
  <c r="AL203" i="4"/>
  <c r="AQ203" i="4"/>
  <c r="AK202" i="4"/>
  <c r="AP202" i="4"/>
  <c r="AK201" i="4"/>
  <c r="AP201" i="4"/>
  <c r="AL199" i="4"/>
  <c r="AQ199" i="4"/>
  <c r="AG198" i="4"/>
  <c r="AR198" i="4"/>
  <c r="AK198" i="4"/>
  <c r="AP198" i="4"/>
  <c r="AF197" i="4"/>
  <c r="AQ197" i="4"/>
  <c r="AM196" i="4"/>
  <c r="AR196" i="4"/>
  <c r="AE196" i="4"/>
  <c r="AP196" i="4"/>
  <c r="AL195" i="4"/>
  <c r="AQ195" i="4"/>
  <c r="AK194" i="4"/>
  <c r="AP194" i="4"/>
  <c r="AK193" i="4"/>
  <c r="AP193" i="4"/>
  <c r="AM192" i="4"/>
  <c r="AR192" i="4"/>
  <c r="AG190" i="4"/>
  <c r="AR190" i="4"/>
  <c r="AK190" i="4"/>
  <c r="AP190" i="4"/>
  <c r="S361" i="6"/>
  <c r="R361" i="6"/>
  <c r="W361" i="6" s="1"/>
  <c r="Z361" i="6" s="1"/>
  <c r="R345" i="6"/>
  <c r="W345" i="6" s="1"/>
  <c r="Z345" i="6" s="1"/>
  <c r="S345" i="6"/>
  <c r="R329" i="6"/>
  <c r="W329" i="6" s="1"/>
  <c r="Z329" i="6" s="1"/>
  <c r="S329" i="6"/>
  <c r="U321" i="6"/>
  <c r="X321" i="6" s="1"/>
  <c r="V321" i="6"/>
  <c r="Y321" i="6" s="1"/>
  <c r="S313" i="6"/>
  <c r="R313" i="6"/>
  <c r="W313" i="6" s="1"/>
  <c r="Z313" i="6" s="1"/>
  <c r="R297" i="6"/>
  <c r="W297" i="6" s="1"/>
  <c r="Z297" i="6" s="1"/>
  <c r="S297" i="6"/>
  <c r="R287" i="6"/>
  <c r="W287" i="6" s="1"/>
  <c r="Z287" i="6" s="1"/>
  <c r="T287" i="6"/>
  <c r="R281" i="6"/>
  <c r="W281" i="6" s="1"/>
  <c r="Z281" i="6" s="1"/>
  <c r="S281" i="6"/>
  <c r="R265" i="6"/>
  <c r="W265" i="6" s="1"/>
  <c r="Z265" i="6" s="1"/>
  <c r="S265" i="6"/>
  <c r="R340" i="6"/>
  <c r="W340" i="6" s="1"/>
  <c r="Z340" i="6" s="1"/>
  <c r="R316" i="6"/>
  <c r="W316" i="6" s="1"/>
  <c r="Z316" i="6" s="1"/>
  <c r="R276" i="6"/>
  <c r="W276" i="6" s="1"/>
  <c r="Z276" i="6" s="1"/>
  <c r="R244" i="6"/>
  <c r="W244" i="6" s="1"/>
  <c r="Z244" i="6" s="1"/>
  <c r="R220" i="6"/>
  <c r="W220" i="6" s="1"/>
  <c r="Z220" i="6" s="1"/>
  <c r="R212" i="6"/>
  <c r="W212" i="6" s="1"/>
  <c r="Z212" i="6" s="1"/>
  <c r="R188" i="6"/>
  <c r="W188" i="6" s="1"/>
  <c r="Z188" i="6" s="1"/>
  <c r="R180" i="6"/>
  <c r="W180" i="6" s="1"/>
  <c r="Z180" i="6" s="1"/>
  <c r="R165" i="6"/>
  <c r="W165" i="6" s="1"/>
  <c r="Z165" i="6" s="1"/>
  <c r="R148" i="6"/>
  <c r="W148" i="6" s="1"/>
  <c r="Z148" i="6" s="1"/>
  <c r="R119" i="6"/>
  <c r="W119" i="6" s="1"/>
  <c r="Z119" i="6" s="1"/>
  <c r="R100" i="6"/>
  <c r="W100" i="6" s="1"/>
  <c r="Z100" i="6" s="1"/>
  <c r="S356" i="6"/>
  <c r="S227" i="6"/>
  <c r="S137" i="6"/>
  <c r="S121" i="6"/>
  <c r="S47" i="6"/>
  <c r="AI47" i="6" s="1"/>
  <c r="S22" i="6"/>
  <c r="AI22" i="6" s="1"/>
  <c r="U280" i="6"/>
  <c r="X280" i="6" s="1"/>
  <c r="U221" i="6"/>
  <c r="X221" i="6" s="1"/>
  <c r="V340" i="6"/>
  <c r="Y340" i="6" s="1"/>
  <c r="V258" i="6"/>
  <c r="Y258" i="6" s="1"/>
  <c r="V3" i="6"/>
  <c r="Y3" i="6" s="1"/>
  <c r="AD3" i="6" s="1"/>
  <c r="R292" i="6"/>
  <c r="W292" i="6" s="1"/>
  <c r="Z292" i="6" s="1"/>
  <c r="R260" i="6"/>
  <c r="W260" i="6" s="1"/>
  <c r="Z260" i="6" s="1"/>
  <c r="R228" i="6"/>
  <c r="W228" i="6" s="1"/>
  <c r="Z228" i="6" s="1"/>
  <c r="R164" i="6"/>
  <c r="W164" i="6" s="1"/>
  <c r="Z164" i="6" s="1"/>
  <c r="R145" i="6"/>
  <c r="W145" i="6" s="1"/>
  <c r="Z145" i="6" s="1"/>
  <c r="R104" i="6"/>
  <c r="W104" i="6" s="1"/>
  <c r="Z104" i="6" s="1"/>
  <c r="R23" i="6"/>
  <c r="S330" i="6"/>
  <c r="S44" i="6"/>
  <c r="AI44" i="6" s="1"/>
  <c r="T223" i="6"/>
  <c r="U352" i="6"/>
  <c r="X352" i="6" s="1"/>
  <c r="U225" i="6"/>
  <c r="X225" i="6" s="1"/>
  <c r="U151" i="6"/>
  <c r="X151" i="6" s="1"/>
  <c r="V54" i="8"/>
  <c r="AM18" i="8" s="1"/>
  <c r="AL65" i="8"/>
  <c r="AT65" i="8"/>
  <c r="AS65" i="8"/>
  <c r="AN65" i="8"/>
  <c r="AU65" i="8"/>
  <c r="AV37" i="8"/>
  <c r="AU37" i="8"/>
  <c r="AT37" i="8"/>
  <c r="AU42" i="8"/>
  <c r="AT42" i="8"/>
  <c r="AV42" i="8"/>
  <c r="AU43" i="8"/>
  <c r="AT43" i="8"/>
  <c r="AV43" i="8"/>
  <c r="AU44" i="8"/>
  <c r="AT44" i="8"/>
  <c r="AV44" i="8"/>
  <c r="AT63" i="8"/>
  <c r="AV63" i="8"/>
  <c r="AU63" i="8"/>
  <c r="AU51" i="8"/>
  <c r="AT51" i="8"/>
  <c r="AV51" i="8"/>
  <c r="AU58" i="8"/>
  <c r="AT58" i="8"/>
  <c r="AV58" i="8"/>
  <c r="AU59" i="8"/>
  <c r="AT59" i="8"/>
  <c r="AV59" i="8"/>
  <c r="AU60" i="8"/>
  <c r="AT60" i="8"/>
  <c r="AV60" i="8"/>
  <c r="AV45" i="8"/>
  <c r="AU45" i="8"/>
  <c r="AT45" i="8"/>
  <c r="AV54" i="8"/>
  <c r="AT54" i="8"/>
  <c r="AU54" i="8"/>
  <c r="AT48" i="8"/>
  <c r="AV48" i="8"/>
  <c r="AU48" i="8"/>
  <c r="AT40" i="8"/>
  <c r="AV40" i="8"/>
  <c r="AU40" i="8"/>
  <c r="AV46" i="8"/>
  <c r="AU46" i="8"/>
  <c r="AT46" i="8"/>
  <c r="AV53" i="8"/>
  <c r="AU53" i="8"/>
  <c r="AT53" i="8"/>
  <c r="AT56" i="8"/>
  <c r="AV56" i="8"/>
  <c r="AU56" i="8"/>
  <c r="AV62" i="8"/>
  <c r="AU62" i="8"/>
  <c r="AT62" i="8"/>
  <c r="AV61" i="8"/>
  <c r="AU61" i="8"/>
  <c r="AT61" i="8"/>
  <c r="AT64" i="8"/>
  <c r="AV64" i="8"/>
  <c r="AU64" i="8"/>
  <c r="AU50" i="8"/>
  <c r="AT50" i="8"/>
  <c r="AV50" i="8"/>
  <c r="AL57" i="8"/>
  <c r="AT57" i="8"/>
  <c r="AU57" i="8"/>
  <c r="AV57" i="8"/>
  <c r="AV34" i="8"/>
  <c r="AU34" i="8"/>
  <c r="AT34" i="8"/>
  <c r="AT39" i="8"/>
  <c r="AV39" i="8"/>
  <c r="AU39" i="8"/>
  <c r="AL41" i="8"/>
  <c r="AT41" i="8"/>
  <c r="AV41" i="8"/>
  <c r="AU41" i="8"/>
  <c r="AV38" i="8"/>
  <c r="AT38" i="8"/>
  <c r="AU38" i="8"/>
  <c r="AT47" i="8"/>
  <c r="AV47" i="8"/>
  <c r="AU47" i="8"/>
  <c r="AU52" i="8"/>
  <c r="AT52" i="8"/>
  <c r="AV52" i="8"/>
  <c r="AU35" i="8"/>
  <c r="AT35" i="8"/>
  <c r="AV35" i="8"/>
  <c r="AU36" i="8"/>
  <c r="AT36" i="8"/>
  <c r="AV36" i="8"/>
  <c r="AT55" i="8"/>
  <c r="AV55" i="8"/>
  <c r="AU55" i="8"/>
  <c r="AN49" i="8"/>
  <c r="AT49" i="8"/>
  <c r="AV49" i="8"/>
  <c r="AU49" i="8"/>
  <c r="X34" i="8"/>
  <c r="AL18" i="8" s="1"/>
  <c r="L65" i="8"/>
  <c r="L66" i="8"/>
  <c r="AL49" i="8"/>
  <c r="L41" i="8"/>
  <c r="AK41" i="8" s="1"/>
  <c r="AQ41" i="8" s="1"/>
  <c r="L57" i="8"/>
  <c r="AK57" i="8" s="1"/>
  <c r="AR57" i="8" s="1"/>
  <c r="L45" i="8"/>
  <c r="L52" i="8"/>
  <c r="AK52" i="8" s="1"/>
  <c r="L43" i="8"/>
  <c r="L44" i="8"/>
  <c r="L36" i="8"/>
  <c r="AK36" i="8" s="1"/>
  <c r="L39" i="8"/>
  <c r="L64" i="8"/>
  <c r="L42" i="8"/>
  <c r="AJ18" i="8"/>
  <c r="AR77" i="8"/>
  <c r="AS49" i="8"/>
  <c r="AQ77" i="8"/>
  <c r="AR69" i="8"/>
  <c r="AQ69" i="8"/>
  <c r="AO69" i="8"/>
  <c r="AP76" i="8"/>
  <c r="AO76" i="8"/>
  <c r="AQ76" i="8"/>
  <c r="AN41" i="8"/>
  <c r="AO77" i="8"/>
  <c r="AS41" i="8"/>
  <c r="AS57" i="8"/>
  <c r="AP68" i="8"/>
  <c r="AP84" i="8"/>
  <c r="AN57" i="8"/>
  <c r="AO68" i="8"/>
  <c r="AO84" i="8"/>
  <c r="AQ68" i="8"/>
  <c r="AQ84" i="8"/>
  <c r="AL42" i="8"/>
  <c r="AN42" i="8"/>
  <c r="AS42" i="8"/>
  <c r="AL43" i="8"/>
  <c r="AN43" i="8"/>
  <c r="AS43" i="8"/>
  <c r="AL44" i="8"/>
  <c r="AN44" i="8"/>
  <c r="AS44" i="8"/>
  <c r="AN39" i="8"/>
  <c r="AS39" i="8"/>
  <c r="AL39" i="8"/>
  <c r="AL40" i="8"/>
  <c r="AN40" i="8"/>
  <c r="AS40" i="8"/>
  <c r="AQ73" i="8"/>
  <c r="AO73" i="8"/>
  <c r="AP73" i="8"/>
  <c r="AR73" i="8"/>
  <c r="AL50" i="8"/>
  <c r="AN50" i="8"/>
  <c r="AS50" i="8"/>
  <c r="AL51" i="8"/>
  <c r="AN51" i="8"/>
  <c r="AS51" i="8"/>
  <c r="AL52" i="8"/>
  <c r="AN52" i="8"/>
  <c r="AS52" i="8"/>
  <c r="AQ72" i="8"/>
  <c r="AO72" i="8"/>
  <c r="AP72" i="8"/>
  <c r="AR72" i="8"/>
  <c r="AN47" i="8"/>
  <c r="AS47" i="8"/>
  <c r="AL47" i="8"/>
  <c r="AL48" i="8"/>
  <c r="AN48" i="8"/>
  <c r="AS48" i="8"/>
  <c r="AL58" i="8"/>
  <c r="AN58" i="8"/>
  <c r="AS58" i="8"/>
  <c r="AL59" i="8"/>
  <c r="AN59" i="8"/>
  <c r="AS59" i="8"/>
  <c r="AL60" i="8"/>
  <c r="AN60" i="8"/>
  <c r="AS60" i="8"/>
  <c r="AQ80" i="8"/>
  <c r="AO80" i="8"/>
  <c r="AP80" i="8"/>
  <c r="AR80" i="8"/>
  <c r="AN55" i="8"/>
  <c r="AS55" i="8"/>
  <c r="AL55" i="8"/>
  <c r="AL56" i="8"/>
  <c r="AN56" i="8"/>
  <c r="AS56" i="8"/>
  <c r="AN46" i="8"/>
  <c r="AS46" i="8"/>
  <c r="AL46" i="8"/>
  <c r="AS37" i="8"/>
  <c r="AL37" i="8"/>
  <c r="AN37" i="8"/>
  <c r="AN38" i="8"/>
  <c r="AS38" i="8"/>
  <c r="AL38" i="8"/>
  <c r="AN63" i="8"/>
  <c r="AS63" i="8"/>
  <c r="AL63" i="8"/>
  <c r="AL64" i="8"/>
  <c r="AN64" i="8"/>
  <c r="AS64" i="8"/>
  <c r="AN62" i="8"/>
  <c r="AS62" i="8"/>
  <c r="AL62" i="8"/>
  <c r="AS45" i="8"/>
  <c r="AL45" i="8"/>
  <c r="AN45" i="8"/>
  <c r="AN54" i="8"/>
  <c r="AS54" i="8"/>
  <c r="AL54" i="8"/>
  <c r="AP70" i="8"/>
  <c r="AR70" i="8"/>
  <c r="AQ70" i="8"/>
  <c r="AO70" i="8"/>
  <c r="AQ71" i="8"/>
  <c r="AO71" i="8"/>
  <c r="AP71" i="8"/>
  <c r="AR71" i="8"/>
  <c r="AS53" i="8"/>
  <c r="AL53" i="8"/>
  <c r="AN53" i="8"/>
  <c r="AR67" i="8"/>
  <c r="AQ67" i="8"/>
  <c r="AO67" i="8"/>
  <c r="AP67" i="8"/>
  <c r="AP78" i="8"/>
  <c r="AR78" i="8"/>
  <c r="AQ78" i="8"/>
  <c r="AO78" i="8"/>
  <c r="AQ79" i="8"/>
  <c r="AO79" i="8"/>
  <c r="AP79" i="8"/>
  <c r="AR79" i="8"/>
  <c r="AS61" i="8"/>
  <c r="AL61" i="8"/>
  <c r="AN61" i="8"/>
  <c r="AR74" i="8"/>
  <c r="AQ74" i="8"/>
  <c r="AO74" i="8"/>
  <c r="AP74" i="8"/>
  <c r="AR75" i="8"/>
  <c r="AQ75" i="8"/>
  <c r="AO75" i="8"/>
  <c r="AP75" i="8"/>
  <c r="AQ81" i="8"/>
  <c r="AO81" i="8"/>
  <c r="AP81" i="8"/>
  <c r="AR81" i="8"/>
  <c r="AL35" i="8"/>
  <c r="AN35" i="8"/>
  <c r="AS35" i="8"/>
  <c r="AL36" i="8"/>
  <c r="AN36" i="8"/>
  <c r="AS36" i="8"/>
  <c r="AS34" i="8"/>
  <c r="AK34" i="8"/>
  <c r="AL34" i="8"/>
  <c r="AN34" i="8"/>
  <c r="AR82" i="8"/>
  <c r="AQ82" i="8"/>
  <c r="AO82" i="8"/>
  <c r="AP82" i="8"/>
  <c r="AR83" i="8"/>
  <c r="AQ83" i="8"/>
  <c r="AO83" i="8"/>
  <c r="AP83" i="8"/>
  <c r="L63" i="8"/>
  <c r="L48" i="8"/>
  <c r="L51" i="8"/>
  <c r="AK51" i="8" s="1"/>
  <c r="L38" i="8"/>
  <c r="AK38" i="8" s="1"/>
  <c r="L60" i="8"/>
  <c r="L54" i="8"/>
  <c r="AK54" i="8" s="1"/>
  <c r="L50" i="8"/>
  <c r="AK50" i="8" s="1"/>
  <c r="L55" i="8"/>
  <c r="AK55" i="8" s="1"/>
  <c r="L49" i="8"/>
  <c r="L47" i="8"/>
  <c r="L37" i="8"/>
  <c r="AK37" i="8" s="1"/>
  <c r="L58" i="8"/>
  <c r="AK58" i="8" s="1"/>
  <c r="L35" i="8"/>
  <c r="AK35" i="8" s="1"/>
  <c r="L56" i="8"/>
  <c r="AK56" i="8" s="1"/>
  <c r="L59" i="8"/>
  <c r="L62" i="8"/>
  <c r="L46" i="8"/>
  <c r="L61" i="8"/>
  <c r="L40" i="8"/>
  <c r="L53" i="8"/>
  <c r="AK53" i="8" s="1"/>
  <c r="U59" i="8"/>
  <c r="X40" i="8" s="1"/>
  <c r="W19" i="6"/>
  <c r="AH19" i="6"/>
  <c r="W48" i="6"/>
  <c r="AH48" i="6"/>
  <c r="AL16" i="6"/>
  <c r="Y16" i="6"/>
  <c r="AD16" i="6" s="1"/>
  <c r="W55" i="6"/>
  <c r="AH55" i="6"/>
  <c r="AL47" i="6"/>
  <c r="Y47" i="6"/>
  <c r="AD47" i="6" s="1"/>
  <c r="AL7" i="6"/>
  <c r="Y7" i="6"/>
  <c r="AD7" i="6" s="1"/>
  <c r="V358" i="6"/>
  <c r="Y358" i="6" s="1"/>
  <c r="U358" i="6"/>
  <c r="X358" i="6" s="1"/>
  <c r="T358" i="6"/>
  <c r="S358" i="6"/>
  <c r="R358" i="6"/>
  <c r="W358" i="6" s="1"/>
  <c r="Z358" i="6" s="1"/>
  <c r="V350" i="6"/>
  <c r="Y350" i="6" s="1"/>
  <c r="U350" i="6"/>
  <c r="X350" i="6" s="1"/>
  <c r="R350" i="6"/>
  <c r="W350" i="6" s="1"/>
  <c r="Z350" i="6" s="1"/>
  <c r="V342" i="6"/>
  <c r="Y342" i="6" s="1"/>
  <c r="U342" i="6"/>
  <c r="X342" i="6" s="1"/>
  <c r="T342" i="6"/>
  <c r="R342" i="6"/>
  <c r="W342" i="6" s="1"/>
  <c r="Z342" i="6" s="1"/>
  <c r="V334" i="6"/>
  <c r="Y334" i="6" s="1"/>
  <c r="T334" i="6"/>
  <c r="U334" i="6"/>
  <c r="X334" i="6" s="1"/>
  <c r="R334" i="6"/>
  <c r="W334" i="6" s="1"/>
  <c r="Z334" i="6" s="1"/>
  <c r="V326" i="6"/>
  <c r="Y326" i="6" s="1"/>
  <c r="U326" i="6"/>
  <c r="X326" i="6" s="1"/>
  <c r="S326" i="6"/>
  <c r="R326" i="6"/>
  <c r="W326" i="6" s="1"/>
  <c r="Z326" i="6" s="1"/>
  <c r="V318" i="6"/>
  <c r="Y318" i="6" s="1"/>
  <c r="U318" i="6"/>
  <c r="X318" i="6" s="1"/>
  <c r="T318" i="6"/>
  <c r="R318" i="6"/>
  <c r="W318" i="6" s="1"/>
  <c r="Z318" i="6" s="1"/>
  <c r="V310" i="6"/>
  <c r="Y310" i="6" s="1"/>
  <c r="U310" i="6"/>
  <c r="X310" i="6" s="1"/>
  <c r="R310" i="6"/>
  <c r="W310" i="6" s="1"/>
  <c r="Z310" i="6" s="1"/>
  <c r="V302" i="6"/>
  <c r="Y302" i="6" s="1"/>
  <c r="T302" i="6"/>
  <c r="R302" i="6"/>
  <c r="W302" i="6" s="1"/>
  <c r="Z302" i="6" s="1"/>
  <c r="V294" i="6"/>
  <c r="Y294" i="6" s="1"/>
  <c r="U294" i="6"/>
  <c r="X294" i="6" s="1"/>
  <c r="S294" i="6"/>
  <c r="R294" i="6"/>
  <c r="W294" i="6" s="1"/>
  <c r="Z294" i="6" s="1"/>
  <c r="V286" i="6"/>
  <c r="Y286" i="6" s="1"/>
  <c r="U286" i="6"/>
  <c r="X286" i="6" s="1"/>
  <c r="T286" i="6"/>
  <c r="R286" i="6"/>
  <c r="W286" i="6" s="1"/>
  <c r="Z286" i="6" s="1"/>
  <c r="V278" i="6"/>
  <c r="Y278" i="6" s="1"/>
  <c r="U278" i="6"/>
  <c r="X278" i="6" s="1"/>
  <c r="T278" i="6"/>
  <c r="R278" i="6"/>
  <c r="W278" i="6" s="1"/>
  <c r="Z278" i="6" s="1"/>
  <c r="V270" i="6"/>
  <c r="Y270" i="6" s="1"/>
  <c r="T270" i="6"/>
  <c r="R270" i="6"/>
  <c r="W270" i="6" s="1"/>
  <c r="Z270" i="6" s="1"/>
  <c r="V262" i="6"/>
  <c r="Y262" i="6" s="1"/>
  <c r="U262" i="6"/>
  <c r="X262" i="6" s="1"/>
  <c r="T262" i="6"/>
  <c r="S262" i="6"/>
  <c r="R262" i="6"/>
  <c r="W262" i="6" s="1"/>
  <c r="Z262" i="6" s="1"/>
  <c r="V254" i="6"/>
  <c r="Y254" i="6" s="1"/>
  <c r="T254" i="6"/>
  <c r="R254" i="6"/>
  <c r="W254" i="6" s="1"/>
  <c r="Z254" i="6" s="1"/>
  <c r="V246" i="6"/>
  <c r="Y246" i="6" s="1"/>
  <c r="T246" i="6"/>
  <c r="R246" i="6"/>
  <c r="W246" i="6" s="1"/>
  <c r="Z246" i="6" s="1"/>
  <c r="V238" i="6"/>
  <c r="Y238" i="6" s="1"/>
  <c r="T238" i="6"/>
  <c r="U238" i="6"/>
  <c r="X238" i="6" s="1"/>
  <c r="R238" i="6"/>
  <c r="W238" i="6" s="1"/>
  <c r="Z238" i="6" s="1"/>
  <c r="V230" i="6"/>
  <c r="Y230" i="6" s="1"/>
  <c r="U230" i="6"/>
  <c r="X230" i="6" s="1"/>
  <c r="T230" i="6"/>
  <c r="S230" i="6"/>
  <c r="R230" i="6"/>
  <c r="W230" i="6" s="1"/>
  <c r="Z230" i="6" s="1"/>
  <c r="V222" i="6"/>
  <c r="Y222" i="6" s="1"/>
  <c r="U222" i="6"/>
  <c r="X222" i="6" s="1"/>
  <c r="T222" i="6"/>
  <c r="R222" i="6"/>
  <c r="W222" i="6" s="1"/>
  <c r="Z222" i="6" s="1"/>
  <c r="V214" i="6"/>
  <c r="Y214" i="6" s="1"/>
  <c r="U214" i="6"/>
  <c r="X214" i="6" s="1"/>
  <c r="T214" i="6"/>
  <c r="R214" i="6"/>
  <c r="W214" i="6" s="1"/>
  <c r="Z214" i="6" s="1"/>
  <c r="V206" i="6"/>
  <c r="Y206" i="6" s="1"/>
  <c r="T206" i="6"/>
  <c r="U206" i="6"/>
  <c r="X206" i="6" s="1"/>
  <c r="R206" i="6"/>
  <c r="W206" i="6" s="1"/>
  <c r="Z206" i="6" s="1"/>
  <c r="V198" i="6"/>
  <c r="Y198" i="6" s="1"/>
  <c r="U198" i="6"/>
  <c r="X198" i="6" s="1"/>
  <c r="T198" i="6"/>
  <c r="S198" i="6"/>
  <c r="R198" i="6"/>
  <c r="W198" i="6" s="1"/>
  <c r="Z198" i="6" s="1"/>
  <c r="V190" i="6"/>
  <c r="Y190" i="6" s="1"/>
  <c r="U190" i="6"/>
  <c r="X190" i="6" s="1"/>
  <c r="T190" i="6"/>
  <c r="R190" i="6"/>
  <c r="W190" i="6" s="1"/>
  <c r="Z190" i="6" s="1"/>
  <c r="V182" i="6"/>
  <c r="Y182" i="6" s="1"/>
  <c r="T182" i="6"/>
  <c r="U182" i="6"/>
  <c r="X182" i="6" s="1"/>
  <c r="S182" i="6"/>
  <c r="R182" i="6"/>
  <c r="W182" i="6" s="1"/>
  <c r="Z182" i="6" s="1"/>
  <c r="V174" i="6"/>
  <c r="Y174" i="6" s="1"/>
  <c r="T174" i="6"/>
  <c r="U174" i="6"/>
  <c r="X174" i="6" s="1"/>
  <c r="S174" i="6"/>
  <c r="R174" i="6"/>
  <c r="W174" i="6" s="1"/>
  <c r="Z174" i="6" s="1"/>
  <c r="V166" i="6"/>
  <c r="Y166" i="6" s="1"/>
  <c r="U166" i="6"/>
  <c r="X166" i="6" s="1"/>
  <c r="S166" i="6"/>
  <c r="T166" i="6"/>
  <c r="R166" i="6"/>
  <c r="W166" i="6" s="1"/>
  <c r="Z166" i="6" s="1"/>
  <c r="V158" i="6"/>
  <c r="Y158" i="6" s="1"/>
  <c r="U158" i="6"/>
  <c r="X158" i="6" s="1"/>
  <c r="T158" i="6"/>
  <c r="R158" i="6"/>
  <c r="W158" i="6" s="1"/>
  <c r="Z158" i="6" s="1"/>
  <c r="V150" i="6"/>
  <c r="Y150" i="6" s="1"/>
  <c r="U150" i="6"/>
  <c r="X150" i="6" s="1"/>
  <c r="R150" i="6"/>
  <c r="W150" i="6" s="1"/>
  <c r="Z150" i="6" s="1"/>
  <c r="V142" i="6"/>
  <c r="Y142" i="6" s="1"/>
  <c r="T142" i="6"/>
  <c r="R142" i="6"/>
  <c r="W142" i="6" s="1"/>
  <c r="Z142" i="6" s="1"/>
  <c r="V134" i="6"/>
  <c r="Y134" i="6" s="1"/>
  <c r="U134" i="6"/>
  <c r="X134" i="6" s="1"/>
  <c r="S134" i="6"/>
  <c r="T134" i="6"/>
  <c r="R134" i="6"/>
  <c r="W134" i="6" s="1"/>
  <c r="Z134" i="6" s="1"/>
  <c r="V126" i="6"/>
  <c r="Y126" i="6" s="1"/>
  <c r="T126" i="6"/>
  <c r="S126" i="6"/>
  <c r="R126" i="6"/>
  <c r="W126" i="6" s="1"/>
  <c r="Z126" i="6" s="1"/>
  <c r="V118" i="6"/>
  <c r="Y118" i="6" s="1"/>
  <c r="T118" i="6"/>
  <c r="U118" i="6"/>
  <c r="X118" i="6" s="1"/>
  <c r="S118" i="6"/>
  <c r="R118" i="6"/>
  <c r="W118" i="6" s="1"/>
  <c r="Z118" i="6" s="1"/>
  <c r="V110" i="6"/>
  <c r="Y110" i="6" s="1"/>
  <c r="T110" i="6"/>
  <c r="U110" i="6"/>
  <c r="X110" i="6" s="1"/>
  <c r="S110" i="6"/>
  <c r="R110" i="6"/>
  <c r="W110" i="6" s="1"/>
  <c r="Z110" i="6" s="1"/>
  <c r="V102" i="6"/>
  <c r="Y102" i="6" s="1"/>
  <c r="U102" i="6"/>
  <c r="X102" i="6" s="1"/>
  <c r="S102" i="6"/>
  <c r="S94" i="6"/>
  <c r="AI94" i="6" s="1"/>
  <c r="AG94" i="6"/>
  <c r="S86" i="6"/>
  <c r="AI86" i="6" s="1"/>
  <c r="AG86" i="6"/>
  <c r="S78" i="6"/>
  <c r="AI78" i="6" s="1"/>
  <c r="AG78" i="6"/>
  <c r="S70" i="6"/>
  <c r="AI70" i="6" s="1"/>
  <c r="AG70" i="6"/>
  <c r="AG62" i="6"/>
  <c r="V62" i="6"/>
  <c r="T62" i="6"/>
  <c r="AJ62" i="6" s="1"/>
  <c r="U62" i="6"/>
  <c r="S62" i="6"/>
  <c r="AI62" i="6" s="1"/>
  <c r="AG54" i="6"/>
  <c r="T54" i="6"/>
  <c r="AJ54" i="6" s="1"/>
  <c r="V54" i="6"/>
  <c r="U54" i="6"/>
  <c r="S54" i="6"/>
  <c r="AI54" i="6" s="1"/>
  <c r="R54" i="6"/>
  <c r="AG46" i="6"/>
  <c r="S46" i="6"/>
  <c r="AI46" i="6" s="1"/>
  <c r="AG38" i="6"/>
  <c r="S38" i="6"/>
  <c r="AI38" i="6" s="1"/>
  <c r="V38" i="6"/>
  <c r="W23" i="6"/>
  <c r="AH23" i="6"/>
  <c r="W6" i="6"/>
  <c r="AH6" i="6"/>
  <c r="S278" i="6"/>
  <c r="S190" i="6"/>
  <c r="T150" i="6"/>
  <c r="AK53" i="6"/>
  <c r="X53" i="6"/>
  <c r="AC53" i="6" s="1"/>
  <c r="Y89" i="6"/>
  <c r="AD89" i="6" s="1"/>
  <c r="AL89" i="6"/>
  <c r="W39" i="6"/>
  <c r="AH39" i="6"/>
  <c r="U357" i="6"/>
  <c r="X357" i="6" s="1"/>
  <c r="V357" i="6"/>
  <c r="Y357" i="6" s="1"/>
  <c r="T357" i="6"/>
  <c r="S357" i="6"/>
  <c r="T341" i="6"/>
  <c r="U341" i="6"/>
  <c r="X341" i="6" s="1"/>
  <c r="V341" i="6"/>
  <c r="Y341" i="6" s="1"/>
  <c r="S341" i="6"/>
  <c r="U333" i="6"/>
  <c r="X333" i="6" s="1"/>
  <c r="V333" i="6"/>
  <c r="Y333" i="6" s="1"/>
  <c r="U325" i="6"/>
  <c r="X325" i="6" s="1"/>
  <c r="V325" i="6"/>
  <c r="Y325" i="6" s="1"/>
  <c r="T325" i="6"/>
  <c r="S325" i="6"/>
  <c r="U317" i="6"/>
  <c r="X317" i="6" s="1"/>
  <c r="T317" i="6"/>
  <c r="V309" i="6"/>
  <c r="Y309" i="6" s="1"/>
  <c r="T309" i="6"/>
  <c r="S309" i="6"/>
  <c r="U301" i="6"/>
  <c r="X301" i="6" s="1"/>
  <c r="T301" i="6"/>
  <c r="V301" i="6"/>
  <c r="Y301" i="6" s="1"/>
  <c r="U293" i="6"/>
  <c r="X293" i="6" s="1"/>
  <c r="V293" i="6"/>
  <c r="Y293" i="6" s="1"/>
  <c r="T293" i="6"/>
  <c r="S293" i="6"/>
  <c r="T285" i="6"/>
  <c r="U285" i="6"/>
  <c r="X285" i="6" s="1"/>
  <c r="V277" i="6"/>
  <c r="Y277" i="6" s="1"/>
  <c r="S277" i="6"/>
  <c r="T269" i="6"/>
  <c r="V269" i="6"/>
  <c r="Y269" i="6" s="1"/>
  <c r="U269" i="6"/>
  <c r="X269" i="6" s="1"/>
  <c r="U261" i="6"/>
  <c r="X261" i="6" s="1"/>
  <c r="V261" i="6"/>
  <c r="Y261" i="6" s="1"/>
  <c r="T261" i="6"/>
  <c r="S261" i="6"/>
  <c r="V253" i="6"/>
  <c r="Y253" i="6" s="1"/>
  <c r="U253" i="6"/>
  <c r="X253" i="6" s="1"/>
  <c r="U245" i="6"/>
  <c r="X245" i="6" s="1"/>
  <c r="T245" i="6"/>
  <c r="S245" i="6"/>
  <c r="V237" i="6"/>
  <c r="Y237" i="6" s="1"/>
  <c r="T237" i="6"/>
  <c r="U237" i="6"/>
  <c r="X237" i="6" s="1"/>
  <c r="U229" i="6"/>
  <c r="X229" i="6" s="1"/>
  <c r="V229" i="6"/>
  <c r="Y229" i="6" s="1"/>
  <c r="T229" i="6"/>
  <c r="S229" i="6"/>
  <c r="T213" i="6"/>
  <c r="V213" i="6"/>
  <c r="Y213" i="6" s="1"/>
  <c r="U213" i="6"/>
  <c r="X213" i="6" s="1"/>
  <c r="S213" i="6"/>
  <c r="T205" i="6"/>
  <c r="V205" i="6"/>
  <c r="Y205" i="6" s="1"/>
  <c r="U197" i="6"/>
  <c r="X197" i="6" s="1"/>
  <c r="V197" i="6"/>
  <c r="Y197" i="6" s="1"/>
  <c r="T197" i="6"/>
  <c r="S197" i="6"/>
  <c r="U189" i="6"/>
  <c r="X189" i="6" s="1"/>
  <c r="T189" i="6"/>
  <c r="V189" i="6"/>
  <c r="Y189" i="6" s="1"/>
  <c r="S189" i="6"/>
  <c r="V181" i="6"/>
  <c r="Y181" i="6" s="1"/>
  <c r="T181" i="6"/>
  <c r="S181" i="6"/>
  <c r="U173" i="6"/>
  <c r="X173" i="6" s="1"/>
  <c r="T173" i="6"/>
  <c r="V173" i="6"/>
  <c r="Y173" i="6" s="1"/>
  <c r="U165" i="6"/>
  <c r="X165" i="6" s="1"/>
  <c r="V165" i="6"/>
  <c r="Y165" i="6" s="1"/>
  <c r="T165" i="6"/>
  <c r="T157" i="6"/>
  <c r="V157" i="6"/>
  <c r="Y157" i="6" s="1"/>
  <c r="S149" i="6"/>
  <c r="V149" i="6"/>
  <c r="Y149" i="6" s="1"/>
  <c r="U149" i="6"/>
  <c r="X149" i="6" s="1"/>
  <c r="V141" i="6"/>
  <c r="Y141" i="6" s="1"/>
  <c r="S141" i="6"/>
  <c r="U141" i="6"/>
  <c r="X141" i="6" s="1"/>
  <c r="U133" i="6"/>
  <c r="X133" i="6" s="1"/>
  <c r="V133" i="6"/>
  <c r="Y133" i="6" s="1"/>
  <c r="T133" i="6"/>
  <c r="V125" i="6"/>
  <c r="Y125" i="6" s="1"/>
  <c r="T125" i="6"/>
  <c r="S125" i="6"/>
  <c r="U125" i="6"/>
  <c r="X125" i="6" s="1"/>
  <c r="U117" i="6"/>
  <c r="X117" i="6" s="1"/>
  <c r="T117" i="6"/>
  <c r="V117" i="6"/>
  <c r="Y117" i="6" s="1"/>
  <c r="S117" i="6"/>
  <c r="V109" i="6"/>
  <c r="Y109" i="6" s="1"/>
  <c r="U109" i="6"/>
  <c r="X109" i="6" s="1"/>
  <c r="T109" i="6"/>
  <c r="U101" i="6"/>
  <c r="X101" i="6" s="1"/>
  <c r="V101" i="6"/>
  <c r="Y101" i="6" s="1"/>
  <c r="T101" i="6"/>
  <c r="R101" i="6"/>
  <c r="W101" i="6" s="1"/>
  <c r="Z101" i="6" s="1"/>
  <c r="S93" i="6"/>
  <c r="AI93" i="6" s="1"/>
  <c r="AG93" i="6"/>
  <c r="S85" i="6"/>
  <c r="AI85" i="6" s="1"/>
  <c r="AG85" i="6"/>
  <c r="S77" i="6"/>
  <c r="AI77" i="6" s="1"/>
  <c r="AG77" i="6"/>
  <c r="S69" i="6"/>
  <c r="AI69" i="6" s="1"/>
  <c r="AG69" i="6"/>
  <c r="AG61" i="6"/>
  <c r="T61" i="6"/>
  <c r="AJ61" i="6" s="1"/>
  <c r="U61" i="6"/>
  <c r="V61" i="6"/>
  <c r="AG53" i="6"/>
  <c r="T53" i="6"/>
  <c r="AJ53" i="6" s="1"/>
  <c r="V53" i="6"/>
  <c r="S53" i="6"/>
  <c r="AI53" i="6" s="1"/>
  <c r="R53" i="6"/>
  <c r="AG45" i="6"/>
  <c r="T45" i="6"/>
  <c r="AJ45" i="6" s="1"/>
  <c r="U45" i="6"/>
  <c r="S45" i="6"/>
  <c r="AI45" i="6" s="1"/>
  <c r="V45" i="6"/>
  <c r="AG37" i="6"/>
  <c r="T37" i="6"/>
  <c r="AJ37" i="6" s="1"/>
  <c r="S37" i="6"/>
  <c r="AI37" i="6" s="1"/>
  <c r="V37" i="6"/>
  <c r="U37" i="6"/>
  <c r="R37" i="6"/>
  <c r="AG29" i="6"/>
  <c r="T29" i="6"/>
  <c r="AJ29" i="6" s="1"/>
  <c r="U29" i="6"/>
  <c r="S29" i="6"/>
  <c r="AI29" i="6" s="1"/>
  <c r="V29" i="6"/>
  <c r="AG21" i="6"/>
  <c r="T21" i="6"/>
  <c r="AJ21" i="6" s="1"/>
  <c r="V21" i="6"/>
  <c r="R21" i="6"/>
  <c r="S21" i="6"/>
  <c r="AI21" i="6" s="1"/>
  <c r="AG13" i="6"/>
  <c r="T13" i="6"/>
  <c r="AJ13" i="6" s="1"/>
  <c r="V13" i="6"/>
  <c r="AG5" i="6"/>
  <c r="T5" i="6"/>
  <c r="AJ5" i="6" s="1"/>
  <c r="U5" i="6"/>
  <c r="V5" i="6"/>
  <c r="R5" i="6"/>
  <c r="R333" i="6"/>
  <c r="W333" i="6" s="1"/>
  <c r="Z333" i="6" s="1"/>
  <c r="R312" i="6"/>
  <c r="W312" i="6" s="1"/>
  <c r="Z312" i="6" s="1"/>
  <c r="R301" i="6"/>
  <c r="W301" i="6" s="1"/>
  <c r="Z301" i="6" s="1"/>
  <c r="R291" i="6"/>
  <c r="W291" i="6" s="1"/>
  <c r="Z291" i="6" s="1"/>
  <c r="R269" i="6"/>
  <c r="W269" i="6" s="1"/>
  <c r="Z269" i="6" s="1"/>
  <c r="R259" i="6"/>
  <c r="W259" i="6" s="1"/>
  <c r="Z259" i="6" s="1"/>
  <c r="R237" i="6"/>
  <c r="W237" i="6" s="1"/>
  <c r="Z237" i="6" s="1"/>
  <c r="R227" i="6"/>
  <c r="W227" i="6" s="1"/>
  <c r="Z227" i="6" s="1"/>
  <c r="R205" i="6"/>
  <c r="W205" i="6" s="1"/>
  <c r="Z205" i="6" s="1"/>
  <c r="R173" i="6"/>
  <c r="W173" i="6" s="1"/>
  <c r="Z173" i="6" s="1"/>
  <c r="R163" i="6"/>
  <c r="W163" i="6" s="1"/>
  <c r="Z163" i="6" s="1"/>
  <c r="R141" i="6"/>
  <c r="W141" i="6" s="1"/>
  <c r="Z141" i="6" s="1"/>
  <c r="R117" i="6"/>
  <c r="W117" i="6" s="1"/>
  <c r="Z117" i="6" s="1"/>
  <c r="R38" i="6"/>
  <c r="W20" i="6"/>
  <c r="AH20" i="6"/>
  <c r="S310" i="6"/>
  <c r="S226" i="6"/>
  <c r="S206" i="6"/>
  <c r="S142" i="6"/>
  <c r="S13" i="6"/>
  <c r="AI13" i="6" s="1"/>
  <c r="T277" i="6"/>
  <c r="T149" i="6"/>
  <c r="T48" i="6"/>
  <c r="AJ48" i="6" s="1"/>
  <c r="U349" i="6"/>
  <c r="X349" i="6" s="1"/>
  <c r="U277" i="6"/>
  <c r="X277" i="6" s="1"/>
  <c r="U205" i="6"/>
  <c r="X205" i="6" s="1"/>
  <c r="U142" i="6"/>
  <c r="X142" i="6" s="1"/>
  <c r="U46" i="6"/>
  <c r="V245" i="6"/>
  <c r="Y245" i="6" s="1"/>
  <c r="V168" i="6"/>
  <c r="Y168" i="6" s="1"/>
  <c r="AH56" i="6"/>
  <c r="W56" i="6"/>
  <c r="U356" i="6"/>
  <c r="X356" i="6" s="1"/>
  <c r="V356" i="6"/>
  <c r="Y356" i="6" s="1"/>
  <c r="T356" i="6"/>
  <c r="U348" i="6"/>
  <c r="X348" i="6" s="1"/>
  <c r="V348" i="6"/>
  <c r="Y348" i="6" s="1"/>
  <c r="T348" i="6"/>
  <c r="S348" i="6"/>
  <c r="U340" i="6"/>
  <c r="X340" i="6" s="1"/>
  <c r="T340" i="6"/>
  <c r="U332" i="6"/>
  <c r="X332" i="6" s="1"/>
  <c r="V332" i="6"/>
  <c r="Y332" i="6" s="1"/>
  <c r="T332" i="6"/>
  <c r="U324" i="6"/>
  <c r="X324" i="6" s="1"/>
  <c r="V324" i="6"/>
  <c r="Y324" i="6" s="1"/>
  <c r="T324" i="6"/>
  <c r="U316" i="6"/>
  <c r="X316" i="6" s="1"/>
  <c r="S316" i="6"/>
  <c r="V316" i="6"/>
  <c r="Y316" i="6" s="1"/>
  <c r="U308" i="6"/>
  <c r="X308" i="6" s="1"/>
  <c r="V308" i="6"/>
  <c r="Y308" i="6" s="1"/>
  <c r="U300" i="6"/>
  <c r="X300" i="6" s="1"/>
  <c r="T300" i="6"/>
  <c r="V300" i="6"/>
  <c r="Y300" i="6" s="1"/>
  <c r="U292" i="6"/>
  <c r="X292" i="6" s="1"/>
  <c r="V292" i="6"/>
  <c r="Y292" i="6" s="1"/>
  <c r="T292" i="6"/>
  <c r="U284" i="6"/>
  <c r="X284" i="6" s="1"/>
  <c r="T284" i="6"/>
  <c r="S284" i="6"/>
  <c r="V284" i="6"/>
  <c r="Y284" i="6" s="1"/>
  <c r="U276" i="6"/>
  <c r="X276" i="6" s="1"/>
  <c r="V276" i="6"/>
  <c r="Y276" i="6" s="1"/>
  <c r="T276" i="6"/>
  <c r="U268" i="6"/>
  <c r="X268" i="6" s="1"/>
  <c r="T268" i="6"/>
  <c r="V268" i="6"/>
  <c r="Y268" i="6" s="1"/>
  <c r="U260" i="6"/>
  <c r="X260" i="6" s="1"/>
  <c r="V260" i="6"/>
  <c r="Y260" i="6" s="1"/>
  <c r="T260" i="6"/>
  <c r="U252" i="6"/>
  <c r="X252" i="6" s="1"/>
  <c r="T252" i="6"/>
  <c r="V252" i="6"/>
  <c r="Y252" i="6" s="1"/>
  <c r="S252" i="6"/>
  <c r="U244" i="6"/>
  <c r="X244" i="6" s="1"/>
  <c r="V244" i="6"/>
  <c r="Y244" i="6" s="1"/>
  <c r="U236" i="6"/>
  <c r="X236" i="6" s="1"/>
  <c r="V236" i="6"/>
  <c r="Y236" i="6" s="1"/>
  <c r="T236" i="6"/>
  <c r="U228" i="6"/>
  <c r="X228" i="6" s="1"/>
  <c r="V228" i="6"/>
  <c r="Y228" i="6" s="1"/>
  <c r="T228" i="6"/>
  <c r="U220" i="6"/>
  <c r="X220" i="6" s="1"/>
  <c r="V220" i="6"/>
  <c r="Y220" i="6" s="1"/>
  <c r="S220" i="6"/>
  <c r="U212" i="6"/>
  <c r="X212" i="6" s="1"/>
  <c r="T212" i="6"/>
  <c r="V212" i="6"/>
  <c r="Y212" i="6" s="1"/>
  <c r="U204" i="6"/>
  <c r="X204" i="6" s="1"/>
  <c r="V204" i="6"/>
  <c r="Y204" i="6" s="1"/>
  <c r="U196" i="6"/>
  <c r="X196" i="6" s="1"/>
  <c r="V196" i="6"/>
  <c r="Y196" i="6" s="1"/>
  <c r="T196" i="6"/>
  <c r="S196" i="6"/>
  <c r="U188" i="6"/>
  <c r="X188" i="6" s="1"/>
  <c r="S188" i="6"/>
  <c r="T188" i="6"/>
  <c r="U180" i="6"/>
  <c r="X180" i="6" s="1"/>
  <c r="V180" i="6"/>
  <c r="Y180" i="6" s="1"/>
  <c r="T180" i="6"/>
  <c r="U172" i="6"/>
  <c r="X172" i="6" s="1"/>
  <c r="V172" i="6"/>
  <c r="Y172" i="6" s="1"/>
  <c r="U164" i="6"/>
  <c r="X164" i="6" s="1"/>
  <c r="V164" i="6"/>
  <c r="Y164" i="6" s="1"/>
  <c r="T164" i="6"/>
  <c r="U156" i="6"/>
  <c r="X156" i="6" s="1"/>
  <c r="T156" i="6"/>
  <c r="V156" i="6"/>
  <c r="Y156" i="6" s="1"/>
  <c r="S156" i="6"/>
  <c r="U148" i="6"/>
  <c r="X148" i="6" s="1"/>
  <c r="V148" i="6"/>
  <c r="Y148" i="6" s="1"/>
  <c r="T148" i="6"/>
  <c r="U140" i="6"/>
  <c r="X140" i="6" s="1"/>
  <c r="T140" i="6"/>
  <c r="S140" i="6"/>
  <c r="U132" i="6"/>
  <c r="X132" i="6" s="1"/>
  <c r="V132" i="6"/>
  <c r="Y132" i="6" s="1"/>
  <c r="T132" i="6"/>
  <c r="S132" i="6"/>
  <c r="U124" i="6"/>
  <c r="X124" i="6" s="1"/>
  <c r="S124" i="6"/>
  <c r="V124" i="6"/>
  <c r="Y124" i="6" s="1"/>
  <c r="U116" i="6"/>
  <c r="X116" i="6" s="1"/>
  <c r="V116" i="6"/>
  <c r="Y116" i="6" s="1"/>
  <c r="U108" i="6"/>
  <c r="X108" i="6" s="1"/>
  <c r="T108" i="6"/>
  <c r="U100" i="6"/>
  <c r="X100" i="6" s="1"/>
  <c r="V100" i="6"/>
  <c r="Y100" i="6" s="1"/>
  <c r="T100" i="6"/>
  <c r="T92" i="6"/>
  <c r="AJ92" i="6" s="1"/>
  <c r="AG92" i="6"/>
  <c r="S92" i="6"/>
  <c r="AI92" i="6" s="1"/>
  <c r="T84" i="6"/>
  <c r="AJ84" i="6" s="1"/>
  <c r="AG84" i="6"/>
  <c r="S84" i="6"/>
  <c r="AI84" i="6" s="1"/>
  <c r="T76" i="6"/>
  <c r="AJ76" i="6" s="1"/>
  <c r="AG76" i="6"/>
  <c r="T68" i="6"/>
  <c r="AJ68" i="6" s="1"/>
  <c r="AG68" i="6"/>
  <c r="AG60" i="6"/>
  <c r="T60" i="6"/>
  <c r="AJ60" i="6" s="1"/>
  <c r="S60" i="6"/>
  <c r="AI60" i="6" s="1"/>
  <c r="U60" i="6"/>
  <c r="V60" i="6"/>
  <c r="AG52" i="6"/>
  <c r="T52" i="6"/>
  <c r="AJ52" i="6" s="1"/>
  <c r="V52" i="6"/>
  <c r="U52" i="6"/>
  <c r="AG44" i="6"/>
  <c r="T44" i="6"/>
  <c r="AJ44" i="6" s="1"/>
  <c r="R44" i="6"/>
  <c r="U44" i="6"/>
  <c r="AG36" i="6"/>
  <c r="T36" i="6"/>
  <c r="AJ36" i="6" s="1"/>
  <c r="V36" i="6"/>
  <c r="U36" i="6"/>
  <c r="S36" i="6"/>
  <c r="AI36" i="6" s="1"/>
  <c r="AG28" i="6"/>
  <c r="T28" i="6"/>
  <c r="AJ28" i="6" s="1"/>
  <c r="U28" i="6"/>
  <c r="V28" i="6"/>
  <c r="AG20" i="6"/>
  <c r="T20" i="6"/>
  <c r="AJ20" i="6" s="1"/>
  <c r="V20" i="6"/>
  <c r="U20" i="6"/>
  <c r="S20" i="6"/>
  <c r="AI20" i="6" s="1"/>
  <c r="AG12" i="6"/>
  <c r="T12" i="6"/>
  <c r="AJ12" i="6" s="1"/>
  <c r="S12" i="6"/>
  <c r="AI12" i="6" s="1"/>
  <c r="U12" i="6"/>
  <c r="R12" i="6"/>
  <c r="V12" i="6"/>
  <c r="AG4" i="6"/>
  <c r="T4" i="6"/>
  <c r="AJ4" i="6" s="1"/>
  <c r="U4" i="6"/>
  <c r="V4" i="6"/>
  <c r="S4" i="6"/>
  <c r="AI4" i="6" s="1"/>
  <c r="R332" i="6"/>
  <c r="W332" i="6" s="1"/>
  <c r="Z332" i="6" s="1"/>
  <c r="R321" i="6"/>
  <c r="W321" i="6" s="1"/>
  <c r="Z321" i="6" s="1"/>
  <c r="R300" i="6"/>
  <c r="W300" i="6" s="1"/>
  <c r="Z300" i="6" s="1"/>
  <c r="R268" i="6"/>
  <c r="W268" i="6" s="1"/>
  <c r="Z268" i="6" s="1"/>
  <c r="R247" i="6"/>
  <c r="W247" i="6" s="1"/>
  <c r="Z247" i="6" s="1"/>
  <c r="R236" i="6"/>
  <c r="W236" i="6" s="1"/>
  <c r="Z236" i="6" s="1"/>
  <c r="R204" i="6"/>
  <c r="W204" i="6" s="1"/>
  <c r="Z204" i="6" s="1"/>
  <c r="R172" i="6"/>
  <c r="W172" i="6" s="1"/>
  <c r="Z172" i="6" s="1"/>
  <c r="R140" i="6"/>
  <c r="W140" i="6" s="1"/>
  <c r="Z140" i="6" s="1"/>
  <c r="R128" i="6"/>
  <c r="W128" i="6" s="1"/>
  <c r="Z128" i="6" s="1"/>
  <c r="R116" i="6"/>
  <c r="W116" i="6" s="1"/>
  <c r="Z116" i="6" s="1"/>
  <c r="R102" i="6"/>
  <c r="W102" i="6" s="1"/>
  <c r="Z102" i="6" s="1"/>
  <c r="R52" i="6"/>
  <c r="R36" i="6"/>
  <c r="S342" i="6"/>
  <c r="S324" i="6"/>
  <c r="S308" i="6"/>
  <c r="S275" i="6"/>
  <c r="S238" i="6"/>
  <c r="S222" i="6"/>
  <c r="S205" i="6"/>
  <c r="S116" i="6"/>
  <c r="S68" i="6"/>
  <c r="AI68" i="6" s="1"/>
  <c r="T326" i="6"/>
  <c r="T204" i="6"/>
  <c r="T141" i="6"/>
  <c r="T46" i="6"/>
  <c r="AJ46" i="6" s="1"/>
  <c r="U270" i="6"/>
  <c r="X270" i="6" s="1"/>
  <c r="U200" i="6"/>
  <c r="X200" i="6" s="1"/>
  <c r="U38" i="6"/>
  <c r="V317" i="6"/>
  <c r="Y317" i="6" s="1"/>
  <c r="V227" i="6"/>
  <c r="Y227" i="6" s="1"/>
  <c r="V160" i="6"/>
  <c r="Y160" i="6" s="1"/>
  <c r="V46" i="6"/>
  <c r="U355" i="6"/>
  <c r="X355" i="6" s="1"/>
  <c r="T355" i="6"/>
  <c r="V355" i="6"/>
  <c r="Y355" i="6" s="1"/>
  <c r="U347" i="6"/>
  <c r="X347" i="6" s="1"/>
  <c r="V347" i="6"/>
  <c r="Y347" i="6" s="1"/>
  <c r="T347" i="6"/>
  <c r="S347" i="6"/>
  <c r="U339" i="6"/>
  <c r="X339" i="6" s="1"/>
  <c r="V339" i="6"/>
  <c r="Y339" i="6" s="1"/>
  <c r="T339" i="6"/>
  <c r="U331" i="6"/>
  <c r="X331" i="6" s="1"/>
  <c r="V331" i="6"/>
  <c r="Y331" i="6" s="1"/>
  <c r="S331" i="6"/>
  <c r="U323" i="6"/>
  <c r="X323" i="6" s="1"/>
  <c r="V323" i="6"/>
  <c r="Y323" i="6" s="1"/>
  <c r="T323" i="6"/>
  <c r="U315" i="6"/>
  <c r="X315" i="6" s="1"/>
  <c r="V315" i="6"/>
  <c r="Y315" i="6" s="1"/>
  <c r="T315" i="6"/>
  <c r="S315" i="6"/>
  <c r="U307" i="6"/>
  <c r="X307" i="6" s="1"/>
  <c r="V307" i="6"/>
  <c r="Y307" i="6" s="1"/>
  <c r="T307" i="6"/>
  <c r="U299" i="6"/>
  <c r="X299" i="6" s="1"/>
  <c r="T299" i="6"/>
  <c r="V299" i="6"/>
  <c r="Y299" i="6" s="1"/>
  <c r="S299" i="6"/>
  <c r="U291" i="6"/>
  <c r="X291" i="6" s="1"/>
  <c r="T291" i="6"/>
  <c r="U283" i="6"/>
  <c r="X283" i="6" s="1"/>
  <c r="V283" i="6"/>
  <c r="Y283" i="6" s="1"/>
  <c r="T283" i="6"/>
  <c r="S283" i="6"/>
  <c r="U275" i="6"/>
  <c r="X275" i="6" s="1"/>
  <c r="V275" i="6"/>
  <c r="Y275" i="6" s="1"/>
  <c r="U267" i="6"/>
  <c r="X267" i="6" s="1"/>
  <c r="V267" i="6"/>
  <c r="Y267" i="6" s="1"/>
  <c r="S267" i="6"/>
  <c r="U259" i="6"/>
  <c r="X259" i="6" s="1"/>
  <c r="T259" i="6"/>
  <c r="U251" i="6"/>
  <c r="X251" i="6" s="1"/>
  <c r="V251" i="6"/>
  <c r="Y251" i="6" s="1"/>
  <c r="T251" i="6"/>
  <c r="S251" i="6"/>
  <c r="U243" i="6"/>
  <c r="X243" i="6" s="1"/>
  <c r="V243" i="6"/>
  <c r="Y243" i="6" s="1"/>
  <c r="T243" i="6"/>
  <c r="U235" i="6"/>
  <c r="X235" i="6" s="1"/>
  <c r="V235" i="6"/>
  <c r="Y235" i="6" s="1"/>
  <c r="T235" i="6"/>
  <c r="S235" i="6"/>
  <c r="U219" i="6"/>
  <c r="X219" i="6" s="1"/>
  <c r="V219" i="6"/>
  <c r="Y219" i="6" s="1"/>
  <c r="T219" i="6"/>
  <c r="S219" i="6"/>
  <c r="U211" i="6"/>
  <c r="X211" i="6" s="1"/>
  <c r="V211" i="6"/>
  <c r="Y211" i="6" s="1"/>
  <c r="T211" i="6"/>
  <c r="U203" i="6"/>
  <c r="X203" i="6" s="1"/>
  <c r="T203" i="6"/>
  <c r="V203" i="6"/>
  <c r="Y203" i="6" s="1"/>
  <c r="S203" i="6"/>
  <c r="U195" i="6"/>
  <c r="X195" i="6" s="1"/>
  <c r="V195" i="6"/>
  <c r="Y195" i="6" s="1"/>
  <c r="T195" i="6"/>
  <c r="U187" i="6"/>
  <c r="X187" i="6" s="1"/>
  <c r="V187" i="6"/>
  <c r="Y187" i="6" s="1"/>
  <c r="T187" i="6"/>
  <c r="U179" i="6"/>
  <c r="X179" i="6" s="1"/>
  <c r="V179" i="6"/>
  <c r="Y179" i="6" s="1"/>
  <c r="U171" i="6"/>
  <c r="X171" i="6" s="1"/>
  <c r="S171" i="6"/>
  <c r="V171" i="6"/>
  <c r="Y171" i="6" s="1"/>
  <c r="T171" i="6"/>
  <c r="U163" i="6"/>
  <c r="X163" i="6" s="1"/>
  <c r="T163" i="6"/>
  <c r="V163" i="6"/>
  <c r="Y163" i="6" s="1"/>
  <c r="U155" i="6"/>
  <c r="X155" i="6" s="1"/>
  <c r="V155" i="6"/>
  <c r="Y155" i="6" s="1"/>
  <c r="T155" i="6"/>
  <c r="S155" i="6"/>
  <c r="U147" i="6"/>
  <c r="X147" i="6" s="1"/>
  <c r="T147" i="6"/>
  <c r="V147" i="6"/>
  <c r="Y147" i="6" s="1"/>
  <c r="S147" i="6"/>
  <c r="U139" i="6"/>
  <c r="X139" i="6" s="1"/>
  <c r="V139" i="6"/>
  <c r="Y139" i="6" s="1"/>
  <c r="S139" i="6"/>
  <c r="T139" i="6"/>
  <c r="U131" i="6"/>
  <c r="X131" i="6" s="1"/>
  <c r="T131" i="6"/>
  <c r="R131" i="6"/>
  <c r="W131" i="6" s="1"/>
  <c r="Z131" i="6" s="1"/>
  <c r="U123" i="6"/>
  <c r="X123" i="6" s="1"/>
  <c r="V123" i="6"/>
  <c r="Y123" i="6" s="1"/>
  <c r="T123" i="6"/>
  <c r="R123" i="6"/>
  <c r="W123" i="6" s="1"/>
  <c r="Z123" i="6" s="1"/>
  <c r="U115" i="6"/>
  <c r="X115" i="6" s="1"/>
  <c r="V115" i="6"/>
  <c r="Y115" i="6" s="1"/>
  <c r="R115" i="6"/>
  <c r="W115" i="6" s="1"/>
  <c r="Z115" i="6" s="1"/>
  <c r="T115" i="6"/>
  <c r="U107" i="6"/>
  <c r="X107" i="6" s="1"/>
  <c r="T107" i="6"/>
  <c r="S107" i="6"/>
  <c r="R107" i="6"/>
  <c r="W107" i="6" s="1"/>
  <c r="Z107" i="6" s="1"/>
  <c r="U99" i="6"/>
  <c r="X99" i="6" s="1"/>
  <c r="T99" i="6"/>
  <c r="V99" i="6"/>
  <c r="Y99" i="6" s="1"/>
  <c r="S99" i="6"/>
  <c r="U91" i="6"/>
  <c r="AG91" i="6"/>
  <c r="T91" i="6"/>
  <c r="AJ91" i="6" s="1"/>
  <c r="U83" i="6"/>
  <c r="AG83" i="6"/>
  <c r="U75" i="6"/>
  <c r="AG75" i="6"/>
  <c r="T75" i="6"/>
  <c r="AJ75" i="6" s="1"/>
  <c r="U67" i="6"/>
  <c r="AG67" i="6"/>
  <c r="AG59" i="6"/>
  <c r="V59" i="6"/>
  <c r="S59" i="6"/>
  <c r="AI59" i="6" s="1"/>
  <c r="U59" i="6"/>
  <c r="T59" i="6"/>
  <c r="AJ59" i="6" s="1"/>
  <c r="R59" i="6"/>
  <c r="AG51" i="6"/>
  <c r="V51" i="6"/>
  <c r="U51" i="6"/>
  <c r="T51" i="6"/>
  <c r="AJ51" i="6" s="1"/>
  <c r="S51" i="6"/>
  <c r="AI51" i="6" s="1"/>
  <c r="AG43" i="6"/>
  <c r="V43" i="6"/>
  <c r="U43" i="6"/>
  <c r="R43" i="6"/>
  <c r="T43" i="6"/>
  <c r="AJ43" i="6" s="1"/>
  <c r="AG35" i="6"/>
  <c r="V35" i="6"/>
  <c r="U35" i="6"/>
  <c r="T35" i="6"/>
  <c r="AJ35" i="6" s="1"/>
  <c r="AG27" i="6"/>
  <c r="V27" i="6"/>
  <c r="U27" i="6"/>
  <c r="T27" i="6"/>
  <c r="AJ27" i="6" s="1"/>
  <c r="S27" i="6"/>
  <c r="AI27" i="6" s="1"/>
  <c r="R27" i="6"/>
  <c r="AG19" i="6"/>
  <c r="V19" i="6"/>
  <c r="U19" i="6"/>
  <c r="S19" i="6"/>
  <c r="AI19" i="6" s="1"/>
  <c r="T19" i="6"/>
  <c r="AJ19" i="6" s="1"/>
  <c r="AG11" i="6"/>
  <c r="V11" i="6"/>
  <c r="R11" i="6"/>
  <c r="U11" i="6"/>
  <c r="W4" i="6"/>
  <c r="AH4" i="6"/>
  <c r="R341" i="6"/>
  <c r="W341" i="6" s="1"/>
  <c r="Z341" i="6" s="1"/>
  <c r="R331" i="6"/>
  <c r="W331" i="6" s="1"/>
  <c r="Z331" i="6" s="1"/>
  <c r="R309" i="6"/>
  <c r="W309" i="6" s="1"/>
  <c r="Z309" i="6" s="1"/>
  <c r="R299" i="6"/>
  <c r="W299" i="6" s="1"/>
  <c r="Z299" i="6" s="1"/>
  <c r="R277" i="6"/>
  <c r="W277" i="6" s="1"/>
  <c r="Z277" i="6" s="1"/>
  <c r="R267" i="6"/>
  <c r="W267" i="6" s="1"/>
  <c r="Z267" i="6" s="1"/>
  <c r="R245" i="6"/>
  <c r="W245" i="6" s="1"/>
  <c r="Z245" i="6" s="1"/>
  <c r="R235" i="6"/>
  <c r="W235" i="6" s="1"/>
  <c r="Z235" i="6" s="1"/>
  <c r="R213" i="6"/>
  <c r="W213" i="6" s="1"/>
  <c r="Z213" i="6" s="1"/>
  <c r="R203" i="6"/>
  <c r="W203" i="6" s="1"/>
  <c r="Z203" i="6" s="1"/>
  <c r="R181" i="6"/>
  <c r="W181" i="6" s="1"/>
  <c r="Z181" i="6" s="1"/>
  <c r="R171" i="6"/>
  <c r="W171" i="6" s="1"/>
  <c r="Z171" i="6" s="1"/>
  <c r="R149" i="6"/>
  <c r="W149" i="6" s="1"/>
  <c r="Z149" i="6" s="1"/>
  <c r="R139" i="6"/>
  <c r="W139" i="6" s="1"/>
  <c r="Z139" i="6" s="1"/>
  <c r="R127" i="6"/>
  <c r="W127" i="6" s="1"/>
  <c r="Z127" i="6" s="1"/>
  <c r="R51" i="6"/>
  <c r="R35" i="6"/>
  <c r="R16" i="6"/>
  <c r="S323" i="6"/>
  <c r="S307" i="6"/>
  <c r="S270" i="6"/>
  <c r="S254" i="6"/>
  <c r="S237" i="6"/>
  <c r="S221" i="6"/>
  <c r="S158" i="6"/>
  <c r="S115" i="6"/>
  <c r="S35" i="6"/>
  <c r="AI35" i="6" s="1"/>
  <c r="S5" i="6"/>
  <c r="AI5" i="6" s="1"/>
  <c r="T267" i="6"/>
  <c r="T199" i="6"/>
  <c r="T38" i="6"/>
  <c r="AJ38" i="6" s="1"/>
  <c r="U328" i="6"/>
  <c r="X328" i="6" s="1"/>
  <c r="U255" i="6"/>
  <c r="X255" i="6" s="1"/>
  <c r="U126" i="6"/>
  <c r="X126" i="6" s="1"/>
  <c r="U21" i="6"/>
  <c r="AL44" i="6"/>
  <c r="Y44" i="6"/>
  <c r="AD44" i="6" s="1"/>
  <c r="V362" i="6"/>
  <c r="Y362" i="6" s="1"/>
  <c r="U362" i="6"/>
  <c r="X362" i="6" s="1"/>
  <c r="T362" i="6"/>
  <c r="R362" i="6"/>
  <c r="W362" i="6" s="1"/>
  <c r="Z362" i="6" s="1"/>
  <c r="V346" i="6"/>
  <c r="Y346" i="6" s="1"/>
  <c r="T346" i="6"/>
  <c r="U346" i="6"/>
  <c r="X346" i="6" s="1"/>
  <c r="R346" i="6"/>
  <c r="W346" i="6" s="1"/>
  <c r="Z346" i="6" s="1"/>
  <c r="T338" i="6"/>
  <c r="U338" i="6"/>
  <c r="X338" i="6" s="1"/>
  <c r="R338" i="6"/>
  <c r="W338" i="6" s="1"/>
  <c r="Z338" i="6" s="1"/>
  <c r="S338" i="6"/>
  <c r="V338" i="6"/>
  <c r="Y338" i="6" s="1"/>
  <c r="V330" i="6"/>
  <c r="Y330" i="6" s="1"/>
  <c r="R330" i="6"/>
  <c r="W330" i="6" s="1"/>
  <c r="Z330" i="6" s="1"/>
  <c r="T330" i="6"/>
  <c r="U322" i="6"/>
  <c r="X322" i="6" s="1"/>
  <c r="V322" i="6"/>
  <c r="Y322" i="6" s="1"/>
  <c r="R322" i="6"/>
  <c r="W322" i="6" s="1"/>
  <c r="Z322" i="6" s="1"/>
  <c r="T322" i="6"/>
  <c r="V314" i="6"/>
  <c r="Y314" i="6" s="1"/>
  <c r="T314" i="6"/>
  <c r="U314" i="6"/>
  <c r="X314" i="6" s="1"/>
  <c r="R314" i="6"/>
  <c r="W314" i="6" s="1"/>
  <c r="Z314" i="6" s="1"/>
  <c r="V306" i="6"/>
  <c r="Y306" i="6" s="1"/>
  <c r="U306" i="6"/>
  <c r="X306" i="6" s="1"/>
  <c r="T306" i="6"/>
  <c r="R306" i="6"/>
  <c r="W306" i="6" s="1"/>
  <c r="Z306" i="6" s="1"/>
  <c r="S306" i="6"/>
  <c r="V298" i="6"/>
  <c r="Y298" i="6" s="1"/>
  <c r="T298" i="6"/>
  <c r="R298" i="6"/>
  <c r="W298" i="6" s="1"/>
  <c r="Z298" i="6" s="1"/>
  <c r="U298" i="6"/>
  <c r="X298" i="6" s="1"/>
  <c r="V290" i="6"/>
  <c r="Y290" i="6" s="1"/>
  <c r="U290" i="6"/>
  <c r="X290" i="6" s="1"/>
  <c r="T290" i="6"/>
  <c r="R290" i="6"/>
  <c r="W290" i="6" s="1"/>
  <c r="Z290" i="6" s="1"/>
  <c r="V282" i="6"/>
  <c r="Y282" i="6" s="1"/>
  <c r="T282" i="6"/>
  <c r="U282" i="6"/>
  <c r="X282" i="6" s="1"/>
  <c r="R282" i="6"/>
  <c r="W282" i="6" s="1"/>
  <c r="Z282" i="6" s="1"/>
  <c r="R274" i="6"/>
  <c r="W274" i="6" s="1"/>
  <c r="Z274" i="6" s="1"/>
  <c r="V274" i="6"/>
  <c r="Y274" i="6" s="1"/>
  <c r="S274" i="6"/>
  <c r="U274" i="6"/>
  <c r="X274" i="6" s="1"/>
  <c r="T274" i="6"/>
  <c r="U266" i="6"/>
  <c r="X266" i="6" s="1"/>
  <c r="V266" i="6"/>
  <c r="Y266" i="6" s="1"/>
  <c r="R266" i="6"/>
  <c r="W266" i="6" s="1"/>
  <c r="Z266" i="6" s="1"/>
  <c r="T266" i="6"/>
  <c r="U258" i="6"/>
  <c r="X258" i="6" s="1"/>
  <c r="T258" i="6"/>
  <c r="R258" i="6"/>
  <c r="W258" i="6" s="1"/>
  <c r="Z258" i="6" s="1"/>
  <c r="V250" i="6"/>
  <c r="Y250" i="6" s="1"/>
  <c r="T250" i="6"/>
  <c r="U250" i="6"/>
  <c r="X250" i="6" s="1"/>
  <c r="R250" i="6"/>
  <c r="W250" i="6" s="1"/>
  <c r="Z250" i="6" s="1"/>
  <c r="T242" i="6"/>
  <c r="V242" i="6"/>
  <c r="Y242" i="6" s="1"/>
  <c r="R242" i="6"/>
  <c r="W242" i="6" s="1"/>
  <c r="Z242" i="6" s="1"/>
  <c r="S242" i="6"/>
  <c r="U242" i="6"/>
  <c r="X242" i="6" s="1"/>
  <c r="V234" i="6"/>
  <c r="Y234" i="6" s="1"/>
  <c r="U234" i="6"/>
  <c r="X234" i="6" s="1"/>
  <c r="T234" i="6"/>
  <c r="R234" i="6"/>
  <c r="W234" i="6" s="1"/>
  <c r="Z234" i="6" s="1"/>
  <c r="T226" i="6"/>
  <c r="U226" i="6"/>
  <c r="X226" i="6" s="1"/>
  <c r="R226" i="6"/>
  <c r="W226" i="6" s="1"/>
  <c r="Z226" i="6" s="1"/>
  <c r="V218" i="6"/>
  <c r="Y218" i="6" s="1"/>
  <c r="T218" i="6"/>
  <c r="U218" i="6"/>
  <c r="X218" i="6" s="1"/>
  <c r="R218" i="6"/>
  <c r="W218" i="6" s="1"/>
  <c r="Z218" i="6" s="1"/>
  <c r="U210" i="6"/>
  <c r="X210" i="6" s="1"/>
  <c r="T210" i="6"/>
  <c r="R210" i="6"/>
  <c r="W210" i="6" s="1"/>
  <c r="Z210" i="6" s="1"/>
  <c r="V210" i="6"/>
  <c r="Y210" i="6" s="1"/>
  <c r="S210" i="6"/>
  <c r="U202" i="6"/>
  <c r="X202" i="6" s="1"/>
  <c r="T202" i="6"/>
  <c r="R202" i="6"/>
  <c r="W202" i="6" s="1"/>
  <c r="Z202" i="6" s="1"/>
  <c r="T194" i="6"/>
  <c r="V194" i="6"/>
  <c r="Y194" i="6" s="1"/>
  <c r="R194" i="6"/>
  <c r="W194" i="6" s="1"/>
  <c r="Z194" i="6" s="1"/>
  <c r="V186" i="6"/>
  <c r="Y186" i="6" s="1"/>
  <c r="T186" i="6"/>
  <c r="U186" i="6"/>
  <c r="X186" i="6" s="1"/>
  <c r="R186" i="6"/>
  <c r="W186" i="6" s="1"/>
  <c r="Z186" i="6" s="1"/>
  <c r="V178" i="6"/>
  <c r="Y178" i="6" s="1"/>
  <c r="U178" i="6"/>
  <c r="X178" i="6" s="1"/>
  <c r="T178" i="6"/>
  <c r="S178" i="6"/>
  <c r="R178" i="6"/>
  <c r="W178" i="6" s="1"/>
  <c r="Z178" i="6" s="1"/>
  <c r="T170" i="6"/>
  <c r="U170" i="6"/>
  <c r="X170" i="6" s="1"/>
  <c r="R170" i="6"/>
  <c r="W170" i="6" s="1"/>
  <c r="Z170" i="6" s="1"/>
  <c r="S170" i="6"/>
  <c r="V162" i="6"/>
  <c r="Y162" i="6" s="1"/>
  <c r="U162" i="6"/>
  <c r="X162" i="6" s="1"/>
  <c r="R162" i="6"/>
  <c r="W162" i="6" s="1"/>
  <c r="Z162" i="6" s="1"/>
  <c r="T162" i="6"/>
  <c r="S162" i="6"/>
  <c r="V154" i="6"/>
  <c r="Y154" i="6" s="1"/>
  <c r="T154" i="6"/>
  <c r="U154" i="6"/>
  <c r="X154" i="6" s="1"/>
  <c r="S154" i="6"/>
  <c r="R154" i="6"/>
  <c r="W154" i="6" s="1"/>
  <c r="Z154" i="6" s="1"/>
  <c r="U146" i="6"/>
  <c r="X146" i="6" s="1"/>
  <c r="S146" i="6"/>
  <c r="T146" i="6"/>
  <c r="V146" i="6"/>
  <c r="Y146" i="6" s="1"/>
  <c r="R146" i="6"/>
  <c r="W146" i="6" s="1"/>
  <c r="Z146" i="6" s="1"/>
  <c r="T138" i="6"/>
  <c r="V138" i="6"/>
  <c r="Y138" i="6" s="1"/>
  <c r="R138" i="6"/>
  <c r="W138" i="6" s="1"/>
  <c r="Z138" i="6" s="1"/>
  <c r="U138" i="6"/>
  <c r="X138" i="6" s="1"/>
  <c r="U130" i="6"/>
  <c r="X130" i="6" s="1"/>
  <c r="T130" i="6"/>
  <c r="R130" i="6"/>
  <c r="W130" i="6" s="1"/>
  <c r="Z130" i="6" s="1"/>
  <c r="V130" i="6"/>
  <c r="Y130" i="6" s="1"/>
  <c r="V122" i="6"/>
  <c r="Y122" i="6" s="1"/>
  <c r="T122" i="6"/>
  <c r="U122" i="6"/>
  <c r="X122" i="6" s="1"/>
  <c r="R122" i="6"/>
  <c r="W122" i="6" s="1"/>
  <c r="Z122" i="6" s="1"/>
  <c r="T114" i="6"/>
  <c r="S114" i="6"/>
  <c r="U114" i="6"/>
  <c r="X114" i="6" s="1"/>
  <c r="V114" i="6"/>
  <c r="Y114" i="6" s="1"/>
  <c r="R114" i="6"/>
  <c r="W114" i="6" s="1"/>
  <c r="Z114" i="6" s="1"/>
  <c r="R106" i="6"/>
  <c r="W106" i="6" s="1"/>
  <c r="Z106" i="6" s="1"/>
  <c r="V106" i="6"/>
  <c r="Y106" i="6" s="1"/>
  <c r="U106" i="6"/>
  <c r="X106" i="6" s="1"/>
  <c r="T106" i="6"/>
  <c r="R98" i="6"/>
  <c r="W98" i="6" s="1"/>
  <c r="Z98" i="6" s="1"/>
  <c r="T98" i="6"/>
  <c r="V98" i="6"/>
  <c r="Y98" i="6" s="1"/>
  <c r="S98" i="6"/>
  <c r="V90" i="6"/>
  <c r="AG90" i="6"/>
  <c r="U90" i="6"/>
  <c r="V82" i="6"/>
  <c r="AG82" i="6"/>
  <c r="V74" i="6"/>
  <c r="AG74" i="6"/>
  <c r="U74" i="6"/>
  <c r="V66" i="6"/>
  <c r="AG66" i="6"/>
  <c r="U66" i="6"/>
  <c r="AG58" i="6"/>
  <c r="V58" i="6"/>
  <c r="S58" i="6"/>
  <c r="AI58" i="6" s="1"/>
  <c r="R58" i="6"/>
  <c r="T58" i="6"/>
  <c r="AJ58" i="6" s="1"/>
  <c r="U58" i="6"/>
  <c r="AG50" i="6"/>
  <c r="V50" i="6"/>
  <c r="S50" i="6"/>
  <c r="AI50" i="6" s="1"/>
  <c r="T50" i="6"/>
  <c r="AJ50" i="6" s="1"/>
  <c r="R50" i="6"/>
  <c r="U50" i="6"/>
  <c r="R351" i="6"/>
  <c r="W351" i="6" s="1"/>
  <c r="Z351" i="6" s="1"/>
  <c r="R191" i="6"/>
  <c r="W191" i="6" s="1"/>
  <c r="Z191" i="6" s="1"/>
  <c r="R125" i="6"/>
  <c r="W125" i="6" s="1"/>
  <c r="Z125" i="6" s="1"/>
  <c r="R99" i="6"/>
  <c r="W99" i="6" s="1"/>
  <c r="Z99" i="6" s="1"/>
  <c r="R30" i="6"/>
  <c r="R14" i="6"/>
  <c r="S355" i="6"/>
  <c r="S339" i="6"/>
  <c r="S322" i="6"/>
  <c r="S302" i="6"/>
  <c r="S286" i="6"/>
  <c r="S269" i="6"/>
  <c r="S253" i="6"/>
  <c r="S236" i="6"/>
  <c r="S218" i="6"/>
  <c r="S202" i="6"/>
  <c r="S179" i="6"/>
  <c r="S157" i="6"/>
  <c r="S133" i="6"/>
  <c r="S109" i="6"/>
  <c r="S61" i="6"/>
  <c r="AI61" i="6" s="1"/>
  <c r="T354" i="6"/>
  <c r="T310" i="6"/>
  <c r="T253" i="6"/>
  <c r="T124" i="6"/>
  <c r="U254" i="6"/>
  <c r="X254" i="6" s="1"/>
  <c r="U181" i="6"/>
  <c r="X181" i="6" s="1"/>
  <c r="AK18" i="6"/>
  <c r="X18" i="6"/>
  <c r="AC18" i="6" s="1"/>
  <c r="V291" i="6"/>
  <c r="Y291" i="6" s="1"/>
  <c r="V221" i="6"/>
  <c r="Y221" i="6" s="1"/>
  <c r="V131" i="6"/>
  <c r="Y131" i="6" s="1"/>
  <c r="V23" i="6"/>
  <c r="T361" i="6"/>
  <c r="U361" i="6"/>
  <c r="X361" i="6" s="1"/>
  <c r="V361" i="6"/>
  <c r="Y361" i="6" s="1"/>
  <c r="T353" i="6"/>
  <c r="V353" i="6"/>
  <c r="Y353" i="6" s="1"/>
  <c r="U353" i="6"/>
  <c r="X353" i="6" s="1"/>
  <c r="S353" i="6"/>
  <c r="T345" i="6"/>
  <c r="U345" i="6"/>
  <c r="X345" i="6" s="1"/>
  <c r="V345" i="6"/>
  <c r="Y345" i="6" s="1"/>
  <c r="T337" i="6"/>
  <c r="V337" i="6"/>
  <c r="Y337" i="6" s="1"/>
  <c r="U337" i="6"/>
  <c r="X337" i="6" s="1"/>
  <c r="S337" i="6"/>
  <c r="T329" i="6"/>
  <c r="U329" i="6"/>
  <c r="X329" i="6" s="1"/>
  <c r="V329" i="6"/>
  <c r="Y329" i="6" s="1"/>
  <c r="T321" i="6"/>
  <c r="S321" i="6"/>
  <c r="T313" i="6"/>
  <c r="U313" i="6"/>
  <c r="X313" i="6" s="1"/>
  <c r="V313" i="6"/>
  <c r="Y313" i="6" s="1"/>
  <c r="T305" i="6"/>
  <c r="V305" i="6"/>
  <c r="Y305" i="6" s="1"/>
  <c r="U305" i="6"/>
  <c r="X305" i="6" s="1"/>
  <c r="S305" i="6"/>
  <c r="T297" i="6"/>
  <c r="V297" i="6"/>
  <c r="Y297" i="6" s="1"/>
  <c r="U297" i="6"/>
  <c r="X297" i="6" s="1"/>
  <c r="T289" i="6"/>
  <c r="V289" i="6"/>
  <c r="Y289" i="6" s="1"/>
  <c r="U289" i="6"/>
  <c r="X289" i="6" s="1"/>
  <c r="S289" i="6"/>
  <c r="T281" i="6"/>
  <c r="U281" i="6"/>
  <c r="X281" i="6" s="1"/>
  <c r="V281" i="6"/>
  <c r="Y281" i="6" s="1"/>
  <c r="T273" i="6"/>
  <c r="V273" i="6"/>
  <c r="Y273" i="6" s="1"/>
  <c r="U273" i="6"/>
  <c r="X273" i="6" s="1"/>
  <c r="S273" i="6"/>
  <c r="T265" i="6"/>
  <c r="V265" i="6"/>
  <c r="Y265" i="6" s="1"/>
  <c r="U265" i="6"/>
  <c r="X265" i="6" s="1"/>
  <c r="T257" i="6"/>
  <c r="U257" i="6"/>
  <c r="X257" i="6" s="1"/>
  <c r="V257" i="6"/>
  <c r="Y257" i="6" s="1"/>
  <c r="S257" i="6"/>
  <c r="T249" i="6"/>
  <c r="U249" i="6"/>
  <c r="X249" i="6" s="1"/>
  <c r="V249" i="6"/>
  <c r="Y249" i="6" s="1"/>
  <c r="T241" i="6"/>
  <c r="V241" i="6"/>
  <c r="Y241" i="6" s="1"/>
  <c r="U241" i="6"/>
  <c r="X241" i="6" s="1"/>
  <c r="S241" i="6"/>
  <c r="T233" i="6"/>
  <c r="V233" i="6"/>
  <c r="Y233" i="6" s="1"/>
  <c r="U233" i="6"/>
  <c r="X233" i="6" s="1"/>
  <c r="T225" i="6"/>
  <c r="V225" i="6"/>
  <c r="Y225" i="6" s="1"/>
  <c r="S225" i="6"/>
  <c r="T217" i="6"/>
  <c r="U217" i="6"/>
  <c r="X217" i="6" s="1"/>
  <c r="V217" i="6"/>
  <c r="Y217" i="6" s="1"/>
  <c r="T209" i="6"/>
  <c r="V209" i="6"/>
  <c r="Y209" i="6" s="1"/>
  <c r="U209" i="6"/>
  <c r="X209" i="6" s="1"/>
  <c r="S209" i="6"/>
  <c r="T201" i="6"/>
  <c r="U201" i="6"/>
  <c r="X201" i="6" s="1"/>
  <c r="V201" i="6"/>
  <c r="Y201" i="6" s="1"/>
  <c r="T193" i="6"/>
  <c r="V193" i="6"/>
  <c r="Y193" i="6" s="1"/>
  <c r="S193" i="6"/>
  <c r="U193" i="6"/>
  <c r="X193" i="6" s="1"/>
  <c r="T185" i="6"/>
  <c r="U185" i="6"/>
  <c r="X185" i="6" s="1"/>
  <c r="S185" i="6"/>
  <c r="V185" i="6"/>
  <c r="Y185" i="6" s="1"/>
  <c r="T177" i="6"/>
  <c r="V177" i="6"/>
  <c r="Y177" i="6" s="1"/>
  <c r="T169" i="6"/>
  <c r="V169" i="6"/>
  <c r="Y169" i="6" s="1"/>
  <c r="S169" i="6"/>
  <c r="T161" i="6"/>
  <c r="V161" i="6"/>
  <c r="Y161" i="6" s="1"/>
  <c r="S161" i="6"/>
  <c r="U161" i="6"/>
  <c r="X161" i="6" s="1"/>
  <c r="T153" i="6"/>
  <c r="U153" i="6"/>
  <c r="X153" i="6" s="1"/>
  <c r="V153" i="6"/>
  <c r="Y153" i="6" s="1"/>
  <c r="T145" i="6"/>
  <c r="V145" i="6"/>
  <c r="Y145" i="6" s="1"/>
  <c r="U145" i="6"/>
  <c r="X145" i="6" s="1"/>
  <c r="T137" i="6"/>
  <c r="V137" i="6"/>
  <c r="Y137" i="6" s="1"/>
  <c r="U137" i="6"/>
  <c r="X137" i="6" s="1"/>
  <c r="T129" i="6"/>
  <c r="U129" i="6"/>
  <c r="X129" i="6" s="1"/>
  <c r="S129" i="6"/>
  <c r="T121" i="6"/>
  <c r="U121" i="6"/>
  <c r="X121" i="6" s="1"/>
  <c r="V121" i="6"/>
  <c r="Y121" i="6" s="1"/>
  <c r="T113" i="6"/>
  <c r="V113" i="6"/>
  <c r="Y113" i="6" s="1"/>
  <c r="U113" i="6"/>
  <c r="X113" i="6" s="1"/>
  <c r="S113" i="6"/>
  <c r="T105" i="6"/>
  <c r="V105" i="6"/>
  <c r="Y105" i="6" s="1"/>
  <c r="U105" i="6"/>
  <c r="X105" i="6" s="1"/>
  <c r="R105" i="6"/>
  <c r="W105" i="6" s="1"/>
  <c r="Z105" i="6" s="1"/>
  <c r="S105" i="6"/>
  <c r="T97" i="6"/>
  <c r="R97" i="6"/>
  <c r="W97" i="6" s="1"/>
  <c r="Z97" i="6" s="1"/>
  <c r="V97" i="6"/>
  <c r="Y97" i="6" s="1"/>
  <c r="S97" i="6"/>
  <c r="U97" i="6"/>
  <c r="X97" i="6" s="1"/>
  <c r="R89" i="6"/>
  <c r="AG89" i="6"/>
  <c r="R81" i="6"/>
  <c r="AG81" i="6"/>
  <c r="V81" i="6"/>
  <c r="R73" i="6"/>
  <c r="AG73" i="6"/>
  <c r="V73" i="6"/>
  <c r="R65" i="6"/>
  <c r="AG65" i="6"/>
  <c r="V65" i="6"/>
  <c r="AG57" i="6"/>
  <c r="R57" i="6"/>
  <c r="V57" i="6"/>
  <c r="U57" i="6"/>
  <c r="T57" i="6"/>
  <c r="AJ57" i="6" s="1"/>
  <c r="AG49" i="6"/>
  <c r="S49" i="6"/>
  <c r="AI49" i="6" s="1"/>
  <c r="R49" i="6"/>
  <c r="V49" i="6"/>
  <c r="U49" i="6"/>
  <c r="T49" i="6"/>
  <c r="AJ49" i="6" s="1"/>
  <c r="AG41" i="6"/>
  <c r="S41" i="6"/>
  <c r="AI41" i="6" s="1"/>
  <c r="U41" i="6"/>
  <c r="R41" i="6"/>
  <c r="V41" i="6"/>
  <c r="T41" i="6"/>
  <c r="AJ41" i="6" s="1"/>
  <c r="AG33" i="6"/>
  <c r="S33" i="6"/>
  <c r="AI33" i="6" s="1"/>
  <c r="R33" i="6"/>
  <c r="U33" i="6"/>
  <c r="T33" i="6"/>
  <c r="AJ33" i="6" s="1"/>
  <c r="V33" i="6"/>
  <c r="AG25" i="6"/>
  <c r="S25" i="6"/>
  <c r="AI25" i="6" s="1"/>
  <c r="R25" i="6"/>
  <c r="V25" i="6"/>
  <c r="U25" i="6"/>
  <c r="T25" i="6"/>
  <c r="AJ25" i="6" s="1"/>
  <c r="AG17" i="6"/>
  <c r="S17" i="6"/>
  <c r="AI17" i="6" s="1"/>
  <c r="R17" i="6"/>
  <c r="U17" i="6"/>
  <c r="T17" i="6"/>
  <c r="AJ17" i="6" s="1"/>
  <c r="V17" i="6"/>
  <c r="AG9" i="6"/>
  <c r="S9" i="6"/>
  <c r="AI9" i="6" s="1"/>
  <c r="U9" i="6"/>
  <c r="R9" i="6"/>
  <c r="V9" i="6"/>
  <c r="T9" i="6"/>
  <c r="AJ9" i="6" s="1"/>
  <c r="R349" i="6"/>
  <c r="W349" i="6" s="1"/>
  <c r="Z349" i="6" s="1"/>
  <c r="R339" i="6"/>
  <c r="W339" i="6" s="1"/>
  <c r="Z339" i="6" s="1"/>
  <c r="R317" i="6"/>
  <c r="W317" i="6" s="1"/>
  <c r="Z317" i="6" s="1"/>
  <c r="R307" i="6"/>
  <c r="W307" i="6" s="1"/>
  <c r="Z307" i="6" s="1"/>
  <c r="R285" i="6"/>
  <c r="W285" i="6" s="1"/>
  <c r="Z285" i="6" s="1"/>
  <c r="R275" i="6"/>
  <c r="W275" i="6" s="1"/>
  <c r="Z275" i="6" s="1"/>
  <c r="R253" i="6"/>
  <c r="W253" i="6" s="1"/>
  <c r="Z253" i="6" s="1"/>
  <c r="R243" i="6"/>
  <c r="W243" i="6" s="1"/>
  <c r="Z243" i="6" s="1"/>
  <c r="R221" i="6"/>
  <c r="W221" i="6" s="1"/>
  <c r="Z221" i="6" s="1"/>
  <c r="R211" i="6"/>
  <c r="W211" i="6" s="1"/>
  <c r="Z211" i="6" s="1"/>
  <c r="R189" i="6"/>
  <c r="W189" i="6" s="1"/>
  <c r="Z189" i="6" s="1"/>
  <c r="R179" i="6"/>
  <c r="W179" i="6" s="1"/>
  <c r="Z179" i="6" s="1"/>
  <c r="R157" i="6"/>
  <c r="W157" i="6" s="1"/>
  <c r="Z157" i="6" s="1"/>
  <c r="R147" i="6"/>
  <c r="W147" i="6" s="1"/>
  <c r="Z147" i="6" s="1"/>
  <c r="R124" i="6"/>
  <c r="W124" i="6" s="1"/>
  <c r="Z124" i="6" s="1"/>
  <c r="R62" i="6"/>
  <c r="R46" i="6"/>
  <c r="R29" i="6"/>
  <c r="R13" i="6"/>
  <c r="S354" i="6"/>
  <c r="S334" i="6"/>
  <c r="S318" i="6"/>
  <c r="S301" i="6"/>
  <c r="S285" i="6"/>
  <c r="S268" i="6"/>
  <c r="S250" i="6"/>
  <c r="S234" i="6"/>
  <c r="S217" i="6"/>
  <c r="S201" i="6"/>
  <c r="S177" i="6"/>
  <c r="S153" i="6"/>
  <c r="S131" i="6"/>
  <c r="S108" i="6"/>
  <c r="S57" i="6"/>
  <c r="AI57" i="6" s="1"/>
  <c r="S28" i="6"/>
  <c r="AI28" i="6" s="1"/>
  <c r="T308" i="6"/>
  <c r="T179" i="6"/>
  <c r="T116" i="6"/>
  <c r="U309" i="6"/>
  <c r="X309" i="6" s="1"/>
  <c r="U246" i="6"/>
  <c r="X246" i="6" s="1"/>
  <c r="U177" i="6"/>
  <c r="X177" i="6" s="1"/>
  <c r="U13" i="6"/>
  <c r="V285" i="6"/>
  <c r="Y285" i="6" s="1"/>
  <c r="V202" i="6"/>
  <c r="Y202" i="6" s="1"/>
  <c r="V129" i="6"/>
  <c r="Y129" i="6" s="1"/>
  <c r="T360" i="6"/>
  <c r="S360" i="6"/>
  <c r="U360" i="6"/>
  <c r="X360" i="6" s="1"/>
  <c r="V360" i="6"/>
  <c r="Y360" i="6" s="1"/>
  <c r="T352" i="6"/>
  <c r="S352" i="6"/>
  <c r="V352" i="6"/>
  <c r="Y352" i="6" s="1"/>
  <c r="T344" i="6"/>
  <c r="S344" i="6"/>
  <c r="V344" i="6"/>
  <c r="Y344" i="6" s="1"/>
  <c r="U344" i="6"/>
  <c r="X344" i="6" s="1"/>
  <c r="T336" i="6"/>
  <c r="V336" i="6"/>
  <c r="Y336" i="6" s="1"/>
  <c r="U336" i="6"/>
  <c r="X336" i="6" s="1"/>
  <c r="S336" i="6"/>
  <c r="T328" i="6"/>
  <c r="S328" i="6"/>
  <c r="V328" i="6"/>
  <c r="Y328" i="6" s="1"/>
  <c r="T320" i="6"/>
  <c r="S320" i="6"/>
  <c r="V320" i="6"/>
  <c r="Y320" i="6" s="1"/>
  <c r="U320" i="6"/>
  <c r="X320" i="6" s="1"/>
  <c r="T312" i="6"/>
  <c r="S312" i="6"/>
  <c r="U312" i="6"/>
  <c r="X312" i="6" s="1"/>
  <c r="T304" i="6"/>
  <c r="V304" i="6"/>
  <c r="Y304" i="6" s="1"/>
  <c r="U304" i="6"/>
  <c r="X304" i="6" s="1"/>
  <c r="S304" i="6"/>
  <c r="T296" i="6"/>
  <c r="S296" i="6"/>
  <c r="V296" i="6"/>
  <c r="Y296" i="6" s="1"/>
  <c r="T288" i="6"/>
  <c r="S288" i="6"/>
  <c r="V288" i="6"/>
  <c r="Y288" i="6" s="1"/>
  <c r="U288" i="6"/>
  <c r="X288" i="6" s="1"/>
  <c r="T280" i="6"/>
  <c r="S280" i="6"/>
  <c r="T272" i="6"/>
  <c r="V272" i="6"/>
  <c r="Y272" i="6" s="1"/>
  <c r="U272" i="6"/>
  <c r="X272" i="6" s="1"/>
  <c r="S272" i="6"/>
  <c r="T264" i="6"/>
  <c r="S264" i="6"/>
  <c r="V264" i="6"/>
  <c r="Y264" i="6" s="1"/>
  <c r="U264" i="6"/>
  <c r="X264" i="6" s="1"/>
  <c r="T256" i="6"/>
  <c r="S256" i="6"/>
  <c r="U256" i="6"/>
  <c r="X256" i="6" s="1"/>
  <c r="V256" i="6"/>
  <c r="Y256" i="6" s="1"/>
  <c r="T248" i="6"/>
  <c r="S248" i="6"/>
  <c r="V248" i="6"/>
  <c r="Y248" i="6" s="1"/>
  <c r="U248" i="6"/>
  <c r="X248" i="6" s="1"/>
  <c r="T240" i="6"/>
  <c r="V240" i="6"/>
  <c r="Y240" i="6" s="1"/>
  <c r="U240" i="6"/>
  <c r="X240" i="6" s="1"/>
  <c r="S240" i="6"/>
  <c r="T232" i="6"/>
  <c r="S232" i="6"/>
  <c r="V232" i="6"/>
  <c r="Y232" i="6" s="1"/>
  <c r="T224" i="6"/>
  <c r="S224" i="6"/>
  <c r="V224" i="6"/>
  <c r="Y224" i="6" s="1"/>
  <c r="U224" i="6"/>
  <c r="X224" i="6" s="1"/>
  <c r="T216" i="6"/>
  <c r="S216" i="6"/>
  <c r="V216" i="6"/>
  <c r="Y216" i="6" s="1"/>
  <c r="U216" i="6"/>
  <c r="X216" i="6" s="1"/>
  <c r="T208" i="6"/>
  <c r="V208" i="6"/>
  <c r="Y208" i="6" s="1"/>
  <c r="U208" i="6"/>
  <c r="X208" i="6" s="1"/>
  <c r="S208" i="6"/>
  <c r="T200" i="6"/>
  <c r="S200" i="6"/>
  <c r="T192" i="6"/>
  <c r="S192" i="6"/>
  <c r="V192" i="6"/>
  <c r="Y192" i="6" s="1"/>
  <c r="U192" i="6"/>
  <c r="X192" i="6" s="1"/>
  <c r="T184" i="6"/>
  <c r="S184" i="6"/>
  <c r="U184" i="6"/>
  <c r="X184" i="6" s="1"/>
  <c r="V184" i="6"/>
  <c r="Y184" i="6" s="1"/>
  <c r="T176" i="6"/>
  <c r="V176" i="6"/>
  <c r="Y176" i="6" s="1"/>
  <c r="U176" i="6"/>
  <c r="X176" i="6" s="1"/>
  <c r="S176" i="6"/>
  <c r="T168" i="6"/>
  <c r="S168" i="6"/>
  <c r="U168" i="6"/>
  <c r="X168" i="6" s="1"/>
  <c r="T160" i="6"/>
  <c r="S160" i="6"/>
  <c r="U160" i="6"/>
  <c r="X160" i="6" s="1"/>
  <c r="T152" i="6"/>
  <c r="S152" i="6"/>
  <c r="U152" i="6"/>
  <c r="X152" i="6" s="1"/>
  <c r="V152" i="6"/>
  <c r="Y152" i="6" s="1"/>
  <c r="T144" i="6"/>
  <c r="V144" i="6"/>
  <c r="Y144" i="6" s="1"/>
  <c r="U144" i="6"/>
  <c r="X144" i="6" s="1"/>
  <c r="S144" i="6"/>
  <c r="T136" i="6"/>
  <c r="S136" i="6"/>
  <c r="V136" i="6"/>
  <c r="Y136" i="6" s="1"/>
  <c r="U136" i="6"/>
  <c r="X136" i="6" s="1"/>
  <c r="T128" i="6"/>
  <c r="S128" i="6"/>
  <c r="V128" i="6"/>
  <c r="Y128" i="6" s="1"/>
  <c r="T120" i="6"/>
  <c r="S120" i="6"/>
  <c r="V120" i="6"/>
  <c r="Y120" i="6" s="1"/>
  <c r="U120" i="6"/>
  <c r="X120" i="6" s="1"/>
  <c r="T112" i="6"/>
  <c r="V112" i="6"/>
  <c r="Y112" i="6" s="1"/>
  <c r="U112" i="6"/>
  <c r="X112" i="6" s="1"/>
  <c r="S112" i="6"/>
  <c r="T104" i="6"/>
  <c r="S104" i="6"/>
  <c r="V104" i="6"/>
  <c r="Y104" i="6" s="1"/>
  <c r="R88" i="6"/>
  <c r="AG88" i="6"/>
  <c r="R80" i="6"/>
  <c r="AG80" i="6"/>
  <c r="R72" i="6"/>
  <c r="AG72" i="6"/>
  <c r="AG64" i="6"/>
  <c r="U64" i="6"/>
  <c r="V64" i="6"/>
  <c r="S64" i="6"/>
  <c r="AI64" i="6" s="1"/>
  <c r="R64" i="6"/>
  <c r="T64" i="6"/>
  <c r="AJ64" i="6" s="1"/>
  <c r="AG56" i="6"/>
  <c r="U56" i="6"/>
  <c r="T56" i="6"/>
  <c r="AJ56" i="6" s="1"/>
  <c r="S56" i="6"/>
  <c r="AI56" i="6" s="1"/>
  <c r="V56" i="6"/>
  <c r="AG48" i="6"/>
  <c r="U48" i="6"/>
  <c r="V48" i="6"/>
  <c r="AG40" i="6"/>
  <c r="U40" i="6"/>
  <c r="V40" i="6"/>
  <c r="T40" i="6"/>
  <c r="AJ40" i="6" s="1"/>
  <c r="S40" i="6"/>
  <c r="AI40" i="6" s="1"/>
  <c r="AG32" i="6"/>
  <c r="U32" i="6"/>
  <c r="V32" i="6"/>
  <c r="T32" i="6"/>
  <c r="AJ32" i="6" s="1"/>
  <c r="R32" i="6"/>
  <c r="AG24" i="6"/>
  <c r="U24" i="6"/>
  <c r="S24" i="6"/>
  <c r="AI24" i="6" s="1"/>
  <c r="V24" i="6"/>
  <c r="AG16" i="6"/>
  <c r="U16" i="6"/>
  <c r="S16" i="6"/>
  <c r="AI16" i="6" s="1"/>
  <c r="T16" i="6"/>
  <c r="AJ16" i="6" s="1"/>
  <c r="AG8" i="6"/>
  <c r="U8" i="6"/>
  <c r="V8" i="6"/>
  <c r="T8" i="6"/>
  <c r="AJ8" i="6" s="1"/>
  <c r="S8" i="6"/>
  <c r="AI8" i="6" s="1"/>
  <c r="R295" i="6"/>
  <c r="W295" i="6" s="1"/>
  <c r="Z295" i="6" s="1"/>
  <c r="R109" i="6"/>
  <c r="W109" i="6" s="1"/>
  <c r="Z109" i="6" s="1"/>
  <c r="R61" i="6"/>
  <c r="R45" i="6"/>
  <c r="R28" i="6"/>
  <c r="R8" i="6"/>
  <c r="S350" i="6"/>
  <c r="S333" i="6"/>
  <c r="S317" i="6"/>
  <c r="S300" i="6"/>
  <c r="S282" i="6"/>
  <c r="S266" i="6"/>
  <c r="S249" i="6"/>
  <c r="S233" i="6"/>
  <c r="S214" i="6"/>
  <c r="S195" i="6"/>
  <c r="S173" i="6"/>
  <c r="S150" i="6"/>
  <c r="S130" i="6"/>
  <c r="S106" i="6"/>
  <c r="T350" i="6"/>
  <c r="T244" i="6"/>
  <c r="T172" i="6"/>
  <c r="T102" i="6"/>
  <c r="T11" i="6"/>
  <c r="AJ11" i="6" s="1"/>
  <c r="U302" i="6"/>
  <c r="X302" i="6" s="1"/>
  <c r="U232" i="6"/>
  <c r="X232" i="6" s="1"/>
  <c r="U169" i="6"/>
  <c r="X169" i="6" s="1"/>
  <c r="U98" i="6"/>
  <c r="X98" i="6" s="1"/>
  <c r="V354" i="6"/>
  <c r="Y354" i="6" s="1"/>
  <c r="V280" i="6"/>
  <c r="Y280" i="6" s="1"/>
  <c r="V200" i="6"/>
  <c r="Y200" i="6" s="1"/>
  <c r="V108" i="6"/>
  <c r="Y108" i="6" s="1"/>
  <c r="V359" i="6"/>
  <c r="Y359" i="6" s="1"/>
  <c r="S359" i="6"/>
  <c r="U359" i="6"/>
  <c r="X359" i="6" s="1"/>
  <c r="T359" i="6"/>
  <c r="V351" i="6"/>
  <c r="Y351" i="6" s="1"/>
  <c r="S351" i="6"/>
  <c r="U351" i="6"/>
  <c r="X351" i="6" s="1"/>
  <c r="V343" i="6"/>
  <c r="Y343" i="6" s="1"/>
  <c r="S343" i="6"/>
  <c r="U343" i="6"/>
  <c r="X343" i="6" s="1"/>
  <c r="V335" i="6"/>
  <c r="Y335" i="6" s="1"/>
  <c r="U335" i="6"/>
  <c r="X335" i="6" s="1"/>
  <c r="S335" i="6"/>
  <c r="T335" i="6"/>
  <c r="V327" i="6"/>
  <c r="Y327" i="6" s="1"/>
  <c r="S327" i="6"/>
  <c r="T327" i="6"/>
  <c r="U327" i="6"/>
  <c r="X327" i="6" s="1"/>
  <c r="V319" i="6"/>
  <c r="Y319" i="6" s="1"/>
  <c r="S319" i="6"/>
  <c r="T319" i="6"/>
  <c r="U319" i="6"/>
  <c r="X319" i="6" s="1"/>
  <c r="V311" i="6"/>
  <c r="Y311" i="6" s="1"/>
  <c r="S311" i="6"/>
  <c r="T311" i="6"/>
  <c r="U311" i="6"/>
  <c r="X311" i="6" s="1"/>
  <c r="V303" i="6"/>
  <c r="Y303" i="6" s="1"/>
  <c r="U303" i="6"/>
  <c r="X303" i="6" s="1"/>
  <c r="S303" i="6"/>
  <c r="T303" i="6"/>
  <c r="V295" i="6"/>
  <c r="Y295" i="6" s="1"/>
  <c r="S295" i="6"/>
  <c r="U295" i="6"/>
  <c r="X295" i="6" s="1"/>
  <c r="V287" i="6"/>
  <c r="Y287" i="6" s="1"/>
  <c r="S287" i="6"/>
  <c r="U287" i="6"/>
  <c r="X287" i="6" s="1"/>
  <c r="V279" i="6"/>
  <c r="Y279" i="6" s="1"/>
  <c r="S279" i="6"/>
  <c r="U279" i="6"/>
  <c r="X279" i="6" s="1"/>
  <c r="T279" i="6"/>
  <c r="V271" i="6"/>
  <c r="Y271" i="6" s="1"/>
  <c r="U271" i="6"/>
  <c r="X271" i="6" s="1"/>
  <c r="S271" i="6"/>
  <c r="T271" i="6"/>
  <c r="V263" i="6"/>
  <c r="Y263" i="6" s="1"/>
  <c r="S263" i="6"/>
  <c r="U263" i="6"/>
  <c r="X263" i="6" s="1"/>
  <c r="T263" i="6"/>
  <c r="V255" i="6"/>
  <c r="Y255" i="6" s="1"/>
  <c r="S255" i="6"/>
  <c r="T255" i="6"/>
  <c r="V247" i="6"/>
  <c r="Y247" i="6" s="1"/>
  <c r="S247" i="6"/>
  <c r="U247" i="6"/>
  <c r="X247" i="6" s="1"/>
  <c r="V239" i="6"/>
  <c r="Y239" i="6" s="1"/>
  <c r="U239" i="6"/>
  <c r="X239" i="6" s="1"/>
  <c r="S239" i="6"/>
  <c r="T239" i="6"/>
  <c r="V231" i="6"/>
  <c r="Y231" i="6" s="1"/>
  <c r="S231" i="6"/>
  <c r="U231" i="6"/>
  <c r="X231" i="6" s="1"/>
  <c r="T231" i="6"/>
  <c r="V223" i="6"/>
  <c r="Y223" i="6" s="1"/>
  <c r="S223" i="6"/>
  <c r="U223" i="6"/>
  <c r="X223" i="6" s="1"/>
  <c r="V215" i="6"/>
  <c r="Y215" i="6" s="1"/>
  <c r="S215" i="6"/>
  <c r="U215" i="6"/>
  <c r="X215" i="6" s="1"/>
  <c r="T215" i="6"/>
  <c r="V207" i="6"/>
  <c r="Y207" i="6" s="1"/>
  <c r="U207" i="6"/>
  <c r="X207" i="6" s="1"/>
  <c r="S207" i="6"/>
  <c r="T207" i="6"/>
  <c r="V199" i="6"/>
  <c r="Y199" i="6" s="1"/>
  <c r="S199" i="6"/>
  <c r="U199" i="6"/>
  <c r="X199" i="6" s="1"/>
  <c r="V191" i="6"/>
  <c r="Y191" i="6" s="1"/>
  <c r="S191" i="6"/>
  <c r="U191" i="6"/>
  <c r="X191" i="6" s="1"/>
  <c r="V183" i="6"/>
  <c r="Y183" i="6" s="1"/>
  <c r="S183" i="6"/>
  <c r="U183" i="6"/>
  <c r="X183" i="6" s="1"/>
  <c r="T183" i="6"/>
  <c r="V175" i="6"/>
  <c r="Y175" i="6" s="1"/>
  <c r="U175" i="6"/>
  <c r="X175" i="6" s="1"/>
  <c r="S175" i="6"/>
  <c r="T175" i="6"/>
  <c r="V167" i="6"/>
  <c r="Y167" i="6" s="1"/>
  <c r="S167" i="6"/>
  <c r="U167" i="6"/>
  <c r="X167" i="6" s="1"/>
  <c r="V159" i="6"/>
  <c r="Y159" i="6" s="1"/>
  <c r="S159" i="6"/>
  <c r="U159" i="6"/>
  <c r="X159" i="6" s="1"/>
  <c r="T159" i="6"/>
  <c r="V151" i="6"/>
  <c r="Y151" i="6" s="1"/>
  <c r="S151" i="6"/>
  <c r="T151" i="6"/>
  <c r="V143" i="6"/>
  <c r="Y143" i="6" s="1"/>
  <c r="U143" i="6"/>
  <c r="X143" i="6" s="1"/>
  <c r="S143" i="6"/>
  <c r="T143" i="6"/>
  <c r="V135" i="6"/>
  <c r="Y135" i="6" s="1"/>
  <c r="S135" i="6"/>
  <c r="U135" i="6"/>
  <c r="X135" i="6" s="1"/>
  <c r="T135" i="6"/>
  <c r="V127" i="6"/>
  <c r="Y127" i="6" s="1"/>
  <c r="S127" i="6"/>
  <c r="U127" i="6"/>
  <c r="X127" i="6" s="1"/>
  <c r="V119" i="6"/>
  <c r="Y119" i="6" s="1"/>
  <c r="S119" i="6"/>
  <c r="T119" i="6"/>
  <c r="V111" i="6"/>
  <c r="Y111" i="6" s="1"/>
  <c r="U111" i="6"/>
  <c r="X111" i="6" s="1"/>
  <c r="S111" i="6"/>
  <c r="T111" i="6"/>
  <c r="V103" i="6"/>
  <c r="Y103" i="6" s="1"/>
  <c r="S103" i="6"/>
  <c r="U103" i="6"/>
  <c r="X103" i="6" s="1"/>
  <c r="T103" i="6"/>
  <c r="R95" i="6"/>
  <c r="AG95" i="6"/>
  <c r="R87" i="6"/>
  <c r="AG87" i="6"/>
  <c r="R79" i="6"/>
  <c r="AG79" i="6"/>
  <c r="R71" i="6"/>
  <c r="AG71" i="6"/>
  <c r="AG63" i="6"/>
  <c r="U63" i="6"/>
  <c r="V63" i="6"/>
  <c r="T63" i="6"/>
  <c r="AJ63" i="6" s="1"/>
  <c r="R63" i="6"/>
  <c r="AG55" i="6"/>
  <c r="U55" i="6"/>
  <c r="V55" i="6"/>
  <c r="T55" i="6"/>
  <c r="AJ55" i="6" s="1"/>
  <c r="S55" i="6"/>
  <c r="AI55" i="6" s="1"/>
  <c r="AG47" i="6"/>
  <c r="U47" i="6"/>
  <c r="T47" i="6"/>
  <c r="AJ47" i="6" s="1"/>
  <c r="R47" i="6"/>
  <c r="AG39" i="6"/>
  <c r="U39" i="6"/>
  <c r="S39" i="6"/>
  <c r="AI39" i="6" s="1"/>
  <c r="V39" i="6"/>
  <c r="T39" i="6"/>
  <c r="AJ39" i="6" s="1"/>
  <c r="AG31" i="6"/>
  <c r="U31" i="6"/>
  <c r="V31" i="6"/>
  <c r="T31" i="6"/>
  <c r="AJ31" i="6" s="1"/>
  <c r="S31" i="6"/>
  <c r="AI31" i="6" s="1"/>
  <c r="R31" i="6"/>
  <c r="AG23" i="6"/>
  <c r="U23" i="6"/>
  <c r="T23" i="6"/>
  <c r="AJ23" i="6" s="1"/>
  <c r="AG15" i="6"/>
  <c r="U15" i="6"/>
  <c r="T15" i="6"/>
  <c r="AJ15" i="6" s="1"/>
  <c r="V15" i="6"/>
  <c r="S15" i="6"/>
  <c r="AI15" i="6" s="1"/>
  <c r="R15" i="6"/>
  <c r="AG7" i="6"/>
  <c r="U7" i="6"/>
  <c r="S7" i="6"/>
  <c r="AI7" i="6" s="1"/>
  <c r="T7" i="6"/>
  <c r="AJ7" i="6" s="1"/>
  <c r="R347" i="6"/>
  <c r="W347" i="6" s="1"/>
  <c r="Z347" i="6" s="1"/>
  <c r="R336" i="6"/>
  <c r="W336" i="6" s="1"/>
  <c r="Z336" i="6" s="1"/>
  <c r="R315" i="6"/>
  <c r="W315" i="6" s="1"/>
  <c r="Z315" i="6" s="1"/>
  <c r="R304" i="6"/>
  <c r="W304" i="6" s="1"/>
  <c r="Z304" i="6" s="1"/>
  <c r="R283" i="6"/>
  <c r="W283" i="6" s="1"/>
  <c r="Z283" i="6" s="1"/>
  <c r="R272" i="6"/>
  <c r="W272" i="6" s="1"/>
  <c r="Z272" i="6" s="1"/>
  <c r="R251" i="6"/>
  <c r="W251" i="6" s="1"/>
  <c r="Z251" i="6" s="1"/>
  <c r="R240" i="6"/>
  <c r="W240" i="6" s="1"/>
  <c r="Z240" i="6" s="1"/>
  <c r="R219" i="6"/>
  <c r="W219" i="6" s="1"/>
  <c r="Z219" i="6" s="1"/>
  <c r="R208" i="6"/>
  <c r="W208" i="6" s="1"/>
  <c r="Z208" i="6" s="1"/>
  <c r="R187" i="6"/>
  <c r="W187" i="6" s="1"/>
  <c r="Z187" i="6" s="1"/>
  <c r="R176" i="6"/>
  <c r="W176" i="6" s="1"/>
  <c r="Z176" i="6" s="1"/>
  <c r="R155" i="6"/>
  <c r="W155" i="6" s="1"/>
  <c r="Z155" i="6" s="1"/>
  <c r="R144" i="6"/>
  <c r="W144" i="6" s="1"/>
  <c r="Z144" i="6" s="1"/>
  <c r="R120" i="6"/>
  <c r="W120" i="6" s="1"/>
  <c r="Z120" i="6" s="1"/>
  <c r="R60" i="6"/>
  <c r="R40" i="6"/>
  <c r="R24" i="6"/>
  <c r="R7" i="6"/>
  <c r="S349" i="6"/>
  <c r="S314" i="6"/>
  <c r="S298" i="6"/>
  <c r="S246" i="6"/>
  <c r="S194" i="6"/>
  <c r="S123" i="6"/>
  <c r="S101" i="6"/>
  <c r="S48" i="6"/>
  <c r="AI48" i="6" s="1"/>
  <c r="T343" i="6"/>
  <c r="T294" i="6"/>
  <c r="T227" i="6"/>
  <c r="T167" i="6"/>
  <c r="T83" i="6"/>
  <c r="AJ83" i="6" s="1"/>
  <c r="U354" i="6"/>
  <c r="X354" i="6" s="1"/>
  <c r="U296" i="6"/>
  <c r="X296" i="6" s="1"/>
  <c r="U157" i="6"/>
  <c r="X157" i="6" s="1"/>
  <c r="U82" i="6"/>
  <c r="V349" i="6"/>
  <c r="Y349" i="6" s="1"/>
  <c r="V259" i="6"/>
  <c r="Y259" i="6" s="1"/>
  <c r="V107" i="6"/>
  <c r="Y107" i="6" s="1"/>
  <c r="AG30" i="6"/>
  <c r="V30" i="6"/>
  <c r="T30" i="6"/>
  <c r="AJ30" i="6" s="1"/>
  <c r="U30" i="6"/>
  <c r="S30" i="6"/>
  <c r="AI30" i="6" s="1"/>
  <c r="AG22" i="6"/>
  <c r="V22" i="6"/>
  <c r="U22" i="6"/>
  <c r="AG14" i="6"/>
  <c r="T14" i="6"/>
  <c r="AJ14" i="6" s="1"/>
  <c r="V14" i="6"/>
  <c r="AG6" i="6"/>
  <c r="V6" i="6"/>
  <c r="U6" i="6"/>
  <c r="S6" i="6"/>
  <c r="AI6" i="6" s="1"/>
  <c r="U14" i="6"/>
  <c r="R22" i="6"/>
  <c r="AG42" i="6"/>
  <c r="V42" i="6"/>
  <c r="S42" i="6"/>
  <c r="AI42" i="6" s="1"/>
  <c r="U42" i="6"/>
  <c r="R42" i="6"/>
  <c r="T42" i="6"/>
  <c r="AJ42" i="6" s="1"/>
  <c r="AG34" i="6"/>
  <c r="V34" i="6"/>
  <c r="S34" i="6"/>
  <c r="AI34" i="6" s="1"/>
  <c r="R34" i="6"/>
  <c r="T34" i="6"/>
  <c r="AJ34" i="6" s="1"/>
  <c r="AG26" i="6"/>
  <c r="V26" i="6"/>
  <c r="S26" i="6"/>
  <c r="AI26" i="6" s="1"/>
  <c r="R26" i="6"/>
  <c r="T26" i="6"/>
  <c r="AJ26" i="6" s="1"/>
  <c r="U26" i="6"/>
  <c r="AG18" i="6"/>
  <c r="V18" i="6"/>
  <c r="S18" i="6"/>
  <c r="AI18" i="6" s="1"/>
  <c r="T18" i="6"/>
  <c r="AJ18" i="6" s="1"/>
  <c r="R18" i="6"/>
  <c r="AG10" i="6"/>
  <c r="V10" i="6"/>
  <c r="S10" i="6"/>
  <c r="AI10" i="6" s="1"/>
  <c r="U10" i="6"/>
  <c r="R10" i="6"/>
  <c r="T6" i="6"/>
  <c r="AJ6" i="6" s="1"/>
  <c r="U34" i="6"/>
  <c r="W3" i="6"/>
  <c r="Z3" i="6" s="1"/>
  <c r="AH3" i="6"/>
  <c r="S3" i="6"/>
  <c r="AI3" i="6" s="1"/>
  <c r="AG3" i="6"/>
  <c r="AN49" i="6"/>
  <c r="AN41" i="6"/>
  <c r="AN25" i="6"/>
  <c r="AN9" i="6"/>
  <c r="AN56" i="6"/>
  <c r="AN48" i="6"/>
  <c r="AN40" i="6"/>
  <c r="AN32" i="6"/>
  <c r="AN24" i="6"/>
  <c r="AN16" i="6"/>
  <c r="AN8" i="6"/>
  <c r="AN57" i="6"/>
  <c r="AN33" i="6"/>
  <c r="AN17" i="6"/>
  <c r="AN55" i="6"/>
  <c r="AN47" i="6"/>
  <c r="AN39" i="6"/>
  <c r="AN31" i="6"/>
  <c r="AN23" i="6"/>
  <c r="AN15" i="6"/>
  <c r="AN7" i="6"/>
  <c r="AN30" i="6"/>
  <c r="AN14" i="6"/>
  <c r="AN61" i="6"/>
  <c r="AN53" i="6"/>
  <c r="AN45" i="6"/>
  <c r="AN37" i="6"/>
  <c r="AN29" i="6"/>
  <c r="AN21" i="6"/>
  <c r="AN13" i="6"/>
  <c r="AN5" i="6"/>
  <c r="AN38" i="6"/>
  <c r="AN60" i="6"/>
  <c r="AN52" i="6"/>
  <c r="AN44" i="6"/>
  <c r="AN36" i="6"/>
  <c r="AN28" i="6"/>
  <c r="AN20" i="6"/>
  <c r="AN12" i="6"/>
  <c r="AN4" i="6"/>
  <c r="AN54" i="6"/>
  <c r="AN46" i="6"/>
  <c r="AN22" i="6"/>
  <c r="AN59" i="6"/>
  <c r="AN51" i="6"/>
  <c r="AN43" i="6"/>
  <c r="AN35" i="6"/>
  <c r="AN27" i="6"/>
  <c r="AN19" i="6"/>
  <c r="AN11" i="6"/>
  <c r="AN6" i="6"/>
  <c r="AN58" i="6"/>
  <c r="AN50" i="6"/>
  <c r="AN42" i="6"/>
  <c r="AN34" i="6"/>
  <c r="AN26" i="6"/>
  <c r="AN18" i="6"/>
  <c r="AN10" i="6"/>
  <c r="R93" i="6"/>
  <c r="R85" i="6"/>
  <c r="R77" i="6"/>
  <c r="R69" i="6"/>
  <c r="S91" i="6"/>
  <c r="AI91" i="6" s="1"/>
  <c r="S83" i="6"/>
  <c r="AI83" i="6" s="1"/>
  <c r="S75" i="6"/>
  <c r="AI75" i="6" s="1"/>
  <c r="S67" i="6"/>
  <c r="AI67" i="6" s="1"/>
  <c r="T90" i="6"/>
  <c r="AJ90" i="6" s="1"/>
  <c r="T82" i="6"/>
  <c r="AJ82" i="6" s="1"/>
  <c r="T74" i="6"/>
  <c r="AJ74" i="6" s="1"/>
  <c r="T66" i="6"/>
  <c r="AJ66" i="6" s="1"/>
  <c r="U89" i="6"/>
  <c r="U81" i="6"/>
  <c r="U73" i="6"/>
  <c r="U65" i="6"/>
  <c r="V96" i="6"/>
  <c r="Y96" i="6" s="1"/>
  <c r="V88" i="6"/>
  <c r="V80" i="6"/>
  <c r="V72" i="6"/>
  <c r="R94" i="6"/>
  <c r="R78" i="6"/>
  <c r="R92" i="6"/>
  <c r="R84" i="6"/>
  <c r="R76" i="6"/>
  <c r="R68" i="6"/>
  <c r="S90" i="6"/>
  <c r="AI90" i="6" s="1"/>
  <c r="S82" i="6"/>
  <c r="AI82" i="6" s="1"/>
  <c r="S74" i="6"/>
  <c r="AI74" i="6" s="1"/>
  <c r="S66" i="6"/>
  <c r="AI66" i="6" s="1"/>
  <c r="T89" i="6"/>
  <c r="AJ89" i="6" s="1"/>
  <c r="T81" i="6"/>
  <c r="AJ81" i="6" s="1"/>
  <c r="T73" i="6"/>
  <c r="AJ73" i="6" s="1"/>
  <c r="T65" i="6"/>
  <c r="AJ65" i="6" s="1"/>
  <c r="U96" i="6"/>
  <c r="X96" i="6" s="1"/>
  <c r="U88" i="6"/>
  <c r="U80" i="6"/>
  <c r="U72" i="6"/>
  <c r="V95" i="6"/>
  <c r="V87" i="6"/>
  <c r="V79" i="6"/>
  <c r="V71" i="6"/>
  <c r="R91" i="6"/>
  <c r="R83" i="6"/>
  <c r="R75" i="6"/>
  <c r="R67" i="6"/>
  <c r="S89" i="6"/>
  <c r="AI89" i="6" s="1"/>
  <c r="S81" i="6"/>
  <c r="AI81" i="6" s="1"/>
  <c r="S73" i="6"/>
  <c r="AI73" i="6" s="1"/>
  <c r="S65" i="6"/>
  <c r="AI65" i="6" s="1"/>
  <c r="T96" i="6"/>
  <c r="T88" i="6"/>
  <c r="AJ88" i="6" s="1"/>
  <c r="T80" i="6"/>
  <c r="AJ80" i="6" s="1"/>
  <c r="T72" i="6"/>
  <c r="AJ72" i="6" s="1"/>
  <c r="U95" i="6"/>
  <c r="U87" i="6"/>
  <c r="U79" i="6"/>
  <c r="U71" i="6"/>
  <c r="V94" i="6"/>
  <c r="V86" i="6"/>
  <c r="V78" i="6"/>
  <c r="V70" i="6"/>
  <c r="R90" i="6"/>
  <c r="R82" i="6"/>
  <c r="R74" i="6"/>
  <c r="R66" i="6"/>
  <c r="S96" i="6"/>
  <c r="S88" i="6"/>
  <c r="AI88" i="6" s="1"/>
  <c r="S80" i="6"/>
  <c r="AI80" i="6" s="1"/>
  <c r="S72" i="6"/>
  <c r="AI72" i="6" s="1"/>
  <c r="T95" i="6"/>
  <c r="AJ95" i="6" s="1"/>
  <c r="T87" i="6"/>
  <c r="AJ87" i="6" s="1"/>
  <c r="T79" i="6"/>
  <c r="AJ79" i="6" s="1"/>
  <c r="T71" i="6"/>
  <c r="AJ71" i="6" s="1"/>
  <c r="U94" i="6"/>
  <c r="U86" i="6"/>
  <c r="U78" i="6"/>
  <c r="U70" i="6"/>
  <c r="V93" i="6"/>
  <c r="V85" i="6"/>
  <c r="V77" i="6"/>
  <c r="V69" i="6"/>
  <c r="S95" i="6"/>
  <c r="AI95" i="6" s="1"/>
  <c r="S87" i="6"/>
  <c r="AI87" i="6" s="1"/>
  <c r="S79" i="6"/>
  <c r="AI79" i="6" s="1"/>
  <c r="S71" i="6"/>
  <c r="AI71" i="6" s="1"/>
  <c r="T94" i="6"/>
  <c r="AJ94" i="6" s="1"/>
  <c r="T86" i="6"/>
  <c r="AJ86" i="6" s="1"/>
  <c r="T78" i="6"/>
  <c r="AJ78" i="6" s="1"/>
  <c r="T70" i="6"/>
  <c r="AJ70" i="6" s="1"/>
  <c r="U93" i="6"/>
  <c r="U85" i="6"/>
  <c r="U77" i="6"/>
  <c r="U69" i="6"/>
  <c r="V92" i="6"/>
  <c r="V84" i="6"/>
  <c r="V76" i="6"/>
  <c r="V68" i="6"/>
  <c r="R86" i="6"/>
  <c r="R70" i="6"/>
  <c r="T93" i="6"/>
  <c r="AJ93" i="6" s="1"/>
  <c r="T85" i="6"/>
  <c r="AJ85" i="6" s="1"/>
  <c r="T77" i="6"/>
  <c r="AJ77" i="6" s="1"/>
  <c r="T69" i="6"/>
  <c r="AJ69" i="6" s="1"/>
  <c r="U92" i="6"/>
  <c r="U84" i="6"/>
  <c r="U76" i="6"/>
  <c r="U68" i="6"/>
  <c r="V91" i="6"/>
  <c r="V83" i="6"/>
  <c r="V75" i="6"/>
  <c r="V67" i="6"/>
  <c r="U3" i="6"/>
  <c r="X3" i="6" s="1"/>
  <c r="AC3" i="6" s="1"/>
  <c r="AE3" i="6" s="1"/>
  <c r="AF3" i="6" s="1"/>
  <c r="T3" i="6"/>
  <c r="AJ3" i="6" s="1"/>
  <c r="M10" i="5"/>
  <c r="M9" i="5"/>
  <c r="M8" i="5"/>
  <c r="AE45" i="4"/>
  <c r="AF42" i="4"/>
  <c r="AM52" i="4"/>
  <c r="AE37" i="4"/>
  <c r="AE29" i="4"/>
  <c r="AE21" i="4"/>
  <c r="AE13" i="4"/>
  <c r="AE6" i="4"/>
  <c r="AE5" i="4"/>
  <c r="AL52" i="4"/>
  <c r="AF52" i="4"/>
  <c r="AL36" i="4"/>
  <c r="AF36" i="4"/>
  <c r="AL20" i="4"/>
  <c r="AF20" i="4"/>
  <c r="AL78" i="4"/>
  <c r="AF78" i="4"/>
  <c r="AG122" i="4"/>
  <c r="AM122" i="4"/>
  <c r="AL4" i="4"/>
  <c r="AF4" i="4"/>
  <c r="AM51" i="4"/>
  <c r="AG51" i="4"/>
  <c r="AM43" i="4"/>
  <c r="AG43" i="4"/>
  <c r="AM35" i="4"/>
  <c r="AG35" i="4"/>
  <c r="AM27" i="4"/>
  <c r="AG27" i="4"/>
  <c r="AM19" i="4"/>
  <c r="AG19" i="4"/>
  <c r="AM11" i="4"/>
  <c r="AG11" i="4"/>
  <c r="AG81" i="4"/>
  <c r="AM81" i="4"/>
  <c r="AG77" i="4"/>
  <c r="AM77" i="4"/>
  <c r="AG73" i="4"/>
  <c r="AM73" i="4"/>
  <c r="AG69" i="4"/>
  <c r="AM69" i="4"/>
  <c r="AG65" i="4"/>
  <c r="AM65" i="4"/>
  <c r="AG61" i="4"/>
  <c r="AM61" i="4"/>
  <c r="AG57" i="4"/>
  <c r="AM57" i="4"/>
  <c r="AG151" i="4"/>
  <c r="AM151" i="4"/>
  <c r="AF146" i="4"/>
  <c r="AL146" i="4"/>
  <c r="AG143" i="4"/>
  <c r="AM143" i="4"/>
  <c r="AF138" i="4"/>
  <c r="AL138" i="4"/>
  <c r="AG135" i="4"/>
  <c r="AM135" i="4"/>
  <c r="AF130" i="4"/>
  <c r="AL130" i="4"/>
  <c r="AG127" i="4"/>
  <c r="AM127" i="4"/>
  <c r="AF122" i="4"/>
  <c r="AL122" i="4"/>
  <c r="AG119" i="4"/>
  <c r="AM119" i="4"/>
  <c r="AF114" i="4"/>
  <c r="AL114" i="4"/>
  <c r="AG111" i="4"/>
  <c r="AM111" i="4"/>
  <c r="AF106" i="4"/>
  <c r="AL106" i="4"/>
  <c r="AG39" i="4"/>
  <c r="AF18" i="4"/>
  <c r="AM36" i="4"/>
  <c r="AL56" i="4"/>
  <c r="AF56" i="4"/>
  <c r="AL40" i="4"/>
  <c r="AF40" i="4"/>
  <c r="AL28" i="4"/>
  <c r="AF28" i="4"/>
  <c r="AL8" i="4"/>
  <c r="AF8" i="4"/>
  <c r="AL70" i="4"/>
  <c r="AF70" i="4"/>
  <c r="AG138" i="4"/>
  <c r="AM138" i="4"/>
  <c r="AL43" i="4"/>
  <c r="AF43" i="4"/>
  <c r="AL19" i="4"/>
  <c r="AF19" i="4"/>
  <c r="AF77" i="4"/>
  <c r="AL77" i="4"/>
  <c r="AF151" i="4"/>
  <c r="AL151" i="4"/>
  <c r="AG148" i="4"/>
  <c r="AM148" i="4"/>
  <c r="AF143" i="4"/>
  <c r="AL143" i="4"/>
  <c r="AG140" i="4"/>
  <c r="AM140" i="4"/>
  <c r="AF135" i="4"/>
  <c r="AL135" i="4"/>
  <c r="AF127" i="4"/>
  <c r="AL127" i="4"/>
  <c r="AG124" i="4"/>
  <c r="AM124" i="4"/>
  <c r="AF119" i="4"/>
  <c r="AL119" i="4"/>
  <c r="AF111" i="4"/>
  <c r="AL111" i="4"/>
  <c r="AG108" i="4"/>
  <c r="AM108" i="4"/>
  <c r="AF103" i="4"/>
  <c r="AL103" i="4"/>
  <c r="AG15" i="4"/>
  <c r="AM144" i="4"/>
  <c r="AM20" i="4"/>
  <c r="AF82" i="4"/>
  <c r="AL82" i="4"/>
  <c r="AL3" i="4"/>
  <c r="AF3" i="4"/>
  <c r="AL51" i="4"/>
  <c r="AF51" i="4"/>
  <c r="AL35" i="4"/>
  <c r="AF35" i="4"/>
  <c r="AL23" i="4"/>
  <c r="AF23" i="4"/>
  <c r="AL11" i="4"/>
  <c r="AF11" i="4"/>
  <c r="AF73" i="4"/>
  <c r="AL73" i="4"/>
  <c r="AF61" i="4"/>
  <c r="AL61" i="4"/>
  <c r="AM50" i="4"/>
  <c r="AG50" i="4"/>
  <c r="AM42" i="4"/>
  <c r="AG42" i="4"/>
  <c r="AM30" i="4"/>
  <c r="AG30" i="4"/>
  <c r="AM14" i="4"/>
  <c r="AG14" i="4"/>
  <c r="AG80" i="4"/>
  <c r="AM80" i="4"/>
  <c r="AG72" i="4"/>
  <c r="AM72" i="4"/>
  <c r="AG60" i="4"/>
  <c r="AM60" i="4"/>
  <c r="AF188" i="4"/>
  <c r="AL188" i="4"/>
  <c r="AF148" i="4"/>
  <c r="AH148" i="4" s="1"/>
  <c r="AI148" i="4" s="1"/>
  <c r="AL148" i="4"/>
  <c r="AG145" i="4"/>
  <c r="AM145" i="4"/>
  <c r="AF140" i="4"/>
  <c r="AL140" i="4"/>
  <c r="AG137" i="4"/>
  <c r="AM137" i="4"/>
  <c r="AF132" i="4"/>
  <c r="AL132" i="4"/>
  <c r="AG129" i="4"/>
  <c r="AM129" i="4"/>
  <c r="AF124" i="4"/>
  <c r="AL124" i="4"/>
  <c r="AG121" i="4"/>
  <c r="AM121" i="4"/>
  <c r="AF116" i="4"/>
  <c r="AL116" i="4"/>
  <c r="AG113" i="4"/>
  <c r="AM113" i="4"/>
  <c r="AF108" i="4"/>
  <c r="AL108" i="4"/>
  <c r="AG55" i="4"/>
  <c r="AF34" i="4"/>
  <c r="AM132" i="4"/>
  <c r="AM4" i="4"/>
  <c r="AF141" i="4"/>
  <c r="AL141" i="4"/>
  <c r="AL55" i="4"/>
  <c r="AF55" i="4"/>
  <c r="AL39" i="4"/>
  <c r="AF39" i="4"/>
  <c r="AL27" i="4"/>
  <c r="AF27" i="4"/>
  <c r="AL7" i="4"/>
  <c r="AF7" i="4"/>
  <c r="AF65" i="4"/>
  <c r="AL65" i="4"/>
  <c r="AG6" i="4"/>
  <c r="AM6" i="4"/>
  <c r="AM46" i="4"/>
  <c r="AG46" i="4"/>
  <c r="AM34" i="4"/>
  <c r="AG34" i="4"/>
  <c r="AM26" i="4"/>
  <c r="AG26" i="4"/>
  <c r="AM18" i="4"/>
  <c r="AG18" i="4"/>
  <c r="AM10" i="4"/>
  <c r="AG10" i="4"/>
  <c r="AL38" i="4"/>
  <c r="AF38" i="4"/>
  <c r="AL30" i="4"/>
  <c r="AF30" i="4"/>
  <c r="AL22" i="4"/>
  <c r="AF22" i="4"/>
  <c r="AF80" i="4"/>
  <c r="AL80" i="4"/>
  <c r="AF72" i="4"/>
  <c r="AL72" i="4"/>
  <c r="AF64" i="4"/>
  <c r="AL64" i="4"/>
  <c r="AG150" i="4"/>
  <c r="AM150" i="4"/>
  <c r="AF145" i="4"/>
  <c r="AH145" i="4" s="1"/>
  <c r="AI145" i="4" s="1"/>
  <c r="AL145" i="4"/>
  <c r="AG142" i="4"/>
  <c r="AM142" i="4"/>
  <c r="AF137" i="4"/>
  <c r="AL137" i="4"/>
  <c r="AG134" i="4"/>
  <c r="AM134" i="4"/>
  <c r="AF129" i="4"/>
  <c r="AL129" i="4"/>
  <c r="AG126" i="4"/>
  <c r="AM126" i="4"/>
  <c r="AF121" i="4"/>
  <c r="AL121" i="4"/>
  <c r="AG118" i="4"/>
  <c r="AM118" i="4"/>
  <c r="AF113" i="4"/>
  <c r="AL113" i="4"/>
  <c r="AM110" i="4"/>
  <c r="AG110" i="4"/>
  <c r="AF105" i="4"/>
  <c r="AL105" i="4"/>
  <c r="AG102" i="4"/>
  <c r="AM102" i="4"/>
  <c r="AF97" i="4"/>
  <c r="AL97" i="4"/>
  <c r="AG94" i="4"/>
  <c r="AM94" i="4"/>
  <c r="AF89" i="4"/>
  <c r="AL89" i="4"/>
  <c r="AG31" i="4"/>
  <c r="AF10" i="4"/>
  <c r="AM116" i="4"/>
  <c r="AL48" i="4"/>
  <c r="AF48" i="4"/>
  <c r="AL32" i="4"/>
  <c r="AF32" i="4"/>
  <c r="AL16" i="4"/>
  <c r="AF16" i="4"/>
  <c r="AF74" i="4"/>
  <c r="AL74" i="4"/>
  <c r="AF58" i="4"/>
  <c r="AL58" i="4"/>
  <c r="AF149" i="4"/>
  <c r="AL149" i="4"/>
  <c r="AG146" i="4"/>
  <c r="AM146" i="4"/>
  <c r="AF133" i="4"/>
  <c r="AL133" i="4"/>
  <c r="AF109" i="4"/>
  <c r="AL109" i="4"/>
  <c r="AG106" i="4"/>
  <c r="AM106" i="4"/>
  <c r="AG98" i="4"/>
  <c r="AM98" i="4"/>
  <c r="AF62" i="4"/>
  <c r="AL47" i="4"/>
  <c r="AF47" i="4"/>
  <c r="AL31" i="4"/>
  <c r="AF31" i="4"/>
  <c r="AL15" i="4"/>
  <c r="AF15" i="4"/>
  <c r="AF81" i="4"/>
  <c r="AL81" i="4"/>
  <c r="AF69" i="4"/>
  <c r="AL69" i="4"/>
  <c r="AF57" i="4"/>
  <c r="AL57" i="4"/>
  <c r="AG54" i="4"/>
  <c r="AM54" i="4"/>
  <c r="AG38" i="4"/>
  <c r="AM38" i="4"/>
  <c r="AG22" i="4"/>
  <c r="AM22" i="4"/>
  <c r="AG76" i="4"/>
  <c r="AM76" i="4"/>
  <c r="AG64" i="4"/>
  <c r="AM64" i="4"/>
  <c r="AM5" i="4"/>
  <c r="AG5" i="4"/>
  <c r="AL54" i="4"/>
  <c r="AF54" i="4"/>
  <c r="AL46" i="4"/>
  <c r="AF46" i="4"/>
  <c r="AL14" i="4"/>
  <c r="AF14" i="4"/>
  <c r="AF84" i="4"/>
  <c r="AL84" i="4"/>
  <c r="AF76" i="4"/>
  <c r="AL76" i="4"/>
  <c r="AF68" i="4"/>
  <c r="AL68" i="4"/>
  <c r="AF60" i="4"/>
  <c r="AL60" i="4"/>
  <c r="AM53" i="4"/>
  <c r="AG53" i="4"/>
  <c r="AM49" i="4"/>
  <c r="AG49" i="4"/>
  <c r="AM45" i="4"/>
  <c r="AG45" i="4"/>
  <c r="AM41" i="4"/>
  <c r="AG41" i="4"/>
  <c r="AM37" i="4"/>
  <c r="AG37" i="4"/>
  <c r="AM33" i="4"/>
  <c r="AG33" i="4"/>
  <c r="AM29" i="4"/>
  <c r="AG29" i="4"/>
  <c r="AM25" i="4"/>
  <c r="AG25" i="4"/>
  <c r="AM21" i="4"/>
  <c r="AG21" i="4"/>
  <c r="AM17" i="4"/>
  <c r="AG17" i="4"/>
  <c r="AM13" i="4"/>
  <c r="AG13" i="4"/>
  <c r="AM9" i="4"/>
  <c r="AG9" i="4"/>
  <c r="AG83" i="4"/>
  <c r="AM83" i="4"/>
  <c r="AG79" i="4"/>
  <c r="AM79" i="4"/>
  <c r="AG75" i="4"/>
  <c r="AM75" i="4"/>
  <c r="AG71" i="4"/>
  <c r="AM71" i="4"/>
  <c r="AG67" i="4"/>
  <c r="AM67" i="4"/>
  <c r="AG63" i="4"/>
  <c r="AM63" i="4"/>
  <c r="AG59" i="4"/>
  <c r="AM59" i="4"/>
  <c r="AF150" i="4"/>
  <c r="AH150" i="4" s="1"/>
  <c r="AI150" i="4" s="1"/>
  <c r="AL150" i="4"/>
  <c r="AG147" i="4"/>
  <c r="AM147" i="4"/>
  <c r="AF142" i="4"/>
  <c r="AL142" i="4"/>
  <c r="AG139" i="4"/>
  <c r="AM139" i="4"/>
  <c r="AF134" i="4"/>
  <c r="AL134" i="4"/>
  <c r="AG131" i="4"/>
  <c r="AM131" i="4"/>
  <c r="AF126" i="4"/>
  <c r="AL126" i="4"/>
  <c r="AG123" i="4"/>
  <c r="AM123" i="4"/>
  <c r="AL118" i="4"/>
  <c r="AF118" i="4"/>
  <c r="AG115" i="4"/>
  <c r="AM115" i="4"/>
  <c r="AL110" i="4"/>
  <c r="AF110" i="4"/>
  <c r="AG107" i="4"/>
  <c r="AM107" i="4"/>
  <c r="AF50" i="4"/>
  <c r="AG7" i="4"/>
  <c r="AL5" i="4"/>
  <c r="AF5" i="4"/>
  <c r="AL44" i="4"/>
  <c r="AF44" i="4"/>
  <c r="AL24" i="4"/>
  <c r="AF24" i="4"/>
  <c r="AL12" i="4"/>
  <c r="AF12" i="4"/>
  <c r="AF66" i="4"/>
  <c r="AL66" i="4"/>
  <c r="AG130" i="4"/>
  <c r="AM130" i="4"/>
  <c r="AF125" i="4"/>
  <c r="AL125" i="4"/>
  <c r="AF117" i="4"/>
  <c r="AL117" i="4"/>
  <c r="AG114" i="4"/>
  <c r="AM114" i="4"/>
  <c r="AF101" i="4"/>
  <c r="AL101" i="4"/>
  <c r="AF93" i="4"/>
  <c r="AL93" i="4"/>
  <c r="AG90" i="4"/>
  <c r="AM90" i="4"/>
  <c r="AH146" i="4"/>
  <c r="AI146" i="4" s="1"/>
  <c r="AM3" i="4"/>
  <c r="AG3" i="4"/>
  <c r="AH3" i="4" s="1"/>
  <c r="AI3" i="4" s="1"/>
  <c r="AL53" i="4"/>
  <c r="AF53" i="4"/>
  <c r="AL49" i="4"/>
  <c r="AF49" i="4"/>
  <c r="AL45" i="4"/>
  <c r="AF45" i="4"/>
  <c r="AH45" i="4" s="1"/>
  <c r="AI45" i="4" s="1"/>
  <c r="AL41" i="4"/>
  <c r="AF41" i="4"/>
  <c r="AL37" i="4"/>
  <c r="AF37" i="4"/>
  <c r="AL33" i="4"/>
  <c r="AF33" i="4"/>
  <c r="AL29" i="4"/>
  <c r="AF29" i="4"/>
  <c r="AH29" i="4" s="1"/>
  <c r="AI29" i="4" s="1"/>
  <c r="AL25" i="4"/>
  <c r="AF25" i="4"/>
  <c r="AL21" i="4"/>
  <c r="AF21" i="4"/>
  <c r="AL17" i="4"/>
  <c r="AF17" i="4"/>
  <c r="AL13" i="4"/>
  <c r="AF13" i="4"/>
  <c r="AH13" i="4" s="1"/>
  <c r="AI13" i="4" s="1"/>
  <c r="AL9" i="4"/>
  <c r="AF9" i="4"/>
  <c r="AF83" i="4"/>
  <c r="AL83" i="4"/>
  <c r="AF79" i="4"/>
  <c r="AL79" i="4"/>
  <c r="AF75" i="4"/>
  <c r="AL75" i="4"/>
  <c r="AF71" i="4"/>
  <c r="AL71" i="4"/>
  <c r="AF67" i="4"/>
  <c r="AL67" i="4"/>
  <c r="AF63" i="4"/>
  <c r="AL63" i="4"/>
  <c r="AF59" i="4"/>
  <c r="AL59" i="4"/>
  <c r="AG152" i="4"/>
  <c r="AM152" i="4"/>
  <c r="AF147" i="4"/>
  <c r="AL147" i="4"/>
  <c r="AF139" i="4"/>
  <c r="AL139" i="4"/>
  <c r="AG136" i="4"/>
  <c r="AM136" i="4"/>
  <c r="AF131" i="4"/>
  <c r="AL131" i="4"/>
  <c r="AG128" i="4"/>
  <c r="AM128" i="4"/>
  <c r="AF123" i="4"/>
  <c r="AL123" i="4"/>
  <c r="AG120" i="4"/>
  <c r="AM120" i="4"/>
  <c r="AF115" i="4"/>
  <c r="AL115" i="4"/>
  <c r="AG112" i="4"/>
  <c r="AM112" i="4"/>
  <c r="AF107" i="4"/>
  <c r="AL107" i="4"/>
  <c r="AG47" i="4"/>
  <c r="AF26" i="4"/>
  <c r="AM84" i="4"/>
  <c r="AL6" i="4"/>
  <c r="AF6" i="4"/>
  <c r="AM56" i="4"/>
  <c r="AG56" i="4"/>
  <c r="AG48" i="4"/>
  <c r="AM48" i="4"/>
  <c r="AM44" i="4"/>
  <c r="AG44" i="4"/>
  <c r="AM40" i="4"/>
  <c r="AG40" i="4"/>
  <c r="AG32" i="4"/>
  <c r="AM32" i="4"/>
  <c r="AM28" i="4"/>
  <c r="AG28" i="4"/>
  <c r="AM24" i="4"/>
  <c r="AG24" i="4"/>
  <c r="AG16" i="4"/>
  <c r="AM16" i="4"/>
  <c r="AM12" i="4"/>
  <c r="AG12" i="4"/>
  <c r="AM8" i="4"/>
  <c r="AG8" i="4"/>
  <c r="AG82" i="4"/>
  <c r="AM82" i="4"/>
  <c r="AG78" i="4"/>
  <c r="AM78" i="4"/>
  <c r="AG74" i="4"/>
  <c r="AM74" i="4"/>
  <c r="AG70" i="4"/>
  <c r="AM70" i="4"/>
  <c r="AG66" i="4"/>
  <c r="AM66" i="4"/>
  <c r="AG62" i="4"/>
  <c r="AM62" i="4"/>
  <c r="AG58" i="4"/>
  <c r="AM58" i="4"/>
  <c r="AF152" i="4"/>
  <c r="AH152" i="4" s="1"/>
  <c r="AI152" i="4" s="1"/>
  <c r="AL152" i="4"/>
  <c r="AG149" i="4"/>
  <c r="AH149" i="4" s="1"/>
  <c r="AI149" i="4" s="1"/>
  <c r="AM149" i="4"/>
  <c r="AF144" i="4"/>
  <c r="AH144" i="4" s="1"/>
  <c r="AI144" i="4" s="1"/>
  <c r="AL144" i="4"/>
  <c r="AG141" i="4"/>
  <c r="AM141" i="4"/>
  <c r="AF136" i="4"/>
  <c r="AL136" i="4"/>
  <c r="AG133" i="4"/>
  <c r="AM133" i="4"/>
  <c r="AF128" i="4"/>
  <c r="AL128" i="4"/>
  <c r="AG125" i="4"/>
  <c r="AM125" i="4"/>
  <c r="AF120" i="4"/>
  <c r="AL120" i="4"/>
  <c r="AG117" i="4"/>
  <c r="AM117" i="4"/>
  <c r="AF112" i="4"/>
  <c r="AL112" i="4"/>
  <c r="AG109" i="4"/>
  <c r="AM109" i="4"/>
  <c r="AF104" i="4"/>
  <c r="AL104" i="4"/>
  <c r="AG101" i="4"/>
  <c r="AM101" i="4"/>
  <c r="AF96" i="4"/>
  <c r="AL96" i="4"/>
  <c r="AG93" i="4"/>
  <c r="AM93" i="4"/>
  <c r="AF88" i="4"/>
  <c r="AL88" i="4"/>
  <c r="AG85" i="4"/>
  <c r="AM85" i="4"/>
  <c r="AH187" i="4"/>
  <c r="AI187" i="4" s="1"/>
  <c r="AE179" i="4"/>
  <c r="AH179" i="4" s="1"/>
  <c r="AI179" i="4" s="1"/>
  <c r="AK179" i="4"/>
  <c r="AE171" i="4"/>
  <c r="AH171" i="4" s="1"/>
  <c r="AI171" i="4" s="1"/>
  <c r="AK171" i="4"/>
  <c r="AE163" i="4"/>
  <c r="AH163" i="4" s="1"/>
  <c r="AI163" i="4" s="1"/>
  <c r="AK163" i="4"/>
  <c r="AE155" i="4"/>
  <c r="AH155" i="4" s="1"/>
  <c r="AI155" i="4" s="1"/>
  <c r="AK155" i="4"/>
  <c r="AE147" i="4"/>
  <c r="AK147" i="4"/>
  <c r="AE139" i="4"/>
  <c r="AK139" i="4"/>
  <c r="AE131" i="4"/>
  <c r="AK131" i="4"/>
  <c r="AE123" i="4"/>
  <c r="AK123" i="4"/>
  <c r="AE115" i="4"/>
  <c r="AK115" i="4"/>
  <c r="AE107" i="4"/>
  <c r="AK107" i="4"/>
  <c r="AE99" i="4"/>
  <c r="AK99" i="4"/>
  <c r="AE91" i="4"/>
  <c r="AK91" i="4"/>
  <c r="AE83" i="4"/>
  <c r="AK83" i="4"/>
  <c r="AE75" i="4"/>
  <c r="AK75" i="4"/>
  <c r="AE67" i="4"/>
  <c r="AK67" i="4"/>
  <c r="AE59" i="4"/>
  <c r="AK59" i="4"/>
  <c r="AK51" i="4"/>
  <c r="AE51" i="4"/>
  <c r="AK43" i="4"/>
  <c r="AE43" i="4"/>
  <c r="AH43" i="4" s="1"/>
  <c r="AI43" i="4" s="1"/>
  <c r="AK35" i="4"/>
  <c r="AE35" i="4"/>
  <c r="AH35" i="4" s="1"/>
  <c r="AI35" i="4" s="1"/>
  <c r="AK27" i="4"/>
  <c r="AE27" i="4"/>
  <c r="AK19" i="4"/>
  <c r="AE19" i="4"/>
  <c r="AH19" i="4" s="1"/>
  <c r="AI19" i="4" s="1"/>
  <c r="AK11" i="4"/>
  <c r="AE11" i="4"/>
  <c r="AH11" i="4" s="1"/>
  <c r="AI11" i="4" s="1"/>
  <c r="AG23" i="4"/>
  <c r="AM68" i="4"/>
  <c r="AF99" i="4"/>
  <c r="AL99" i="4"/>
  <c r="AF91" i="4"/>
  <c r="AL91" i="4"/>
  <c r="AH156" i="4"/>
  <c r="AI156" i="4" s="1"/>
  <c r="AE140" i="4"/>
  <c r="AH140" i="4" s="1"/>
  <c r="AI140" i="4" s="1"/>
  <c r="AK140" i="4"/>
  <c r="AE132" i="4"/>
  <c r="AH132" i="4" s="1"/>
  <c r="AI132" i="4" s="1"/>
  <c r="AK132" i="4"/>
  <c r="AE124" i="4"/>
  <c r="AH124" i="4" s="1"/>
  <c r="AI124" i="4" s="1"/>
  <c r="AK124" i="4"/>
  <c r="AE116" i="4"/>
  <c r="AH116" i="4" s="1"/>
  <c r="AI116" i="4" s="1"/>
  <c r="AK116" i="4"/>
  <c r="AE108" i="4"/>
  <c r="AH108" i="4" s="1"/>
  <c r="AI108" i="4" s="1"/>
  <c r="AK108" i="4"/>
  <c r="AE100" i="4"/>
  <c r="AH100" i="4" s="1"/>
  <c r="AI100" i="4" s="1"/>
  <c r="AK100" i="4"/>
  <c r="AE92" i="4"/>
  <c r="AK92" i="4"/>
  <c r="AE84" i="4"/>
  <c r="AH84" i="4" s="1"/>
  <c r="AI84" i="4" s="1"/>
  <c r="AK84" i="4"/>
  <c r="AE76" i="4"/>
  <c r="AH76" i="4" s="1"/>
  <c r="AI76" i="4" s="1"/>
  <c r="AK76" i="4"/>
  <c r="AE68" i="4"/>
  <c r="AH68" i="4" s="1"/>
  <c r="AI68" i="4" s="1"/>
  <c r="AK68" i="4"/>
  <c r="AE60" i="4"/>
  <c r="AK60" i="4"/>
  <c r="AE56" i="4"/>
  <c r="AH56" i="4" s="1"/>
  <c r="AI56" i="4" s="1"/>
  <c r="AE48" i="4"/>
  <c r="AE40" i="4"/>
  <c r="AE32" i="4"/>
  <c r="AE24" i="4"/>
  <c r="AH24" i="4" s="1"/>
  <c r="AI24" i="4" s="1"/>
  <c r="AE16" i="4"/>
  <c r="AE8" i="4"/>
  <c r="AK185" i="4"/>
  <c r="AK169" i="4"/>
  <c r="AK153" i="4"/>
  <c r="AK151" i="4"/>
  <c r="AK149" i="4"/>
  <c r="AK145" i="4"/>
  <c r="AM86" i="4"/>
  <c r="AF198" i="4"/>
  <c r="AH198" i="4" s="1"/>
  <c r="AI198" i="4" s="1"/>
  <c r="AL198" i="4"/>
  <c r="AF85" i="4"/>
  <c r="AL85" i="4"/>
  <c r="AH178" i="4"/>
  <c r="AI178" i="4" s="1"/>
  <c r="AH170" i="4"/>
  <c r="AI170" i="4" s="1"/>
  <c r="AH162" i="4"/>
  <c r="AI162" i="4" s="1"/>
  <c r="AH154" i="4"/>
  <c r="AI154" i="4" s="1"/>
  <c r="AE138" i="4"/>
  <c r="AH138" i="4" s="1"/>
  <c r="AI138" i="4" s="1"/>
  <c r="AK138" i="4"/>
  <c r="AE130" i="4"/>
  <c r="AH130" i="4" s="1"/>
  <c r="AI130" i="4" s="1"/>
  <c r="AK130" i="4"/>
  <c r="AE122" i="4"/>
  <c r="AH122" i="4" s="1"/>
  <c r="AI122" i="4" s="1"/>
  <c r="AK122" i="4"/>
  <c r="AE114" i="4"/>
  <c r="AK114" i="4"/>
  <c r="AE106" i="4"/>
  <c r="AH106" i="4" s="1"/>
  <c r="AI106" i="4" s="1"/>
  <c r="AK106" i="4"/>
  <c r="AE98" i="4"/>
  <c r="AH98" i="4" s="1"/>
  <c r="AI98" i="4" s="1"/>
  <c r="AK98" i="4"/>
  <c r="AE90" i="4"/>
  <c r="AH90" i="4" s="1"/>
  <c r="AI90" i="4" s="1"/>
  <c r="AK90" i="4"/>
  <c r="AE82" i="4"/>
  <c r="AH82" i="4" s="1"/>
  <c r="AI82" i="4" s="1"/>
  <c r="AK82" i="4"/>
  <c r="AE74" i="4"/>
  <c r="AK74" i="4"/>
  <c r="AE66" i="4"/>
  <c r="AK66" i="4"/>
  <c r="AE58" i="4"/>
  <c r="AK58" i="4"/>
  <c r="AE168" i="4"/>
  <c r="AH168" i="4" s="1"/>
  <c r="AI168" i="4" s="1"/>
  <c r="AE50" i="4"/>
  <c r="AE42" i="4"/>
  <c r="AE34" i="4"/>
  <c r="AE26" i="4"/>
  <c r="AE18" i="4"/>
  <c r="AE10" i="4"/>
  <c r="AK181" i="4"/>
  <c r="AK165" i="4"/>
  <c r="AG216" i="4"/>
  <c r="AM216" i="4"/>
  <c r="AF192" i="4"/>
  <c r="AL192" i="4"/>
  <c r="AG103" i="4"/>
  <c r="AM103" i="4"/>
  <c r="AF98" i="4"/>
  <c r="AL98" i="4"/>
  <c r="AG95" i="4"/>
  <c r="AM95" i="4"/>
  <c r="AF90" i="4"/>
  <c r="AL90" i="4"/>
  <c r="AG87" i="4"/>
  <c r="AM87" i="4"/>
  <c r="AH185" i="4"/>
  <c r="AI185" i="4" s="1"/>
  <c r="AH177" i="4"/>
  <c r="AI177" i="4" s="1"/>
  <c r="AH169" i="4"/>
  <c r="AI169" i="4" s="1"/>
  <c r="AH161" i="4"/>
  <c r="AI161" i="4" s="1"/>
  <c r="AH153" i="4"/>
  <c r="AE137" i="4"/>
  <c r="AH137" i="4" s="1"/>
  <c r="AI137" i="4" s="1"/>
  <c r="AK137" i="4"/>
  <c r="AE129" i="4"/>
  <c r="AH129" i="4" s="1"/>
  <c r="AI129" i="4" s="1"/>
  <c r="AK129" i="4"/>
  <c r="AE121" i="4"/>
  <c r="AH121" i="4" s="1"/>
  <c r="AI121" i="4" s="1"/>
  <c r="AK121" i="4"/>
  <c r="AE113" i="4"/>
  <c r="AK113" i="4"/>
  <c r="AE105" i="4"/>
  <c r="AK105" i="4"/>
  <c r="AE97" i="4"/>
  <c r="AH97" i="4" s="1"/>
  <c r="AI97" i="4" s="1"/>
  <c r="AK97" i="4"/>
  <c r="AE89" i="4"/>
  <c r="AH89" i="4" s="1"/>
  <c r="AI89" i="4" s="1"/>
  <c r="AK89" i="4"/>
  <c r="AE81" i="4"/>
  <c r="AH81" i="4" s="1"/>
  <c r="AI81" i="4" s="1"/>
  <c r="AK81" i="4"/>
  <c r="AE73" i="4"/>
  <c r="AH73" i="4" s="1"/>
  <c r="AI73" i="4" s="1"/>
  <c r="AK73" i="4"/>
  <c r="AE65" i="4"/>
  <c r="AH65" i="4" s="1"/>
  <c r="AI65" i="4" s="1"/>
  <c r="AK65" i="4"/>
  <c r="AE57" i="4"/>
  <c r="AH57" i="4" s="1"/>
  <c r="AI57" i="4" s="1"/>
  <c r="AK57" i="4"/>
  <c r="AE55" i="4"/>
  <c r="AH55" i="4" s="1"/>
  <c r="AI55" i="4" s="1"/>
  <c r="AE47" i="4"/>
  <c r="AE39" i="4"/>
  <c r="AE31" i="4"/>
  <c r="AE23" i="4"/>
  <c r="AH23" i="4" s="1"/>
  <c r="AI23" i="4" s="1"/>
  <c r="AE15" i="4"/>
  <c r="AH15" i="4" s="1"/>
  <c r="AI15" i="4" s="1"/>
  <c r="AE7" i="4"/>
  <c r="AH7" i="4" s="1"/>
  <c r="AI7" i="4" s="1"/>
  <c r="AK3" i="4"/>
  <c r="AK144" i="4"/>
  <c r="AM96" i="4"/>
  <c r="AG206" i="4"/>
  <c r="AM206" i="4"/>
  <c r="AF95" i="4"/>
  <c r="AL95" i="4"/>
  <c r="AF87" i="4"/>
  <c r="AL87" i="4"/>
  <c r="AH160" i="4"/>
  <c r="AI160" i="4" s="1"/>
  <c r="AE136" i="4"/>
  <c r="AK136" i="4"/>
  <c r="AE128" i="4"/>
  <c r="AK128" i="4"/>
  <c r="AE120" i="4"/>
  <c r="AK120" i="4"/>
  <c r="AE112" i="4"/>
  <c r="AK112" i="4"/>
  <c r="AE104" i="4"/>
  <c r="AK104" i="4"/>
  <c r="AE96" i="4"/>
  <c r="AK96" i="4"/>
  <c r="AE88" i="4"/>
  <c r="AK88" i="4"/>
  <c r="AE80" i="4"/>
  <c r="AK80" i="4"/>
  <c r="AE72" i="4"/>
  <c r="AK72" i="4"/>
  <c r="AE64" i="4"/>
  <c r="AK64" i="4"/>
  <c r="AF102" i="4"/>
  <c r="AE52" i="4"/>
  <c r="AH52" i="4" s="1"/>
  <c r="AI52" i="4" s="1"/>
  <c r="AE44" i="4"/>
  <c r="AE36" i="4"/>
  <c r="AH36" i="4" s="1"/>
  <c r="AI36" i="4" s="1"/>
  <c r="AE28" i="4"/>
  <c r="AE20" i="4"/>
  <c r="AH20" i="4" s="1"/>
  <c r="AI20" i="4" s="1"/>
  <c r="AE12" i="4"/>
  <c r="AH12" i="4" s="1"/>
  <c r="AI12" i="4" s="1"/>
  <c r="AE4" i="4"/>
  <c r="AH4" i="4" s="1"/>
  <c r="AI4" i="4" s="1"/>
  <c r="AK177" i="4"/>
  <c r="AK161" i="4"/>
  <c r="AK152" i="4"/>
  <c r="AK150" i="4"/>
  <c r="AK148" i="4"/>
  <c r="AK146" i="4"/>
  <c r="AG200" i="4"/>
  <c r="AM200" i="4"/>
  <c r="AG105" i="4"/>
  <c r="AM105" i="4"/>
  <c r="AF100" i="4"/>
  <c r="AL100" i="4"/>
  <c r="AG97" i="4"/>
  <c r="AM97" i="4"/>
  <c r="AF92" i="4"/>
  <c r="AL92" i="4"/>
  <c r="AG89" i="4"/>
  <c r="AM89" i="4"/>
  <c r="AH183" i="4"/>
  <c r="AI183" i="4" s="1"/>
  <c r="AH175" i="4"/>
  <c r="AI175" i="4" s="1"/>
  <c r="AH167" i="4"/>
  <c r="AI167" i="4" s="1"/>
  <c r="AH159" i="4"/>
  <c r="AI159" i="4" s="1"/>
  <c r="AE143" i="4"/>
  <c r="AK143" i="4"/>
  <c r="AE135" i="4"/>
  <c r="AK135" i="4"/>
  <c r="AE127" i="4"/>
  <c r="AK127" i="4"/>
  <c r="AE119" i="4"/>
  <c r="AK119" i="4"/>
  <c r="AE111" i="4"/>
  <c r="AK111" i="4"/>
  <c r="AE103" i="4"/>
  <c r="AH103" i="4" s="1"/>
  <c r="AI103" i="4" s="1"/>
  <c r="AK103" i="4"/>
  <c r="AE95" i="4"/>
  <c r="AK95" i="4"/>
  <c r="AE87" i="4"/>
  <c r="AK87" i="4"/>
  <c r="AE79" i="4"/>
  <c r="AK79" i="4"/>
  <c r="AE71" i="4"/>
  <c r="AK71" i="4"/>
  <c r="AE63" i="4"/>
  <c r="AK63" i="4"/>
  <c r="AF94" i="4"/>
  <c r="AE49" i="4"/>
  <c r="AE41" i="4"/>
  <c r="AE33" i="4"/>
  <c r="AH33" i="4" s="1"/>
  <c r="AI33" i="4" s="1"/>
  <c r="AE25" i="4"/>
  <c r="AE17" i="4"/>
  <c r="AH17" i="4" s="1"/>
  <c r="AI17" i="4" s="1"/>
  <c r="AE9" i="4"/>
  <c r="AK175" i="4"/>
  <c r="AK159" i="4"/>
  <c r="AM92" i="4"/>
  <c r="AG213" i="4"/>
  <c r="AM213" i="4"/>
  <c r="AH182" i="4"/>
  <c r="AI182" i="4" s="1"/>
  <c r="AH174" i="4"/>
  <c r="AI174" i="4" s="1"/>
  <c r="AH166" i="4"/>
  <c r="AI166" i="4" s="1"/>
  <c r="AH158" i="4"/>
  <c r="AI158" i="4" s="1"/>
  <c r="AE142" i="4"/>
  <c r="AK142" i="4"/>
  <c r="AE134" i="4"/>
  <c r="AK134" i="4"/>
  <c r="AE126" i="4"/>
  <c r="AK126" i="4"/>
  <c r="AE118" i="4"/>
  <c r="AK118" i="4"/>
  <c r="AE110" i="4"/>
  <c r="AH110" i="4" s="1"/>
  <c r="AI110" i="4" s="1"/>
  <c r="AK110" i="4"/>
  <c r="AE102" i="4"/>
  <c r="AK102" i="4"/>
  <c r="AE94" i="4"/>
  <c r="AK94" i="4"/>
  <c r="AE86" i="4"/>
  <c r="AK86" i="4"/>
  <c r="AE78" i="4"/>
  <c r="AK78" i="4"/>
  <c r="AE70" i="4"/>
  <c r="AK70" i="4"/>
  <c r="AE62" i="4"/>
  <c r="AK62" i="4"/>
  <c r="AF86" i="4"/>
  <c r="AE54" i="4"/>
  <c r="AE46" i="4"/>
  <c r="AE38" i="4"/>
  <c r="AH38" i="4" s="1"/>
  <c r="AI38" i="4" s="1"/>
  <c r="AE30" i="4"/>
  <c r="AH30" i="4" s="1"/>
  <c r="AI30" i="4" s="1"/>
  <c r="AE22" i="4"/>
  <c r="AH22" i="4" s="1"/>
  <c r="AI22" i="4" s="1"/>
  <c r="AE14" i="4"/>
  <c r="AH14" i="4" s="1"/>
  <c r="AI14" i="4" s="1"/>
  <c r="AK173" i="4"/>
  <c r="AK157" i="4"/>
  <c r="AK207" i="4"/>
  <c r="AE207" i="4"/>
  <c r="AG99" i="4"/>
  <c r="AM99" i="4"/>
  <c r="AG91" i="4"/>
  <c r="AM91" i="4"/>
  <c r="AH189" i="4"/>
  <c r="AI189" i="4" s="1"/>
  <c r="AE141" i="4"/>
  <c r="AK141" i="4"/>
  <c r="AE133" i="4"/>
  <c r="AK133" i="4"/>
  <c r="AE125" i="4"/>
  <c r="AK125" i="4"/>
  <c r="AE117" i="4"/>
  <c r="AK117" i="4"/>
  <c r="AE109" i="4"/>
  <c r="AK109" i="4"/>
  <c r="AE101" i="4"/>
  <c r="AK101" i="4"/>
  <c r="AE93" i="4"/>
  <c r="AK93" i="4"/>
  <c r="AE85" i="4"/>
  <c r="AK85" i="4"/>
  <c r="AE77" i="4"/>
  <c r="AK77" i="4"/>
  <c r="AE69" i="4"/>
  <c r="AK69" i="4"/>
  <c r="AE61" i="4"/>
  <c r="AK61" i="4"/>
  <c r="AM104" i="4"/>
  <c r="AM88" i="4"/>
  <c r="AL214" i="4"/>
  <c r="AF214" i="4"/>
  <c r="AE215" i="4"/>
  <c r="AH215" i="4" s="1"/>
  <c r="AI215" i="4" s="1"/>
  <c r="AG207" i="4"/>
  <c r="AF203" i="4"/>
  <c r="AE199" i="4"/>
  <c r="AH199" i="4" s="1"/>
  <c r="AI199" i="4" s="1"/>
  <c r="AF195" i="4"/>
  <c r="AF190" i="4"/>
  <c r="AF207" i="4"/>
  <c r="AE202" i="4"/>
  <c r="AE194" i="4"/>
  <c r="AE190" i="4"/>
  <c r="AH212" i="4"/>
  <c r="AI212" i="4" s="1"/>
  <c r="AH214" i="4"/>
  <c r="AI214" i="4" s="1"/>
  <c r="AK212" i="4"/>
  <c r="AL205" i="4"/>
  <c r="AE213" i="4"/>
  <c r="AE206" i="4"/>
  <c r="AH204" i="4"/>
  <c r="AI204" i="4" s="1"/>
  <c r="AH196" i="4"/>
  <c r="AI196" i="4" s="1"/>
  <c r="AE1471" i="4"/>
  <c r="AH1471" i="4" s="1"/>
  <c r="AI1471" i="4" s="1"/>
  <c r="AG1467" i="4"/>
  <c r="AM1467" i="4"/>
  <c r="AF1464" i="4"/>
  <c r="AG1457" i="4"/>
  <c r="AL1452" i="4"/>
  <c r="AF1452" i="4"/>
  <c r="AH1452" i="4" s="1"/>
  <c r="AI1452" i="4" s="1"/>
  <c r="AL1427" i="4"/>
  <c r="AF1427" i="4"/>
  <c r="AH1423" i="4"/>
  <c r="AI1423" i="4" s="1"/>
  <c r="AL1419" i="4"/>
  <c r="AF1419" i="4"/>
  <c r="AG1592" i="4"/>
  <c r="AH1592" i="4" s="1"/>
  <c r="AI1592" i="4" s="1"/>
  <c r="AF1591" i="4"/>
  <c r="AH1591" i="4" s="1"/>
  <c r="AI1591" i="4" s="1"/>
  <c r="AM1590" i="4"/>
  <c r="AE1590" i="4"/>
  <c r="AH1590" i="4" s="1"/>
  <c r="AI1590" i="4" s="1"/>
  <c r="AL1589" i="4"/>
  <c r="AK1588" i="4"/>
  <c r="AG1584" i="4"/>
  <c r="AH1584" i="4" s="1"/>
  <c r="AI1584" i="4" s="1"/>
  <c r="AF1583" i="4"/>
  <c r="AH1583" i="4" s="1"/>
  <c r="AI1583" i="4" s="1"/>
  <c r="AM1582" i="4"/>
  <c r="AE1582" i="4"/>
  <c r="AH1582" i="4" s="1"/>
  <c r="AI1582" i="4" s="1"/>
  <c r="AL1581" i="4"/>
  <c r="AK1580" i="4"/>
  <c r="AG1576" i="4"/>
  <c r="AH1576" i="4" s="1"/>
  <c r="AI1576" i="4" s="1"/>
  <c r="AF1575" i="4"/>
  <c r="AH1575" i="4" s="1"/>
  <c r="AI1575" i="4" s="1"/>
  <c r="AM1574" i="4"/>
  <c r="AE1574" i="4"/>
  <c r="AH1574" i="4" s="1"/>
  <c r="AI1574" i="4" s="1"/>
  <c r="AL1573" i="4"/>
  <c r="AK1572" i="4"/>
  <c r="AG1568" i="4"/>
  <c r="AH1568" i="4" s="1"/>
  <c r="AI1568" i="4" s="1"/>
  <c r="AF1567" i="4"/>
  <c r="AH1567" i="4" s="1"/>
  <c r="AI1567" i="4" s="1"/>
  <c r="AM1566" i="4"/>
  <c r="AE1566" i="4"/>
  <c r="AH1566" i="4" s="1"/>
  <c r="AI1566" i="4" s="1"/>
  <c r="AL1565" i="4"/>
  <c r="AK1564" i="4"/>
  <c r="AG1560" i="4"/>
  <c r="AH1560" i="4" s="1"/>
  <c r="AI1560" i="4" s="1"/>
  <c r="AF1559" i="4"/>
  <c r="AH1559" i="4" s="1"/>
  <c r="AI1559" i="4" s="1"/>
  <c r="AM1558" i="4"/>
  <c r="AE1558" i="4"/>
  <c r="AH1558" i="4" s="1"/>
  <c r="AI1558" i="4" s="1"/>
  <c r="AL1557" i="4"/>
  <c r="AK1556" i="4"/>
  <c r="AG1552" i="4"/>
  <c r="AH1552" i="4" s="1"/>
  <c r="AI1552" i="4" s="1"/>
  <c r="AF1551" i="4"/>
  <c r="AH1551" i="4" s="1"/>
  <c r="AI1551" i="4" s="1"/>
  <c r="AM1550" i="4"/>
  <c r="AE1550" i="4"/>
  <c r="AH1550" i="4" s="1"/>
  <c r="AI1550" i="4" s="1"/>
  <c r="AL1549" i="4"/>
  <c r="AK1548" i="4"/>
  <c r="AG1544" i="4"/>
  <c r="AH1544" i="4" s="1"/>
  <c r="AI1544" i="4" s="1"/>
  <c r="AF1543" i="4"/>
  <c r="AH1543" i="4" s="1"/>
  <c r="AI1543" i="4" s="1"/>
  <c r="AM1542" i="4"/>
  <c r="AE1542" i="4"/>
  <c r="AH1542" i="4" s="1"/>
  <c r="AI1542" i="4" s="1"/>
  <c r="AL1541" i="4"/>
  <c r="AK1540" i="4"/>
  <c r="AG1536" i="4"/>
  <c r="AH1536" i="4" s="1"/>
  <c r="AI1536" i="4" s="1"/>
  <c r="AF1535" i="4"/>
  <c r="AH1535" i="4" s="1"/>
  <c r="AI1535" i="4" s="1"/>
  <c r="AM1534" i="4"/>
  <c r="AE1534" i="4"/>
  <c r="AH1534" i="4" s="1"/>
  <c r="AI1534" i="4" s="1"/>
  <c r="AL1533" i="4"/>
  <c r="AK1532" i="4"/>
  <c r="AG1528" i="4"/>
  <c r="AH1528" i="4" s="1"/>
  <c r="AI1528" i="4" s="1"/>
  <c r="AF1527" i="4"/>
  <c r="AH1527" i="4" s="1"/>
  <c r="AI1527" i="4" s="1"/>
  <c r="AM1526" i="4"/>
  <c r="AE1526" i="4"/>
  <c r="AH1526" i="4" s="1"/>
  <c r="AI1526" i="4" s="1"/>
  <c r="AL1525" i="4"/>
  <c r="AK1524" i="4"/>
  <c r="AG1520" i="4"/>
  <c r="AH1520" i="4" s="1"/>
  <c r="AI1520" i="4" s="1"/>
  <c r="AF1519" i="4"/>
  <c r="AH1519" i="4" s="1"/>
  <c r="AI1519" i="4" s="1"/>
  <c r="AM1518" i="4"/>
  <c r="AE1518" i="4"/>
  <c r="AH1518" i="4" s="1"/>
  <c r="AI1518" i="4" s="1"/>
  <c r="AL1517" i="4"/>
  <c r="AK1516" i="4"/>
  <c r="AG1512" i="4"/>
  <c r="AH1512" i="4" s="1"/>
  <c r="AI1512" i="4" s="1"/>
  <c r="AF1511" i="4"/>
  <c r="AH1511" i="4" s="1"/>
  <c r="AI1511" i="4" s="1"/>
  <c r="AM1510" i="4"/>
  <c r="AE1510" i="4"/>
  <c r="AH1510" i="4" s="1"/>
  <c r="AI1510" i="4" s="1"/>
  <c r="AL1509" i="4"/>
  <c r="AK1508" i="4"/>
  <c r="AG1504" i="4"/>
  <c r="AH1504" i="4" s="1"/>
  <c r="AI1504" i="4" s="1"/>
  <c r="AF1503" i="4"/>
  <c r="AH1503" i="4" s="1"/>
  <c r="AI1503" i="4" s="1"/>
  <c r="AM1502" i="4"/>
  <c r="AE1502" i="4"/>
  <c r="AH1502" i="4" s="1"/>
  <c r="AI1502" i="4" s="1"/>
  <c r="AL1501" i="4"/>
  <c r="AK1500" i="4"/>
  <c r="AG1496" i="4"/>
  <c r="AH1496" i="4" s="1"/>
  <c r="AI1496" i="4" s="1"/>
  <c r="AF1495" i="4"/>
  <c r="AH1495" i="4" s="1"/>
  <c r="AI1495" i="4" s="1"/>
  <c r="AM1494" i="4"/>
  <c r="AE1494" i="4"/>
  <c r="AH1494" i="4" s="1"/>
  <c r="AI1494" i="4" s="1"/>
  <c r="AL1493" i="4"/>
  <c r="AK1492" i="4"/>
  <c r="AG1488" i="4"/>
  <c r="AH1488" i="4" s="1"/>
  <c r="AI1488" i="4" s="1"/>
  <c r="AF1487" i="4"/>
  <c r="AH1487" i="4" s="1"/>
  <c r="AI1487" i="4" s="1"/>
  <c r="AM1486" i="4"/>
  <c r="AE1486" i="4"/>
  <c r="AH1486" i="4" s="1"/>
  <c r="AI1486" i="4" s="1"/>
  <c r="AL1485" i="4"/>
  <c r="AK1484" i="4"/>
  <c r="AG1480" i="4"/>
  <c r="AH1480" i="4" s="1"/>
  <c r="AI1480" i="4" s="1"/>
  <c r="AF1479" i="4"/>
  <c r="AH1479" i="4" s="1"/>
  <c r="AI1479" i="4" s="1"/>
  <c r="AM1478" i="4"/>
  <c r="AE1478" i="4"/>
  <c r="AH1478" i="4" s="1"/>
  <c r="AI1478" i="4" s="1"/>
  <c r="AK1477" i="4"/>
  <c r="AF1476" i="4"/>
  <c r="AM1475" i="4"/>
  <c r="AE1465" i="4"/>
  <c r="AK1465" i="4"/>
  <c r="AH1464" i="4"/>
  <c r="AI1464" i="4" s="1"/>
  <c r="AH1462" i="4"/>
  <c r="AI1462" i="4" s="1"/>
  <c r="AK1458" i="4"/>
  <c r="AL1454" i="4"/>
  <c r="AF1448" i="4"/>
  <c r="AH1446" i="4"/>
  <c r="AI1446" i="4" s="1"/>
  <c r="AM1444" i="4"/>
  <c r="AL1444" i="4"/>
  <c r="AF1444" i="4"/>
  <c r="AF1440" i="4"/>
  <c r="AH1438" i="4"/>
  <c r="AI1438" i="4" s="1"/>
  <c r="AM1436" i="4"/>
  <c r="AL1436" i="4"/>
  <c r="AF1436" i="4"/>
  <c r="AH1436" i="4" s="1"/>
  <c r="AI1436" i="4" s="1"/>
  <c r="AF1432" i="4"/>
  <c r="AH1430" i="4"/>
  <c r="AI1430" i="4" s="1"/>
  <c r="AK1427" i="4"/>
  <c r="AE1427" i="4"/>
  <c r="AH1414" i="4"/>
  <c r="AI1414" i="4" s="1"/>
  <c r="AH1398" i="4"/>
  <c r="AI1398" i="4" s="1"/>
  <c r="AH1382" i="4"/>
  <c r="AI1382" i="4" s="1"/>
  <c r="AH1366" i="4"/>
  <c r="AI1366" i="4" s="1"/>
  <c r="AH1350" i="4"/>
  <c r="AI1350" i="4" s="1"/>
  <c r="AH1476" i="4"/>
  <c r="AI1476" i="4" s="1"/>
  <c r="AM1469" i="4"/>
  <c r="AG1469" i="4"/>
  <c r="AH1469" i="4" s="1"/>
  <c r="AI1469" i="4" s="1"/>
  <c r="AK1467" i="4"/>
  <c r="AE1467" i="4"/>
  <c r="AH1467" i="4" s="1"/>
  <c r="AI1467" i="4" s="1"/>
  <c r="AF1458" i="4"/>
  <c r="AH1458" i="4" s="1"/>
  <c r="AI1458" i="4" s="1"/>
  <c r="AL1458" i="4"/>
  <c r="AG1451" i="4"/>
  <c r="AM1451" i="4"/>
  <c r="AE1449" i="4"/>
  <c r="AH1449" i="4" s="1"/>
  <c r="AI1449" i="4" s="1"/>
  <c r="AK1449" i="4"/>
  <c r="AH1448" i="4"/>
  <c r="AI1448" i="4" s="1"/>
  <c r="AG1443" i="4"/>
  <c r="AM1443" i="4"/>
  <c r="AE1441" i="4"/>
  <c r="AH1441" i="4" s="1"/>
  <c r="AI1441" i="4" s="1"/>
  <c r="AK1441" i="4"/>
  <c r="AH1440" i="4"/>
  <c r="AI1440" i="4" s="1"/>
  <c r="AG1435" i="4"/>
  <c r="AM1435" i="4"/>
  <c r="AE1433" i="4"/>
  <c r="AH1433" i="4" s="1"/>
  <c r="AI1433" i="4" s="1"/>
  <c r="AK1433" i="4"/>
  <c r="AH1432" i="4"/>
  <c r="AI1432" i="4" s="1"/>
  <c r="AF1426" i="4"/>
  <c r="AL1426" i="4"/>
  <c r="AH1407" i="4"/>
  <c r="AI1407" i="4" s="1"/>
  <c r="AH1391" i="4"/>
  <c r="AI1391" i="4" s="1"/>
  <c r="AH1375" i="4"/>
  <c r="AI1375" i="4" s="1"/>
  <c r="AH1359" i="4"/>
  <c r="AI1359" i="4" s="1"/>
  <c r="AG1465" i="4"/>
  <c r="AL1460" i="4"/>
  <c r="AF1460" i="4"/>
  <c r="AH1460" i="4" s="1"/>
  <c r="AI1460" i="4" s="1"/>
  <c r="AK1426" i="4"/>
  <c r="AE1426" i="4"/>
  <c r="AH1426" i="4" s="1"/>
  <c r="AI1426" i="4" s="1"/>
  <c r="AH1422" i="4"/>
  <c r="AI1422" i="4" s="1"/>
  <c r="AE1473" i="4"/>
  <c r="AK1473" i="4"/>
  <c r="AH1472" i="4"/>
  <c r="AI1472" i="4" s="1"/>
  <c r="AM1453" i="4"/>
  <c r="AG1453" i="4"/>
  <c r="AH1453" i="4" s="1"/>
  <c r="AI1453" i="4" s="1"/>
  <c r="AK1451" i="4"/>
  <c r="AE1451" i="4"/>
  <c r="AH1451" i="4" s="1"/>
  <c r="AI1451" i="4" s="1"/>
  <c r="AL1443" i="4"/>
  <c r="AK1443" i="4"/>
  <c r="AE1443" i="4"/>
  <c r="AH1443" i="4" s="1"/>
  <c r="AI1443" i="4" s="1"/>
  <c r="AL1435" i="4"/>
  <c r="AK1435" i="4"/>
  <c r="AE1435" i="4"/>
  <c r="AH1435" i="4" s="1"/>
  <c r="AI1435" i="4" s="1"/>
  <c r="AG1588" i="4"/>
  <c r="AH1588" i="4" s="1"/>
  <c r="AI1588" i="4" s="1"/>
  <c r="AF1587" i="4"/>
  <c r="AH1587" i="4" s="1"/>
  <c r="AI1587" i="4" s="1"/>
  <c r="AE1586" i="4"/>
  <c r="AH1586" i="4" s="1"/>
  <c r="AI1586" i="4" s="1"/>
  <c r="AG1580" i="4"/>
  <c r="AH1580" i="4" s="1"/>
  <c r="AI1580" i="4" s="1"/>
  <c r="AF1579" i="4"/>
  <c r="AH1579" i="4" s="1"/>
  <c r="AI1579" i="4" s="1"/>
  <c r="AE1578" i="4"/>
  <c r="AH1578" i="4" s="1"/>
  <c r="AI1578" i="4" s="1"/>
  <c r="AG1572" i="4"/>
  <c r="AH1572" i="4" s="1"/>
  <c r="AI1572" i="4" s="1"/>
  <c r="AF1571" i="4"/>
  <c r="AH1571" i="4" s="1"/>
  <c r="AI1571" i="4" s="1"/>
  <c r="AE1570" i="4"/>
  <c r="AH1570" i="4" s="1"/>
  <c r="AI1570" i="4" s="1"/>
  <c r="AG1564" i="4"/>
  <c r="AH1564" i="4" s="1"/>
  <c r="AI1564" i="4" s="1"/>
  <c r="AF1563" i="4"/>
  <c r="AH1563" i="4" s="1"/>
  <c r="AI1563" i="4" s="1"/>
  <c r="AE1562" i="4"/>
  <c r="AH1562" i="4" s="1"/>
  <c r="AI1562" i="4" s="1"/>
  <c r="AG1556" i="4"/>
  <c r="AH1556" i="4" s="1"/>
  <c r="AI1556" i="4" s="1"/>
  <c r="AF1555" i="4"/>
  <c r="AH1555" i="4" s="1"/>
  <c r="AI1555" i="4" s="1"/>
  <c r="AE1554" i="4"/>
  <c r="AH1554" i="4" s="1"/>
  <c r="AI1554" i="4" s="1"/>
  <c r="AG1548" i="4"/>
  <c r="AH1548" i="4" s="1"/>
  <c r="AI1548" i="4" s="1"/>
  <c r="AF1547" i="4"/>
  <c r="AH1547" i="4" s="1"/>
  <c r="AI1547" i="4" s="1"/>
  <c r="AE1546" i="4"/>
  <c r="AH1546" i="4" s="1"/>
  <c r="AI1546" i="4" s="1"/>
  <c r="AG1540" i="4"/>
  <c r="AH1540" i="4" s="1"/>
  <c r="AI1540" i="4" s="1"/>
  <c r="AF1539" i="4"/>
  <c r="AH1539" i="4" s="1"/>
  <c r="AI1539" i="4" s="1"/>
  <c r="AE1538" i="4"/>
  <c r="AH1538" i="4" s="1"/>
  <c r="AI1538" i="4" s="1"/>
  <c r="AG1532" i="4"/>
  <c r="AH1532" i="4" s="1"/>
  <c r="AI1532" i="4" s="1"/>
  <c r="AF1531" i="4"/>
  <c r="AH1531" i="4" s="1"/>
  <c r="AI1531" i="4" s="1"/>
  <c r="AE1530" i="4"/>
  <c r="AH1530" i="4" s="1"/>
  <c r="AI1530" i="4" s="1"/>
  <c r="AG1524" i="4"/>
  <c r="AH1524" i="4" s="1"/>
  <c r="AI1524" i="4" s="1"/>
  <c r="AF1523" i="4"/>
  <c r="AH1523" i="4" s="1"/>
  <c r="AI1523" i="4" s="1"/>
  <c r="AE1522" i="4"/>
  <c r="AH1522" i="4" s="1"/>
  <c r="AI1522" i="4" s="1"/>
  <c r="AG1516" i="4"/>
  <c r="AH1516" i="4" s="1"/>
  <c r="AI1516" i="4" s="1"/>
  <c r="AF1515" i="4"/>
  <c r="AH1515" i="4" s="1"/>
  <c r="AI1515" i="4" s="1"/>
  <c r="AE1514" i="4"/>
  <c r="AH1514" i="4" s="1"/>
  <c r="AI1514" i="4" s="1"/>
  <c r="AG1508" i="4"/>
  <c r="AH1508" i="4" s="1"/>
  <c r="AI1508" i="4" s="1"/>
  <c r="AF1507" i="4"/>
  <c r="AH1507" i="4" s="1"/>
  <c r="AI1507" i="4" s="1"/>
  <c r="AE1506" i="4"/>
  <c r="AH1506" i="4" s="1"/>
  <c r="AI1506" i="4" s="1"/>
  <c r="AG1500" i="4"/>
  <c r="AH1500" i="4" s="1"/>
  <c r="AI1500" i="4" s="1"/>
  <c r="AF1499" i="4"/>
  <c r="AH1499" i="4" s="1"/>
  <c r="AI1499" i="4" s="1"/>
  <c r="AE1498" i="4"/>
  <c r="AH1498" i="4" s="1"/>
  <c r="AI1498" i="4" s="1"/>
  <c r="AG1492" i="4"/>
  <c r="AH1492" i="4" s="1"/>
  <c r="AI1492" i="4" s="1"/>
  <c r="AF1491" i="4"/>
  <c r="AH1491" i="4" s="1"/>
  <c r="AI1491" i="4" s="1"/>
  <c r="AE1490" i="4"/>
  <c r="AH1490" i="4" s="1"/>
  <c r="AI1490" i="4" s="1"/>
  <c r="AG1484" i="4"/>
  <c r="AH1484" i="4" s="1"/>
  <c r="AI1484" i="4" s="1"/>
  <c r="AF1483" i="4"/>
  <c r="AH1483" i="4" s="1"/>
  <c r="AI1483" i="4" s="1"/>
  <c r="AE1482" i="4"/>
  <c r="AH1482" i="4" s="1"/>
  <c r="AI1482" i="4" s="1"/>
  <c r="AF1466" i="4"/>
  <c r="AH1466" i="4" s="1"/>
  <c r="AI1466" i="4" s="1"/>
  <c r="AL1466" i="4"/>
  <c r="AE1463" i="4"/>
  <c r="AH1463" i="4" s="1"/>
  <c r="AI1463" i="4" s="1"/>
  <c r="AG1459" i="4"/>
  <c r="AM1459" i="4"/>
  <c r="AF1456" i="4"/>
  <c r="AH1444" i="4"/>
  <c r="AI1444" i="4" s="1"/>
  <c r="AM1429" i="4"/>
  <c r="AG1429" i="4"/>
  <c r="AH1424" i="4"/>
  <c r="AI1424" i="4" s="1"/>
  <c r="AG1473" i="4"/>
  <c r="AL1468" i="4"/>
  <c r="AF1468" i="4"/>
  <c r="AH1468" i="4" s="1"/>
  <c r="AI1468" i="4" s="1"/>
  <c r="AE1457" i="4"/>
  <c r="AH1457" i="4" s="1"/>
  <c r="AI1457" i="4" s="1"/>
  <c r="AK1457" i="4"/>
  <c r="AH1456" i="4"/>
  <c r="AI1456" i="4" s="1"/>
  <c r="AH1454" i="4"/>
  <c r="AI1454" i="4" s="1"/>
  <c r="AK1450" i="4"/>
  <c r="AF1450" i="4"/>
  <c r="AH1450" i="4" s="1"/>
  <c r="AI1450" i="4" s="1"/>
  <c r="AL1450" i="4"/>
  <c r="AE1447" i="4"/>
  <c r="AH1447" i="4" s="1"/>
  <c r="AI1447" i="4" s="1"/>
  <c r="AM1445" i="4"/>
  <c r="AG1445" i="4"/>
  <c r="AH1445" i="4" s="1"/>
  <c r="AI1445" i="4" s="1"/>
  <c r="AK1442" i="4"/>
  <c r="AF1442" i="4"/>
  <c r="AH1442" i="4" s="1"/>
  <c r="AI1442" i="4" s="1"/>
  <c r="AL1442" i="4"/>
  <c r="AE1439" i="4"/>
  <c r="AH1439" i="4" s="1"/>
  <c r="AI1439" i="4" s="1"/>
  <c r="AM1437" i="4"/>
  <c r="AG1437" i="4"/>
  <c r="AH1437" i="4" s="1"/>
  <c r="AI1437" i="4" s="1"/>
  <c r="AK1434" i="4"/>
  <c r="AF1434" i="4"/>
  <c r="AH1434" i="4" s="1"/>
  <c r="AI1434" i="4" s="1"/>
  <c r="AL1434" i="4"/>
  <c r="AE1431" i="4"/>
  <c r="AH1431" i="4" s="1"/>
  <c r="AI1431" i="4" s="1"/>
  <c r="AM1428" i="4"/>
  <c r="AG1428" i="4"/>
  <c r="AE1425" i="4"/>
  <c r="AH1425" i="4" s="1"/>
  <c r="AI1425" i="4" s="1"/>
  <c r="AK1425" i="4"/>
  <c r="AE1475" i="4"/>
  <c r="AH1475" i="4" s="1"/>
  <c r="AI1475" i="4" s="1"/>
  <c r="AM1461" i="4"/>
  <c r="AG1461" i="4"/>
  <c r="AH1461" i="4" s="1"/>
  <c r="AI1461" i="4" s="1"/>
  <c r="AK1459" i="4"/>
  <c r="AE1459" i="4"/>
  <c r="AH1459" i="4" s="1"/>
  <c r="AI1459" i="4" s="1"/>
  <c r="AH1429" i="4"/>
  <c r="AI1429" i="4" s="1"/>
  <c r="AL1428" i="4"/>
  <c r="AF1428" i="4"/>
  <c r="AH1428" i="4" s="1"/>
  <c r="AI1428" i="4" s="1"/>
  <c r="AG1427" i="4"/>
  <c r="AM1427" i="4"/>
  <c r="AM1420" i="4"/>
  <c r="AG1420" i="4"/>
  <c r="AG1419" i="4"/>
  <c r="AM1419" i="4"/>
  <c r="AE1418" i="4"/>
  <c r="AH1418" i="4" s="1"/>
  <c r="AI1418" i="4" s="1"/>
  <c r="AG1412" i="4"/>
  <c r="AF1411" i="4"/>
  <c r="AE1410" i="4"/>
  <c r="AH1410" i="4" s="1"/>
  <c r="AI1410" i="4" s="1"/>
  <c r="AG1404" i="4"/>
  <c r="AF1403" i="4"/>
  <c r="AE1402" i="4"/>
  <c r="AH1402" i="4" s="1"/>
  <c r="AI1402" i="4" s="1"/>
  <c r="AG1396" i="4"/>
  <c r="AF1395" i="4"/>
  <c r="AE1394" i="4"/>
  <c r="AH1394" i="4" s="1"/>
  <c r="AI1394" i="4" s="1"/>
  <c r="AG1388" i="4"/>
  <c r="AF1387" i="4"/>
  <c r="AE1386" i="4"/>
  <c r="AH1386" i="4" s="1"/>
  <c r="AI1386" i="4" s="1"/>
  <c r="AG1380" i="4"/>
  <c r="AF1379" i="4"/>
  <c r="AE1378" i="4"/>
  <c r="AH1378" i="4" s="1"/>
  <c r="AI1378" i="4" s="1"/>
  <c r="AG1372" i="4"/>
  <c r="AF1371" i="4"/>
  <c r="AE1370" i="4"/>
  <c r="AH1370" i="4" s="1"/>
  <c r="AI1370" i="4" s="1"/>
  <c r="AG1364" i="4"/>
  <c r="AF1363" i="4"/>
  <c r="AE1362" i="4"/>
  <c r="AH1362" i="4" s="1"/>
  <c r="AI1362" i="4" s="1"/>
  <c r="AG1356" i="4"/>
  <c r="AF1355" i="4"/>
  <c r="AE1354" i="4"/>
  <c r="AH1354" i="4" s="1"/>
  <c r="AI1354" i="4" s="1"/>
  <c r="AG1348" i="4"/>
  <c r="AF1347" i="4"/>
  <c r="AE1346" i="4"/>
  <c r="AH1346" i="4" s="1"/>
  <c r="AI1346" i="4" s="1"/>
  <c r="AG1344" i="4"/>
  <c r="AM1343" i="4"/>
  <c r="AG1343" i="4"/>
  <c r="AH1343" i="4" s="1"/>
  <c r="AI1343" i="4" s="1"/>
  <c r="AG1342" i="4"/>
  <c r="AE1340" i="4"/>
  <c r="AE1339" i="4"/>
  <c r="AK1339" i="4"/>
  <c r="AH1336" i="4"/>
  <c r="AI1336" i="4" s="1"/>
  <c r="AL1326" i="4"/>
  <c r="AF1326" i="4"/>
  <c r="AG1325" i="4"/>
  <c r="AM1325" i="4"/>
  <c r="AM1319" i="4"/>
  <c r="AG1319" i="4"/>
  <c r="AH1319" i="4" s="1"/>
  <c r="AI1319" i="4" s="1"/>
  <c r="AM1311" i="4"/>
  <c r="AG1311" i="4"/>
  <c r="AM1303" i="4"/>
  <c r="AG1303" i="4"/>
  <c r="AH1303" i="4" s="1"/>
  <c r="AI1303" i="4" s="1"/>
  <c r="AM1295" i="4"/>
  <c r="AG1295" i="4"/>
  <c r="AM1287" i="4"/>
  <c r="AG1287" i="4"/>
  <c r="AH1287" i="4" s="1"/>
  <c r="AI1287" i="4" s="1"/>
  <c r="AM1279" i="4"/>
  <c r="AG1279" i="4"/>
  <c r="AM1271" i="4"/>
  <c r="AG1271" i="4"/>
  <c r="AH1271" i="4" s="1"/>
  <c r="AI1271" i="4" s="1"/>
  <c r="AL1262" i="4"/>
  <c r="AF1262" i="4"/>
  <c r="AH1262" i="4" s="1"/>
  <c r="AI1262" i="4" s="1"/>
  <c r="AH1256" i="4"/>
  <c r="AI1256" i="4" s="1"/>
  <c r="AM1239" i="4"/>
  <c r="AG1239" i="4"/>
  <c r="AL1230" i="4"/>
  <c r="AF1230" i="4"/>
  <c r="AH1224" i="4"/>
  <c r="AI1224" i="4" s="1"/>
  <c r="AM1207" i="4"/>
  <c r="AG1207" i="4"/>
  <c r="AH1206" i="4"/>
  <c r="AI1206" i="4" s="1"/>
  <c r="AG1421" i="4"/>
  <c r="AH1421" i="4" s="1"/>
  <c r="AI1421" i="4" s="1"/>
  <c r="AF1420" i="4"/>
  <c r="AE1419" i="4"/>
  <c r="AH1419" i="4" s="1"/>
  <c r="AI1419" i="4" s="1"/>
  <c r="AL1418" i="4"/>
  <c r="AK1417" i="4"/>
  <c r="AG1413" i="4"/>
  <c r="AH1413" i="4" s="1"/>
  <c r="AI1413" i="4" s="1"/>
  <c r="AF1412" i="4"/>
  <c r="AH1412" i="4" s="1"/>
  <c r="AI1412" i="4" s="1"/>
  <c r="AM1411" i="4"/>
  <c r="AE1411" i="4"/>
  <c r="AH1411" i="4" s="1"/>
  <c r="AI1411" i="4" s="1"/>
  <c r="AL1410" i="4"/>
  <c r="AK1409" i="4"/>
  <c r="AG1405" i="4"/>
  <c r="AH1405" i="4" s="1"/>
  <c r="AI1405" i="4" s="1"/>
  <c r="AF1404" i="4"/>
  <c r="AH1404" i="4" s="1"/>
  <c r="AI1404" i="4" s="1"/>
  <c r="AM1403" i="4"/>
  <c r="AE1403" i="4"/>
  <c r="AH1403" i="4" s="1"/>
  <c r="AI1403" i="4" s="1"/>
  <c r="AL1402" i="4"/>
  <c r="AK1401" i="4"/>
  <c r="AG1397" i="4"/>
  <c r="AH1397" i="4" s="1"/>
  <c r="AI1397" i="4" s="1"/>
  <c r="AF1396" i="4"/>
  <c r="AH1396" i="4" s="1"/>
  <c r="AI1396" i="4" s="1"/>
  <c r="AM1395" i="4"/>
  <c r="AE1395" i="4"/>
  <c r="AH1395" i="4" s="1"/>
  <c r="AI1395" i="4" s="1"/>
  <c r="AL1394" i="4"/>
  <c r="AK1393" i="4"/>
  <c r="AG1389" i="4"/>
  <c r="AH1389" i="4" s="1"/>
  <c r="AI1389" i="4" s="1"/>
  <c r="AF1388" i="4"/>
  <c r="AH1388" i="4" s="1"/>
  <c r="AI1388" i="4" s="1"/>
  <c r="AM1387" i="4"/>
  <c r="AE1387" i="4"/>
  <c r="AH1387" i="4" s="1"/>
  <c r="AI1387" i="4" s="1"/>
  <c r="AL1386" i="4"/>
  <c r="AK1385" i="4"/>
  <c r="AG1381" i="4"/>
  <c r="AH1381" i="4" s="1"/>
  <c r="AI1381" i="4" s="1"/>
  <c r="AF1380" i="4"/>
  <c r="AH1380" i="4" s="1"/>
  <c r="AI1380" i="4" s="1"/>
  <c r="AM1379" i="4"/>
  <c r="AE1379" i="4"/>
  <c r="AH1379" i="4" s="1"/>
  <c r="AI1379" i="4" s="1"/>
  <c r="AL1378" i="4"/>
  <c r="AK1377" i="4"/>
  <c r="AG1373" i="4"/>
  <c r="AH1373" i="4" s="1"/>
  <c r="AI1373" i="4" s="1"/>
  <c r="AF1372" i="4"/>
  <c r="AH1372" i="4" s="1"/>
  <c r="AI1372" i="4" s="1"/>
  <c r="AM1371" i="4"/>
  <c r="AE1371" i="4"/>
  <c r="AH1371" i="4" s="1"/>
  <c r="AI1371" i="4" s="1"/>
  <c r="AL1370" i="4"/>
  <c r="AK1369" i="4"/>
  <c r="AG1365" i="4"/>
  <c r="AH1365" i="4" s="1"/>
  <c r="AI1365" i="4" s="1"/>
  <c r="AF1364" i="4"/>
  <c r="AH1364" i="4" s="1"/>
  <c r="AI1364" i="4" s="1"/>
  <c r="AM1363" i="4"/>
  <c r="AE1363" i="4"/>
  <c r="AH1363" i="4" s="1"/>
  <c r="AI1363" i="4" s="1"/>
  <c r="AL1362" i="4"/>
  <c r="AK1361" i="4"/>
  <c r="AG1357" i="4"/>
  <c r="AH1357" i="4" s="1"/>
  <c r="AI1357" i="4" s="1"/>
  <c r="AF1356" i="4"/>
  <c r="AH1356" i="4" s="1"/>
  <c r="AI1356" i="4" s="1"/>
  <c r="AM1355" i="4"/>
  <c r="AE1355" i="4"/>
  <c r="AH1355" i="4" s="1"/>
  <c r="AI1355" i="4" s="1"/>
  <c r="AL1354" i="4"/>
  <c r="AK1353" i="4"/>
  <c r="AG1349" i="4"/>
  <c r="AH1349" i="4" s="1"/>
  <c r="AI1349" i="4" s="1"/>
  <c r="AF1348" i="4"/>
  <c r="AH1348" i="4" s="1"/>
  <c r="AI1348" i="4" s="1"/>
  <c r="AM1347" i="4"/>
  <c r="AE1347" i="4"/>
  <c r="AH1347" i="4" s="1"/>
  <c r="AI1347" i="4" s="1"/>
  <c r="AL1346" i="4"/>
  <c r="AH1344" i="4"/>
  <c r="AI1344" i="4" s="1"/>
  <c r="AK1343" i="4"/>
  <c r="AK1341" i="4"/>
  <c r="AE1341" i="4"/>
  <c r="AF1325" i="4"/>
  <c r="AL1325" i="4"/>
  <c r="AH1321" i="4"/>
  <c r="AI1321" i="4" s="1"/>
  <c r="AG1317" i="4"/>
  <c r="AM1317" i="4"/>
  <c r="AH1313" i="4"/>
  <c r="AI1313" i="4" s="1"/>
  <c r="AG1309" i="4"/>
  <c r="AM1309" i="4"/>
  <c r="AH1305" i="4"/>
  <c r="AI1305" i="4" s="1"/>
  <c r="AG1301" i="4"/>
  <c r="AM1301" i="4"/>
  <c r="AH1297" i="4"/>
  <c r="AI1297" i="4" s="1"/>
  <c r="AG1293" i="4"/>
  <c r="AM1293" i="4"/>
  <c r="AH1289" i="4"/>
  <c r="AI1289" i="4" s="1"/>
  <c r="AG1285" i="4"/>
  <c r="AM1285" i="4"/>
  <c r="AH1281" i="4"/>
  <c r="AI1281" i="4" s="1"/>
  <c r="AG1277" i="4"/>
  <c r="AM1277" i="4"/>
  <c r="AH1273" i="4"/>
  <c r="AI1273" i="4" s="1"/>
  <c r="AK1261" i="4"/>
  <c r="AE1261" i="4"/>
  <c r="AH1261" i="4" s="1"/>
  <c r="AI1261" i="4" s="1"/>
  <c r="AH1260" i="4"/>
  <c r="AI1260" i="4" s="1"/>
  <c r="AH1251" i="4"/>
  <c r="AI1251" i="4" s="1"/>
  <c r="AH1241" i="4"/>
  <c r="AI1241" i="4" s="1"/>
  <c r="AK1229" i="4"/>
  <c r="AE1229" i="4"/>
  <c r="AH1229" i="4" s="1"/>
  <c r="AI1229" i="4" s="1"/>
  <c r="AH1228" i="4"/>
  <c r="AI1228" i="4" s="1"/>
  <c r="AH1219" i="4"/>
  <c r="AI1219" i="4" s="1"/>
  <c r="AH1209" i="4"/>
  <c r="AI1209" i="4" s="1"/>
  <c r="AG1339" i="4"/>
  <c r="AL1334" i="4"/>
  <c r="AF1334" i="4"/>
  <c r="AH1328" i="4"/>
  <c r="AI1328" i="4" s="1"/>
  <c r="AK1325" i="4"/>
  <c r="AE1325" i="4"/>
  <c r="AH1325" i="4" s="1"/>
  <c r="AI1325" i="4" s="1"/>
  <c r="AL1318" i="4"/>
  <c r="AF1318" i="4"/>
  <c r="AH1311" i="4"/>
  <c r="AI1311" i="4" s="1"/>
  <c r="AL1310" i="4"/>
  <c r="AF1310" i="4"/>
  <c r="AH1310" i="4" s="1"/>
  <c r="AI1310" i="4" s="1"/>
  <c r="AL1302" i="4"/>
  <c r="AF1302" i="4"/>
  <c r="AH1295" i="4"/>
  <c r="AI1295" i="4" s="1"/>
  <c r="AL1294" i="4"/>
  <c r="AF1294" i="4"/>
  <c r="AH1294" i="4" s="1"/>
  <c r="AI1294" i="4" s="1"/>
  <c r="AL1286" i="4"/>
  <c r="AF1286" i="4"/>
  <c r="AH1279" i="4"/>
  <c r="AI1279" i="4" s="1"/>
  <c r="AL1278" i="4"/>
  <c r="AF1278" i="4"/>
  <c r="AH1278" i="4" s="1"/>
  <c r="AI1278" i="4" s="1"/>
  <c r="AL1270" i="4"/>
  <c r="AF1270" i="4"/>
  <c r="AH1264" i="4"/>
  <c r="AI1264" i="4" s="1"/>
  <c r="AM1247" i="4"/>
  <c r="AG1247" i="4"/>
  <c r="AH1239" i="4"/>
  <c r="AI1239" i="4" s="1"/>
  <c r="AL1238" i="4"/>
  <c r="AF1238" i="4"/>
  <c r="AM1215" i="4"/>
  <c r="AG1215" i="4"/>
  <c r="AH1207" i="4"/>
  <c r="AI1207" i="4" s="1"/>
  <c r="AK1203" i="4"/>
  <c r="AE1203" i="4"/>
  <c r="AH1203" i="4" s="1"/>
  <c r="AI1203" i="4" s="1"/>
  <c r="AF1185" i="4"/>
  <c r="AL1185" i="4"/>
  <c r="AL1336" i="4"/>
  <c r="AG1333" i="4"/>
  <c r="AM1333" i="4"/>
  <c r="AE1331" i="4"/>
  <c r="AH1331" i="4" s="1"/>
  <c r="AI1331" i="4" s="1"/>
  <c r="AK1331" i="4"/>
  <c r="AH1330" i="4"/>
  <c r="AI1330" i="4" s="1"/>
  <c r="AF1324" i="4"/>
  <c r="AL1324" i="4"/>
  <c r="AK1317" i="4"/>
  <c r="AE1317" i="4"/>
  <c r="AH1317" i="4" s="1"/>
  <c r="AI1317" i="4" s="1"/>
  <c r="AF1316" i="4"/>
  <c r="AL1316" i="4"/>
  <c r="AK1309" i="4"/>
  <c r="AE1309" i="4"/>
  <c r="AH1309" i="4" s="1"/>
  <c r="AI1309" i="4" s="1"/>
  <c r="AF1308" i="4"/>
  <c r="AL1308" i="4"/>
  <c r="AK1301" i="4"/>
  <c r="AE1301" i="4"/>
  <c r="AH1301" i="4" s="1"/>
  <c r="AI1301" i="4" s="1"/>
  <c r="AF1300" i="4"/>
  <c r="AL1300" i="4"/>
  <c r="AK1293" i="4"/>
  <c r="AE1293" i="4"/>
  <c r="AH1293" i="4" s="1"/>
  <c r="AI1293" i="4" s="1"/>
  <c r="AF1292" i="4"/>
  <c r="AL1292" i="4"/>
  <c r="AK1285" i="4"/>
  <c r="AE1285" i="4"/>
  <c r="AH1285" i="4" s="1"/>
  <c r="AI1285" i="4" s="1"/>
  <c r="AF1284" i="4"/>
  <c r="AL1284" i="4"/>
  <c r="AK1277" i="4"/>
  <c r="AE1277" i="4"/>
  <c r="AH1277" i="4" s="1"/>
  <c r="AI1277" i="4" s="1"/>
  <c r="AF1276" i="4"/>
  <c r="AL1276" i="4"/>
  <c r="AK1269" i="4"/>
  <c r="AE1269" i="4"/>
  <c r="AH1269" i="4" s="1"/>
  <c r="AI1269" i="4" s="1"/>
  <c r="AH1268" i="4"/>
  <c r="AI1268" i="4" s="1"/>
  <c r="AH1259" i="4"/>
  <c r="AI1259" i="4" s="1"/>
  <c r="AH1249" i="4"/>
  <c r="AI1249" i="4" s="1"/>
  <c r="AK1237" i="4"/>
  <c r="AE1237" i="4"/>
  <c r="AH1237" i="4" s="1"/>
  <c r="AI1237" i="4" s="1"/>
  <c r="AH1236" i="4"/>
  <c r="AI1236" i="4" s="1"/>
  <c r="AH1227" i="4"/>
  <c r="AI1227" i="4" s="1"/>
  <c r="AH1217" i="4"/>
  <c r="AI1217" i="4" s="1"/>
  <c r="AF1340" i="4"/>
  <c r="AL1340" i="4"/>
  <c r="AE1324" i="4"/>
  <c r="AH1324" i="4" s="1"/>
  <c r="AI1324" i="4" s="1"/>
  <c r="AK1324" i="4"/>
  <c r="AH1316" i="4"/>
  <c r="AI1316" i="4" s="1"/>
  <c r="AH1308" i="4"/>
  <c r="AI1308" i="4" s="1"/>
  <c r="AH1300" i="4"/>
  <c r="AI1300" i="4" s="1"/>
  <c r="AH1292" i="4"/>
  <c r="AI1292" i="4" s="1"/>
  <c r="AH1284" i="4"/>
  <c r="AI1284" i="4" s="1"/>
  <c r="AH1276" i="4"/>
  <c r="AI1276" i="4" s="1"/>
  <c r="AM1255" i="4"/>
  <c r="AG1255" i="4"/>
  <c r="AH1247" i="4"/>
  <c r="AI1247" i="4" s="1"/>
  <c r="AL1246" i="4"/>
  <c r="AF1246" i="4"/>
  <c r="AH1246" i="4" s="1"/>
  <c r="AI1246" i="4" s="1"/>
  <c r="AH1230" i="4"/>
  <c r="AI1230" i="4" s="1"/>
  <c r="AM1223" i="4"/>
  <c r="AG1223" i="4"/>
  <c r="AH1215" i="4"/>
  <c r="AI1215" i="4" s="1"/>
  <c r="AL1214" i="4"/>
  <c r="AF1214" i="4"/>
  <c r="AH1214" i="4" s="1"/>
  <c r="AI1214" i="4" s="1"/>
  <c r="AK1198" i="4"/>
  <c r="AE1198" i="4"/>
  <c r="AH1198" i="4" s="1"/>
  <c r="AI1198" i="4" s="1"/>
  <c r="AL1186" i="4"/>
  <c r="AF1186" i="4"/>
  <c r="AL1342" i="4"/>
  <c r="AF1342" i="4"/>
  <c r="AH1342" i="4" s="1"/>
  <c r="AI1342" i="4" s="1"/>
  <c r="AK1333" i="4"/>
  <c r="AE1333" i="4"/>
  <c r="AH1333" i="4" s="1"/>
  <c r="AI1333" i="4" s="1"/>
  <c r="AK1245" i="4"/>
  <c r="AE1245" i="4"/>
  <c r="AH1245" i="4" s="1"/>
  <c r="AI1245" i="4" s="1"/>
  <c r="AK1213" i="4"/>
  <c r="AE1213" i="4"/>
  <c r="AH1213" i="4" s="1"/>
  <c r="AI1213" i="4" s="1"/>
  <c r="AM1335" i="4"/>
  <c r="AG1335" i="4"/>
  <c r="AH1335" i="4" s="1"/>
  <c r="AI1335" i="4" s="1"/>
  <c r="AH1334" i="4"/>
  <c r="AI1334" i="4" s="1"/>
  <c r="AM1327" i="4"/>
  <c r="AG1327" i="4"/>
  <c r="AH1327" i="4" s="1"/>
  <c r="AI1327" i="4" s="1"/>
  <c r="AH1322" i="4"/>
  <c r="AI1322" i="4" s="1"/>
  <c r="AH1318" i="4"/>
  <c r="AI1318" i="4" s="1"/>
  <c r="AH1314" i="4"/>
  <c r="AI1314" i="4" s="1"/>
  <c r="AH1302" i="4"/>
  <c r="AI1302" i="4" s="1"/>
  <c r="AH1286" i="4"/>
  <c r="AI1286" i="4" s="1"/>
  <c r="AH1270" i="4"/>
  <c r="AI1270" i="4" s="1"/>
  <c r="AM1263" i="4"/>
  <c r="AG1263" i="4"/>
  <c r="AH1263" i="4" s="1"/>
  <c r="AI1263" i="4" s="1"/>
  <c r="AH1255" i="4"/>
  <c r="AI1255" i="4" s="1"/>
  <c r="AL1254" i="4"/>
  <c r="AF1254" i="4"/>
  <c r="AH1254" i="4" s="1"/>
  <c r="AI1254" i="4" s="1"/>
  <c r="AH1248" i="4"/>
  <c r="AI1248" i="4" s="1"/>
  <c r="AH1238" i="4"/>
  <c r="AI1238" i="4" s="1"/>
  <c r="AM1231" i="4"/>
  <c r="AG1231" i="4"/>
  <c r="AH1231" i="4" s="1"/>
  <c r="AI1231" i="4" s="1"/>
  <c r="AH1223" i="4"/>
  <c r="AI1223" i="4" s="1"/>
  <c r="AL1222" i="4"/>
  <c r="AF1222" i="4"/>
  <c r="AH1222" i="4" s="1"/>
  <c r="AI1222" i="4" s="1"/>
  <c r="AH1216" i="4"/>
  <c r="AI1216" i="4" s="1"/>
  <c r="AF1192" i="4"/>
  <c r="AL1192" i="4"/>
  <c r="AF1177" i="4"/>
  <c r="AL1177" i="4"/>
  <c r="AM1345" i="4"/>
  <c r="AG1341" i="4"/>
  <c r="AM1341" i="4"/>
  <c r="AF1338" i="4"/>
  <c r="AH1338" i="4" s="1"/>
  <c r="AI1338" i="4" s="1"/>
  <c r="AK1332" i="4"/>
  <c r="AF1332" i="4"/>
  <c r="AH1332" i="4" s="1"/>
  <c r="AI1332" i="4" s="1"/>
  <c r="AL1332" i="4"/>
  <c r="AE1329" i="4"/>
  <c r="AH1329" i="4" s="1"/>
  <c r="AI1329" i="4" s="1"/>
  <c r="AG1326" i="4"/>
  <c r="AH1326" i="4" s="1"/>
  <c r="AI1326" i="4" s="1"/>
  <c r="AM1326" i="4"/>
  <c r="AE1323" i="4"/>
  <c r="AH1323" i="4" s="1"/>
  <c r="AI1323" i="4" s="1"/>
  <c r="AK1323" i="4"/>
  <c r="AE1315" i="4"/>
  <c r="AH1315" i="4" s="1"/>
  <c r="AI1315" i="4" s="1"/>
  <c r="AK1315" i="4"/>
  <c r="AE1307" i="4"/>
  <c r="AH1307" i="4" s="1"/>
  <c r="AI1307" i="4" s="1"/>
  <c r="AK1307" i="4"/>
  <c r="AE1299" i="4"/>
  <c r="AH1299" i="4" s="1"/>
  <c r="AI1299" i="4" s="1"/>
  <c r="AK1299" i="4"/>
  <c r="AE1291" i="4"/>
  <c r="AH1291" i="4" s="1"/>
  <c r="AI1291" i="4" s="1"/>
  <c r="AK1291" i="4"/>
  <c r="AE1283" i="4"/>
  <c r="AH1283" i="4" s="1"/>
  <c r="AI1283" i="4" s="1"/>
  <c r="AK1283" i="4"/>
  <c r="AE1275" i="4"/>
  <c r="AH1275" i="4" s="1"/>
  <c r="AI1275" i="4" s="1"/>
  <c r="AK1275" i="4"/>
  <c r="AH1265" i="4"/>
  <c r="AI1265" i="4" s="1"/>
  <c r="AK1253" i="4"/>
  <c r="AE1253" i="4"/>
  <c r="AH1253" i="4" s="1"/>
  <c r="AI1253" i="4" s="1"/>
  <c r="AH1252" i="4"/>
  <c r="AI1252" i="4" s="1"/>
  <c r="AH1243" i="4"/>
  <c r="AI1243" i="4" s="1"/>
  <c r="AH1233" i="4"/>
  <c r="AI1233" i="4" s="1"/>
  <c r="AK1221" i="4"/>
  <c r="AE1221" i="4"/>
  <c r="AH1221" i="4" s="1"/>
  <c r="AI1221" i="4" s="1"/>
  <c r="AH1220" i="4"/>
  <c r="AI1220" i="4" s="1"/>
  <c r="AH1211" i="4"/>
  <c r="AI1211" i="4" s="1"/>
  <c r="AG1178" i="4"/>
  <c r="AM1178" i="4"/>
  <c r="AM1269" i="4"/>
  <c r="AL1268" i="4"/>
  <c r="AK1267" i="4"/>
  <c r="AM1261" i="4"/>
  <c r="AL1260" i="4"/>
  <c r="AK1259" i="4"/>
  <c r="AM1253" i="4"/>
  <c r="AL1252" i="4"/>
  <c r="AK1251" i="4"/>
  <c r="AM1245" i="4"/>
  <c r="AL1244" i="4"/>
  <c r="AK1243" i="4"/>
  <c r="AM1237" i="4"/>
  <c r="AL1236" i="4"/>
  <c r="AK1235" i="4"/>
  <c r="AM1229" i="4"/>
  <c r="AL1228" i="4"/>
  <c r="AK1227" i="4"/>
  <c r="AM1221" i="4"/>
  <c r="AL1220" i="4"/>
  <c r="AK1219" i="4"/>
  <c r="AM1213" i="4"/>
  <c r="AL1212" i="4"/>
  <c r="AK1211" i="4"/>
  <c r="AH1190" i="4"/>
  <c r="AI1190" i="4" s="1"/>
  <c r="AH1188" i="4"/>
  <c r="AI1188" i="4" s="1"/>
  <c r="AE1184" i="4"/>
  <c r="AK1184" i="4"/>
  <c r="AH1174" i="4"/>
  <c r="AI1174" i="4" s="1"/>
  <c r="AH1172" i="4"/>
  <c r="AI1172" i="4" s="1"/>
  <c r="AH1156" i="4"/>
  <c r="AI1156" i="4" s="1"/>
  <c r="AH1140" i="4"/>
  <c r="AI1140" i="4" s="1"/>
  <c r="AH1124" i="4"/>
  <c r="AI1124" i="4" s="1"/>
  <c r="AM1318" i="4"/>
  <c r="AL1317" i="4"/>
  <c r="AK1316" i="4"/>
  <c r="AM1310" i="4"/>
  <c r="AL1309" i="4"/>
  <c r="AK1308" i="4"/>
  <c r="AM1302" i="4"/>
  <c r="AL1301" i="4"/>
  <c r="AK1300" i="4"/>
  <c r="AM1294" i="4"/>
  <c r="AL1293" i="4"/>
  <c r="AK1292" i="4"/>
  <c r="AM1286" i="4"/>
  <c r="AL1285" i="4"/>
  <c r="AK1284" i="4"/>
  <c r="AM1278" i="4"/>
  <c r="AL1277" i="4"/>
  <c r="AK1276" i="4"/>
  <c r="AM1270" i="4"/>
  <c r="AL1269" i="4"/>
  <c r="AK1268" i="4"/>
  <c r="AM1262" i="4"/>
  <c r="AL1261" i="4"/>
  <c r="AK1260" i="4"/>
  <c r="AM1254" i="4"/>
  <c r="AL1253" i="4"/>
  <c r="AK1252" i="4"/>
  <c r="AM1246" i="4"/>
  <c r="AL1245" i="4"/>
  <c r="AK1244" i="4"/>
  <c r="AM1238" i="4"/>
  <c r="AL1237" i="4"/>
  <c r="AK1236" i="4"/>
  <c r="AM1230" i="4"/>
  <c r="AL1229" i="4"/>
  <c r="AK1228" i="4"/>
  <c r="AM1222" i="4"/>
  <c r="AL1221" i="4"/>
  <c r="AK1220" i="4"/>
  <c r="AM1214" i="4"/>
  <c r="AL1213" i="4"/>
  <c r="AK1212" i="4"/>
  <c r="AM1206" i="4"/>
  <c r="AH1196" i="4"/>
  <c r="AI1196" i="4" s="1"/>
  <c r="AG1194" i="4"/>
  <c r="AH1194" i="4" s="1"/>
  <c r="AI1194" i="4" s="1"/>
  <c r="AM1194" i="4"/>
  <c r="AE1191" i="4"/>
  <c r="AH1191" i="4" s="1"/>
  <c r="AI1191" i="4" s="1"/>
  <c r="AK1191" i="4"/>
  <c r="AM1203" i="4"/>
  <c r="AK1201" i="4"/>
  <c r="AG1200" i="4"/>
  <c r="AH1200" i="4" s="1"/>
  <c r="AI1200" i="4" s="1"/>
  <c r="AE1199" i="4"/>
  <c r="AH1199" i="4" s="1"/>
  <c r="AI1199" i="4" s="1"/>
  <c r="AH1182" i="4"/>
  <c r="AI1182" i="4" s="1"/>
  <c r="AH1180" i="4"/>
  <c r="AI1180" i="4" s="1"/>
  <c r="AH1112" i="4"/>
  <c r="AI1112" i="4" s="1"/>
  <c r="AL1203" i="4"/>
  <c r="AF1193" i="4"/>
  <c r="AL1193" i="4"/>
  <c r="AE1183" i="4"/>
  <c r="AH1183" i="4" s="1"/>
  <c r="AI1183" i="4" s="1"/>
  <c r="AK1183" i="4"/>
  <c r="AK1193" i="4"/>
  <c r="AE1193" i="4"/>
  <c r="AM1187" i="4"/>
  <c r="AG1187" i="4"/>
  <c r="AH1187" i="4" s="1"/>
  <c r="AI1187" i="4" s="1"/>
  <c r="AG1186" i="4"/>
  <c r="AM1186" i="4"/>
  <c r="AG1185" i="4"/>
  <c r="AM1185" i="4"/>
  <c r="AM1204" i="4"/>
  <c r="AL1202" i="4"/>
  <c r="AE1192" i="4"/>
  <c r="AH1192" i="4" s="1"/>
  <c r="AI1192" i="4" s="1"/>
  <c r="AK1192" i="4"/>
  <c r="AH1186" i="4"/>
  <c r="AI1186" i="4" s="1"/>
  <c r="AK1185" i="4"/>
  <c r="AE1185" i="4"/>
  <c r="AH1109" i="4"/>
  <c r="AI1109" i="4" s="1"/>
  <c r="AH1205" i="4"/>
  <c r="AI1205" i="4" s="1"/>
  <c r="AF1184" i="4"/>
  <c r="AL1184" i="4"/>
  <c r="AE1176" i="4"/>
  <c r="AH1176" i="4" s="1"/>
  <c r="AI1176" i="4" s="1"/>
  <c r="AK1176" i="4"/>
  <c r="AH1128" i="4"/>
  <c r="AI1128" i="4" s="1"/>
  <c r="AG1179" i="4"/>
  <c r="AH1179" i="4" s="1"/>
  <c r="AI1179" i="4" s="1"/>
  <c r="AF1178" i="4"/>
  <c r="AM1177" i="4"/>
  <c r="AE1177" i="4"/>
  <c r="AL1176" i="4"/>
  <c r="AK1175" i="4"/>
  <c r="AG1171" i="4"/>
  <c r="AH1171" i="4" s="1"/>
  <c r="AI1171" i="4" s="1"/>
  <c r="AF1170" i="4"/>
  <c r="AH1170" i="4" s="1"/>
  <c r="AI1170" i="4" s="1"/>
  <c r="AM1169" i="4"/>
  <c r="AE1169" i="4"/>
  <c r="AH1169" i="4" s="1"/>
  <c r="AI1169" i="4" s="1"/>
  <c r="AL1168" i="4"/>
  <c r="AK1167" i="4"/>
  <c r="AG1163" i="4"/>
  <c r="AH1163" i="4" s="1"/>
  <c r="AI1163" i="4" s="1"/>
  <c r="AF1162" i="4"/>
  <c r="AH1162" i="4" s="1"/>
  <c r="AI1162" i="4" s="1"/>
  <c r="AM1161" i="4"/>
  <c r="AE1161" i="4"/>
  <c r="AH1161" i="4" s="1"/>
  <c r="AI1161" i="4" s="1"/>
  <c r="AL1160" i="4"/>
  <c r="AK1159" i="4"/>
  <c r="AG1155" i="4"/>
  <c r="AH1155" i="4" s="1"/>
  <c r="AI1155" i="4" s="1"/>
  <c r="AF1154" i="4"/>
  <c r="AH1154" i="4" s="1"/>
  <c r="AI1154" i="4" s="1"/>
  <c r="AM1153" i="4"/>
  <c r="AE1153" i="4"/>
  <c r="AH1153" i="4" s="1"/>
  <c r="AI1153" i="4" s="1"/>
  <c r="AL1152" i="4"/>
  <c r="AK1151" i="4"/>
  <c r="AG1147" i="4"/>
  <c r="AH1147" i="4" s="1"/>
  <c r="AI1147" i="4" s="1"/>
  <c r="AF1146" i="4"/>
  <c r="AH1146" i="4" s="1"/>
  <c r="AI1146" i="4" s="1"/>
  <c r="AM1145" i="4"/>
  <c r="AE1145" i="4"/>
  <c r="AH1145" i="4" s="1"/>
  <c r="AI1145" i="4" s="1"/>
  <c r="AL1144" i="4"/>
  <c r="AK1143" i="4"/>
  <c r="AG1139" i="4"/>
  <c r="AH1139" i="4" s="1"/>
  <c r="AI1139" i="4" s="1"/>
  <c r="AF1138" i="4"/>
  <c r="AH1138" i="4" s="1"/>
  <c r="AI1138" i="4" s="1"/>
  <c r="AM1137" i="4"/>
  <c r="AE1137" i="4"/>
  <c r="AH1137" i="4" s="1"/>
  <c r="AI1137" i="4" s="1"/>
  <c r="AL1136" i="4"/>
  <c r="AK1135" i="4"/>
  <c r="AG1131" i="4"/>
  <c r="AH1131" i="4" s="1"/>
  <c r="AI1131" i="4" s="1"/>
  <c r="AF1130" i="4"/>
  <c r="AH1130" i="4" s="1"/>
  <c r="AI1130" i="4" s="1"/>
  <c r="AM1129" i="4"/>
  <c r="AE1129" i="4"/>
  <c r="AH1129" i="4" s="1"/>
  <c r="AI1129" i="4" s="1"/>
  <c r="AL1128" i="4"/>
  <c r="AK1127" i="4"/>
  <c r="AG1123" i="4"/>
  <c r="AH1123" i="4" s="1"/>
  <c r="AI1123" i="4" s="1"/>
  <c r="AF1122" i="4"/>
  <c r="AH1122" i="4" s="1"/>
  <c r="AI1122" i="4" s="1"/>
  <c r="AM1121" i="4"/>
  <c r="AE1121" i="4"/>
  <c r="AH1121" i="4" s="1"/>
  <c r="AI1121" i="4" s="1"/>
  <c r="AL1120" i="4"/>
  <c r="AK1119" i="4"/>
  <c r="AG1115" i="4"/>
  <c r="AH1115" i="4" s="1"/>
  <c r="AI1115" i="4" s="1"/>
  <c r="AF1114" i="4"/>
  <c r="AH1114" i="4" s="1"/>
  <c r="AI1114" i="4" s="1"/>
  <c r="AM1113" i="4"/>
  <c r="AE1113" i="4"/>
  <c r="AH1113" i="4" s="1"/>
  <c r="AI1113" i="4" s="1"/>
  <c r="AL1112" i="4"/>
  <c r="AK1111" i="4"/>
  <c r="AF1108" i="4"/>
  <c r="AH1108" i="4" s="1"/>
  <c r="AI1108" i="4" s="1"/>
  <c r="AE1105" i="4"/>
  <c r="AH1105" i="4" s="1"/>
  <c r="AI1105" i="4" s="1"/>
  <c r="AE1101" i="4"/>
  <c r="AK1101" i="4"/>
  <c r="AM1083" i="4"/>
  <c r="AG1083" i="4"/>
  <c r="AL1074" i="4"/>
  <c r="AF1074" i="4"/>
  <c r="AG1063" i="4"/>
  <c r="AM1063" i="4"/>
  <c r="AK1041" i="4"/>
  <c r="AE1041" i="4"/>
  <c r="AH1041" i="4" s="1"/>
  <c r="AI1041" i="4" s="1"/>
  <c r="AE1037" i="4"/>
  <c r="AK1037" i="4"/>
  <c r="AM1035" i="4"/>
  <c r="AG1035" i="4"/>
  <c r="AH1024" i="4"/>
  <c r="AI1024" i="4" s="1"/>
  <c r="AF1022" i="4"/>
  <c r="AL1022" i="4"/>
  <c r="AH1015" i="4"/>
  <c r="AI1015" i="4" s="1"/>
  <c r="AH1008" i="4"/>
  <c r="AI1008" i="4" s="1"/>
  <c r="AH1001" i="4"/>
  <c r="AI1001" i="4" s="1"/>
  <c r="AK876" i="4"/>
  <c r="AE876" i="4"/>
  <c r="AL862" i="4"/>
  <c r="AF862" i="4"/>
  <c r="AM1170" i="4"/>
  <c r="AL1169" i="4"/>
  <c r="AK1168" i="4"/>
  <c r="AM1162" i="4"/>
  <c r="AL1161" i="4"/>
  <c r="AK1160" i="4"/>
  <c r="AM1154" i="4"/>
  <c r="AL1153" i="4"/>
  <c r="AK1152" i="4"/>
  <c r="AM1146" i="4"/>
  <c r="AL1145" i="4"/>
  <c r="AK1144" i="4"/>
  <c r="AM1138" i="4"/>
  <c r="AL1137" i="4"/>
  <c r="AK1136" i="4"/>
  <c r="AM1130" i="4"/>
  <c r="AL1129" i="4"/>
  <c r="AK1128" i="4"/>
  <c r="AM1122" i="4"/>
  <c r="AL1121" i="4"/>
  <c r="AK1120" i="4"/>
  <c r="AM1114" i="4"/>
  <c r="AL1113" i="4"/>
  <c r="AK1112" i="4"/>
  <c r="AL1100" i="4"/>
  <c r="AF1100" i="4"/>
  <c r="AH1096" i="4"/>
  <c r="AI1096" i="4" s="1"/>
  <c r="AF1094" i="4"/>
  <c r="AL1094" i="4"/>
  <c r="AM1093" i="4"/>
  <c r="AG1093" i="4"/>
  <c r="AG1087" i="4"/>
  <c r="AM1087" i="4"/>
  <c r="AK1081" i="4"/>
  <c r="AE1081" i="4"/>
  <c r="AH1081" i="4" s="1"/>
  <c r="AI1081" i="4" s="1"/>
  <c r="AE1077" i="4"/>
  <c r="AK1077" i="4"/>
  <c r="AL1066" i="4"/>
  <c r="AF1066" i="4"/>
  <c r="AH1066" i="4" s="1"/>
  <c r="AI1066" i="4" s="1"/>
  <c r="AG1055" i="4"/>
  <c r="AM1055" i="4"/>
  <c r="AK1033" i="4"/>
  <c r="AE1033" i="4"/>
  <c r="AH1033" i="4" s="1"/>
  <c r="AI1033" i="4" s="1"/>
  <c r="AE1029" i="4"/>
  <c r="AK1029" i="4"/>
  <c r="AM1027" i="4"/>
  <c r="AG1027" i="4"/>
  <c r="AM1011" i="4"/>
  <c r="AG1011" i="4"/>
  <c r="AG999" i="4"/>
  <c r="AM999" i="4"/>
  <c r="AM996" i="4"/>
  <c r="AG996" i="4"/>
  <c r="AE980" i="4"/>
  <c r="AH980" i="4" s="1"/>
  <c r="AI980" i="4" s="1"/>
  <c r="AK980" i="4"/>
  <c r="AM967" i="4"/>
  <c r="AG967" i="4"/>
  <c r="AM950" i="4"/>
  <c r="AG950" i="4"/>
  <c r="AK901" i="4"/>
  <c r="AE901" i="4"/>
  <c r="AM887" i="4"/>
  <c r="AG887" i="4"/>
  <c r="AH887" i="4" s="1"/>
  <c r="AI887" i="4" s="1"/>
  <c r="AL742" i="4"/>
  <c r="AF742" i="4"/>
  <c r="AK1107" i="4"/>
  <c r="AG1103" i="4"/>
  <c r="AM1103" i="4"/>
  <c r="AH1100" i="4"/>
  <c r="AI1100" i="4" s="1"/>
  <c r="AM1099" i="4"/>
  <c r="AG1099" i="4"/>
  <c r="AL1090" i="4"/>
  <c r="AF1090" i="4"/>
  <c r="AH1090" i="4" s="1"/>
  <c r="AI1090" i="4" s="1"/>
  <c r="AK1083" i="4"/>
  <c r="AE1083" i="4"/>
  <c r="AH1083" i="4" s="1"/>
  <c r="AI1083" i="4" s="1"/>
  <c r="AL1076" i="4"/>
  <c r="AF1076" i="4"/>
  <c r="AH1072" i="4"/>
  <c r="AI1072" i="4" s="1"/>
  <c r="AF1070" i="4"/>
  <c r="AH1070" i="4" s="1"/>
  <c r="AI1070" i="4" s="1"/>
  <c r="AL1070" i="4"/>
  <c r="AH1063" i="4"/>
  <c r="AI1063" i="4" s="1"/>
  <c r="AL1058" i="4"/>
  <c r="AF1058" i="4"/>
  <c r="AG1047" i="4"/>
  <c r="AM1047" i="4"/>
  <c r="AK1025" i="4"/>
  <c r="AE1025" i="4"/>
  <c r="AH1025" i="4" s="1"/>
  <c r="AI1025" i="4" s="1"/>
  <c r="AE1021" i="4"/>
  <c r="AK1021" i="4"/>
  <c r="AM1019" i="4"/>
  <c r="AG1019" i="4"/>
  <c r="AK1009" i="4"/>
  <c r="AE1009" i="4"/>
  <c r="AH1009" i="4" s="1"/>
  <c r="AI1009" i="4" s="1"/>
  <c r="AL1003" i="4"/>
  <c r="AF1003" i="4"/>
  <c r="AM817" i="4"/>
  <c r="AG817" i="4"/>
  <c r="AK1097" i="4"/>
  <c r="AE1097" i="4"/>
  <c r="AH1097" i="4" s="1"/>
  <c r="AI1097" i="4" s="1"/>
  <c r="AE1093" i="4"/>
  <c r="AK1093" i="4"/>
  <c r="AH1087" i="4"/>
  <c r="AI1087" i="4" s="1"/>
  <c r="AH1076" i="4"/>
  <c r="AI1076" i="4" s="1"/>
  <c r="AM1075" i="4"/>
  <c r="AG1075" i="4"/>
  <c r="AF1062" i="4"/>
  <c r="AL1062" i="4"/>
  <c r="AH1055" i="4"/>
  <c r="AI1055" i="4" s="1"/>
  <c r="AL1050" i="4"/>
  <c r="AF1050" i="4"/>
  <c r="AG1039" i="4"/>
  <c r="AH1039" i="4" s="1"/>
  <c r="AI1039" i="4" s="1"/>
  <c r="AM1039" i="4"/>
  <c r="AK1017" i="4"/>
  <c r="AE1017" i="4"/>
  <c r="AH1017" i="4" s="1"/>
  <c r="AI1017" i="4" s="1"/>
  <c r="AH999" i="4"/>
  <c r="AI999" i="4" s="1"/>
  <c r="AK987" i="4"/>
  <c r="AE987" i="4"/>
  <c r="AH987" i="4" s="1"/>
  <c r="AI987" i="4" s="1"/>
  <c r="AL978" i="4"/>
  <c r="AF978" i="4"/>
  <c r="AH978" i="4" s="1"/>
  <c r="AI978" i="4" s="1"/>
  <c r="AM893" i="4"/>
  <c r="AG893" i="4"/>
  <c r="AK792" i="4"/>
  <c r="AE792" i="4"/>
  <c r="AL778" i="4"/>
  <c r="AF778" i="4"/>
  <c r="AH778" i="4" s="1"/>
  <c r="AI778" i="4" s="1"/>
  <c r="AK1099" i="4"/>
  <c r="AE1099" i="4"/>
  <c r="AH1099" i="4" s="1"/>
  <c r="AI1099" i="4" s="1"/>
  <c r="AL1092" i="4"/>
  <c r="AF1092" i="4"/>
  <c r="AF1086" i="4"/>
  <c r="AH1086" i="4" s="1"/>
  <c r="AI1086" i="4" s="1"/>
  <c r="AL1086" i="4"/>
  <c r="AM1085" i="4"/>
  <c r="AG1085" i="4"/>
  <c r="AG1079" i="4"/>
  <c r="AM1079" i="4"/>
  <c r="AH1074" i="4"/>
  <c r="AI1074" i="4" s="1"/>
  <c r="AK1073" i="4"/>
  <c r="AE1073" i="4"/>
  <c r="AH1073" i="4" s="1"/>
  <c r="AI1073" i="4" s="1"/>
  <c r="AE1069" i="4"/>
  <c r="AK1069" i="4"/>
  <c r="AM1067" i="4"/>
  <c r="AG1067" i="4"/>
  <c r="AF1054" i="4"/>
  <c r="AH1054" i="4" s="1"/>
  <c r="AI1054" i="4" s="1"/>
  <c r="AL1054" i="4"/>
  <c r="AH1047" i="4"/>
  <c r="AI1047" i="4" s="1"/>
  <c r="AL1042" i="4"/>
  <c r="AF1042" i="4"/>
  <c r="AH1042" i="4" s="1"/>
  <c r="AI1042" i="4" s="1"/>
  <c r="AG1031" i="4"/>
  <c r="AM1031" i="4"/>
  <c r="AH1022" i="4"/>
  <c r="AI1022" i="4" s="1"/>
  <c r="AM971" i="4"/>
  <c r="AG971" i="4"/>
  <c r="AM943" i="4"/>
  <c r="AG943" i="4"/>
  <c r="AK869" i="4"/>
  <c r="AE869" i="4"/>
  <c r="AM855" i="4"/>
  <c r="AG855" i="4"/>
  <c r="AK793" i="4"/>
  <c r="AE793" i="4"/>
  <c r="AM1102" i="4"/>
  <c r="AF1102" i="4"/>
  <c r="AH1102" i="4" s="1"/>
  <c r="AI1102" i="4" s="1"/>
  <c r="AL1102" i="4"/>
  <c r="AH1094" i="4"/>
  <c r="AI1094" i="4" s="1"/>
  <c r="AH1092" i="4"/>
  <c r="AI1092" i="4" s="1"/>
  <c r="AM1091" i="4"/>
  <c r="AG1091" i="4"/>
  <c r="AL1082" i="4"/>
  <c r="AF1082" i="4"/>
  <c r="AH1082" i="4" s="1"/>
  <c r="AI1082" i="4" s="1"/>
  <c r="AK1075" i="4"/>
  <c r="AE1075" i="4"/>
  <c r="AH1075" i="4" s="1"/>
  <c r="AI1075" i="4" s="1"/>
  <c r="AK1065" i="4"/>
  <c r="AE1065" i="4"/>
  <c r="AH1065" i="4" s="1"/>
  <c r="AI1065" i="4" s="1"/>
  <c r="AE1061" i="4"/>
  <c r="AK1061" i="4"/>
  <c r="AM1059" i="4"/>
  <c r="AG1059" i="4"/>
  <c r="AH1048" i="4"/>
  <c r="AI1048" i="4" s="1"/>
  <c r="AF1046" i="4"/>
  <c r="AH1046" i="4" s="1"/>
  <c r="AI1046" i="4" s="1"/>
  <c r="AL1046" i="4"/>
  <c r="AL1034" i="4"/>
  <c r="AF1034" i="4"/>
  <c r="AH1034" i="4" s="1"/>
  <c r="AI1034" i="4" s="1"/>
  <c r="AG1023" i="4"/>
  <c r="AH1023" i="4" s="1"/>
  <c r="AI1023" i="4" s="1"/>
  <c r="AM1023" i="4"/>
  <c r="AK995" i="4"/>
  <c r="AE995" i="4"/>
  <c r="AH995" i="4" s="1"/>
  <c r="AI995" i="4" s="1"/>
  <c r="AL957" i="4"/>
  <c r="AF957" i="4"/>
  <c r="AK923" i="4"/>
  <c r="AE923" i="4"/>
  <c r="AH923" i="4" s="1"/>
  <c r="AI923" i="4" s="1"/>
  <c r="AK908" i="4"/>
  <c r="AE908" i="4"/>
  <c r="AL894" i="4"/>
  <c r="AF894" i="4"/>
  <c r="AH1103" i="4"/>
  <c r="AI1103" i="4" s="1"/>
  <c r="AM1101" i="4"/>
  <c r="AG1101" i="4"/>
  <c r="AG1095" i="4"/>
  <c r="AH1095" i="4" s="1"/>
  <c r="AI1095" i="4" s="1"/>
  <c r="AM1095" i="4"/>
  <c r="AK1089" i="4"/>
  <c r="AE1089" i="4"/>
  <c r="AH1089" i="4" s="1"/>
  <c r="AI1089" i="4" s="1"/>
  <c r="AE1085" i="4"/>
  <c r="AH1085" i="4" s="1"/>
  <c r="AI1085" i="4" s="1"/>
  <c r="AK1085" i="4"/>
  <c r="AH1079" i="4"/>
  <c r="AI1079" i="4" s="1"/>
  <c r="AH1058" i="4"/>
  <c r="AI1058" i="4" s="1"/>
  <c r="AK1057" i="4"/>
  <c r="AE1057" i="4"/>
  <c r="AH1057" i="4" s="1"/>
  <c r="AI1057" i="4" s="1"/>
  <c r="AE1053" i="4"/>
  <c r="AK1053" i="4"/>
  <c r="AM1051" i="4"/>
  <c r="AG1051" i="4"/>
  <c r="AF1038" i="4"/>
  <c r="AH1038" i="4" s="1"/>
  <c r="AI1038" i="4" s="1"/>
  <c r="AL1038" i="4"/>
  <c r="AH1031" i="4"/>
  <c r="AI1031" i="4" s="1"/>
  <c r="AL1026" i="4"/>
  <c r="AF1026" i="4"/>
  <c r="AH1026" i="4" s="1"/>
  <c r="AI1026" i="4" s="1"/>
  <c r="AL1010" i="4"/>
  <c r="AF1010" i="4"/>
  <c r="AH1010" i="4" s="1"/>
  <c r="AI1010" i="4" s="1"/>
  <c r="AH1003" i="4"/>
  <c r="AI1003" i="4" s="1"/>
  <c r="AG982" i="4"/>
  <c r="AH982" i="4" s="1"/>
  <c r="AI982" i="4" s="1"/>
  <c r="AM982" i="4"/>
  <c r="AE972" i="4"/>
  <c r="AH972" i="4" s="1"/>
  <c r="AI972" i="4" s="1"/>
  <c r="AK972" i="4"/>
  <c r="AM861" i="4"/>
  <c r="AG861" i="4"/>
  <c r="AL831" i="4"/>
  <c r="AF831" i="4"/>
  <c r="AL1098" i="4"/>
  <c r="AF1098" i="4"/>
  <c r="AH1098" i="4" s="1"/>
  <c r="AI1098" i="4" s="1"/>
  <c r="AK1091" i="4"/>
  <c r="AE1091" i="4"/>
  <c r="AH1091" i="4" s="1"/>
  <c r="AI1091" i="4" s="1"/>
  <c r="AL1084" i="4"/>
  <c r="AF1084" i="4"/>
  <c r="AH1084" i="4" s="1"/>
  <c r="AI1084" i="4" s="1"/>
  <c r="AH1080" i="4"/>
  <c r="AI1080" i="4" s="1"/>
  <c r="AF1078" i="4"/>
  <c r="AH1078" i="4" s="1"/>
  <c r="AI1078" i="4" s="1"/>
  <c r="AL1078" i="4"/>
  <c r="AM1077" i="4"/>
  <c r="AG1077" i="4"/>
  <c r="AG1071" i="4"/>
  <c r="AH1071" i="4" s="1"/>
  <c r="AI1071" i="4" s="1"/>
  <c r="AM1071" i="4"/>
  <c r="AH1062" i="4"/>
  <c r="AI1062" i="4" s="1"/>
  <c r="AH1050" i="4"/>
  <c r="AI1050" i="4" s="1"/>
  <c r="AK1049" i="4"/>
  <c r="AE1049" i="4"/>
  <c r="AH1049" i="4" s="1"/>
  <c r="AI1049" i="4" s="1"/>
  <c r="AE1045" i="4"/>
  <c r="AK1045" i="4"/>
  <c r="AM1043" i="4"/>
  <c r="AG1043" i="4"/>
  <c r="AH1032" i="4"/>
  <c r="AI1032" i="4" s="1"/>
  <c r="AF1030" i="4"/>
  <c r="AH1030" i="4" s="1"/>
  <c r="AI1030" i="4" s="1"/>
  <c r="AL1030" i="4"/>
  <c r="AL1018" i="4"/>
  <c r="AF1018" i="4"/>
  <c r="AH1018" i="4" s="1"/>
  <c r="AI1018" i="4" s="1"/>
  <c r="AH1007" i="4"/>
  <c r="AI1007" i="4" s="1"/>
  <c r="AK1002" i="4"/>
  <c r="AE1002" i="4"/>
  <c r="AH1002" i="4" s="1"/>
  <c r="AI1002" i="4" s="1"/>
  <c r="AM974" i="4"/>
  <c r="AL958" i="4"/>
  <c r="AF958" i="4"/>
  <c r="AM949" i="4"/>
  <c r="AG949" i="4"/>
  <c r="AL900" i="4"/>
  <c r="AF900" i="4"/>
  <c r="AM801" i="4"/>
  <c r="AG801" i="4"/>
  <c r="AM1015" i="4"/>
  <c r="AL1014" i="4"/>
  <c r="AK1013" i="4"/>
  <c r="AM1007" i="4"/>
  <c r="AL1006" i="4"/>
  <c r="AK1005" i="4"/>
  <c r="AL1000" i="4"/>
  <c r="AL997" i="4"/>
  <c r="AM993" i="4"/>
  <c r="AM990" i="4"/>
  <c r="AK988" i="4"/>
  <c r="AH983" i="4"/>
  <c r="AI983" i="4" s="1"/>
  <c r="AK982" i="4"/>
  <c r="AK974" i="4"/>
  <c r="AL974" i="4"/>
  <c r="AF974" i="4"/>
  <c r="AH974" i="4" s="1"/>
  <c r="AI974" i="4" s="1"/>
  <c r="AH970" i="4"/>
  <c r="AI970" i="4" s="1"/>
  <c r="AK963" i="4"/>
  <c r="AE963" i="4"/>
  <c r="AH963" i="4" s="1"/>
  <c r="AI963" i="4" s="1"/>
  <c r="AK957" i="4"/>
  <c r="AE957" i="4"/>
  <c r="AL956" i="4"/>
  <c r="AF956" i="4"/>
  <c r="AL950" i="4"/>
  <c r="AF950" i="4"/>
  <c r="AL949" i="4"/>
  <c r="AF949" i="4"/>
  <c r="AM942" i="4"/>
  <c r="AG942" i="4"/>
  <c r="AM941" i="4"/>
  <c r="AG941" i="4"/>
  <c r="AM935" i="4"/>
  <c r="AG935" i="4"/>
  <c r="AH929" i="4"/>
  <c r="AI929" i="4" s="1"/>
  <c r="AK915" i="4"/>
  <c r="AE915" i="4"/>
  <c r="AH915" i="4" s="1"/>
  <c r="AI915" i="4" s="1"/>
  <c r="AK900" i="4"/>
  <c r="AE900" i="4"/>
  <c r="AH900" i="4" s="1"/>
  <c r="AI900" i="4" s="1"/>
  <c r="AH898" i="4"/>
  <c r="AI898" i="4" s="1"/>
  <c r="AL893" i="4"/>
  <c r="AF893" i="4"/>
  <c r="AH889" i="4"/>
  <c r="AI889" i="4" s="1"/>
  <c r="AM886" i="4"/>
  <c r="AG886" i="4"/>
  <c r="AK883" i="4"/>
  <c r="AE883" i="4"/>
  <c r="AH883" i="4" s="1"/>
  <c r="AI883" i="4" s="1"/>
  <c r="AL868" i="4"/>
  <c r="AF868" i="4"/>
  <c r="AL861" i="4"/>
  <c r="AF861" i="4"/>
  <c r="AH857" i="4"/>
  <c r="AI857" i="4" s="1"/>
  <c r="AM854" i="4"/>
  <c r="AG854" i="4"/>
  <c r="AH854" i="4" s="1"/>
  <c r="AI854" i="4" s="1"/>
  <c r="AK851" i="4"/>
  <c r="AE851" i="4"/>
  <c r="AH851" i="4" s="1"/>
  <c r="AI851" i="4" s="1"/>
  <c r="AK845" i="4"/>
  <c r="AE845" i="4"/>
  <c r="AH845" i="4" s="1"/>
  <c r="AI845" i="4" s="1"/>
  <c r="AH844" i="4"/>
  <c r="AI844" i="4" s="1"/>
  <c r="AK831" i="4"/>
  <c r="AE831" i="4"/>
  <c r="AM818" i="4"/>
  <c r="AG818" i="4"/>
  <c r="AM809" i="4"/>
  <c r="AG809" i="4"/>
  <c r="AL801" i="4"/>
  <c r="AF801" i="4"/>
  <c r="AL769" i="4"/>
  <c r="AF769" i="4"/>
  <c r="AL420" i="4"/>
  <c r="AF420" i="4"/>
  <c r="AM1001" i="4"/>
  <c r="AK997" i="4"/>
  <c r="AK985" i="4"/>
  <c r="AK971" i="4"/>
  <c r="AE971" i="4"/>
  <c r="AH971" i="4" s="1"/>
  <c r="AI971" i="4" s="1"/>
  <c r="AH968" i="4"/>
  <c r="AI968" i="4" s="1"/>
  <c r="AK956" i="4"/>
  <c r="AE956" i="4"/>
  <c r="AH954" i="4"/>
  <c r="AI954" i="4" s="1"/>
  <c r="AK949" i="4"/>
  <c r="AE949" i="4"/>
  <c r="AH949" i="4" s="1"/>
  <c r="AI949" i="4" s="1"/>
  <c r="AL948" i="4"/>
  <c r="AF948" i="4"/>
  <c r="AL942" i="4"/>
  <c r="AF942" i="4"/>
  <c r="AH942" i="4" s="1"/>
  <c r="AI942" i="4" s="1"/>
  <c r="AL941" i="4"/>
  <c r="AF941" i="4"/>
  <c r="AM934" i="4"/>
  <c r="AG934" i="4"/>
  <c r="AM933" i="4"/>
  <c r="AG933" i="4"/>
  <c r="AM927" i="4"/>
  <c r="AG927" i="4"/>
  <c r="AK907" i="4"/>
  <c r="AE907" i="4"/>
  <c r="AH907" i="4" s="1"/>
  <c r="AI907" i="4" s="1"/>
  <c r="AK893" i="4"/>
  <c r="AE893" i="4"/>
  <c r="AH893" i="4" s="1"/>
  <c r="AI893" i="4" s="1"/>
  <c r="AL886" i="4"/>
  <c r="AF886" i="4"/>
  <c r="AM885" i="4"/>
  <c r="AG885" i="4"/>
  <c r="AM879" i="4"/>
  <c r="AG879" i="4"/>
  <c r="AH874" i="4"/>
  <c r="AI874" i="4" s="1"/>
  <c r="AK868" i="4"/>
  <c r="AE868" i="4"/>
  <c r="AH868" i="4" s="1"/>
  <c r="AI868" i="4" s="1"/>
  <c r="AK861" i="4"/>
  <c r="AE861" i="4"/>
  <c r="AH861" i="4" s="1"/>
  <c r="AI861" i="4" s="1"/>
  <c r="AH855" i="4"/>
  <c r="AI855" i="4" s="1"/>
  <c r="AL854" i="4"/>
  <c r="AF854" i="4"/>
  <c r="AM853" i="4"/>
  <c r="AG853" i="4"/>
  <c r="AM847" i="4"/>
  <c r="AG847" i="4"/>
  <c r="AL823" i="4"/>
  <c r="AF823" i="4"/>
  <c r="AM810" i="4"/>
  <c r="AG810" i="4"/>
  <c r="AL809" i="4"/>
  <c r="AF809" i="4"/>
  <c r="AH809" i="4" s="1"/>
  <c r="AI809" i="4" s="1"/>
  <c r="AH801" i="4"/>
  <c r="AI801" i="4" s="1"/>
  <c r="AL784" i="4"/>
  <c r="AF784" i="4"/>
  <c r="AH782" i="4"/>
  <c r="AI782" i="4" s="1"/>
  <c r="AM771" i="4"/>
  <c r="AG771" i="4"/>
  <c r="AM770" i="4"/>
  <c r="AG770" i="4"/>
  <c r="AM637" i="4"/>
  <c r="AG637" i="4"/>
  <c r="AH991" i="4"/>
  <c r="AI991" i="4" s="1"/>
  <c r="AK990" i="4"/>
  <c r="AM983" i="4"/>
  <c r="AM966" i="4"/>
  <c r="AL966" i="4"/>
  <c r="AF966" i="4"/>
  <c r="AM965" i="4"/>
  <c r="AG965" i="4"/>
  <c r="AK948" i="4"/>
  <c r="AE948" i="4"/>
  <c r="AH946" i="4"/>
  <c r="AI946" i="4" s="1"/>
  <c r="AK941" i="4"/>
  <c r="AE941" i="4"/>
  <c r="AH941" i="4" s="1"/>
  <c r="AI941" i="4" s="1"/>
  <c r="AL940" i="4"/>
  <c r="AF940" i="4"/>
  <c r="AL934" i="4"/>
  <c r="AF934" i="4"/>
  <c r="AH934" i="4" s="1"/>
  <c r="AI934" i="4" s="1"/>
  <c r="AL933" i="4"/>
  <c r="AF933" i="4"/>
  <c r="AM926" i="4"/>
  <c r="AG926" i="4"/>
  <c r="AM925" i="4"/>
  <c r="AG925" i="4"/>
  <c r="AM919" i="4"/>
  <c r="AG919" i="4"/>
  <c r="AH919" i="4" s="1"/>
  <c r="AI919" i="4" s="1"/>
  <c r="AH913" i="4"/>
  <c r="AI913" i="4" s="1"/>
  <c r="AK899" i="4"/>
  <c r="AE899" i="4"/>
  <c r="AH899" i="4" s="1"/>
  <c r="AI899" i="4" s="1"/>
  <c r="AL892" i="4"/>
  <c r="AF892" i="4"/>
  <c r="AL885" i="4"/>
  <c r="AF885" i="4"/>
  <c r="AH881" i="4"/>
  <c r="AI881" i="4" s="1"/>
  <c r="AM878" i="4"/>
  <c r="AG878" i="4"/>
  <c r="AK875" i="4"/>
  <c r="AE875" i="4"/>
  <c r="AH875" i="4" s="1"/>
  <c r="AI875" i="4" s="1"/>
  <c r="AL860" i="4"/>
  <c r="AF860" i="4"/>
  <c r="AL853" i="4"/>
  <c r="AF853" i="4"/>
  <c r="AM846" i="4"/>
  <c r="AG846" i="4"/>
  <c r="AK823" i="4"/>
  <c r="AE823" i="4"/>
  <c r="AH823" i="4" s="1"/>
  <c r="AI823" i="4" s="1"/>
  <c r="AL785" i="4"/>
  <c r="AF785" i="4"/>
  <c r="AK784" i="4"/>
  <c r="AE784" i="4"/>
  <c r="AH784" i="4" s="1"/>
  <c r="AI784" i="4" s="1"/>
  <c r="AL770" i="4"/>
  <c r="AF770" i="4"/>
  <c r="AH770" i="4" s="1"/>
  <c r="AI770" i="4" s="1"/>
  <c r="AM757" i="4"/>
  <c r="AG757" i="4"/>
  <c r="AM723" i="4"/>
  <c r="AG723" i="4"/>
  <c r="AK651" i="4"/>
  <c r="AE651" i="4"/>
  <c r="AK981" i="4"/>
  <c r="AE981" i="4"/>
  <c r="AK973" i="4"/>
  <c r="AE973" i="4"/>
  <c r="AK955" i="4"/>
  <c r="AE955" i="4"/>
  <c r="AH955" i="4" s="1"/>
  <c r="AI955" i="4" s="1"/>
  <c r="AK940" i="4"/>
  <c r="AE940" i="4"/>
  <c r="AK933" i="4"/>
  <c r="AE933" i="4"/>
  <c r="AL932" i="4"/>
  <c r="AF932" i="4"/>
  <c r="AL926" i="4"/>
  <c r="AF926" i="4"/>
  <c r="AL925" i="4"/>
  <c r="AF925" i="4"/>
  <c r="AM918" i="4"/>
  <c r="AG918" i="4"/>
  <c r="AM917" i="4"/>
  <c r="AG917" i="4"/>
  <c r="AM911" i="4"/>
  <c r="AG911" i="4"/>
  <c r="AH911" i="4" s="1"/>
  <c r="AI911" i="4" s="1"/>
  <c r="AK892" i="4"/>
  <c r="AE892" i="4"/>
  <c r="AH892" i="4" s="1"/>
  <c r="AI892" i="4" s="1"/>
  <c r="AH888" i="4"/>
  <c r="AI888" i="4" s="1"/>
  <c r="AK885" i="4"/>
  <c r="AE885" i="4"/>
  <c r="AH885" i="4" s="1"/>
  <c r="AI885" i="4" s="1"/>
  <c r="AH879" i="4"/>
  <c r="AI879" i="4" s="1"/>
  <c r="AL878" i="4"/>
  <c r="AF878" i="4"/>
  <c r="AM877" i="4"/>
  <c r="AG877" i="4"/>
  <c r="AM871" i="4"/>
  <c r="AG871" i="4"/>
  <c r="AK860" i="4"/>
  <c r="AE860" i="4"/>
  <c r="AH856" i="4"/>
  <c r="AI856" i="4" s="1"/>
  <c r="AK853" i="4"/>
  <c r="AE853" i="4"/>
  <c r="AH853" i="4" s="1"/>
  <c r="AI853" i="4" s="1"/>
  <c r="AH847" i="4"/>
  <c r="AI847" i="4" s="1"/>
  <c r="AL846" i="4"/>
  <c r="AF846" i="4"/>
  <c r="AH838" i="4"/>
  <c r="AI838" i="4" s="1"/>
  <c r="AK815" i="4"/>
  <c r="AE815" i="4"/>
  <c r="AH815" i="4" s="1"/>
  <c r="AI815" i="4" s="1"/>
  <c r="AK798" i="4"/>
  <c r="AE798" i="4"/>
  <c r="AH798" i="4" s="1"/>
  <c r="AI798" i="4" s="1"/>
  <c r="AK785" i="4"/>
  <c r="AE785" i="4"/>
  <c r="AF757" i="4"/>
  <c r="AL757" i="4"/>
  <c r="AG737" i="4"/>
  <c r="AM737" i="4"/>
  <c r="AK699" i="4"/>
  <c r="AE699" i="4"/>
  <c r="AG1069" i="4"/>
  <c r="AF1068" i="4"/>
  <c r="AH1068" i="4" s="1"/>
  <c r="AI1068" i="4" s="1"/>
  <c r="AE1067" i="4"/>
  <c r="AH1067" i="4" s="1"/>
  <c r="AI1067" i="4" s="1"/>
  <c r="AG1061" i="4"/>
  <c r="AF1060" i="4"/>
  <c r="AH1060" i="4" s="1"/>
  <c r="AI1060" i="4" s="1"/>
  <c r="AE1059" i="4"/>
  <c r="AH1059" i="4" s="1"/>
  <c r="AI1059" i="4" s="1"/>
  <c r="AG1053" i="4"/>
  <c r="AF1052" i="4"/>
  <c r="AH1052" i="4" s="1"/>
  <c r="AI1052" i="4" s="1"/>
  <c r="AE1051" i="4"/>
  <c r="AG1045" i="4"/>
  <c r="AF1044" i="4"/>
  <c r="AH1044" i="4" s="1"/>
  <c r="AI1044" i="4" s="1"/>
  <c r="AE1043" i="4"/>
  <c r="AH1043" i="4" s="1"/>
  <c r="AI1043" i="4" s="1"/>
  <c r="AG1037" i="4"/>
  <c r="AF1036" i="4"/>
  <c r="AH1036" i="4" s="1"/>
  <c r="AI1036" i="4" s="1"/>
  <c r="AE1035" i="4"/>
  <c r="AH1035" i="4" s="1"/>
  <c r="AI1035" i="4" s="1"/>
  <c r="AG1029" i="4"/>
  <c r="AF1028" i="4"/>
  <c r="AH1028" i="4" s="1"/>
  <c r="AI1028" i="4" s="1"/>
  <c r="AE1027" i="4"/>
  <c r="AH1027" i="4" s="1"/>
  <c r="AI1027" i="4" s="1"/>
  <c r="AG1021" i="4"/>
  <c r="AF1020" i="4"/>
  <c r="AH1020" i="4" s="1"/>
  <c r="AI1020" i="4" s="1"/>
  <c r="AE1019" i="4"/>
  <c r="AG1013" i="4"/>
  <c r="AH1013" i="4" s="1"/>
  <c r="AI1013" i="4" s="1"/>
  <c r="AF1012" i="4"/>
  <c r="AH1012" i="4" s="1"/>
  <c r="AI1012" i="4" s="1"/>
  <c r="AE1011" i="4"/>
  <c r="AH1011" i="4" s="1"/>
  <c r="AI1011" i="4" s="1"/>
  <c r="AG1005" i="4"/>
  <c r="AH1005" i="4" s="1"/>
  <c r="AI1005" i="4" s="1"/>
  <c r="AF1004" i="4"/>
  <c r="AH1004" i="4" s="1"/>
  <c r="AI1004" i="4" s="1"/>
  <c r="AE996" i="4"/>
  <c r="AM975" i="4"/>
  <c r="AG975" i="4"/>
  <c r="AH975" i="4" s="1"/>
  <c r="AI975" i="4" s="1"/>
  <c r="AH967" i="4"/>
  <c r="AI967" i="4" s="1"/>
  <c r="AL965" i="4"/>
  <c r="AK965" i="4"/>
  <c r="AE965" i="4"/>
  <c r="AH965" i="4" s="1"/>
  <c r="AI965" i="4" s="1"/>
  <c r="AH950" i="4"/>
  <c r="AI950" i="4" s="1"/>
  <c r="AK947" i="4"/>
  <c r="AE947" i="4"/>
  <c r="AH947" i="4" s="1"/>
  <c r="AI947" i="4" s="1"/>
  <c r="AH943" i="4"/>
  <c r="AI943" i="4" s="1"/>
  <c r="AK932" i="4"/>
  <c r="AE932" i="4"/>
  <c r="AH932" i="4" s="1"/>
  <c r="AI932" i="4" s="1"/>
  <c r="AH930" i="4"/>
  <c r="AI930" i="4" s="1"/>
  <c r="AK925" i="4"/>
  <c r="AE925" i="4"/>
  <c r="AH925" i="4" s="1"/>
  <c r="AI925" i="4" s="1"/>
  <c r="AL924" i="4"/>
  <c r="AF924" i="4"/>
  <c r="AL918" i="4"/>
  <c r="AF918" i="4"/>
  <c r="AH918" i="4" s="1"/>
  <c r="AI918" i="4" s="1"/>
  <c r="AL917" i="4"/>
  <c r="AF917" i="4"/>
  <c r="AM910" i="4"/>
  <c r="AG910" i="4"/>
  <c r="AM909" i="4"/>
  <c r="AG909" i="4"/>
  <c r="AM903" i="4"/>
  <c r="AG903" i="4"/>
  <c r="AH903" i="4" s="1"/>
  <c r="AI903" i="4" s="1"/>
  <c r="AH897" i="4"/>
  <c r="AI897" i="4" s="1"/>
  <c r="AL884" i="4"/>
  <c r="AF884" i="4"/>
  <c r="AL877" i="4"/>
  <c r="AF877" i="4"/>
  <c r="AH873" i="4"/>
  <c r="AI873" i="4" s="1"/>
  <c r="AM870" i="4"/>
  <c r="AG870" i="4"/>
  <c r="AK867" i="4"/>
  <c r="AE867" i="4"/>
  <c r="AH867" i="4" s="1"/>
  <c r="AI867" i="4" s="1"/>
  <c r="AL852" i="4"/>
  <c r="AF852" i="4"/>
  <c r="AL839" i="4"/>
  <c r="AF839" i="4"/>
  <c r="AH805" i="4"/>
  <c r="AI805" i="4" s="1"/>
  <c r="AL786" i="4"/>
  <c r="AF786" i="4"/>
  <c r="AM777" i="4"/>
  <c r="AG777" i="4"/>
  <c r="AL776" i="4"/>
  <c r="AF776" i="4"/>
  <c r="AM762" i="4"/>
  <c r="AG762" i="4"/>
  <c r="AM753" i="4"/>
  <c r="AG997" i="4"/>
  <c r="AH997" i="4" s="1"/>
  <c r="AI997" i="4" s="1"/>
  <c r="AH992" i="4"/>
  <c r="AI992" i="4" s="1"/>
  <c r="AK989" i="4"/>
  <c r="AF988" i="4"/>
  <c r="AH988" i="4" s="1"/>
  <c r="AI988" i="4" s="1"/>
  <c r="AH976" i="4"/>
  <c r="AI976" i="4" s="1"/>
  <c r="AE969" i="4"/>
  <c r="AH969" i="4" s="1"/>
  <c r="AI969" i="4" s="1"/>
  <c r="AL964" i="4"/>
  <c r="AF964" i="4"/>
  <c r="AH964" i="4" s="1"/>
  <c r="AI964" i="4" s="1"/>
  <c r="AM959" i="4"/>
  <c r="AG959" i="4"/>
  <c r="AH959" i="4" s="1"/>
  <c r="AI959" i="4" s="1"/>
  <c r="AK939" i="4"/>
  <c r="AE939" i="4"/>
  <c r="AH939" i="4" s="1"/>
  <c r="AI939" i="4" s="1"/>
  <c r="AH935" i="4"/>
  <c r="AI935" i="4" s="1"/>
  <c r="AK924" i="4"/>
  <c r="AE924" i="4"/>
  <c r="AH924" i="4" s="1"/>
  <c r="AI924" i="4" s="1"/>
  <c r="AH922" i="4"/>
  <c r="AI922" i="4" s="1"/>
  <c r="AK917" i="4"/>
  <c r="AE917" i="4"/>
  <c r="AL916" i="4"/>
  <c r="AF916" i="4"/>
  <c r="AL910" i="4"/>
  <c r="AF910" i="4"/>
  <c r="AL909" i="4"/>
  <c r="AF909" i="4"/>
  <c r="AM902" i="4"/>
  <c r="AG902" i="4"/>
  <c r="AM901" i="4"/>
  <c r="AG901" i="4"/>
  <c r="AM895" i="4"/>
  <c r="AG895" i="4"/>
  <c r="AH895" i="4" s="1"/>
  <c r="AI895" i="4" s="1"/>
  <c r="AH890" i="4"/>
  <c r="AI890" i="4" s="1"/>
  <c r="AH886" i="4"/>
  <c r="AI886" i="4" s="1"/>
  <c r="AK884" i="4"/>
  <c r="AE884" i="4"/>
  <c r="AH884" i="4" s="1"/>
  <c r="AI884" i="4" s="1"/>
  <c r="AH880" i="4"/>
  <c r="AI880" i="4" s="1"/>
  <c r="AK877" i="4"/>
  <c r="AE877" i="4"/>
  <c r="AH877" i="4" s="1"/>
  <c r="AI877" i="4" s="1"/>
  <c r="AH871" i="4"/>
  <c r="AI871" i="4" s="1"/>
  <c r="AL870" i="4"/>
  <c r="AF870" i="4"/>
  <c r="AM869" i="4"/>
  <c r="AG869" i="4"/>
  <c r="AM863" i="4"/>
  <c r="AG863" i="4"/>
  <c r="AH863" i="4" s="1"/>
  <c r="AI863" i="4" s="1"/>
  <c r="AH858" i="4"/>
  <c r="AI858" i="4" s="1"/>
  <c r="AK852" i="4"/>
  <c r="AE852" i="4"/>
  <c r="AH848" i="4"/>
  <c r="AI848" i="4" s="1"/>
  <c r="AK840" i="4"/>
  <c r="AE840" i="4"/>
  <c r="AM800" i="4"/>
  <c r="AG800" i="4"/>
  <c r="AL777" i="4"/>
  <c r="AF777" i="4"/>
  <c r="AL762" i="4"/>
  <c r="AF762" i="4"/>
  <c r="AH762" i="4" s="1"/>
  <c r="AI762" i="4" s="1"/>
  <c r="AL759" i="4"/>
  <c r="AH1000" i="4"/>
  <c r="AI1000" i="4" s="1"/>
  <c r="AG981" i="4"/>
  <c r="AE979" i="4"/>
  <c r="AH979" i="4" s="1"/>
  <c r="AI979" i="4" s="1"/>
  <c r="AG973" i="4"/>
  <c r="AH966" i="4"/>
  <c r="AI966" i="4" s="1"/>
  <c r="AF962" i="4"/>
  <c r="AH962" i="4" s="1"/>
  <c r="AI962" i="4" s="1"/>
  <c r="AM958" i="4"/>
  <c r="AG958" i="4"/>
  <c r="AH958" i="4" s="1"/>
  <c r="AI958" i="4" s="1"/>
  <c r="AM957" i="4"/>
  <c r="AG957" i="4"/>
  <c r="AM951" i="4"/>
  <c r="AG951" i="4"/>
  <c r="AH951" i="4" s="1"/>
  <c r="AI951" i="4" s="1"/>
  <c r="AH945" i="4"/>
  <c r="AI945" i="4" s="1"/>
  <c r="AK931" i="4"/>
  <c r="AE931" i="4"/>
  <c r="AH931" i="4" s="1"/>
  <c r="AI931" i="4" s="1"/>
  <c r="AH927" i="4"/>
  <c r="AI927" i="4" s="1"/>
  <c r="AK916" i="4"/>
  <c r="AE916" i="4"/>
  <c r="AH916" i="4" s="1"/>
  <c r="AI916" i="4" s="1"/>
  <c r="AH914" i="4"/>
  <c r="AI914" i="4" s="1"/>
  <c r="AK909" i="4"/>
  <c r="AE909" i="4"/>
  <c r="AL908" i="4"/>
  <c r="AF908" i="4"/>
  <c r="AL902" i="4"/>
  <c r="AF902" i="4"/>
  <c r="AH902" i="4" s="1"/>
  <c r="AI902" i="4" s="1"/>
  <c r="AL901" i="4"/>
  <c r="AF901" i="4"/>
  <c r="AM894" i="4"/>
  <c r="AG894" i="4"/>
  <c r="AH894" i="4" s="1"/>
  <c r="AI894" i="4" s="1"/>
  <c r="AK891" i="4"/>
  <c r="AE891" i="4"/>
  <c r="AH891" i="4" s="1"/>
  <c r="AI891" i="4" s="1"/>
  <c r="AL876" i="4"/>
  <c r="AF876" i="4"/>
  <c r="AL869" i="4"/>
  <c r="AF869" i="4"/>
  <c r="AH865" i="4"/>
  <c r="AI865" i="4" s="1"/>
  <c r="AM862" i="4"/>
  <c r="AG862" i="4"/>
  <c r="AH862" i="4" s="1"/>
  <c r="AI862" i="4" s="1"/>
  <c r="AK859" i="4"/>
  <c r="AE859" i="4"/>
  <c r="AH859" i="4" s="1"/>
  <c r="AI859" i="4" s="1"/>
  <c r="AM826" i="4"/>
  <c r="AG826" i="4"/>
  <c r="AH826" i="4" s="1"/>
  <c r="AI826" i="4" s="1"/>
  <c r="AM808" i="4"/>
  <c r="AG808" i="4"/>
  <c r="AL800" i="4"/>
  <c r="AF800" i="4"/>
  <c r="AL792" i="4"/>
  <c r="AF792" i="4"/>
  <c r="AM778" i="4"/>
  <c r="AG778" i="4"/>
  <c r="AK777" i="4"/>
  <c r="AE777" i="4"/>
  <c r="AH777" i="4" s="1"/>
  <c r="AI777" i="4" s="1"/>
  <c r="AG840" i="4"/>
  <c r="AK839" i="4"/>
  <c r="AE839" i="4"/>
  <c r="AH836" i="4"/>
  <c r="AI836" i="4" s="1"/>
  <c r="AM834" i="4"/>
  <c r="AG834" i="4"/>
  <c r="AH834" i="4" s="1"/>
  <c r="AI834" i="4" s="1"/>
  <c r="AM825" i="4"/>
  <c r="AG825" i="4"/>
  <c r="AL817" i="4"/>
  <c r="AF817" i="4"/>
  <c r="AH817" i="4" s="1"/>
  <c r="AI817" i="4" s="1"/>
  <c r="AH813" i="4"/>
  <c r="AI813" i="4" s="1"/>
  <c r="AH811" i="4"/>
  <c r="AI811" i="4" s="1"/>
  <c r="AL808" i="4"/>
  <c r="AF808" i="4"/>
  <c r="AK800" i="4"/>
  <c r="AE800" i="4"/>
  <c r="AH800" i="4" s="1"/>
  <c r="AI800" i="4" s="1"/>
  <c r="AK791" i="4"/>
  <c r="AE791" i="4"/>
  <c r="AH791" i="4" s="1"/>
  <c r="AI791" i="4" s="1"/>
  <c r="AK776" i="4"/>
  <c r="AE776" i="4"/>
  <c r="AH776" i="4" s="1"/>
  <c r="AI776" i="4" s="1"/>
  <c r="AH774" i="4"/>
  <c r="AI774" i="4" s="1"/>
  <c r="AK769" i="4"/>
  <c r="AE769" i="4"/>
  <c r="AK768" i="4"/>
  <c r="AE768" i="4"/>
  <c r="AH760" i="4"/>
  <c r="AI760" i="4" s="1"/>
  <c r="AH754" i="4"/>
  <c r="AI754" i="4" s="1"/>
  <c r="AK713" i="4"/>
  <c r="AE713" i="4"/>
  <c r="AM833" i="4"/>
  <c r="AG833" i="4"/>
  <c r="AL825" i="4"/>
  <c r="AF825" i="4"/>
  <c r="AH821" i="4"/>
  <c r="AI821" i="4" s="1"/>
  <c r="AH819" i="4"/>
  <c r="AI819" i="4" s="1"/>
  <c r="AL816" i="4"/>
  <c r="AF816" i="4"/>
  <c r="AK808" i="4"/>
  <c r="AE808" i="4"/>
  <c r="AK783" i="4"/>
  <c r="AE783" i="4"/>
  <c r="AH783" i="4" s="1"/>
  <c r="AI783" i="4" s="1"/>
  <c r="AK761" i="4"/>
  <c r="AE761" i="4"/>
  <c r="AH761" i="4" s="1"/>
  <c r="AI761" i="4" s="1"/>
  <c r="AM739" i="4"/>
  <c r="AG739" i="4"/>
  <c r="AK731" i="4"/>
  <c r="AE731" i="4"/>
  <c r="AE703" i="4"/>
  <c r="AK703" i="4"/>
  <c r="AL668" i="4"/>
  <c r="AF668" i="4"/>
  <c r="AH843" i="4"/>
  <c r="AI843" i="4" s="1"/>
  <c r="AM841" i="4"/>
  <c r="AG841" i="4"/>
  <c r="AH841" i="4" s="1"/>
  <c r="AI841" i="4" s="1"/>
  <c r="AL833" i="4"/>
  <c r="AF833" i="4"/>
  <c r="AH833" i="4" s="1"/>
  <c r="AI833" i="4" s="1"/>
  <c r="AH829" i="4"/>
  <c r="AI829" i="4" s="1"/>
  <c r="AH827" i="4"/>
  <c r="AI827" i="4" s="1"/>
  <c r="AL824" i="4"/>
  <c r="AF824" i="4"/>
  <c r="AK816" i="4"/>
  <c r="AE816" i="4"/>
  <c r="AH816" i="4" s="1"/>
  <c r="AI816" i="4" s="1"/>
  <c r="AH810" i="4"/>
  <c r="AI810" i="4" s="1"/>
  <c r="AH789" i="4"/>
  <c r="AI789" i="4" s="1"/>
  <c r="AK775" i="4"/>
  <c r="AE775" i="4"/>
  <c r="AH775" i="4" s="1"/>
  <c r="AI775" i="4" s="1"/>
  <c r="AH771" i="4"/>
  <c r="AI771" i="4" s="1"/>
  <c r="AK755" i="4"/>
  <c r="AE755" i="4"/>
  <c r="AH755" i="4" s="1"/>
  <c r="AI755" i="4" s="1"/>
  <c r="AK740" i="4"/>
  <c r="AE740" i="4"/>
  <c r="AL716" i="4"/>
  <c r="AF716" i="4"/>
  <c r="AM701" i="4"/>
  <c r="AG701" i="4"/>
  <c r="AH668" i="4"/>
  <c r="AI668" i="4" s="1"/>
  <c r="AM604" i="4"/>
  <c r="AG604" i="4"/>
  <c r="AH604" i="4" s="1"/>
  <c r="AI604" i="4" s="1"/>
  <c r="AH835" i="4"/>
  <c r="AI835" i="4" s="1"/>
  <c r="AL832" i="4"/>
  <c r="AF832" i="4"/>
  <c r="AK824" i="4"/>
  <c r="AE824" i="4"/>
  <c r="AH818" i="4"/>
  <c r="AI818" i="4" s="1"/>
  <c r="AK799" i="4"/>
  <c r="AE799" i="4"/>
  <c r="AH799" i="4" s="1"/>
  <c r="AI799" i="4" s="1"/>
  <c r="AM794" i="4"/>
  <c r="AG794" i="4"/>
  <c r="AH794" i="4" s="1"/>
  <c r="AI794" i="4" s="1"/>
  <c r="AM793" i="4"/>
  <c r="AG793" i="4"/>
  <c r="AM787" i="4"/>
  <c r="AG787" i="4"/>
  <c r="AH787" i="4" s="1"/>
  <c r="AI787" i="4" s="1"/>
  <c r="AH753" i="4"/>
  <c r="AI753" i="4" s="1"/>
  <c r="AL840" i="4"/>
  <c r="AF840" i="4"/>
  <c r="AK832" i="4"/>
  <c r="AE832" i="4"/>
  <c r="AH832" i="4" s="1"/>
  <c r="AI832" i="4" s="1"/>
  <c r="AK807" i="4"/>
  <c r="AE807" i="4"/>
  <c r="AH807" i="4" s="1"/>
  <c r="AI807" i="4" s="1"/>
  <c r="AH804" i="4"/>
  <c r="AI804" i="4" s="1"/>
  <c r="AM802" i="4"/>
  <c r="AG802" i="4"/>
  <c r="AH802" i="4" s="1"/>
  <c r="AI802" i="4" s="1"/>
  <c r="AL793" i="4"/>
  <c r="AF793" i="4"/>
  <c r="AM786" i="4"/>
  <c r="AG786" i="4"/>
  <c r="AH786" i="4" s="1"/>
  <c r="AI786" i="4" s="1"/>
  <c r="AM785" i="4"/>
  <c r="AG785" i="4"/>
  <c r="AM779" i="4"/>
  <c r="AG779" i="4"/>
  <c r="AH779" i="4" s="1"/>
  <c r="AI779" i="4" s="1"/>
  <c r="AH773" i="4"/>
  <c r="AI773" i="4" s="1"/>
  <c r="AM763" i="4"/>
  <c r="AG763" i="4"/>
  <c r="AH763" i="4" s="1"/>
  <c r="AI763" i="4" s="1"/>
  <c r="AM759" i="4"/>
  <c r="AG759" i="4"/>
  <c r="AH759" i="4" s="1"/>
  <c r="AI759" i="4" s="1"/>
  <c r="AK751" i="4"/>
  <c r="AM733" i="4"/>
  <c r="AG733" i="4"/>
  <c r="AF720" i="4"/>
  <c r="AL720" i="4"/>
  <c r="AL706" i="4"/>
  <c r="AF706" i="4"/>
  <c r="AH706" i="4" s="1"/>
  <c r="AI706" i="4" s="1"/>
  <c r="AG705" i="4"/>
  <c r="AM705" i="4"/>
  <c r="AL676" i="4"/>
  <c r="AF676" i="4"/>
  <c r="AH676" i="4" s="1"/>
  <c r="AI676" i="4" s="1"/>
  <c r="AK643" i="4"/>
  <c r="AE643" i="4"/>
  <c r="AM751" i="4"/>
  <c r="AG751" i="4"/>
  <c r="AH751" i="4" s="1"/>
  <c r="AI751" i="4" s="1"/>
  <c r="AK749" i="4"/>
  <c r="AE749" i="4"/>
  <c r="AL740" i="4"/>
  <c r="AF740" i="4"/>
  <c r="AE735" i="4"/>
  <c r="AK735" i="4"/>
  <c r="AF728" i="4"/>
  <c r="AL728" i="4"/>
  <c r="AL724" i="4"/>
  <c r="AF724" i="4"/>
  <c r="AH724" i="4" s="1"/>
  <c r="AI724" i="4" s="1"/>
  <c r="AK721" i="4"/>
  <c r="AE721" i="4"/>
  <c r="AG713" i="4"/>
  <c r="AM713" i="4"/>
  <c r="AM709" i="4"/>
  <c r="AG709" i="4"/>
  <c r="AM693" i="4"/>
  <c r="AG693" i="4"/>
  <c r="AM685" i="4"/>
  <c r="AG685" i="4"/>
  <c r="AH672" i="4"/>
  <c r="AI672" i="4" s="1"/>
  <c r="AL660" i="4"/>
  <c r="AF660" i="4"/>
  <c r="AH660" i="4" s="1"/>
  <c r="AI660" i="4" s="1"/>
  <c r="AM634" i="4"/>
  <c r="AG634" i="4"/>
  <c r="AH634" i="4" s="1"/>
  <c r="AI634" i="4" s="1"/>
  <c r="AM629" i="4"/>
  <c r="AG629" i="4"/>
  <c r="AL615" i="4"/>
  <c r="AF615" i="4"/>
  <c r="AL561" i="4"/>
  <c r="AF561" i="4"/>
  <c r="AF342" i="4"/>
  <c r="AH342" i="4" s="1"/>
  <c r="AI342" i="4" s="1"/>
  <c r="AL342" i="4"/>
  <c r="AG769" i="4"/>
  <c r="AF768" i="4"/>
  <c r="AE767" i="4"/>
  <c r="AH767" i="4" s="1"/>
  <c r="AI767" i="4" s="1"/>
  <c r="AK757" i="4"/>
  <c r="AE757" i="4"/>
  <c r="AH757" i="4" s="1"/>
  <c r="AI757" i="4" s="1"/>
  <c r="AL748" i="4"/>
  <c r="AF748" i="4"/>
  <c r="AH748" i="4" s="1"/>
  <c r="AI748" i="4" s="1"/>
  <c r="AE745" i="4"/>
  <c r="AH745" i="4" s="1"/>
  <c r="AI745" i="4" s="1"/>
  <c r="AM741" i="4"/>
  <c r="AG741" i="4"/>
  <c r="AF738" i="4"/>
  <c r="AH738" i="4" s="1"/>
  <c r="AI738" i="4" s="1"/>
  <c r="AK737" i="4"/>
  <c r="AE737" i="4"/>
  <c r="AH737" i="4" s="1"/>
  <c r="AI737" i="4" s="1"/>
  <c r="AL730" i="4"/>
  <c r="AF730" i="4"/>
  <c r="AH730" i="4" s="1"/>
  <c r="AI730" i="4" s="1"/>
  <c r="AE727" i="4"/>
  <c r="AK727" i="4"/>
  <c r="AK723" i="4"/>
  <c r="AE723" i="4"/>
  <c r="AH723" i="4" s="1"/>
  <c r="AI723" i="4" s="1"/>
  <c r="AM715" i="4"/>
  <c r="AG715" i="4"/>
  <c r="AL684" i="4"/>
  <c r="AF684" i="4"/>
  <c r="AK659" i="4"/>
  <c r="AE659" i="4"/>
  <c r="AM645" i="4"/>
  <c r="AG645" i="4"/>
  <c r="AH635" i="4"/>
  <c r="AI635" i="4" s="1"/>
  <c r="AK576" i="4"/>
  <c r="AE576" i="4"/>
  <c r="AM570" i="4"/>
  <c r="AG570" i="4"/>
  <c r="AM477" i="4"/>
  <c r="AG477" i="4"/>
  <c r="AH477" i="4" s="1"/>
  <c r="AI477" i="4" s="1"/>
  <c r="AL750" i="4"/>
  <c r="AF750" i="4"/>
  <c r="AH750" i="4" s="1"/>
  <c r="AI750" i="4" s="1"/>
  <c r="AK739" i="4"/>
  <c r="AE739" i="4"/>
  <c r="AH739" i="4" s="1"/>
  <c r="AI739" i="4" s="1"/>
  <c r="AG729" i="4"/>
  <c r="AM729" i="4"/>
  <c r="AH728" i="4"/>
  <c r="AI728" i="4" s="1"/>
  <c r="AM725" i="4"/>
  <c r="AG725" i="4"/>
  <c r="AF712" i="4"/>
  <c r="AH712" i="4" s="1"/>
  <c r="AI712" i="4" s="1"/>
  <c r="AL712" i="4"/>
  <c r="AL708" i="4"/>
  <c r="AF708" i="4"/>
  <c r="AH708" i="4" s="1"/>
  <c r="AI708" i="4" s="1"/>
  <c r="AK705" i="4"/>
  <c r="AE705" i="4"/>
  <c r="AH705" i="4" s="1"/>
  <c r="AI705" i="4" s="1"/>
  <c r="AL692" i="4"/>
  <c r="AF692" i="4"/>
  <c r="AH692" i="4" s="1"/>
  <c r="AI692" i="4" s="1"/>
  <c r="AH684" i="4"/>
  <c r="AI684" i="4" s="1"/>
  <c r="AK667" i="4"/>
  <c r="AE667" i="4"/>
  <c r="AM653" i="4"/>
  <c r="AG653" i="4"/>
  <c r="AK608" i="4"/>
  <c r="AE608" i="4"/>
  <c r="AL752" i="4"/>
  <c r="AM743" i="4"/>
  <c r="AG743" i="4"/>
  <c r="AH743" i="4" s="1"/>
  <c r="AI743" i="4" s="1"/>
  <c r="AH742" i="4"/>
  <c r="AI742" i="4" s="1"/>
  <c r="AK741" i="4"/>
  <c r="AE741" i="4"/>
  <c r="AH741" i="4" s="1"/>
  <c r="AI741" i="4" s="1"/>
  <c r="AF736" i="4"/>
  <c r="AH736" i="4" s="1"/>
  <c r="AI736" i="4" s="1"/>
  <c r="AL736" i="4"/>
  <c r="AL722" i="4"/>
  <c r="AF722" i="4"/>
  <c r="AH722" i="4" s="1"/>
  <c r="AI722" i="4" s="1"/>
  <c r="AE719" i="4"/>
  <c r="AK719" i="4"/>
  <c r="AK715" i="4"/>
  <c r="AE715" i="4"/>
  <c r="AH715" i="4" s="1"/>
  <c r="AI715" i="4" s="1"/>
  <c r="AM707" i="4"/>
  <c r="AG707" i="4"/>
  <c r="AK675" i="4"/>
  <c r="AE675" i="4"/>
  <c r="AM661" i="4"/>
  <c r="AG661" i="4"/>
  <c r="AH648" i="4"/>
  <c r="AI648" i="4" s="1"/>
  <c r="AL636" i="4"/>
  <c r="AF636" i="4"/>
  <c r="AL758" i="4"/>
  <c r="AF758" i="4"/>
  <c r="AH758" i="4" s="1"/>
  <c r="AI758" i="4" s="1"/>
  <c r="AL756" i="4"/>
  <c r="AF756" i="4"/>
  <c r="AH756" i="4" s="1"/>
  <c r="AI756" i="4" s="1"/>
  <c r="AM749" i="4"/>
  <c r="AG749" i="4"/>
  <c r="AM735" i="4"/>
  <c r="AG735" i="4"/>
  <c r="AL732" i="4"/>
  <c r="AF732" i="4"/>
  <c r="AH732" i="4" s="1"/>
  <c r="AI732" i="4" s="1"/>
  <c r="AK729" i="4"/>
  <c r="AE729" i="4"/>
  <c r="AH729" i="4" s="1"/>
  <c r="AI729" i="4" s="1"/>
  <c r="AG721" i="4"/>
  <c r="AM721" i="4"/>
  <c r="AH720" i="4"/>
  <c r="AI720" i="4" s="1"/>
  <c r="AM717" i="4"/>
  <c r="AG717" i="4"/>
  <c r="AH716" i="4"/>
  <c r="AI716" i="4" s="1"/>
  <c r="AF704" i="4"/>
  <c r="AH704" i="4" s="1"/>
  <c r="AI704" i="4" s="1"/>
  <c r="AL704" i="4"/>
  <c r="AL700" i="4"/>
  <c r="AF700" i="4"/>
  <c r="AH700" i="4" s="1"/>
  <c r="AI700" i="4" s="1"/>
  <c r="AK683" i="4"/>
  <c r="AE683" i="4"/>
  <c r="AM669" i="4"/>
  <c r="AG669" i="4"/>
  <c r="AH656" i="4"/>
  <c r="AI656" i="4" s="1"/>
  <c r="AL644" i="4"/>
  <c r="AF644" i="4"/>
  <c r="AH636" i="4"/>
  <c r="AI636" i="4" s="1"/>
  <c r="AF631" i="4"/>
  <c r="AL631" i="4"/>
  <c r="AK747" i="4"/>
  <c r="AE747" i="4"/>
  <c r="AH747" i="4" s="1"/>
  <c r="AI747" i="4" s="1"/>
  <c r="AM731" i="4"/>
  <c r="AG731" i="4"/>
  <c r="AL714" i="4"/>
  <c r="AF714" i="4"/>
  <c r="AH714" i="4" s="1"/>
  <c r="AI714" i="4" s="1"/>
  <c r="AE711" i="4"/>
  <c r="AK711" i="4"/>
  <c r="AK707" i="4"/>
  <c r="AE707" i="4"/>
  <c r="AK691" i="4"/>
  <c r="AE691" i="4"/>
  <c r="AM677" i="4"/>
  <c r="AG677" i="4"/>
  <c r="AL652" i="4"/>
  <c r="AF652" i="4"/>
  <c r="AH652" i="4" s="1"/>
  <c r="AI652" i="4" s="1"/>
  <c r="AH644" i="4"/>
  <c r="AI644" i="4" s="1"/>
  <c r="AE626" i="4"/>
  <c r="AK626" i="4"/>
  <c r="AG624" i="4"/>
  <c r="AM624" i="4"/>
  <c r="AG699" i="4"/>
  <c r="AF698" i="4"/>
  <c r="AH698" i="4" s="1"/>
  <c r="AI698" i="4" s="1"/>
  <c r="AM697" i="4"/>
  <c r="AE697" i="4"/>
  <c r="AH697" i="4" s="1"/>
  <c r="AI697" i="4" s="1"/>
  <c r="AL696" i="4"/>
  <c r="AK695" i="4"/>
  <c r="AG691" i="4"/>
  <c r="AF690" i="4"/>
  <c r="AH690" i="4" s="1"/>
  <c r="AI690" i="4" s="1"/>
  <c r="AE689" i="4"/>
  <c r="AH689" i="4" s="1"/>
  <c r="AI689" i="4" s="1"/>
  <c r="AG683" i="4"/>
  <c r="AF682" i="4"/>
  <c r="AH682" i="4" s="1"/>
  <c r="AI682" i="4" s="1"/>
  <c r="AE681" i="4"/>
  <c r="AH681" i="4" s="1"/>
  <c r="AI681" i="4" s="1"/>
  <c r="AG675" i="4"/>
  <c r="AF674" i="4"/>
  <c r="AH674" i="4" s="1"/>
  <c r="AI674" i="4" s="1"/>
  <c r="AE673" i="4"/>
  <c r="AH673" i="4" s="1"/>
  <c r="AI673" i="4" s="1"/>
  <c r="AG667" i="4"/>
  <c r="AF666" i="4"/>
  <c r="AH666" i="4" s="1"/>
  <c r="AI666" i="4" s="1"/>
  <c r="AE665" i="4"/>
  <c r="AH665" i="4" s="1"/>
  <c r="AI665" i="4" s="1"/>
  <c r="AG659" i="4"/>
  <c r="AF658" i="4"/>
  <c r="AH658" i="4" s="1"/>
  <c r="AI658" i="4" s="1"/>
  <c r="AE657" i="4"/>
  <c r="AH657" i="4" s="1"/>
  <c r="AI657" i="4" s="1"/>
  <c r="AG651" i="4"/>
  <c r="AF650" i="4"/>
  <c r="AH650" i="4" s="1"/>
  <c r="AI650" i="4" s="1"/>
  <c r="AE649" i="4"/>
  <c r="AH649" i="4" s="1"/>
  <c r="AI649" i="4" s="1"/>
  <c r="AG643" i="4"/>
  <c r="AF642" i="4"/>
  <c r="AH642" i="4" s="1"/>
  <c r="AI642" i="4" s="1"/>
  <c r="AE641" i="4"/>
  <c r="AH641" i="4" s="1"/>
  <c r="AI641" i="4" s="1"/>
  <c r="AM618" i="4"/>
  <c r="AG618" i="4"/>
  <c r="AH618" i="4" s="1"/>
  <c r="AI618" i="4" s="1"/>
  <c r="AL607" i="4"/>
  <c r="AF607" i="4"/>
  <c r="AK600" i="4"/>
  <c r="AE600" i="4"/>
  <c r="AM594" i="4"/>
  <c r="AG594" i="4"/>
  <c r="AL585" i="4"/>
  <c r="AF585" i="4"/>
  <c r="AK536" i="4"/>
  <c r="AE536" i="4"/>
  <c r="AK529" i="4"/>
  <c r="AE529" i="4"/>
  <c r="AH529" i="4" s="1"/>
  <c r="AI529" i="4" s="1"/>
  <c r="AL518" i="4"/>
  <c r="AF518" i="4"/>
  <c r="AH633" i="4"/>
  <c r="AI633" i="4" s="1"/>
  <c r="AK627" i="4"/>
  <c r="AG626" i="4"/>
  <c r="AK622" i="4"/>
  <c r="AF616" i="4"/>
  <c r="AH613" i="4"/>
  <c r="AI613" i="4" s="1"/>
  <c r="AK560" i="4"/>
  <c r="AE560" i="4"/>
  <c r="AM554" i="4"/>
  <c r="AG554" i="4"/>
  <c r="AL545" i="4"/>
  <c r="AF545" i="4"/>
  <c r="AL522" i="4"/>
  <c r="AF522" i="4"/>
  <c r="AL452" i="4"/>
  <c r="AF452" i="4"/>
  <c r="AH621" i="4"/>
  <c r="AI621" i="4" s="1"/>
  <c r="AL611" i="4"/>
  <c r="AF611" i="4"/>
  <c r="AH611" i="4" s="1"/>
  <c r="AI611" i="4" s="1"/>
  <c r="AM610" i="4"/>
  <c r="AG610" i="4"/>
  <c r="AH605" i="4"/>
  <c r="AI605" i="4" s="1"/>
  <c r="AK584" i="4"/>
  <c r="AE584" i="4"/>
  <c r="AM578" i="4"/>
  <c r="AG578" i="4"/>
  <c r="AL569" i="4"/>
  <c r="AF569" i="4"/>
  <c r="AK505" i="4"/>
  <c r="AE505" i="4"/>
  <c r="AH505" i="4" s="1"/>
  <c r="AI505" i="4" s="1"/>
  <c r="AE631" i="4"/>
  <c r="AH631" i="4" s="1"/>
  <c r="AI631" i="4" s="1"/>
  <c r="AF629" i="4"/>
  <c r="AL623" i="4"/>
  <c r="AL617" i="4"/>
  <c r="AF617" i="4"/>
  <c r="AH615" i="4"/>
  <c r="AI615" i="4" s="1"/>
  <c r="AK614" i="4"/>
  <c r="AE614" i="4"/>
  <c r="AH614" i="4" s="1"/>
  <c r="AI614" i="4" s="1"/>
  <c r="AL603" i="4"/>
  <c r="AF603" i="4"/>
  <c r="AH603" i="4" s="1"/>
  <c r="AI603" i="4" s="1"/>
  <c r="AM602" i="4"/>
  <c r="AG602" i="4"/>
  <c r="AL593" i="4"/>
  <c r="AF593" i="4"/>
  <c r="AH593" i="4" s="1"/>
  <c r="AI593" i="4" s="1"/>
  <c r="AH561" i="4"/>
  <c r="AI561" i="4" s="1"/>
  <c r="AK544" i="4"/>
  <c r="AE544" i="4"/>
  <c r="AM538" i="4"/>
  <c r="AG538" i="4"/>
  <c r="AF516" i="4"/>
  <c r="AH516" i="4" s="1"/>
  <c r="AI516" i="4" s="1"/>
  <c r="AL516" i="4"/>
  <c r="AK491" i="4"/>
  <c r="AE491" i="4"/>
  <c r="AH491" i="4" s="1"/>
  <c r="AI491" i="4" s="1"/>
  <c r="AM486" i="4"/>
  <c r="AG486" i="4"/>
  <c r="AH486" i="4" s="1"/>
  <c r="AI486" i="4" s="1"/>
  <c r="AL469" i="4"/>
  <c r="AF469" i="4"/>
  <c r="AF734" i="4"/>
  <c r="AH734" i="4" s="1"/>
  <c r="AI734" i="4" s="1"/>
  <c r="AE733" i="4"/>
  <c r="AH733" i="4" s="1"/>
  <c r="AI733" i="4" s="1"/>
  <c r="AG727" i="4"/>
  <c r="AF726" i="4"/>
  <c r="AH726" i="4" s="1"/>
  <c r="AI726" i="4" s="1"/>
  <c r="AE725" i="4"/>
  <c r="AG719" i="4"/>
  <c r="AF718" i="4"/>
  <c r="AH718" i="4" s="1"/>
  <c r="AI718" i="4" s="1"/>
  <c r="AE717" i="4"/>
  <c r="AH717" i="4" s="1"/>
  <c r="AI717" i="4" s="1"/>
  <c r="AG711" i="4"/>
  <c r="AF710" i="4"/>
  <c r="AH710" i="4" s="1"/>
  <c r="AI710" i="4" s="1"/>
  <c r="AE709" i="4"/>
  <c r="AG703" i="4"/>
  <c r="AF702" i="4"/>
  <c r="AH702" i="4" s="1"/>
  <c r="AI702" i="4" s="1"/>
  <c r="AE701" i="4"/>
  <c r="AH701" i="4" s="1"/>
  <c r="AI701" i="4" s="1"/>
  <c r="AG695" i="4"/>
  <c r="AH695" i="4" s="1"/>
  <c r="AI695" i="4" s="1"/>
  <c r="AF694" i="4"/>
  <c r="AH694" i="4" s="1"/>
  <c r="AI694" i="4" s="1"/>
  <c r="AE693" i="4"/>
  <c r="AG687" i="4"/>
  <c r="AH687" i="4" s="1"/>
  <c r="AI687" i="4" s="1"/>
  <c r="AF686" i="4"/>
  <c r="AH686" i="4" s="1"/>
  <c r="AI686" i="4" s="1"/>
  <c r="AE685" i="4"/>
  <c r="AH685" i="4" s="1"/>
  <c r="AI685" i="4" s="1"/>
  <c r="AG679" i="4"/>
  <c r="AH679" i="4" s="1"/>
  <c r="AI679" i="4" s="1"/>
  <c r="AF678" i="4"/>
  <c r="AH678" i="4" s="1"/>
  <c r="AI678" i="4" s="1"/>
  <c r="AE677" i="4"/>
  <c r="AH677" i="4" s="1"/>
  <c r="AI677" i="4" s="1"/>
  <c r="AG671" i="4"/>
  <c r="AH671" i="4" s="1"/>
  <c r="AI671" i="4" s="1"/>
  <c r="AF670" i="4"/>
  <c r="AH670" i="4" s="1"/>
  <c r="AI670" i="4" s="1"/>
  <c r="AE669" i="4"/>
  <c r="AH669" i="4" s="1"/>
  <c r="AI669" i="4" s="1"/>
  <c r="AG663" i="4"/>
  <c r="AH663" i="4" s="1"/>
  <c r="AI663" i="4" s="1"/>
  <c r="AF662" i="4"/>
  <c r="AH662" i="4" s="1"/>
  <c r="AI662" i="4" s="1"/>
  <c r="AE661" i="4"/>
  <c r="AH661" i="4" s="1"/>
  <c r="AI661" i="4" s="1"/>
  <c r="AG655" i="4"/>
  <c r="AH655" i="4" s="1"/>
  <c r="AI655" i="4" s="1"/>
  <c r="AF654" i="4"/>
  <c r="AH654" i="4" s="1"/>
  <c r="AI654" i="4" s="1"/>
  <c r="AE653" i="4"/>
  <c r="AH653" i="4" s="1"/>
  <c r="AI653" i="4" s="1"/>
  <c r="AG647" i="4"/>
  <c r="AH647" i="4" s="1"/>
  <c r="AI647" i="4" s="1"/>
  <c r="AF646" i="4"/>
  <c r="AH646" i="4" s="1"/>
  <c r="AI646" i="4" s="1"/>
  <c r="AE645" i="4"/>
  <c r="AH645" i="4" s="1"/>
  <c r="AI645" i="4" s="1"/>
  <c r="AG639" i="4"/>
  <c r="AH639" i="4" s="1"/>
  <c r="AI639" i="4" s="1"/>
  <c r="AF638" i="4"/>
  <c r="AH638" i="4" s="1"/>
  <c r="AI638" i="4" s="1"/>
  <c r="AE637" i="4"/>
  <c r="AH637" i="4" s="1"/>
  <c r="AI637" i="4" s="1"/>
  <c r="AH629" i="4"/>
  <c r="AI629" i="4" s="1"/>
  <c r="AE624" i="4"/>
  <c r="AH624" i="4" s="1"/>
  <c r="AI624" i="4" s="1"/>
  <c r="AG622" i="4"/>
  <c r="AH622" i="4" s="1"/>
  <c r="AI622" i="4" s="1"/>
  <c r="AM616" i="4"/>
  <c r="AG616" i="4"/>
  <c r="AK610" i="4"/>
  <c r="AE610" i="4"/>
  <c r="AH607" i="4"/>
  <c r="AI607" i="4" s="1"/>
  <c r="AK606" i="4"/>
  <c r="AE606" i="4"/>
  <c r="AH606" i="4" s="1"/>
  <c r="AI606" i="4" s="1"/>
  <c r="AH585" i="4"/>
  <c r="AI585" i="4" s="1"/>
  <c r="AK568" i="4"/>
  <c r="AE568" i="4"/>
  <c r="AM562" i="4"/>
  <c r="AG562" i="4"/>
  <c r="AL553" i="4"/>
  <c r="AF553" i="4"/>
  <c r="AH553" i="4" s="1"/>
  <c r="AI553" i="4" s="1"/>
  <c r="AH531" i="4"/>
  <c r="AI531" i="4" s="1"/>
  <c r="AL609" i="4"/>
  <c r="AF609" i="4"/>
  <c r="AH609" i="4" s="1"/>
  <c r="AI609" i="4" s="1"/>
  <c r="AM608" i="4"/>
  <c r="AG608" i="4"/>
  <c r="AK592" i="4"/>
  <c r="AE592" i="4"/>
  <c r="AM586" i="4"/>
  <c r="AG586" i="4"/>
  <c r="AL577" i="4"/>
  <c r="AF577" i="4"/>
  <c r="AH577" i="4" s="1"/>
  <c r="AI577" i="4" s="1"/>
  <c r="AH545" i="4"/>
  <c r="AI545" i="4" s="1"/>
  <c r="AK524" i="4"/>
  <c r="AE524" i="4"/>
  <c r="AH524" i="4" s="1"/>
  <c r="AI524" i="4" s="1"/>
  <c r="AM514" i="4"/>
  <c r="AG514" i="4"/>
  <c r="AH507" i="4"/>
  <c r="AI507" i="4" s="1"/>
  <c r="AM498" i="4"/>
  <c r="AG498" i="4"/>
  <c r="AE632" i="4"/>
  <c r="AH632" i="4" s="1"/>
  <c r="AI632" i="4" s="1"/>
  <c r="AG630" i="4"/>
  <c r="AH630" i="4" s="1"/>
  <c r="AI630" i="4" s="1"/>
  <c r="AF625" i="4"/>
  <c r="AH625" i="4" s="1"/>
  <c r="AI625" i="4" s="1"/>
  <c r="AE620" i="4"/>
  <c r="AH620" i="4" s="1"/>
  <c r="AI620" i="4" s="1"/>
  <c r="AG617" i="4"/>
  <c r="AK616" i="4"/>
  <c r="AE616" i="4"/>
  <c r="AH616" i="4" s="1"/>
  <c r="AI616" i="4" s="1"/>
  <c r="AM612" i="4"/>
  <c r="AG612" i="4"/>
  <c r="AH612" i="4" s="1"/>
  <c r="AI612" i="4" s="1"/>
  <c r="AL601" i="4"/>
  <c r="AF601" i="4"/>
  <c r="AH601" i="4" s="1"/>
  <c r="AI601" i="4" s="1"/>
  <c r="AH569" i="4"/>
  <c r="AI569" i="4" s="1"/>
  <c r="AK552" i="4"/>
  <c r="AE552" i="4"/>
  <c r="AM546" i="4"/>
  <c r="AG546" i="4"/>
  <c r="AL537" i="4"/>
  <c r="AF537" i="4"/>
  <c r="AH537" i="4" s="1"/>
  <c r="AI537" i="4" s="1"/>
  <c r="AH499" i="4"/>
  <c r="AI499" i="4" s="1"/>
  <c r="AG493" i="4"/>
  <c r="AH493" i="4" s="1"/>
  <c r="AI493" i="4" s="1"/>
  <c r="AM493" i="4"/>
  <c r="AK444" i="4"/>
  <c r="AE444" i="4"/>
  <c r="AG600" i="4"/>
  <c r="AF599" i="4"/>
  <c r="AH599" i="4" s="1"/>
  <c r="AI599" i="4" s="1"/>
  <c r="AE598" i="4"/>
  <c r="AH598" i="4" s="1"/>
  <c r="AI598" i="4" s="1"/>
  <c r="AG592" i="4"/>
  <c r="AF591" i="4"/>
  <c r="AH591" i="4" s="1"/>
  <c r="AI591" i="4" s="1"/>
  <c r="AE590" i="4"/>
  <c r="AH590" i="4" s="1"/>
  <c r="AI590" i="4" s="1"/>
  <c r="AG584" i="4"/>
  <c r="AF583" i="4"/>
  <c r="AH583" i="4" s="1"/>
  <c r="AI583" i="4" s="1"/>
  <c r="AE582" i="4"/>
  <c r="AH582" i="4" s="1"/>
  <c r="AI582" i="4" s="1"/>
  <c r="AG576" i="4"/>
  <c r="AF575" i="4"/>
  <c r="AH575" i="4" s="1"/>
  <c r="AI575" i="4" s="1"/>
  <c r="AE574" i="4"/>
  <c r="AH574" i="4" s="1"/>
  <c r="AI574" i="4" s="1"/>
  <c r="AG568" i="4"/>
  <c r="AF567" i="4"/>
  <c r="AH567" i="4" s="1"/>
  <c r="AI567" i="4" s="1"/>
  <c r="AE566" i="4"/>
  <c r="AH566" i="4" s="1"/>
  <c r="AI566" i="4" s="1"/>
  <c r="AG560" i="4"/>
  <c r="AF559" i="4"/>
  <c r="AH559" i="4" s="1"/>
  <c r="AI559" i="4" s="1"/>
  <c r="AE558" i="4"/>
  <c r="AH558" i="4" s="1"/>
  <c r="AI558" i="4" s="1"/>
  <c r="AG552" i="4"/>
  <c r="AF551" i="4"/>
  <c r="AH551" i="4" s="1"/>
  <c r="AI551" i="4" s="1"/>
  <c r="AE550" i="4"/>
  <c r="AH550" i="4" s="1"/>
  <c r="AI550" i="4" s="1"/>
  <c r="AG544" i="4"/>
  <c r="AF543" i="4"/>
  <c r="AH543" i="4" s="1"/>
  <c r="AI543" i="4" s="1"/>
  <c r="AE542" i="4"/>
  <c r="AH542" i="4" s="1"/>
  <c r="AI542" i="4" s="1"/>
  <c r="AG536" i="4"/>
  <c r="AF535" i="4"/>
  <c r="AH535" i="4" s="1"/>
  <c r="AI535" i="4" s="1"/>
  <c r="AE534" i="4"/>
  <c r="AH534" i="4" s="1"/>
  <c r="AI534" i="4" s="1"/>
  <c r="AH526" i="4"/>
  <c r="AI526" i="4" s="1"/>
  <c r="AL525" i="4"/>
  <c r="AE521" i="4"/>
  <c r="AH521" i="4" s="1"/>
  <c r="AI521" i="4" s="1"/>
  <c r="AK520" i="4"/>
  <c r="AF513" i="4"/>
  <c r="AH513" i="4" s="1"/>
  <c r="AI513" i="4" s="1"/>
  <c r="AE509" i="4"/>
  <c r="AH509" i="4" s="1"/>
  <c r="AI509" i="4" s="1"/>
  <c r="AK508" i="4"/>
  <c r="AL500" i="4"/>
  <c r="AE497" i="4"/>
  <c r="AH497" i="4" s="1"/>
  <c r="AI497" i="4" s="1"/>
  <c r="AM485" i="4"/>
  <c r="AG485" i="4"/>
  <c r="AL477" i="4"/>
  <c r="AF477" i="4"/>
  <c r="AL460" i="4"/>
  <c r="AF460" i="4"/>
  <c r="AK452" i="4"/>
  <c r="AE452" i="4"/>
  <c r="AH452" i="4" s="1"/>
  <c r="AI452" i="4" s="1"/>
  <c r="AH450" i="4"/>
  <c r="AI450" i="4" s="1"/>
  <c r="AK435" i="4"/>
  <c r="AE435" i="4"/>
  <c r="AH435" i="4" s="1"/>
  <c r="AI435" i="4" s="1"/>
  <c r="AH433" i="4"/>
  <c r="AI433" i="4" s="1"/>
  <c r="AM429" i="4"/>
  <c r="AG429" i="4"/>
  <c r="AH418" i="4"/>
  <c r="AI418" i="4" s="1"/>
  <c r="AM369" i="4"/>
  <c r="AG369" i="4"/>
  <c r="AH369" i="4" s="1"/>
  <c r="AI369" i="4" s="1"/>
  <c r="AL485" i="4"/>
  <c r="AF485" i="4"/>
  <c r="AL468" i="4"/>
  <c r="AF468" i="4"/>
  <c r="AK460" i="4"/>
  <c r="AE460" i="4"/>
  <c r="AH460" i="4" s="1"/>
  <c r="AI460" i="4" s="1"/>
  <c r="AH458" i="4"/>
  <c r="AI458" i="4" s="1"/>
  <c r="AK443" i="4"/>
  <c r="AE443" i="4"/>
  <c r="AH443" i="4" s="1"/>
  <c r="AI443" i="4" s="1"/>
  <c r="AM438" i="4"/>
  <c r="AG438" i="4"/>
  <c r="AL476" i="4"/>
  <c r="AF476" i="4"/>
  <c r="AK468" i="4"/>
  <c r="AE468" i="4"/>
  <c r="AK451" i="4"/>
  <c r="AE451" i="4"/>
  <c r="AH451" i="4" s="1"/>
  <c r="AI451" i="4" s="1"/>
  <c r="AH449" i="4"/>
  <c r="AI449" i="4" s="1"/>
  <c r="AM446" i="4"/>
  <c r="AG446" i="4"/>
  <c r="AH446" i="4" s="1"/>
  <c r="AI446" i="4" s="1"/>
  <c r="AM437" i="4"/>
  <c r="AG437" i="4"/>
  <c r="AL428" i="4"/>
  <c r="AF428" i="4"/>
  <c r="AK419" i="4"/>
  <c r="AE419" i="4"/>
  <c r="AH419" i="4" s="1"/>
  <c r="AI419" i="4" s="1"/>
  <c r="AH417" i="4"/>
  <c r="AI417" i="4" s="1"/>
  <c r="AL377" i="4"/>
  <c r="AF377" i="4"/>
  <c r="AE371" i="4"/>
  <c r="AK371" i="4"/>
  <c r="AH522" i="4"/>
  <c r="AI522" i="4" s="1"/>
  <c r="AH518" i="4"/>
  <c r="AI518" i="4" s="1"/>
  <c r="AF514" i="4"/>
  <c r="AH514" i="4" s="1"/>
  <c r="AI514" i="4" s="1"/>
  <c r="AF510" i="4"/>
  <c r="AH510" i="4" s="1"/>
  <c r="AI510" i="4" s="1"/>
  <c r="AF498" i="4"/>
  <c r="AH495" i="4"/>
  <c r="AI495" i="4" s="1"/>
  <c r="AL484" i="4"/>
  <c r="AF484" i="4"/>
  <c r="AK476" i="4"/>
  <c r="AE476" i="4"/>
  <c r="AH476" i="4" s="1"/>
  <c r="AI476" i="4" s="1"/>
  <c r="AH474" i="4"/>
  <c r="AI474" i="4" s="1"/>
  <c r="AK459" i="4"/>
  <c r="AE459" i="4"/>
  <c r="AH459" i="4" s="1"/>
  <c r="AI459" i="4" s="1"/>
  <c r="AH457" i="4"/>
  <c r="AI457" i="4" s="1"/>
  <c r="AM454" i="4"/>
  <c r="AG454" i="4"/>
  <c r="AH454" i="4" s="1"/>
  <c r="AI454" i="4" s="1"/>
  <c r="AM445" i="4"/>
  <c r="AG445" i="4"/>
  <c r="AH440" i="4"/>
  <c r="AI440" i="4" s="1"/>
  <c r="AL437" i="4"/>
  <c r="AF437" i="4"/>
  <c r="AH437" i="4" s="1"/>
  <c r="AI437" i="4" s="1"/>
  <c r="AH426" i="4"/>
  <c r="AI426" i="4" s="1"/>
  <c r="AM413" i="4"/>
  <c r="AG413" i="4"/>
  <c r="AE410" i="4"/>
  <c r="AK410" i="4"/>
  <c r="AK330" i="4"/>
  <c r="AE330" i="4"/>
  <c r="AH330" i="4" s="1"/>
  <c r="AI330" i="4" s="1"/>
  <c r="AF326" i="4"/>
  <c r="AH326" i="4" s="1"/>
  <c r="AI326" i="4" s="1"/>
  <c r="AL326" i="4"/>
  <c r="AE602" i="4"/>
  <c r="AH602" i="4" s="1"/>
  <c r="AI602" i="4" s="1"/>
  <c r="AG596" i="4"/>
  <c r="AH596" i="4" s="1"/>
  <c r="AI596" i="4" s="1"/>
  <c r="AF595" i="4"/>
  <c r="AH595" i="4" s="1"/>
  <c r="AI595" i="4" s="1"/>
  <c r="AE594" i="4"/>
  <c r="AH594" i="4" s="1"/>
  <c r="AI594" i="4" s="1"/>
  <c r="AG588" i="4"/>
  <c r="AH588" i="4" s="1"/>
  <c r="AI588" i="4" s="1"/>
  <c r="AF587" i="4"/>
  <c r="AH587" i="4" s="1"/>
  <c r="AI587" i="4" s="1"/>
  <c r="AE586" i="4"/>
  <c r="AH586" i="4" s="1"/>
  <c r="AI586" i="4" s="1"/>
  <c r="AG580" i="4"/>
  <c r="AH580" i="4" s="1"/>
  <c r="AI580" i="4" s="1"/>
  <c r="AF579" i="4"/>
  <c r="AH579" i="4" s="1"/>
  <c r="AI579" i="4" s="1"/>
  <c r="AE578" i="4"/>
  <c r="AH578" i="4" s="1"/>
  <c r="AI578" i="4" s="1"/>
  <c r="AG572" i="4"/>
  <c r="AH572" i="4" s="1"/>
  <c r="AI572" i="4" s="1"/>
  <c r="AF571" i="4"/>
  <c r="AH571" i="4" s="1"/>
  <c r="AI571" i="4" s="1"/>
  <c r="AE570" i="4"/>
  <c r="AH570" i="4" s="1"/>
  <c r="AI570" i="4" s="1"/>
  <c r="AG564" i="4"/>
  <c r="AH564" i="4" s="1"/>
  <c r="AI564" i="4" s="1"/>
  <c r="AF563" i="4"/>
  <c r="AH563" i="4" s="1"/>
  <c r="AI563" i="4" s="1"/>
  <c r="AE562" i="4"/>
  <c r="AG556" i="4"/>
  <c r="AH556" i="4" s="1"/>
  <c r="AI556" i="4" s="1"/>
  <c r="AF555" i="4"/>
  <c r="AH555" i="4" s="1"/>
  <c r="AI555" i="4" s="1"/>
  <c r="AE554" i="4"/>
  <c r="AH554" i="4" s="1"/>
  <c r="AI554" i="4" s="1"/>
  <c r="AG548" i="4"/>
  <c r="AH548" i="4" s="1"/>
  <c r="AI548" i="4" s="1"/>
  <c r="AF547" i="4"/>
  <c r="AH547" i="4" s="1"/>
  <c r="AI547" i="4" s="1"/>
  <c r="AE546" i="4"/>
  <c r="AG540" i="4"/>
  <c r="AH540" i="4" s="1"/>
  <c r="AI540" i="4" s="1"/>
  <c r="AF539" i="4"/>
  <c r="AH539" i="4" s="1"/>
  <c r="AI539" i="4" s="1"/>
  <c r="AE538" i="4"/>
  <c r="AH538" i="4" s="1"/>
  <c r="AI538" i="4" s="1"/>
  <c r="AK531" i="4"/>
  <c r="AF530" i="4"/>
  <c r="AH530" i="4" s="1"/>
  <c r="AI530" i="4" s="1"/>
  <c r="AM529" i="4"/>
  <c r="AL524" i="4"/>
  <c r="AK507" i="4"/>
  <c r="AF506" i="4"/>
  <c r="AF502" i="4"/>
  <c r="AH502" i="4" s="1"/>
  <c r="AI502" i="4" s="1"/>
  <c r="AK499" i="4"/>
  <c r="AH498" i="4"/>
  <c r="AI498" i="4" s="1"/>
  <c r="AK492" i="4"/>
  <c r="AK484" i="4"/>
  <c r="AE484" i="4"/>
  <c r="AH484" i="4" s="1"/>
  <c r="AI484" i="4" s="1"/>
  <c r="AH482" i="4"/>
  <c r="AI482" i="4" s="1"/>
  <c r="AK467" i="4"/>
  <c r="AE467" i="4"/>
  <c r="AH467" i="4" s="1"/>
  <c r="AI467" i="4" s="1"/>
  <c r="AH465" i="4"/>
  <c r="AI465" i="4" s="1"/>
  <c r="AM462" i="4"/>
  <c r="AG462" i="4"/>
  <c r="AH462" i="4" s="1"/>
  <c r="AI462" i="4" s="1"/>
  <c r="AM453" i="4"/>
  <c r="AG453" i="4"/>
  <c r="AH448" i="4"/>
  <c r="AI448" i="4" s="1"/>
  <c r="AL445" i="4"/>
  <c r="AF445" i="4"/>
  <c r="AH445" i="4" s="1"/>
  <c r="AI445" i="4" s="1"/>
  <c r="AH416" i="4"/>
  <c r="AI416" i="4" s="1"/>
  <c r="AH511" i="4"/>
  <c r="AI511" i="4" s="1"/>
  <c r="AH506" i="4"/>
  <c r="AI506" i="4" s="1"/>
  <c r="AH485" i="4"/>
  <c r="AI485" i="4" s="1"/>
  <c r="AK475" i="4"/>
  <c r="AE475" i="4"/>
  <c r="AH475" i="4" s="1"/>
  <c r="AI475" i="4" s="1"/>
  <c r="AM470" i="4"/>
  <c r="AG470" i="4"/>
  <c r="AH470" i="4" s="1"/>
  <c r="AI470" i="4" s="1"/>
  <c r="AM461" i="4"/>
  <c r="AG461" i="4"/>
  <c r="AH456" i="4"/>
  <c r="AI456" i="4" s="1"/>
  <c r="AL453" i="4"/>
  <c r="AF453" i="4"/>
  <c r="AL436" i="4"/>
  <c r="AF436" i="4"/>
  <c r="AK427" i="4"/>
  <c r="AE427" i="4"/>
  <c r="AH427" i="4" s="1"/>
  <c r="AI427" i="4" s="1"/>
  <c r="AM421" i="4"/>
  <c r="AG421" i="4"/>
  <c r="AG408" i="4"/>
  <c r="AH408" i="4" s="1"/>
  <c r="AI408" i="4" s="1"/>
  <c r="AM408" i="4"/>
  <c r="AK338" i="4"/>
  <c r="AE338" i="4"/>
  <c r="AH338" i="4" s="1"/>
  <c r="AI338" i="4" s="1"/>
  <c r="AF334" i="4"/>
  <c r="AH334" i="4" s="1"/>
  <c r="AI334" i="4" s="1"/>
  <c r="AL334" i="4"/>
  <c r="AG519" i="4"/>
  <c r="AH519" i="4" s="1"/>
  <c r="AI519" i="4" s="1"/>
  <c r="AG515" i="4"/>
  <c r="AH515" i="4" s="1"/>
  <c r="AI515" i="4" s="1"/>
  <c r="AH503" i="4"/>
  <c r="AI503" i="4" s="1"/>
  <c r="AK483" i="4"/>
  <c r="AE483" i="4"/>
  <c r="AH483" i="4" s="1"/>
  <c r="AI483" i="4" s="1"/>
  <c r="AH481" i="4"/>
  <c r="AI481" i="4" s="1"/>
  <c r="AM478" i="4"/>
  <c r="AG478" i="4"/>
  <c r="AH478" i="4" s="1"/>
  <c r="AI478" i="4" s="1"/>
  <c r="AM469" i="4"/>
  <c r="AG469" i="4"/>
  <c r="AH464" i="4"/>
  <c r="AI464" i="4" s="1"/>
  <c r="AL461" i="4"/>
  <c r="AF461" i="4"/>
  <c r="AH461" i="4" s="1"/>
  <c r="AI461" i="4" s="1"/>
  <c r="AL444" i="4"/>
  <c r="AF444" i="4"/>
  <c r="AH438" i="4"/>
  <c r="AI438" i="4" s="1"/>
  <c r="AK436" i="4"/>
  <c r="AE436" i="4"/>
  <c r="AH436" i="4" s="1"/>
  <c r="AI436" i="4" s="1"/>
  <c r="AF409" i="4"/>
  <c r="AH409" i="4" s="1"/>
  <c r="AI409" i="4" s="1"/>
  <c r="AF404" i="4"/>
  <c r="AH404" i="4" s="1"/>
  <c r="AI404" i="4" s="1"/>
  <c r="AL403" i="4"/>
  <c r="AE376" i="4"/>
  <c r="AH376" i="4" s="1"/>
  <c r="AI376" i="4" s="1"/>
  <c r="AL363" i="4"/>
  <c r="AF363" i="4"/>
  <c r="AH347" i="4"/>
  <c r="AI347" i="4" s="1"/>
  <c r="AG290" i="4"/>
  <c r="AM290" i="4"/>
  <c r="AH375" i="4"/>
  <c r="AI375" i="4" s="1"/>
  <c r="AF367" i="4"/>
  <c r="AH367" i="4" s="1"/>
  <c r="AI367" i="4" s="1"/>
  <c r="AL355" i="4"/>
  <c r="AF355" i="4"/>
  <c r="AH355" i="4" s="1"/>
  <c r="AI355" i="4" s="1"/>
  <c r="AK322" i="4"/>
  <c r="AE322" i="4"/>
  <c r="AH322" i="4" s="1"/>
  <c r="AI322" i="4" s="1"/>
  <c r="AG410" i="4"/>
  <c r="AH396" i="4"/>
  <c r="AI396" i="4" s="1"/>
  <c r="AH388" i="4"/>
  <c r="AI388" i="4" s="1"/>
  <c r="AH380" i="4"/>
  <c r="AI380" i="4" s="1"/>
  <c r="AL379" i="4"/>
  <c r="AF379" i="4"/>
  <c r="AH379" i="4" s="1"/>
  <c r="AI379" i="4" s="1"/>
  <c r="AM373" i="4"/>
  <c r="AE318" i="4"/>
  <c r="AH318" i="4" s="1"/>
  <c r="AI318" i="4" s="1"/>
  <c r="AK318" i="4"/>
  <c r="AK308" i="4"/>
  <c r="AE308" i="4"/>
  <c r="AH308" i="4" s="1"/>
  <c r="AI308" i="4" s="1"/>
  <c r="AK277" i="4"/>
  <c r="AE277" i="4"/>
  <c r="AH277" i="4" s="1"/>
  <c r="AI277" i="4" s="1"/>
  <c r="AH405" i="4"/>
  <c r="AI405" i="4" s="1"/>
  <c r="AM372" i="4"/>
  <c r="AG372" i="4"/>
  <c r="AH372" i="4" s="1"/>
  <c r="AI372" i="4" s="1"/>
  <c r="AH363" i="4"/>
  <c r="AI363" i="4" s="1"/>
  <c r="AL347" i="4"/>
  <c r="AF347" i="4"/>
  <c r="AG430" i="4"/>
  <c r="AH430" i="4" s="1"/>
  <c r="AI430" i="4" s="1"/>
  <c r="AF429" i="4"/>
  <c r="AH429" i="4" s="1"/>
  <c r="AI429" i="4" s="1"/>
  <c r="AE428" i="4"/>
  <c r="AH428" i="4" s="1"/>
  <c r="AI428" i="4" s="1"/>
  <c r="AG422" i="4"/>
  <c r="AH422" i="4" s="1"/>
  <c r="AI422" i="4" s="1"/>
  <c r="AF421" i="4"/>
  <c r="AH421" i="4" s="1"/>
  <c r="AI421" i="4" s="1"/>
  <c r="AE420" i="4"/>
  <c r="AH420" i="4" s="1"/>
  <c r="AI420" i="4" s="1"/>
  <c r="AG414" i="4"/>
  <c r="AH414" i="4" s="1"/>
  <c r="AI414" i="4" s="1"/>
  <c r="AF413" i="4"/>
  <c r="AH413" i="4" s="1"/>
  <c r="AI413" i="4" s="1"/>
  <c r="AM412" i="4"/>
  <c r="AL407" i="4"/>
  <c r="AG393" i="4"/>
  <c r="AG385" i="4"/>
  <c r="AH377" i="4"/>
  <c r="AI377" i="4" s="1"/>
  <c r="AE370" i="4"/>
  <c r="AH370" i="4" s="1"/>
  <c r="AI370" i="4" s="1"/>
  <c r="AH365" i="4"/>
  <c r="AI365" i="4" s="1"/>
  <c r="AL359" i="4"/>
  <c r="AF358" i="4"/>
  <c r="AH358" i="4" s="1"/>
  <c r="AI358" i="4" s="1"/>
  <c r="AL358" i="4"/>
  <c r="AG406" i="4"/>
  <c r="AH406" i="4" s="1"/>
  <c r="AI406" i="4" s="1"/>
  <c r="AK378" i="4"/>
  <c r="AE378" i="4"/>
  <c r="AH378" i="4" s="1"/>
  <c r="AI378" i="4" s="1"/>
  <c r="AH401" i="4"/>
  <c r="AI401" i="4" s="1"/>
  <c r="AH397" i="4"/>
  <c r="AI397" i="4" s="1"/>
  <c r="AH393" i="4"/>
  <c r="AI393" i="4" s="1"/>
  <c r="AH389" i="4"/>
  <c r="AI389" i="4" s="1"/>
  <c r="AH385" i="4"/>
  <c r="AI385" i="4" s="1"/>
  <c r="AH381" i="4"/>
  <c r="AI381" i="4" s="1"/>
  <c r="AH352" i="4"/>
  <c r="AI352" i="4" s="1"/>
  <c r="AF350" i="4"/>
  <c r="AH350" i="4" s="1"/>
  <c r="AI350" i="4" s="1"/>
  <c r="AL350" i="4"/>
  <c r="AM365" i="4"/>
  <c r="AG364" i="4"/>
  <c r="AH364" i="4" s="1"/>
  <c r="AI364" i="4" s="1"/>
  <c r="AG356" i="4"/>
  <c r="AH356" i="4" s="1"/>
  <c r="AI356" i="4" s="1"/>
  <c r="AG348" i="4"/>
  <c r="AH348" i="4" s="1"/>
  <c r="AI348" i="4" s="1"/>
  <c r="AG340" i="4"/>
  <c r="AG332" i="4"/>
  <c r="AG324" i="4"/>
  <c r="AH324" i="4" s="1"/>
  <c r="AI324" i="4" s="1"/>
  <c r="AF316" i="4"/>
  <c r="AH316" i="4" s="1"/>
  <c r="AI316" i="4" s="1"/>
  <c r="AE314" i="4"/>
  <c r="AH314" i="4" s="1"/>
  <c r="AI314" i="4" s="1"/>
  <c r="AH313" i="4"/>
  <c r="AI313" i="4" s="1"/>
  <c r="AF297" i="4"/>
  <c r="AL297" i="4"/>
  <c r="AK200" i="4"/>
  <c r="AE200" i="4"/>
  <c r="AH200" i="4" s="1"/>
  <c r="AI200" i="4" s="1"/>
  <c r="AK317" i="4"/>
  <c r="AK304" i="4"/>
  <c r="AE304" i="4"/>
  <c r="AH304" i="4" s="1"/>
  <c r="AI304" i="4" s="1"/>
  <c r="AH340" i="4"/>
  <c r="AI340" i="4" s="1"/>
  <c r="AH336" i="4"/>
  <c r="AI336" i="4" s="1"/>
  <c r="AH332" i="4"/>
  <c r="AI332" i="4" s="1"/>
  <c r="AH328" i="4"/>
  <c r="AI328" i="4" s="1"/>
  <c r="AH320" i="4"/>
  <c r="AI320" i="4" s="1"/>
  <c r="AF312" i="4"/>
  <c r="AH312" i="4" s="1"/>
  <c r="AI312" i="4" s="1"/>
  <c r="AL312" i="4"/>
  <c r="AH305" i="4"/>
  <c r="AI305" i="4" s="1"/>
  <c r="AM295" i="4"/>
  <c r="AG295" i="4"/>
  <c r="AH295" i="4" s="1"/>
  <c r="AI295" i="4" s="1"/>
  <c r="AH310" i="4"/>
  <c r="AI310" i="4" s="1"/>
  <c r="AH291" i="4"/>
  <c r="AI291" i="4" s="1"/>
  <c r="AF371" i="4"/>
  <c r="AL370" i="4"/>
  <c r="AF368" i="4"/>
  <c r="AH368" i="4" s="1"/>
  <c r="AI368" i="4" s="1"/>
  <c r="AG317" i="4"/>
  <c r="AH317" i="4" s="1"/>
  <c r="AI317" i="4" s="1"/>
  <c r="AF315" i="4"/>
  <c r="AK309" i="4"/>
  <c r="AE309" i="4"/>
  <c r="AH309" i="4" s="1"/>
  <c r="AI309" i="4" s="1"/>
  <c r="AL302" i="4"/>
  <c r="AF302" i="4"/>
  <c r="AE287" i="4"/>
  <c r="AK287" i="4"/>
  <c r="AM250" i="4"/>
  <c r="AG250" i="4"/>
  <c r="AG357" i="4"/>
  <c r="AH357" i="4" s="1"/>
  <c r="AI357" i="4" s="1"/>
  <c r="AG349" i="4"/>
  <c r="AH349" i="4" s="1"/>
  <c r="AI349" i="4" s="1"/>
  <c r="AG341" i="4"/>
  <c r="AH341" i="4" s="1"/>
  <c r="AI341" i="4" s="1"/>
  <c r="AF339" i="4"/>
  <c r="AH339" i="4" s="1"/>
  <c r="AI339" i="4" s="1"/>
  <c r="AG333" i="4"/>
  <c r="AH333" i="4" s="1"/>
  <c r="AI333" i="4" s="1"/>
  <c r="AF331" i="4"/>
  <c r="AH331" i="4" s="1"/>
  <c r="AI331" i="4" s="1"/>
  <c r="AF323" i="4"/>
  <c r="AH323" i="4" s="1"/>
  <c r="AI323" i="4" s="1"/>
  <c r="AE315" i="4"/>
  <c r="AH315" i="4" s="1"/>
  <c r="AI315" i="4" s="1"/>
  <c r="AG285" i="4"/>
  <c r="AH285" i="4" s="1"/>
  <c r="AI285" i="4" s="1"/>
  <c r="AM285" i="4"/>
  <c r="AH359" i="4"/>
  <c r="AI359" i="4" s="1"/>
  <c r="AH351" i="4"/>
  <c r="AI351" i="4" s="1"/>
  <c r="AH343" i="4"/>
  <c r="AI343" i="4" s="1"/>
  <c r="AH335" i="4"/>
  <c r="AI335" i="4" s="1"/>
  <c r="AH327" i="4"/>
  <c r="AI327" i="4" s="1"/>
  <c r="AH319" i="4"/>
  <c r="AI319" i="4" s="1"/>
  <c r="AH311" i="4"/>
  <c r="AI311" i="4" s="1"/>
  <c r="AF292" i="4"/>
  <c r="AH292" i="4" s="1"/>
  <c r="AI292" i="4" s="1"/>
  <c r="AL292" i="4"/>
  <c r="AG306" i="4"/>
  <c r="AH306" i="4" s="1"/>
  <c r="AI306" i="4" s="1"/>
  <c r="AH298" i="4"/>
  <c r="AI298" i="4" s="1"/>
  <c r="AE293" i="4"/>
  <c r="AH293" i="4" s="1"/>
  <c r="AI293" i="4" s="1"/>
  <c r="AK292" i="4"/>
  <c r="AG291" i="4"/>
  <c r="AE288" i="4"/>
  <c r="AH288" i="4" s="1"/>
  <c r="AI288" i="4" s="1"/>
  <c r="AF286" i="4"/>
  <c r="AH286" i="4" s="1"/>
  <c r="AI286" i="4" s="1"/>
  <c r="AF281" i="4"/>
  <c r="AH281" i="4" s="1"/>
  <c r="AI281" i="4" s="1"/>
  <c r="AL280" i="4"/>
  <c r="AE276" i="4"/>
  <c r="AH276" i="4" s="1"/>
  <c r="AI276" i="4" s="1"/>
  <c r="AH275" i="4"/>
  <c r="AI275" i="4" s="1"/>
  <c r="AL272" i="4"/>
  <c r="AF272" i="4"/>
  <c r="AH272" i="4" s="1"/>
  <c r="AI272" i="4" s="1"/>
  <c r="AM271" i="4"/>
  <c r="AG271" i="4"/>
  <c r="AH266" i="4"/>
  <c r="AI266" i="4" s="1"/>
  <c r="AK256" i="4"/>
  <c r="AE256" i="4"/>
  <c r="AK271" i="4"/>
  <c r="AE271" i="4"/>
  <c r="AL308" i="4"/>
  <c r="AH294" i="4"/>
  <c r="AI294" i="4" s="1"/>
  <c r="AE289" i="4"/>
  <c r="AH289" i="4" s="1"/>
  <c r="AI289" i="4" s="1"/>
  <c r="AG287" i="4"/>
  <c r="AK283" i="4"/>
  <c r="AM281" i="4"/>
  <c r="AK241" i="4"/>
  <c r="AE241" i="4"/>
  <c r="AH241" i="4" s="1"/>
  <c r="AI241" i="4" s="1"/>
  <c r="AK303" i="4"/>
  <c r="AM301" i="4"/>
  <c r="AL296" i="4"/>
  <c r="AH282" i="4"/>
  <c r="AI282" i="4" s="1"/>
  <c r="AM273" i="4"/>
  <c r="AG273" i="4"/>
  <c r="AH273" i="4" s="1"/>
  <c r="AI273" i="4" s="1"/>
  <c r="AL270" i="4"/>
  <c r="AF270" i="4"/>
  <c r="AH270" i="4" s="1"/>
  <c r="AI270" i="4" s="1"/>
  <c r="AH267" i="4"/>
  <c r="AI267" i="4" s="1"/>
  <c r="AL230" i="4"/>
  <c r="AF230" i="4"/>
  <c r="AH302" i="4"/>
  <c r="AI302" i="4" s="1"/>
  <c r="AE297" i="4"/>
  <c r="AK291" i="4"/>
  <c r="AF290" i="4"/>
  <c r="AH290" i="4" s="1"/>
  <c r="AI290" i="4" s="1"/>
  <c r="AM289" i="4"/>
  <c r="AL284" i="4"/>
  <c r="AM261" i="4"/>
  <c r="AG261" i="4"/>
  <c r="AH261" i="4" s="1"/>
  <c r="AI261" i="4" s="1"/>
  <c r="AH224" i="4"/>
  <c r="AI224" i="4" s="1"/>
  <c r="AG283" i="4"/>
  <c r="AH283" i="4" s="1"/>
  <c r="AI283" i="4" s="1"/>
  <c r="AK279" i="4"/>
  <c r="AF253" i="4"/>
  <c r="AH253" i="4" s="1"/>
  <c r="AI253" i="4" s="1"/>
  <c r="AL253" i="4"/>
  <c r="AL249" i="4"/>
  <c r="AF249" i="4"/>
  <c r="AH249" i="4" s="1"/>
  <c r="AI249" i="4" s="1"/>
  <c r="AK245" i="4"/>
  <c r="AE245" i="4"/>
  <c r="AH245" i="4" s="1"/>
  <c r="AI245" i="4" s="1"/>
  <c r="AL235" i="4"/>
  <c r="AF235" i="4"/>
  <c r="AM227" i="4"/>
  <c r="AG227" i="4"/>
  <c r="AL217" i="4"/>
  <c r="AF217" i="4"/>
  <c r="AH278" i="4"/>
  <c r="AI278" i="4" s="1"/>
  <c r="AK269" i="4"/>
  <c r="AE269" i="4"/>
  <c r="AH269" i="4" s="1"/>
  <c r="AI269" i="4" s="1"/>
  <c r="AL242" i="4"/>
  <c r="AF242" i="4"/>
  <c r="AL266" i="4"/>
  <c r="AF263" i="4"/>
  <c r="AM262" i="4"/>
  <c r="AG260" i="4"/>
  <c r="AH260" i="4" s="1"/>
  <c r="AI260" i="4" s="1"/>
  <c r="AM259" i="4"/>
  <c r="AG256" i="4"/>
  <c r="AH255" i="4"/>
  <c r="AI255" i="4" s="1"/>
  <c r="AL254" i="4"/>
  <c r="AM247" i="4"/>
  <c r="AK246" i="4"/>
  <c r="AE240" i="4"/>
  <c r="AH240" i="4" s="1"/>
  <c r="AI240" i="4" s="1"/>
  <c r="AH235" i="4"/>
  <c r="AI235" i="4" s="1"/>
  <c r="AM231" i="4"/>
  <c r="AK208" i="4"/>
  <c r="AE208" i="4"/>
  <c r="AH208" i="4" s="1"/>
  <c r="AI208" i="4" s="1"/>
  <c r="AH206" i="4"/>
  <c r="AI206" i="4" s="1"/>
  <c r="AM202" i="4"/>
  <c r="AG202" i="4"/>
  <c r="AK192" i="4"/>
  <c r="AE192" i="4"/>
  <c r="AH192" i="4" s="1"/>
  <c r="AI192" i="4" s="1"/>
  <c r="AH263" i="4"/>
  <c r="AI263" i="4" s="1"/>
  <c r="AH227" i="4"/>
  <c r="AI227" i="4" s="1"/>
  <c r="AL201" i="4"/>
  <c r="AF201" i="4"/>
  <c r="AM194" i="4"/>
  <c r="AG194" i="4"/>
  <c r="AK252" i="4"/>
  <c r="AE242" i="4"/>
  <c r="AH230" i="4"/>
  <c r="AI230" i="4" s="1"/>
  <c r="AM226" i="4"/>
  <c r="AK216" i="4"/>
  <c r="AE216" i="4"/>
  <c r="AH216" i="4" s="1"/>
  <c r="AI216" i="4" s="1"/>
  <c r="AM210" i="4"/>
  <c r="AG210" i="4"/>
  <c r="AF265" i="4"/>
  <c r="AH265" i="4" s="1"/>
  <c r="AI265" i="4" s="1"/>
  <c r="AK260" i="4"/>
  <c r="AE257" i="4"/>
  <c r="AH257" i="4" s="1"/>
  <c r="AI257" i="4" s="1"/>
  <c r="AE250" i="4"/>
  <c r="AL245" i="4"/>
  <c r="AF243" i="4"/>
  <c r="AH243" i="4" s="1"/>
  <c r="AI243" i="4" s="1"/>
  <c r="AM238" i="4"/>
  <c r="AE233" i="4"/>
  <c r="AH233" i="4" s="1"/>
  <c r="AI233" i="4" s="1"/>
  <c r="AE225" i="4"/>
  <c r="AH225" i="4" s="1"/>
  <c r="AI225" i="4" s="1"/>
  <c r="AK224" i="4"/>
  <c r="AH223" i="4"/>
  <c r="AI223" i="4" s="1"/>
  <c r="AM218" i="4"/>
  <c r="AG218" i="4"/>
  <c r="AH197" i="4"/>
  <c r="AI197" i="4" s="1"/>
  <c r="AL193" i="4"/>
  <c r="AF193" i="4"/>
  <c r="AE258" i="4"/>
  <c r="AH258" i="4" s="1"/>
  <c r="AI258" i="4" s="1"/>
  <c r="AF251" i="4"/>
  <c r="AH251" i="4" s="1"/>
  <c r="AI251" i="4" s="1"/>
  <c r="AH239" i="4"/>
  <c r="AI239" i="4" s="1"/>
  <c r="AL209" i="4"/>
  <c r="AF209" i="4"/>
  <c r="AG244" i="4"/>
  <c r="AH244" i="4" s="1"/>
  <c r="AI244" i="4" s="1"/>
  <c r="AH231" i="4"/>
  <c r="AI231" i="4" s="1"/>
  <c r="AH220" i="4"/>
  <c r="AI220" i="4" s="1"/>
  <c r="AH213" i="4"/>
  <c r="AI213" i="4" s="1"/>
  <c r="AG219" i="4"/>
  <c r="AH219" i="4" s="1"/>
  <c r="AI219" i="4" s="1"/>
  <c r="AF218" i="4"/>
  <c r="AE217" i="4"/>
  <c r="AH217" i="4" s="1"/>
  <c r="AI217" i="4" s="1"/>
  <c r="AG211" i="4"/>
  <c r="AH211" i="4" s="1"/>
  <c r="AI211" i="4" s="1"/>
  <c r="AF210" i="4"/>
  <c r="AH210" i="4" s="1"/>
  <c r="AI210" i="4" s="1"/>
  <c r="AE209" i="4"/>
  <c r="AG203" i="4"/>
  <c r="AH203" i="4" s="1"/>
  <c r="AI203" i="4" s="1"/>
  <c r="AF202" i="4"/>
  <c r="AH202" i="4" s="1"/>
  <c r="AI202" i="4" s="1"/>
  <c r="AE201" i="4"/>
  <c r="AG195" i="4"/>
  <c r="AH195" i="4" s="1"/>
  <c r="AI195" i="4" s="1"/>
  <c r="AF194" i="4"/>
  <c r="AE193" i="4"/>
  <c r="AH193" i="4" s="1"/>
  <c r="AI193" i="4" s="1"/>
  <c r="AH188" i="4"/>
  <c r="AI188" i="4" s="1"/>
  <c r="AM188" i="4"/>
  <c r="AK188" i="4"/>
  <c r="AH186" i="4"/>
  <c r="AI186" i="4" s="1"/>
  <c r="AM189" i="4"/>
  <c r="AM187" i="4"/>
  <c r="AL189" i="4"/>
  <c r="AL187" i="4"/>
  <c r="AK189" i="4"/>
  <c r="AK187" i="4"/>
  <c r="AH180" i="4"/>
  <c r="AI180" i="4" s="1"/>
  <c r="AH172" i="4"/>
  <c r="AI172" i="4" s="1"/>
  <c r="AI153" i="4"/>
  <c r="AF164" i="4"/>
  <c r="AH164" i="4" s="1"/>
  <c r="AL185" i="4"/>
  <c r="AL183" i="4"/>
  <c r="AL181" i="4"/>
  <c r="AL179" i="4"/>
  <c r="AL177" i="4"/>
  <c r="AL175" i="4"/>
  <c r="AL173" i="4"/>
  <c r="AL171" i="4"/>
  <c r="AL169" i="4"/>
  <c r="AL167" i="4"/>
  <c r="AL165" i="4"/>
  <c r="AL163" i="4"/>
  <c r="AL161" i="4"/>
  <c r="AL159" i="4"/>
  <c r="AL157" i="4"/>
  <c r="AL155" i="4"/>
  <c r="AL153" i="4"/>
  <c r="AM186" i="4"/>
  <c r="AM184" i="4"/>
  <c r="AM182" i="4"/>
  <c r="AM180" i="4"/>
  <c r="AM178" i="4"/>
  <c r="AM176" i="4"/>
  <c r="AM174" i="4"/>
  <c r="AM172" i="4"/>
  <c r="AM170" i="4"/>
  <c r="AM168" i="4"/>
  <c r="AM166" i="4"/>
  <c r="AM164" i="4"/>
  <c r="AM162" i="4"/>
  <c r="AM160" i="4"/>
  <c r="AM158" i="4"/>
  <c r="AM156" i="4"/>
  <c r="AM154" i="4"/>
  <c r="AE184" i="4"/>
  <c r="AH184" i="4" s="1"/>
  <c r="AI184" i="4" s="1"/>
  <c r="AL186" i="4"/>
  <c r="AL184" i="4"/>
  <c r="AL182" i="4"/>
  <c r="AL180" i="4"/>
  <c r="AL178" i="4"/>
  <c r="AL176" i="4"/>
  <c r="AL174" i="4"/>
  <c r="AL172" i="4"/>
  <c r="AL170" i="4"/>
  <c r="AL168" i="4"/>
  <c r="AL166" i="4"/>
  <c r="AL162" i="4"/>
  <c r="AL160" i="4"/>
  <c r="AL158" i="4"/>
  <c r="AL154" i="4"/>
  <c r="AE176" i="4"/>
  <c r="AH176" i="4" s="1"/>
  <c r="AI176" i="4" s="1"/>
  <c r="AK186" i="4"/>
  <c r="AK182" i="4"/>
  <c r="AK180" i="4"/>
  <c r="AK178" i="4"/>
  <c r="AK174" i="4"/>
  <c r="AK172" i="4"/>
  <c r="AK170" i="4"/>
  <c r="AK166" i="4"/>
  <c r="AK164" i="4"/>
  <c r="AK162" i="4"/>
  <c r="AK160" i="4"/>
  <c r="AK158" i="4"/>
  <c r="AK156" i="4"/>
  <c r="AK154" i="4"/>
  <c r="AM185" i="4"/>
  <c r="AM183" i="4"/>
  <c r="AM181" i="4"/>
  <c r="AM179" i="4"/>
  <c r="AM177" i="4"/>
  <c r="AM175" i="4"/>
  <c r="AM173" i="4"/>
  <c r="AM171" i="4"/>
  <c r="AM169" i="4"/>
  <c r="AM167" i="4"/>
  <c r="AM165" i="4"/>
  <c r="AM163" i="4"/>
  <c r="AM161" i="4"/>
  <c r="AM159" i="4"/>
  <c r="AM157" i="4"/>
  <c r="AM155" i="4"/>
  <c r="AM153" i="4"/>
  <c r="C3" i="5"/>
  <c r="D3" i="5"/>
  <c r="E3" i="5"/>
  <c r="C8" i="5"/>
  <c r="F3" i="5"/>
  <c r="J3" i="5"/>
  <c r="G8" i="5"/>
  <c r="D8" i="5"/>
  <c r="F8" i="5"/>
  <c r="E8" i="5"/>
  <c r="R32" i="1"/>
  <c r="Q32" i="1" s="1"/>
  <c r="V32" i="1"/>
  <c r="V33" i="1"/>
  <c r="V34" i="1" s="1"/>
  <c r="AH44" i="1"/>
  <c r="AH45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43" i="1"/>
  <c r="AH256" i="4" l="1"/>
  <c r="AI256" i="4" s="1"/>
  <c r="D9" i="5"/>
  <c r="AH218" i="4"/>
  <c r="AI218" i="4" s="1"/>
  <c r="AH469" i="4"/>
  <c r="AI469" i="4" s="1"/>
  <c r="AH453" i="4"/>
  <c r="AI453" i="4" s="1"/>
  <c r="AH546" i="4"/>
  <c r="AI546" i="4" s="1"/>
  <c r="AH562" i="4"/>
  <c r="AI562" i="4" s="1"/>
  <c r="AH468" i="4"/>
  <c r="AI468" i="4" s="1"/>
  <c r="AH610" i="4"/>
  <c r="AI610" i="4" s="1"/>
  <c r="AH693" i="4"/>
  <c r="AI693" i="4" s="1"/>
  <c r="AH709" i="4"/>
  <c r="AI709" i="4" s="1"/>
  <c r="AH725" i="4"/>
  <c r="AI725" i="4" s="1"/>
  <c r="AH691" i="4"/>
  <c r="AI691" i="4" s="1"/>
  <c r="AH707" i="4"/>
  <c r="AI707" i="4" s="1"/>
  <c r="AH824" i="4"/>
  <c r="AI824" i="4" s="1"/>
  <c r="AH808" i="4"/>
  <c r="AI808" i="4" s="1"/>
  <c r="AH825" i="4"/>
  <c r="AI825" i="4" s="1"/>
  <c r="AH839" i="4"/>
  <c r="AI839" i="4" s="1"/>
  <c r="AH909" i="4"/>
  <c r="AI909" i="4" s="1"/>
  <c r="AH852" i="4"/>
  <c r="AI852" i="4" s="1"/>
  <c r="AH870" i="4"/>
  <c r="AI870" i="4" s="1"/>
  <c r="AH910" i="4"/>
  <c r="AI910" i="4" s="1"/>
  <c r="AH917" i="4"/>
  <c r="AI917" i="4" s="1"/>
  <c r="AH996" i="4"/>
  <c r="AI996" i="4" s="1"/>
  <c r="AH1019" i="4"/>
  <c r="AI1019" i="4" s="1"/>
  <c r="AH1051" i="4"/>
  <c r="AI1051" i="4" s="1"/>
  <c r="AH846" i="4"/>
  <c r="AI846" i="4" s="1"/>
  <c r="AH860" i="4"/>
  <c r="AI860" i="4" s="1"/>
  <c r="AH878" i="4"/>
  <c r="AI878" i="4" s="1"/>
  <c r="AH926" i="4"/>
  <c r="AI926" i="4" s="1"/>
  <c r="AH933" i="4"/>
  <c r="AI933" i="4" s="1"/>
  <c r="AH940" i="4"/>
  <c r="AI940" i="4" s="1"/>
  <c r="AH948" i="4"/>
  <c r="AI948" i="4" s="1"/>
  <c r="AH956" i="4"/>
  <c r="AI956" i="4" s="1"/>
  <c r="AH831" i="4"/>
  <c r="AI831" i="4" s="1"/>
  <c r="AH1093" i="4"/>
  <c r="AI1093" i="4" s="1"/>
  <c r="AH1177" i="4"/>
  <c r="AI1177" i="4" s="1"/>
  <c r="AH1178" i="4"/>
  <c r="AI1178" i="4" s="1"/>
  <c r="AH1193" i="4"/>
  <c r="AI1193" i="4" s="1"/>
  <c r="AH1420" i="4"/>
  <c r="AI1420" i="4" s="1"/>
  <c r="AH61" i="4"/>
  <c r="AI61" i="4" s="1"/>
  <c r="AH69" i="4"/>
  <c r="AI69" i="4" s="1"/>
  <c r="AH77" i="4"/>
  <c r="AI77" i="4" s="1"/>
  <c r="AH85" i="4"/>
  <c r="AI85" i="4" s="1"/>
  <c r="AH93" i="4"/>
  <c r="AI93" i="4" s="1"/>
  <c r="AH101" i="4"/>
  <c r="AI101" i="4" s="1"/>
  <c r="AH109" i="4"/>
  <c r="AI109" i="4" s="1"/>
  <c r="AH117" i="4"/>
  <c r="AI117" i="4" s="1"/>
  <c r="AH125" i="4"/>
  <c r="AI125" i="4" s="1"/>
  <c r="AH141" i="4"/>
  <c r="AI141" i="4" s="1"/>
  <c r="AH207" i="4"/>
  <c r="AI207" i="4" s="1"/>
  <c r="AH118" i="4"/>
  <c r="AI118" i="4" s="1"/>
  <c r="AH126" i="4"/>
  <c r="AI126" i="4" s="1"/>
  <c r="AH134" i="4"/>
  <c r="AI134" i="4" s="1"/>
  <c r="AH142" i="4"/>
  <c r="AI142" i="4" s="1"/>
  <c r="AH9" i="4"/>
  <c r="AI9" i="4" s="1"/>
  <c r="AH25" i="4"/>
  <c r="AI25" i="4" s="1"/>
  <c r="AH41" i="4"/>
  <c r="AI41" i="4" s="1"/>
  <c r="AH71" i="4"/>
  <c r="AI71" i="4" s="1"/>
  <c r="AH79" i="4"/>
  <c r="AI79" i="4" s="1"/>
  <c r="AH111" i="4"/>
  <c r="AI111" i="4" s="1"/>
  <c r="AH119" i="4"/>
  <c r="AI119" i="4" s="1"/>
  <c r="AH127" i="4"/>
  <c r="AI127" i="4" s="1"/>
  <c r="AH135" i="4"/>
  <c r="AI135" i="4" s="1"/>
  <c r="AH143" i="4"/>
  <c r="AI143" i="4" s="1"/>
  <c r="AH64" i="4"/>
  <c r="AI64" i="4" s="1"/>
  <c r="AH80" i="4"/>
  <c r="AI80" i="4" s="1"/>
  <c r="AH96" i="4"/>
  <c r="AI96" i="4" s="1"/>
  <c r="AH112" i="4"/>
  <c r="AI112" i="4" s="1"/>
  <c r="AH128" i="4"/>
  <c r="AI128" i="4" s="1"/>
  <c r="AH31" i="4"/>
  <c r="AI31" i="4" s="1"/>
  <c r="AH16" i="4"/>
  <c r="AI16" i="4" s="1"/>
  <c r="AH32" i="4"/>
  <c r="AI32" i="4" s="1"/>
  <c r="AH75" i="4"/>
  <c r="AI75" i="4" s="1"/>
  <c r="AH83" i="4"/>
  <c r="AI83" i="4" s="1"/>
  <c r="AH115" i="4"/>
  <c r="AI115" i="4" s="1"/>
  <c r="AH131" i="4"/>
  <c r="AI131" i="4" s="1"/>
  <c r="AH147" i="4"/>
  <c r="AI147" i="4" s="1"/>
  <c r="AH6" i="4"/>
  <c r="AI6" i="4" s="1"/>
  <c r="AH151" i="4"/>
  <c r="AI151" i="4" s="1"/>
  <c r="AH254" i="4"/>
  <c r="AI254" i="4" s="1"/>
  <c r="AH362" i="4"/>
  <c r="AI362" i="4" s="1"/>
  <c r="AH366" i="4"/>
  <c r="AI366" i="4" s="1"/>
  <c r="AH400" i="4"/>
  <c r="AI400" i="4" s="1"/>
  <c r="AH424" i="4"/>
  <c r="AI424" i="4" s="1"/>
  <c r="AH442" i="4"/>
  <c r="AI442" i="4" s="1"/>
  <c r="AH387" i="4"/>
  <c r="AI387" i="4" s="1"/>
  <c r="AH395" i="4"/>
  <c r="AI395" i="4" s="1"/>
  <c r="AH411" i="4"/>
  <c r="AI411" i="4" s="1"/>
  <c r="AH500" i="4"/>
  <c r="AI500" i="4" s="1"/>
  <c r="AH508" i="4"/>
  <c r="AI508" i="4" s="1"/>
  <c r="AH520" i="4"/>
  <c r="AI520" i="4" s="1"/>
  <c r="AH528" i="4"/>
  <c r="AI528" i="4" s="1"/>
  <c r="AH619" i="4"/>
  <c r="AI619" i="4" s="1"/>
  <c r="AH688" i="4"/>
  <c r="AI688" i="4" s="1"/>
  <c r="AH744" i="4"/>
  <c r="AI744" i="4" s="1"/>
  <c r="AH795" i="4"/>
  <c r="AI795" i="4" s="1"/>
  <c r="AH803" i="4"/>
  <c r="AI803" i="4" s="1"/>
  <c r="AH842" i="4"/>
  <c r="AI842" i="4" s="1"/>
  <c r="O9" i="5"/>
  <c r="N8" i="5"/>
  <c r="N9" i="5"/>
  <c r="AH617" i="4"/>
  <c r="AI617" i="4" s="1"/>
  <c r="AH66" i="4"/>
  <c r="AI66" i="4" s="1"/>
  <c r="AH296" i="4"/>
  <c r="AI296" i="4" s="1"/>
  <c r="AH346" i="4"/>
  <c r="AI346" i="4" s="1"/>
  <c r="AH383" i="4"/>
  <c r="AI383" i="4" s="1"/>
  <c r="AH407" i="4"/>
  <c r="AI407" i="4" s="1"/>
  <c r="AH237" i="4"/>
  <c r="AI237" i="4" s="1"/>
  <c r="AH549" i="4"/>
  <c r="AI549" i="4" s="1"/>
  <c r="AH581" i="4"/>
  <c r="AI581" i="4" s="1"/>
  <c r="AH752" i="4"/>
  <c r="AI752" i="4" s="1"/>
  <c r="O10" i="5"/>
  <c r="S35" i="8"/>
  <c r="AK42" i="8"/>
  <c r="AR42" i="8" s="1"/>
  <c r="S37" i="8"/>
  <c r="S45" i="8"/>
  <c r="S36" i="8"/>
  <c r="S46" i="8"/>
  <c r="AX18" i="8"/>
  <c r="S47" i="8"/>
  <c r="S44" i="8"/>
  <c r="S38" i="8"/>
  <c r="AK59" i="8"/>
  <c r="AO59" i="8" s="1"/>
  <c r="AK66" i="8"/>
  <c r="AQ66" i="8" s="1"/>
  <c r="AK62" i="8"/>
  <c r="AP62" i="8" s="1"/>
  <c r="AK44" i="8"/>
  <c r="AR44" i="8" s="1"/>
  <c r="AK65" i="8"/>
  <c r="AR65" i="8" s="1"/>
  <c r="AK60" i="8"/>
  <c r="AR60" i="8" s="1"/>
  <c r="AK43" i="8"/>
  <c r="AQ43" i="8" s="1"/>
  <c r="AK40" i="8"/>
  <c r="AO40" i="8" s="1"/>
  <c r="AK45" i="8"/>
  <c r="AR45" i="8" s="1"/>
  <c r="AK61" i="8"/>
  <c r="AR61" i="8" s="1"/>
  <c r="AK47" i="8"/>
  <c r="AP47" i="8" s="1"/>
  <c r="AK48" i="8"/>
  <c r="AP48" i="8" s="1"/>
  <c r="AK46" i="8"/>
  <c r="AR46" i="8" s="1"/>
  <c r="AK49" i="8"/>
  <c r="AO49" i="8" s="1"/>
  <c r="AK63" i="8"/>
  <c r="AQ63" i="8" s="1"/>
  <c r="AK64" i="8"/>
  <c r="AP64" i="8" s="1"/>
  <c r="AK39" i="8"/>
  <c r="AP39" i="8" s="1"/>
  <c r="AP41" i="8"/>
  <c r="AO41" i="8"/>
  <c r="AR41" i="8"/>
  <c r="AO57" i="8"/>
  <c r="AP57" i="8"/>
  <c r="AQ57" i="8"/>
  <c r="AJ31" i="8"/>
  <c r="AP54" i="8"/>
  <c r="AR54" i="8"/>
  <c r="AQ54" i="8"/>
  <c r="AO54" i="8"/>
  <c r="AR35" i="8"/>
  <c r="AO35" i="8"/>
  <c r="AQ35" i="8"/>
  <c r="AP35" i="8"/>
  <c r="AR34" i="8"/>
  <c r="AO34" i="8"/>
  <c r="AQ34" i="8"/>
  <c r="AP34" i="8"/>
  <c r="AP53" i="8"/>
  <c r="AR53" i="8"/>
  <c r="AQ53" i="8"/>
  <c r="AO53" i="8"/>
  <c r="AP37" i="8"/>
  <c r="AR37" i="8"/>
  <c r="AO37" i="8"/>
  <c r="AQ37" i="8"/>
  <c r="AP36" i="8"/>
  <c r="AR36" i="8"/>
  <c r="AO36" i="8"/>
  <c r="AQ36" i="8"/>
  <c r="AR58" i="8"/>
  <c r="AQ58" i="8"/>
  <c r="AO58" i="8"/>
  <c r="AP58" i="8"/>
  <c r="AR52" i="8"/>
  <c r="AQ52" i="8"/>
  <c r="AO52" i="8"/>
  <c r="AP52" i="8"/>
  <c r="AR50" i="8"/>
  <c r="AQ50" i="8"/>
  <c r="AO50" i="8"/>
  <c r="AP50" i="8"/>
  <c r="AR51" i="8"/>
  <c r="AQ51" i="8"/>
  <c r="AO51" i="8"/>
  <c r="AP51" i="8"/>
  <c r="AP38" i="8"/>
  <c r="AR38" i="8"/>
  <c r="AQ38" i="8"/>
  <c r="AO38" i="8"/>
  <c r="AQ55" i="8"/>
  <c r="AO55" i="8"/>
  <c r="AP55" i="8"/>
  <c r="AR55" i="8"/>
  <c r="AQ56" i="8"/>
  <c r="AO56" i="8"/>
  <c r="AP56" i="8"/>
  <c r="AR56" i="8"/>
  <c r="Y68" i="6"/>
  <c r="AD68" i="6" s="1"/>
  <c r="AL68" i="6"/>
  <c r="Y69" i="6"/>
  <c r="AD69" i="6" s="1"/>
  <c r="AL69" i="6"/>
  <c r="Y71" i="6"/>
  <c r="AD71" i="6" s="1"/>
  <c r="AL71" i="6"/>
  <c r="X92" i="6"/>
  <c r="AC92" i="6" s="1"/>
  <c r="AK92" i="6"/>
  <c r="Y76" i="6"/>
  <c r="AD76" i="6" s="1"/>
  <c r="AL76" i="6"/>
  <c r="Y77" i="6"/>
  <c r="AD77" i="6" s="1"/>
  <c r="AL77" i="6"/>
  <c r="W74" i="6"/>
  <c r="AH74" i="6"/>
  <c r="X79" i="6"/>
  <c r="AC79" i="6" s="1"/>
  <c r="AK79" i="6"/>
  <c r="Y79" i="6"/>
  <c r="AD79" i="6" s="1"/>
  <c r="AL79" i="6"/>
  <c r="W76" i="6"/>
  <c r="AH76" i="6"/>
  <c r="W93" i="6"/>
  <c r="AH93" i="6"/>
  <c r="W26" i="6"/>
  <c r="AH26" i="6"/>
  <c r="AK14" i="6"/>
  <c r="X14" i="6"/>
  <c r="AC14" i="6" s="1"/>
  <c r="AK22" i="6"/>
  <c r="X22" i="6"/>
  <c r="AC22" i="6" s="1"/>
  <c r="AK31" i="6"/>
  <c r="X31" i="6"/>
  <c r="AC31" i="6" s="1"/>
  <c r="W63" i="6"/>
  <c r="AH63" i="6"/>
  <c r="W79" i="6"/>
  <c r="AH79" i="6"/>
  <c r="W28" i="6"/>
  <c r="AH28" i="6"/>
  <c r="AK8" i="6"/>
  <c r="X8" i="6"/>
  <c r="AC8" i="6" s="1"/>
  <c r="AK24" i="6"/>
  <c r="X24" i="6"/>
  <c r="AC24" i="6" s="1"/>
  <c r="AK64" i="6"/>
  <c r="X64" i="6"/>
  <c r="AC64" i="6" s="1"/>
  <c r="AK33" i="6"/>
  <c r="X33" i="6"/>
  <c r="AC33" i="6" s="1"/>
  <c r="Y73" i="6"/>
  <c r="AD73" i="6" s="1"/>
  <c r="AL73" i="6"/>
  <c r="W30" i="6"/>
  <c r="AH30" i="6"/>
  <c r="Y82" i="6"/>
  <c r="AD82" i="6" s="1"/>
  <c r="AL82" i="6"/>
  <c r="W16" i="6"/>
  <c r="AH16" i="6"/>
  <c r="AK27" i="6"/>
  <c r="X27" i="6"/>
  <c r="AC27" i="6" s="1"/>
  <c r="W43" i="6"/>
  <c r="AH43" i="6"/>
  <c r="X67" i="6"/>
  <c r="AC67" i="6" s="1"/>
  <c r="AK67" i="6"/>
  <c r="X91" i="6"/>
  <c r="AC91" i="6" s="1"/>
  <c r="AK91" i="6"/>
  <c r="AL4" i="6"/>
  <c r="Y4" i="6"/>
  <c r="AD4" i="6" s="1"/>
  <c r="AK28" i="6"/>
  <c r="X28" i="6"/>
  <c r="AC28" i="6" s="1"/>
  <c r="AK44" i="6"/>
  <c r="X44" i="6"/>
  <c r="AC44" i="6" s="1"/>
  <c r="AE44" i="6" s="1"/>
  <c r="AF44" i="6" s="1"/>
  <c r="AL60" i="6"/>
  <c r="Y60" i="6"/>
  <c r="AD60" i="6" s="1"/>
  <c r="Y67" i="6"/>
  <c r="AD67" i="6" s="1"/>
  <c r="AL67" i="6"/>
  <c r="Y84" i="6"/>
  <c r="AD84" i="6" s="1"/>
  <c r="AL84" i="6"/>
  <c r="Y85" i="6"/>
  <c r="AD85" i="6" s="1"/>
  <c r="AL85" i="6"/>
  <c r="W82" i="6"/>
  <c r="AH82" i="6"/>
  <c r="X87" i="6"/>
  <c r="AC87" i="6" s="1"/>
  <c r="AK87" i="6"/>
  <c r="Y87" i="6"/>
  <c r="AD87" i="6" s="1"/>
  <c r="AL87" i="6"/>
  <c r="W84" i="6"/>
  <c r="AH84" i="6"/>
  <c r="X65" i="6"/>
  <c r="AC65" i="6" s="1"/>
  <c r="AK65" i="6"/>
  <c r="W18" i="6"/>
  <c r="AH18" i="6"/>
  <c r="AL22" i="6"/>
  <c r="Y22" i="6"/>
  <c r="AD22" i="6" s="1"/>
  <c r="AK7" i="6"/>
  <c r="X7" i="6"/>
  <c r="AC7" i="6" s="1"/>
  <c r="AE7" i="6" s="1"/>
  <c r="AK47" i="6"/>
  <c r="X47" i="6"/>
  <c r="AC47" i="6" s="1"/>
  <c r="AE47" i="6" s="1"/>
  <c r="AF47" i="6" s="1"/>
  <c r="AH45" i="6"/>
  <c r="W45" i="6"/>
  <c r="AL40" i="6"/>
  <c r="Y40" i="6"/>
  <c r="AD40" i="6" s="1"/>
  <c r="AH13" i="6"/>
  <c r="W13" i="6"/>
  <c r="AK25" i="6"/>
  <c r="X25" i="6"/>
  <c r="AC25" i="6" s="1"/>
  <c r="W33" i="6"/>
  <c r="AH33" i="6"/>
  <c r="AK57" i="6"/>
  <c r="X57" i="6"/>
  <c r="AC57" i="6" s="1"/>
  <c r="AL50" i="6"/>
  <c r="Y50" i="6"/>
  <c r="AD50" i="6" s="1"/>
  <c r="X66" i="6"/>
  <c r="AC66" i="6" s="1"/>
  <c r="AK66" i="6"/>
  <c r="X90" i="6"/>
  <c r="AC90" i="6" s="1"/>
  <c r="AK90" i="6"/>
  <c r="AH35" i="6"/>
  <c r="W35" i="6"/>
  <c r="AL27" i="6"/>
  <c r="Y27" i="6"/>
  <c r="AD27" i="6" s="1"/>
  <c r="AK43" i="6"/>
  <c r="X43" i="6"/>
  <c r="AC43" i="6" s="1"/>
  <c r="W59" i="6"/>
  <c r="AH59" i="6"/>
  <c r="AK38" i="6"/>
  <c r="X38" i="6"/>
  <c r="AC38" i="6" s="1"/>
  <c r="W36" i="6"/>
  <c r="AH36" i="6"/>
  <c r="AK4" i="6"/>
  <c r="X4" i="6"/>
  <c r="AC4" i="6" s="1"/>
  <c r="AE4" i="6" s="1"/>
  <c r="W44" i="6"/>
  <c r="AH44" i="6"/>
  <c r="AK60" i="6"/>
  <c r="X60" i="6"/>
  <c r="AC60" i="6" s="1"/>
  <c r="AE60" i="6" s="1"/>
  <c r="AF60" i="6" s="1"/>
  <c r="Z56" i="6"/>
  <c r="AM56" i="6"/>
  <c r="AK29" i="6"/>
  <c r="X29" i="6"/>
  <c r="AC29" i="6" s="1"/>
  <c r="AL53" i="6"/>
  <c r="Y53" i="6"/>
  <c r="AD53" i="6" s="1"/>
  <c r="AE53" i="6" s="1"/>
  <c r="AF53" i="6" s="1"/>
  <c r="Z55" i="6"/>
  <c r="AM55" i="6"/>
  <c r="W70" i="6"/>
  <c r="AH70" i="6"/>
  <c r="Y75" i="6"/>
  <c r="AD75" i="6" s="1"/>
  <c r="AL75" i="6"/>
  <c r="Y92" i="6"/>
  <c r="AD92" i="6" s="1"/>
  <c r="AL92" i="6"/>
  <c r="Y93" i="6"/>
  <c r="AD93" i="6" s="1"/>
  <c r="AL93" i="6"/>
  <c r="X95" i="6"/>
  <c r="AC95" i="6" s="1"/>
  <c r="AK95" i="6"/>
  <c r="W92" i="6"/>
  <c r="AH92" i="6"/>
  <c r="X73" i="6"/>
  <c r="AC73" i="6" s="1"/>
  <c r="AE73" i="6" s="1"/>
  <c r="AF73" i="6" s="1"/>
  <c r="AK73" i="6"/>
  <c r="AK34" i="6"/>
  <c r="X34" i="6"/>
  <c r="AC34" i="6" s="1"/>
  <c r="AL26" i="6"/>
  <c r="Y26" i="6"/>
  <c r="AD26" i="6" s="1"/>
  <c r="W42" i="6"/>
  <c r="AH42" i="6"/>
  <c r="AK6" i="6"/>
  <c r="X6" i="6"/>
  <c r="AC6" i="6" s="1"/>
  <c r="AK23" i="6"/>
  <c r="X23" i="6"/>
  <c r="AC23" i="6" s="1"/>
  <c r="AL63" i="6"/>
  <c r="Y63" i="6"/>
  <c r="AD63" i="6" s="1"/>
  <c r="W87" i="6"/>
  <c r="AH87" i="6"/>
  <c r="W61" i="6"/>
  <c r="AH61" i="6"/>
  <c r="W32" i="6"/>
  <c r="AH32" i="6"/>
  <c r="AK40" i="6"/>
  <c r="X40" i="6"/>
  <c r="AC40" i="6" s="1"/>
  <c r="AE40" i="6" s="1"/>
  <c r="AF40" i="6" s="1"/>
  <c r="AK56" i="6"/>
  <c r="X56" i="6"/>
  <c r="AC56" i="6" s="1"/>
  <c r="AK13" i="6"/>
  <c r="X13" i="6"/>
  <c r="AC13" i="6" s="1"/>
  <c r="W29" i="6"/>
  <c r="AH29" i="6"/>
  <c r="AL17" i="6"/>
  <c r="Y17" i="6"/>
  <c r="AD17" i="6" s="1"/>
  <c r="AL25" i="6"/>
  <c r="Y25" i="6"/>
  <c r="AD25" i="6" s="1"/>
  <c r="AL57" i="6"/>
  <c r="Y57" i="6"/>
  <c r="AD57" i="6" s="1"/>
  <c r="W73" i="6"/>
  <c r="AH73" i="6"/>
  <c r="W51" i="6"/>
  <c r="AH51" i="6"/>
  <c r="AK19" i="6"/>
  <c r="X19" i="6"/>
  <c r="AC19" i="6" s="1"/>
  <c r="AL43" i="6"/>
  <c r="Y43" i="6"/>
  <c r="AD43" i="6" s="1"/>
  <c r="W52" i="6"/>
  <c r="AH52" i="6"/>
  <c r="W5" i="6"/>
  <c r="AH5" i="6"/>
  <c r="AL45" i="6"/>
  <c r="Y45" i="6"/>
  <c r="AD45" i="6" s="1"/>
  <c r="W90" i="6"/>
  <c r="AH90" i="6"/>
  <c r="Y95" i="6"/>
  <c r="AD95" i="6" s="1"/>
  <c r="AL95" i="6"/>
  <c r="Y83" i="6"/>
  <c r="AD83" i="6" s="1"/>
  <c r="AL83" i="6"/>
  <c r="X69" i="6"/>
  <c r="AC69" i="6" s="1"/>
  <c r="AE69" i="6" s="1"/>
  <c r="AK69" i="6"/>
  <c r="X70" i="6"/>
  <c r="AC70" i="6" s="1"/>
  <c r="AK70" i="6"/>
  <c r="Y70" i="6"/>
  <c r="AD70" i="6" s="1"/>
  <c r="AL70" i="6"/>
  <c r="W67" i="6"/>
  <c r="AH67" i="6"/>
  <c r="X72" i="6"/>
  <c r="AC72" i="6" s="1"/>
  <c r="AK72" i="6"/>
  <c r="W78" i="6"/>
  <c r="AH78" i="6"/>
  <c r="X81" i="6"/>
  <c r="AC81" i="6" s="1"/>
  <c r="AK81" i="6"/>
  <c r="AK42" i="6"/>
  <c r="X42" i="6"/>
  <c r="AC42" i="6" s="1"/>
  <c r="AL6" i="6"/>
  <c r="Y6" i="6"/>
  <c r="AD6" i="6" s="1"/>
  <c r="X82" i="6"/>
  <c r="AC82" i="6" s="1"/>
  <c r="AE82" i="6" s="1"/>
  <c r="AF82" i="6" s="1"/>
  <c r="AK82" i="6"/>
  <c r="W15" i="6"/>
  <c r="AH15" i="6"/>
  <c r="AL39" i="6"/>
  <c r="Y39" i="6"/>
  <c r="AD39" i="6" s="1"/>
  <c r="AK63" i="6"/>
  <c r="X63" i="6"/>
  <c r="AC63" i="6" s="1"/>
  <c r="AE63" i="6" s="1"/>
  <c r="AF63" i="6" s="1"/>
  <c r="W72" i="6"/>
  <c r="AH72" i="6"/>
  <c r="W46" i="6"/>
  <c r="AH46" i="6"/>
  <c r="W25" i="6"/>
  <c r="AH25" i="6"/>
  <c r="AK49" i="6"/>
  <c r="X49" i="6"/>
  <c r="AC49" i="6" s="1"/>
  <c r="W57" i="6"/>
  <c r="AH57" i="6"/>
  <c r="Y81" i="6"/>
  <c r="AD81" i="6" s="1"/>
  <c r="AL81" i="6"/>
  <c r="AK58" i="6"/>
  <c r="X58" i="6"/>
  <c r="AC58" i="6" s="1"/>
  <c r="Y66" i="6"/>
  <c r="AD66" i="6" s="1"/>
  <c r="AL66" i="6"/>
  <c r="Y90" i="6"/>
  <c r="AD90" i="6" s="1"/>
  <c r="AL90" i="6"/>
  <c r="Z4" i="6"/>
  <c r="AM4" i="6"/>
  <c r="AL19" i="6"/>
  <c r="Y19" i="6"/>
  <c r="AD19" i="6" s="1"/>
  <c r="AK59" i="6"/>
  <c r="X59" i="6"/>
  <c r="AC59" i="6" s="1"/>
  <c r="X75" i="6"/>
  <c r="AC75" i="6" s="1"/>
  <c r="AE75" i="6" s="1"/>
  <c r="AF75" i="6" s="1"/>
  <c r="AK75" i="6"/>
  <c r="AK20" i="6"/>
  <c r="X20" i="6"/>
  <c r="AC20" i="6" s="1"/>
  <c r="Z20" i="6"/>
  <c r="AM20" i="6"/>
  <c r="AL5" i="6"/>
  <c r="Y5" i="6"/>
  <c r="AD5" i="6" s="1"/>
  <c r="W21" i="6"/>
  <c r="AH21" i="6"/>
  <c r="Z39" i="6"/>
  <c r="AM39" i="6"/>
  <c r="AK62" i="6"/>
  <c r="X62" i="6"/>
  <c r="AC62" i="6" s="1"/>
  <c r="X86" i="6"/>
  <c r="AC86" i="6" s="1"/>
  <c r="AK86" i="6"/>
  <c r="Y91" i="6"/>
  <c r="AD91" i="6" s="1"/>
  <c r="AL91" i="6"/>
  <c r="X77" i="6"/>
  <c r="AC77" i="6" s="1"/>
  <c r="AE77" i="6" s="1"/>
  <c r="AF77" i="6" s="1"/>
  <c r="AK77" i="6"/>
  <c r="X78" i="6"/>
  <c r="AC78" i="6" s="1"/>
  <c r="AK78" i="6"/>
  <c r="Y78" i="6"/>
  <c r="AD78" i="6" s="1"/>
  <c r="AL78" i="6"/>
  <c r="W75" i="6"/>
  <c r="AH75" i="6"/>
  <c r="X80" i="6"/>
  <c r="AC80" i="6" s="1"/>
  <c r="AK80" i="6"/>
  <c r="W94" i="6"/>
  <c r="AH94" i="6"/>
  <c r="X89" i="6"/>
  <c r="AC89" i="6" s="1"/>
  <c r="AE89" i="6" s="1"/>
  <c r="AF89" i="6" s="1"/>
  <c r="AK89" i="6"/>
  <c r="W10" i="6"/>
  <c r="AH10" i="6"/>
  <c r="AL18" i="6"/>
  <c r="Y18" i="6"/>
  <c r="AD18" i="6" s="1"/>
  <c r="AE18" i="6" s="1"/>
  <c r="AF18" i="6" s="1"/>
  <c r="AK30" i="6"/>
  <c r="X30" i="6"/>
  <c r="AC30" i="6" s="1"/>
  <c r="W7" i="6"/>
  <c r="AH7" i="6"/>
  <c r="W31" i="6"/>
  <c r="AH31" i="6"/>
  <c r="W95" i="6"/>
  <c r="AH95" i="6"/>
  <c r="AK16" i="6"/>
  <c r="X16" i="6"/>
  <c r="AC16" i="6" s="1"/>
  <c r="AE16" i="6" s="1"/>
  <c r="AF16" i="6" s="1"/>
  <c r="AL32" i="6"/>
  <c r="Y32" i="6"/>
  <c r="AD32" i="6" s="1"/>
  <c r="AL48" i="6"/>
  <c r="Y48" i="6"/>
  <c r="AD48" i="6" s="1"/>
  <c r="W62" i="6"/>
  <c r="AH62" i="6"/>
  <c r="AK17" i="6"/>
  <c r="X17" i="6"/>
  <c r="AC17" i="6" s="1"/>
  <c r="AE17" i="6" s="1"/>
  <c r="AF17" i="6" s="1"/>
  <c r="AL49" i="6"/>
  <c r="Y49" i="6"/>
  <c r="AD49" i="6" s="1"/>
  <c r="AL23" i="6"/>
  <c r="Y23" i="6"/>
  <c r="AD23" i="6" s="1"/>
  <c r="X74" i="6"/>
  <c r="AC74" i="6" s="1"/>
  <c r="AK74" i="6"/>
  <c r="AK11" i="6"/>
  <c r="X11" i="6"/>
  <c r="AC11" i="6" s="1"/>
  <c r="AK35" i="6"/>
  <c r="X35" i="6"/>
  <c r="AC35" i="6" s="1"/>
  <c r="AL12" i="6"/>
  <c r="Y12" i="6"/>
  <c r="AD12" i="6" s="1"/>
  <c r="AL20" i="6"/>
  <c r="Y20" i="6"/>
  <c r="AD20" i="6" s="1"/>
  <c r="AK36" i="6"/>
  <c r="X36" i="6"/>
  <c r="AC36" i="6" s="1"/>
  <c r="AK52" i="6"/>
  <c r="X52" i="6"/>
  <c r="AC52" i="6" s="1"/>
  <c r="W38" i="6"/>
  <c r="AH38" i="6"/>
  <c r="AK5" i="6"/>
  <c r="X5" i="6"/>
  <c r="AC5" i="6" s="1"/>
  <c r="AL21" i="6"/>
  <c r="Y21" i="6"/>
  <c r="AD21" i="6" s="1"/>
  <c r="W37" i="6"/>
  <c r="AH37" i="6"/>
  <c r="AK45" i="6"/>
  <c r="X45" i="6"/>
  <c r="AC45" i="6" s="1"/>
  <c r="AE45" i="6" s="1"/>
  <c r="AF45" i="6" s="1"/>
  <c r="AL61" i="6"/>
  <c r="Y61" i="6"/>
  <c r="AD61" i="6" s="1"/>
  <c r="Z6" i="6"/>
  <c r="AM6" i="6"/>
  <c r="W54" i="6"/>
  <c r="AH54" i="6"/>
  <c r="X68" i="6"/>
  <c r="AC68" i="6" s="1"/>
  <c r="AE68" i="6" s="1"/>
  <c r="AK68" i="6"/>
  <c r="X85" i="6"/>
  <c r="AC85" i="6" s="1"/>
  <c r="AE85" i="6" s="1"/>
  <c r="AF85" i="6" s="1"/>
  <c r="AK85" i="6"/>
  <c r="W69" i="6"/>
  <c r="AH69" i="6"/>
  <c r="AK10" i="6"/>
  <c r="X10" i="6"/>
  <c r="AC10" i="6" s="1"/>
  <c r="W34" i="6"/>
  <c r="AH34" i="6"/>
  <c r="AL42" i="6"/>
  <c r="Y42" i="6"/>
  <c r="AD42" i="6" s="1"/>
  <c r="AL14" i="6"/>
  <c r="Y14" i="6"/>
  <c r="AD14" i="6" s="1"/>
  <c r="AH24" i="6"/>
  <c r="W24" i="6"/>
  <c r="AL15" i="6"/>
  <c r="Y15" i="6"/>
  <c r="AD15" i="6" s="1"/>
  <c r="AK39" i="6"/>
  <c r="X39" i="6"/>
  <c r="AC39" i="6" s="1"/>
  <c r="AE39" i="6" s="1"/>
  <c r="AF39" i="6" s="1"/>
  <c r="AL55" i="6"/>
  <c r="Y55" i="6"/>
  <c r="AD55" i="6" s="1"/>
  <c r="AK32" i="6"/>
  <c r="X32" i="6"/>
  <c r="AC32" i="6" s="1"/>
  <c r="AE32" i="6" s="1"/>
  <c r="AF32" i="6" s="1"/>
  <c r="AK48" i="6"/>
  <c r="X48" i="6"/>
  <c r="AC48" i="6" s="1"/>
  <c r="AE48" i="6" s="1"/>
  <c r="AF48" i="6" s="1"/>
  <c r="W64" i="6"/>
  <c r="AH64" i="6"/>
  <c r="W80" i="6"/>
  <c r="AH80" i="6"/>
  <c r="AL9" i="6"/>
  <c r="Y9" i="6"/>
  <c r="AD9" i="6" s="1"/>
  <c r="W17" i="6"/>
  <c r="AH17" i="6"/>
  <c r="AL41" i="6"/>
  <c r="Y41" i="6"/>
  <c r="AD41" i="6" s="1"/>
  <c r="W49" i="6"/>
  <c r="AH49" i="6"/>
  <c r="Y65" i="6"/>
  <c r="AD65" i="6" s="1"/>
  <c r="AL65" i="6"/>
  <c r="W81" i="6"/>
  <c r="AH81" i="6"/>
  <c r="AK50" i="6"/>
  <c r="X50" i="6"/>
  <c r="AC50" i="6" s="1"/>
  <c r="AE50" i="6" s="1"/>
  <c r="AF50" i="6" s="1"/>
  <c r="W58" i="6"/>
  <c r="AH58" i="6"/>
  <c r="W11" i="6"/>
  <c r="AH11" i="6"/>
  <c r="W27" i="6"/>
  <c r="AH27" i="6"/>
  <c r="AL35" i="6"/>
  <c r="Y35" i="6"/>
  <c r="AD35" i="6" s="1"/>
  <c r="AL59" i="6"/>
  <c r="Y59" i="6"/>
  <c r="AD59" i="6" s="1"/>
  <c r="X83" i="6"/>
  <c r="AC83" i="6" s="1"/>
  <c r="AE83" i="6" s="1"/>
  <c r="AF83" i="6" s="1"/>
  <c r="AK83" i="6"/>
  <c r="AL46" i="6"/>
  <c r="Y46" i="6"/>
  <c r="AD46" i="6" s="1"/>
  <c r="W12" i="6"/>
  <c r="AH12" i="6"/>
  <c r="AL36" i="6"/>
  <c r="Y36" i="6"/>
  <c r="AD36" i="6" s="1"/>
  <c r="AL52" i="6"/>
  <c r="Y52" i="6"/>
  <c r="AD52" i="6" s="1"/>
  <c r="AK46" i="6"/>
  <c r="X46" i="6"/>
  <c r="AC46" i="6" s="1"/>
  <c r="AE46" i="6" s="1"/>
  <c r="AF46" i="6" s="1"/>
  <c r="AK37" i="6"/>
  <c r="X37" i="6"/>
  <c r="AC37" i="6" s="1"/>
  <c r="AK61" i="6"/>
  <c r="X61" i="6"/>
  <c r="AC61" i="6" s="1"/>
  <c r="AE61" i="6" s="1"/>
  <c r="AF61" i="6" s="1"/>
  <c r="AL62" i="6"/>
  <c r="Y62" i="6"/>
  <c r="AD62" i="6" s="1"/>
  <c r="Z48" i="6"/>
  <c r="AM48" i="6"/>
  <c r="W83" i="6"/>
  <c r="AH83" i="6"/>
  <c r="X88" i="6"/>
  <c r="AC88" i="6" s="1"/>
  <c r="AK88" i="6"/>
  <c r="Y72" i="6"/>
  <c r="AD72" i="6" s="1"/>
  <c r="AL72" i="6"/>
  <c r="X76" i="6"/>
  <c r="AC76" i="6" s="1"/>
  <c r="AE76" i="6" s="1"/>
  <c r="AF76" i="6" s="1"/>
  <c r="AK76" i="6"/>
  <c r="W86" i="6"/>
  <c r="AH86" i="6"/>
  <c r="X93" i="6"/>
  <c r="AC93" i="6" s="1"/>
  <c r="AE93" i="6" s="1"/>
  <c r="AF93" i="6" s="1"/>
  <c r="AK93" i="6"/>
  <c r="X94" i="6"/>
  <c r="AC94" i="6" s="1"/>
  <c r="AK94" i="6"/>
  <c r="Y94" i="6"/>
  <c r="AD94" i="6" s="1"/>
  <c r="AL94" i="6"/>
  <c r="W91" i="6"/>
  <c r="AH91" i="6"/>
  <c r="Y80" i="6"/>
  <c r="AD80" i="6" s="1"/>
  <c r="AL80" i="6"/>
  <c r="W77" i="6"/>
  <c r="AH77" i="6"/>
  <c r="AK26" i="6"/>
  <c r="X26" i="6"/>
  <c r="AC26" i="6" s="1"/>
  <c r="AE26" i="6" s="1"/>
  <c r="AF26" i="6" s="1"/>
  <c r="AL30" i="6"/>
  <c r="Y30" i="6"/>
  <c r="AD30" i="6" s="1"/>
  <c r="W40" i="6"/>
  <c r="AH40" i="6"/>
  <c r="AK55" i="6"/>
  <c r="X55" i="6"/>
  <c r="AC55" i="6" s="1"/>
  <c r="AE55" i="6" s="1"/>
  <c r="AF55" i="6" s="1"/>
  <c r="W71" i="6"/>
  <c r="AH71" i="6"/>
  <c r="AL24" i="6"/>
  <c r="Y24" i="6"/>
  <c r="AD24" i="6" s="1"/>
  <c r="W9" i="6"/>
  <c r="AH9" i="6"/>
  <c r="AL33" i="6"/>
  <c r="Y33" i="6"/>
  <c r="AD33" i="6" s="1"/>
  <c r="W41" i="6"/>
  <c r="AH41" i="6"/>
  <c r="W50" i="6"/>
  <c r="AH50" i="6"/>
  <c r="Y74" i="6"/>
  <c r="AD74" i="6" s="1"/>
  <c r="AL74" i="6"/>
  <c r="AL11" i="6"/>
  <c r="Y11" i="6"/>
  <c r="AD11" i="6" s="1"/>
  <c r="AK51" i="6"/>
  <c r="X51" i="6"/>
  <c r="AC51" i="6" s="1"/>
  <c r="AK12" i="6"/>
  <c r="X12" i="6"/>
  <c r="AC12" i="6" s="1"/>
  <c r="AE12" i="6" s="1"/>
  <c r="AF12" i="6" s="1"/>
  <c r="AL37" i="6"/>
  <c r="Y37" i="6"/>
  <c r="AD37" i="6" s="1"/>
  <c r="Z23" i="6"/>
  <c r="AM23" i="6"/>
  <c r="AK54" i="6"/>
  <c r="X54" i="6"/>
  <c r="AC54" i="6" s="1"/>
  <c r="Y86" i="6"/>
  <c r="AD86" i="6" s="1"/>
  <c r="AL86" i="6"/>
  <c r="X84" i="6"/>
  <c r="AC84" i="6" s="1"/>
  <c r="AE84" i="6" s="1"/>
  <c r="AF84" i="6" s="1"/>
  <c r="AK84" i="6"/>
  <c r="W66" i="6"/>
  <c r="AH66" i="6"/>
  <c r="X71" i="6"/>
  <c r="AC71" i="6" s="1"/>
  <c r="AE71" i="6" s="1"/>
  <c r="AF71" i="6" s="1"/>
  <c r="AK71" i="6"/>
  <c r="W68" i="6"/>
  <c r="AH68" i="6"/>
  <c r="Y88" i="6"/>
  <c r="AD88" i="6" s="1"/>
  <c r="AL88" i="6"/>
  <c r="W85" i="6"/>
  <c r="AH85" i="6"/>
  <c r="AL10" i="6"/>
  <c r="Y10" i="6"/>
  <c r="AD10" i="6" s="1"/>
  <c r="AL34" i="6"/>
  <c r="Y34" i="6"/>
  <c r="AD34" i="6" s="1"/>
  <c r="W22" i="6"/>
  <c r="AH22" i="6"/>
  <c r="W60" i="6"/>
  <c r="AH60" i="6"/>
  <c r="AK15" i="6"/>
  <c r="X15" i="6"/>
  <c r="AC15" i="6" s="1"/>
  <c r="AE15" i="6" s="1"/>
  <c r="AF15" i="6" s="1"/>
  <c r="AL31" i="6"/>
  <c r="Y31" i="6"/>
  <c r="AD31" i="6" s="1"/>
  <c r="W47" i="6"/>
  <c r="AH47" i="6"/>
  <c r="W8" i="6"/>
  <c r="AH8" i="6"/>
  <c r="AL8" i="6"/>
  <c r="Y8" i="6"/>
  <c r="AD8" i="6" s="1"/>
  <c r="AL56" i="6"/>
  <c r="Y56" i="6"/>
  <c r="AD56" i="6" s="1"/>
  <c r="AL64" i="6"/>
  <c r="Y64" i="6"/>
  <c r="AD64" i="6" s="1"/>
  <c r="W88" i="6"/>
  <c r="AH88" i="6"/>
  <c r="AK9" i="6"/>
  <c r="X9" i="6"/>
  <c r="AC9" i="6" s="1"/>
  <c r="AE9" i="6" s="1"/>
  <c r="AF9" i="6" s="1"/>
  <c r="AK41" i="6"/>
  <c r="X41" i="6"/>
  <c r="AC41" i="6" s="1"/>
  <c r="AE41" i="6" s="1"/>
  <c r="AF41" i="6" s="1"/>
  <c r="W65" i="6"/>
  <c r="AH65" i="6"/>
  <c r="W89" i="6"/>
  <c r="AH89" i="6"/>
  <c r="W14" i="6"/>
  <c r="AM14" i="6" s="1"/>
  <c r="AH14" i="6"/>
  <c r="AL58" i="6"/>
  <c r="Y58" i="6"/>
  <c r="AD58" i="6" s="1"/>
  <c r="AK21" i="6"/>
  <c r="X21" i="6"/>
  <c r="AC21" i="6" s="1"/>
  <c r="AE21" i="6" s="1"/>
  <c r="AF21" i="6" s="1"/>
  <c r="AL51" i="6"/>
  <c r="Y51" i="6"/>
  <c r="AD51" i="6" s="1"/>
  <c r="AL28" i="6"/>
  <c r="Y28" i="6"/>
  <c r="AD28" i="6" s="1"/>
  <c r="AL13" i="6"/>
  <c r="Y13" i="6"/>
  <c r="AD13" i="6" s="1"/>
  <c r="AL29" i="6"/>
  <c r="Y29" i="6"/>
  <c r="AD29" i="6" s="1"/>
  <c r="W53" i="6"/>
  <c r="AH53" i="6"/>
  <c r="AL38" i="6"/>
  <c r="Y38" i="6"/>
  <c r="AD38" i="6" s="1"/>
  <c r="AL54" i="6"/>
  <c r="Y54" i="6"/>
  <c r="AD54" i="6" s="1"/>
  <c r="Z19" i="6"/>
  <c r="AM19" i="6"/>
  <c r="AF4" i="6"/>
  <c r="AH49" i="4"/>
  <c r="AI49" i="4" s="1"/>
  <c r="AH51" i="4"/>
  <c r="AI51" i="4" s="1"/>
  <c r="AH54" i="4"/>
  <c r="AI54" i="4" s="1"/>
  <c r="AH44" i="4"/>
  <c r="AI44" i="4" s="1"/>
  <c r="AH40" i="4"/>
  <c r="AI40" i="4" s="1"/>
  <c r="J8" i="5"/>
  <c r="AH70" i="4"/>
  <c r="AI70" i="4" s="1"/>
  <c r="AH102" i="4"/>
  <c r="AI102" i="4" s="1"/>
  <c r="AH48" i="4"/>
  <c r="AI48" i="4" s="1"/>
  <c r="AH107" i="4"/>
  <c r="AI107" i="4" s="1"/>
  <c r="AH139" i="4"/>
  <c r="AI139" i="4" s="1"/>
  <c r="AH59" i="4"/>
  <c r="AI59" i="4" s="1"/>
  <c r="AH50" i="4"/>
  <c r="AI50" i="4" s="1"/>
  <c r="I8" i="5"/>
  <c r="AH209" i="4"/>
  <c r="AI209" i="4" s="1"/>
  <c r="AH190" i="4"/>
  <c r="AI190" i="4" s="1"/>
  <c r="AH39" i="4"/>
  <c r="AI39" i="4" s="1"/>
  <c r="AH105" i="4"/>
  <c r="AI105" i="4" s="1"/>
  <c r="AH18" i="4"/>
  <c r="AI18" i="4" s="1"/>
  <c r="AH10" i="4"/>
  <c r="AI10" i="4" s="1"/>
  <c r="AH133" i="4"/>
  <c r="AI133" i="4" s="1"/>
  <c r="AH46" i="4"/>
  <c r="AI46" i="4" s="1"/>
  <c r="AH78" i="4"/>
  <c r="AI78" i="4" s="1"/>
  <c r="AH87" i="4"/>
  <c r="AI87" i="4" s="1"/>
  <c r="AH28" i="4"/>
  <c r="AI28" i="4" s="1"/>
  <c r="AH72" i="4"/>
  <c r="AI72" i="4" s="1"/>
  <c r="AH104" i="4"/>
  <c r="AI104" i="4" s="1"/>
  <c r="AH136" i="4"/>
  <c r="AI136" i="4" s="1"/>
  <c r="AH47" i="4"/>
  <c r="AI47" i="4" s="1"/>
  <c r="AH113" i="4"/>
  <c r="AI113" i="4" s="1"/>
  <c r="AH74" i="4"/>
  <c r="AI74" i="4" s="1"/>
  <c r="AH8" i="4"/>
  <c r="AI8" i="4" s="1"/>
  <c r="AH60" i="4"/>
  <c r="AI60" i="4" s="1"/>
  <c r="AH92" i="4"/>
  <c r="AI92" i="4" s="1"/>
  <c r="AH27" i="4"/>
  <c r="AI27" i="4" s="1"/>
  <c r="AH21" i="4"/>
  <c r="AI21" i="4" s="1"/>
  <c r="AH37" i="4"/>
  <c r="AI37" i="4" s="1"/>
  <c r="AH53" i="4"/>
  <c r="AI53" i="4" s="1"/>
  <c r="AH26" i="4"/>
  <c r="AI26" i="4" s="1"/>
  <c r="AH194" i="4"/>
  <c r="AI194" i="4" s="1"/>
  <c r="AH86" i="4"/>
  <c r="AI86" i="4" s="1"/>
  <c r="AH63" i="4"/>
  <c r="AI63" i="4" s="1"/>
  <c r="AH95" i="4"/>
  <c r="AI95" i="4" s="1"/>
  <c r="AH91" i="4"/>
  <c r="AI91" i="4" s="1"/>
  <c r="AH123" i="4"/>
  <c r="AI123" i="4" s="1"/>
  <c r="AH67" i="4"/>
  <c r="AI67" i="4" s="1"/>
  <c r="AH114" i="4"/>
  <c r="AI114" i="4" s="1"/>
  <c r="AH58" i="4"/>
  <c r="AI58" i="4" s="1"/>
  <c r="AH34" i="4"/>
  <c r="AI34" i="4" s="1"/>
  <c r="AH62" i="4"/>
  <c r="AI62" i="4" s="1"/>
  <c r="AH94" i="4"/>
  <c r="AI94" i="4" s="1"/>
  <c r="AH88" i="4"/>
  <c r="AI88" i="4" s="1"/>
  <c r="AH120" i="4"/>
  <c r="AI120" i="4" s="1"/>
  <c r="AH99" i="4"/>
  <c r="AI99" i="4" s="1"/>
  <c r="AH5" i="4"/>
  <c r="AI5" i="4" s="1"/>
  <c r="AH42" i="4"/>
  <c r="AI42" i="4" s="1"/>
  <c r="AH287" i="4"/>
  <c r="AI287" i="4" s="1"/>
  <c r="AH675" i="4"/>
  <c r="AI675" i="4" s="1"/>
  <c r="AH727" i="4"/>
  <c r="AI727" i="4" s="1"/>
  <c r="AH749" i="4"/>
  <c r="AI749" i="4" s="1"/>
  <c r="AH740" i="4"/>
  <c r="AI740" i="4" s="1"/>
  <c r="AH840" i="4"/>
  <c r="AI840" i="4" s="1"/>
  <c r="AH651" i="4"/>
  <c r="AI651" i="4" s="1"/>
  <c r="AH1045" i="4"/>
  <c r="AI1045" i="4" s="1"/>
  <c r="AH901" i="4"/>
  <c r="AI901" i="4" s="1"/>
  <c r="AH1077" i="4"/>
  <c r="AI1077" i="4" s="1"/>
  <c r="AH876" i="4"/>
  <c r="AI876" i="4" s="1"/>
  <c r="AH1185" i="4"/>
  <c r="AI1185" i="4" s="1"/>
  <c r="AH1341" i="4"/>
  <c r="AI1341" i="4" s="1"/>
  <c r="AH600" i="4"/>
  <c r="AI600" i="4" s="1"/>
  <c r="AH768" i="4"/>
  <c r="AI768" i="4" s="1"/>
  <c r="AH1021" i="4"/>
  <c r="AI1021" i="4" s="1"/>
  <c r="AH1427" i="4"/>
  <c r="AI1427" i="4" s="1"/>
  <c r="AH371" i="4"/>
  <c r="AI371" i="4" s="1"/>
  <c r="AH584" i="4"/>
  <c r="AI584" i="4" s="1"/>
  <c r="AH719" i="4"/>
  <c r="AI719" i="4" s="1"/>
  <c r="AH785" i="4"/>
  <c r="AI785" i="4" s="1"/>
  <c r="AH908" i="4"/>
  <c r="AI908" i="4" s="1"/>
  <c r="AH201" i="4"/>
  <c r="AI201" i="4" s="1"/>
  <c r="AH271" i="4"/>
  <c r="AI271" i="4" s="1"/>
  <c r="AH444" i="4"/>
  <c r="AI444" i="4" s="1"/>
  <c r="AH659" i="4"/>
  <c r="AI659" i="4" s="1"/>
  <c r="AH769" i="4"/>
  <c r="AI769" i="4" s="1"/>
  <c r="AH973" i="4"/>
  <c r="AI973" i="4" s="1"/>
  <c r="AH869" i="4"/>
  <c r="AI869" i="4" s="1"/>
  <c r="AH250" i="4"/>
  <c r="AI250" i="4" s="1"/>
  <c r="AH297" i="4"/>
  <c r="AI297" i="4" s="1"/>
  <c r="AH568" i="4"/>
  <c r="AI568" i="4" s="1"/>
  <c r="AH544" i="4"/>
  <c r="AI544" i="4" s="1"/>
  <c r="AH576" i="4"/>
  <c r="AI576" i="4" s="1"/>
  <c r="AH699" i="4"/>
  <c r="AI699" i="4" s="1"/>
  <c r="AH1029" i="4"/>
  <c r="AI1029" i="4" s="1"/>
  <c r="AH1184" i="4"/>
  <c r="AI1184" i="4" s="1"/>
  <c r="AH1339" i="4"/>
  <c r="AI1339" i="4" s="1"/>
  <c r="AH1465" i="4"/>
  <c r="AI1465" i="4" s="1"/>
  <c r="AH552" i="4"/>
  <c r="AI552" i="4" s="1"/>
  <c r="AH592" i="4"/>
  <c r="AI592" i="4" s="1"/>
  <c r="AH711" i="4"/>
  <c r="AI711" i="4" s="1"/>
  <c r="AH667" i="4"/>
  <c r="AI667" i="4" s="1"/>
  <c r="AH721" i="4"/>
  <c r="AI721" i="4" s="1"/>
  <c r="AH735" i="4"/>
  <c r="AI735" i="4" s="1"/>
  <c r="AH643" i="4"/>
  <c r="AI643" i="4" s="1"/>
  <c r="AH713" i="4"/>
  <c r="AI713" i="4" s="1"/>
  <c r="AH1069" i="4"/>
  <c r="AI1069" i="4" s="1"/>
  <c r="AH792" i="4"/>
  <c r="AI792" i="4" s="1"/>
  <c r="AH1340" i="4"/>
  <c r="AI1340" i="4" s="1"/>
  <c r="AH1473" i="4"/>
  <c r="AI1473" i="4" s="1"/>
  <c r="AH242" i="4"/>
  <c r="AI242" i="4" s="1"/>
  <c r="AH410" i="4"/>
  <c r="AI410" i="4" s="1"/>
  <c r="AH560" i="4"/>
  <c r="AI560" i="4" s="1"/>
  <c r="AH626" i="4"/>
  <c r="AI626" i="4" s="1"/>
  <c r="AH608" i="4"/>
  <c r="AI608" i="4" s="1"/>
  <c r="AH703" i="4"/>
  <c r="AI703" i="4" s="1"/>
  <c r="AH981" i="4"/>
  <c r="AI981" i="4" s="1"/>
  <c r="AH957" i="4"/>
  <c r="AI957" i="4" s="1"/>
  <c r="AH1037" i="4"/>
  <c r="AI1037" i="4" s="1"/>
  <c r="AH1101" i="4"/>
  <c r="AI1101" i="4" s="1"/>
  <c r="AH536" i="4"/>
  <c r="AI536" i="4" s="1"/>
  <c r="AH683" i="4"/>
  <c r="AI683" i="4" s="1"/>
  <c r="AH731" i="4"/>
  <c r="AI731" i="4" s="1"/>
  <c r="AH1053" i="4"/>
  <c r="AI1053" i="4" s="1"/>
  <c r="AH1061" i="4"/>
  <c r="AI1061" i="4" s="1"/>
  <c r="AH793" i="4"/>
  <c r="AI793" i="4" s="1"/>
  <c r="AI164" i="4"/>
  <c r="H3" i="5"/>
  <c r="F4" i="5" s="1"/>
  <c r="C9" i="5"/>
  <c r="E9" i="5"/>
  <c r="F9" i="5"/>
  <c r="G9" i="5"/>
  <c r="G3" i="5"/>
  <c r="C4" i="5" s="1"/>
  <c r="AI28" i="1"/>
  <c r="AI53" i="1"/>
  <c r="AM53" i="1" s="1"/>
  <c r="AN53" i="1"/>
  <c r="AI54" i="1"/>
  <c r="AU54" i="1" s="1"/>
  <c r="AN54" i="1"/>
  <c r="AI55" i="1"/>
  <c r="AN55" i="1"/>
  <c r="AI56" i="1"/>
  <c r="AM56" i="1" s="1"/>
  <c r="AN56" i="1"/>
  <c r="AI57" i="1"/>
  <c r="AJ57" i="1" s="1"/>
  <c r="AN57" i="1"/>
  <c r="AI58" i="1"/>
  <c r="AR58" i="1" s="1"/>
  <c r="AN58" i="1"/>
  <c r="AI59" i="1"/>
  <c r="AR59" i="1" s="1"/>
  <c r="AN59" i="1"/>
  <c r="AI60" i="1"/>
  <c r="AN60" i="1"/>
  <c r="AI61" i="1"/>
  <c r="AM61" i="1" s="1"/>
  <c r="AN61" i="1"/>
  <c r="AI62" i="1"/>
  <c r="AJ62" i="1" s="1"/>
  <c r="AN62" i="1"/>
  <c r="AI63" i="1"/>
  <c r="AR63" i="1" s="1"/>
  <c r="AN63" i="1"/>
  <c r="AI64" i="1"/>
  <c r="AR64" i="1" s="1"/>
  <c r="AN64" i="1"/>
  <c r="AI65" i="1"/>
  <c r="AJ65" i="1" s="1"/>
  <c r="AN65" i="1"/>
  <c r="AI66" i="1"/>
  <c r="AN66" i="1"/>
  <c r="AI67" i="1"/>
  <c r="AU67" i="1" s="1"/>
  <c r="AN67" i="1"/>
  <c r="AI68" i="1"/>
  <c r="AN68" i="1"/>
  <c r="AI69" i="1"/>
  <c r="AR69" i="1" s="1"/>
  <c r="AN69" i="1"/>
  <c r="AI70" i="1"/>
  <c r="AJ70" i="1" s="1"/>
  <c r="AN70" i="1"/>
  <c r="AI71" i="1"/>
  <c r="AR71" i="1" s="1"/>
  <c r="AN71" i="1"/>
  <c r="AI72" i="1"/>
  <c r="AM72" i="1" s="1"/>
  <c r="AN72" i="1"/>
  <c r="AI73" i="1"/>
  <c r="AJ73" i="1" s="1"/>
  <c r="AN73" i="1"/>
  <c r="AI74" i="1"/>
  <c r="AS74" i="1" s="1"/>
  <c r="AN74" i="1"/>
  <c r="AI75" i="1"/>
  <c r="AN75" i="1"/>
  <c r="AI76" i="1"/>
  <c r="AN76" i="1"/>
  <c r="AI77" i="1"/>
  <c r="AS77" i="1" s="1"/>
  <c r="AN77" i="1"/>
  <c r="AI78" i="1"/>
  <c r="AJ78" i="1" s="1"/>
  <c r="AN78" i="1"/>
  <c r="AI79" i="1"/>
  <c r="AN79" i="1"/>
  <c r="AI80" i="1"/>
  <c r="AM80" i="1" s="1"/>
  <c r="AN80" i="1"/>
  <c r="AI81" i="1"/>
  <c r="AT81" i="1" s="1"/>
  <c r="AN81" i="1"/>
  <c r="AI82" i="1"/>
  <c r="AS82" i="1" s="1"/>
  <c r="AN82" i="1"/>
  <c r="AI83" i="1"/>
  <c r="AL83" i="1" s="1"/>
  <c r="AN83" i="1"/>
  <c r="T63" i="1"/>
  <c r="U63" i="1"/>
  <c r="T64" i="1"/>
  <c r="U64" i="1"/>
  <c r="T65" i="1"/>
  <c r="U65" i="1"/>
  <c r="T66" i="1"/>
  <c r="U66" i="1"/>
  <c r="T67" i="1"/>
  <c r="U67" i="1"/>
  <c r="T68" i="1"/>
  <c r="U68" i="1"/>
  <c r="T69" i="1"/>
  <c r="U69" i="1"/>
  <c r="T70" i="1"/>
  <c r="U70" i="1"/>
  <c r="T71" i="1"/>
  <c r="U71" i="1"/>
  <c r="T72" i="1"/>
  <c r="U72" i="1"/>
  <c r="T73" i="1"/>
  <c r="U73" i="1"/>
  <c r="T74" i="1"/>
  <c r="U74" i="1"/>
  <c r="T75" i="1"/>
  <c r="U75" i="1"/>
  <c r="T76" i="1"/>
  <c r="U76" i="1"/>
  <c r="T77" i="1"/>
  <c r="U77" i="1"/>
  <c r="T78" i="1"/>
  <c r="U78" i="1"/>
  <c r="T79" i="1"/>
  <c r="P79" i="1" s="1"/>
  <c r="AK79" i="1" s="1"/>
  <c r="U79" i="1"/>
  <c r="T80" i="1"/>
  <c r="P80" i="1" s="1"/>
  <c r="AK80" i="1" s="1"/>
  <c r="U80" i="1"/>
  <c r="T81" i="1"/>
  <c r="P81" i="1" s="1"/>
  <c r="AK81" i="1" s="1"/>
  <c r="U81" i="1"/>
  <c r="T82" i="1"/>
  <c r="P82" i="1" s="1"/>
  <c r="AK82" i="1" s="1"/>
  <c r="U82" i="1"/>
  <c r="T83" i="1"/>
  <c r="P83" i="1" s="1"/>
  <c r="AK83" i="1" s="1"/>
  <c r="U83" i="1"/>
  <c r="AE79" i="6" l="1"/>
  <c r="AF79" i="6" s="1"/>
  <c r="AP42" i="8"/>
  <c r="AQ42" i="8"/>
  <c r="AO42" i="8"/>
  <c r="AR40" i="8"/>
  <c r="AQ40" i="8"/>
  <c r="AP49" i="8"/>
  <c r="AR66" i="8"/>
  <c r="AO61" i="8"/>
  <c r="AP43" i="8"/>
  <c r="AO66" i="8"/>
  <c r="AP40" i="8"/>
  <c r="AP66" i="8"/>
  <c r="AO62" i="8"/>
  <c r="AQ62" i="8"/>
  <c r="AP60" i="8"/>
  <c r="AO39" i="8"/>
  <c r="AO60" i="8"/>
  <c r="AQ39" i="8"/>
  <c r="AQ60" i="8"/>
  <c r="AP45" i="8"/>
  <c r="AR63" i="8"/>
  <c r="AR43" i="8"/>
  <c r="AP61" i="8"/>
  <c r="AQ45" i="8"/>
  <c r="AO44" i="8"/>
  <c r="AP46" i="8"/>
  <c r="AQ46" i="8"/>
  <c r="AQ61" i="8"/>
  <c r="AR49" i="8"/>
  <c r="AO45" i="8"/>
  <c r="AO46" i="8"/>
  <c r="AQ49" i="8"/>
  <c r="AP44" i="8"/>
  <c r="AR64" i="8"/>
  <c r="AR48" i="8"/>
  <c r="AO47" i="8"/>
  <c r="AQ44" i="8"/>
  <c r="AO64" i="8"/>
  <c r="AO48" i="8"/>
  <c r="AQ47" i="8"/>
  <c r="AQ64" i="8"/>
  <c r="AQ48" i="8"/>
  <c r="AQ59" i="8"/>
  <c r="AR59" i="8"/>
  <c r="AR62" i="8"/>
  <c r="AO43" i="8"/>
  <c r="AP65" i="8"/>
  <c r="AQ65" i="8"/>
  <c r="AP63" i="8"/>
  <c r="AP59" i="8"/>
  <c r="AR47" i="8"/>
  <c r="AO63" i="8"/>
  <c r="AO65" i="8"/>
  <c r="AR39" i="8"/>
  <c r="Z88" i="6"/>
  <c r="AM88" i="6"/>
  <c r="AE37" i="6"/>
  <c r="AF37" i="6" s="1"/>
  <c r="AE5" i="6"/>
  <c r="AE20" i="6"/>
  <c r="AF20" i="6" s="1"/>
  <c r="AE23" i="6"/>
  <c r="AF23" i="6" s="1"/>
  <c r="AE34" i="6"/>
  <c r="AF34" i="6" s="1"/>
  <c r="AE38" i="6"/>
  <c r="AF38" i="6" s="1"/>
  <c r="Z35" i="6"/>
  <c r="AM35" i="6"/>
  <c r="AE57" i="6"/>
  <c r="AF57" i="6" s="1"/>
  <c r="AE28" i="6"/>
  <c r="AF28" i="6" s="1"/>
  <c r="AE24" i="6"/>
  <c r="AF24" i="6" s="1"/>
  <c r="Z68" i="6"/>
  <c r="AM68" i="6"/>
  <c r="Z50" i="6"/>
  <c r="AM50" i="6"/>
  <c r="Z91" i="6"/>
  <c r="AM91" i="6"/>
  <c r="Z86" i="6"/>
  <c r="AM86" i="6"/>
  <c r="Z83" i="6"/>
  <c r="AM83" i="6"/>
  <c r="Z12" i="6"/>
  <c r="AM12" i="6"/>
  <c r="Z64" i="6"/>
  <c r="AM64" i="6"/>
  <c r="AE74" i="6"/>
  <c r="AF74" i="6" s="1"/>
  <c r="Z62" i="6"/>
  <c r="AM62" i="6"/>
  <c r="Z95" i="6"/>
  <c r="AM95" i="6"/>
  <c r="AE80" i="6"/>
  <c r="AF80" i="6" s="1"/>
  <c r="Z46" i="6"/>
  <c r="AM46" i="6"/>
  <c r="Z15" i="6"/>
  <c r="AM15" i="6"/>
  <c r="AE81" i="6"/>
  <c r="AF81" i="6" s="1"/>
  <c r="Z52" i="6"/>
  <c r="AM52" i="6"/>
  <c r="Z73" i="6"/>
  <c r="AM73" i="6"/>
  <c r="Z29" i="6"/>
  <c r="AM29" i="6"/>
  <c r="Z32" i="6"/>
  <c r="AM32" i="6"/>
  <c r="Z43" i="6"/>
  <c r="AM43" i="6"/>
  <c r="Z30" i="6"/>
  <c r="AM30" i="6"/>
  <c r="Z63" i="6"/>
  <c r="AM63" i="6"/>
  <c r="Z26" i="6"/>
  <c r="AM26" i="6"/>
  <c r="AE92" i="6"/>
  <c r="AF92" i="6" s="1"/>
  <c r="Z53" i="6"/>
  <c r="AM53" i="6"/>
  <c r="AE54" i="6"/>
  <c r="AF54" i="6" s="1"/>
  <c r="AE51" i="6"/>
  <c r="AF51" i="6" s="1"/>
  <c r="AE13" i="6"/>
  <c r="AF13" i="6" s="1"/>
  <c r="AE6" i="6"/>
  <c r="AF6" i="6" s="1"/>
  <c r="Z45" i="6"/>
  <c r="AM45" i="6"/>
  <c r="AE27" i="6"/>
  <c r="AF27" i="6" s="1"/>
  <c r="AE8" i="6"/>
  <c r="AF8" i="6" s="1"/>
  <c r="AE31" i="6"/>
  <c r="AF31" i="6" s="1"/>
  <c r="Z41" i="6"/>
  <c r="AM41" i="6"/>
  <c r="Z71" i="6"/>
  <c r="AM71" i="6"/>
  <c r="Z27" i="6"/>
  <c r="AM27" i="6"/>
  <c r="Z81" i="6"/>
  <c r="AM81" i="6"/>
  <c r="Z17" i="6"/>
  <c r="AM17" i="6"/>
  <c r="Z34" i="6"/>
  <c r="AM34" i="6"/>
  <c r="Z38" i="6"/>
  <c r="AM38" i="6"/>
  <c r="Z31" i="6"/>
  <c r="AM31" i="6"/>
  <c r="Z10" i="6"/>
  <c r="AM10" i="6"/>
  <c r="Z75" i="6"/>
  <c r="AM75" i="6"/>
  <c r="Z21" i="6"/>
  <c r="AM21" i="6"/>
  <c r="Z57" i="6"/>
  <c r="AM57" i="6"/>
  <c r="Z72" i="6"/>
  <c r="AM72" i="6"/>
  <c r="Z78" i="6"/>
  <c r="AM78" i="6"/>
  <c r="AE70" i="6"/>
  <c r="AF70" i="6" s="1"/>
  <c r="Z90" i="6"/>
  <c r="AM90" i="6"/>
  <c r="Z61" i="6"/>
  <c r="AM61" i="6"/>
  <c r="Z44" i="6"/>
  <c r="AM44" i="6"/>
  <c r="Z59" i="6"/>
  <c r="AM59" i="6"/>
  <c r="AE90" i="6"/>
  <c r="AF90" i="6" s="1"/>
  <c r="Z33" i="6"/>
  <c r="AM33" i="6"/>
  <c r="Z18" i="6"/>
  <c r="AM18" i="6"/>
  <c r="AE87" i="6"/>
  <c r="AF87" i="6" s="1"/>
  <c r="Z93" i="6"/>
  <c r="AM93" i="6"/>
  <c r="Z74" i="6"/>
  <c r="AM74" i="6"/>
  <c r="Z24" i="6"/>
  <c r="AM24" i="6"/>
  <c r="AE10" i="6"/>
  <c r="AF10" i="6" s="1"/>
  <c r="AE52" i="6"/>
  <c r="AF52" i="6" s="1"/>
  <c r="AE35" i="6"/>
  <c r="AF35" i="6" s="1"/>
  <c r="AE59" i="6"/>
  <c r="AF59" i="6" s="1"/>
  <c r="AE49" i="6"/>
  <c r="AF49" i="6" s="1"/>
  <c r="AE19" i="6"/>
  <c r="AF19" i="6" s="1"/>
  <c r="AE56" i="6"/>
  <c r="AF56" i="6" s="1"/>
  <c r="AE29" i="6"/>
  <c r="AF29" i="6" s="1"/>
  <c r="AE43" i="6"/>
  <c r="AF43" i="6" s="1"/>
  <c r="AE25" i="6"/>
  <c r="AF25" i="6" s="1"/>
  <c r="AE33" i="6"/>
  <c r="AF33" i="6" s="1"/>
  <c r="AE22" i="6"/>
  <c r="AF22" i="6" s="1"/>
  <c r="Z89" i="6"/>
  <c r="AM89" i="6"/>
  <c r="Z60" i="6"/>
  <c r="AM60" i="6"/>
  <c r="Z85" i="6"/>
  <c r="AM85" i="6"/>
  <c r="Z66" i="6"/>
  <c r="AM66" i="6"/>
  <c r="Z77" i="6"/>
  <c r="AM77" i="6"/>
  <c r="AE94" i="6"/>
  <c r="AF94" i="6" s="1"/>
  <c r="Z11" i="6"/>
  <c r="AM11" i="6"/>
  <c r="Z54" i="6"/>
  <c r="AM54" i="6"/>
  <c r="Z37" i="6"/>
  <c r="AM37" i="6"/>
  <c r="Z7" i="6"/>
  <c r="AM7" i="6"/>
  <c r="AE86" i="6"/>
  <c r="AF86" i="6" s="1"/>
  <c r="AE72" i="6"/>
  <c r="AF72" i="6" s="1"/>
  <c r="Z87" i="6"/>
  <c r="AM87" i="6"/>
  <c r="Z42" i="6"/>
  <c r="AM42" i="6"/>
  <c r="Z92" i="6"/>
  <c r="AM92" i="6"/>
  <c r="AE66" i="6"/>
  <c r="AF66" i="6" s="1"/>
  <c r="AE65" i="6"/>
  <c r="AF65" i="6" s="1"/>
  <c r="Z82" i="6"/>
  <c r="AM82" i="6"/>
  <c r="AE91" i="6"/>
  <c r="AF91" i="6" s="1"/>
  <c r="Z16" i="6"/>
  <c r="AM16" i="6"/>
  <c r="Z28" i="6"/>
  <c r="AM28" i="6"/>
  <c r="Z76" i="6"/>
  <c r="AM76" i="6"/>
  <c r="AE36" i="6"/>
  <c r="AF36" i="6" s="1"/>
  <c r="AE11" i="6"/>
  <c r="AF11" i="6" s="1"/>
  <c r="AE30" i="6"/>
  <c r="AF30" i="6" s="1"/>
  <c r="AE62" i="6"/>
  <c r="AF62" i="6" s="1"/>
  <c r="AE58" i="6"/>
  <c r="AF58" i="6" s="1"/>
  <c r="AE42" i="6"/>
  <c r="AF42" i="6" s="1"/>
  <c r="Z13" i="6"/>
  <c r="AM13" i="6"/>
  <c r="AE64" i="6"/>
  <c r="AF64" i="6" s="1"/>
  <c r="AE14" i="6"/>
  <c r="AF14" i="6" s="1"/>
  <c r="Z8" i="6"/>
  <c r="AM8" i="6"/>
  <c r="Z65" i="6"/>
  <c r="AM65" i="6"/>
  <c r="Z47" i="6"/>
  <c r="AM47" i="6"/>
  <c r="Z22" i="6"/>
  <c r="AM22" i="6"/>
  <c r="Z9" i="6"/>
  <c r="AM9" i="6"/>
  <c r="Z40" i="6"/>
  <c r="AM40" i="6"/>
  <c r="AE88" i="6"/>
  <c r="AF88" i="6" s="1"/>
  <c r="Z58" i="6"/>
  <c r="AM58" i="6"/>
  <c r="Z49" i="6"/>
  <c r="AM49" i="6"/>
  <c r="Z80" i="6"/>
  <c r="AM80" i="6"/>
  <c r="Z69" i="6"/>
  <c r="AM69" i="6"/>
  <c r="Z94" i="6"/>
  <c r="AM94" i="6"/>
  <c r="AE78" i="6"/>
  <c r="AF78" i="6" s="1"/>
  <c r="Z25" i="6"/>
  <c r="AM25" i="6"/>
  <c r="Z67" i="6"/>
  <c r="AM67" i="6"/>
  <c r="Z5" i="6"/>
  <c r="AM5" i="6"/>
  <c r="Z51" i="6"/>
  <c r="AM51" i="6"/>
  <c r="AE95" i="6"/>
  <c r="AF95" i="6" s="1"/>
  <c r="Z70" i="6"/>
  <c r="AM70" i="6"/>
  <c r="Z36" i="6"/>
  <c r="AM36" i="6"/>
  <c r="Z84" i="6"/>
  <c r="AM84" i="6"/>
  <c r="AE67" i="6"/>
  <c r="AF67" i="6" s="1"/>
  <c r="Z79" i="6"/>
  <c r="AM79" i="6"/>
  <c r="E4" i="5"/>
  <c r="AO66" i="1"/>
  <c r="D4" i="5"/>
  <c r="AM62" i="1"/>
  <c r="AJ81" i="1"/>
  <c r="AU81" i="1"/>
  <c r="AO77" i="1"/>
  <c r="AU59" i="1"/>
  <c r="AM77" i="1"/>
  <c r="AR74" i="1"/>
  <c r="AO69" i="1"/>
  <c r="AO58" i="1"/>
  <c r="AO74" i="1"/>
  <c r="AM69" i="1"/>
  <c r="AJ75" i="1"/>
  <c r="AR61" i="1"/>
  <c r="AO56" i="1"/>
  <c r="AR53" i="1"/>
  <c r="AO61" i="1"/>
  <c r="AM83" i="1"/>
  <c r="AJ83" i="1"/>
  <c r="AT78" i="1"/>
  <c r="AU70" i="1"/>
  <c r="AR80" i="1"/>
  <c r="AM78" i="1"/>
  <c r="AR66" i="1"/>
  <c r="AO80" i="1"/>
  <c r="AM70" i="1"/>
  <c r="AU62" i="1"/>
  <c r="AM64" i="1"/>
  <c r="AO54" i="1"/>
  <c r="AT83" i="1"/>
  <c r="AS75" i="1"/>
  <c r="AM73" i="1"/>
  <c r="AR67" i="1"/>
  <c r="AM65" i="1"/>
  <c r="AJ56" i="1"/>
  <c r="AO53" i="1"/>
  <c r="AU72" i="1"/>
  <c r="AJ69" i="1"/>
  <c r="AO67" i="1"/>
  <c r="AU64" i="1"/>
  <c r="AJ61" i="1"/>
  <c r="AO59" i="1"/>
  <c r="AM57" i="1"/>
  <c r="AJ82" i="1"/>
  <c r="AL82" i="1"/>
  <c r="AU55" i="1"/>
  <c r="AU83" i="1"/>
  <c r="AR75" i="1"/>
  <c r="AR83" i="1"/>
  <c r="AM81" i="1"/>
  <c r="AL81" i="1"/>
  <c r="AO78" i="1"/>
  <c r="AT76" i="1"/>
  <c r="AO75" i="1"/>
  <c r="AM67" i="1"/>
  <c r="AM59" i="1"/>
  <c r="AU56" i="1"/>
  <c r="AR55" i="1"/>
  <c r="AM54" i="1"/>
  <c r="AU75" i="1"/>
  <c r="AJ72" i="1"/>
  <c r="AS83" i="1"/>
  <c r="AR82" i="1"/>
  <c r="AJ80" i="1"/>
  <c r="AL80" i="1"/>
  <c r="AU79" i="1"/>
  <c r="AL79" i="1"/>
  <c r="AJ74" i="1"/>
  <c r="AR72" i="1"/>
  <c r="AO70" i="1"/>
  <c r="AJ66" i="1"/>
  <c r="AO62" i="1"/>
  <c r="AJ58" i="1"/>
  <c r="AO55" i="1"/>
  <c r="AJ53" i="1"/>
  <c r="AJ64" i="1"/>
  <c r="AJ77" i="1"/>
  <c r="AO82" i="1"/>
  <c r="AO83" i="1"/>
  <c r="AU80" i="1"/>
  <c r="AS80" i="1"/>
  <c r="AU78" i="1"/>
  <c r="AR77" i="1"/>
  <c r="AJ76" i="1"/>
  <c r="AM75" i="1"/>
  <c r="AU73" i="1"/>
  <c r="AO72" i="1"/>
  <c r="AU71" i="1"/>
  <c r="AJ67" i="1"/>
  <c r="AU65" i="1"/>
  <c r="AO64" i="1"/>
  <c r="AU63" i="1"/>
  <c r="AJ59" i="1"/>
  <c r="AU57" i="1"/>
  <c r="AR56" i="1"/>
  <c r="AJ54" i="1"/>
  <c r="AW80" i="1"/>
  <c r="AV80" i="1"/>
  <c r="AW83" i="1"/>
  <c r="AV83" i="1"/>
  <c r="AW81" i="1"/>
  <c r="AV81" i="1"/>
  <c r="AV79" i="1"/>
  <c r="AW79" i="1"/>
  <c r="AV82" i="1"/>
  <c r="AW82" i="1"/>
  <c r="AT79" i="1"/>
  <c r="AJ79" i="1"/>
  <c r="AU76" i="1"/>
  <c r="AJ71" i="1"/>
  <c r="AU68" i="1"/>
  <c r="AJ63" i="1"/>
  <c r="AU60" i="1"/>
  <c r="AJ55" i="1"/>
  <c r="AJ68" i="1"/>
  <c r="AJ60" i="1"/>
  <c r="AS79" i="1"/>
  <c r="AS81" i="1"/>
  <c r="AO71" i="1"/>
  <c r="AO63" i="1"/>
  <c r="AR73" i="1"/>
  <c r="AO68" i="1"/>
  <c r="AM66" i="1"/>
  <c r="AR65" i="1"/>
  <c r="AO60" i="1"/>
  <c r="AM58" i="1"/>
  <c r="AR57" i="1"/>
  <c r="AR76" i="1"/>
  <c r="AO81" i="1"/>
  <c r="AT80" i="1"/>
  <c r="AM79" i="1"/>
  <c r="AR78" i="1"/>
  <c r="AU77" i="1"/>
  <c r="AO73" i="1"/>
  <c r="AM71" i="1"/>
  <c r="AR70" i="1"/>
  <c r="AU69" i="1"/>
  <c r="AO65" i="1"/>
  <c r="AM63" i="1"/>
  <c r="AR62" i="1"/>
  <c r="AU61" i="1"/>
  <c r="AO57" i="1"/>
  <c r="AM55" i="1"/>
  <c r="AR54" i="1"/>
  <c r="AU53" i="1"/>
  <c r="AR79" i="1"/>
  <c r="AS76" i="1"/>
  <c r="AR68" i="1"/>
  <c r="AM82" i="1"/>
  <c r="AS78" i="1"/>
  <c r="AO76" i="1"/>
  <c r="AM74" i="1"/>
  <c r="AU82" i="1"/>
  <c r="AT77" i="1"/>
  <c r="AM76" i="1"/>
  <c r="AU74" i="1"/>
  <c r="AM68" i="1"/>
  <c r="AU66" i="1"/>
  <c r="AM60" i="1"/>
  <c r="AU58" i="1"/>
  <c r="AO79" i="1"/>
  <c r="AR60" i="1"/>
  <c r="AR81" i="1"/>
  <c r="AT82" i="1"/>
  <c r="BL22" i="1"/>
  <c r="BJ22" i="1"/>
  <c r="BI22" i="1"/>
  <c r="BE22" i="1"/>
  <c r="BH22" i="1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5" i="2"/>
  <c r="AO22" i="1"/>
  <c r="AM22" i="1"/>
  <c r="AL22" i="1"/>
  <c r="AK22" i="1"/>
  <c r="AJ22" i="1"/>
  <c r="AN44" i="1"/>
  <c r="AN45" i="1"/>
  <c r="AN46" i="1"/>
  <c r="AN47" i="1"/>
  <c r="AN48" i="1"/>
  <c r="AN49" i="1"/>
  <c r="AN50" i="1"/>
  <c r="AN51" i="1"/>
  <c r="AN52" i="1"/>
  <c r="AN43" i="1"/>
  <c r="AI47" i="1"/>
  <c r="AI48" i="1"/>
  <c r="AI49" i="1"/>
  <c r="AI50" i="1"/>
  <c r="AI51" i="1"/>
  <c r="AI52" i="1"/>
  <c r="AI44" i="1"/>
  <c r="AI45" i="1"/>
  <c r="AI46" i="1"/>
  <c r="AM46" i="1" s="1"/>
  <c r="AI43" i="1"/>
  <c r="AI22" i="1"/>
  <c r="AT71" i="1" s="1"/>
  <c r="N63" i="1"/>
  <c r="N64" i="1"/>
  <c r="N65" i="1"/>
  <c r="N66" i="1"/>
  <c r="N67" i="1"/>
  <c r="N68" i="1"/>
  <c r="N69" i="1"/>
  <c r="N70" i="1"/>
  <c r="N71" i="1"/>
  <c r="P74" i="1" s="1"/>
  <c r="AK74" i="1" s="1"/>
  <c r="N72" i="1"/>
  <c r="N73" i="1"/>
  <c r="N74" i="1"/>
  <c r="N75" i="1"/>
  <c r="N76" i="1"/>
  <c r="N77" i="1"/>
  <c r="N78" i="1"/>
  <c r="N79" i="1"/>
  <c r="N80" i="1"/>
  <c r="N81" i="1"/>
  <c r="N82" i="1"/>
  <c r="N83" i="1"/>
  <c r="T45" i="1"/>
  <c r="N45" i="1" s="1"/>
  <c r="U45" i="1"/>
  <c r="T46" i="1"/>
  <c r="N46" i="1" s="1"/>
  <c r="U46" i="1"/>
  <c r="T47" i="1"/>
  <c r="U47" i="1"/>
  <c r="T48" i="1"/>
  <c r="U48" i="1"/>
  <c r="T49" i="1"/>
  <c r="N49" i="1" s="1"/>
  <c r="U49" i="1"/>
  <c r="T50" i="1"/>
  <c r="N50" i="1" s="1"/>
  <c r="U50" i="1"/>
  <c r="T51" i="1"/>
  <c r="N51" i="1" s="1"/>
  <c r="U51" i="1"/>
  <c r="T52" i="1"/>
  <c r="N52" i="1" s="1"/>
  <c r="U52" i="1"/>
  <c r="T53" i="1"/>
  <c r="U53" i="1"/>
  <c r="T54" i="1"/>
  <c r="U54" i="1"/>
  <c r="T55" i="1"/>
  <c r="N55" i="1" s="1"/>
  <c r="U55" i="1"/>
  <c r="T56" i="1"/>
  <c r="N56" i="1" s="1"/>
  <c r="U56" i="1"/>
  <c r="T57" i="1"/>
  <c r="N57" i="1" s="1"/>
  <c r="U57" i="1"/>
  <c r="T58" i="1"/>
  <c r="N58" i="1" s="1"/>
  <c r="U58" i="1"/>
  <c r="T59" i="1"/>
  <c r="N59" i="1" s="1"/>
  <c r="U59" i="1"/>
  <c r="T60" i="1"/>
  <c r="N60" i="1" s="1"/>
  <c r="U60" i="1"/>
  <c r="T61" i="1"/>
  <c r="U61" i="1"/>
  <c r="T62" i="1"/>
  <c r="U62" i="1"/>
  <c r="AC45" i="1"/>
  <c r="AD45" i="1"/>
  <c r="AE45" i="1"/>
  <c r="AF45" i="1"/>
  <c r="AG45" i="1"/>
  <c r="AC46" i="1"/>
  <c r="AD46" i="1"/>
  <c r="AE46" i="1"/>
  <c r="AF46" i="1"/>
  <c r="AG46" i="1"/>
  <c r="AC47" i="1"/>
  <c r="AD47" i="1"/>
  <c r="AE47" i="1"/>
  <c r="AF47" i="1"/>
  <c r="AG47" i="1"/>
  <c r="AC48" i="1"/>
  <c r="AD48" i="1"/>
  <c r="AE48" i="1"/>
  <c r="AF48" i="1"/>
  <c r="AG48" i="1"/>
  <c r="AC49" i="1"/>
  <c r="AD49" i="1"/>
  <c r="AE49" i="1"/>
  <c r="AF49" i="1"/>
  <c r="AG49" i="1"/>
  <c r="AC50" i="1"/>
  <c r="AD50" i="1"/>
  <c r="AE50" i="1"/>
  <c r="AF50" i="1"/>
  <c r="AG50" i="1"/>
  <c r="AC51" i="1"/>
  <c r="AD51" i="1"/>
  <c r="AE51" i="1"/>
  <c r="AF51" i="1"/>
  <c r="AG51" i="1"/>
  <c r="AC52" i="1"/>
  <c r="AD52" i="1"/>
  <c r="AE52" i="1"/>
  <c r="AF52" i="1"/>
  <c r="AG52" i="1"/>
  <c r="AC53" i="1"/>
  <c r="AD53" i="1"/>
  <c r="AE53" i="1"/>
  <c r="AF53" i="1"/>
  <c r="AG53" i="1"/>
  <c r="AC54" i="1"/>
  <c r="AD54" i="1"/>
  <c r="AE54" i="1"/>
  <c r="AF54" i="1"/>
  <c r="AG54" i="1"/>
  <c r="AC55" i="1"/>
  <c r="AD55" i="1"/>
  <c r="AE55" i="1"/>
  <c r="AF55" i="1"/>
  <c r="AG55" i="1"/>
  <c r="AC56" i="1"/>
  <c r="AD56" i="1"/>
  <c r="AE56" i="1"/>
  <c r="AF56" i="1"/>
  <c r="AG56" i="1"/>
  <c r="AC57" i="1"/>
  <c r="AD57" i="1"/>
  <c r="AE57" i="1"/>
  <c r="AF57" i="1"/>
  <c r="AG57" i="1"/>
  <c r="AC58" i="1"/>
  <c r="AD58" i="1"/>
  <c r="AE58" i="1"/>
  <c r="AF58" i="1"/>
  <c r="AG58" i="1"/>
  <c r="AC59" i="1"/>
  <c r="AD59" i="1"/>
  <c r="AE59" i="1"/>
  <c r="AF59" i="1"/>
  <c r="AG59" i="1"/>
  <c r="AC60" i="1"/>
  <c r="AD60" i="1"/>
  <c r="AE60" i="1"/>
  <c r="AF60" i="1"/>
  <c r="AG60" i="1"/>
  <c r="AC61" i="1"/>
  <c r="AD61" i="1"/>
  <c r="AE61" i="1"/>
  <c r="AF61" i="1"/>
  <c r="AG61" i="1"/>
  <c r="AC62" i="1"/>
  <c r="AD62" i="1"/>
  <c r="AE62" i="1"/>
  <c r="AF62" i="1"/>
  <c r="AG62" i="1"/>
  <c r="AC44" i="1"/>
  <c r="AD44" i="1"/>
  <c r="AE44" i="1"/>
  <c r="AF44" i="1"/>
  <c r="AG44" i="1"/>
  <c r="AD43" i="1"/>
  <c r="AE43" i="1"/>
  <c r="AF43" i="1"/>
  <c r="AG43" i="1"/>
  <c r="AC43" i="1"/>
  <c r="T44" i="1"/>
  <c r="N44" i="1" s="1"/>
  <c r="U44" i="1"/>
  <c r="U43" i="1"/>
  <c r="T43" i="1"/>
  <c r="N43" i="1" s="1"/>
  <c r="X39" i="1"/>
  <c r="Y39" i="1" s="1"/>
  <c r="AZ22" i="1" s="1"/>
  <c r="X40" i="1"/>
  <c r="Y40" i="1" s="1"/>
  <c r="BA22" i="1" s="1"/>
  <c r="X41" i="1"/>
  <c r="Y41" i="1" s="1"/>
  <c r="BB22" i="1" s="1"/>
  <c r="X42" i="1"/>
  <c r="Y42" i="1" s="1"/>
  <c r="BC22" i="1" s="1"/>
  <c r="X38" i="1"/>
  <c r="Y38" i="1" s="1"/>
  <c r="AY22" i="1" s="1"/>
  <c r="Z44" i="1" l="1"/>
  <c r="AF7" i="6"/>
  <c r="AF5" i="6"/>
  <c r="AF69" i="6"/>
  <c r="AF68" i="6"/>
  <c r="AT74" i="1"/>
  <c r="AT75" i="1"/>
  <c r="AW74" i="1"/>
  <c r="AL74" i="1"/>
  <c r="AV74" i="1"/>
  <c r="AL76" i="1"/>
  <c r="P76" i="1"/>
  <c r="AK76" i="1" s="1"/>
  <c r="P77" i="1"/>
  <c r="AK77" i="1" s="1"/>
  <c r="P75" i="1"/>
  <c r="AK75" i="1" s="1"/>
  <c r="AL75" i="1" s="1"/>
  <c r="P78" i="1"/>
  <c r="AK78" i="1" s="1"/>
  <c r="AN22" i="1"/>
  <c r="AS67" i="1"/>
  <c r="AR51" i="1"/>
  <c r="AS59" i="1"/>
  <c r="AS62" i="1"/>
  <c r="AS66" i="1"/>
  <c r="AS56" i="1"/>
  <c r="AS70" i="1"/>
  <c r="AS63" i="1"/>
  <c r="AS71" i="1"/>
  <c r="AS53" i="1"/>
  <c r="AS58" i="1"/>
  <c r="AS57" i="1"/>
  <c r="AM49" i="1"/>
  <c r="AS60" i="1"/>
  <c r="AR43" i="1"/>
  <c r="AI40" i="1"/>
  <c r="AR48" i="1"/>
  <c r="AS64" i="1"/>
  <c r="AR46" i="1"/>
  <c r="AU47" i="1"/>
  <c r="AS69" i="1"/>
  <c r="AS68" i="1"/>
  <c r="AU44" i="1"/>
  <c r="AS65" i="1"/>
  <c r="AS61" i="1"/>
  <c r="AS54" i="1"/>
  <c r="AS55" i="1"/>
  <c r="AS50" i="1"/>
  <c r="AS73" i="1"/>
  <c r="AM52" i="1"/>
  <c r="AS72" i="1"/>
  <c r="BK22" i="1"/>
  <c r="BG22" i="1"/>
  <c r="BF22" i="1"/>
  <c r="AT66" i="1"/>
  <c r="AT64" i="1"/>
  <c r="AT61" i="1"/>
  <c r="AT63" i="1"/>
  <c r="AT56" i="1"/>
  <c r="AT60" i="1"/>
  <c r="AT72" i="1"/>
  <c r="AT68" i="1"/>
  <c r="AT59" i="1"/>
  <c r="AT67" i="1"/>
  <c r="AT57" i="1"/>
  <c r="AT65" i="1"/>
  <c r="AT73" i="1"/>
  <c r="AT62" i="1"/>
  <c r="AT54" i="1"/>
  <c r="AT70" i="1"/>
  <c r="AI25" i="1"/>
  <c r="AT69" i="1"/>
  <c r="AT53" i="1"/>
  <c r="AT58" i="1"/>
  <c r="AT55" i="1"/>
  <c r="AT44" i="1"/>
  <c r="AJ44" i="1"/>
  <c r="AM48" i="1"/>
  <c r="AJ48" i="1"/>
  <c r="AO45" i="1"/>
  <c r="AJ43" i="1"/>
  <c r="AS52" i="1"/>
  <c r="AJ52" i="1"/>
  <c r="AS46" i="1"/>
  <c r="AJ51" i="1"/>
  <c r="AO51" i="1"/>
  <c r="AO43" i="1"/>
  <c r="AJ46" i="1"/>
  <c r="AT45" i="1"/>
  <c r="AM51" i="1"/>
  <c r="AT47" i="1"/>
  <c r="AT52" i="1"/>
  <c r="AO52" i="1"/>
  <c r="P44" i="1"/>
  <c r="AK44" i="1" s="1"/>
  <c r="N61" i="1"/>
  <c r="N53" i="1"/>
  <c r="P43" i="1"/>
  <c r="AK43" i="1" s="1"/>
  <c r="P60" i="1"/>
  <c r="AK60" i="1" s="1"/>
  <c r="AL60" i="1" s="1"/>
  <c r="AS43" i="1"/>
  <c r="AU48" i="1"/>
  <c r="AS47" i="1"/>
  <c r="AO50" i="1"/>
  <c r="N54" i="1"/>
  <c r="P59" i="1"/>
  <c r="AK59" i="1" s="1"/>
  <c r="AL59" i="1" s="1"/>
  <c r="AT46" i="1"/>
  <c r="AU49" i="1"/>
  <c r="AT48" i="1"/>
  <c r="AO49" i="1"/>
  <c r="N62" i="1"/>
  <c r="AT51" i="1"/>
  <c r="AT49" i="1"/>
  <c r="AS48" i="1"/>
  <c r="AJ47" i="1"/>
  <c r="AO48" i="1"/>
  <c r="AS49" i="1"/>
  <c r="AO47" i="1"/>
  <c r="P57" i="1"/>
  <c r="AK57" i="1" s="1"/>
  <c r="AL57" i="1" s="1"/>
  <c r="P46" i="1"/>
  <c r="AK46" i="1" s="1"/>
  <c r="AU52" i="1"/>
  <c r="AR49" i="1"/>
  <c r="AO46" i="1"/>
  <c r="P45" i="1"/>
  <c r="AK45" i="1" s="1"/>
  <c r="AJ49" i="1"/>
  <c r="AO44" i="1"/>
  <c r="AR50" i="1"/>
  <c r="AR47" i="1"/>
  <c r="AR52" i="1"/>
  <c r="AU51" i="1"/>
  <c r="AM50" i="1"/>
  <c r="AS51" i="1"/>
  <c r="AU50" i="1"/>
  <c r="AM47" i="1"/>
  <c r="AT50" i="1"/>
  <c r="AJ50" i="1"/>
  <c r="AS45" i="1"/>
  <c r="AS44" i="1"/>
  <c r="AU46" i="1"/>
  <c r="AR44" i="1"/>
  <c r="AU45" i="1"/>
  <c r="AJ45" i="1"/>
  <c r="AR45" i="1"/>
  <c r="AM43" i="1"/>
  <c r="AU43" i="1"/>
  <c r="AT43" i="1"/>
  <c r="AM45" i="1"/>
  <c r="AM44" i="1"/>
  <c r="N48" i="1"/>
  <c r="P48" i="1" s="1"/>
  <c r="AK48" i="1" s="1"/>
  <c r="N47" i="1"/>
  <c r="P71" i="1" s="1"/>
  <c r="AK71" i="1" s="1"/>
  <c r="AV71" i="1" s="1"/>
  <c r="Z41" i="1"/>
  <c r="AW22" i="1" s="1"/>
  <c r="Z37" i="1"/>
  <c r="AS22" i="1" s="1"/>
  <c r="Z40" i="1"/>
  <c r="AV22" i="1" s="1"/>
  <c r="Z36" i="1"/>
  <c r="AR22" i="1" s="1"/>
  <c r="Z39" i="1"/>
  <c r="AU22" i="1" s="1"/>
  <c r="Z38" i="1"/>
  <c r="AT22" i="1" s="1"/>
  <c r="Z42" i="1"/>
  <c r="AX22" i="1" s="1"/>
  <c r="Y37" i="1"/>
  <c r="AQ22" i="1" s="1"/>
  <c r="Y36" i="1"/>
  <c r="X45" i="1" s="1"/>
  <c r="P54" i="1" l="1"/>
  <c r="AK54" i="1" s="1"/>
  <c r="P51" i="1"/>
  <c r="AK51" i="1" s="1"/>
  <c r="P56" i="1"/>
  <c r="AK56" i="1" s="1"/>
  <c r="AL56" i="1" s="1"/>
  <c r="U8" i="5"/>
  <c r="S11" i="5"/>
  <c r="W23" i="5"/>
  <c r="W19" i="5"/>
  <c r="U15" i="5"/>
  <c r="S20" i="5"/>
  <c r="S12" i="5"/>
  <c r="U7" i="5"/>
  <c r="T24" i="5"/>
  <c r="T22" i="5"/>
  <c r="T20" i="5"/>
  <c r="T18" i="5"/>
  <c r="T16" i="5"/>
  <c r="T14" i="5"/>
  <c r="T12" i="5"/>
  <c r="T10" i="5"/>
  <c r="T8" i="5"/>
  <c r="S13" i="5"/>
  <c r="U24" i="5"/>
  <c r="U20" i="5"/>
  <c r="U16" i="5"/>
  <c r="W13" i="5"/>
  <c r="W11" i="5"/>
  <c r="W9" i="5"/>
  <c r="S15" i="5"/>
  <c r="W24" i="5"/>
  <c r="W20" i="5"/>
  <c r="W16" i="5"/>
  <c r="S22" i="5"/>
  <c r="S14" i="5"/>
  <c r="V7" i="5"/>
  <c r="V24" i="5"/>
  <c r="V22" i="5"/>
  <c r="V20" i="5"/>
  <c r="V18" i="5"/>
  <c r="V16" i="5"/>
  <c r="V14" i="5"/>
  <c r="V12" i="5"/>
  <c r="V10" i="5"/>
  <c r="V8" i="5"/>
  <c r="S17" i="5"/>
  <c r="U25" i="5"/>
  <c r="U21" i="5"/>
  <c r="U17" i="5"/>
  <c r="U14" i="5"/>
  <c r="U12" i="5"/>
  <c r="U10" i="5"/>
  <c r="S19" i="5"/>
  <c r="W25" i="5"/>
  <c r="W21" i="5"/>
  <c r="W17" i="5"/>
  <c r="S24" i="5"/>
  <c r="S16" i="5"/>
  <c r="S8" i="5"/>
  <c r="T25" i="5"/>
  <c r="T23" i="5"/>
  <c r="T21" i="5"/>
  <c r="T19" i="5"/>
  <c r="T17" i="5"/>
  <c r="T15" i="5"/>
  <c r="T13" i="5"/>
  <c r="T11" i="5"/>
  <c r="T9" i="5"/>
  <c r="S21" i="5"/>
  <c r="W7" i="5"/>
  <c r="U22" i="5"/>
  <c r="U18" i="5"/>
  <c r="W14" i="5"/>
  <c r="W12" i="5"/>
  <c r="W10" i="5"/>
  <c r="W8" i="5"/>
  <c r="S23" i="5"/>
  <c r="T7" i="5"/>
  <c r="W22" i="5"/>
  <c r="W18" i="5"/>
  <c r="S7" i="5"/>
  <c r="S18" i="5"/>
  <c r="S10" i="5"/>
  <c r="V25" i="5"/>
  <c r="V23" i="5"/>
  <c r="V21" i="5"/>
  <c r="V19" i="5"/>
  <c r="V17" i="5"/>
  <c r="V15" i="5"/>
  <c r="V13" i="5"/>
  <c r="V11" i="5"/>
  <c r="V9" i="5"/>
  <c r="S25" i="5"/>
  <c r="S9" i="5"/>
  <c r="U23" i="5"/>
  <c r="U19" i="5"/>
  <c r="W15" i="5"/>
  <c r="U13" i="5"/>
  <c r="U11" i="5"/>
  <c r="U9" i="5"/>
  <c r="P50" i="1"/>
  <c r="AK50" i="1" s="1"/>
  <c r="P69" i="1"/>
  <c r="AK69" i="1" s="1"/>
  <c r="AL69" i="1" s="1"/>
  <c r="P58" i="1"/>
  <c r="AK58" i="1" s="1"/>
  <c r="AL58" i="1" s="1"/>
  <c r="P55" i="1"/>
  <c r="AK55" i="1" s="1"/>
  <c r="AL55" i="1" s="1"/>
  <c r="P67" i="1"/>
  <c r="AK67" i="1" s="1"/>
  <c r="AL67" i="1" s="1"/>
  <c r="P47" i="1"/>
  <c r="AK47" i="1" s="1"/>
  <c r="AW47" i="1" s="1"/>
  <c r="P64" i="1"/>
  <c r="AK64" i="1" s="1"/>
  <c r="AL64" i="1" s="1"/>
  <c r="P62" i="1"/>
  <c r="AK62" i="1" s="1"/>
  <c r="AL62" i="1" s="1"/>
  <c r="P66" i="1"/>
  <c r="AK66" i="1" s="1"/>
  <c r="AL66" i="1" s="1"/>
  <c r="P70" i="1"/>
  <c r="AK70" i="1" s="1"/>
  <c r="AW70" i="1" s="1"/>
  <c r="P63" i="1"/>
  <c r="AK63" i="1" s="1"/>
  <c r="AL63" i="1" s="1"/>
  <c r="P68" i="1"/>
  <c r="AK68" i="1" s="1"/>
  <c r="AV68" i="1" s="1"/>
  <c r="P65" i="1"/>
  <c r="AK65" i="1" s="1"/>
  <c r="AV65" i="1" s="1"/>
  <c r="P72" i="1"/>
  <c r="AK72" i="1" s="1"/>
  <c r="P73" i="1"/>
  <c r="AK73" i="1" s="1"/>
  <c r="AL73" i="1" s="1"/>
  <c r="P52" i="1"/>
  <c r="AK52" i="1" s="1"/>
  <c r="AV76" i="1"/>
  <c r="AW76" i="1"/>
  <c r="AV77" i="1"/>
  <c r="AW77" i="1"/>
  <c r="AL77" i="1"/>
  <c r="AL71" i="1"/>
  <c r="AW71" i="1"/>
  <c r="AL78" i="1"/>
  <c r="AV78" i="1"/>
  <c r="AW78" i="1"/>
  <c r="AV75" i="1"/>
  <c r="AW75" i="1"/>
  <c r="AL68" i="1"/>
  <c r="AW54" i="1"/>
  <c r="AL54" i="1"/>
  <c r="P53" i="1"/>
  <c r="AK53" i="1" s="1"/>
  <c r="AL53" i="1" s="1"/>
  <c r="P49" i="1"/>
  <c r="AK49" i="1" s="1"/>
  <c r="AW49" i="1" s="1"/>
  <c r="AV47" i="1"/>
  <c r="AL47" i="1"/>
  <c r="AL44" i="1"/>
  <c r="AL43" i="1"/>
  <c r="AW51" i="1"/>
  <c r="AV51" i="1"/>
  <c r="AW48" i="1"/>
  <c r="AV48" i="1"/>
  <c r="AW50" i="1"/>
  <c r="AV50" i="1"/>
  <c r="AV59" i="1"/>
  <c r="AW59" i="1"/>
  <c r="AV43" i="1"/>
  <c r="AW43" i="1"/>
  <c r="AV56" i="1"/>
  <c r="AW56" i="1"/>
  <c r="AV54" i="1"/>
  <c r="AV55" i="1"/>
  <c r="AW55" i="1"/>
  <c r="AV45" i="1"/>
  <c r="AW45" i="1"/>
  <c r="AV44" i="1"/>
  <c r="AW44" i="1"/>
  <c r="AW66" i="1"/>
  <c r="AW58" i="1"/>
  <c r="AV58" i="1"/>
  <c r="AV63" i="1"/>
  <c r="AW63" i="1"/>
  <c r="AV46" i="1"/>
  <c r="AW46" i="1"/>
  <c r="AV52" i="1"/>
  <c r="AW52" i="1"/>
  <c r="AV57" i="1"/>
  <c r="AW57" i="1"/>
  <c r="AW60" i="1"/>
  <c r="AV60" i="1"/>
  <c r="AL50" i="1"/>
  <c r="AL52" i="1"/>
  <c r="AL51" i="1"/>
  <c r="AL45" i="1"/>
  <c r="AL49" i="1"/>
  <c r="AL46" i="1"/>
  <c r="AL48" i="1"/>
  <c r="P61" i="1"/>
  <c r="AK61" i="1" s="1"/>
  <c r="AL61" i="1" s="1"/>
  <c r="BD22" i="1"/>
  <c r="AP22" i="1"/>
  <c r="AW67" i="1" l="1"/>
  <c r="AW62" i="1"/>
  <c r="AV62" i="1"/>
  <c r="AV73" i="1"/>
  <c r="AW68" i="1"/>
  <c r="AV69" i="1"/>
  <c r="AW65" i="1"/>
  <c r="AW69" i="1"/>
  <c r="AV66" i="1"/>
  <c r="AV67" i="1"/>
  <c r="AW64" i="1"/>
  <c r="AL65" i="1"/>
  <c r="AW73" i="1"/>
  <c r="AW72" i="1"/>
  <c r="AV72" i="1"/>
  <c r="AL72" i="1"/>
  <c r="AV64" i="1"/>
  <c r="AV70" i="1"/>
  <c r="AL70" i="1"/>
  <c r="AW53" i="1"/>
  <c r="AV53" i="1"/>
  <c r="AV49" i="1"/>
  <c r="AV61" i="1"/>
  <c r="AW61" i="1"/>
</calcChain>
</file>

<file path=xl/comments1.xml><?xml version="1.0" encoding="utf-8"?>
<comments xmlns="http://schemas.openxmlformats.org/spreadsheetml/2006/main">
  <authors>
    <author>Nicolas</author>
  </authors>
  <commentList>
    <comment ref="Y33" authorId="0" shapeId="0">
      <text>
        <r>
          <rPr>
            <sz val="9"/>
            <color indexed="81"/>
            <rFont val="Tahoma"/>
            <family val="2"/>
          </rPr>
          <t>- Ne pas sortir les nappes avec un poids supérieur à 400gr.
Régler les impulsions si nécessaire : baisser les impulsions pour baisser le poids de la nappe</t>
        </r>
      </text>
    </comment>
    <comment ref="X38" authorId="0" shapeId="0">
      <text>
        <r>
          <rPr>
            <sz val="9"/>
            <color indexed="81"/>
            <rFont val="Tahoma"/>
            <family val="2"/>
          </rPr>
          <t>- Vérifier la position du/des guides fils
- Vérifier l'état de la/des buses/flammes secondaires</t>
        </r>
      </text>
    </comment>
    <comment ref="X39" authorId="0" shapeId="0">
      <text>
        <r>
          <rPr>
            <sz val="9"/>
            <color indexed="81"/>
            <rFont val="Tahoma"/>
            <family val="2"/>
          </rPr>
          <t xml:space="preserve">- Vérifier qu'il ne manque pas de baguettes sur la machine
- </t>
        </r>
      </text>
    </comment>
  </commentList>
</comments>
</file>

<file path=xl/comments2.xml><?xml version="1.0" encoding="utf-8"?>
<comments xmlns="http://schemas.openxmlformats.org/spreadsheetml/2006/main">
  <authors>
    <author>Nicolas</author>
  </authors>
  <commentList>
    <comment ref="O31" authorId="0" shapeId="0">
      <text>
        <r>
          <rPr>
            <b/>
            <sz val="9"/>
            <color indexed="81"/>
            <rFont val="Tahoma"/>
            <family val="2"/>
          </rPr>
          <t>TO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Tahoma"/>
            <family val="2"/>
          </rPr>
          <t>T</t>
        </r>
        <r>
          <rPr>
            <sz val="9"/>
            <color indexed="81"/>
            <rFont val="Tahoma"/>
            <family val="2"/>
          </rPr>
          <t>emps d'</t>
        </r>
        <r>
          <rPr>
            <b/>
            <sz val="9"/>
            <color indexed="81"/>
            <rFont val="Tahoma"/>
            <family val="2"/>
          </rPr>
          <t>O</t>
        </r>
        <r>
          <rPr>
            <sz val="9"/>
            <color indexed="81"/>
            <rFont val="Tahoma"/>
            <family val="2"/>
          </rPr>
          <t>uverture, durée du poste en minutes
8h = 480
7h = 420
…</t>
        </r>
      </text>
    </comment>
  </commentList>
</comments>
</file>

<file path=xl/comments3.xml><?xml version="1.0" encoding="utf-8"?>
<comments xmlns="http://schemas.openxmlformats.org/spreadsheetml/2006/main">
  <authors>
    <author>Nicolas</author>
  </authors>
  <commentList>
    <comment ref="O31" authorId="0" shapeId="0">
      <text>
        <r>
          <rPr>
            <b/>
            <sz val="9"/>
            <color indexed="81"/>
            <rFont val="Tahoma"/>
            <family val="2"/>
          </rPr>
          <t>TO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Tahoma"/>
            <family val="2"/>
          </rPr>
          <t>T</t>
        </r>
        <r>
          <rPr>
            <sz val="9"/>
            <color indexed="81"/>
            <rFont val="Tahoma"/>
            <family val="2"/>
          </rPr>
          <t>emps d'</t>
        </r>
        <r>
          <rPr>
            <b/>
            <sz val="9"/>
            <color indexed="81"/>
            <rFont val="Tahoma"/>
            <family val="2"/>
          </rPr>
          <t>O</t>
        </r>
        <r>
          <rPr>
            <sz val="9"/>
            <color indexed="81"/>
            <rFont val="Tahoma"/>
            <family val="2"/>
          </rPr>
          <t>uverture, durée du poste en minutes
8h = 480
7h = 420
…</t>
        </r>
      </text>
    </comment>
  </commentList>
</comments>
</file>

<file path=xl/sharedStrings.xml><?xml version="1.0" encoding="utf-8"?>
<sst xmlns="http://schemas.openxmlformats.org/spreadsheetml/2006/main" count="3480" uniqueCount="390">
  <si>
    <t>date</t>
  </si>
  <si>
    <t>jour</t>
  </si>
  <si>
    <t>poste</t>
  </si>
  <si>
    <t>opérateur</t>
  </si>
  <si>
    <t>Micronnaire</t>
  </si>
  <si>
    <t>Nappe</t>
  </si>
  <si>
    <t>Controles Finaux</t>
  </si>
  <si>
    <t>Poids</t>
  </si>
  <si>
    <t>Epaisseur</t>
  </si>
  <si>
    <t>Production en cours</t>
  </si>
  <si>
    <t>OK</t>
  </si>
  <si>
    <t>NC</t>
  </si>
  <si>
    <t>defaults</t>
  </si>
  <si>
    <t>Trou</t>
  </si>
  <si>
    <t>Fil</t>
  </si>
  <si>
    <t>Autre</t>
  </si>
  <si>
    <t>Démarrage</t>
  </si>
  <si>
    <t>TRS courant</t>
  </si>
  <si>
    <t>%</t>
  </si>
  <si>
    <t>ATELIER QUARTZEL</t>
  </si>
  <si>
    <t>Suivi de production
Fibrage Laine Machine F</t>
  </si>
  <si>
    <t>Saint-Gobain-Quartz SAS</t>
  </si>
  <si>
    <t>Saint-Pierre-lès-Nemours</t>
  </si>
  <si>
    <t>Poids plastique</t>
  </si>
  <si>
    <t>Poids total</t>
  </si>
  <si>
    <t>Si défault</t>
  </si>
  <si>
    <t>Poids NC</t>
  </si>
  <si>
    <t>démarrage</t>
  </si>
  <si>
    <t>Valider le poste</t>
  </si>
  <si>
    <t>impulsions</t>
  </si>
  <si>
    <t>by manyO.dev</t>
  </si>
  <si>
    <t>consignes</t>
  </si>
  <si>
    <t>mic min</t>
  </si>
  <si>
    <t>mic max</t>
  </si>
  <si>
    <t>poids final min</t>
  </si>
  <si>
    <t>poids final max</t>
  </si>
  <si>
    <t>defaults finals</t>
  </si>
  <si>
    <t>postes</t>
  </si>
  <si>
    <t>Matin</t>
  </si>
  <si>
    <t>Après-Midi</t>
  </si>
  <si>
    <t>Nuit</t>
  </si>
  <si>
    <t>Journée</t>
  </si>
  <si>
    <t>TO</t>
  </si>
  <si>
    <t>individual_data_nappe</t>
  </si>
  <si>
    <t>machine</t>
  </si>
  <si>
    <t>unique_id</t>
  </si>
  <si>
    <t>poids</t>
  </si>
  <si>
    <t>défaults</t>
  </si>
  <si>
    <t>is_valid</t>
  </si>
  <si>
    <t>mic</t>
  </si>
  <si>
    <t>final</t>
  </si>
  <si>
    <t>finals</t>
  </si>
  <si>
    <t>num_jour</t>
  </si>
  <si>
    <t>post_id</t>
  </si>
  <si>
    <t>Nicolas B.</t>
  </si>
  <si>
    <t>num</t>
  </si>
  <si>
    <t>obj</t>
  </si>
  <si>
    <t>VALID_COUNT</t>
  </si>
  <si>
    <t>NC_COUNT</t>
  </si>
  <si>
    <t>valid_gr</t>
  </si>
  <si>
    <t>nc_gr</t>
  </si>
  <si>
    <t>Fil gr</t>
  </si>
  <si>
    <t>Trou gr</t>
  </si>
  <si>
    <t>Epaisseur gr</t>
  </si>
  <si>
    <t>Autre gr</t>
  </si>
  <si>
    <t>Démarrage gr</t>
  </si>
  <si>
    <t>TRS</t>
  </si>
  <si>
    <t>trs_calculator</t>
  </si>
  <si>
    <t>to théorique</t>
  </si>
  <si>
    <t>fibrage théorique</t>
  </si>
  <si>
    <t>objectif</t>
  </si>
  <si>
    <t>mic 1</t>
  </si>
  <si>
    <t>mic 2</t>
  </si>
  <si>
    <t>mic 4</t>
  </si>
  <si>
    <t>mic 3</t>
  </si>
  <si>
    <t>final 1</t>
  </si>
  <si>
    <t>final 2</t>
  </si>
  <si>
    <t>final 3</t>
  </si>
  <si>
    <t>final 4</t>
  </si>
  <si>
    <t>Gauche</t>
  </si>
  <si>
    <t>Droite</t>
  </si>
  <si>
    <t>NC Gauche</t>
  </si>
  <si>
    <t>NC Droite</t>
  </si>
  <si>
    <t>OP</t>
  </si>
  <si>
    <t>start</t>
  </si>
  <si>
    <t>if post exist</t>
  </si>
  <si>
    <t>opérateurs</t>
  </si>
  <si>
    <t>Anthony M.</t>
  </si>
  <si>
    <t>Stéphane M.</t>
  </si>
  <si>
    <t>ThomasNau N.</t>
  </si>
  <si>
    <t>Invité</t>
  </si>
  <si>
    <t>44905;Matin;Nicolas B.</t>
  </si>
  <si>
    <t>F</t>
  </si>
  <si>
    <t>M</t>
  </si>
  <si>
    <t>A</t>
  </si>
  <si>
    <t>344;F;;A</t>
  </si>
  <si>
    <t>344;F;1;A</t>
  </si>
  <si>
    <t>344;F;2;A</t>
  </si>
  <si>
    <t>344;F;3;A</t>
  </si>
  <si>
    <t>344;F;4;A</t>
  </si>
  <si>
    <t>344;F;5;A</t>
  </si>
  <si>
    <t>344;F;6;A</t>
  </si>
  <si>
    <t>344;F;7;A</t>
  </si>
  <si>
    <t>344;F;8;A</t>
  </si>
  <si>
    <t>344;F;9;A</t>
  </si>
  <si>
    <t>344;F;10;A</t>
  </si>
  <si>
    <t>344;F;11;A</t>
  </si>
  <si>
    <t>344;F;12;A</t>
  </si>
  <si>
    <t>344;F;13;A</t>
  </si>
  <si>
    <t>344;F;14;A</t>
  </si>
  <si>
    <t>344;F;15;A</t>
  </si>
  <si>
    <t>344;F;16;A</t>
  </si>
  <si>
    <t>344;F;17;A</t>
  </si>
  <si>
    <t>344;F;18;A</t>
  </si>
  <si>
    <t>344;F;19;A</t>
  </si>
  <si>
    <t>344;F;20;A</t>
  </si>
  <si>
    <t>344;F;21;A</t>
  </si>
  <si>
    <t>344;F;22;A</t>
  </si>
  <si>
    <t>344;F;23;A</t>
  </si>
  <si>
    <t>344;F;24;A</t>
  </si>
  <si>
    <t>344;F;25;A</t>
  </si>
  <si>
    <t>344;F;26;A</t>
  </si>
  <si>
    <t>report plastique</t>
  </si>
  <si>
    <t>Nouveau poste</t>
  </si>
  <si>
    <t>poids de sortie min</t>
  </si>
  <si>
    <t>poids de sortie max</t>
  </si>
  <si>
    <t>poids fibrage min</t>
  </si>
  <si>
    <t>poids fibrage max</t>
  </si>
  <si>
    <t>obj TRS min</t>
  </si>
  <si>
    <t>ProdTracker</t>
  </si>
  <si>
    <t>mic G</t>
  </si>
  <si>
    <t>mic D</t>
  </si>
  <si>
    <t>29;15;31</t>
  </si>
  <si>
    <t>298;3;OK</t>
  </si>
  <si>
    <t>301;4;OK</t>
  </si>
  <si>
    <t>poids final</t>
  </si>
  <si>
    <t>ep is OK</t>
  </si>
  <si>
    <t>32;22;31</t>
  </si>
  <si>
    <t>298;3;NC Gauche</t>
  </si>
  <si>
    <t>301;4;NC Gauche</t>
  </si>
  <si>
    <t>VALID</t>
  </si>
  <si>
    <t>VALID COUNT</t>
  </si>
  <si>
    <t>NC COUNT</t>
  </si>
  <si>
    <t>Totaux</t>
  </si>
  <si>
    <t>Postes</t>
  </si>
  <si>
    <t>count poste</t>
  </si>
  <si>
    <t>total TO</t>
  </si>
  <si>
    <t>obj MAX</t>
  </si>
  <si>
    <t>Mic D</t>
  </si>
  <si>
    <t>Mic G</t>
  </si>
  <si>
    <t>Mic D is Valid</t>
  </si>
  <si>
    <t>Mic G is Valid</t>
  </si>
  <si>
    <t>Poids final OK</t>
  </si>
  <si>
    <t>IS UNVALID</t>
  </si>
  <si>
    <t>32;4;31</t>
  </si>
  <si>
    <t>302;23;OK</t>
  </si>
  <si>
    <t>344;F;;M</t>
  </si>
  <si>
    <t>344;F;1;M</t>
  </si>
  <si>
    <t>344;F;2;M</t>
  </si>
  <si>
    <t>344;F;3;M</t>
  </si>
  <si>
    <t>344;F;4;M</t>
  </si>
  <si>
    <t>344;F;5;M</t>
  </si>
  <si>
    <t>344;F;6;M</t>
  </si>
  <si>
    <t>344;F;7;M</t>
  </si>
  <si>
    <t>344;F;8;M</t>
  </si>
  <si>
    <t>344;F;9;M</t>
  </si>
  <si>
    <t>344;F;10;M</t>
  </si>
  <si>
    <t>344;F;11;M</t>
  </si>
  <si>
    <t>344;F;12;M</t>
  </si>
  <si>
    <t>344;F;13;M</t>
  </si>
  <si>
    <t>344;F;14;M</t>
  </si>
  <si>
    <t>344;F;15;M</t>
  </si>
  <si>
    <t>344;F;16;M</t>
  </si>
  <si>
    <t>344;F;17;M</t>
  </si>
  <si>
    <t>344;F;18;M</t>
  </si>
  <si>
    <t>344;F;19;M</t>
  </si>
  <si>
    <t>344;F;20;M</t>
  </si>
  <si>
    <t>344;F;21;M</t>
  </si>
  <si>
    <t>344;F;22;M</t>
  </si>
  <si>
    <t>344;F;23;M</t>
  </si>
  <si>
    <t>344;F;24;M</t>
  </si>
  <si>
    <t>344;F;25;M</t>
  </si>
  <si>
    <t>344;F;26;M</t>
  </si>
  <si>
    <t>44905;Après-Midi;Stéphane M.</t>
  </si>
  <si>
    <t>Moyenne</t>
  </si>
  <si>
    <t>-</t>
  </si>
  <si>
    <t>+</t>
  </si>
  <si>
    <t xml:space="preserve">Effacer </t>
  </si>
  <si>
    <t>la feuille</t>
  </si>
  <si>
    <t>MG</t>
  </si>
  <si>
    <t>MD</t>
  </si>
  <si>
    <t>PDS FINAL</t>
  </si>
  <si>
    <t>EP FINAL IS OK</t>
  </si>
  <si>
    <t>UNVALID COUNT</t>
  </si>
  <si>
    <t>MG IS OK</t>
  </si>
  <si>
    <t>MD IS OK</t>
  </si>
  <si>
    <t>44905;Nuit;ThomasNau N.</t>
  </si>
  <si>
    <t>23;4;21</t>
  </si>
  <si>
    <t>122;3;NC Droite</t>
  </si>
  <si>
    <t>344;F;;N</t>
  </si>
  <si>
    <t>N</t>
  </si>
  <si>
    <t>344;F;1;N</t>
  </si>
  <si>
    <t>344;F;2;N</t>
  </si>
  <si>
    <t>344;F;3;N</t>
  </si>
  <si>
    <t>344;F;4;N</t>
  </si>
  <si>
    <t>344;F;5;N</t>
  </si>
  <si>
    <t>344;F;6;N</t>
  </si>
  <si>
    <t>344;F;7;N</t>
  </si>
  <si>
    <t>344;F;8;N</t>
  </si>
  <si>
    <t>344;F;9;N</t>
  </si>
  <si>
    <t>344;F;10;N</t>
  </si>
  <si>
    <t>344;F;11;N</t>
  </si>
  <si>
    <t>344;F;12;N</t>
  </si>
  <si>
    <t>344;F;13;N</t>
  </si>
  <si>
    <t>344;F;14;N</t>
  </si>
  <si>
    <t>344;F;15;N</t>
  </si>
  <si>
    <t>344;F;16;N</t>
  </si>
  <si>
    <t>344;F;17;N</t>
  </si>
  <si>
    <t>344;F;18;N</t>
  </si>
  <si>
    <t>344;F;19;N</t>
  </si>
  <si>
    <t>344;F;20;N</t>
  </si>
  <si>
    <t>344;F;21;N</t>
  </si>
  <si>
    <t>344;F;22;N</t>
  </si>
  <si>
    <t>344;F;23;N</t>
  </si>
  <si>
    <t>344;F;24;N</t>
  </si>
  <si>
    <t>344;F;25;N</t>
  </si>
  <si>
    <t>344;F;26;N</t>
  </si>
  <si>
    <t>VALID TOTAL</t>
  </si>
  <si>
    <t>EP</t>
  </si>
  <si>
    <t>POIDS</t>
  </si>
  <si>
    <t>op</t>
  </si>
  <si>
    <t>to</t>
  </si>
  <si>
    <t>plastique</t>
  </si>
  <si>
    <t>total</t>
  </si>
  <si>
    <t>si défault</t>
  </si>
  <si>
    <t>commentaires</t>
  </si>
  <si>
    <t>Atelier Quartzel</t>
  </si>
  <si>
    <t>Suivi Production Fibrage
Machine F</t>
  </si>
  <si>
    <t>Saint-Gobain-Quartz</t>
  </si>
  <si>
    <t>sortie lourde</t>
  </si>
  <si>
    <t>IF SORTIE LOURDE</t>
  </si>
  <si>
    <t>min</t>
  </si>
  <si>
    <t>max</t>
  </si>
  <si>
    <t>Final</t>
  </si>
  <si>
    <t>poids min</t>
  </si>
  <si>
    <t>poids max</t>
  </si>
  <si>
    <t>total OK</t>
  </si>
  <si>
    <t>total NC</t>
  </si>
  <si>
    <t>count OK</t>
  </si>
  <si>
    <t>count NC</t>
  </si>
  <si>
    <t>Sortie Trop Lourdee</t>
  </si>
  <si>
    <t>Fil COUNT</t>
  </si>
  <si>
    <t>Trou COUNT</t>
  </si>
  <si>
    <t>Epaisseur COUNT</t>
  </si>
  <si>
    <t>Autre COUNT</t>
  </si>
  <si>
    <t>Démarrage COUNT</t>
  </si>
  <si>
    <t>Sortie Trop Lourdee COUNT</t>
  </si>
  <si>
    <t>Mic1</t>
  </si>
  <si>
    <t>Mic2</t>
  </si>
  <si>
    <t>Mic3</t>
  </si>
  <si>
    <t>Mic4</t>
  </si>
  <si>
    <t>Mic5</t>
  </si>
  <si>
    <t>Mic6</t>
  </si>
  <si>
    <t>Fin1</t>
  </si>
  <si>
    <t>Fin2</t>
  </si>
  <si>
    <t>Fin3</t>
  </si>
  <si>
    <t>Fin4</t>
  </si>
  <si>
    <t>Fin5</t>
  </si>
  <si>
    <t>Fin6</t>
  </si>
  <si>
    <t>IS VALID</t>
  </si>
  <si>
    <t xml:space="preserve">Poids F </t>
  </si>
  <si>
    <t>Ep F</t>
  </si>
  <si>
    <t>sauvegardé dans data_Fibrage</t>
  </si>
  <si>
    <t>sauvegardé dans data_TRS</t>
  </si>
  <si>
    <t>calcul des totaux defaults</t>
  </si>
  <si>
    <t>Action</t>
  </si>
  <si>
    <t>id poste</t>
  </si>
  <si>
    <t>if poste exist</t>
  </si>
  <si>
    <t>Vider la feuille</t>
  </si>
  <si>
    <t xml:space="preserve">
Machine F</t>
  </si>
  <si>
    <t>Num.</t>
  </si>
  <si>
    <t>l'en-tête</t>
  </si>
  <si>
    <t>Masquer</t>
  </si>
  <si>
    <t>Machine</t>
  </si>
  <si>
    <t>Jour Annuel</t>
  </si>
  <si>
    <t>Poste</t>
  </si>
  <si>
    <t>avg Mic G</t>
  </si>
  <si>
    <t>avg Poids F</t>
  </si>
  <si>
    <t>EXPORTATEUR DE DATA</t>
  </si>
  <si>
    <t>820 imp</t>
  </si>
  <si>
    <t>//</t>
  </si>
  <si>
    <t>44907;Nuit;Nicolas B.</t>
  </si>
  <si>
    <t>38,2/6/37</t>
  </si>
  <si>
    <t>Fils</t>
  </si>
  <si>
    <t>44893;Matin;Anthony M.</t>
  </si>
  <si>
    <t>38,5/5/36,4</t>
  </si>
  <si>
    <t>36,9/15/34,6</t>
  </si>
  <si>
    <t>295/4/NC Droite</t>
  </si>
  <si>
    <t>David H.</t>
  </si>
  <si>
    <t>ok</t>
  </si>
  <si>
    <t>44893;Après-Midi;David H.</t>
  </si>
  <si>
    <t>26,4/2/28,1</t>
  </si>
  <si>
    <t>25,9/7/27,6</t>
  </si>
  <si>
    <t>26,6/12/27,9</t>
  </si>
  <si>
    <t>298/1/ok</t>
  </si>
  <si>
    <t>44894;Après-Midi;David H.</t>
  </si>
  <si>
    <t>30,2/5/31,9</t>
  </si>
  <si>
    <t>30,5/10/32,4</t>
  </si>
  <si>
    <t>31,4/15/32</t>
  </si>
  <si>
    <t>31,2/20/32,8</t>
  </si>
  <si>
    <t>287/3/ok</t>
  </si>
  <si>
    <t>291/4/ok</t>
  </si>
  <si>
    <t>44894;Matin;Anthony M.</t>
  </si>
  <si>
    <t>38,6/4/36,2</t>
  </si>
  <si>
    <t>44895;Matin;Anthony M.</t>
  </si>
  <si>
    <t>29,5/4/31</t>
  </si>
  <si>
    <t>28,5/14/30,9</t>
  </si>
  <si>
    <t>314/3/</t>
  </si>
  <si>
    <t>44895;Après-Midi;David H.</t>
  </si>
  <si>
    <t>31,8/5/32,4</t>
  </si>
  <si>
    <t>32,2/10/32,8</t>
  </si>
  <si>
    <t>32,6/15/33,1</t>
  </si>
  <si>
    <t>32,5/20/33,7</t>
  </si>
  <si>
    <t>44896;Matin;Anthony M.</t>
  </si>
  <si>
    <t>32,6/3/28,6</t>
  </si>
  <si>
    <t>31,4/13/29,5</t>
  </si>
  <si>
    <t>278/4/OK</t>
  </si>
  <si>
    <t>282/15/OK</t>
  </si>
  <si>
    <t>44896;Après-Midi;ThomasNau N.</t>
  </si>
  <si>
    <t>29,7/4/30,5</t>
  </si>
  <si>
    <t>28,3/11/29,1</t>
  </si>
  <si>
    <t>28,6/21/30,3</t>
  </si>
  <si>
    <t>44897;Matin;Anthony M.</t>
  </si>
  <si>
    <t>32,6/4/29,4</t>
  </si>
  <si>
    <t>31,9/14/27,9</t>
  </si>
  <si>
    <t>44900;Matin;Nicolas B.</t>
  </si>
  <si>
    <t>38,4/4/38,2</t>
  </si>
  <si>
    <t>34,8/11/37,5</t>
  </si>
  <si>
    <t>270/2/NC Droite</t>
  </si>
  <si>
    <t>281/3/NC Droite</t>
  </si>
  <si>
    <t>44900;Après-Midi;ThomasNau N.</t>
  </si>
  <si>
    <t>44901;Matin;Nicolas B.</t>
  </si>
  <si>
    <t>27,5/4/31</t>
  </si>
  <si>
    <t>29,3/14/28,7</t>
  </si>
  <si>
    <t>44908;Nuit;Nicolas B.</t>
  </si>
  <si>
    <t>32/4/28,8</t>
  </si>
  <si>
    <t>44928;Journée;Anthony M.</t>
  </si>
  <si>
    <t>32,6/4/34</t>
  </si>
  <si>
    <t>33,9/14/32,1</t>
  </si>
  <si>
    <t>36,4/24/33,1</t>
  </si>
  <si>
    <t>J</t>
  </si>
  <si>
    <t>44929;Après-Midi;Anthony M.</t>
  </si>
  <si>
    <t>31,6/4/28,9</t>
  </si>
  <si>
    <t>31/14/28,7</t>
  </si>
  <si>
    <t>32,3/24/29</t>
  </si>
  <si>
    <t>296/5/OK</t>
  </si>
  <si>
    <t>297/9/OK</t>
  </si>
  <si>
    <t>44935;Matin;Anthony M.</t>
  </si>
  <si>
    <t>29,6/4/32,4</t>
  </si>
  <si>
    <t>28,9/14/32,6</t>
  </si>
  <si>
    <t>/24/</t>
  </si>
  <si>
    <t>44935;Après-Midi;Nicolas B.</t>
  </si>
  <si>
    <t>32,1/4/32,8</t>
  </si>
  <si>
    <t>31,8/12/31</t>
  </si>
  <si>
    <t>295/5/OK</t>
  </si>
  <si>
    <t>44935;Nuit;ThomasNau N.</t>
  </si>
  <si>
    <t>31,1/4/32,3</t>
  </si>
  <si>
    <t>30,5/11/32</t>
  </si>
  <si>
    <t>28,9/21/31,8</t>
  </si>
  <si>
    <t>382/2/OK</t>
  </si>
  <si>
    <t>381/3/OK</t>
  </si>
  <si>
    <t>383/10/OK</t>
  </si>
  <si>
    <t>381/20/OK</t>
  </si>
  <si>
    <t>SD QU 08 14 rev 0</t>
  </si>
  <si>
    <t>44936;Matin;Anthony M.</t>
  </si>
  <si>
    <t>44949;Nuit;Invité</t>
  </si>
  <si>
    <t>29/2/31,2</t>
  </si>
  <si>
    <t>44950;Matin;ThomasNau N.</t>
  </si>
  <si>
    <t>33,7/4/29,5</t>
  </si>
  <si>
    <t>34,2/11/28,6</t>
  </si>
  <si>
    <t>/21/</t>
  </si>
  <si>
    <t>44950;Nuit;Invité</t>
  </si>
  <si>
    <t>31,2/3/31</t>
  </si>
  <si>
    <t>30,5/12/27,5</t>
  </si>
  <si>
    <t>44951;Matin;ThomasNau N.</t>
  </si>
  <si>
    <t>30,5/4/28,7</t>
  </si>
  <si>
    <t>30,9/11/27,6</t>
  </si>
  <si>
    <t>31,3/21/28,6</t>
  </si>
  <si>
    <t>44998;Matin;Invité</t>
  </si>
  <si>
    <t>34/3/35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</si>
</sst>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dd/mm/yy;@"/>
    <numFmt numFmtId="165" formatCode="h:mm;@"/>
  </numFmts>
  <fonts count="33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72"/>
      <color theme="1"/>
      <name val="Calibri"/>
      <family val="2"/>
      <scheme val="minor"/>
    </font>
    <font>
      <sz val="7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sz val="8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48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FF0000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sz val="11"/>
      <color theme="9"/>
      <name val="Calibri"/>
      <family val="2"/>
      <scheme val="minor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sz val="72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color rgb="FFFF0000"/>
      <name val="Calibri"/>
      <family val="2"/>
      <scheme val="minor"/>
    </font>
    <font>
      <sz val="14"/>
      <color theme="9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b/>
      <sz val="9"/>
      <color indexed="81"/>
      <name val="Tahoma"/>
      <family val="2"/>
    </font>
    <font>
      <b/>
      <sz val="18"/>
      <color rgb="FFFFFF0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0.79998168889431442"/>
        <bgColor indexed="64"/>
      </patternFill>
    </fill>
  </fills>
  <borders count="45">
    <border>
      <left/>
      <right/>
      <top/>
      <bottom/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/>
      <bottom style="thick">
        <color theme="0" tint="-0.24994659260841701"/>
      </bottom>
      <diagonal/>
    </border>
    <border>
      <left/>
      <right/>
      <top style="thick">
        <color theme="0" tint="-0.24994659260841701"/>
      </top>
      <bottom/>
      <diagonal/>
    </border>
    <border>
      <left/>
      <right/>
      <top/>
      <bottom style="medium">
        <color theme="0" tint="-0.24994659260841701"/>
      </bottom>
      <diagonal/>
    </border>
    <border>
      <left style="hair">
        <color rgb="FF0070C0"/>
      </left>
      <right style="hair">
        <color rgb="FF0070C0"/>
      </right>
      <top/>
      <bottom style="hair">
        <color rgb="FF0070C0"/>
      </bottom>
      <diagonal/>
    </border>
    <border>
      <left style="hair">
        <color rgb="FF0070C0"/>
      </left>
      <right style="hair">
        <color rgb="FF0070C0"/>
      </right>
      <top style="hair">
        <color rgb="FF0070C0"/>
      </top>
      <bottom style="hair">
        <color rgb="FF0070C0"/>
      </bottom>
      <diagonal/>
    </border>
    <border>
      <left/>
      <right style="hair">
        <color rgb="FF0070C0"/>
      </right>
      <top style="hair">
        <color rgb="FF0070C0"/>
      </top>
      <bottom/>
      <diagonal/>
    </border>
    <border>
      <left style="hair">
        <color rgb="FF0070C0"/>
      </left>
      <right/>
      <top style="hair">
        <color rgb="FF0070C0"/>
      </top>
      <bottom/>
      <diagonal/>
    </border>
    <border>
      <left/>
      <right/>
      <top/>
      <bottom style="thick">
        <color auto="1"/>
      </bottom>
      <diagonal/>
    </border>
    <border>
      <left/>
      <right/>
      <top style="thick">
        <color theme="0" tint="-0.499984740745262"/>
      </top>
      <bottom/>
      <diagonal/>
    </border>
    <border>
      <left/>
      <right/>
      <top/>
      <bottom style="thick">
        <color theme="0" tint="-0.499984740745262"/>
      </bottom>
      <diagonal/>
    </border>
    <border>
      <left style="thick">
        <color auto="1"/>
      </left>
      <right style="hair">
        <color rgb="FF0070C0"/>
      </right>
      <top style="thick">
        <color auto="1"/>
      </top>
      <bottom style="hair">
        <color rgb="FF0070C0"/>
      </bottom>
      <diagonal/>
    </border>
    <border>
      <left style="hair">
        <color rgb="FF0070C0"/>
      </left>
      <right style="hair">
        <color rgb="FF0070C0"/>
      </right>
      <top style="thick">
        <color auto="1"/>
      </top>
      <bottom style="hair">
        <color rgb="FF0070C0"/>
      </bottom>
      <diagonal/>
    </border>
    <border>
      <left style="hair">
        <color rgb="FF0070C0"/>
      </left>
      <right style="thick">
        <color auto="1"/>
      </right>
      <top style="thick">
        <color auto="1"/>
      </top>
      <bottom style="hair">
        <color rgb="FF0070C0"/>
      </bottom>
      <diagonal/>
    </border>
    <border>
      <left style="thick">
        <color auto="1"/>
      </left>
      <right style="hair">
        <color rgb="FF0070C0"/>
      </right>
      <top style="hair">
        <color rgb="FF0070C0"/>
      </top>
      <bottom style="hair">
        <color rgb="FF0070C0"/>
      </bottom>
      <diagonal/>
    </border>
    <border>
      <left style="hair">
        <color rgb="FF0070C0"/>
      </left>
      <right style="thick">
        <color auto="1"/>
      </right>
      <top style="hair">
        <color rgb="FF0070C0"/>
      </top>
      <bottom style="hair">
        <color rgb="FF0070C0"/>
      </bottom>
      <diagonal/>
    </border>
    <border>
      <left style="thick">
        <color auto="1"/>
      </left>
      <right style="hair">
        <color rgb="FF0070C0"/>
      </right>
      <top style="hair">
        <color rgb="FF0070C0"/>
      </top>
      <bottom style="thick">
        <color auto="1"/>
      </bottom>
      <diagonal/>
    </border>
    <border>
      <left style="hair">
        <color rgb="FF0070C0"/>
      </left>
      <right style="hair">
        <color rgb="FF0070C0"/>
      </right>
      <top style="hair">
        <color rgb="FF0070C0"/>
      </top>
      <bottom style="thick">
        <color auto="1"/>
      </bottom>
      <diagonal/>
    </border>
    <border>
      <left style="hair">
        <color rgb="FF0070C0"/>
      </left>
      <right style="thick">
        <color auto="1"/>
      </right>
      <top style="hair">
        <color rgb="FF0070C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hair">
        <color rgb="FF0070C0"/>
      </right>
      <top/>
      <bottom style="hair">
        <color rgb="FF0070C0"/>
      </bottom>
      <diagonal/>
    </border>
    <border>
      <left style="hair">
        <color rgb="FF0070C0"/>
      </left>
      <right style="thick">
        <color auto="1"/>
      </right>
      <top/>
      <bottom style="hair">
        <color rgb="FF0070C0"/>
      </bottom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hair">
        <color rgb="FF0070C0"/>
      </left>
      <right/>
      <top/>
      <bottom/>
      <diagonal/>
    </border>
    <border>
      <left/>
      <right style="hair">
        <color rgb="FF0070C0"/>
      </right>
      <top/>
      <bottom/>
      <diagonal/>
    </border>
    <border>
      <left style="hair">
        <color rgb="FF0070C0"/>
      </left>
      <right/>
      <top/>
      <bottom style="thick">
        <color auto="1"/>
      </bottom>
      <diagonal/>
    </border>
    <border>
      <left/>
      <right style="hair">
        <color rgb="FF0070C0"/>
      </right>
      <top/>
      <bottom style="thick">
        <color auto="1"/>
      </bottom>
      <diagonal/>
    </border>
    <border>
      <left style="thick">
        <color rgb="FF0070C0"/>
      </left>
      <right style="thick">
        <color rgb="FF0070C0"/>
      </right>
      <top style="thick">
        <color rgb="FF0070C0"/>
      </top>
      <bottom style="thick">
        <color rgb="FF0070C0"/>
      </bottom>
      <diagonal/>
    </border>
  </borders>
  <cellStyleXfs count="1">
    <xf numFmtId="0" fontId="0" fillId="0" borderId="0"/>
  </cellStyleXfs>
  <cellXfs count="261">
    <xf numFmtId="0" fontId="0" fillId="0" borderId="0" xfId="0"/>
    <xf numFmtId="0" fontId="0" fillId="0" borderId="0" xfId="0" applyAlignment="1"/>
    <xf numFmtId="0" fontId="3" fillId="3" borderId="0" xfId="0" applyFont="1" applyFill="1" applyAlignment="1">
      <alignment horizontal="right" vertical="center"/>
    </xf>
    <xf numFmtId="0" fontId="8" fillId="3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right" vertical="center"/>
    </xf>
    <xf numFmtId="0" fontId="11" fillId="3" borderId="0" xfId="0" applyFont="1" applyFill="1" applyAlignment="1">
      <alignment vertical="center"/>
    </xf>
    <xf numFmtId="0" fontId="11" fillId="0" borderId="0" xfId="0" applyFont="1" applyAlignment="1">
      <alignment vertical="center"/>
    </xf>
    <xf numFmtId="0" fontId="7" fillId="7" borderId="0" xfId="0" applyFont="1" applyFill="1" applyAlignment="1">
      <alignment horizontal="center" vertical="center"/>
    </xf>
    <xf numFmtId="0" fontId="11" fillId="5" borderId="0" xfId="0" applyFont="1" applyFill="1" applyAlignment="1">
      <alignment vertical="center"/>
    </xf>
    <xf numFmtId="164" fontId="11" fillId="4" borderId="1" xfId="0" applyNumberFormat="1" applyFont="1" applyFill="1" applyBorder="1" applyAlignment="1">
      <alignment horizontal="center" vertical="center"/>
    </xf>
    <xf numFmtId="0" fontId="11" fillId="4" borderId="1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7" fillId="5" borderId="3" xfId="0" applyFont="1" applyFill="1" applyBorder="1" applyAlignment="1">
      <alignment horizontal="center" vertical="center"/>
    </xf>
    <xf numFmtId="0" fontId="7" fillId="5" borderId="4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1" fillId="4" borderId="5" xfId="0" applyFont="1" applyFill="1" applyBorder="1" applyAlignment="1">
      <alignment vertical="center"/>
    </xf>
    <xf numFmtId="0" fontId="11" fillId="4" borderId="6" xfId="0" applyFont="1" applyFill="1" applyBorder="1" applyAlignment="1">
      <alignment horizontal="center" vertical="center"/>
    </xf>
    <xf numFmtId="0" fontId="11" fillId="4" borderId="7" xfId="0" applyFont="1" applyFill="1" applyBorder="1" applyAlignment="1">
      <alignment horizontal="center" vertical="center"/>
    </xf>
    <xf numFmtId="0" fontId="12" fillId="8" borderId="0" xfId="0" applyFont="1" applyFill="1" applyAlignment="1">
      <alignment horizontal="center" vertical="center"/>
    </xf>
    <xf numFmtId="0" fontId="11" fillId="4" borderId="8" xfId="0" applyFont="1" applyFill="1" applyBorder="1" applyAlignment="1">
      <alignment vertical="center"/>
    </xf>
    <xf numFmtId="0" fontId="11" fillId="4" borderId="9" xfId="0" applyFont="1" applyFill="1" applyBorder="1" applyAlignment="1">
      <alignment horizontal="center" vertical="center"/>
    </xf>
    <xf numFmtId="0" fontId="11" fillId="4" borderId="10" xfId="0" applyFont="1" applyFill="1" applyBorder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17" fillId="4" borderId="2" xfId="0" applyFont="1" applyFill="1" applyBorder="1" applyAlignment="1">
      <alignment horizontal="center" vertical="center"/>
    </xf>
    <xf numFmtId="0" fontId="17" fillId="4" borderId="3" xfId="0" applyFont="1" applyFill="1" applyBorder="1" applyAlignment="1">
      <alignment horizontal="center" vertical="center"/>
    </xf>
    <xf numFmtId="0" fontId="18" fillId="4" borderId="3" xfId="0" applyFont="1" applyFill="1" applyBorder="1" applyAlignment="1">
      <alignment horizontal="center" vertical="center"/>
    </xf>
    <xf numFmtId="0" fontId="17" fillId="2" borderId="3" xfId="0" applyFont="1" applyFill="1" applyBorder="1" applyAlignment="1">
      <alignment horizontal="center" vertical="center"/>
    </xf>
    <xf numFmtId="0" fontId="18" fillId="2" borderId="3" xfId="0" applyFont="1" applyFill="1" applyBorder="1" applyAlignment="1">
      <alignment horizontal="center" vertical="center"/>
    </xf>
    <xf numFmtId="0" fontId="17" fillId="4" borderId="4" xfId="0" applyFont="1" applyFill="1" applyBorder="1" applyAlignment="1">
      <alignment horizontal="center" vertical="center"/>
    </xf>
    <xf numFmtId="0" fontId="17" fillId="4" borderId="5" xfId="0" applyFont="1" applyFill="1" applyBorder="1" applyAlignment="1">
      <alignment horizontal="center" vertical="center"/>
    </xf>
    <xf numFmtId="0" fontId="17" fillId="4" borderId="6" xfId="0" applyFont="1" applyFill="1" applyBorder="1" applyAlignment="1">
      <alignment horizontal="center" vertical="center"/>
    </xf>
    <xf numFmtId="0" fontId="18" fillId="4" borderId="6" xfId="0" applyFont="1" applyFill="1" applyBorder="1" applyAlignment="1">
      <alignment horizontal="center" vertical="center"/>
    </xf>
    <xf numFmtId="0" fontId="17" fillId="2" borderId="6" xfId="0" applyFont="1" applyFill="1" applyBorder="1" applyAlignment="1">
      <alignment horizontal="center" vertical="center"/>
    </xf>
    <xf numFmtId="0" fontId="18" fillId="2" borderId="6" xfId="0" applyFont="1" applyFill="1" applyBorder="1" applyAlignment="1">
      <alignment horizontal="center" vertical="center"/>
    </xf>
    <xf numFmtId="0" fontId="17" fillId="4" borderId="7" xfId="0" applyFont="1" applyFill="1" applyBorder="1" applyAlignment="1">
      <alignment horizontal="center" vertical="center"/>
    </xf>
    <xf numFmtId="0" fontId="17" fillId="4" borderId="5" xfId="0" applyFont="1" applyFill="1" applyBorder="1" applyAlignment="1">
      <alignment vertical="center"/>
    </xf>
    <xf numFmtId="0" fontId="17" fillId="4" borderId="6" xfId="0" applyFont="1" applyFill="1" applyBorder="1" applyAlignment="1">
      <alignment vertical="center"/>
    </xf>
    <xf numFmtId="0" fontId="17" fillId="4" borderId="7" xfId="0" applyFont="1" applyFill="1" applyBorder="1" applyAlignment="1">
      <alignment vertical="center"/>
    </xf>
    <xf numFmtId="0" fontId="17" fillId="4" borderId="8" xfId="0" applyFont="1" applyFill="1" applyBorder="1" applyAlignment="1">
      <alignment vertical="center"/>
    </xf>
    <xf numFmtId="0" fontId="17" fillId="4" borderId="9" xfId="0" applyFont="1" applyFill="1" applyBorder="1" applyAlignment="1">
      <alignment vertical="center"/>
    </xf>
    <xf numFmtId="0" fontId="17" fillId="4" borderId="10" xfId="0" applyFont="1" applyFill="1" applyBorder="1" applyAlignment="1">
      <alignment vertical="center"/>
    </xf>
    <xf numFmtId="0" fontId="7" fillId="9" borderId="0" xfId="0" applyFont="1" applyFill="1" applyAlignment="1">
      <alignment vertical="center"/>
    </xf>
    <xf numFmtId="0" fontId="11" fillId="0" borderId="0" xfId="0" applyFont="1" applyAlignment="1">
      <alignment horizontal="center" vertical="center"/>
    </xf>
    <xf numFmtId="0" fontId="7" fillId="9" borderId="0" xfId="0" applyFont="1" applyFill="1" applyAlignment="1">
      <alignment horizontal="center" vertical="center"/>
    </xf>
    <xf numFmtId="164" fontId="7" fillId="9" borderId="0" xfId="0" applyNumberFormat="1" applyFont="1" applyFill="1" applyAlignment="1">
      <alignment horizontal="center" vertical="center"/>
    </xf>
    <xf numFmtId="0" fontId="8" fillId="3" borderId="0" xfId="0" applyFont="1" applyFill="1" applyAlignment="1">
      <alignment horizontal="center"/>
    </xf>
    <xf numFmtId="0" fontId="8" fillId="3" borderId="0" xfId="0" applyFont="1" applyFill="1" applyAlignment="1">
      <alignment horizontal="center" vertical="top"/>
    </xf>
    <xf numFmtId="0" fontId="17" fillId="4" borderId="0" xfId="0" applyFont="1" applyFill="1" applyBorder="1" applyAlignment="1">
      <alignment horizontal="right" vertical="center"/>
    </xf>
    <xf numFmtId="14" fontId="0" fillId="0" borderId="0" xfId="0" applyNumberFormat="1"/>
    <xf numFmtId="0" fontId="7" fillId="0" borderId="0" xfId="0" applyFont="1" applyAlignment="1">
      <alignment vertical="center"/>
    </xf>
    <xf numFmtId="0" fontId="8" fillId="5" borderId="0" xfId="0" applyFont="1" applyFill="1" applyAlignment="1"/>
    <xf numFmtId="0" fontId="8" fillId="5" borderId="0" xfId="0" applyFont="1" applyFill="1" applyAlignment="1">
      <alignment vertical="top"/>
    </xf>
    <xf numFmtId="0" fontId="8" fillId="5" borderId="0" xfId="0" applyFont="1" applyFill="1" applyAlignment="1">
      <alignment horizontal="center" vertical="top"/>
    </xf>
    <xf numFmtId="0" fontId="19" fillId="3" borderId="0" xfId="0" applyFont="1" applyFill="1" applyAlignment="1">
      <alignment vertical="center"/>
    </xf>
    <xf numFmtId="0" fontId="0" fillId="0" borderId="0" xfId="0" applyAlignment="1">
      <alignment horizontal="right"/>
    </xf>
    <xf numFmtId="0" fontId="6" fillId="5" borderId="0" xfId="0" applyFont="1" applyFill="1" applyBorder="1" applyAlignment="1">
      <alignment horizontal="center" vertical="center"/>
    </xf>
    <xf numFmtId="0" fontId="10" fillId="3" borderId="0" xfId="0" applyFont="1" applyFill="1" applyAlignment="1">
      <alignment horizontal="right" vertical="center"/>
    </xf>
    <xf numFmtId="0" fontId="10" fillId="3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right"/>
    </xf>
    <xf numFmtId="0" fontId="10" fillId="3" borderId="0" xfId="0" applyFont="1" applyFill="1" applyAlignment="1">
      <alignment horizontal="right" vertical="top"/>
    </xf>
    <xf numFmtId="0" fontId="0" fillId="0" borderId="0" xfId="0" applyAlignment="1">
      <alignment horizontal="center"/>
    </xf>
    <xf numFmtId="0" fontId="20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Font="1"/>
    <xf numFmtId="0" fontId="0" fillId="0" borderId="0" xfId="0" applyFont="1" applyAlignment="1">
      <alignment horizontal="center"/>
    </xf>
    <xf numFmtId="0" fontId="2" fillId="9" borderId="0" xfId="0" applyFont="1" applyFill="1" applyAlignment="1">
      <alignment horizontal="center"/>
    </xf>
    <xf numFmtId="14" fontId="0" fillId="0" borderId="0" xfId="0" applyNumberFormat="1" applyFont="1"/>
    <xf numFmtId="2" fontId="7" fillId="9" borderId="0" xfId="0" applyNumberFormat="1" applyFont="1" applyFill="1" applyAlignment="1" applyProtection="1">
      <alignment horizontal="center" vertical="center"/>
    </xf>
    <xf numFmtId="0" fontId="7" fillId="9" borderId="0" xfId="0" applyFont="1" applyFill="1" applyAlignment="1" applyProtection="1">
      <alignment horizontal="center" vertical="center"/>
    </xf>
    <xf numFmtId="0" fontId="2" fillId="9" borderId="0" xfId="0" applyFont="1" applyFill="1" applyAlignment="1" applyProtection="1">
      <alignment horizontal="center"/>
    </xf>
    <xf numFmtId="0" fontId="2" fillId="9" borderId="0" xfId="0" applyFont="1" applyFill="1" applyProtection="1"/>
    <xf numFmtId="2" fontId="0" fillId="0" borderId="0" xfId="0" applyNumberFormat="1" applyAlignment="1" applyProtection="1">
      <alignment horizontal="center"/>
    </xf>
    <xf numFmtId="0" fontId="0" fillId="0" borderId="0" xfId="0" applyAlignment="1" applyProtection="1">
      <alignment horizontal="center"/>
    </xf>
    <xf numFmtId="0" fontId="7" fillId="9" borderId="0" xfId="0" applyFont="1" applyFill="1" applyAlignment="1" applyProtection="1">
      <alignment horizontal="center" vertic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0" fillId="0" borderId="0" xfId="0" applyNumberFormat="1" applyFont="1" applyAlignment="1">
      <alignment horizontal="center"/>
    </xf>
    <xf numFmtId="0" fontId="0" fillId="0" borderId="0" xfId="0" applyFont="1" applyAlignment="1">
      <alignment horizontal="right"/>
    </xf>
    <xf numFmtId="0" fontId="7" fillId="9" borderId="0" xfId="0" applyNumberFormat="1" applyFont="1" applyFill="1" applyAlignment="1" applyProtection="1">
      <alignment horizontal="center" vertical="center"/>
    </xf>
    <xf numFmtId="0" fontId="0" fillId="0" borderId="0" xfId="0" applyNumberFormat="1" applyAlignment="1" applyProtection="1">
      <alignment horizontal="center"/>
    </xf>
    <xf numFmtId="0" fontId="8" fillId="5" borderId="13" xfId="0" applyFont="1" applyFill="1" applyBorder="1" applyAlignment="1">
      <alignment horizontal="center"/>
    </xf>
    <xf numFmtId="0" fontId="17" fillId="2" borderId="9" xfId="0" applyFont="1" applyFill="1" applyBorder="1" applyAlignment="1">
      <alignment horizontal="center" vertical="center"/>
    </xf>
    <xf numFmtId="0" fontId="18" fillId="2" borderId="9" xfId="0" applyFont="1" applyFill="1" applyBorder="1" applyAlignment="1">
      <alignment horizontal="center" vertical="center"/>
    </xf>
    <xf numFmtId="0" fontId="2" fillId="5" borderId="0" xfId="0" applyFont="1" applyFill="1" applyBorder="1" applyAlignment="1">
      <alignment horizontal="center" vertical="center"/>
    </xf>
    <xf numFmtId="0" fontId="2" fillId="8" borderId="0" xfId="0" applyFont="1" applyFill="1" applyBorder="1" applyAlignment="1">
      <alignment horizontal="center" vertical="center"/>
    </xf>
    <xf numFmtId="0" fontId="2" fillId="6" borderId="0" xfId="0" applyFont="1" applyFill="1" applyBorder="1" applyAlignment="1">
      <alignment horizontal="center" vertical="center"/>
    </xf>
    <xf numFmtId="0" fontId="10" fillId="3" borderId="0" xfId="0" applyFont="1" applyFill="1" applyAlignment="1">
      <alignment horizontal="left"/>
    </xf>
    <xf numFmtId="165" fontId="10" fillId="3" borderId="0" xfId="0" applyNumberFormat="1" applyFont="1" applyFill="1" applyAlignment="1">
      <alignment horizontal="left" vertical="center"/>
    </xf>
    <xf numFmtId="0" fontId="10" fillId="3" borderId="0" xfId="0" applyFont="1" applyFill="1" applyAlignment="1">
      <alignment horizontal="left" vertical="top"/>
    </xf>
    <xf numFmtId="0" fontId="2" fillId="9" borderId="0" xfId="0" applyNumberFormat="1" applyFont="1" applyFill="1" applyAlignment="1" applyProtection="1">
      <alignment horizontal="left"/>
    </xf>
    <xf numFmtId="0" fontId="0" fillId="0" borderId="0" xfId="0" applyNumberFormat="1" applyAlignment="1" applyProtection="1">
      <alignment horizontal="left"/>
    </xf>
    <xf numFmtId="0" fontId="2" fillId="9" borderId="0" xfId="0" applyNumberFormat="1" applyFont="1" applyFill="1" applyAlignment="1" applyProtection="1">
      <alignment horizontal="center"/>
    </xf>
    <xf numFmtId="0" fontId="0" fillId="10" borderId="0" xfId="0" applyFill="1" applyAlignment="1">
      <alignment vertical="center"/>
    </xf>
    <xf numFmtId="0" fontId="0" fillId="10" borderId="0" xfId="0" applyFill="1" applyAlignment="1">
      <alignment horizontal="right" vertical="center"/>
    </xf>
    <xf numFmtId="0" fontId="2" fillId="5" borderId="14" xfId="0" applyFont="1" applyFill="1" applyBorder="1" applyAlignment="1">
      <alignment horizontal="center" vertical="center"/>
    </xf>
    <xf numFmtId="0" fontId="10" fillId="10" borderId="0" xfId="0" applyFont="1" applyFill="1" applyAlignment="1">
      <alignment horizontal="right" vertical="center"/>
    </xf>
    <xf numFmtId="0" fontId="0" fillId="10" borderId="0" xfId="0" applyFill="1" applyAlignment="1">
      <alignment horizontal="center" vertical="center"/>
    </xf>
    <xf numFmtId="0" fontId="8" fillId="5" borderId="19" xfId="0" applyFont="1" applyFill="1" applyBorder="1" applyAlignment="1">
      <alignment horizontal="center" vertical="top"/>
    </xf>
    <xf numFmtId="0" fontId="2" fillId="5" borderId="33" xfId="0" applyFont="1" applyFill="1" applyBorder="1" applyAlignment="1">
      <alignment horizontal="center" vertical="center"/>
    </xf>
    <xf numFmtId="0" fontId="25" fillId="10" borderId="0" xfId="0" applyFont="1" applyFill="1" applyAlignment="1">
      <alignment vertical="center"/>
    </xf>
    <xf numFmtId="0" fontId="6" fillId="5" borderId="22" xfId="0" applyFont="1" applyFill="1" applyBorder="1" applyAlignment="1">
      <alignment horizontal="center" vertical="center"/>
    </xf>
    <xf numFmtId="0" fontId="18" fillId="5" borderId="22" xfId="0" applyFont="1" applyFill="1" applyBorder="1" applyAlignment="1">
      <alignment horizontal="center" vertical="center"/>
    </xf>
    <xf numFmtId="0" fontId="28" fillId="5" borderId="22" xfId="0" applyFont="1" applyFill="1" applyBorder="1" applyAlignment="1">
      <alignment horizontal="center" vertical="center"/>
    </xf>
    <xf numFmtId="0" fontId="6" fillId="5" borderId="23" xfId="0" applyFont="1" applyFill="1" applyBorder="1" applyAlignment="1">
      <alignment horizontal="center" vertical="center"/>
    </xf>
    <xf numFmtId="0" fontId="0" fillId="5" borderId="34" xfId="0" applyFill="1" applyBorder="1" applyAlignment="1">
      <alignment vertical="center"/>
    </xf>
    <xf numFmtId="0" fontId="0" fillId="5" borderId="0" xfId="0" applyFill="1" applyBorder="1" applyAlignment="1">
      <alignment vertical="center"/>
    </xf>
    <xf numFmtId="0" fontId="0" fillId="5" borderId="35" xfId="0" applyFill="1" applyBorder="1" applyAlignment="1">
      <alignment vertical="center"/>
    </xf>
    <xf numFmtId="0" fontId="0" fillId="5" borderId="36" xfId="0" applyFill="1" applyBorder="1" applyAlignment="1">
      <alignment vertical="center"/>
    </xf>
    <xf numFmtId="0" fontId="0" fillId="5" borderId="18" xfId="0" applyFill="1" applyBorder="1" applyAlignment="1">
      <alignment vertical="center"/>
    </xf>
    <xf numFmtId="0" fontId="0" fillId="5" borderId="37" xfId="0" applyFill="1" applyBorder="1" applyAlignment="1">
      <alignment vertical="center"/>
    </xf>
    <xf numFmtId="0" fontId="8" fillId="5" borderId="0" xfId="0" applyFont="1" applyFill="1" applyBorder="1" applyAlignment="1">
      <alignment horizontal="center"/>
    </xf>
    <xf numFmtId="0" fontId="8" fillId="5" borderId="0" xfId="0" applyFont="1" applyFill="1" applyBorder="1" applyAlignment="1">
      <alignment horizontal="center" vertical="top"/>
    </xf>
    <xf numFmtId="0" fontId="0" fillId="5" borderId="30" xfId="0" applyFill="1" applyBorder="1" applyAlignment="1">
      <alignment vertical="center"/>
    </xf>
    <xf numFmtId="0" fontId="0" fillId="5" borderId="31" xfId="0" applyFill="1" applyBorder="1" applyAlignment="1">
      <alignment vertical="center"/>
    </xf>
    <xf numFmtId="0" fontId="2" fillId="6" borderId="34" xfId="0" applyFont="1" applyFill="1" applyBorder="1" applyAlignment="1">
      <alignment horizontal="right" vertical="center"/>
    </xf>
    <xf numFmtId="0" fontId="2" fillId="8" borderId="34" xfId="0" applyFont="1" applyFill="1" applyBorder="1" applyAlignment="1">
      <alignment horizontal="right" vertical="center"/>
    </xf>
    <xf numFmtId="0" fontId="0" fillId="5" borderId="29" xfId="0" applyFill="1" applyBorder="1" applyAlignment="1">
      <alignment horizontal="right" vertical="center"/>
    </xf>
    <xf numFmtId="0" fontId="0" fillId="5" borderId="34" xfId="0" applyFill="1" applyBorder="1" applyAlignment="1">
      <alignment horizontal="right" vertical="center"/>
    </xf>
    <xf numFmtId="0" fontId="0" fillId="5" borderId="36" xfId="0" applyFill="1" applyBorder="1" applyAlignment="1">
      <alignment horizontal="right" vertical="center"/>
    </xf>
    <xf numFmtId="0" fontId="6" fillId="5" borderId="21" xfId="0" applyFont="1" applyFill="1" applyBorder="1" applyAlignment="1">
      <alignment horizontal="right" vertical="center"/>
    </xf>
    <xf numFmtId="0" fontId="17" fillId="4" borderId="24" xfId="0" applyFont="1" applyFill="1" applyBorder="1" applyAlignment="1">
      <alignment horizontal="right" vertical="center"/>
    </xf>
    <xf numFmtId="0" fontId="17" fillId="4" borderId="26" xfId="0" applyFont="1" applyFill="1" applyBorder="1" applyAlignment="1">
      <alignment horizontal="right" vertical="center"/>
    </xf>
    <xf numFmtId="0" fontId="10" fillId="10" borderId="0" xfId="0" applyNumberFormat="1" applyFont="1" applyFill="1" applyAlignment="1">
      <alignment horizontal="center" vertical="center"/>
    </xf>
    <xf numFmtId="0" fontId="10" fillId="10" borderId="0" xfId="0" applyFont="1" applyFill="1" applyAlignment="1">
      <alignment horizontal="center" vertical="center"/>
    </xf>
    <xf numFmtId="0" fontId="10" fillId="10" borderId="0" xfId="0" applyFont="1" applyFill="1" applyAlignment="1">
      <alignment horizontal="right" vertical="top"/>
    </xf>
    <xf numFmtId="0" fontId="10" fillId="10" borderId="0" xfId="0" applyFont="1" applyFill="1" applyAlignment="1">
      <alignment vertical="top"/>
    </xf>
    <xf numFmtId="165" fontId="10" fillId="10" borderId="0" xfId="0" applyNumberFormat="1" applyFont="1" applyFill="1" applyAlignment="1">
      <alignment horizontal="center" vertical="top"/>
    </xf>
    <xf numFmtId="0" fontId="10" fillId="10" borderId="0" xfId="0" applyFont="1" applyFill="1" applyAlignment="1">
      <alignment horizontal="center" vertical="top"/>
    </xf>
    <xf numFmtId="0" fontId="10" fillId="10" borderId="0" xfId="0" applyFont="1" applyFill="1" applyAlignment="1">
      <alignment horizontal="right"/>
    </xf>
    <xf numFmtId="0" fontId="10" fillId="10" borderId="0" xfId="0" applyFont="1" applyFill="1" applyAlignment="1">
      <alignment horizontal="center"/>
    </xf>
    <xf numFmtId="0" fontId="2" fillId="5" borderId="31" xfId="0" applyFont="1" applyFill="1" applyBorder="1" applyAlignment="1">
      <alignment horizontal="center" vertical="center"/>
    </xf>
    <xf numFmtId="0" fontId="2" fillId="6" borderId="35" xfId="0" applyFont="1" applyFill="1" applyBorder="1" applyAlignment="1">
      <alignment horizontal="center" vertical="center"/>
    </xf>
    <xf numFmtId="0" fontId="2" fillId="8" borderId="35" xfId="0" applyFont="1" applyFill="1" applyBorder="1" applyAlignment="1">
      <alignment horizontal="center" vertical="center"/>
    </xf>
    <xf numFmtId="0" fontId="2" fillId="5" borderId="30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Fill="1" applyBorder="1" applyAlignment="1">
      <alignment vertical="center"/>
    </xf>
    <xf numFmtId="0" fontId="2" fillId="5" borderId="32" xfId="0" applyFont="1" applyFill="1" applyBorder="1" applyAlignment="1">
      <alignment horizontal="center" vertical="center"/>
    </xf>
    <xf numFmtId="0" fontId="0" fillId="2" borderId="0" xfId="0" applyFill="1" applyAlignment="1">
      <alignment vertical="center"/>
    </xf>
    <xf numFmtId="0" fontId="2" fillId="5" borderId="30" xfId="0" applyFont="1" applyFill="1" applyBorder="1" applyAlignment="1">
      <alignment vertical="center"/>
    </xf>
    <xf numFmtId="0" fontId="10" fillId="5" borderId="29" xfId="0" applyFont="1" applyFill="1" applyBorder="1" applyAlignment="1">
      <alignment horizontal="center" vertical="top"/>
    </xf>
    <xf numFmtId="0" fontId="10" fillId="5" borderId="31" xfId="0" applyFont="1" applyFill="1" applyBorder="1" applyAlignment="1">
      <alignment horizontal="center" vertical="top"/>
    </xf>
    <xf numFmtId="0" fontId="0" fillId="2" borderId="38" xfId="0" applyFill="1" applyBorder="1" applyAlignment="1">
      <alignment horizontal="left" vertical="center"/>
    </xf>
    <xf numFmtId="0" fontId="0" fillId="2" borderId="38" xfId="0" applyFill="1" applyBorder="1" applyAlignment="1">
      <alignment horizontal="center" vertical="center"/>
    </xf>
    <xf numFmtId="0" fontId="0" fillId="2" borderId="38" xfId="0" applyFill="1" applyBorder="1" applyAlignment="1">
      <alignment vertical="center"/>
    </xf>
    <xf numFmtId="14" fontId="0" fillId="2" borderId="38" xfId="0" applyNumberFormat="1" applyFill="1" applyBorder="1" applyAlignment="1">
      <alignment horizontal="left" vertical="center"/>
    </xf>
    <xf numFmtId="0" fontId="23" fillId="5" borderId="0" xfId="0" applyFont="1" applyFill="1" applyBorder="1" applyAlignment="1">
      <alignment vertical="center"/>
    </xf>
    <xf numFmtId="0" fontId="23" fillId="5" borderId="20" xfId="0" applyFont="1" applyFill="1" applyBorder="1" applyAlignment="1">
      <alignment vertical="center"/>
    </xf>
    <xf numFmtId="0" fontId="0" fillId="0" borderId="38" xfId="0" applyBorder="1"/>
    <xf numFmtId="14" fontId="0" fillId="0" borderId="38" xfId="0" applyNumberFormat="1" applyBorder="1"/>
    <xf numFmtId="0" fontId="25" fillId="10" borderId="0" xfId="0" applyFont="1" applyFill="1" applyAlignment="1">
      <alignment horizontal="left" vertical="center"/>
    </xf>
    <xf numFmtId="0" fontId="29" fillId="10" borderId="0" xfId="0" applyFont="1" applyFill="1" applyAlignment="1">
      <alignment horizontal="left" vertical="center"/>
    </xf>
    <xf numFmtId="14" fontId="0" fillId="4" borderId="1" xfId="0" applyNumberFormat="1" applyFill="1" applyBorder="1" applyAlignment="1" applyProtection="1">
      <alignment horizontal="center" vertical="center"/>
      <protection locked="0"/>
    </xf>
    <xf numFmtId="0" fontId="0" fillId="4" borderId="1" xfId="0" applyFill="1" applyBorder="1" applyAlignment="1" applyProtection="1">
      <alignment horizontal="center" vertical="center"/>
      <protection locked="0"/>
    </xf>
    <xf numFmtId="0" fontId="0" fillId="4" borderId="24" xfId="0" applyFill="1" applyBorder="1" applyAlignment="1" applyProtection="1">
      <alignment horizontal="center" vertical="center"/>
      <protection locked="0"/>
    </xf>
    <xf numFmtId="0" fontId="0" fillId="4" borderId="25" xfId="0" applyFill="1" applyBorder="1" applyAlignment="1" applyProtection="1">
      <alignment horizontal="center" vertical="center"/>
      <protection locked="0"/>
    </xf>
    <xf numFmtId="0" fontId="0" fillId="4" borderId="26" xfId="0" applyFill="1" applyBorder="1" applyAlignment="1" applyProtection="1">
      <alignment horizontal="center" vertical="center"/>
      <protection locked="0"/>
    </xf>
    <xf numFmtId="0" fontId="0" fillId="4" borderId="28" xfId="0" applyFill="1" applyBorder="1" applyAlignment="1" applyProtection="1">
      <alignment horizontal="center" vertical="center"/>
      <protection locked="0"/>
    </xf>
    <xf numFmtId="0" fontId="17" fillId="4" borderId="15" xfId="0" applyFont="1" applyFill="1" applyBorder="1" applyAlignment="1" applyProtection="1">
      <alignment horizontal="center" vertical="center"/>
      <protection locked="0"/>
    </xf>
    <xf numFmtId="0" fontId="18" fillId="4" borderId="15" xfId="0" applyFont="1" applyFill="1" applyBorder="1" applyAlignment="1" applyProtection="1">
      <alignment horizontal="center" vertical="center"/>
      <protection locked="0"/>
    </xf>
    <xf numFmtId="0" fontId="17" fillId="4" borderId="27" xfId="0" applyFont="1" applyFill="1" applyBorder="1" applyAlignment="1" applyProtection="1">
      <alignment horizontal="center" vertical="center"/>
      <protection locked="0"/>
    </xf>
    <xf numFmtId="0" fontId="18" fillId="4" borderId="27" xfId="0" applyFont="1" applyFill="1" applyBorder="1" applyAlignment="1" applyProtection="1">
      <alignment horizontal="center" vertical="center"/>
      <protection locked="0"/>
    </xf>
    <xf numFmtId="0" fontId="17" fillId="4" borderId="25" xfId="0" applyFont="1" applyFill="1" applyBorder="1" applyAlignment="1" applyProtection="1">
      <alignment horizontal="center" vertical="center"/>
      <protection locked="0"/>
    </xf>
    <xf numFmtId="0" fontId="17" fillId="4" borderId="25" xfId="0" quotePrefix="1" applyFont="1" applyFill="1" applyBorder="1" applyAlignment="1" applyProtection="1">
      <alignment horizontal="center" vertical="center"/>
      <protection locked="0"/>
    </xf>
    <xf numFmtId="0" fontId="17" fillId="4" borderId="28" xfId="0" applyFont="1" applyFill="1" applyBorder="1" applyAlignment="1" applyProtection="1">
      <alignment horizontal="center" vertical="center"/>
      <protection locked="0"/>
    </xf>
    <xf numFmtId="0" fontId="0" fillId="10" borderId="0" xfId="0" applyFill="1" applyAlignment="1" applyProtection="1">
      <alignment vertical="center"/>
    </xf>
    <xf numFmtId="0" fontId="24" fillId="3" borderId="34" xfId="0" applyFont="1" applyFill="1" applyBorder="1" applyAlignment="1">
      <alignment horizontal="right" vertical="center"/>
    </xf>
    <xf numFmtId="0" fontId="27" fillId="3" borderId="0" xfId="0" applyFont="1" applyFill="1" applyBorder="1" applyAlignment="1">
      <alignment horizontal="center" vertical="center"/>
    </xf>
    <xf numFmtId="0" fontId="27" fillId="3" borderId="35" xfId="0" applyFont="1" applyFill="1" applyBorder="1" applyAlignment="1">
      <alignment horizontal="center" vertical="center"/>
    </xf>
    <xf numFmtId="0" fontId="24" fillId="3" borderId="36" xfId="0" applyFont="1" applyFill="1" applyBorder="1" applyAlignment="1">
      <alignment horizontal="right" vertical="center"/>
    </xf>
    <xf numFmtId="0" fontId="27" fillId="3" borderId="18" xfId="0" applyFont="1" applyFill="1" applyBorder="1" applyAlignment="1">
      <alignment horizontal="center" vertical="center"/>
    </xf>
    <xf numFmtId="0" fontId="1" fillId="3" borderId="37" xfId="0" applyFont="1" applyFill="1" applyBorder="1" applyAlignment="1">
      <alignment horizontal="center" vertical="center"/>
    </xf>
    <xf numFmtId="0" fontId="17" fillId="3" borderId="17" xfId="0" applyFont="1" applyFill="1" applyBorder="1" applyAlignment="1">
      <alignment horizontal="center" vertical="center"/>
    </xf>
    <xf numFmtId="0" fontId="18" fillId="3" borderId="16" xfId="0" applyFont="1" applyFill="1" applyBorder="1" applyAlignment="1">
      <alignment horizontal="center" vertical="center"/>
    </xf>
    <xf numFmtId="0" fontId="17" fillId="3" borderId="40" xfId="0" applyFont="1" applyFill="1" applyBorder="1" applyAlignment="1">
      <alignment horizontal="center" vertical="center"/>
    </xf>
    <xf numFmtId="0" fontId="18" fillId="3" borderId="41" xfId="0" applyFont="1" applyFill="1" applyBorder="1" applyAlignment="1">
      <alignment horizontal="center" vertical="center"/>
    </xf>
    <xf numFmtId="0" fontId="17" fillId="3" borderId="42" xfId="0" applyFont="1" applyFill="1" applyBorder="1" applyAlignment="1">
      <alignment horizontal="center" vertical="center"/>
    </xf>
    <xf numFmtId="0" fontId="18" fillId="3" borderId="43" xfId="0" applyFont="1" applyFill="1" applyBorder="1" applyAlignment="1">
      <alignment horizontal="center" vertical="center"/>
    </xf>
    <xf numFmtId="0" fontId="26" fillId="5" borderId="0" xfId="0" applyFont="1" applyFill="1" applyBorder="1" applyAlignment="1">
      <alignment vertical="top" wrapText="1"/>
    </xf>
    <xf numFmtId="0" fontId="26" fillId="5" borderId="0" xfId="0" applyFont="1" applyFill="1" applyBorder="1" applyAlignment="1">
      <alignment vertical="top"/>
    </xf>
    <xf numFmtId="0" fontId="0" fillId="2" borderId="0" xfId="0" applyFill="1" applyAlignment="1" applyProtection="1">
      <alignment horizontal="center" vertical="center"/>
      <protection locked="0"/>
    </xf>
    <xf numFmtId="0" fontId="7" fillId="5" borderId="35" xfId="0" applyFont="1" applyFill="1" applyBorder="1" applyAlignment="1">
      <alignment horizontal="center" vertical="center"/>
    </xf>
    <xf numFmtId="0" fontId="2" fillId="10" borderId="0" xfId="0" applyFont="1" applyFill="1" applyAlignment="1">
      <alignment horizontal="center" vertical="center"/>
    </xf>
    <xf numFmtId="0" fontId="2" fillId="10" borderId="0" xfId="0" applyFont="1" applyFill="1" applyAlignment="1">
      <alignment horizontal="center" vertical="top"/>
    </xf>
    <xf numFmtId="0" fontId="2" fillId="10" borderId="0" xfId="0" applyFont="1" applyFill="1" applyAlignment="1">
      <alignment horizontal="center"/>
    </xf>
    <xf numFmtId="0" fontId="22" fillId="2" borderId="38" xfId="0" applyFont="1" applyFill="1" applyBorder="1" applyAlignment="1">
      <alignment horizontal="center" vertical="center"/>
    </xf>
    <xf numFmtId="0" fontId="22" fillId="0" borderId="38" xfId="0" applyFont="1" applyBorder="1"/>
    <xf numFmtId="0" fontId="0" fillId="5" borderId="18" xfId="0" applyFill="1" applyBorder="1" applyAlignment="1">
      <alignment vertical="top"/>
    </xf>
    <xf numFmtId="0" fontId="31" fillId="10" borderId="0" xfId="0" applyFont="1" applyFill="1" applyAlignment="1">
      <alignment horizontal="right" vertical="center"/>
    </xf>
    <xf numFmtId="0" fontId="0" fillId="2" borderId="0" xfId="0" applyFill="1" applyAlignment="1">
      <alignment horizontal="left" vertical="center"/>
    </xf>
    <xf numFmtId="0" fontId="0" fillId="2" borderId="0" xfId="0" applyFill="1" applyBorder="1" applyAlignment="1">
      <alignment horizontal="center" vertical="center"/>
    </xf>
    <xf numFmtId="0" fontId="0" fillId="0" borderId="38" xfId="0" applyBorder="1" applyAlignment="1">
      <alignment horizontal="center"/>
    </xf>
    <xf numFmtId="0" fontId="0" fillId="0" borderId="0" xfId="0" applyBorder="1" applyAlignment="1">
      <alignment horizontal="center"/>
    </xf>
    <xf numFmtId="0" fontId="25" fillId="10" borderId="0" xfId="0" applyFont="1" applyFill="1" applyAlignment="1">
      <alignment horizontal="right" vertical="top"/>
    </xf>
    <xf numFmtId="0" fontId="1" fillId="4" borderId="15" xfId="0" applyFont="1" applyFill="1" applyBorder="1" applyAlignment="1" applyProtection="1">
      <alignment horizontal="center" vertical="center"/>
      <protection locked="0"/>
    </xf>
    <xf numFmtId="0" fontId="1" fillId="4" borderId="25" xfId="0" applyFont="1" applyFill="1" applyBorder="1" applyAlignment="1" applyProtection="1">
      <alignment horizontal="center" vertical="center"/>
      <protection locked="0"/>
    </xf>
    <xf numFmtId="0" fontId="1" fillId="4" borderId="27" xfId="0" applyFont="1" applyFill="1" applyBorder="1" applyAlignment="1" applyProtection="1">
      <alignment horizontal="center" vertical="center"/>
      <protection locked="0"/>
    </xf>
    <xf numFmtId="0" fontId="1" fillId="4" borderId="28" xfId="0" applyFont="1" applyFill="1" applyBorder="1" applyAlignment="1" applyProtection="1">
      <alignment horizontal="center" vertical="center"/>
      <protection locked="0"/>
    </xf>
    <xf numFmtId="14" fontId="22" fillId="0" borderId="38" xfId="0" applyNumberFormat="1" applyFont="1" applyBorder="1"/>
    <xf numFmtId="0" fontId="2" fillId="5" borderId="30" xfId="0" applyFont="1" applyFill="1" applyBorder="1" applyAlignment="1">
      <alignment horizontal="center" vertical="center"/>
    </xf>
    <xf numFmtId="0" fontId="2" fillId="5" borderId="31" xfId="0" applyFont="1" applyFill="1" applyBorder="1" applyAlignment="1">
      <alignment horizontal="center" vertical="center"/>
    </xf>
    <xf numFmtId="14" fontId="0" fillId="4" borderId="44" xfId="0" applyNumberFormat="1" applyFill="1" applyBorder="1" applyAlignment="1" applyProtection="1">
      <alignment horizontal="center" vertical="center"/>
      <protection locked="0"/>
    </xf>
    <xf numFmtId="0" fontId="0" fillId="4" borderId="44" xfId="0" applyFont="1" applyFill="1" applyBorder="1" applyAlignment="1" applyProtection="1">
      <alignment horizontal="center" vertical="center"/>
      <protection locked="0"/>
    </xf>
    <xf numFmtId="0" fontId="0" fillId="4" borderId="44" xfId="0" applyFill="1" applyBorder="1" applyAlignment="1" applyProtection="1">
      <alignment horizontal="center" vertical="center"/>
      <protection locked="0"/>
    </xf>
    <xf numFmtId="0" fontId="13" fillId="3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0" fontId="11" fillId="5" borderId="0" xfId="0" applyFont="1" applyFill="1" applyAlignment="1">
      <alignment vertical="center"/>
    </xf>
    <xf numFmtId="0" fontId="4" fillId="3" borderId="0" xfId="0" applyFont="1" applyFill="1" applyAlignment="1">
      <alignment horizontal="right" vertical="center"/>
    </xf>
    <xf numFmtId="0" fontId="4" fillId="0" borderId="0" xfId="0" applyFont="1" applyAlignment="1">
      <alignment horizontal="right" vertical="center"/>
    </xf>
    <xf numFmtId="0" fontId="5" fillId="5" borderId="0" xfId="0" applyFont="1" applyFill="1" applyAlignment="1">
      <alignment horizontal="center" vertical="center"/>
    </xf>
    <xf numFmtId="0" fontId="5" fillId="5" borderId="0" xfId="0" applyFont="1" applyFill="1" applyAlignment="1">
      <alignment vertical="center"/>
    </xf>
    <xf numFmtId="0" fontId="11" fillId="0" borderId="0" xfId="0" applyFont="1" applyAlignment="1">
      <alignment horizontal="center" vertical="center"/>
    </xf>
    <xf numFmtId="0" fontId="14" fillId="5" borderId="0" xfId="0" applyFont="1" applyFill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14" fillId="0" borderId="11" xfId="0" applyFont="1" applyBorder="1" applyAlignment="1">
      <alignment horizontal="center" vertical="center"/>
    </xf>
    <xf numFmtId="0" fontId="15" fillId="5" borderId="12" xfId="0" applyFont="1" applyFill="1" applyBorder="1" applyAlignment="1">
      <alignment horizontal="center" vertical="center" wrapText="1"/>
    </xf>
    <xf numFmtId="0" fontId="15" fillId="0" borderId="12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6" fillId="0" borderId="0" xfId="0" applyFont="1" applyAlignment="1">
      <alignment vertical="center"/>
    </xf>
    <xf numFmtId="0" fontId="10" fillId="5" borderId="0" xfId="0" applyFont="1" applyFill="1" applyAlignment="1">
      <alignment horizontal="center"/>
    </xf>
    <xf numFmtId="0" fontId="10" fillId="0" borderId="0" xfId="0" applyFont="1" applyAlignment="1">
      <alignment horizontal="center"/>
    </xf>
    <xf numFmtId="0" fontId="10" fillId="5" borderId="0" xfId="0" applyFont="1" applyFill="1" applyAlignment="1">
      <alignment horizontal="center" vertical="top"/>
    </xf>
    <xf numFmtId="0" fontId="10" fillId="0" borderId="0" xfId="0" applyFont="1" applyAlignment="1">
      <alignment horizontal="center" vertical="top"/>
    </xf>
    <xf numFmtId="0" fontId="0" fillId="11" borderId="39" xfId="0" applyFill="1" applyBorder="1" applyAlignment="1">
      <alignment horizontal="center" vertical="center"/>
    </xf>
    <xf numFmtId="0" fontId="23" fillId="5" borderId="0" xfId="0" applyFont="1" applyFill="1" applyBorder="1" applyAlignment="1">
      <alignment horizontal="center" vertical="center"/>
    </xf>
    <xf numFmtId="0" fontId="23" fillId="5" borderId="20" xfId="0" applyFont="1" applyFill="1" applyBorder="1" applyAlignment="1">
      <alignment horizontal="center" vertical="center"/>
    </xf>
    <xf numFmtId="0" fontId="26" fillId="5" borderId="19" xfId="0" applyFont="1" applyFill="1" applyBorder="1" applyAlignment="1">
      <alignment horizontal="center" vertical="top" wrapText="1"/>
    </xf>
    <xf numFmtId="0" fontId="26" fillId="5" borderId="19" xfId="0" applyFont="1" applyFill="1" applyBorder="1" applyAlignment="1">
      <alignment horizontal="center" vertical="top"/>
    </xf>
    <xf numFmtId="0" fontId="26" fillId="5" borderId="0" xfId="0" applyFont="1" applyFill="1" applyBorder="1" applyAlignment="1">
      <alignment horizontal="center" vertical="top"/>
    </xf>
    <xf numFmtId="0" fontId="0" fillId="4" borderId="29" xfId="0" applyFill="1" applyBorder="1" applyAlignment="1" applyProtection="1">
      <alignment horizontal="center" vertical="center" wrapText="1"/>
      <protection locked="0"/>
    </xf>
    <xf numFmtId="0" fontId="0" fillId="4" borderId="30" xfId="0" applyFill="1" applyBorder="1" applyAlignment="1" applyProtection="1">
      <alignment horizontal="center" vertical="center" wrapText="1"/>
      <protection locked="0"/>
    </xf>
    <xf numFmtId="0" fontId="0" fillId="4" borderId="31" xfId="0" applyFill="1" applyBorder="1" applyAlignment="1" applyProtection="1">
      <alignment horizontal="center" vertical="center" wrapText="1"/>
      <protection locked="0"/>
    </xf>
    <xf numFmtId="0" fontId="0" fillId="4" borderId="34" xfId="0" applyFill="1" applyBorder="1" applyAlignment="1" applyProtection="1">
      <alignment horizontal="center" vertical="center" wrapText="1"/>
      <protection locked="0"/>
    </xf>
    <xf numFmtId="0" fontId="0" fillId="4" borderId="0" xfId="0" applyFill="1" applyBorder="1" applyAlignment="1" applyProtection="1">
      <alignment horizontal="center" vertical="center" wrapText="1"/>
      <protection locked="0"/>
    </xf>
    <xf numFmtId="0" fontId="0" fillId="4" borderId="35" xfId="0" applyFill="1" applyBorder="1" applyAlignment="1" applyProtection="1">
      <alignment horizontal="center" vertical="center" wrapText="1"/>
      <protection locked="0"/>
    </xf>
    <xf numFmtId="0" fontId="0" fillId="4" borderId="36" xfId="0" applyFill="1" applyBorder="1" applyAlignment="1" applyProtection="1">
      <alignment horizontal="center" vertical="center" wrapText="1"/>
      <protection locked="0"/>
    </xf>
    <xf numFmtId="0" fontId="0" fillId="4" borderId="18" xfId="0" applyFill="1" applyBorder="1" applyAlignment="1" applyProtection="1">
      <alignment horizontal="center" vertical="center" wrapText="1"/>
      <protection locked="0"/>
    </xf>
    <xf numFmtId="0" fontId="0" fillId="4" borderId="37" xfId="0" applyFill="1" applyBorder="1" applyAlignment="1" applyProtection="1">
      <alignment horizontal="center" vertical="center" wrapText="1"/>
      <protection locked="0"/>
    </xf>
    <xf numFmtId="0" fontId="2" fillId="5" borderId="29" xfId="0" applyFont="1" applyFill="1" applyBorder="1" applyAlignment="1">
      <alignment horizontal="center" vertical="center"/>
    </xf>
    <xf numFmtId="0" fontId="2" fillId="5" borderId="30" xfId="0" applyFont="1" applyFill="1" applyBorder="1" applyAlignment="1">
      <alignment horizontal="center" vertical="center"/>
    </xf>
    <xf numFmtId="0" fontId="2" fillId="5" borderId="31" xfId="0" applyFont="1" applyFill="1" applyBorder="1" applyAlignment="1">
      <alignment horizontal="center" vertical="center"/>
    </xf>
    <xf numFmtId="0" fontId="4" fillId="10" borderId="34" xfId="0" applyFont="1" applyFill="1" applyBorder="1" applyAlignment="1">
      <alignment horizontal="center" vertical="center"/>
    </xf>
    <xf numFmtId="0" fontId="4" fillId="10" borderId="0" xfId="0" applyFont="1" applyFill="1" applyBorder="1" applyAlignment="1">
      <alignment horizontal="center" vertical="center"/>
    </xf>
    <xf numFmtId="0" fontId="4" fillId="10" borderId="36" xfId="0" applyFont="1" applyFill="1" applyBorder="1" applyAlignment="1">
      <alignment horizontal="center" vertical="center"/>
    </xf>
    <xf numFmtId="0" fontId="4" fillId="10" borderId="18" xfId="0" applyFont="1" applyFill="1" applyBorder="1" applyAlignment="1">
      <alignment horizontal="center" vertical="center"/>
    </xf>
    <xf numFmtId="0" fontId="14" fillId="5" borderId="35" xfId="0" applyFont="1" applyFill="1" applyBorder="1" applyAlignment="1">
      <alignment horizontal="center" vertical="center"/>
    </xf>
    <xf numFmtId="0" fontId="14" fillId="5" borderId="37" xfId="0" applyFont="1" applyFill="1" applyBorder="1" applyAlignment="1">
      <alignment horizontal="center" vertical="center"/>
    </xf>
    <xf numFmtId="0" fontId="32" fillId="10" borderId="34" xfId="0" applyFont="1" applyFill="1" applyBorder="1" applyAlignment="1">
      <alignment horizontal="center" vertical="center" wrapText="1"/>
    </xf>
    <xf numFmtId="0" fontId="32" fillId="10" borderId="0" xfId="0" applyFont="1" applyFill="1" applyBorder="1" applyAlignment="1">
      <alignment horizontal="center" vertical="center" wrapText="1"/>
    </xf>
    <xf numFmtId="0" fontId="32" fillId="10" borderId="35" xfId="0" applyFont="1" applyFill="1" applyBorder="1" applyAlignment="1">
      <alignment horizontal="center" vertical="center" wrapText="1"/>
    </xf>
    <xf numFmtId="0" fontId="32" fillId="10" borderId="36" xfId="0" applyFont="1" applyFill="1" applyBorder="1" applyAlignment="1">
      <alignment horizontal="center" vertical="center" wrapText="1"/>
    </xf>
    <xf numFmtId="0" fontId="32" fillId="10" borderId="18" xfId="0" applyFont="1" applyFill="1" applyBorder="1" applyAlignment="1">
      <alignment horizontal="center" vertical="center" wrapText="1"/>
    </xf>
    <xf numFmtId="0" fontId="32" fillId="10" borderId="37" xfId="0" applyFont="1" applyFill="1" applyBorder="1" applyAlignment="1">
      <alignment horizontal="center" vertical="center" wrapText="1"/>
    </xf>
    <xf numFmtId="0" fontId="22" fillId="12" borderId="34" xfId="0" applyFont="1" applyFill="1" applyBorder="1" applyAlignment="1">
      <alignment horizontal="center" vertical="center"/>
    </xf>
    <xf numFmtId="0" fontId="22" fillId="12" borderId="0" xfId="0" applyFont="1" applyFill="1" applyBorder="1" applyAlignment="1">
      <alignment horizontal="center" vertical="center"/>
    </xf>
    <xf numFmtId="0" fontId="2" fillId="9" borderId="0" xfId="0" applyNumberFormat="1" applyFont="1" applyFill="1" applyAlignment="1" applyProtection="1">
      <alignment horizontal="center"/>
    </xf>
    <xf numFmtId="0" fontId="2" fillId="9" borderId="0" xfId="0" applyFont="1" applyFill="1" applyAlignment="1" applyProtection="1">
      <alignment horizontal="center"/>
    </xf>
    <xf numFmtId="0" fontId="2" fillId="6" borderId="0" xfId="0" applyFont="1" applyFill="1" applyAlignment="1">
      <alignment horizontal="center"/>
    </xf>
    <xf numFmtId="0" fontId="2" fillId="8" borderId="0" xfId="0" applyFont="1" applyFill="1" applyAlignment="1">
      <alignment horizontal="center"/>
    </xf>
    <xf numFmtId="0" fontId="2" fillId="5" borderId="0" xfId="0" applyFont="1" applyFill="1" applyAlignment="1">
      <alignment horizontal="center"/>
    </xf>
  </cellXfs>
  <cellStyles count="1">
    <cellStyle name="Normal" xfId="0" builtinId="0"/>
  </cellStyles>
  <dxfs count="16">
    <dxf>
      <font>
        <color theme="9" tint="-0.499984740745262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0070C0"/>
        </patternFill>
      </fill>
    </dxf>
  </dxfs>
  <tableStyles count="0" defaultTableStyle="TableStyleMedium2" defaultPivotStyle="PivotStyleLight16"/>
  <colors>
    <mruColors>
      <color rgb="FFF89E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5.png"/><Relationship Id="rId1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466725</xdr:colOff>
      <xdr:row>51</xdr:row>
      <xdr:rowOff>9524</xdr:rowOff>
    </xdr:from>
    <xdr:to>
      <xdr:col>25</xdr:col>
      <xdr:colOff>504826</xdr:colOff>
      <xdr:row>56</xdr:row>
      <xdr:rowOff>149422</xdr:rowOff>
    </xdr:to>
    <xdr:pic macro="[0]!checkIfSaveIsOK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38975" y="6657974"/>
          <a:ext cx="1400176" cy="1330523"/>
        </a:xfrm>
        <a:prstGeom prst="rect">
          <a:avLst/>
        </a:prstGeom>
      </xdr:spPr>
    </xdr:pic>
    <xdr:clientData/>
  </xdr:twoCellAnchor>
  <xdr:twoCellAnchor>
    <xdr:from>
      <xdr:col>24</xdr:col>
      <xdr:colOff>124027</xdr:colOff>
      <xdr:row>25</xdr:row>
      <xdr:rowOff>9525</xdr:rowOff>
    </xdr:from>
    <xdr:to>
      <xdr:col>25</xdr:col>
      <xdr:colOff>831143</xdr:colOff>
      <xdr:row>27</xdr:row>
      <xdr:rowOff>70636</xdr:rowOff>
    </xdr:to>
    <xdr:pic>
      <xdr:nvPicPr>
        <xdr:cNvPr id="5" name="Imag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67852" y="1028700"/>
          <a:ext cx="1126216" cy="4611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0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18</xdr:col>
      <xdr:colOff>28575</xdr:colOff>
      <xdr:row>29</xdr:row>
      <xdr:rowOff>152400</xdr:rowOff>
    </xdr:from>
    <xdr:to>
      <xdr:col>18</xdr:col>
      <xdr:colOff>356235</xdr:colOff>
      <xdr:row>31</xdr:row>
      <xdr:rowOff>28802</xdr:rowOff>
    </xdr:to>
    <xdr:pic macro="[0]!addDate">
      <xdr:nvPicPr>
        <xdr:cNvPr id="8" name="Image 2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05125" y="1971675"/>
          <a:ext cx="327660" cy="29550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0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24</xdr:col>
      <xdr:colOff>114300</xdr:colOff>
      <xdr:row>59</xdr:row>
      <xdr:rowOff>38099</xdr:rowOff>
    </xdr:from>
    <xdr:to>
      <xdr:col>25</xdr:col>
      <xdr:colOff>133350</xdr:colOff>
      <xdr:row>60</xdr:row>
      <xdr:rowOff>231341</xdr:rowOff>
    </xdr:to>
    <xdr:pic macro="[0]!confirmManualClear">
      <xdr:nvPicPr>
        <xdr:cNvPr id="11" name="Image 10" descr="Fichier:OOjs UI icon cancel-destructive.svg — Wikipédia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flipH="1">
          <a:off x="8162925" y="8591549"/>
          <a:ext cx="438150" cy="4313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228600</xdr:colOff>
      <xdr:row>27</xdr:row>
      <xdr:rowOff>142875</xdr:rowOff>
    </xdr:from>
    <xdr:to>
      <xdr:col>12</xdr:col>
      <xdr:colOff>567338</xdr:colOff>
      <xdr:row>29</xdr:row>
      <xdr:rowOff>73559</xdr:rowOff>
    </xdr:to>
    <xdr:pic macro="[0]!addDate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00" y="142875"/>
          <a:ext cx="338738" cy="349784"/>
        </a:xfrm>
        <a:prstGeom prst="rect">
          <a:avLst/>
        </a:prstGeom>
      </xdr:spPr>
    </xdr:pic>
    <xdr:clientData/>
  </xdr:twoCellAnchor>
  <xdr:twoCellAnchor>
    <xdr:from>
      <xdr:col>23</xdr:col>
      <xdr:colOff>591567</xdr:colOff>
      <xdr:row>21</xdr:row>
      <xdr:rowOff>19050</xdr:rowOff>
    </xdr:from>
    <xdr:to>
      <xdr:col>25</xdr:col>
      <xdr:colOff>266701</xdr:colOff>
      <xdr:row>24</xdr:row>
      <xdr:rowOff>58724</xdr:rowOff>
    </xdr:to>
    <xdr:pic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716517" y="0"/>
          <a:ext cx="1389634" cy="0"/>
        </a:xfrm>
        <a:prstGeom prst="rect">
          <a:avLst/>
        </a:prstGeom>
      </xdr:spPr>
    </xdr:pic>
    <xdr:clientData/>
  </xdr:twoCellAnchor>
  <xdr:twoCellAnchor editAs="absolute">
    <xdr:from>
      <xdr:col>27</xdr:col>
      <xdr:colOff>180975</xdr:colOff>
      <xdr:row>17</xdr:row>
      <xdr:rowOff>3809</xdr:rowOff>
    </xdr:from>
    <xdr:to>
      <xdr:col>27</xdr:col>
      <xdr:colOff>590549</xdr:colOff>
      <xdr:row>19</xdr:row>
      <xdr:rowOff>9524</xdr:rowOff>
    </xdr:to>
    <xdr:pic macro="[0]!restract">
      <xdr:nvPicPr>
        <xdr:cNvPr id="6" name="Image 5" descr="Retract Icon - Free PNG &amp; SVG 58201 - Noun Project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63450" y="422909"/>
          <a:ext cx="409574" cy="4248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23</xdr:col>
      <xdr:colOff>752475</xdr:colOff>
      <xdr:row>45</xdr:row>
      <xdr:rowOff>133350</xdr:rowOff>
    </xdr:from>
    <xdr:to>
      <xdr:col>25</xdr:col>
      <xdr:colOff>152400</xdr:colOff>
      <xdr:row>50</xdr:row>
      <xdr:rowOff>141881</xdr:rowOff>
    </xdr:to>
    <xdr:pic macro="[0]!confirmBeforeSave">
      <xdr:nvPicPr>
        <xdr:cNvPr id="6" name="Image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77500" y="6419850"/>
          <a:ext cx="1114425" cy="1056281"/>
        </a:xfrm>
        <a:prstGeom prst="rect">
          <a:avLst/>
        </a:prstGeom>
      </xdr:spPr>
    </xdr:pic>
    <xdr:clientData/>
  </xdr:twoCellAnchor>
  <xdr:twoCellAnchor>
    <xdr:from>
      <xdr:col>12</xdr:col>
      <xdr:colOff>228600</xdr:colOff>
      <xdr:row>27</xdr:row>
      <xdr:rowOff>142875</xdr:rowOff>
    </xdr:from>
    <xdr:to>
      <xdr:col>12</xdr:col>
      <xdr:colOff>567338</xdr:colOff>
      <xdr:row>29</xdr:row>
      <xdr:rowOff>73559</xdr:rowOff>
    </xdr:to>
    <xdr:pic macro="[0]!addDate">
      <xdr:nvPicPr>
        <xdr:cNvPr id="11" name="Image 1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62075" y="2428875"/>
          <a:ext cx="338738" cy="311684"/>
        </a:xfrm>
        <a:prstGeom prst="rect">
          <a:avLst/>
        </a:prstGeom>
      </xdr:spPr>
    </xdr:pic>
    <xdr:clientData/>
  </xdr:twoCellAnchor>
  <xdr:twoCellAnchor editAs="oneCell">
    <xdr:from>
      <xdr:col>24</xdr:col>
      <xdr:colOff>238125</xdr:colOff>
      <xdr:row>51</xdr:row>
      <xdr:rowOff>219075</xdr:rowOff>
    </xdr:from>
    <xdr:to>
      <xdr:col>24</xdr:col>
      <xdr:colOff>677075</xdr:colOff>
      <xdr:row>54</xdr:row>
      <xdr:rowOff>13754</xdr:rowOff>
    </xdr:to>
    <xdr:pic macro="[0]!newClear">
      <xdr:nvPicPr>
        <xdr:cNvPr id="13" name="Image 1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696575" y="8286750"/>
          <a:ext cx="438950" cy="432854"/>
        </a:xfrm>
        <a:prstGeom prst="rect">
          <a:avLst/>
        </a:prstGeom>
      </xdr:spPr>
    </xdr:pic>
    <xdr:clientData/>
  </xdr:twoCellAnchor>
  <xdr:twoCellAnchor>
    <xdr:from>
      <xdr:col>23</xdr:col>
      <xdr:colOff>591567</xdr:colOff>
      <xdr:row>21</xdr:row>
      <xdr:rowOff>19050</xdr:rowOff>
    </xdr:from>
    <xdr:to>
      <xdr:col>25</xdr:col>
      <xdr:colOff>266701</xdr:colOff>
      <xdr:row>24</xdr:row>
      <xdr:rowOff>58724</xdr:rowOff>
    </xdr:to>
    <xdr:pic>
      <xdr:nvPicPr>
        <xdr:cNvPr id="14" name="Image 13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192767" y="1181100"/>
          <a:ext cx="1389634" cy="630224"/>
        </a:xfrm>
        <a:prstGeom prst="rect">
          <a:avLst/>
        </a:prstGeom>
      </xdr:spPr>
    </xdr:pic>
    <xdr:clientData/>
  </xdr:twoCellAnchor>
  <xdr:twoCellAnchor editAs="absolute">
    <xdr:from>
      <xdr:col>26</xdr:col>
      <xdr:colOff>28575</xdr:colOff>
      <xdr:row>17</xdr:row>
      <xdr:rowOff>22859</xdr:rowOff>
    </xdr:from>
    <xdr:to>
      <xdr:col>26</xdr:col>
      <xdr:colOff>438149</xdr:colOff>
      <xdr:row>19</xdr:row>
      <xdr:rowOff>28574</xdr:rowOff>
    </xdr:to>
    <xdr:pic macro="[0]!restract">
      <xdr:nvPicPr>
        <xdr:cNvPr id="16" name="Image 15" descr="Retract Icon - Free PNG &amp; SVG 58201 - Noun Project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58825" y="441959"/>
          <a:ext cx="409574" cy="4248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J44"/>
  <sheetViews>
    <sheetView workbookViewId="0">
      <selection activeCell="F15" sqref="F15"/>
    </sheetView>
  </sheetViews>
  <sheetFormatPr baseColWidth="10" defaultRowHeight="15" x14ac:dyDescent="0.25"/>
  <cols>
    <col min="3" max="3" width="14.42578125" style="54" bestFit="1" customWidth="1"/>
  </cols>
  <sheetData>
    <row r="1" spans="1:10" x14ac:dyDescent="0.25">
      <c r="A1" t="s">
        <v>12</v>
      </c>
      <c r="C1" s="54" t="s">
        <v>31</v>
      </c>
      <c r="F1" t="s">
        <v>37</v>
      </c>
      <c r="H1" t="s">
        <v>67</v>
      </c>
    </row>
    <row r="2" spans="1:10" x14ac:dyDescent="0.25">
      <c r="A2" t="s">
        <v>14</v>
      </c>
      <c r="C2" s="54" t="s">
        <v>32</v>
      </c>
      <c r="D2">
        <v>25</v>
      </c>
      <c r="F2" t="s">
        <v>38</v>
      </c>
      <c r="H2" t="s">
        <v>68</v>
      </c>
      <c r="I2">
        <v>480</v>
      </c>
    </row>
    <row r="3" spans="1:10" x14ac:dyDescent="0.25">
      <c r="A3" t="s">
        <v>13</v>
      </c>
      <c r="C3" s="54" t="s">
        <v>33</v>
      </c>
      <c r="D3">
        <v>39</v>
      </c>
      <c r="F3" t="s">
        <v>39</v>
      </c>
      <c r="H3" t="s">
        <v>69</v>
      </c>
      <c r="I3">
        <v>16</v>
      </c>
    </row>
    <row r="4" spans="1:10" x14ac:dyDescent="0.25">
      <c r="A4" t="s">
        <v>8</v>
      </c>
      <c r="C4" s="54" t="s">
        <v>34</v>
      </c>
      <c r="D4">
        <v>262</v>
      </c>
      <c r="F4" t="s">
        <v>40</v>
      </c>
    </row>
    <row r="5" spans="1:10" x14ac:dyDescent="0.25">
      <c r="A5" t="s">
        <v>15</v>
      </c>
      <c r="C5" s="54" t="s">
        <v>35</v>
      </c>
      <c r="D5">
        <v>308</v>
      </c>
      <c r="F5" t="s">
        <v>41</v>
      </c>
      <c r="H5">
        <v>1</v>
      </c>
      <c r="I5">
        <f>H5*I$3</f>
        <v>16</v>
      </c>
      <c r="J5">
        <f>H5</f>
        <v>1</v>
      </c>
    </row>
    <row r="6" spans="1:10" x14ac:dyDescent="0.25">
      <c r="A6" t="s">
        <v>16</v>
      </c>
      <c r="H6">
        <v>2</v>
      </c>
      <c r="I6">
        <f t="shared" ref="I6:I44" si="0">H6*I$3</f>
        <v>32</v>
      </c>
      <c r="J6">
        <f t="shared" ref="J6:J44" si="1">H6</f>
        <v>2</v>
      </c>
    </row>
    <row r="7" spans="1:10" x14ac:dyDescent="0.25">
      <c r="C7" s="54" t="s">
        <v>126</v>
      </c>
      <c r="D7">
        <v>380</v>
      </c>
      <c r="F7" t="s">
        <v>86</v>
      </c>
      <c r="H7">
        <v>3</v>
      </c>
      <c r="I7">
        <f t="shared" si="0"/>
        <v>48</v>
      </c>
      <c r="J7">
        <f t="shared" si="1"/>
        <v>3</v>
      </c>
    </row>
    <row r="8" spans="1:10" x14ac:dyDescent="0.25">
      <c r="A8" t="s">
        <v>36</v>
      </c>
      <c r="C8" s="54" t="s">
        <v>127</v>
      </c>
      <c r="D8">
        <v>400</v>
      </c>
      <c r="F8" t="s">
        <v>87</v>
      </c>
      <c r="H8">
        <v>4</v>
      </c>
      <c r="I8">
        <f t="shared" si="0"/>
        <v>64</v>
      </c>
      <c r="J8">
        <f t="shared" si="1"/>
        <v>4</v>
      </c>
    </row>
    <row r="9" spans="1:10" x14ac:dyDescent="0.25">
      <c r="A9" t="s">
        <v>10</v>
      </c>
      <c r="F9" t="s">
        <v>54</v>
      </c>
      <c r="H9">
        <v>5</v>
      </c>
      <c r="I9">
        <f t="shared" si="0"/>
        <v>80</v>
      </c>
      <c r="J9">
        <f t="shared" si="1"/>
        <v>5</v>
      </c>
    </row>
    <row r="10" spans="1:10" x14ac:dyDescent="0.25">
      <c r="A10" t="s">
        <v>81</v>
      </c>
      <c r="C10" s="54" t="s">
        <v>128</v>
      </c>
      <c r="D10">
        <v>85</v>
      </c>
      <c r="F10" t="s">
        <v>88</v>
      </c>
      <c r="H10">
        <v>6</v>
      </c>
      <c r="I10">
        <f t="shared" si="0"/>
        <v>96</v>
      </c>
      <c r="J10">
        <f t="shared" si="1"/>
        <v>6</v>
      </c>
    </row>
    <row r="11" spans="1:10" x14ac:dyDescent="0.25">
      <c r="A11" t="s">
        <v>82</v>
      </c>
      <c r="F11" t="s">
        <v>89</v>
      </c>
      <c r="H11">
        <v>7</v>
      </c>
      <c r="I11">
        <f t="shared" si="0"/>
        <v>112</v>
      </c>
      <c r="J11">
        <f t="shared" si="1"/>
        <v>7</v>
      </c>
    </row>
    <row r="12" spans="1:10" x14ac:dyDescent="0.25">
      <c r="A12" t="s">
        <v>11</v>
      </c>
      <c r="F12" t="s">
        <v>298</v>
      </c>
      <c r="H12">
        <v>8</v>
      </c>
      <c r="I12">
        <f t="shared" si="0"/>
        <v>128</v>
      </c>
      <c r="J12">
        <f t="shared" si="1"/>
        <v>8</v>
      </c>
    </row>
    <row r="13" spans="1:10" x14ac:dyDescent="0.25">
      <c r="F13" t="s">
        <v>90</v>
      </c>
      <c r="H13">
        <v>9</v>
      </c>
      <c r="I13">
        <f t="shared" si="0"/>
        <v>144</v>
      </c>
      <c r="J13">
        <f t="shared" si="1"/>
        <v>9</v>
      </c>
    </row>
    <row r="14" spans="1:10" x14ac:dyDescent="0.25">
      <c r="H14">
        <v>10</v>
      </c>
      <c r="I14">
        <f t="shared" si="0"/>
        <v>160</v>
      </c>
      <c r="J14">
        <f t="shared" si="1"/>
        <v>10</v>
      </c>
    </row>
    <row r="15" spans="1:10" x14ac:dyDescent="0.25">
      <c r="H15">
        <v>11</v>
      </c>
      <c r="I15">
        <f t="shared" si="0"/>
        <v>176</v>
      </c>
      <c r="J15">
        <f t="shared" si="1"/>
        <v>11</v>
      </c>
    </row>
    <row r="16" spans="1:10" x14ac:dyDescent="0.25">
      <c r="H16">
        <v>12</v>
      </c>
      <c r="I16">
        <f t="shared" si="0"/>
        <v>192</v>
      </c>
      <c r="J16">
        <f t="shared" si="1"/>
        <v>12</v>
      </c>
    </row>
    <row r="17" spans="8:10" x14ac:dyDescent="0.25">
      <c r="H17">
        <v>13</v>
      </c>
      <c r="I17">
        <f t="shared" si="0"/>
        <v>208</v>
      </c>
      <c r="J17">
        <f t="shared" si="1"/>
        <v>13</v>
      </c>
    </row>
    <row r="18" spans="8:10" x14ac:dyDescent="0.25">
      <c r="H18">
        <v>14</v>
      </c>
      <c r="I18">
        <f t="shared" si="0"/>
        <v>224</v>
      </c>
      <c r="J18">
        <f t="shared" si="1"/>
        <v>14</v>
      </c>
    </row>
    <row r="19" spans="8:10" x14ac:dyDescent="0.25">
      <c r="H19">
        <v>15</v>
      </c>
      <c r="I19">
        <f t="shared" si="0"/>
        <v>240</v>
      </c>
      <c r="J19">
        <f t="shared" si="1"/>
        <v>15</v>
      </c>
    </row>
    <row r="20" spans="8:10" x14ac:dyDescent="0.25">
      <c r="H20">
        <v>16</v>
      </c>
      <c r="I20">
        <f t="shared" si="0"/>
        <v>256</v>
      </c>
      <c r="J20">
        <f t="shared" si="1"/>
        <v>16</v>
      </c>
    </row>
    <row r="21" spans="8:10" x14ac:dyDescent="0.25">
      <c r="H21">
        <v>17</v>
      </c>
      <c r="I21">
        <f t="shared" si="0"/>
        <v>272</v>
      </c>
      <c r="J21">
        <f t="shared" si="1"/>
        <v>17</v>
      </c>
    </row>
    <row r="22" spans="8:10" x14ac:dyDescent="0.25">
      <c r="H22">
        <v>18</v>
      </c>
      <c r="I22">
        <f t="shared" si="0"/>
        <v>288</v>
      </c>
      <c r="J22">
        <f t="shared" si="1"/>
        <v>18</v>
      </c>
    </row>
    <row r="23" spans="8:10" x14ac:dyDescent="0.25">
      <c r="H23">
        <v>19</v>
      </c>
      <c r="I23">
        <f t="shared" si="0"/>
        <v>304</v>
      </c>
      <c r="J23">
        <f t="shared" si="1"/>
        <v>19</v>
      </c>
    </row>
    <row r="24" spans="8:10" x14ac:dyDescent="0.25">
      <c r="H24">
        <v>20</v>
      </c>
      <c r="I24">
        <f t="shared" si="0"/>
        <v>320</v>
      </c>
      <c r="J24">
        <f t="shared" si="1"/>
        <v>20</v>
      </c>
    </row>
    <row r="25" spans="8:10" x14ac:dyDescent="0.25">
      <c r="H25">
        <v>21</v>
      </c>
      <c r="I25">
        <f t="shared" si="0"/>
        <v>336</v>
      </c>
      <c r="J25">
        <f t="shared" si="1"/>
        <v>21</v>
      </c>
    </row>
    <row r="26" spans="8:10" x14ac:dyDescent="0.25">
      <c r="H26">
        <v>22</v>
      </c>
      <c r="I26">
        <f t="shared" si="0"/>
        <v>352</v>
      </c>
      <c r="J26">
        <f t="shared" si="1"/>
        <v>22</v>
      </c>
    </row>
    <row r="27" spans="8:10" x14ac:dyDescent="0.25">
      <c r="H27">
        <v>23</v>
      </c>
      <c r="I27">
        <f t="shared" si="0"/>
        <v>368</v>
      </c>
      <c r="J27">
        <f t="shared" si="1"/>
        <v>23</v>
      </c>
    </row>
    <row r="28" spans="8:10" x14ac:dyDescent="0.25">
      <c r="H28">
        <v>24</v>
      </c>
      <c r="I28">
        <f t="shared" si="0"/>
        <v>384</v>
      </c>
      <c r="J28">
        <f t="shared" si="1"/>
        <v>24</v>
      </c>
    </row>
    <row r="29" spans="8:10" x14ac:dyDescent="0.25">
      <c r="H29">
        <v>25</v>
      </c>
      <c r="I29">
        <f t="shared" si="0"/>
        <v>400</v>
      </c>
      <c r="J29">
        <f t="shared" si="1"/>
        <v>25</v>
      </c>
    </row>
    <row r="30" spans="8:10" x14ac:dyDescent="0.25">
      <c r="H30">
        <v>26</v>
      </c>
      <c r="I30">
        <f t="shared" si="0"/>
        <v>416</v>
      </c>
      <c r="J30">
        <f t="shared" si="1"/>
        <v>26</v>
      </c>
    </row>
    <row r="31" spans="8:10" x14ac:dyDescent="0.25">
      <c r="H31">
        <v>27</v>
      </c>
      <c r="I31">
        <f t="shared" si="0"/>
        <v>432</v>
      </c>
      <c r="J31">
        <f t="shared" si="1"/>
        <v>27</v>
      </c>
    </row>
    <row r="32" spans="8:10" x14ac:dyDescent="0.25">
      <c r="H32">
        <v>28</v>
      </c>
      <c r="I32">
        <f t="shared" si="0"/>
        <v>448</v>
      </c>
      <c r="J32">
        <f t="shared" si="1"/>
        <v>28</v>
      </c>
    </row>
    <row r="33" spans="8:10" x14ac:dyDescent="0.25">
      <c r="H33">
        <v>29</v>
      </c>
      <c r="I33">
        <f t="shared" si="0"/>
        <v>464</v>
      </c>
      <c r="J33">
        <f t="shared" si="1"/>
        <v>29</v>
      </c>
    </row>
    <row r="34" spans="8:10" x14ac:dyDescent="0.25">
      <c r="H34">
        <v>30</v>
      </c>
      <c r="I34">
        <f t="shared" si="0"/>
        <v>480</v>
      </c>
      <c r="J34">
        <f t="shared" si="1"/>
        <v>30</v>
      </c>
    </row>
    <row r="35" spans="8:10" x14ac:dyDescent="0.25">
      <c r="H35">
        <v>31</v>
      </c>
      <c r="I35">
        <f t="shared" si="0"/>
        <v>496</v>
      </c>
      <c r="J35">
        <f t="shared" si="1"/>
        <v>31</v>
      </c>
    </row>
    <row r="36" spans="8:10" x14ac:dyDescent="0.25">
      <c r="H36">
        <v>32</v>
      </c>
      <c r="I36">
        <f t="shared" si="0"/>
        <v>512</v>
      </c>
      <c r="J36">
        <f t="shared" si="1"/>
        <v>32</v>
      </c>
    </row>
    <row r="37" spans="8:10" x14ac:dyDescent="0.25">
      <c r="H37">
        <v>33</v>
      </c>
      <c r="I37">
        <f t="shared" si="0"/>
        <v>528</v>
      </c>
      <c r="J37">
        <f t="shared" si="1"/>
        <v>33</v>
      </c>
    </row>
    <row r="38" spans="8:10" x14ac:dyDescent="0.25">
      <c r="H38">
        <v>34</v>
      </c>
      <c r="I38">
        <f t="shared" si="0"/>
        <v>544</v>
      </c>
      <c r="J38">
        <f t="shared" si="1"/>
        <v>34</v>
      </c>
    </row>
    <row r="39" spans="8:10" x14ac:dyDescent="0.25">
      <c r="H39">
        <v>35</v>
      </c>
      <c r="I39">
        <f t="shared" si="0"/>
        <v>560</v>
      </c>
      <c r="J39">
        <f t="shared" si="1"/>
        <v>35</v>
      </c>
    </row>
    <row r="40" spans="8:10" x14ac:dyDescent="0.25">
      <c r="H40">
        <v>36</v>
      </c>
      <c r="I40">
        <f t="shared" si="0"/>
        <v>576</v>
      </c>
      <c r="J40">
        <f t="shared" si="1"/>
        <v>36</v>
      </c>
    </row>
    <row r="41" spans="8:10" x14ac:dyDescent="0.25">
      <c r="H41">
        <v>37</v>
      </c>
      <c r="I41">
        <f t="shared" si="0"/>
        <v>592</v>
      </c>
      <c r="J41">
        <f t="shared" si="1"/>
        <v>37</v>
      </c>
    </row>
    <row r="42" spans="8:10" x14ac:dyDescent="0.25">
      <c r="H42">
        <v>38</v>
      </c>
      <c r="I42">
        <f t="shared" si="0"/>
        <v>608</v>
      </c>
      <c r="J42">
        <f t="shared" si="1"/>
        <v>38</v>
      </c>
    </row>
    <row r="43" spans="8:10" x14ac:dyDescent="0.25">
      <c r="H43">
        <v>39</v>
      </c>
      <c r="I43">
        <f t="shared" si="0"/>
        <v>624</v>
      </c>
      <c r="J43">
        <f t="shared" si="1"/>
        <v>39</v>
      </c>
    </row>
    <row r="44" spans="8:10" x14ac:dyDescent="0.25">
      <c r="H44">
        <v>40</v>
      </c>
      <c r="I44">
        <f t="shared" si="0"/>
        <v>640</v>
      </c>
      <c r="J44">
        <f t="shared" si="1"/>
        <v>40</v>
      </c>
    </row>
  </sheetData>
  <conditionalFormatting sqref="Q37:R40">
    <cfRule type="cellIs" priority="1" operator="between">
      <formula>$D$2</formula>
      <formula>$D$3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N1:BM83"/>
  <sheetViews>
    <sheetView topLeftCell="J21" workbookViewId="0">
      <selection activeCell="W44" sqref="W44"/>
    </sheetView>
  </sheetViews>
  <sheetFormatPr baseColWidth="10" defaultColWidth="11.42578125" defaultRowHeight="15.75" x14ac:dyDescent="0.25"/>
  <cols>
    <col min="1" max="14" width="11.42578125" style="6" customWidth="1"/>
    <col min="15" max="15" width="2.5703125" style="5" customWidth="1"/>
    <col min="16" max="16" width="7" style="5" bestFit="1" customWidth="1"/>
    <col min="17" max="18" width="15.85546875" style="5" customWidth="1"/>
    <col min="19" max="19" width="13.28515625" style="5" customWidth="1"/>
    <col min="20" max="20" width="7" style="5" bestFit="1" customWidth="1"/>
    <col min="21" max="22" width="15.85546875" style="5" customWidth="1"/>
    <col min="23" max="23" width="13.28515625" style="5" customWidth="1"/>
    <col min="24" max="24" width="14.140625" style="5" bestFit="1" customWidth="1"/>
    <col min="25" max="25" width="6.28515625" style="5" customWidth="1"/>
    <col min="26" max="26" width="14" style="5" bestFit="1" customWidth="1"/>
    <col min="27" max="27" width="2.140625" style="5" customWidth="1"/>
    <col min="28" max="28" width="2.7109375" style="6" hidden="1" customWidth="1"/>
    <col min="29" max="29" width="4.42578125" style="7" hidden="1" customWidth="1"/>
    <col min="30" max="30" width="5.140625" style="7" hidden="1" customWidth="1"/>
    <col min="31" max="31" width="10" style="7" hidden="1" customWidth="1"/>
    <col min="32" max="32" width="6" style="7" hidden="1" customWidth="1"/>
    <col min="33" max="33" width="11.28515625" style="7" hidden="1" customWidth="1"/>
    <col min="34" max="34" width="7.28515625" style="6" hidden="1" customWidth="1"/>
    <col min="35" max="35" width="32.140625" style="42" hidden="1" customWidth="1"/>
    <col min="36" max="36" width="9.5703125" style="42" hidden="1" customWidth="1"/>
    <col min="37" max="37" width="11.140625" style="42" hidden="1" customWidth="1"/>
    <col min="38" max="38" width="14.5703125" style="42" hidden="1" customWidth="1"/>
    <col min="39" max="39" width="6" style="42" hidden="1" customWidth="1"/>
    <col min="40" max="41" width="11" style="42" hidden="1" customWidth="1"/>
    <col min="42" max="42" width="14.5703125" style="42" hidden="1" customWidth="1"/>
    <col min="43" max="43" width="11.7109375" style="42" hidden="1" customWidth="1"/>
    <col min="44" max="44" width="14.5703125" style="42" hidden="1" customWidth="1"/>
    <col min="45" max="45" width="9.7109375" style="42" hidden="1" customWidth="1"/>
    <col min="46" max="46" width="32.140625" style="42" hidden="1" customWidth="1"/>
    <col min="47" max="47" width="7.5703125" style="42" hidden="1" customWidth="1"/>
    <col min="48" max="48" width="12.42578125" style="49" hidden="1" customWidth="1"/>
    <col min="49" max="49" width="9.42578125" style="49" hidden="1" customWidth="1"/>
    <col min="50" max="50" width="13.7109375" style="6" hidden="1" customWidth="1"/>
    <col min="51" max="51" width="3.140625" style="6" hidden="1" customWidth="1"/>
    <col min="52" max="52" width="5.140625" style="6" hidden="1" customWidth="1"/>
    <col min="53" max="53" width="10" style="6" hidden="1" customWidth="1"/>
    <col min="54" max="54" width="6" style="6" hidden="1" customWidth="1"/>
    <col min="55" max="55" width="11.28515625" style="6" hidden="1" customWidth="1"/>
    <col min="56" max="65" width="11.42578125" style="6" hidden="1" customWidth="1"/>
    <col min="66" max="66" width="11.42578125" style="6" customWidth="1"/>
    <col min="67" max="16384" width="11.42578125" style="6"/>
  </cols>
  <sheetData>
    <row r="1" hidden="1" x14ac:dyDescent="0.25"/>
    <row r="2" hidden="1" x14ac:dyDescent="0.25"/>
    <row r="3" hidden="1" x14ac:dyDescent="0.25"/>
    <row r="4" hidden="1" x14ac:dyDescent="0.25"/>
    <row r="5" hidden="1" x14ac:dyDescent="0.25"/>
    <row r="6" hidden="1" x14ac:dyDescent="0.25"/>
    <row r="7" hidden="1" x14ac:dyDescent="0.25"/>
    <row r="8" hidden="1" x14ac:dyDescent="0.25"/>
    <row r="9" hidden="1" x14ac:dyDescent="0.25"/>
    <row r="10" hidden="1" x14ac:dyDescent="0.25"/>
    <row r="11" hidden="1" x14ac:dyDescent="0.25"/>
    <row r="12" hidden="1" x14ac:dyDescent="0.25"/>
    <row r="13" hidden="1" x14ac:dyDescent="0.25"/>
    <row r="14" hidden="1" x14ac:dyDescent="0.25"/>
    <row r="15" hidden="1" x14ac:dyDescent="0.25"/>
    <row r="16" hidden="1" x14ac:dyDescent="0.25"/>
    <row r="17" spans="16:64" hidden="1" x14ac:dyDescent="0.25"/>
    <row r="18" spans="16:64" hidden="1" x14ac:dyDescent="0.25"/>
    <row r="19" spans="16:64" hidden="1" x14ac:dyDescent="0.25"/>
    <row r="20" spans="16:64" hidden="1" x14ac:dyDescent="0.25"/>
    <row r="21" spans="16:64" x14ac:dyDescent="0.25">
      <c r="P21" s="8"/>
      <c r="Q21" s="213" t="s">
        <v>19</v>
      </c>
      <c r="R21" s="214"/>
      <c r="S21" s="214"/>
      <c r="T21" s="214"/>
      <c r="U21" s="214"/>
      <c r="V21" s="214"/>
      <c r="W21" s="214"/>
      <c r="X21" s="214"/>
      <c r="Y21" s="214"/>
      <c r="Z21" s="8"/>
      <c r="AI21" s="43" t="s">
        <v>53</v>
      </c>
      <c r="AJ21" s="43" t="s">
        <v>0</v>
      </c>
      <c r="AK21" s="43" t="s">
        <v>2</v>
      </c>
      <c r="AL21" s="43" t="s">
        <v>3</v>
      </c>
      <c r="AM21" s="43" t="s">
        <v>42</v>
      </c>
      <c r="AN21" s="43" t="s">
        <v>56</v>
      </c>
      <c r="AO21" s="43" t="s">
        <v>29</v>
      </c>
      <c r="AP21" s="43" t="s">
        <v>57</v>
      </c>
      <c r="AQ21" s="43" t="s">
        <v>58</v>
      </c>
      <c r="AR21" s="43" t="s">
        <v>59</v>
      </c>
      <c r="AS21" s="43" t="s">
        <v>60</v>
      </c>
      <c r="AT21" s="7" t="s">
        <v>61</v>
      </c>
      <c r="AU21" s="7" t="s">
        <v>62</v>
      </c>
      <c r="AV21" s="7" t="s">
        <v>63</v>
      </c>
      <c r="AW21" s="7" t="s">
        <v>64</v>
      </c>
      <c r="AX21" s="7" t="s">
        <v>65</v>
      </c>
      <c r="AY21" s="7" t="s">
        <v>14</v>
      </c>
      <c r="AZ21" s="7" t="s">
        <v>13</v>
      </c>
      <c r="BA21" s="7" t="s">
        <v>8</v>
      </c>
      <c r="BB21" s="7" t="s">
        <v>15</v>
      </c>
      <c r="BC21" s="7" t="s">
        <v>16</v>
      </c>
      <c r="BD21" s="7" t="s">
        <v>66</v>
      </c>
      <c r="BE21" s="43" t="s">
        <v>71</v>
      </c>
      <c r="BF21" s="43" t="s">
        <v>72</v>
      </c>
      <c r="BG21" s="43" t="s">
        <v>74</v>
      </c>
      <c r="BH21" s="43" t="s">
        <v>73</v>
      </c>
      <c r="BI21" s="43" t="s">
        <v>75</v>
      </c>
      <c r="BJ21" s="43" t="s">
        <v>76</v>
      </c>
      <c r="BK21" s="43" t="s">
        <v>77</v>
      </c>
      <c r="BL21" s="43" t="s">
        <v>78</v>
      </c>
    </row>
    <row r="22" spans="16:64" x14ac:dyDescent="0.25">
      <c r="P22" s="8"/>
      <c r="Q22" s="214"/>
      <c r="R22" s="214"/>
      <c r="S22" s="214"/>
      <c r="T22" s="214"/>
      <c r="U22" s="214"/>
      <c r="V22" s="214"/>
      <c r="W22" s="214"/>
      <c r="X22" s="214"/>
      <c r="Y22" s="214"/>
      <c r="Z22" s="8"/>
      <c r="AI22" s="43" t="str">
        <f>CONCATENATE(R31,";",R33,";",U31)</f>
        <v>44905;Nuit;ThomasNau N.</v>
      </c>
      <c r="AJ22" s="44">
        <f>R31</f>
        <v>44905</v>
      </c>
      <c r="AK22" s="43" t="str">
        <f>R33</f>
        <v>Nuit</v>
      </c>
      <c r="AL22" s="43" t="str">
        <f>U31</f>
        <v>ThomasNau N.</v>
      </c>
      <c r="AM22" s="43">
        <f>U33</f>
        <v>480</v>
      </c>
      <c r="AN22" s="43">
        <f>Z44</f>
        <v>30</v>
      </c>
      <c r="AO22" s="43">
        <f>Y31</f>
        <v>810</v>
      </c>
      <c r="AP22" s="43">
        <f>Y36</f>
        <v>26</v>
      </c>
      <c r="AQ22" s="43">
        <f>Y37</f>
        <v>5</v>
      </c>
      <c r="AR22" s="43">
        <f>Z36</f>
        <v>9984</v>
      </c>
      <c r="AS22" s="43">
        <f>Z37</f>
        <v>1794</v>
      </c>
      <c r="AT22" s="43">
        <f>Z38</f>
        <v>3384</v>
      </c>
      <c r="AU22" s="43">
        <f>Z39</f>
        <v>0</v>
      </c>
      <c r="AV22" s="43">
        <f>Z40</f>
        <v>0</v>
      </c>
      <c r="AW22" s="43">
        <f>Z41</f>
        <v>0</v>
      </c>
      <c r="AX22" s="43">
        <f>Z42</f>
        <v>1038</v>
      </c>
      <c r="AY22" s="43">
        <f>Y38</f>
        <v>4</v>
      </c>
      <c r="AZ22" s="43">
        <f>Y39</f>
        <v>0</v>
      </c>
      <c r="BA22" s="43">
        <f>Y40</f>
        <v>0</v>
      </c>
      <c r="BB22" s="43">
        <f>Y41</f>
        <v>0</v>
      </c>
      <c r="BC22" s="43">
        <f>Y42</f>
        <v>1</v>
      </c>
      <c r="BD22" s="43">
        <f>X45</f>
        <v>86.7</v>
      </c>
      <c r="BE22" s="43" t="str">
        <f>S37</f>
        <v>23;4;21</v>
      </c>
      <c r="BF22" s="43" t="str">
        <f>S38</f>
        <v>29;15;31</v>
      </c>
      <c r="BG22" s="43" t="str">
        <f>S39</f>
        <v>32;22;31</v>
      </c>
      <c r="BH22" s="43" t="str">
        <f>S40</f>
        <v/>
      </c>
      <c r="BI22" s="43" t="str">
        <f>W37</f>
        <v>122;3;NC Droite</v>
      </c>
      <c r="BJ22" s="43" t="str">
        <f>W38</f>
        <v>301;4;OK</v>
      </c>
      <c r="BK22" s="43" t="str">
        <f>W39</f>
        <v>302;23;OK</v>
      </c>
      <c r="BL22" s="43" t="str">
        <f>W40</f>
        <v/>
      </c>
    </row>
    <row r="23" spans="16:64" x14ac:dyDescent="0.25">
      <c r="P23" s="8"/>
      <c r="Q23" s="214"/>
      <c r="R23" s="214"/>
      <c r="S23" s="214"/>
      <c r="T23" s="214"/>
      <c r="U23" s="214"/>
      <c r="V23" s="214"/>
      <c r="W23" s="214"/>
      <c r="X23" s="214"/>
      <c r="Y23" s="214"/>
      <c r="Z23" s="8"/>
      <c r="AI23" s="43"/>
    </row>
    <row r="24" spans="16:64" ht="16.5" thickBot="1" x14ac:dyDescent="0.3">
      <c r="P24" s="8"/>
      <c r="Q24" s="215"/>
      <c r="R24" s="215"/>
      <c r="S24" s="215"/>
      <c r="T24" s="215"/>
      <c r="U24" s="215"/>
      <c r="V24" s="215"/>
      <c r="W24" s="215"/>
      <c r="X24" s="215"/>
      <c r="Y24" s="215"/>
      <c r="Z24" s="8"/>
      <c r="AI24" s="43" t="s">
        <v>85</v>
      </c>
    </row>
    <row r="25" spans="16:64" ht="16.5" thickTop="1" x14ac:dyDescent="0.25">
      <c r="P25" s="8"/>
      <c r="Q25" s="8"/>
      <c r="R25" s="216" t="s">
        <v>20</v>
      </c>
      <c r="S25" s="217"/>
      <c r="T25" s="217"/>
      <c r="U25" s="217"/>
      <c r="V25" s="217"/>
      <c r="W25" s="217"/>
      <c r="X25" s="217"/>
      <c r="Y25" s="207"/>
      <c r="Z25" s="206"/>
      <c r="AI25" s="43">
        <f>COUNTIF(data_TRS!A:A,Prod!AI22)</f>
        <v>1</v>
      </c>
    </row>
    <row r="26" spans="16:64" x14ac:dyDescent="0.25">
      <c r="P26" s="8"/>
      <c r="Q26" s="8"/>
      <c r="R26" s="218"/>
      <c r="S26" s="218"/>
      <c r="T26" s="218"/>
      <c r="U26" s="218"/>
      <c r="V26" s="218"/>
      <c r="W26" s="218"/>
      <c r="X26" s="218"/>
      <c r="Y26" s="206"/>
      <c r="Z26" s="206"/>
      <c r="AI26" s="43"/>
    </row>
    <row r="27" spans="16:64" x14ac:dyDescent="0.25">
      <c r="P27" s="8"/>
      <c r="Q27" s="8"/>
      <c r="R27" s="218"/>
      <c r="S27" s="218"/>
      <c r="T27" s="218"/>
      <c r="U27" s="218"/>
      <c r="V27" s="218"/>
      <c r="W27" s="218"/>
      <c r="X27" s="218"/>
      <c r="Y27" s="206"/>
      <c r="Z27" s="206"/>
      <c r="AI27" s="43" t="s">
        <v>122</v>
      </c>
    </row>
    <row r="28" spans="16:64" ht="16.5" thickBot="1" x14ac:dyDescent="0.25">
      <c r="P28" s="50"/>
      <c r="Q28" s="81" t="s">
        <v>129</v>
      </c>
      <c r="R28" s="219"/>
      <c r="S28" s="219"/>
      <c r="T28" s="219"/>
      <c r="U28" s="219"/>
      <c r="V28" s="219"/>
      <c r="W28" s="219"/>
      <c r="X28" s="219"/>
      <c r="Y28" s="220" t="s">
        <v>21</v>
      </c>
      <c r="Z28" s="221"/>
      <c r="AI28" s="43">
        <f>MAX(AH:AH)</f>
        <v>0</v>
      </c>
    </row>
    <row r="29" spans="16:64" x14ac:dyDescent="0.25">
      <c r="P29" s="51"/>
      <c r="Q29" s="52" t="s">
        <v>30</v>
      </c>
      <c r="R29" s="219"/>
      <c r="S29" s="219"/>
      <c r="T29" s="219"/>
      <c r="U29" s="219"/>
      <c r="V29" s="219"/>
      <c r="W29" s="219"/>
      <c r="X29" s="219"/>
      <c r="Y29" s="222" t="s">
        <v>22</v>
      </c>
      <c r="Z29" s="223"/>
      <c r="AI29" s="43"/>
    </row>
    <row r="30" spans="16:64" ht="16.5" thickBot="1" x14ac:dyDescent="0.3">
      <c r="AI30" s="43"/>
    </row>
    <row r="31" spans="16:64" ht="16.5" thickBot="1" x14ac:dyDescent="0.3">
      <c r="Q31" s="4" t="s">
        <v>0</v>
      </c>
      <c r="R31" s="9">
        <v>44905</v>
      </c>
      <c r="T31" s="4" t="s">
        <v>83</v>
      </c>
      <c r="U31" s="10" t="s">
        <v>89</v>
      </c>
      <c r="X31" s="4" t="s">
        <v>29</v>
      </c>
      <c r="Y31" s="10">
        <v>810</v>
      </c>
      <c r="AI31" s="43"/>
    </row>
    <row r="32" spans="16:64" ht="16.5" thickBot="1" x14ac:dyDescent="0.25">
      <c r="Q32" s="56" t="str">
        <f>IF(R32&lt;&gt;"","num jour","")</f>
        <v>num jour</v>
      </c>
      <c r="R32" s="57">
        <f>IF(R31&lt;&gt;"",R31-DATE(YEAR(R31),1,1)+1,"")</f>
        <v>344</v>
      </c>
      <c r="T32" s="4"/>
      <c r="V32" s="87" t="str">
        <f>IF(U33&lt;&gt;"","soit","")</f>
        <v>soit</v>
      </c>
      <c r="X32" s="59" t="s">
        <v>124</v>
      </c>
      <c r="Y32" s="45">
        <f>data!D7</f>
        <v>380</v>
      </c>
      <c r="AI32" s="43"/>
    </row>
    <row r="33" spans="14:49" ht="16.5" thickBot="1" x14ac:dyDescent="0.3">
      <c r="Q33" s="4" t="s">
        <v>2</v>
      </c>
      <c r="R33" s="10" t="s">
        <v>40</v>
      </c>
      <c r="T33" s="4" t="s">
        <v>42</v>
      </c>
      <c r="U33" s="10">
        <v>480</v>
      </c>
      <c r="V33" s="88">
        <f>IF(U33&lt;&gt;"",U33/(24*60),"")</f>
        <v>0.33333333333333331</v>
      </c>
      <c r="X33" s="60" t="s">
        <v>125</v>
      </c>
      <c r="Y33" s="46">
        <f>data!D8</f>
        <v>400</v>
      </c>
      <c r="AI33" s="43"/>
    </row>
    <row r="34" spans="14:49" x14ac:dyDescent="0.25">
      <c r="Q34" s="4"/>
      <c r="V34" s="89" t="str">
        <f>IF(V33&lt;&gt;"","heures","")</f>
        <v>heures</v>
      </c>
      <c r="AI34" s="43"/>
    </row>
    <row r="35" spans="14:49" x14ac:dyDescent="0.25">
      <c r="P35" s="205" t="s">
        <v>4</v>
      </c>
      <c r="Q35" s="205"/>
      <c r="R35" s="205"/>
      <c r="T35" s="205" t="s">
        <v>6</v>
      </c>
      <c r="U35" s="205"/>
      <c r="V35" s="205"/>
      <c r="X35" s="205" t="s">
        <v>9</v>
      </c>
      <c r="Y35" s="205"/>
      <c r="Z35" s="205"/>
      <c r="AI35" s="43"/>
    </row>
    <row r="36" spans="14:49" x14ac:dyDescent="0.25">
      <c r="P36" s="11" t="s">
        <v>5</v>
      </c>
      <c r="Q36" s="12" t="s">
        <v>79</v>
      </c>
      <c r="R36" s="13" t="s">
        <v>80</v>
      </c>
      <c r="T36" s="11" t="s">
        <v>5</v>
      </c>
      <c r="U36" s="12" t="s">
        <v>7</v>
      </c>
      <c r="V36" s="13" t="s">
        <v>8</v>
      </c>
      <c r="X36" s="14" t="s">
        <v>10</v>
      </c>
      <c r="Y36" s="14">
        <f>COUNT(T43:T83)</f>
        <v>26</v>
      </c>
      <c r="Z36" s="3">
        <f>SUM(T43:T83)</f>
        <v>9984</v>
      </c>
      <c r="AI36" s="43"/>
    </row>
    <row r="37" spans="14:49" x14ac:dyDescent="0.25">
      <c r="P37" s="15">
        <v>4</v>
      </c>
      <c r="Q37" s="16">
        <v>23</v>
      </c>
      <c r="R37" s="17">
        <v>21</v>
      </c>
      <c r="S37" s="53" t="str">
        <f>IF(P37&lt;&gt;"",CONCATENATE(Q37,";",P37,";",R37),"")</f>
        <v>23;4;21</v>
      </c>
      <c r="T37" s="15">
        <v>3</v>
      </c>
      <c r="U37" s="16">
        <v>122</v>
      </c>
      <c r="V37" s="17" t="s">
        <v>82</v>
      </c>
      <c r="W37" s="53" t="str">
        <f>IF(T37&lt;&gt;"",CONCATENATE(U37,";",T37,";",V37),"")</f>
        <v>122;3;NC Droite</v>
      </c>
      <c r="X37" s="18" t="s">
        <v>11</v>
      </c>
      <c r="Y37" s="18">
        <f>COUNT(U43:U83)</f>
        <v>5</v>
      </c>
      <c r="Z37" s="58">
        <f>SUM(U43:U83)</f>
        <v>1794</v>
      </c>
      <c r="AI37" s="43"/>
    </row>
    <row r="38" spans="14:49" x14ac:dyDescent="0.25">
      <c r="P38" s="15">
        <v>15</v>
      </c>
      <c r="Q38" s="16">
        <v>29</v>
      </c>
      <c r="R38" s="17">
        <v>31</v>
      </c>
      <c r="S38" s="53" t="str">
        <f>IF(P38&lt;&gt;"",CONCATENATE(Q38,";",P38,";",R38),"")</f>
        <v>29;15;31</v>
      </c>
      <c r="T38" s="15">
        <v>4</v>
      </c>
      <c r="U38" s="16">
        <v>301</v>
      </c>
      <c r="V38" s="17" t="s">
        <v>10</v>
      </c>
      <c r="W38" s="53" t="str">
        <f>IF(T38&lt;&gt;"",CONCATENATE(U38,";",T38,";",V38),"")</f>
        <v>301;4;OK</v>
      </c>
      <c r="X38" s="2" t="str">
        <f>data!A2</f>
        <v>Fil</v>
      </c>
      <c r="Y38" s="58">
        <f>COUNTIF(S$43:S$83,X38)</f>
        <v>4</v>
      </c>
      <c r="Z38" s="58">
        <f>SUM(AC:AC)</f>
        <v>3384</v>
      </c>
      <c r="AI38" s="43"/>
    </row>
    <row r="39" spans="14:49" x14ac:dyDescent="0.25">
      <c r="P39" s="15">
        <v>22</v>
      </c>
      <c r="Q39" s="16">
        <v>32</v>
      </c>
      <c r="R39" s="17">
        <v>31</v>
      </c>
      <c r="S39" s="53" t="str">
        <f>IF(P39&lt;&gt;"",CONCATENATE(Q39,";",P39,";",R39),"")</f>
        <v>32;22;31</v>
      </c>
      <c r="T39" s="15">
        <v>23</v>
      </c>
      <c r="U39" s="16">
        <v>302</v>
      </c>
      <c r="V39" s="17" t="s">
        <v>10</v>
      </c>
      <c r="W39" s="53" t="str">
        <f>IF(T39&lt;&gt;"",CONCATENATE(U39,";",T39,";",V39),"")</f>
        <v>302;23;OK</v>
      </c>
      <c r="X39" s="2" t="str">
        <f>data!A3</f>
        <v>Trou</v>
      </c>
      <c r="Y39" s="58">
        <f>COUNTIF(S$43:S$83,X39)</f>
        <v>0</v>
      </c>
      <c r="Z39" s="58">
        <f>SUM(AD:AD)</f>
        <v>0</v>
      </c>
      <c r="AI39" s="43"/>
    </row>
    <row r="40" spans="14:49" x14ac:dyDescent="0.25">
      <c r="P40" s="19"/>
      <c r="Q40" s="20"/>
      <c r="R40" s="21"/>
      <c r="S40" s="53" t="str">
        <f>IF(P40&lt;&gt;"",CONCATENATE(Q40,";",P40,";",R40),"")</f>
        <v/>
      </c>
      <c r="T40" s="19"/>
      <c r="U40" s="20"/>
      <c r="V40" s="21"/>
      <c r="W40" s="53" t="str">
        <f>IF(T40&lt;&gt;"",CONCATENATE(U40,";",T40,";",V40),"")</f>
        <v/>
      </c>
      <c r="X40" s="2" t="str">
        <f>data!A4</f>
        <v>Epaisseur</v>
      </c>
      <c r="Y40" s="58">
        <f>COUNTIF(S$43:S$83,X40)</f>
        <v>0</v>
      </c>
      <c r="Z40" s="58">
        <f>SUM(AE:AE)</f>
        <v>0</v>
      </c>
      <c r="AI40" s="43">
        <f>COUNT(AI43:AI83)</f>
        <v>31</v>
      </c>
    </row>
    <row r="41" spans="14:49" x14ac:dyDescent="0.25">
      <c r="X41" s="2" t="str">
        <f>data!A5</f>
        <v>Autre</v>
      </c>
      <c r="Y41" s="58">
        <f>COUNTIF(S$43:S$83,X41)</f>
        <v>0</v>
      </c>
      <c r="Z41" s="58">
        <f>SUM(AF:AF)</f>
        <v>0</v>
      </c>
      <c r="AI41" s="43" t="s">
        <v>43</v>
      </c>
    </row>
    <row r="42" spans="14:49" ht="18.75" x14ac:dyDescent="0.25">
      <c r="P42" s="55"/>
      <c r="Q42" s="84" t="s">
        <v>23</v>
      </c>
      <c r="R42" s="84" t="s">
        <v>24</v>
      </c>
      <c r="S42" s="85" t="s">
        <v>25</v>
      </c>
      <c r="T42" s="86" t="s">
        <v>10</v>
      </c>
      <c r="U42" s="85" t="s">
        <v>26</v>
      </c>
      <c r="V42" s="55"/>
      <c r="X42" s="2" t="str">
        <f>data!A6</f>
        <v>Démarrage</v>
      </c>
      <c r="Y42" s="58">
        <f>COUNTIF(S$43:S$83,X42)</f>
        <v>1</v>
      </c>
      <c r="Z42" s="58">
        <f>SUM(AG:AG)</f>
        <v>1038</v>
      </c>
      <c r="AC42" s="7" t="s">
        <v>14</v>
      </c>
      <c r="AD42" s="7" t="s">
        <v>13</v>
      </c>
      <c r="AE42" s="7" t="s">
        <v>8</v>
      </c>
      <c r="AF42" s="7" t="s">
        <v>15</v>
      </c>
      <c r="AG42" s="7" t="s">
        <v>16</v>
      </c>
      <c r="AI42" s="43" t="s">
        <v>1</v>
      </c>
      <c r="AJ42" s="43" t="s">
        <v>44</v>
      </c>
      <c r="AK42" s="43" t="s">
        <v>55</v>
      </c>
      <c r="AL42" s="43" t="s">
        <v>45</v>
      </c>
      <c r="AM42" s="43" t="s">
        <v>46</v>
      </c>
      <c r="AN42" s="43" t="s">
        <v>47</v>
      </c>
      <c r="AO42" s="43" t="s">
        <v>48</v>
      </c>
      <c r="AP42" s="43" t="s">
        <v>49</v>
      </c>
      <c r="AQ42" s="43" t="s">
        <v>51</v>
      </c>
      <c r="AR42" s="43" t="s">
        <v>3</v>
      </c>
      <c r="AS42" s="43" t="s">
        <v>52</v>
      </c>
      <c r="AT42" s="43" t="s">
        <v>53</v>
      </c>
      <c r="AU42" s="43" t="s">
        <v>2</v>
      </c>
      <c r="AV42" s="43" t="s">
        <v>49</v>
      </c>
      <c r="AW42" s="43" t="s">
        <v>50</v>
      </c>
    </row>
    <row r="43" spans="14:49" ht="18.75" x14ac:dyDescent="0.2">
      <c r="N43" s="6">
        <f>COUNT(T43:T43)</f>
        <v>0</v>
      </c>
      <c r="P43" s="47" t="str">
        <f>IF(T43&lt;&gt;"",SUM(N$42:N43),"")</f>
        <v/>
      </c>
      <c r="Q43" s="23">
        <v>654</v>
      </c>
      <c r="R43" s="24">
        <v>1038</v>
      </c>
      <c r="S43" s="25" t="s">
        <v>27</v>
      </c>
      <c r="T43" s="26" t="str">
        <f>IF(R43&lt;&gt;"",IF(S43="",IF(Q43&lt;&gt;"",R43-Q43,R43),""),"")</f>
        <v/>
      </c>
      <c r="U43" s="27">
        <f>IF(R43&lt;&gt;"",IF(S43&lt;&gt;"",IF(Q43&lt;&gt;"",R43-Q43,R43),""),"")</f>
        <v>384</v>
      </c>
      <c r="V43" s="28"/>
      <c r="Z43" s="45" t="s">
        <v>70</v>
      </c>
      <c r="AC43" s="7" t="str">
        <f t="shared" ref="AC43:AG52" si="0">IF($S43=AC$42,$R43,"")</f>
        <v/>
      </c>
      <c r="AD43" s="7" t="str">
        <f t="shared" si="0"/>
        <v/>
      </c>
      <c r="AE43" s="7" t="str">
        <f t="shared" si="0"/>
        <v/>
      </c>
      <c r="AF43" s="7" t="str">
        <f t="shared" si="0"/>
        <v/>
      </c>
      <c r="AG43" s="7">
        <f t="shared" si="0"/>
        <v>1038</v>
      </c>
      <c r="AH43" s="6" t="str">
        <f>IF(AND(Q43&lt;&gt;"",R43=""),Q43,"")</f>
        <v/>
      </c>
      <c r="AI43" s="43">
        <f>IF(R43&lt;&gt;"",R$31,"")</f>
        <v>44905</v>
      </c>
      <c r="AJ43" s="43" t="str">
        <f>IF(AI43&lt;&gt;"","F","")</f>
        <v>F</v>
      </c>
      <c r="AK43" s="43" t="str">
        <f>P43</f>
        <v/>
      </c>
      <c r="AL43" s="43" t="str">
        <f>IF(AI43&lt;&gt;"",CONCATENATE(R$32,";",AJ43,";",AK43,";",AU43),"")</f>
        <v>344;F;;N</v>
      </c>
      <c r="AM43" s="43">
        <f>IF(AI43&lt;&gt;"",R43-Q43,"")</f>
        <v>384</v>
      </c>
      <c r="AN43" s="43" t="str">
        <f>IF(S43&lt;&gt;"",S43,"")</f>
        <v>démarrage</v>
      </c>
      <c r="AO43" s="43" t="b">
        <f>IF(AI43&lt;&gt;"",IF(AN43="",TRUE,FALSE),"")</f>
        <v>0</v>
      </c>
      <c r="AP43" s="43"/>
      <c r="AQ43" s="43"/>
      <c r="AR43" s="43" t="str">
        <f>IF(AI43&lt;&gt;"",U$31,"")</f>
        <v>ThomasNau N.</v>
      </c>
      <c r="AS43" s="43">
        <f>IF(AI43&lt;&gt;"",R$32,"")</f>
        <v>344</v>
      </c>
      <c r="AT43" s="43" t="str">
        <f>IF(AI43&lt;&gt;"",AI$22,"")</f>
        <v>44905;Nuit;ThomasNau N.</v>
      </c>
      <c r="AU43" s="43" t="str">
        <f>IF(AI43&lt;&gt;"",LEFT(R$33,1),"")</f>
        <v>N</v>
      </c>
      <c r="AV43" s="41" t="str">
        <f>IF(AK43&lt;&gt;"",IFERROR(VLOOKUP(AK43,P$37:S$40,4,FALSE),""),"")</f>
        <v/>
      </c>
      <c r="AW43" s="41" t="str">
        <f>IF(AK43&lt;&gt;"",IFERROR(VLOOKUP(AK43,T$37:W$40,4,FALSE),""),"")</f>
        <v/>
      </c>
    </row>
    <row r="44" spans="14:49" ht="18.75" x14ac:dyDescent="0.25">
      <c r="N44" s="6">
        <f t="shared" ref="N44:N83" si="1">COUNT(T44:T44)</f>
        <v>1</v>
      </c>
      <c r="P44" s="47">
        <f>IF(T44&lt;&gt;"",SUM(N$42:N44),"")</f>
        <v>1</v>
      </c>
      <c r="Q44" s="29">
        <v>658</v>
      </c>
      <c r="R44" s="30">
        <v>1042</v>
      </c>
      <c r="S44" s="31"/>
      <c r="T44" s="32">
        <f>IF(R44&lt;&gt;"",IF(S44="",IF(Q44&lt;&gt;"",R44-Q44,R44),""),"")</f>
        <v>384</v>
      </c>
      <c r="U44" s="33" t="str">
        <f>IF(R44&lt;&gt;"",IF(S44&lt;&gt;"",IF(Q44&lt;&gt;"",R44-Q44,R44),""),"")</f>
        <v/>
      </c>
      <c r="V44" s="34"/>
      <c r="X44" s="205" t="s">
        <v>17</v>
      </c>
      <c r="Y44" s="212"/>
      <c r="Z44" s="22">
        <f>IF(U33&lt;&gt;"",VLOOKUP(U33,data!I5:J44,2,TRUE),"")</f>
        <v>30</v>
      </c>
      <c r="AC44" s="7" t="str">
        <f t="shared" si="0"/>
        <v/>
      </c>
      <c r="AD44" s="7" t="str">
        <f t="shared" si="0"/>
        <v/>
      </c>
      <c r="AE44" s="7" t="str">
        <f t="shared" si="0"/>
        <v/>
      </c>
      <c r="AF44" s="7" t="str">
        <f t="shared" si="0"/>
        <v/>
      </c>
      <c r="AG44" s="7" t="str">
        <f t="shared" si="0"/>
        <v/>
      </c>
      <c r="AH44" s="6" t="str">
        <f t="shared" ref="AH44:AH83" si="2">IF(AND(Q44&lt;&gt;"",R44=""),Q44,"")</f>
        <v/>
      </c>
      <c r="AI44" s="43">
        <f>IF(R44&lt;&gt;"",R$31,"")</f>
        <v>44905</v>
      </c>
      <c r="AJ44" s="43" t="str">
        <f t="shared" ref="AJ44:AJ83" si="3">IF(AI44&lt;&gt;"","F","")</f>
        <v>F</v>
      </c>
      <c r="AK44" s="43">
        <f>P44</f>
        <v>1</v>
      </c>
      <c r="AL44" s="43" t="str">
        <f t="shared" ref="AL44:AL83" si="4">IF(AI44&lt;&gt;"",CONCATENATE(R$32,";",AJ44,";",AK44,";",AU44),"")</f>
        <v>344;F;1;N</v>
      </c>
      <c r="AM44" s="43">
        <f>IF(AI44&lt;&gt;"",R44-Q44,"")</f>
        <v>384</v>
      </c>
      <c r="AN44" s="43" t="str">
        <f t="shared" ref="AN44:AN52" si="5">IF(S44&lt;&gt;"",S44,"")</f>
        <v/>
      </c>
      <c r="AO44" s="43" t="b">
        <f t="shared" ref="AO44:AO52" si="6">IF(AI44&lt;&gt;"",IF(AN44="",TRUE,FALSE),"")</f>
        <v>1</v>
      </c>
      <c r="AP44" s="43"/>
      <c r="AQ44" s="43"/>
      <c r="AR44" s="43" t="str">
        <f>IF(AI44&lt;&gt;"",U$31,"")</f>
        <v>ThomasNau N.</v>
      </c>
      <c r="AS44" s="43">
        <f>IF(AI44&lt;&gt;"",R$32,"")</f>
        <v>344</v>
      </c>
      <c r="AT44" s="43" t="str">
        <f>IF(AI44&lt;&gt;"",AI$22,"")</f>
        <v>44905;Nuit;ThomasNau N.</v>
      </c>
      <c r="AU44" s="43" t="str">
        <f>IF(AI44&lt;&gt;"",LEFT(R$33,1),"")</f>
        <v>N</v>
      </c>
      <c r="AV44" s="41" t="str">
        <f t="shared" ref="AV44:AV83" si="7">IF(AK44&lt;&gt;"",IFERROR(VLOOKUP(AK44,P$37:S$40,4,FALSE),""),"")</f>
        <v/>
      </c>
      <c r="AW44" s="41" t="str">
        <f t="shared" ref="AW44:AW83" si="8">IF(AK44&lt;&gt;"",IFERROR(VLOOKUP(AK44,T$37:W$40,4,FALSE),""),"")</f>
        <v/>
      </c>
    </row>
    <row r="45" spans="14:49" ht="18.75" x14ac:dyDescent="0.25">
      <c r="N45" s="6">
        <f t="shared" si="1"/>
        <v>1</v>
      </c>
      <c r="P45" s="47">
        <f>IF(T45&lt;&gt;"",SUM(N$42:N45),"")</f>
        <v>2</v>
      </c>
      <c r="Q45" s="29">
        <v>658</v>
      </c>
      <c r="R45" s="30">
        <v>1042</v>
      </c>
      <c r="S45" s="31"/>
      <c r="T45" s="32">
        <f t="shared" ref="T45:T62" si="9">IF(R45&lt;&gt;"",IF(S45="",IF(Q45&lt;&gt;"",R45-Q45,R45),""),"")</f>
        <v>384</v>
      </c>
      <c r="U45" s="33" t="str">
        <f t="shared" ref="U45:U62" si="10">IF(R45&lt;&gt;"",IF(S45&lt;&gt;"",IF(Q45&lt;&gt;"",R45-Q45,R45),""),"")</f>
        <v/>
      </c>
      <c r="V45" s="34"/>
      <c r="X45" s="208">
        <f>IF(U33&lt;&gt;"",ROUND(Y36/Z44*100,1),"")</f>
        <v>86.7</v>
      </c>
      <c r="Y45" s="209"/>
      <c r="Z45" s="210" t="s">
        <v>18</v>
      </c>
      <c r="AC45" s="7" t="str">
        <f t="shared" si="0"/>
        <v/>
      </c>
      <c r="AD45" s="7" t="str">
        <f t="shared" si="0"/>
        <v/>
      </c>
      <c r="AE45" s="7" t="str">
        <f t="shared" si="0"/>
        <v/>
      </c>
      <c r="AF45" s="7" t="str">
        <f t="shared" si="0"/>
        <v/>
      </c>
      <c r="AG45" s="7" t="str">
        <f t="shared" si="0"/>
        <v/>
      </c>
      <c r="AH45" s="6" t="str">
        <f t="shared" si="2"/>
        <v/>
      </c>
      <c r="AI45" s="43">
        <f>IF(R45&lt;&gt;"",R$31,"")</f>
        <v>44905</v>
      </c>
      <c r="AJ45" s="43" t="str">
        <f t="shared" si="3"/>
        <v>F</v>
      </c>
      <c r="AK45" s="43">
        <f>P45</f>
        <v>2</v>
      </c>
      <c r="AL45" s="43" t="str">
        <f t="shared" si="4"/>
        <v>344;F;2;N</v>
      </c>
      <c r="AM45" s="43">
        <f>IF(AI45&lt;&gt;"",R45-Q45,"")</f>
        <v>384</v>
      </c>
      <c r="AN45" s="43" t="str">
        <f t="shared" si="5"/>
        <v/>
      </c>
      <c r="AO45" s="43" t="b">
        <f t="shared" si="6"/>
        <v>1</v>
      </c>
      <c r="AP45" s="43"/>
      <c r="AQ45" s="43"/>
      <c r="AR45" s="43" t="str">
        <f>IF(AI45&lt;&gt;"",U$31,"")</f>
        <v>ThomasNau N.</v>
      </c>
      <c r="AS45" s="43">
        <f>IF(AI45&lt;&gt;"",R$32,"")</f>
        <v>344</v>
      </c>
      <c r="AT45" s="43" t="str">
        <f>IF(AI45&lt;&gt;"",AI$22,"")</f>
        <v>44905;Nuit;ThomasNau N.</v>
      </c>
      <c r="AU45" s="43" t="str">
        <f>IF(AI45&lt;&gt;"",LEFT(R$33,1),"")</f>
        <v>N</v>
      </c>
      <c r="AV45" s="41" t="str">
        <f t="shared" si="7"/>
        <v/>
      </c>
      <c r="AW45" s="41" t="str">
        <f t="shared" si="8"/>
        <v/>
      </c>
    </row>
    <row r="46" spans="14:49" ht="18.75" x14ac:dyDescent="0.25">
      <c r="N46" s="6">
        <f t="shared" si="1"/>
        <v>1</v>
      </c>
      <c r="P46" s="47">
        <f>IF(T46&lt;&gt;"",SUM(N$42:N46),"")</f>
        <v>3</v>
      </c>
      <c r="Q46" s="29">
        <v>658</v>
      </c>
      <c r="R46" s="30">
        <v>1042</v>
      </c>
      <c r="S46" s="31"/>
      <c r="T46" s="32">
        <f t="shared" si="9"/>
        <v>384</v>
      </c>
      <c r="U46" s="33" t="str">
        <f t="shared" si="10"/>
        <v/>
      </c>
      <c r="V46" s="34"/>
      <c r="X46" s="209"/>
      <c r="Y46" s="209"/>
      <c r="Z46" s="211"/>
      <c r="AC46" s="7" t="str">
        <f t="shared" si="0"/>
        <v/>
      </c>
      <c r="AD46" s="7" t="str">
        <f t="shared" si="0"/>
        <v/>
      </c>
      <c r="AE46" s="7" t="str">
        <f t="shared" si="0"/>
        <v/>
      </c>
      <c r="AF46" s="7" t="str">
        <f t="shared" si="0"/>
        <v/>
      </c>
      <c r="AG46" s="7" t="str">
        <f t="shared" si="0"/>
        <v/>
      </c>
      <c r="AH46" s="6" t="str">
        <f t="shared" si="2"/>
        <v/>
      </c>
      <c r="AI46" s="43">
        <f>IF(R46&lt;&gt;"",R$31,"")</f>
        <v>44905</v>
      </c>
      <c r="AJ46" s="43" t="str">
        <f t="shared" si="3"/>
        <v>F</v>
      </c>
      <c r="AK46" s="43">
        <f>P46</f>
        <v>3</v>
      </c>
      <c r="AL46" s="43" t="str">
        <f t="shared" si="4"/>
        <v>344;F;3;N</v>
      </c>
      <c r="AM46" s="43">
        <f>IF(AI46&lt;&gt;"",R46-Q46,"")</f>
        <v>384</v>
      </c>
      <c r="AN46" s="43" t="str">
        <f t="shared" si="5"/>
        <v/>
      </c>
      <c r="AO46" s="43" t="b">
        <f t="shared" si="6"/>
        <v>1</v>
      </c>
      <c r="AP46" s="43"/>
      <c r="AQ46" s="43"/>
      <c r="AR46" s="43" t="str">
        <f>IF(AI46&lt;&gt;"",U$31,"")</f>
        <v>ThomasNau N.</v>
      </c>
      <c r="AS46" s="43">
        <f>IF(AI46&lt;&gt;"",R$32,"")</f>
        <v>344</v>
      </c>
      <c r="AT46" s="43" t="str">
        <f>IF(AI46&lt;&gt;"",AI$22,"")</f>
        <v>44905;Nuit;ThomasNau N.</v>
      </c>
      <c r="AU46" s="43" t="str">
        <f>IF(AI46&lt;&gt;"",LEFT(R$33,1),"")</f>
        <v>N</v>
      </c>
      <c r="AV46" s="41" t="str">
        <f t="shared" si="7"/>
        <v/>
      </c>
      <c r="AW46" s="41" t="str">
        <f t="shared" si="8"/>
        <v>122;3;NC Droite</v>
      </c>
    </row>
    <row r="47" spans="14:49" ht="18.75" x14ac:dyDescent="0.25">
      <c r="N47" s="6">
        <f t="shared" si="1"/>
        <v>1</v>
      </c>
      <c r="P47" s="47">
        <f>IF(T47&lt;&gt;"",SUM(N$42:N47),"")</f>
        <v>4</v>
      </c>
      <c r="Q47" s="29">
        <v>658</v>
      </c>
      <c r="R47" s="30">
        <v>1042</v>
      </c>
      <c r="S47" s="31"/>
      <c r="T47" s="32">
        <f t="shared" si="9"/>
        <v>384</v>
      </c>
      <c r="U47" s="33" t="str">
        <f t="shared" si="10"/>
        <v/>
      </c>
      <c r="V47" s="34"/>
      <c r="X47" s="209"/>
      <c r="Y47" s="209"/>
      <c r="Z47" s="211"/>
      <c r="AC47" s="7" t="str">
        <f t="shared" si="0"/>
        <v/>
      </c>
      <c r="AD47" s="7" t="str">
        <f t="shared" si="0"/>
        <v/>
      </c>
      <c r="AE47" s="7" t="str">
        <f t="shared" si="0"/>
        <v/>
      </c>
      <c r="AF47" s="7" t="str">
        <f t="shared" si="0"/>
        <v/>
      </c>
      <c r="AG47" s="7" t="str">
        <f t="shared" si="0"/>
        <v/>
      </c>
      <c r="AH47" s="6" t="str">
        <f t="shared" si="2"/>
        <v/>
      </c>
      <c r="AI47" s="43">
        <f t="shared" ref="AI47:AI52" si="11">IF(R47&lt;&gt;"",R$31,"")</f>
        <v>44905</v>
      </c>
      <c r="AJ47" s="43" t="str">
        <f t="shared" si="3"/>
        <v>F</v>
      </c>
      <c r="AK47" s="43">
        <f t="shared" ref="AK47:AK52" si="12">P47</f>
        <v>4</v>
      </c>
      <c r="AL47" s="43" t="str">
        <f t="shared" si="4"/>
        <v>344;F;4;N</v>
      </c>
      <c r="AM47" s="43">
        <f t="shared" ref="AM47:AM52" si="13">IF(AI47&lt;&gt;"",R47-Q47,"")</f>
        <v>384</v>
      </c>
      <c r="AN47" s="43" t="str">
        <f t="shared" si="5"/>
        <v/>
      </c>
      <c r="AO47" s="43" t="b">
        <f t="shared" si="6"/>
        <v>1</v>
      </c>
      <c r="AP47" s="43"/>
      <c r="AQ47" s="43"/>
      <c r="AR47" s="43" t="str">
        <f t="shared" ref="AR47:AR52" si="14">IF(AI47&lt;&gt;"",U$31,"")</f>
        <v>ThomasNau N.</v>
      </c>
      <c r="AS47" s="43">
        <f t="shared" ref="AS47:AS52" si="15">IF(AI47&lt;&gt;"",R$32,"")</f>
        <v>344</v>
      </c>
      <c r="AT47" s="43" t="str">
        <f t="shared" ref="AT47:AT52" si="16">IF(AI47&lt;&gt;"",AI$22,"")</f>
        <v>44905;Nuit;ThomasNau N.</v>
      </c>
      <c r="AU47" s="43" t="str">
        <f t="shared" ref="AU47:AU52" si="17">IF(AI47&lt;&gt;"",LEFT(R$33,1),"")</f>
        <v>N</v>
      </c>
      <c r="AV47" s="41" t="str">
        <f t="shared" si="7"/>
        <v>23;4;21</v>
      </c>
      <c r="AW47" s="41" t="str">
        <f t="shared" si="8"/>
        <v>301;4;OK</v>
      </c>
    </row>
    <row r="48" spans="14:49" ht="18.75" x14ac:dyDescent="0.25">
      <c r="N48" s="6">
        <f t="shared" si="1"/>
        <v>0</v>
      </c>
      <c r="P48" s="47" t="str">
        <f>IF(T48&lt;&gt;"",SUM(N$42:N48),"")</f>
        <v/>
      </c>
      <c r="Q48" s="29"/>
      <c r="R48" s="30">
        <v>258</v>
      </c>
      <c r="S48" s="31" t="s">
        <v>14</v>
      </c>
      <c r="T48" s="32" t="str">
        <f t="shared" si="9"/>
        <v/>
      </c>
      <c r="U48" s="33">
        <f t="shared" si="10"/>
        <v>258</v>
      </c>
      <c r="V48" s="34"/>
      <c r="X48" s="209"/>
      <c r="Y48" s="209"/>
      <c r="Z48" s="211"/>
      <c r="AC48" s="7">
        <f t="shared" si="0"/>
        <v>258</v>
      </c>
      <c r="AD48" s="7" t="str">
        <f t="shared" si="0"/>
        <v/>
      </c>
      <c r="AE48" s="7" t="str">
        <f t="shared" si="0"/>
        <v/>
      </c>
      <c r="AF48" s="7" t="str">
        <f t="shared" si="0"/>
        <v/>
      </c>
      <c r="AG48" s="7" t="str">
        <f t="shared" si="0"/>
        <v/>
      </c>
      <c r="AH48" s="6" t="str">
        <f t="shared" si="2"/>
        <v/>
      </c>
      <c r="AI48" s="43">
        <f t="shared" si="11"/>
        <v>44905</v>
      </c>
      <c r="AJ48" s="43" t="str">
        <f t="shared" si="3"/>
        <v>F</v>
      </c>
      <c r="AK48" s="43" t="str">
        <f t="shared" si="12"/>
        <v/>
      </c>
      <c r="AL48" s="43" t="str">
        <f t="shared" si="4"/>
        <v>344;F;;N</v>
      </c>
      <c r="AM48" s="43">
        <f t="shared" si="13"/>
        <v>258</v>
      </c>
      <c r="AN48" s="43" t="str">
        <f t="shared" si="5"/>
        <v>Fil</v>
      </c>
      <c r="AO48" s="43" t="b">
        <f t="shared" si="6"/>
        <v>0</v>
      </c>
      <c r="AP48" s="43"/>
      <c r="AQ48" s="43"/>
      <c r="AR48" s="43" t="str">
        <f t="shared" si="14"/>
        <v>ThomasNau N.</v>
      </c>
      <c r="AS48" s="43">
        <f t="shared" si="15"/>
        <v>344</v>
      </c>
      <c r="AT48" s="43" t="str">
        <f t="shared" si="16"/>
        <v>44905;Nuit;ThomasNau N.</v>
      </c>
      <c r="AU48" s="43" t="str">
        <f t="shared" si="17"/>
        <v>N</v>
      </c>
      <c r="AV48" s="41" t="str">
        <f t="shared" si="7"/>
        <v/>
      </c>
      <c r="AW48" s="41" t="str">
        <f t="shared" si="8"/>
        <v/>
      </c>
    </row>
    <row r="49" spans="14:49" ht="18.75" x14ac:dyDescent="0.25">
      <c r="N49" s="6">
        <f t="shared" si="1"/>
        <v>1</v>
      </c>
      <c r="P49" s="47">
        <f>IF(T49&lt;&gt;"",SUM(N$42:N49),"")</f>
        <v>5</v>
      </c>
      <c r="Q49" s="29">
        <v>658</v>
      </c>
      <c r="R49" s="30">
        <v>1042</v>
      </c>
      <c r="S49" s="31"/>
      <c r="T49" s="32">
        <f t="shared" si="9"/>
        <v>384</v>
      </c>
      <c r="U49" s="33" t="str">
        <f t="shared" si="10"/>
        <v/>
      </c>
      <c r="V49" s="34"/>
      <c r="X49" s="209"/>
      <c r="Y49" s="209"/>
      <c r="Z49" s="211"/>
      <c r="AC49" s="7" t="str">
        <f t="shared" si="0"/>
        <v/>
      </c>
      <c r="AD49" s="7" t="str">
        <f t="shared" si="0"/>
        <v/>
      </c>
      <c r="AE49" s="7" t="str">
        <f t="shared" si="0"/>
        <v/>
      </c>
      <c r="AF49" s="7" t="str">
        <f t="shared" si="0"/>
        <v/>
      </c>
      <c r="AG49" s="7" t="str">
        <f t="shared" si="0"/>
        <v/>
      </c>
      <c r="AH49" s="6" t="str">
        <f t="shared" si="2"/>
        <v/>
      </c>
      <c r="AI49" s="43">
        <f t="shared" si="11"/>
        <v>44905</v>
      </c>
      <c r="AJ49" s="43" t="str">
        <f t="shared" si="3"/>
        <v>F</v>
      </c>
      <c r="AK49" s="43">
        <f t="shared" si="12"/>
        <v>5</v>
      </c>
      <c r="AL49" s="43" t="str">
        <f t="shared" si="4"/>
        <v>344;F;5;N</v>
      </c>
      <c r="AM49" s="43">
        <f t="shared" si="13"/>
        <v>384</v>
      </c>
      <c r="AN49" s="43" t="str">
        <f t="shared" si="5"/>
        <v/>
      </c>
      <c r="AO49" s="43" t="b">
        <f t="shared" si="6"/>
        <v>1</v>
      </c>
      <c r="AP49" s="43"/>
      <c r="AQ49" s="43"/>
      <c r="AR49" s="43" t="str">
        <f t="shared" si="14"/>
        <v>ThomasNau N.</v>
      </c>
      <c r="AS49" s="43">
        <f t="shared" si="15"/>
        <v>344</v>
      </c>
      <c r="AT49" s="43" t="str">
        <f t="shared" si="16"/>
        <v>44905;Nuit;ThomasNau N.</v>
      </c>
      <c r="AU49" s="43" t="str">
        <f t="shared" si="17"/>
        <v>N</v>
      </c>
      <c r="AV49" s="41" t="str">
        <f t="shared" si="7"/>
        <v/>
      </c>
      <c r="AW49" s="41" t="str">
        <f t="shared" si="8"/>
        <v/>
      </c>
    </row>
    <row r="50" spans="14:49" ht="18.75" x14ac:dyDescent="0.25">
      <c r="N50" s="6">
        <f t="shared" si="1"/>
        <v>1</v>
      </c>
      <c r="P50" s="47">
        <f>IF(T50&lt;&gt;"",SUM(N$42:N50),"")</f>
        <v>6</v>
      </c>
      <c r="Q50" s="29">
        <v>658</v>
      </c>
      <c r="R50" s="30">
        <v>1042</v>
      </c>
      <c r="S50" s="31"/>
      <c r="T50" s="32">
        <f t="shared" si="9"/>
        <v>384</v>
      </c>
      <c r="U50" s="33" t="str">
        <f t="shared" si="10"/>
        <v/>
      </c>
      <c r="V50" s="34"/>
      <c r="AC50" s="7" t="str">
        <f t="shared" si="0"/>
        <v/>
      </c>
      <c r="AD50" s="7" t="str">
        <f t="shared" si="0"/>
        <v/>
      </c>
      <c r="AE50" s="7" t="str">
        <f t="shared" si="0"/>
        <v/>
      </c>
      <c r="AF50" s="7" t="str">
        <f t="shared" si="0"/>
        <v/>
      </c>
      <c r="AG50" s="7" t="str">
        <f t="shared" si="0"/>
        <v/>
      </c>
      <c r="AH50" s="6" t="str">
        <f t="shared" si="2"/>
        <v/>
      </c>
      <c r="AI50" s="43">
        <f t="shared" si="11"/>
        <v>44905</v>
      </c>
      <c r="AJ50" s="43" t="str">
        <f t="shared" si="3"/>
        <v>F</v>
      </c>
      <c r="AK50" s="43">
        <f t="shared" si="12"/>
        <v>6</v>
      </c>
      <c r="AL50" s="43" t="str">
        <f t="shared" si="4"/>
        <v>344;F;6;N</v>
      </c>
      <c r="AM50" s="43">
        <f t="shared" si="13"/>
        <v>384</v>
      </c>
      <c r="AN50" s="43" t="str">
        <f t="shared" si="5"/>
        <v/>
      </c>
      <c r="AO50" s="43" t="b">
        <f t="shared" si="6"/>
        <v>1</v>
      </c>
      <c r="AP50" s="43"/>
      <c r="AQ50" s="43"/>
      <c r="AR50" s="43" t="str">
        <f t="shared" si="14"/>
        <v>ThomasNau N.</v>
      </c>
      <c r="AS50" s="43">
        <f t="shared" si="15"/>
        <v>344</v>
      </c>
      <c r="AT50" s="43" t="str">
        <f t="shared" si="16"/>
        <v>44905;Nuit;ThomasNau N.</v>
      </c>
      <c r="AU50" s="43" t="str">
        <f t="shared" si="17"/>
        <v>N</v>
      </c>
      <c r="AV50" s="41" t="str">
        <f t="shared" si="7"/>
        <v/>
      </c>
      <c r="AW50" s="41" t="str">
        <f t="shared" si="8"/>
        <v/>
      </c>
    </row>
    <row r="51" spans="14:49" ht="18.75" x14ac:dyDescent="0.25">
      <c r="N51" s="6">
        <f t="shared" si="1"/>
        <v>1</v>
      </c>
      <c r="P51" s="47">
        <f>IF(T51&lt;&gt;"",SUM(N$42:N51),"")</f>
        <v>7</v>
      </c>
      <c r="Q51" s="29">
        <v>658</v>
      </c>
      <c r="R51" s="30">
        <v>1042</v>
      </c>
      <c r="S51" s="31"/>
      <c r="T51" s="32">
        <f t="shared" si="9"/>
        <v>384</v>
      </c>
      <c r="U51" s="33" t="str">
        <f t="shared" si="10"/>
        <v/>
      </c>
      <c r="V51" s="34"/>
      <c r="X51" s="205" t="s">
        <v>28</v>
      </c>
      <c r="Y51" s="205"/>
      <c r="Z51" s="206"/>
      <c r="AC51" s="7" t="str">
        <f t="shared" si="0"/>
        <v/>
      </c>
      <c r="AD51" s="7" t="str">
        <f t="shared" si="0"/>
        <v/>
      </c>
      <c r="AE51" s="7" t="str">
        <f t="shared" si="0"/>
        <v/>
      </c>
      <c r="AF51" s="7" t="str">
        <f t="shared" si="0"/>
        <v/>
      </c>
      <c r="AG51" s="7" t="str">
        <f t="shared" si="0"/>
        <v/>
      </c>
      <c r="AH51" s="6" t="str">
        <f t="shared" si="2"/>
        <v/>
      </c>
      <c r="AI51" s="43">
        <f t="shared" si="11"/>
        <v>44905</v>
      </c>
      <c r="AJ51" s="43" t="str">
        <f t="shared" si="3"/>
        <v>F</v>
      </c>
      <c r="AK51" s="43">
        <f t="shared" si="12"/>
        <v>7</v>
      </c>
      <c r="AL51" s="43" t="str">
        <f t="shared" si="4"/>
        <v>344;F;7;N</v>
      </c>
      <c r="AM51" s="43">
        <f t="shared" si="13"/>
        <v>384</v>
      </c>
      <c r="AN51" s="43" t="str">
        <f t="shared" si="5"/>
        <v/>
      </c>
      <c r="AO51" s="43" t="b">
        <f t="shared" si="6"/>
        <v>1</v>
      </c>
      <c r="AP51" s="43"/>
      <c r="AQ51" s="43"/>
      <c r="AR51" s="43" t="str">
        <f t="shared" si="14"/>
        <v>ThomasNau N.</v>
      </c>
      <c r="AS51" s="43">
        <f t="shared" si="15"/>
        <v>344</v>
      </c>
      <c r="AT51" s="43" t="str">
        <f t="shared" si="16"/>
        <v>44905;Nuit;ThomasNau N.</v>
      </c>
      <c r="AU51" s="43" t="str">
        <f t="shared" si="17"/>
        <v>N</v>
      </c>
      <c r="AV51" s="41" t="str">
        <f t="shared" si="7"/>
        <v/>
      </c>
      <c r="AW51" s="41" t="str">
        <f t="shared" si="8"/>
        <v/>
      </c>
    </row>
    <row r="52" spans="14:49" ht="18.75" x14ac:dyDescent="0.25">
      <c r="N52" s="6">
        <f t="shared" si="1"/>
        <v>1</v>
      </c>
      <c r="P52" s="47">
        <f>IF(T52&lt;&gt;"",SUM(N$42:N52),"")</f>
        <v>8</v>
      </c>
      <c r="Q52" s="29">
        <v>658</v>
      </c>
      <c r="R52" s="30">
        <v>1042</v>
      </c>
      <c r="S52" s="31"/>
      <c r="T52" s="32">
        <f t="shared" si="9"/>
        <v>384</v>
      </c>
      <c r="U52" s="33" t="str">
        <f t="shared" si="10"/>
        <v/>
      </c>
      <c r="V52" s="34"/>
      <c r="X52" s="207"/>
      <c r="Y52" s="207"/>
      <c r="Z52" s="8"/>
      <c r="AC52" s="7" t="str">
        <f t="shared" si="0"/>
        <v/>
      </c>
      <c r="AD52" s="7" t="str">
        <f t="shared" si="0"/>
        <v/>
      </c>
      <c r="AE52" s="7" t="str">
        <f t="shared" si="0"/>
        <v/>
      </c>
      <c r="AF52" s="7" t="str">
        <f t="shared" si="0"/>
        <v/>
      </c>
      <c r="AG52" s="7" t="str">
        <f t="shared" si="0"/>
        <v/>
      </c>
      <c r="AH52" s="6" t="str">
        <f t="shared" si="2"/>
        <v/>
      </c>
      <c r="AI52" s="43">
        <f t="shared" si="11"/>
        <v>44905</v>
      </c>
      <c r="AJ52" s="43" t="str">
        <f t="shared" si="3"/>
        <v>F</v>
      </c>
      <c r="AK52" s="43">
        <f t="shared" si="12"/>
        <v>8</v>
      </c>
      <c r="AL52" s="43" t="str">
        <f t="shared" si="4"/>
        <v>344;F;8;N</v>
      </c>
      <c r="AM52" s="43">
        <f t="shared" si="13"/>
        <v>384</v>
      </c>
      <c r="AN52" s="43" t="str">
        <f t="shared" si="5"/>
        <v/>
      </c>
      <c r="AO52" s="43" t="b">
        <f t="shared" si="6"/>
        <v>1</v>
      </c>
      <c r="AP52" s="43"/>
      <c r="AQ52" s="43"/>
      <c r="AR52" s="43" t="str">
        <f t="shared" si="14"/>
        <v>ThomasNau N.</v>
      </c>
      <c r="AS52" s="43">
        <f t="shared" si="15"/>
        <v>344</v>
      </c>
      <c r="AT52" s="43" t="str">
        <f t="shared" si="16"/>
        <v>44905;Nuit;ThomasNau N.</v>
      </c>
      <c r="AU52" s="43" t="str">
        <f t="shared" si="17"/>
        <v>N</v>
      </c>
      <c r="AV52" s="41" t="str">
        <f t="shared" si="7"/>
        <v/>
      </c>
      <c r="AW52" s="41" t="str">
        <f t="shared" si="8"/>
        <v/>
      </c>
    </row>
    <row r="53" spans="14:49" ht="18.75" x14ac:dyDescent="0.25">
      <c r="N53" s="6">
        <f t="shared" si="1"/>
        <v>1</v>
      </c>
      <c r="P53" s="47">
        <f>IF(T53&lt;&gt;"",SUM(N$42:N53),"")</f>
        <v>9</v>
      </c>
      <c r="Q53" s="29">
        <v>658</v>
      </c>
      <c r="R53" s="30">
        <v>1042</v>
      </c>
      <c r="S53" s="31"/>
      <c r="T53" s="32">
        <f t="shared" si="9"/>
        <v>384</v>
      </c>
      <c r="U53" s="33" t="str">
        <f t="shared" si="10"/>
        <v/>
      </c>
      <c r="V53" s="34"/>
      <c r="X53" s="207"/>
      <c r="Y53" s="207"/>
      <c r="Z53" s="22"/>
      <c r="AC53" s="7" t="str">
        <f t="shared" ref="AC53:AG62" si="18">IF($S53=AC$42,$R53,"")</f>
        <v/>
      </c>
      <c r="AD53" s="7" t="str">
        <f t="shared" si="18"/>
        <v/>
      </c>
      <c r="AE53" s="7" t="str">
        <f t="shared" si="18"/>
        <v/>
      </c>
      <c r="AF53" s="7" t="str">
        <f t="shared" si="18"/>
        <v/>
      </c>
      <c r="AG53" s="7" t="str">
        <f t="shared" si="18"/>
        <v/>
      </c>
      <c r="AH53" s="6" t="str">
        <f t="shared" si="2"/>
        <v/>
      </c>
      <c r="AI53" s="43">
        <f t="shared" ref="AI53:AI83" si="19">IF(R53&lt;&gt;"",R$31,"")</f>
        <v>44905</v>
      </c>
      <c r="AJ53" s="43" t="str">
        <f t="shared" si="3"/>
        <v>F</v>
      </c>
      <c r="AK53" s="43">
        <f t="shared" ref="AK53:AK83" si="20">P53</f>
        <v>9</v>
      </c>
      <c r="AL53" s="43" t="str">
        <f t="shared" si="4"/>
        <v>344;F;9;N</v>
      </c>
      <c r="AM53" s="43">
        <f t="shared" ref="AM53:AM83" si="21">IF(AI53&lt;&gt;"",R53-Q53,"")</f>
        <v>384</v>
      </c>
      <c r="AN53" s="43" t="str">
        <f t="shared" ref="AN53:AN83" si="22">IF(S53&lt;&gt;"",S53,"")</f>
        <v/>
      </c>
      <c r="AO53" s="43" t="b">
        <f t="shared" ref="AO53:AO83" si="23">IF(AI53&lt;&gt;"",IF(AN53="",TRUE,FALSE),"")</f>
        <v>1</v>
      </c>
      <c r="AP53" s="43"/>
      <c r="AQ53" s="43"/>
      <c r="AR53" s="43" t="str">
        <f t="shared" ref="AR53:AR83" si="24">IF(AI53&lt;&gt;"",U$31,"")</f>
        <v>ThomasNau N.</v>
      </c>
      <c r="AS53" s="43">
        <f t="shared" ref="AS53:AS83" si="25">IF(AI53&lt;&gt;"",R$32,"")</f>
        <v>344</v>
      </c>
      <c r="AT53" s="43" t="str">
        <f t="shared" ref="AT53:AT83" si="26">IF(AI53&lt;&gt;"",AI$22,"")</f>
        <v>44905;Nuit;ThomasNau N.</v>
      </c>
      <c r="AU53" s="43" t="str">
        <f t="shared" ref="AU53:AU83" si="27">IF(AI53&lt;&gt;"",LEFT(R$33,1),"")</f>
        <v>N</v>
      </c>
      <c r="AV53" s="41" t="str">
        <f t="shared" si="7"/>
        <v/>
      </c>
      <c r="AW53" s="41" t="str">
        <f t="shared" si="8"/>
        <v/>
      </c>
    </row>
    <row r="54" spans="14:49" ht="18.75" x14ac:dyDescent="0.25">
      <c r="N54" s="6">
        <f t="shared" si="1"/>
        <v>1</v>
      </c>
      <c r="P54" s="47">
        <f>IF(T54&lt;&gt;"",SUM(N$42:N54),"")</f>
        <v>10</v>
      </c>
      <c r="Q54" s="29">
        <v>658</v>
      </c>
      <c r="R54" s="30">
        <v>1042</v>
      </c>
      <c r="S54" s="31"/>
      <c r="T54" s="32">
        <f t="shared" si="9"/>
        <v>384</v>
      </c>
      <c r="U54" s="33" t="str">
        <f t="shared" si="10"/>
        <v/>
      </c>
      <c r="V54" s="34"/>
      <c r="X54" s="207"/>
      <c r="Y54" s="207"/>
      <c r="Z54" s="8"/>
      <c r="AC54" s="7" t="str">
        <f t="shared" si="18"/>
        <v/>
      </c>
      <c r="AD54" s="7" t="str">
        <f t="shared" si="18"/>
        <v/>
      </c>
      <c r="AE54" s="7" t="str">
        <f t="shared" si="18"/>
        <v/>
      </c>
      <c r="AF54" s="7" t="str">
        <f t="shared" si="18"/>
        <v/>
      </c>
      <c r="AG54" s="7" t="str">
        <f t="shared" si="18"/>
        <v/>
      </c>
      <c r="AH54" s="6" t="str">
        <f t="shared" si="2"/>
        <v/>
      </c>
      <c r="AI54" s="43">
        <f t="shared" si="19"/>
        <v>44905</v>
      </c>
      <c r="AJ54" s="43" t="str">
        <f t="shared" si="3"/>
        <v>F</v>
      </c>
      <c r="AK54" s="43">
        <f t="shared" si="20"/>
        <v>10</v>
      </c>
      <c r="AL54" s="43" t="str">
        <f t="shared" si="4"/>
        <v>344;F;10;N</v>
      </c>
      <c r="AM54" s="43">
        <f t="shared" si="21"/>
        <v>384</v>
      </c>
      <c r="AN54" s="43" t="str">
        <f t="shared" si="22"/>
        <v/>
      </c>
      <c r="AO54" s="43" t="b">
        <f t="shared" si="23"/>
        <v>1</v>
      </c>
      <c r="AP54" s="43"/>
      <c r="AQ54" s="43"/>
      <c r="AR54" s="43" t="str">
        <f t="shared" si="24"/>
        <v>ThomasNau N.</v>
      </c>
      <c r="AS54" s="43">
        <f t="shared" si="25"/>
        <v>344</v>
      </c>
      <c r="AT54" s="43" t="str">
        <f t="shared" si="26"/>
        <v>44905;Nuit;ThomasNau N.</v>
      </c>
      <c r="AU54" s="43" t="str">
        <f t="shared" si="27"/>
        <v>N</v>
      </c>
      <c r="AV54" s="41" t="str">
        <f t="shared" si="7"/>
        <v/>
      </c>
      <c r="AW54" s="41" t="str">
        <f t="shared" si="8"/>
        <v/>
      </c>
    </row>
    <row r="55" spans="14:49" ht="18.75" x14ac:dyDescent="0.25">
      <c r="N55" s="6">
        <f t="shared" si="1"/>
        <v>1</v>
      </c>
      <c r="P55" s="47">
        <f>IF(T55&lt;&gt;"",SUM(N$42:N55),"")</f>
        <v>11</v>
      </c>
      <c r="Q55" s="29">
        <v>658</v>
      </c>
      <c r="R55" s="30">
        <v>1042</v>
      </c>
      <c r="S55" s="31"/>
      <c r="T55" s="32">
        <f t="shared" si="9"/>
        <v>384</v>
      </c>
      <c r="U55" s="33" t="str">
        <f t="shared" si="10"/>
        <v/>
      </c>
      <c r="V55" s="34"/>
      <c r="X55" s="207"/>
      <c r="Y55" s="207"/>
      <c r="Z55" s="8"/>
      <c r="AC55" s="7" t="str">
        <f t="shared" si="18"/>
        <v/>
      </c>
      <c r="AD55" s="7" t="str">
        <f t="shared" si="18"/>
        <v/>
      </c>
      <c r="AE55" s="7" t="str">
        <f t="shared" si="18"/>
        <v/>
      </c>
      <c r="AF55" s="7" t="str">
        <f t="shared" si="18"/>
        <v/>
      </c>
      <c r="AG55" s="7" t="str">
        <f t="shared" si="18"/>
        <v/>
      </c>
      <c r="AH55" s="6" t="str">
        <f t="shared" si="2"/>
        <v/>
      </c>
      <c r="AI55" s="43">
        <f t="shared" si="19"/>
        <v>44905</v>
      </c>
      <c r="AJ55" s="43" t="str">
        <f t="shared" si="3"/>
        <v>F</v>
      </c>
      <c r="AK55" s="43">
        <f t="shared" si="20"/>
        <v>11</v>
      </c>
      <c r="AL55" s="43" t="str">
        <f t="shared" si="4"/>
        <v>344;F;11;N</v>
      </c>
      <c r="AM55" s="43">
        <f t="shared" si="21"/>
        <v>384</v>
      </c>
      <c r="AN55" s="43" t="str">
        <f t="shared" si="22"/>
        <v/>
      </c>
      <c r="AO55" s="43" t="b">
        <f t="shared" si="23"/>
        <v>1</v>
      </c>
      <c r="AP55" s="43"/>
      <c r="AQ55" s="43"/>
      <c r="AR55" s="43" t="str">
        <f t="shared" si="24"/>
        <v>ThomasNau N.</v>
      </c>
      <c r="AS55" s="43">
        <f t="shared" si="25"/>
        <v>344</v>
      </c>
      <c r="AT55" s="43" t="str">
        <f t="shared" si="26"/>
        <v>44905;Nuit;ThomasNau N.</v>
      </c>
      <c r="AU55" s="43" t="str">
        <f t="shared" si="27"/>
        <v>N</v>
      </c>
      <c r="AV55" s="41" t="str">
        <f t="shared" si="7"/>
        <v/>
      </c>
      <c r="AW55" s="41" t="str">
        <f t="shared" si="8"/>
        <v/>
      </c>
    </row>
    <row r="56" spans="14:49" ht="18.75" x14ac:dyDescent="0.25">
      <c r="N56" s="6">
        <f t="shared" si="1"/>
        <v>1</v>
      </c>
      <c r="P56" s="47">
        <f>IF(T56&lt;&gt;"",SUM(N$42:N56),"")</f>
        <v>12</v>
      </c>
      <c r="Q56" s="29">
        <v>658</v>
      </c>
      <c r="R56" s="30">
        <v>1042</v>
      </c>
      <c r="S56" s="31"/>
      <c r="T56" s="32">
        <f t="shared" si="9"/>
        <v>384</v>
      </c>
      <c r="U56" s="33" t="str">
        <f t="shared" si="10"/>
        <v/>
      </c>
      <c r="V56" s="34"/>
      <c r="X56" s="207"/>
      <c r="Y56" s="207"/>
      <c r="Z56" s="8"/>
      <c r="AC56" s="7" t="str">
        <f t="shared" si="18"/>
        <v/>
      </c>
      <c r="AD56" s="7" t="str">
        <f t="shared" si="18"/>
        <v/>
      </c>
      <c r="AE56" s="7" t="str">
        <f t="shared" si="18"/>
        <v/>
      </c>
      <c r="AF56" s="7" t="str">
        <f t="shared" si="18"/>
        <v/>
      </c>
      <c r="AG56" s="7" t="str">
        <f t="shared" si="18"/>
        <v/>
      </c>
      <c r="AH56" s="6" t="str">
        <f t="shared" si="2"/>
        <v/>
      </c>
      <c r="AI56" s="43">
        <f t="shared" si="19"/>
        <v>44905</v>
      </c>
      <c r="AJ56" s="43" t="str">
        <f t="shared" si="3"/>
        <v>F</v>
      </c>
      <c r="AK56" s="43">
        <f t="shared" si="20"/>
        <v>12</v>
      </c>
      <c r="AL56" s="43" t="str">
        <f t="shared" si="4"/>
        <v>344;F;12;N</v>
      </c>
      <c r="AM56" s="43">
        <f t="shared" si="21"/>
        <v>384</v>
      </c>
      <c r="AN56" s="43" t="str">
        <f t="shared" si="22"/>
        <v/>
      </c>
      <c r="AO56" s="43" t="b">
        <f t="shared" si="23"/>
        <v>1</v>
      </c>
      <c r="AP56" s="43"/>
      <c r="AQ56" s="43"/>
      <c r="AR56" s="43" t="str">
        <f t="shared" si="24"/>
        <v>ThomasNau N.</v>
      </c>
      <c r="AS56" s="43">
        <f t="shared" si="25"/>
        <v>344</v>
      </c>
      <c r="AT56" s="43" t="str">
        <f t="shared" si="26"/>
        <v>44905;Nuit;ThomasNau N.</v>
      </c>
      <c r="AU56" s="43" t="str">
        <f t="shared" si="27"/>
        <v>N</v>
      </c>
      <c r="AV56" s="41" t="str">
        <f t="shared" si="7"/>
        <v/>
      </c>
      <c r="AW56" s="41" t="str">
        <f t="shared" si="8"/>
        <v/>
      </c>
    </row>
    <row r="57" spans="14:49" ht="18.75" x14ac:dyDescent="0.25">
      <c r="N57" s="6">
        <f t="shared" si="1"/>
        <v>0</v>
      </c>
      <c r="P57" s="47" t="str">
        <f>IF(T57&lt;&gt;"",SUM(N$42:N57),"")</f>
        <v/>
      </c>
      <c r="Q57" s="29">
        <v>658</v>
      </c>
      <c r="R57" s="30">
        <v>1042</v>
      </c>
      <c r="S57" s="31" t="s">
        <v>14</v>
      </c>
      <c r="T57" s="32" t="str">
        <f t="shared" si="9"/>
        <v/>
      </c>
      <c r="U57" s="33">
        <f t="shared" si="10"/>
        <v>384</v>
      </c>
      <c r="V57" s="34"/>
      <c r="X57" s="8"/>
      <c r="Y57" s="8"/>
      <c r="Z57" s="8"/>
      <c r="AC57" s="7">
        <f t="shared" si="18"/>
        <v>1042</v>
      </c>
      <c r="AD57" s="7" t="str">
        <f t="shared" si="18"/>
        <v/>
      </c>
      <c r="AE57" s="7" t="str">
        <f t="shared" si="18"/>
        <v/>
      </c>
      <c r="AF57" s="7" t="str">
        <f t="shared" si="18"/>
        <v/>
      </c>
      <c r="AG57" s="7" t="str">
        <f t="shared" si="18"/>
        <v/>
      </c>
      <c r="AH57" s="6" t="str">
        <f t="shared" si="2"/>
        <v/>
      </c>
      <c r="AI57" s="43">
        <f t="shared" si="19"/>
        <v>44905</v>
      </c>
      <c r="AJ57" s="43" t="str">
        <f t="shared" si="3"/>
        <v>F</v>
      </c>
      <c r="AK57" s="43" t="str">
        <f t="shared" si="20"/>
        <v/>
      </c>
      <c r="AL57" s="43" t="str">
        <f t="shared" si="4"/>
        <v>344;F;;N</v>
      </c>
      <c r="AM57" s="43">
        <f t="shared" si="21"/>
        <v>384</v>
      </c>
      <c r="AN57" s="43" t="str">
        <f t="shared" si="22"/>
        <v>Fil</v>
      </c>
      <c r="AO57" s="43" t="b">
        <f t="shared" si="23"/>
        <v>0</v>
      </c>
      <c r="AP57" s="43"/>
      <c r="AQ57" s="43"/>
      <c r="AR57" s="43" t="str">
        <f t="shared" si="24"/>
        <v>ThomasNau N.</v>
      </c>
      <c r="AS57" s="43">
        <f t="shared" si="25"/>
        <v>344</v>
      </c>
      <c r="AT57" s="43" t="str">
        <f t="shared" si="26"/>
        <v>44905;Nuit;ThomasNau N.</v>
      </c>
      <c r="AU57" s="43" t="str">
        <f t="shared" si="27"/>
        <v>N</v>
      </c>
      <c r="AV57" s="41" t="str">
        <f t="shared" si="7"/>
        <v/>
      </c>
      <c r="AW57" s="41" t="str">
        <f t="shared" si="8"/>
        <v/>
      </c>
    </row>
    <row r="58" spans="14:49" ht="18.75" x14ac:dyDescent="0.25">
      <c r="N58" s="6">
        <f t="shared" si="1"/>
        <v>1</v>
      </c>
      <c r="P58" s="47">
        <f>IF(T58&lt;&gt;"",SUM(N$42:N58),"")</f>
        <v>13</v>
      </c>
      <c r="Q58" s="29">
        <v>658</v>
      </c>
      <c r="R58" s="30">
        <v>1042</v>
      </c>
      <c r="S58" s="31"/>
      <c r="T58" s="32">
        <f t="shared" si="9"/>
        <v>384</v>
      </c>
      <c r="U58" s="33" t="str">
        <f t="shared" si="10"/>
        <v/>
      </c>
      <c r="V58" s="34"/>
      <c r="AC58" s="7" t="str">
        <f t="shared" si="18"/>
        <v/>
      </c>
      <c r="AD58" s="7" t="str">
        <f t="shared" si="18"/>
        <v/>
      </c>
      <c r="AE58" s="7" t="str">
        <f t="shared" si="18"/>
        <v/>
      </c>
      <c r="AF58" s="7" t="str">
        <f t="shared" si="18"/>
        <v/>
      </c>
      <c r="AG58" s="7" t="str">
        <f t="shared" si="18"/>
        <v/>
      </c>
      <c r="AH58" s="6" t="str">
        <f t="shared" si="2"/>
        <v/>
      </c>
      <c r="AI58" s="43">
        <f t="shared" si="19"/>
        <v>44905</v>
      </c>
      <c r="AJ58" s="43" t="str">
        <f t="shared" si="3"/>
        <v>F</v>
      </c>
      <c r="AK58" s="43">
        <f t="shared" si="20"/>
        <v>13</v>
      </c>
      <c r="AL58" s="43" t="str">
        <f t="shared" si="4"/>
        <v>344;F;13;N</v>
      </c>
      <c r="AM58" s="43">
        <f t="shared" si="21"/>
        <v>384</v>
      </c>
      <c r="AN58" s="43" t="str">
        <f t="shared" si="22"/>
        <v/>
      </c>
      <c r="AO58" s="43" t="b">
        <f t="shared" si="23"/>
        <v>1</v>
      </c>
      <c r="AP58" s="43"/>
      <c r="AQ58" s="43"/>
      <c r="AR58" s="43" t="str">
        <f t="shared" si="24"/>
        <v>ThomasNau N.</v>
      </c>
      <c r="AS58" s="43">
        <f t="shared" si="25"/>
        <v>344</v>
      </c>
      <c r="AT58" s="43" t="str">
        <f t="shared" si="26"/>
        <v>44905;Nuit;ThomasNau N.</v>
      </c>
      <c r="AU58" s="43" t="str">
        <f t="shared" si="27"/>
        <v>N</v>
      </c>
      <c r="AV58" s="41" t="str">
        <f t="shared" si="7"/>
        <v/>
      </c>
      <c r="AW58" s="41" t="str">
        <f t="shared" si="8"/>
        <v/>
      </c>
    </row>
    <row r="59" spans="14:49" ht="18.75" x14ac:dyDescent="0.25">
      <c r="N59" s="6">
        <f t="shared" si="1"/>
        <v>0</v>
      </c>
      <c r="P59" s="47" t="str">
        <f>IF(T59&lt;&gt;"",SUM(N$42:N59),"")</f>
        <v/>
      </c>
      <c r="Q59" s="29">
        <v>658</v>
      </c>
      <c r="R59" s="30">
        <v>1042</v>
      </c>
      <c r="S59" s="31" t="s">
        <v>14</v>
      </c>
      <c r="T59" s="32" t="str">
        <f t="shared" si="9"/>
        <v/>
      </c>
      <c r="U59" s="33">
        <f t="shared" si="10"/>
        <v>384</v>
      </c>
      <c r="V59" s="34"/>
      <c r="X59" s="204" t="s">
        <v>123</v>
      </c>
      <c r="Y59" s="204"/>
      <c r="Z59" s="204"/>
      <c r="AC59" s="7">
        <f t="shared" si="18"/>
        <v>1042</v>
      </c>
      <c r="AD59" s="7" t="str">
        <f t="shared" si="18"/>
        <v/>
      </c>
      <c r="AE59" s="7" t="str">
        <f t="shared" si="18"/>
        <v/>
      </c>
      <c r="AF59" s="7" t="str">
        <f t="shared" si="18"/>
        <v/>
      </c>
      <c r="AG59" s="7" t="str">
        <f t="shared" si="18"/>
        <v/>
      </c>
      <c r="AH59" s="6" t="str">
        <f t="shared" si="2"/>
        <v/>
      </c>
      <c r="AI59" s="43">
        <f t="shared" si="19"/>
        <v>44905</v>
      </c>
      <c r="AJ59" s="43" t="str">
        <f t="shared" si="3"/>
        <v>F</v>
      </c>
      <c r="AK59" s="43" t="str">
        <f t="shared" si="20"/>
        <v/>
      </c>
      <c r="AL59" s="43" t="str">
        <f t="shared" si="4"/>
        <v>344;F;;N</v>
      </c>
      <c r="AM59" s="43">
        <f t="shared" si="21"/>
        <v>384</v>
      </c>
      <c r="AN59" s="43" t="str">
        <f t="shared" si="22"/>
        <v>Fil</v>
      </c>
      <c r="AO59" s="43" t="b">
        <f t="shared" si="23"/>
        <v>0</v>
      </c>
      <c r="AP59" s="43"/>
      <c r="AQ59" s="43"/>
      <c r="AR59" s="43" t="str">
        <f t="shared" si="24"/>
        <v>ThomasNau N.</v>
      </c>
      <c r="AS59" s="43">
        <f t="shared" si="25"/>
        <v>344</v>
      </c>
      <c r="AT59" s="43" t="str">
        <f t="shared" si="26"/>
        <v>44905;Nuit;ThomasNau N.</v>
      </c>
      <c r="AU59" s="43" t="str">
        <f t="shared" si="27"/>
        <v>N</v>
      </c>
      <c r="AV59" s="41" t="str">
        <f t="shared" si="7"/>
        <v/>
      </c>
      <c r="AW59" s="41" t="str">
        <f t="shared" si="8"/>
        <v/>
      </c>
    </row>
    <row r="60" spans="14:49" ht="18.75" x14ac:dyDescent="0.25">
      <c r="N60" s="6">
        <f t="shared" si="1"/>
        <v>0</v>
      </c>
      <c r="P60" s="47" t="str">
        <f>IF(T60&lt;&gt;"",SUM(N$42:N60),"")</f>
        <v/>
      </c>
      <c r="Q60" s="29">
        <v>658</v>
      </c>
      <c r="R60" s="30">
        <v>1042</v>
      </c>
      <c r="S60" s="31" t="s">
        <v>14</v>
      </c>
      <c r="T60" s="32" t="str">
        <f t="shared" si="9"/>
        <v/>
      </c>
      <c r="U60" s="33">
        <f t="shared" si="10"/>
        <v>384</v>
      </c>
      <c r="V60" s="34"/>
      <c r="X60" s="4" t="s">
        <v>187</v>
      </c>
      <c r="AC60" s="7">
        <f t="shared" si="18"/>
        <v>1042</v>
      </c>
      <c r="AD60" s="7" t="str">
        <f t="shared" si="18"/>
        <v/>
      </c>
      <c r="AE60" s="7" t="str">
        <f t="shared" si="18"/>
        <v/>
      </c>
      <c r="AF60" s="7" t="str">
        <f t="shared" si="18"/>
        <v/>
      </c>
      <c r="AG60" s="7" t="str">
        <f t="shared" si="18"/>
        <v/>
      </c>
      <c r="AH60" s="6" t="str">
        <f t="shared" si="2"/>
        <v/>
      </c>
      <c r="AI60" s="43">
        <f t="shared" si="19"/>
        <v>44905</v>
      </c>
      <c r="AJ60" s="43" t="str">
        <f t="shared" si="3"/>
        <v>F</v>
      </c>
      <c r="AK60" s="43" t="str">
        <f t="shared" si="20"/>
        <v/>
      </c>
      <c r="AL60" s="43" t="str">
        <f t="shared" si="4"/>
        <v>344;F;;N</v>
      </c>
      <c r="AM60" s="43">
        <f t="shared" si="21"/>
        <v>384</v>
      </c>
      <c r="AN60" s="43" t="str">
        <f t="shared" si="22"/>
        <v>Fil</v>
      </c>
      <c r="AO60" s="43" t="b">
        <f t="shared" si="23"/>
        <v>0</v>
      </c>
      <c r="AP60" s="43"/>
      <c r="AQ60" s="43"/>
      <c r="AR60" s="43" t="str">
        <f t="shared" si="24"/>
        <v>ThomasNau N.</v>
      </c>
      <c r="AS60" s="43">
        <f t="shared" si="25"/>
        <v>344</v>
      </c>
      <c r="AT60" s="43" t="str">
        <f t="shared" si="26"/>
        <v>44905;Nuit;ThomasNau N.</v>
      </c>
      <c r="AU60" s="43" t="str">
        <f t="shared" si="27"/>
        <v>N</v>
      </c>
      <c r="AV60" s="41" t="str">
        <f t="shared" si="7"/>
        <v/>
      </c>
      <c r="AW60" s="41" t="str">
        <f t="shared" si="8"/>
        <v/>
      </c>
    </row>
    <row r="61" spans="14:49" ht="18.75" x14ac:dyDescent="0.25">
      <c r="N61" s="6">
        <f t="shared" si="1"/>
        <v>1</v>
      </c>
      <c r="P61" s="47">
        <f>IF(T61&lt;&gt;"",SUM(N$42:N61),"")</f>
        <v>14</v>
      </c>
      <c r="Q61" s="29">
        <v>658</v>
      </c>
      <c r="R61" s="30">
        <v>1042</v>
      </c>
      <c r="S61" s="31"/>
      <c r="T61" s="32">
        <f t="shared" si="9"/>
        <v>384</v>
      </c>
      <c r="U61" s="33" t="str">
        <f t="shared" si="10"/>
        <v/>
      </c>
      <c r="V61" s="34"/>
      <c r="X61" s="4" t="s">
        <v>188</v>
      </c>
      <c r="AC61" s="7" t="str">
        <f t="shared" si="18"/>
        <v/>
      </c>
      <c r="AD61" s="7" t="str">
        <f t="shared" si="18"/>
        <v/>
      </c>
      <c r="AE61" s="7" t="str">
        <f t="shared" si="18"/>
        <v/>
      </c>
      <c r="AF61" s="7" t="str">
        <f t="shared" si="18"/>
        <v/>
      </c>
      <c r="AG61" s="7" t="str">
        <f t="shared" si="18"/>
        <v/>
      </c>
      <c r="AH61" s="6" t="str">
        <f t="shared" si="2"/>
        <v/>
      </c>
      <c r="AI61" s="43">
        <f t="shared" si="19"/>
        <v>44905</v>
      </c>
      <c r="AJ61" s="43" t="str">
        <f t="shared" si="3"/>
        <v>F</v>
      </c>
      <c r="AK61" s="43">
        <f t="shared" si="20"/>
        <v>14</v>
      </c>
      <c r="AL61" s="43" t="str">
        <f t="shared" si="4"/>
        <v>344;F;14;N</v>
      </c>
      <c r="AM61" s="43">
        <f t="shared" si="21"/>
        <v>384</v>
      </c>
      <c r="AN61" s="43" t="str">
        <f t="shared" si="22"/>
        <v/>
      </c>
      <c r="AO61" s="43" t="b">
        <f t="shared" si="23"/>
        <v>1</v>
      </c>
      <c r="AP61" s="43"/>
      <c r="AQ61" s="43"/>
      <c r="AR61" s="43" t="str">
        <f t="shared" si="24"/>
        <v>ThomasNau N.</v>
      </c>
      <c r="AS61" s="43">
        <f t="shared" si="25"/>
        <v>344</v>
      </c>
      <c r="AT61" s="43" t="str">
        <f t="shared" si="26"/>
        <v>44905;Nuit;ThomasNau N.</v>
      </c>
      <c r="AU61" s="43" t="str">
        <f t="shared" si="27"/>
        <v>N</v>
      </c>
      <c r="AV61" s="41" t="str">
        <f t="shared" si="7"/>
        <v/>
      </c>
      <c r="AW61" s="41" t="str">
        <f t="shared" si="8"/>
        <v/>
      </c>
    </row>
    <row r="62" spans="14:49" ht="18.75" x14ac:dyDescent="0.25">
      <c r="N62" s="6">
        <f t="shared" si="1"/>
        <v>1</v>
      </c>
      <c r="P62" s="47">
        <f>IF(T62&lt;&gt;"",SUM(N$42:N62),"")</f>
        <v>15</v>
      </c>
      <c r="Q62" s="29">
        <v>658</v>
      </c>
      <c r="R62" s="30">
        <v>1042</v>
      </c>
      <c r="S62" s="31"/>
      <c r="T62" s="32">
        <f t="shared" si="9"/>
        <v>384</v>
      </c>
      <c r="U62" s="33" t="str">
        <f t="shared" si="10"/>
        <v/>
      </c>
      <c r="V62" s="34"/>
      <c r="AC62" s="7" t="str">
        <f t="shared" si="18"/>
        <v/>
      </c>
      <c r="AD62" s="7" t="str">
        <f t="shared" si="18"/>
        <v/>
      </c>
      <c r="AE62" s="7" t="str">
        <f t="shared" si="18"/>
        <v/>
      </c>
      <c r="AF62" s="7" t="str">
        <f t="shared" si="18"/>
        <v/>
      </c>
      <c r="AG62" s="7" t="str">
        <f t="shared" si="18"/>
        <v/>
      </c>
      <c r="AH62" s="6" t="str">
        <f t="shared" si="2"/>
        <v/>
      </c>
      <c r="AI62" s="43">
        <f t="shared" si="19"/>
        <v>44905</v>
      </c>
      <c r="AJ62" s="43" t="str">
        <f t="shared" si="3"/>
        <v>F</v>
      </c>
      <c r="AK62" s="43">
        <f t="shared" si="20"/>
        <v>15</v>
      </c>
      <c r="AL62" s="43" t="str">
        <f t="shared" si="4"/>
        <v>344;F;15;N</v>
      </c>
      <c r="AM62" s="43">
        <f t="shared" si="21"/>
        <v>384</v>
      </c>
      <c r="AN62" s="43" t="str">
        <f t="shared" si="22"/>
        <v/>
      </c>
      <c r="AO62" s="43" t="b">
        <f t="shared" si="23"/>
        <v>1</v>
      </c>
      <c r="AP62" s="43"/>
      <c r="AQ62" s="43"/>
      <c r="AR62" s="43" t="str">
        <f t="shared" si="24"/>
        <v>ThomasNau N.</v>
      </c>
      <c r="AS62" s="43">
        <f t="shared" si="25"/>
        <v>344</v>
      </c>
      <c r="AT62" s="43" t="str">
        <f t="shared" si="26"/>
        <v>44905;Nuit;ThomasNau N.</v>
      </c>
      <c r="AU62" s="43" t="str">
        <f t="shared" si="27"/>
        <v>N</v>
      </c>
      <c r="AV62" s="41" t="str">
        <f t="shared" si="7"/>
        <v>29;15;31</v>
      </c>
      <c r="AW62" s="41" t="str">
        <f t="shared" si="8"/>
        <v/>
      </c>
    </row>
    <row r="63" spans="14:49" ht="18.75" x14ac:dyDescent="0.25">
      <c r="N63" s="6">
        <f t="shared" si="1"/>
        <v>1</v>
      </c>
      <c r="P63" s="47">
        <f>IF(T63&lt;&gt;"",SUM(N$42:N63),"")</f>
        <v>16</v>
      </c>
      <c r="Q63" s="29">
        <v>658</v>
      </c>
      <c r="R63" s="30">
        <v>1042</v>
      </c>
      <c r="S63" s="36"/>
      <c r="T63" s="32">
        <f t="shared" ref="T63:T83" si="28">IF(R63&lt;&gt;"",IF(S63="",IF(Q63&lt;&gt;"",R63-Q63,R63),""),"")</f>
        <v>384</v>
      </c>
      <c r="U63" s="33" t="str">
        <f t="shared" ref="U63:U83" si="29">IF(R63&lt;&gt;"",IF(S63&lt;&gt;"",IF(Q63&lt;&gt;"",R63-Q63,R63),""),"")</f>
        <v/>
      </c>
      <c r="V63" s="37"/>
      <c r="AH63" s="6" t="str">
        <f t="shared" si="2"/>
        <v/>
      </c>
      <c r="AI63" s="43">
        <f t="shared" si="19"/>
        <v>44905</v>
      </c>
      <c r="AJ63" s="43" t="str">
        <f t="shared" si="3"/>
        <v>F</v>
      </c>
      <c r="AK63" s="43">
        <f t="shared" si="20"/>
        <v>16</v>
      </c>
      <c r="AL63" s="43" t="str">
        <f t="shared" si="4"/>
        <v>344;F;16;N</v>
      </c>
      <c r="AM63" s="43">
        <f t="shared" si="21"/>
        <v>384</v>
      </c>
      <c r="AN63" s="43" t="str">
        <f t="shared" si="22"/>
        <v/>
      </c>
      <c r="AO63" s="43" t="b">
        <f t="shared" si="23"/>
        <v>1</v>
      </c>
      <c r="AP63" s="43"/>
      <c r="AQ63" s="43"/>
      <c r="AR63" s="43" t="str">
        <f t="shared" si="24"/>
        <v>ThomasNau N.</v>
      </c>
      <c r="AS63" s="43">
        <f t="shared" si="25"/>
        <v>344</v>
      </c>
      <c r="AT63" s="43" t="str">
        <f t="shared" si="26"/>
        <v>44905;Nuit;ThomasNau N.</v>
      </c>
      <c r="AU63" s="43" t="str">
        <f t="shared" si="27"/>
        <v>N</v>
      </c>
      <c r="AV63" s="41" t="str">
        <f t="shared" si="7"/>
        <v/>
      </c>
      <c r="AW63" s="41" t="str">
        <f t="shared" si="8"/>
        <v/>
      </c>
    </row>
    <row r="64" spans="14:49" ht="18.75" x14ac:dyDescent="0.25">
      <c r="N64" s="6">
        <f t="shared" si="1"/>
        <v>1</v>
      </c>
      <c r="P64" s="47">
        <f>IF(T64&lt;&gt;"",SUM(N$42:N64),"")</f>
        <v>17</v>
      </c>
      <c r="Q64" s="29">
        <v>658</v>
      </c>
      <c r="R64" s="30">
        <v>1042</v>
      </c>
      <c r="S64" s="36"/>
      <c r="T64" s="32">
        <f t="shared" si="28"/>
        <v>384</v>
      </c>
      <c r="U64" s="33" t="str">
        <f t="shared" si="29"/>
        <v/>
      </c>
      <c r="V64" s="37"/>
      <c r="AH64" s="6" t="str">
        <f t="shared" si="2"/>
        <v/>
      </c>
      <c r="AI64" s="43">
        <f t="shared" si="19"/>
        <v>44905</v>
      </c>
      <c r="AJ64" s="43" t="str">
        <f t="shared" si="3"/>
        <v>F</v>
      </c>
      <c r="AK64" s="43">
        <f t="shared" si="20"/>
        <v>17</v>
      </c>
      <c r="AL64" s="43" t="str">
        <f t="shared" si="4"/>
        <v>344;F;17;N</v>
      </c>
      <c r="AM64" s="43">
        <f t="shared" si="21"/>
        <v>384</v>
      </c>
      <c r="AN64" s="43" t="str">
        <f t="shared" si="22"/>
        <v/>
      </c>
      <c r="AO64" s="43" t="b">
        <f t="shared" si="23"/>
        <v>1</v>
      </c>
      <c r="AP64" s="43"/>
      <c r="AQ64" s="43"/>
      <c r="AR64" s="43" t="str">
        <f t="shared" si="24"/>
        <v>ThomasNau N.</v>
      </c>
      <c r="AS64" s="43">
        <f t="shared" si="25"/>
        <v>344</v>
      </c>
      <c r="AT64" s="43" t="str">
        <f t="shared" si="26"/>
        <v>44905;Nuit;ThomasNau N.</v>
      </c>
      <c r="AU64" s="43" t="str">
        <f t="shared" si="27"/>
        <v>N</v>
      </c>
      <c r="AV64" s="41" t="str">
        <f t="shared" si="7"/>
        <v/>
      </c>
      <c r="AW64" s="41" t="str">
        <f t="shared" si="8"/>
        <v/>
      </c>
    </row>
    <row r="65" spans="14:49" ht="18.75" x14ac:dyDescent="0.25">
      <c r="N65" s="6">
        <f t="shared" si="1"/>
        <v>1</v>
      </c>
      <c r="P65" s="47">
        <f>IF(T65&lt;&gt;"",SUM(N$42:N65),"")</f>
        <v>18</v>
      </c>
      <c r="Q65" s="29">
        <v>658</v>
      </c>
      <c r="R65" s="30">
        <v>1042</v>
      </c>
      <c r="S65" s="36"/>
      <c r="T65" s="32">
        <f t="shared" si="28"/>
        <v>384</v>
      </c>
      <c r="U65" s="33" t="str">
        <f t="shared" si="29"/>
        <v/>
      </c>
      <c r="V65" s="37"/>
      <c r="AH65" s="6" t="str">
        <f t="shared" si="2"/>
        <v/>
      </c>
      <c r="AI65" s="43">
        <f t="shared" si="19"/>
        <v>44905</v>
      </c>
      <c r="AJ65" s="43" t="str">
        <f t="shared" si="3"/>
        <v>F</v>
      </c>
      <c r="AK65" s="43">
        <f t="shared" si="20"/>
        <v>18</v>
      </c>
      <c r="AL65" s="43" t="str">
        <f t="shared" si="4"/>
        <v>344;F;18;N</v>
      </c>
      <c r="AM65" s="43">
        <f t="shared" si="21"/>
        <v>384</v>
      </c>
      <c r="AN65" s="43" t="str">
        <f t="shared" si="22"/>
        <v/>
      </c>
      <c r="AO65" s="43" t="b">
        <f t="shared" si="23"/>
        <v>1</v>
      </c>
      <c r="AP65" s="43"/>
      <c r="AQ65" s="43"/>
      <c r="AR65" s="43" t="str">
        <f t="shared" si="24"/>
        <v>ThomasNau N.</v>
      </c>
      <c r="AS65" s="43">
        <f t="shared" si="25"/>
        <v>344</v>
      </c>
      <c r="AT65" s="43" t="str">
        <f t="shared" si="26"/>
        <v>44905;Nuit;ThomasNau N.</v>
      </c>
      <c r="AU65" s="43" t="str">
        <f t="shared" si="27"/>
        <v>N</v>
      </c>
      <c r="AV65" s="41" t="str">
        <f t="shared" si="7"/>
        <v/>
      </c>
      <c r="AW65" s="41" t="str">
        <f t="shared" si="8"/>
        <v/>
      </c>
    </row>
    <row r="66" spans="14:49" ht="18.75" x14ac:dyDescent="0.25">
      <c r="N66" s="6">
        <f t="shared" si="1"/>
        <v>1</v>
      </c>
      <c r="P66" s="47">
        <f>IF(T66&lt;&gt;"",SUM(N$42:N66),"")</f>
        <v>19</v>
      </c>
      <c r="Q66" s="29">
        <v>658</v>
      </c>
      <c r="R66" s="30">
        <v>1042</v>
      </c>
      <c r="S66" s="36"/>
      <c r="T66" s="32">
        <f t="shared" si="28"/>
        <v>384</v>
      </c>
      <c r="U66" s="33" t="str">
        <f t="shared" si="29"/>
        <v/>
      </c>
      <c r="V66" s="37"/>
      <c r="AH66" s="6" t="str">
        <f t="shared" si="2"/>
        <v/>
      </c>
      <c r="AI66" s="43">
        <f t="shared" si="19"/>
        <v>44905</v>
      </c>
      <c r="AJ66" s="43" t="str">
        <f t="shared" si="3"/>
        <v>F</v>
      </c>
      <c r="AK66" s="43">
        <f t="shared" si="20"/>
        <v>19</v>
      </c>
      <c r="AL66" s="43" t="str">
        <f t="shared" si="4"/>
        <v>344;F;19;N</v>
      </c>
      <c r="AM66" s="43">
        <f t="shared" si="21"/>
        <v>384</v>
      </c>
      <c r="AN66" s="43" t="str">
        <f t="shared" si="22"/>
        <v/>
      </c>
      <c r="AO66" s="43" t="b">
        <f t="shared" si="23"/>
        <v>1</v>
      </c>
      <c r="AP66" s="43"/>
      <c r="AQ66" s="43"/>
      <c r="AR66" s="43" t="str">
        <f t="shared" si="24"/>
        <v>ThomasNau N.</v>
      </c>
      <c r="AS66" s="43">
        <f t="shared" si="25"/>
        <v>344</v>
      </c>
      <c r="AT66" s="43" t="str">
        <f t="shared" si="26"/>
        <v>44905;Nuit;ThomasNau N.</v>
      </c>
      <c r="AU66" s="43" t="str">
        <f t="shared" si="27"/>
        <v>N</v>
      </c>
      <c r="AV66" s="41" t="str">
        <f t="shared" si="7"/>
        <v/>
      </c>
      <c r="AW66" s="41" t="str">
        <f t="shared" si="8"/>
        <v/>
      </c>
    </row>
    <row r="67" spans="14:49" ht="18.75" x14ac:dyDescent="0.25">
      <c r="N67" s="6">
        <f t="shared" si="1"/>
        <v>1</v>
      </c>
      <c r="P67" s="47">
        <f>IF(T67&lt;&gt;"",SUM(N$42:N67),"")</f>
        <v>20</v>
      </c>
      <c r="Q67" s="29">
        <v>658</v>
      </c>
      <c r="R67" s="30">
        <v>1042</v>
      </c>
      <c r="S67" s="36"/>
      <c r="T67" s="32">
        <f t="shared" si="28"/>
        <v>384</v>
      </c>
      <c r="U67" s="33" t="str">
        <f t="shared" si="29"/>
        <v/>
      </c>
      <c r="V67" s="37"/>
      <c r="AH67" s="6" t="str">
        <f t="shared" si="2"/>
        <v/>
      </c>
      <c r="AI67" s="43">
        <f t="shared" si="19"/>
        <v>44905</v>
      </c>
      <c r="AJ67" s="43" t="str">
        <f t="shared" si="3"/>
        <v>F</v>
      </c>
      <c r="AK67" s="43">
        <f t="shared" si="20"/>
        <v>20</v>
      </c>
      <c r="AL67" s="43" t="str">
        <f t="shared" si="4"/>
        <v>344;F;20;N</v>
      </c>
      <c r="AM67" s="43">
        <f t="shared" si="21"/>
        <v>384</v>
      </c>
      <c r="AN67" s="43" t="str">
        <f t="shared" si="22"/>
        <v/>
      </c>
      <c r="AO67" s="43" t="b">
        <f t="shared" si="23"/>
        <v>1</v>
      </c>
      <c r="AP67" s="43"/>
      <c r="AQ67" s="43"/>
      <c r="AR67" s="43" t="str">
        <f t="shared" si="24"/>
        <v>ThomasNau N.</v>
      </c>
      <c r="AS67" s="43">
        <f t="shared" si="25"/>
        <v>344</v>
      </c>
      <c r="AT67" s="43" t="str">
        <f t="shared" si="26"/>
        <v>44905;Nuit;ThomasNau N.</v>
      </c>
      <c r="AU67" s="43" t="str">
        <f t="shared" si="27"/>
        <v>N</v>
      </c>
      <c r="AV67" s="41" t="str">
        <f t="shared" si="7"/>
        <v/>
      </c>
      <c r="AW67" s="41" t="str">
        <f t="shared" si="8"/>
        <v/>
      </c>
    </row>
    <row r="68" spans="14:49" ht="18.75" x14ac:dyDescent="0.25">
      <c r="N68" s="6">
        <f t="shared" si="1"/>
        <v>1</v>
      </c>
      <c r="P68" s="47">
        <f>IF(T68&lt;&gt;"",SUM(N$42:N68),"")</f>
        <v>21</v>
      </c>
      <c r="Q68" s="29">
        <v>658</v>
      </c>
      <c r="R68" s="30">
        <v>1042</v>
      </c>
      <c r="S68" s="36"/>
      <c r="T68" s="32">
        <f t="shared" si="28"/>
        <v>384</v>
      </c>
      <c r="U68" s="33" t="str">
        <f t="shared" si="29"/>
        <v/>
      </c>
      <c r="V68" s="37"/>
      <c r="AH68" s="6" t="str">
        <f t="shared" si="2"/>
        <v/>
      </c>
      <c r="AI68" s="43">
        <f t="shared" si="19"/>
        <v>44905</v>
      </c>
      <c r="AJ68" s="43" t="str">
        <f t="shared" si="3"/>
        <v>F</v>
      </c>
      <c r="AK68" s="43">
        <f t="shared" si="20"/>
        <v>21</v>
      </c>
      <c r="AL68" s="43" t="str">
        <f t="shared" si="4"/>
        <v>344;F;21;N</v>
      </c>
      <c r="AM68" s="43">
        <f t="shared" si="21"/>
        <v>384</v>
      </c>
      <c r="AN68" s="43" t="str">
        <f t="shared" si="22"/>
        <v/>
      </c>
      <c r="AO68" s="43" t="b">
        <f t="shared" si="23"/>
        <v>1</v>
      </c>
      <c r="AP68" s="43"/>
      <c r="AQ68" s="43"/>
      <c r="AR68" s="43" t="str">
        <f t="shared" si="24"/>
        <v>ThomasNau N.</v>
      </c>
      <c r="AS68" s="43">
        <f t="shared" si="25"/>
        <v>344</v>
      </c>
      <c r="AT68" s="43" t="str">
        <f t="shared" si="26"/>
        <v>44905;Nuit;ThomasNau N.</v>
      </c>
      <c r="AU68" s="43" t="str">
        <f t="shared" si="27"/>
        <v>N</v>
      </c>
      <c r="AV68" s="41" t="str">
        <f t="shared" si="7"/>
        <v/>
      </c>
      <c r="AW68" s="41" t="str">
        <f t="shared" si="8"/>
        <v/>
      </c>
    </row>
    <row r="69" spans="14:49" ht="18.75" x14ac:dyDescent="0.25">
      <c r="N69" s="6">
        <f t="shared" si="1"/>
        <v>1</v>
      </c>
      <c r="P69" s="47">
        <f>IF(T69&lt;&gt;"",SUM(N$42:N69),"")</f>
        <v>22</v>
      </c>
      <c r="Q69" s="29">
        <v>658</v>
      </c>
      <c r="R69" s="30">
        <v>1042</v>
      </c>
      <c r="S69" s="36"/>
      <c r="T69" s="32">
        <f t="shared" si="28"/>
        <v>384</v>
      </c>
      <c r="U69" s="33" t="str">
        <f t="shared" si="29"/>
        <v/>
      </c>
      <c r="V69" s="37"/>
      <c r="AH69" s="6" t="str">
        <f t="shared" si="2"/>
        <v/>
      </c>
      <c r="AI69" s="43">
        <f t="shared" si="19"/>
        <v>44905</v>
      </c>
      <c r="AJ69" s="43" t="str">
        <f t="shared" si="3"/>
        <v>F</v>
      </c>
      <c r="AK69" s="43">
        <f t="shared" si="20"/>
        <v>22</v>
      </c>
      <c r="AL69" s="43" t="str">
        <f t="shared" si="4"/>
        <v>344;F;22;N</v>
      </c>
      <c r="AM69" s="43">
        <f t="shared" si="21"/>
        <v>384</v>
      </c>
      <c r="AN69" s="43" t="str">
        <f t="shared" si="22"/>
        <v/>
      </c>
      <c r="AO69" s="43" t="b">
        <f t="shared" si="23"/>
        <v>1</v>
      </c>
      <c r="AP69" s="43"/>
      <c r="AQ69" s="43"/>
      <c r="AR69" s="43" t="str">
        <f t="shared" si="24"/>
        <v>ThomasNau N.</v>
      </c>
      <c r="AS69" s="43">
        <f t="shared" si="25"/>
        <v>344</v>
      </c>
      <c r="AT69" s="43" t="str">
        <f t="shared" si="26"/>
        <v>44905;Nuit;ThomasNau N.</v>
      </c>
      <c r="AU69" s="43" t="str">
        <f t="shared" si="27"/>
        <v>N</v>
      </c>
      <c r="AV69" s="41" t="str">
        <f t="shared" si="7"/>
        <v>32;22;31</v>
      </c>
      <c r="AW69" s="41" t="str">
        <f t="shared" si="8"/>
        <v/>
      </c>
    </row>
    <row r="70" spans="14:49" ht="18.75" x14ac:dyDescent="0.25">
      <c r="N70" s="6">
        <f t="shared" si="1"/>
        <v>1</v>
      </c>
      <c r="P70" s="47">
        <f>IF(T70&lt;&gt;"",SUM(N$42:N70),"")</f>
        <v>23</v>
      </c>
      <c r="Q70" s="29">
        <v>658</v>
      </c>
      <c r="R70" s="30">
        <v>1042</v>
      </c>
      <c r="S70" s="36"/>
      <c r="T70" s="32">
        <f t="shared" si="28"/>
        <v>384</v>
      </c>
      <c r="U70" s="33" t="str">
        <f t="shared" si="29"/>
        <v/>
      </c>
      <c r="V70" s="37"/>
      <c r="AH70" s="6" t="str">
        <f t="shared" si="2"/>
        <v/>
      </c>
      <c r="AI70" s="43">
        <f t="shared" si="19"/>
        <v>44905</v>
      </c>
      <c r="AJ70" s="43" t="str">
        <f t="shared" si="3"/>
        <v>F</v>
      </c>
      <c r="AK70" s="43">
        <f t="shared" si="20"/>
        <v>23</v>
      </c>
      <c r="AL70" s="43" t="str">
        <f t="shared" si="4"/>
        <v>344;F;23;N</v>
      </c>
      <c r="AM70" s="43">
        <f t="shared" si="21"/>
        <v>384</v>
      </c>
      <c r="AN70" s="43" t="str">
        <f t="shared" si="22"/>
        <v/>
      </c>
      <c r="AO70" s="43" t="b">
        <f t="shared" si="23"/>
        <v>1</v>
      </c>
      <c r="AP70" s="43"/>
      <c r="AQ70" s="43"/>
      <c r="AR70" s="43" t="str">
        <f t="shared" si="24"/>
        <v>ThomasNau N.</v>
      </c>
      <c r="AS70" s="43">
        <f t="shared" si="25"/>
        <v>344</v>
      </c>
      <c r="AT70" s="43" t="str">
        <f t="shared" si="26"/>
        <v>44905;Nuit;ThomasNau N.</v>
      </c>
      <c r="AU70" s="43" t="str">
        <f t="shared" si="27"/>
        <v>N</v>
      </c>
      <c r="AV70" s="41" t="str">
        <f t="shared" si="7"/>
        <v/>
      </c>
      <c r="AW70" s="41" t="str">
        <f t="shared" si="8"/>
        <v>302;23;OK</v>
      </c>
    </row>
    <row r="71" spans="14:49" ht="18.75" x14ac:dyDescent="0.25">
      <c r="N71" s="6">
        <f t="shared" si="1"/>
        <v>1</v>
      </c>
      <c r="P71" s="47">
        <f>IF(T71&lt;&gt;"",SUM(N$42:N71),"")</f>
        <v>24</v>
      </c>
      <c r="Q71" s="29">
        <v>658</v>
      </c>
      <c r="R71" s="30">
        <v>1042</v>
      </c>
      <c r="S71" s="36"/>
      <c r="T71" s="32">
        <f t="shared" si="28"/>
        <v>384</v>
      </c>
      <c r="U71" s="33" t="str">
        <f t="shared" si="29"/>
        <v/>
      </c>
      <c r="V71" s="37"/>
      <c r="AH71" s="6" t="str">
        <f t="shared" si="2"/>
        <v/>
      </c>
      <c r="AI71" s="43">
        <f t="shared" si="19"/>
        <v>44905</v>
      </c>
      <c r="AJ71" s="43" t="str">
        <f t="shared" si="3"/>
        <v>F</v>
      </c>
      <c r="AK71" s="43">
        <f t="shared" si="20"/>
        <v>24</v>
      </c>
      <c r="AL71" s="43" t="str">
        <f t="shared" si="4"/>
        <v>344;F;24;N</v>
      </c>
      <c r="AM71" s="43">
        <f t="shared" si="21"/>
        <v>384</v>
      </c>
      <c r="AN71" s="43" t="str">
        <f t="shared" si="22"/>
        <v/>
      </c>
      <c r="AO71" s="43" t="b">
        <f t="shared" si="23"/>
        <v>1</v>
      </c>
      <c r="AP71" s="43"/>
      <c r="AQ71" s="43"/>
      <c r="AR71" s="43" t="str">
        <f t="shared" si="24"/>
        <v>ThomasNau N.</v>
      </c>
      <c r="AS71" s="43">
        <f t="shared" si="25"/>
        <v>344</v>
      </c>
      <c r="AT71" s="43" t="str">
        <f t="shared" si="26"/>
        <v>44905;Nuit;ThomasNau N.</v>
      </c>
      <c r="AU71" s="43" t="str">
        <f t="shared" si="27"/>
        <v>N</v>
      </c>
      <c r="AV71" s="41" t="str">
        <f t="shared" si="7"/>
        <v/>
      </c>
      <c r="AW71" s="41" t="str">
        <f t="shared" si="8"/>
        <v/>
      </c>
    </row>
    <row r="72" spans="14:49" ht="18.75" x14ac:dyDescent="0.25">
      <c r="N72" s="6">
        <f t="shared" si="1"/>
        <v>1</v>
      </c>
      <c r="P72" s="47">
        <f>IF(T72&lt;&gt;"",SUM(N$42:N72),"")</f>
        <v>25</v>
      </c>
      <c r="Q72" s="29">
        <v>658</v>
      </c>
      <c r="R72" s="30">
        <v>1042</v>
      </c>
      <c r="S72" s="36"/>
      <c r="T72" s="32">
        <f t="shared" si="28"/>
        <v>384</v>
      </c>
      <c r="U72" s="33" t="str">
        <f t="shared" si="29"/>
        <v/>
      </c>
      <c r="V72" s="37"/>
      <c r="AH72" s="6" t="str">
        <f t="shared" si="2"/>
        <v/>
      </c>
      <c r="AI72" s="43">
        <f t="shared" si="19"/>
        <v>44905</v>
      </c>
      <c r="AJ72" s="43" t="str">
        <f t="shared" si="3"/>
        <v>F</v>
      </c>
      <c r="AK72" s="43">
        <f t="shared" si="20"/>
        <v>25</v>
      </c>
      <c r="AL72" s="43" t="str">
        <f t="shared" si="4"/>
        <v>344;F;25;N</v>
      </c>
      <c r="AM72" s="43">
        <f t="shared" si="21"/>
        <v>384</v>
      </c>
      <c r="AN72" s="43" t="str">
        <f t="shared" si="22"/>
        <v/>
      </c>
      <c r="AO72" s="43" t="b">
        <f t="shared" si="23"/>
        <v>1</v>
      </c>
      <c r="AP72" s="43"/>
      <c r="AQ72" s="43"/>
      <c r="AR72" s="43" t="str">
        <f t="shared" si="24"/>
        <v>ThomasNau N.</v>
      </c>
      <c r="AS72" s="43">
        <f t="shared" si="25"/>
        <v>344</v>
      </c>
      <c r="AT72" s="43" t="str">
        <f t="shared" si="26"/>
        <v>44905;Nuit;ThomasNau N.</v>
      </c>
      <c r="AU72" s="43" t="str">
        <f t="shared" si="27"/>
        <v>N</v>
      </c>
      <c r="AV72" s="41" t="str">
        <f t="shared" si="7"/>
        <v/>
      </c>
      <c r="AW72" s="41" t="str">
        <f t="shared" si="8"/>
        <v/>
      </c>
    </row>
    <row r="73" spans="14:49" ht="18.75" x14ac:dyDescent="0.25">
      <c r="N73" s="6">
        <f t="shared" si="1"/>
        <v>1</v>
      </c>
      <c r="P73" s="47">
        <f>IF(T73&lt;&gt;"",SUM(N$42:N73),"")</f>
        <v>26</v>
      </c>
      <c r="Q73" s="29">
        <v>658</v>
      </c>
      <c r="R73" s="30">
        <v>1042</v>
      </c>
      <c r="S73" s="36"/>
      <c r="T73" s="32">
        <f t="shared" si="28"/>
        <v>384</v>
      </c>
      <c r="U73" s="33" t="str">
        <f t="shared" si="29"/>
        <v/>
      </c>
      <c r="V73" s="37"/>
      <c r="AH73" s="6" t="str">
        <f t="shared" si="2"/>
        <v/>
      </c>
      <c r="AI73" s="43">
        <f t="shared" si="19"/>
        <v>44905</v>
      </c>
      <c r="AJ73" s="43" t="str">
        <f t="shared" si="3"/>
        <v>F</v>
      </c>
      <c r="AK73" s="43">
        <f t="shared" si="20"/>
        <v>26</v>
      </c>
      <c r="AL73" s="43" t="str">
        <f t="shared" si="4"/>
        <v>344;F;26;N</v>
      </c>
      <c r="AM73" s="43">
        <f t="shared" si="21"/>
        <v>384</v>
      </c>
      <c r="AN73" s="43" t="str">
        <f t="shared" si="22"/>
        <v/>
      </c>
      <c r="AO73" s="43" t="b">
        <f t="shared" si="23"/>
        <v>1</v>
      </c>
      <c r="AP73" s="43"/>
      <c r="AQ73" s="43"/>
      <c r="AR73" s="43" t="str">
        <f t="shared" si="24"/>
        <v>ThomasNau N.</v>
      </c>
      <c r="AS73" s="43">
        <f t="shared" si="25"/>
        <v>344</v>
      </c>
      <c r="AT73" s="43" t="str">
        <f t="shared" si="26"/>
        <v>44905;Nuit;ThomasNau N.</v>
      </c>
      <c r="AU73" s="43" t="str">
        <f t="shared" si="27"/>
        <v>N</v>
      </c>
      <c r="AV73" s="41" t="str">
        <f t="shared" si="7"/>
        <v/>
      </c>
      <c r="AW73" s="41" t="str">
        <f t="shared" si="8"/>
        <v/>
      </c>
    </row>
    <row r="74" spans="14:49" ht="18.75" x14ac:dyDescent="0.25">
      <c r="N74" s="6">
        <f t="shared" si="1"/>
        <v>0</v>
      </c>
      <c r="P74" s="47" t="str">
        <f>IF(T74&lt;&gt;"",SUM(N$42:N74),"")</f>
        <v/>
      </c>
      <c r="Q74" s="29"/>
      <c r="R74" s="30"/>
      <c r="S74" s="36"/>
      <c r="T74" s="32" t="str">
        <f t="shared" si="28"/>
        <v/>
      </c>
      <c r="U74" s="33" t="str">
        <f t="shared" si="29"/>
        <v/>
      </c>
      <c r="V74" s="37"/>
      <c r="AH74" s="6" t="str">
        <f t="shared" si="2"/>
        <v/>
      </c>
      <c r="AI74" s="43" t="str">
        <f t="shared" si="19"/>
        <v/>
      </c>
      <c r="AJ74" s="43" t="str">
        <f t="shared" si="3"/>
        <v/>
      </c>
      <c r="AK74" s="43" t="str">
        <f t="shared" si="20"/>
        <v/>
      </c>
      <c r="AL74" s="43" t="str">
        <f t="shared" si="4"/>
        <v/>
      </c>
      <c r="AM74" s="43" t="str">
        <f t="shared" si="21"/>
        <v/>
      </c>
      <c r="AN74" s="43" t="str">
        <f t="shared" si="22"/>
        <v/>
      </c>
      <c r="AO74" s="43" t="str">
        <f t="shared" si="23"/>
        <v/>
      </c>
      <c r="AP74" s="43"/>
      <c r="AQ74" s="43"/>
      <c r="AR74" s="43" t="str">
        <f t="shared" si="24"/>
        <v/>
      </c>
      <c r="AS74" s="43" t="str">
        <f t="shared" si="25"/>
        <v/>
      </c>
      <c r="AT74" s="43" t="str">
        <f t="shared" si="26"/>
        <v/>
      </c>
      <c r="AU74" s="43" t="str">
        <f t="shared" si="27"/>
        <v/>
      </c>
      <c r="AV74" s="41" t="str">
        <f t="shared" si="7"/>
        <v/>
      </c>
      <c r="AW74" s="41" t="str">
        <f t="shared" si="8"/>
        <v/>
      </c>
    </row>
    <row r="75" spans="14:49" ht="18.75" x14ac:dyDescent="0.25">
      <c r="N75" s="6">
        <f t="shared" si="1"/>
        <v>0</v>
      </c>
      <c r="P75" s="47" t="str">
        <f>IF(T75&lt;&gt;"",SUM(N$42:N75),"")</f>
        <v/>
      </c>
      <c r="Q75" s="29"/>
      <c r="R75" s="30"/>
      <c r="S75" s="36"/>
      <c r="T75" s="32" t="str">
        <f t="shared" si="28"/>
        <v/>
      </c>
      <c r="U75" s="33" t="str">
        <f t="shared" si="29"/>
        <v/>
      </c>
      <c r="V75" s="37"/>
      <c r="AH75" s="6" t="str">
        <f t="shared" si="2"/>
        <v/>
      </c>
      <c r="AI75" s="43" t="str">
        <f t="shared" si="19"/>
        <v/>
      </c>
      <c r="AJ75" s="43" t="str">
        <f t="shared" si="3"/>
        <v/>
      </c>
      <c r="AK75" s="43" t="str">
        <f t="shared" si="20"/>
        <v/>
      </c>
      <c r="AL75" s="43" t="str">
        <f t="shared" si="4"/>
        <v/>
      </c>
      <c r="AM75" s="43" t="str">
        <f t="shared" si="21"/>
        <v/>
      </c>
      <c r="AN75" s="43" t="str">
        <f t="shared" si="22"/>
        <v/>
      </c>
      <c r="AO75" s="43" t="str">
        <f t="shared" si="23"/>
        <v/>
      </c>
      <c r="AP75" s="43"/>
      <c r="AQ75" s="43"/>
      <c r="AR75" s="43" t="str">
        <f t="shared" si="24"/>
        <v/>
      </c>
      <c r="AS75" s="43" t="str">
        <f t="shared" si="25"/>
        <v/>
      </c>
      <c r="AT75" s="43" t="str">
        <f t="shared" si="26"/>
        <v/>
      </c>
      <c r="AU75" s="43" t="str">
        <f t="shared" si="27"/>
        <v/>
      </c>
      <c r="AV75" s="41" t="str">
        <f t="shared" si="7"/>
        <v/>
      </c>
      <c r="AW75" s="41" t="str">
        <f t="shared" si="8"/>
        <v/>
      </c>
    </row>
    <row r="76" spans="14:49" ht="18.75" x14ac:dyDescent="0.25">
      <c r="N76" s="6">
        <f t="shared" si="1"/>
        <v>0</v>
      </c>
      <c r="P76" s="47" t="str">
        <f>IF(T76&lt;&gt;"",SUM(N$42:N76),"")</f>
        <v/>
      </c>
      <c r="Q76" s="29"/>
      <c r="R76" s="30"/>
      <c r="S76" s="36"/>
      <c r="T76" s="32" t="str">
        <f t="shared" si="28"/>
        <v/>
      </c>
      <c r="U76" s="33" t="str">
        <f t="shared" si="29"/>
        <v/>
      </c>
      <c r="V76" s="37"/>
      <c r="AH76" s="6" t="str">
        <f t="shared" si="2"/>
        <v/>
      </c>
      <c r="AI76" s="43" t="str">
        <f t="shared" si="19"/>
        <v/>
      </c>
      <c r="AJ76" s="43" t="str">
        <f t="shared" si="3"/>
        <v/>
      </c>
      <c r="AK76" s="43" t="str">
        <f t="shared" si="20"/>
        <v/>
      </c>
      <c r="AL76" s="43" t="str">
        <f t="shared" si="4"/>
        <v/>
      </c>
      <c r="AM76" s="43" t="str">
        <f t="shared" si="21"/>
        <v/>
      </c>
      <c r="AN76" s="43" t="str">
        <f t="shared" si="22"/>
        <v/>
      </c>
      <c r="AO76" s="43" t="str">
        <f t="shared" si="23"/>
        <v/>
      </c>
      <c r="AP76" s="43"/>
      <c r="AQ76" s="43"/>
      <c r="AR76" s="43" t="str">
        <f t="shared" si="24"/>
        <v/>
      </c>
      <c r="AS76" s="43" t="str">
        <f t="shared" si="25"/>
        <v/>
      </c>
      <c r="AT76" s="43" t="str">
        <f t="shared" si="26"/>
        <v/>
      </c>
      <c r="AU76" s="43" t="str">
        <f t="shared" si="27"/>
        <v/>
      </c>
      <c r="AV76" s="41" t="str">
        <f t="shared" si="7"/>
        <v/>
      </c>
      <c r="AW76" s="41" t="str">
        <f t="shared" si="8"/>
        <v/>
      </c>
    </row>
    <row r="77" spans="14:49" ht="18.75" x14ac:dyDescent="0.25">
      <c r="N77" s="6">
        <f t="shared" si="1"/>
        <v>0</v>
      </c>
      <c r="P77" s="47" t="str">
        <f>IF(T77&lt;&gt;"",SUM(N$42:N77),"")</f>
        <v/>
      </c>
      <c r="Q77" s="29"/>
      <c r="R77" s="30"/>
      <c r="S77" s="36"/>
      <c r="T77" s="32" t="str">
        <f t="shared" si="28"/>
        <v/>
      </c>
      <c r="U77" s="33" t="str">
        <f t="shared" si="29"/>
        <v/>
      </c>
      <c r="V77" s="37"/>
      <c r="AH77" s="6" t="str">
        <f t="shared" si="2"/>
        <v/>
      </c>
      <c r="AI77" s="43" t="str">
        <f t="shared" si="19"/>
        <v/>
      </c>
      <c r="AJ77" s="43" t="str">
        <f t="shared" si="3"/>
        <v/>
      </c>
      <c r="AK77" s="43" t="str">
        <f t="shared" si="20"/>
        <v/>
      </c>
      <c r="AL77" s="43" t="str">
        <f t="shared" si="4"/>
        <v/>
      </c>
      <c r="AM77" s="43" t="str">
        <f t="shared" si="21"/>
        <v/>
      </c>
      <c r="AN77" s="43" t="str">
        <f t="shared" si="22"/>
        <v/>
      </c>
      <c r="AO77" s="43" t="str">
        <f t="shared" si="23"/>
        <v/>
      </c>
      <c r="AP77" s="43"/>
      <c r="AQ77" s="43"/>
      <c r="AR77" s="43" t="str">
        <f t="shared" si="24"/>
        <v/>
      </c>
      <c r="AS77" s="43" t="str">
        <f t="shared" si="25"/>
        <v/>
      </c>
      <c r="AT77" s="43" t="str">
        <f t="shared" si="26"/>
        <v/>
      </c>
      <c r="AU77" s="43" t="str">
        <f t="shared" si="27"/>
        <v/>
      </c>
      <c r="AV77" s="41" t="str">
        <f t="shared" si="7"/>
        <v/>
      </c>
      <c r="AW77" s="41" t="str">
        <f t="shared" si="8"/>
        <v/>
      </c>
    </row>
    <row r="78" spans="14:49" ht="18.75" x14ac:dyDescent="0.25">
      <c r="N78" s="6">
        <f t="shared" si="1"/>
        <v>0</v>
      </c>
      <c r="P78" s="47" t="str">
        <f>IF(T78&lt;&gt;"",SUM(N$42:N78),"")</f>
        <v/>
      </c>
      <c r="Q78" s="29"/>
      <c r="R78" s="30"/>
      <c r="S78" s="36"/>
      <c r="T78" s="32" t="str">
        <f t="shared" si="28"/>
        <v/>
      </c>
      <c r="U78" s="33" t="str">
        <f t="shared" si="29"/>
        <v/>
      </c>
      <c r="V78" s="37"/>
      <c r="AH78" s="6" t="str">
        <f t="shared" si="2"/>
        <v/>
      </c>
      <c r="AI78" s="43" t="str">
        <f t="shared" si="19"/>
        <v/>
      </c>
      <c r="AJ78" s="43" t="str">
        <f t="shared" si="3"/>
        <v/>
      </c>
      <c r="AK78" s="43" t="str">
        <f t="shared" si="20"/>
        <v/>
      </c>
      <c r="AL78" s="43" t="str">
        <f t="shared" si="4"/>
        <v/>
      </c>
      <c r="AM78" s="43" t="str">
        <f t="shared" si="21"/>
        <v/>
      </c>
      <c r="AN78" s="43" t="str">
        <f t="shared" si="22"/>
        <v/>
      </c>
      <c r="AO78" s="43" t="str">
        <f t="shared" si="23"/>
        <v/>
      </c>
      <c r="AP78" s="43"/>
      <c r="AQ78" s="43"/>
      <c r="AR78" s="43" t="str">
        <f t="shared" si="24"/>
        <v/>
      </c>
      <c r="AS78" s="43" t="str">
        <f t="shared" si="25"/>
        <v/>
      </c>
      <c r="AT78" s="43" t="str">
        <f t="shared" si="26"/>
        <v/>
      </c>
      <c r="AU78" s="43" t="str">
        <f t="shared" si="27"/>
        <v/>
      </c>
      <c r="AV78" s="41" t="str">
        <f t="shared" si="7"/>
        <v/>
      </c>
      <c r="AW78" s="41" t="str">
        <f t="shared" si="8"/>
        <v/>
      </c>
    </row>
    <row r="79" spans="14:49" ht="18.75" x14ac:dyDescent="0.25">
      <c r="N79" s="6">
        <f t="shared" si="1"/>
        <v>0</v>
      </c>
      <c r="P79" s="47" t="str">
        <f>IF(T79&lt;&gt;"",SUM(N$42:N79),"")</f>
        <v/>
      </c>
      <c r="Q79" s="35"/>
      <c r="R79" s="36"/>
      <c r="S79" s="36"/>
      <c r="T79" s="32" t="str">
        <f t="shared" si="28"/>
        <v/>
      </c>
      <c r="U79" s="33" t="str">
        <f t="shared" si="29"/>
        <v/>
      </c>
      <c r="V79" s="37"/>
      <c r="AH79" s="6" t="str">
        <f t="shared" si="2"/>
        <v/>
      </c>
      <c r="AI79" s="43" t="str">
        <f t="shared" si="19"/>
        <v/>
      </c>
      <c r="AJ79" s="43" t="str">
        <f t="shared" si="3"/>
        <v/>
      </c>
      <c r="AK79" s="43" t="str">
        <f t="shared" si="20"/>
        <v/>
      </c>
      <c r="AL79" s="43" t="str">
        <f t="shared" si="4"/>
        <v/>
      </c>
      <c r="AM79" s="43" t="str">
        <f t="shared" si="21"/>
        <v/>
      </c>
      <c r="AN79" s="43" t="str">
        <f t="shared" si="22"/>
        <v/>
      </c>
      <c r="AO79" s="43" t="str">
        <f t="shared" si="23"/>
        <v/>
      </c>
      <c r="AP79" s="43"/>
      <c r="AQ79" s="43"/>
      <c r="AR79" s="43" t="str">
        <f t="shared" si="24"/>
        <v/>
      </c>
      <c r="AS79" s="43" t="str">
        <f t="shared" si="25"/>
        <v/>
      </c>
      <c r="AT79" s="43" t="str">
        <f t="shared" si="26"/>
        <v/>
      </c>
      <c r="AU79" s="43" t="str">
        <f t="shared" si="27"/>
        <v/>
      </c>
      <c r="AV79" s="41" t="str">
        <f t="shared" si="7"/>
        <v/>
      </c>
      <c r="AW79" s="41" t="str">
        <f t="shared" si="8"/>
        <v/>
      </c>
    </row>
    <row r="80" spans="14:49" ht="18.75" x14ac:dyDescent="0.25">
      <c r="N80" s="6">
        <f t="shared" si="1"/>
        <v>0</v>
      </c>
      <c r="P80" s="47" t="str">
        <f>IF(T80&lt;&gt;"",SUM(N$42:N80),"")</f>
        <v/>
      </c>
      <c r="Q80" s="35"/>
      <c r="R80" s="36"/>
      <c r="S80" s="36"/>
      <c r="T80" s="32" t="str">
        <f t="shared" si="28"/>
        <v/>
      </c>
      <c r="U80" s="33" t="str">
        <f t="shared" si="29"/>
        <v/>
      </c>
      <c r="V80" s="37"/>
      <c r="AH80" s="6" t="str">
        <f t="shared" si="2"/>
        <v/>
      </c>
      <c r="AI80" s="43" t="str">
        <f t="shared" si="19"/>
        <v/>
      </c>
      <c r="AJ80" s="43" t="str">
        <f t="shared" si="3"/>
        <v/>
      </c>
      <c r="AK80" s="43" t="str">
        <f t="shared" si="20"/>
        <v/>
      </c>
      <c r="AL80" s="43" t="str">
        <f t="shared" si="4"/>
        <v/>
      </c>
      <c r="AM80" s="43" t="str">
        <f t="shared" si="21"/>
        <v/>
      </c>
      <c r="AN80" s="43" t="str">
        <f t="shared" si="22"/>
        <v/>
      </c>
      <c r="AO80" s="43" t="str">
        <f t="shared" si="23"/>
        <v/>
      </c>
      <c r="AP80" s="43"/>
      <c r="AQ80" s="43"/>
      <c r="AR80" s="43" t="str">
        <f t="shared" si="24"/>
        <v/>
      </c>
      <c r="AS80" s="43" t="str">
        <f t="shared" si="25"/>
        <v/>
      </c>
      <c r="AT80" s="43" t="str">
        <f t="shared" si="26"/>
        <v/>
      </c>
      <c r="AU80" s="43" t="str">
        <f t="shared" si="27"/>
        <v/>
      </c>
      <c r="AV80" s="41" t="str">
        <f t="shared" si="7"/>
        <v/>
      </c>
      <c r="AW80" s="41" t="str">
        <f t="shared" si="8"/>
        <v/>
      </c>
    </row>
    <row r="81" spans="14:49" ht="18.75" x14ac:dyDescent="0.25">
      <c r="N81" s="6">
        <f t="shared" si="1"/>
        <v>0</v>
      </c>
      <c r="P81" s="47" t="str">
        <f>IF(T81&lt;&gt;"",SUM(N$42:N81),"")</f>
        <v/>
      </c>
      <c r="Q81" s="35"/>
      <c r="R81" s="36"/>
      <c r="S81" s="36"/>
      <c r="T81" s="32" t="str">
        <f t="shared" si="28"/>
        <v/>
      </c>
      <c r="U81" s="33" t="str">
        <f t="shared" si="29"/>
        <v/>
      </c>
      <c r="V81" s="37"/>
      <c r="AH81" s="6" t="str">
        <f t="shared" si="2"/>
        <v/>
      </c>
      <c r="AI81" s="43" t="str">
        <f t="shared" si="19"/>
        <v/>
      </c>
      <c r="AJ81" s="43" t="str">
        <f t="shared" si="3"/>
        <v/>
      </c>
      <c r="AK81" s="43" t="str">
        <f t="shared" si="20"/>
        <v/>
      </c>
      <c r="AL81" s="43" t="str">
        <f t="shared" si="4"/>
        <v/>
      </c>
      <c r="AM81" s="43" t="str">
        <f t="shared" si="21"/>
        <v/>
      </c>
      <c r="AN81" s="43" t="str">
        <f t="shared" si="22"/>
        <v/>
      </c>
      <c r="AO81" s="43" t="str">
        <f t="shared" si="23"/>
        <v/>
      </c>
      <c r="AP81" s="43"/>
      <c r="AQ81" s="43"/>
      <c r="AR81" s="43" t="str">
        <f t="shared" si="24"/>
        <v/>
      </c>
      <c r="AS81" s="43" t="str">
        <f t="shared" si="25"/>
        <v/>
      </c>
      <c r="AT81" s="43" t="str">
        <f t="shared" si="26"/>
        <v/>
      </c>
      <c r="AU81" s="43" t="str">
        <f t="shared" si="27"/>
        <v/>
      </c>
      <c r="AV81" s="41" t="str">
        <f t="shared" si="7"/>
        <v/>
      </c>
      <c r="AW81" s="41" t="str">
        <f t="shared" si="8"/>
        <v/>
      </c>
    </row>
    <row r="82" spans="14:49" ht="18.75" x14ac:dyDescent="0.25">
      <c r="N82" s="6">
        <f t="shared" si="1"/>
        <v>0</v>
      </c>
      <c r="P82" s="47" t="str">
        <f>IF(T82&lt;&gt;"",SUM(N$42:N82),"")</f>
        <v/>
      </c>
      <c r="Q82" s="35"/>
      <c r="R82" s="36"/>
      <c r="S82" s="36"/>
      <c r="T82" s="32" t="str">
        <f t="shared" si="28"/>
        <v/>
      </c>
      <c r="U82" s="33" t="str">
        <f t="shared" si="29"/>
        <v/>
      </c>
      <c r="V82" s="37"/>
      <c r="AH82" s="6" t="str">
        <f t="shared" si="2"/>
        <v/>
      </c>
      <c r="AI82" s="43" t="str">
        <f t="shared" si="19"/>
        <v/>
      </c>
      <c r="AJ82" s="43" t="str">
        <f t="shared" si="3"/>
        <v/>
      </c>
      <c r="AK82" s="43" t="str">
        <f t="shared" si="20"/>
        <v/>
      </c>
      <c r="AL82" s="43" t="str">
        <f t="shared" si="4"/>
        <v/>
      </c>
      <c r="AM82" s="43" t="str">
        <f t="shared" si="21"/>
        <v/>
      </c>
      <c r="AN82" s="43" t="str">
        <f t="shared" si="22"/>
        <v/>
      </c>
      <c r="AO82" s="43" t="str">
        <f t="shared" si="23"/>
        <v/>
      </c>
      <c r="AP82" s="43"/>
      <c r="AQ82" s="43"/>
      <c r="AR82" s="43" t="str">
        <f t="shared" si="24"/>
        <v/>
      </c>
      <c r="AS82" s="43" t="str">
        <f t="shared" si="25"/>
        <v/>
      </c>
      <c r="AT82" s="43" t="str">
        <f t="shared" si="26"/>
        <v/>
      </c>
      <c r="AU82" s="43" t="str">
        <f t="shared" si="27"/>
        <v/>
      </c>
      <c r="AV82" s="41" t="str">
        <f t="shared" si="7"/>
        <v/>
      </c>
      <c r="AW82" s="41" t="str">
        <f t="shared" si="8"/>
        <v/>
      </c>
    </row>
    <row r="83" spans="14:49" ht="18.75" x14ac:dyDescent="0.25">
      <c r="N83" s="6">
        <f t="shared" si="1"/>
        <v>0</v>
      </c>
      <c r="P83" s="47" t="str">
        <f>IF(T83&lt;&gt;"",SUM(N$42:N83),"")</f>
        <v/>
      </c>
      <c r="Q83" s="38"/>
      <c r="R83" s="39"/>
      <c r="S83" s="39"/>
      <c r="T83" s="82" t="str">
        <f t="shared" si="28"/>
        <v/>
      </c>
      <c r="U83" s="83" t="str">
        <f t="shared" si="29"/>
        <v/>
      </c>
      <c r="V83" s="40"/>
      <c r="AH83" s="6" t="str">
        <f t="shared" si="2"/>
        <v/>
      </c>
      <c r="AI83" s="43" t="str">
        <f t="shared" si="19"/>
        <v/>
      </c>
      <c r="AJ83" s="43" t="str">
        <f t="shared" si="3"/>
        <v/>
      </c>
      <c r="AK83" s="43" t="str">
        <f t="shared" si="20"/>
        <v/>
      </c>
      <c r="AL83" s="43" t="str">
        <f t="shared" si="4"/>
        <v/>
      </c>
      <c r="AM83" s="43" t="str">
        <f t="shared" si="21"/>
        <v/>
      </c>
      <c r="AN83" s="43" t="str">
        <f t="shared" si="22"/>
        <v/>
      </c>
      <c r="AO83" s="43" t="str">
        <f t="shared" si="23"/>
        <v/>
      </c>
      <c r="AP83" s="43"/>
      <c r="AQ83" s="43"/>
      <c r="AR83" s="43" t="str">
        <f t="shared" si="24"/>
        <v/>
      </c>
      <c r="AS83" s="43" t="str">
        <f t="shared" si="25"/>
        <v/>
      </c>
      <c r="AT83" s="43" t="str">
        <f t="shared" si="26"/>
        <v/>
      </c>
      <c r="AU83" s="43" t="str">
        <f t="shared" si="27"/>
        <v/>
      </c>
      <c r="AV83" s="41" t="str">
        <f t="shared" si="7"/>
        <v/>
      </c>
      <c r="AW83" s="41" t="str">
        <f t="shared" si="8"/>
        <v/>
      </c>
    </row>
  </sheetData>
  <mergeCells count="14">
    <mergeCell ref="Q21:Y24"/>
    <mergeCell ref="R25:X29"/>
    <mergeCell ref="Y28:Z28"/>
    <mergeCell ref="Y29:Z29"/>
    <mergeCell ref="P35:R35"/>
    <mergeCell ref="T35:V35"/>
    <mergeCell ref="X35:Z35"/>
    <mergeCell ref="X59:Z59"/>
    <mergeCell ref="X51:Z51"/>
    <mergeCell ref="X52:Y56"/>
    <mergeCell ref="Y25:Z27"/>
    <mergeCell ref="X45:Y49"/>
    <mergeCell ref="Z45:Z49"/>
    <mergeCell ref="X44:Y44"/>
  </mergeCells>
  <conditionalFormatting sqref="P43:P83">
    <cfRule type="cellIs" dxfId="15" priority="6" operator="notEqual">
      <formula>0</formula>
    </cfRule>
  </conditionalFormatting>
  <conditionalFormatting sqref="T43:T83">
    <cfRule type="cellIs" dxfId="14" priority="5" operator="between">
      <formula>$Y$32</formula>
      <formula>$Y$33</formula>
    </cfRule>
  </conditionalFormatting>
  <conditionalFormatting sqref="V37:V40">
    <cfRule type="cellIs" dxfId="13" priority="1" operator="equal">
      <formula>"OK"</formula>
    </cfRule>
  </conditionalFormatting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between" id="{8E3F11B6-E1B7-4742-81F3-2695D0AB11B1}">
            <xm:f>data!$D$10</xm:f>
            <xm:f>100</xm:f>
            <x14:dxf>
              <font>
                <color theme="0"/>
              </font>
              <fill>
                <patternFill>
                  <bgColor theme="9"/>
                </patternFill>
              </fill>
            </x14:dxf>
          </x14:cfRule>
          <xm:sqref>X45:Y49</xm:sqref>
        </x14:conditionalFormatting>
        <x14:conditionalFormatting xmlns:xm="http://schemas.microsoft.com/office/excel/2006/main">
          <x14:cfRule type="cellIs" priority="3" operator="between" id="{91958FBD-10BD-4C7C-BF0A-318F4DCF00A3}">
            <xm:f>data!$D$2</xm:f>
            <xm:f>data!$D$3</xm:f>
            <x14:dxf>
              <font>
                <color theme="9" tint="-0.499984740745262"/>
              </font>
              <fill>
                <patternFill>
                  <bgColor theme="9" tint="0.59996337778862885"/>
                </patternFill>
              </fill>
            </x14:dxf>
          </x14:cfRule>
          <xm:sqref>Q37:R40</xm:sqref>
        </x14:conditionalFormatting>
        <x14:conditionalFormatting xmlns:xm="http://schemas.microsoft.com/office/excel/2006/main">
          <x14:cfRule type="cellIs" priority="2" operator="between" id="{AFF25EB3-56D1-4241-A97F-FA756400B14E}">
            <xm:f>data!$D$4</xm:f>
            <xm:f>data!$D$5</xm:f>
            <x14:dxf>
              <font>
                <color theme="9" tint="-0.499984740745262"/>
              </font>
              <fill>
                <patternFill>
                  <bgColor theme="9" tint="0.59996337778862885"/>
                </patternFill>
              </fill>
            </x14:dxf>
          </x14:cfRule>
          <xm:sqref>U37:U40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>
          <x14:formula1>
            <xm:f>data!$A$2:$A$6</xm:f>
          </x14:formula1>
          <xm:sqref>S43:S62</xm:sqref>
        </x14:dataValidation>
        <x14:dataValidation type="list" allowBlank="1" showInputMessage="1" showErrorMessage="1">
          <x14:formula1>
            <xm:f>data!$A$9:$A$12</xm:f>
          </x14:formula1>
          <xm:sqref>V37:V40</xm:sqref>
        </x14:dataValidation>
        <x14:dataValidation type="list" allowBlank="1" showInputMessage="1" showErrorMessage="1">
          <x14:formula1>
            <xm:f>data!$F$2:$F$5</xm:f>
          </x14:formula1>
          <xm:sqref>R33</xm:sqref>
        </x14:dataValidation>
        <x14:dataValidation type="list" allowBlank="1" showInputMessage="1" showErrorMessage="1">
          <x14:formula1>
            <xm:f>data!$F$8:$F$13</xm:f>
          </x14:formula1>
          <xm:sqref>U31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/>
  <dimension ref="K1:DD85"/>
  <sheetViews>
    <sheetView topLeftCell="K16" zoomScaleNormal="100" workbookViewId="0">
      <selection activeCell="M38" sqref="M38"/>
    </sheetView>
  </sheetViews>
  <sheetFormatPr baseColWidth="10" defaultColWidth="11.42578125" defaultRowHeight="16.5" customHeight="1" x14ac:dyDescent="0.25"/>
  <cols>
    <col min="1" max="10" width="0" style="93" hidden="1" customWidth="1"/>
    <col min="11" max="11" width="2.42578125" style="150" customWidth="1"/>
    <col min="12" max="12" width="5.5703125" style="94" customWidth="1"/>
    <col min="13" max="15" width="13.28515625" style="93" customWidth="1"/>
    <col min="16" max="16" width="15.140625" style="93" customWidth="1"/>
    <col min="17" max="18" width="13.28515625" style="93" customWidth="1"/>
    <col min="19" max="19" width="6.85546875" style="93" customWidth="1"/>
    <col min="20" max="22" width="11.42578125" style="93"/>
    <col min="23" max="23" width="6.140625" style="93" customWidth="1"/>
    <col min="24" max="26" width="12.85546875" style="93" customWidth="1"/>
    <col min="27" max="27" width="7.28515625" style="93" customWidth="1"/>
    <col min="28" max="28" width="11.42578125" style="93"/>
    <col min="29" max="29" width="17.5703125" style="97" hidden="1" customWidth="1"/>
    <col min="30" max="30" width="10.7109375" style="97" hidden="1" customWidth="1"/>
    <col min="31" max="31" width="6.140625" style="97" hidden="1" customWidth="1"/>
    <col min="32" max="32" width="9.42578125" style="97" hidden="1" customWidth="1"/>
    <col min="33" max="33" width="6" style="97" hidden="1" customWidth="1"/>
    <col min="34" max="34" width="10.7109375" style="97" hidden="1" customWidth="1"/>
    <col min="35" max="35" width="15.28515625" style="136" hidden="1" customWidth="1"/>
    <col min="36" max="36" width="17.5703125" style="189" hidden="1" customWidth="1"/>
    <col min="37" max="37" width="9" style="138" hidden="1" customWidth="1"/>
    <col min="38" max="38" width="6" style="138" hidden="1" customWidth="1"/>
    <col min="39" max="39" width="10.7109375" style="138" hidden="1" customWidth="1"/>
    <col min="40" max="40" width="8.28515625" style="138" hidden="1" customWidth="1"/>
    <col min="41" max="41" width="9.42578125" style="138" hidden="1" customWidth="1"/>
    <col min="42" max="42" width="6" style="138" hidden="1" customWidth="1"/>
    <col min="43" max="43" width="10.7109375" style="138" hidden="1" customWidth="1"/>
    <col min="44" max="44" width="18.5703125" style="138" hidden="1" customWidth="1"/>
    <col min="45" max="45" width="9.85546875" style="138" hidden="1" customWidth="1"/>
    <col min="46" max="46" width="11.7109375" style="138" hidden="1" customWidth="1"/>
    <col min="47" max="47" width="16.28515625" style="138" hidden="1" customWidth="1"/>
    <col min="48" max="48" width="12.7109375" style="138" hidden="1" customWidth="1"/>
    <col min="49" max="49" width="17.5703125" style="138" hidden="1" customWidth="1"/>
    <col min="50" max="50" width="25.42578125" style="138" hidden="1" customWidth="1"/>
    <col min="51" max="56" width="5.140625" style="138" hidden="1" customWidth="1"/>
    <col min="57" max="62" width="4.7109375" style="138" hidden="1" customWidth="1"/>
    <col min="63" max="65" width="11.42578125" style="138" hidden="1" customWidth="1"/>
    <col min="66" max="81" width="11.42578125" style="138" customWidth="1"/>
    <col min="82" max="108" width="11.42578125" style="138"/>
    <col min="109" max="16384" width="11.42578125" style="93"/>
  </cols>
  <sheetData>
    <row r="1" spans="29:36" ht="16.5" hidden="1" customHeight="1" x14ac:dyDescent="0.25">
      <c r="AC1" s="135"/>
      <c r="AD1" s="135"/>
      <c r="AE1" s="135"/>
      <c r="AF1" s="135"/>
      <c r="AG1" s="135"/>
      <c r="AH1" s="135"/>
    </row>
    <row r="2" spans="29:36" ht="16.5" hidden="1" customHeight="1" x14ac:dyDescent="0.25">
      <c r="AC2" s="135"/>
      <c r="AD2" s="135"/>
      <c r="AE2" s="135"/>
      <c r="AF2" s="135"/>
      <c r="AG2" s="135"/>
      <c r="AH2" s="135"/>
    </row>
    <row r="3" spans="29:36" ht="16.5" hidden="1" customHeight="1" x14ac:dyDescent="0.25">
      <c r="AC3" s="135"/>
      <c r="AD3" s="135"/>
      <c r="AE3" s="135"/>
      <c r="AF3" s="135"/>
      <c r="AG3" s="135"/>
      <c r="AH3" s="135"/>
    </row>
    <row r="4" spans="29:36" ht="16.5" hidden="1" customHeight="1" x14ac:dyDescent="0.25">
      <c r="AC4" s="135"/>
      <c r="AD4" s="135"/>
      <c r="AE4" s="135"/>
      <c r="AF4" s="135"/>
      <c r="AG4" s="135"/>
      <c r="AH4" s="135"/>
    </row>
    <row r="5" spans="29:36" ht="16.5" hidden="1" customHeight="1" x14ac:dyDescent="0.25">
      <c r="AC5" s="135"/>
      <c r="AD5" s="135"/>
      <c r="AE5" s="135"/>
      <c r="AF5" s="135"/>
      <c r="AG5" s="135"/>
      <c r="AH5" s="135"/>
    </row>
    <row r="6" spans="29:36" ht="16.5" hidden="1" customHeight="1" x14ac:dyDescent="0.25">
      <c r="AC6" s="135"/>
      <c r="AD6" s="135"/>
      <c r="AE6" s="135"/>
      <c r="AF6" s="135"/>
      <c r="AG6" s="135"/>
      <c r="AH6" s="135"/>
    </row>
    <row r="7" spans="29:36" ht="16.5" hidden="1" customHeight="1" x14ac:dyDescent="0.25">
      <c r="AC7" s="135"/>
      <c r="AD7" s="135"/>
      <c r="AE7" s="135"/>
      <c r="AF7" s="135"/>
      <c r="AG7" s="135"/>
      <c r="AH7" s="135"/>
    </row>
    <row r="8" spans="29:36" ht="16.5" hidden="1" customHeight="1" x14ac:dyDescent="0.25">
      <c r="AC8" s="135"/>
      <c r="AD8" s="135"/>
      <c r="AE8" s="135"/>
      <c r="AF8" s="135"/>
      <c r="AG8" s="135"/>
      <c r="AH8" s="135"/>
    </row>
    <row r="9" spans="29:36" ht="16.5" hidden="1" customHeight="1" x14ac:dyDescent="0.25">
      <c r="AC9" s="135"/>
      <c r="AD9" s="135"/>
      <c r="AE9" s="135"/>
      <c r="AF9" s="135"/>
      <c r="AG9" s="135"/>
      <c r="AH9" s="135"/>
    </row>
    <row r="10" spans="29:36" ht="16.5" hidden="1" customHeight="1" x14ac:dyDescent="0.25">
      <c r="AC10" s="135"/>
      <c r="AD10" s="135"/>
      <c r="AE10" s="135"/>
      <c r="AF10" s="135"/>
      <c r="AG10" s="135"/>
      <c r="AH10" s="135"/>
    </row>
    <row r="11" spans="29:36" ht="16.5" hidden="1" customHeight="1" x14ac:dyDescent="0.25">
      <c r="AC11" s="135"/>
      <c r="AD11" s="135"/>
      <c r="AE11" s="135"/>
      <c r="AF11" s="135"/>
      <c r="AG11" s="135"/>
      <c r="AH11" s="135"/>
    </row>
    <row r="12" spans="29:36" ht="16.5" hidden="1" customHeight="1" x14ac:dyDescent="0.25">
      <c r="AC12" s="135"/>
      <c r="AD12" s="135"/>
      <c r="AE12" s="135"/>
      <c r="AF12" s="135"/>
      <c r="AG12" s="135"/>
      <c r="AH12" s="135"/>
    </row>
    <row r="13" spans="29:36" ht="16.5" hidden="1" customHeight="1" x14ac:dyDescent="0.25">
      <c r="AC13" s="135"/>
      <c r="AD13" s="135"/>
      <c r="AE13" s="135"/>
      <c r="AF13" s="135"/>
      <c r="AG13" s="135"/>
      <c r="AH13" s="135"/>
    </row>
    <row r="14" spans="29:36" ht="16.5" hidden="1" customHeight="1" x14ac:dyDescent="0.25">
      <c r="AC14" s="135"/>
      <c r="AD14" s="135"/>
      <c r="AE14" s="135"/>
      <c r="AF14" s="135"/>
      <c r="AG14" s="135"/>
      <c r="AH14" s="135"/>
    </row>
    <row r="15" spans="29:36" ht="16.5" hidden="1" customHeight="1" x14ac:dyDescent="0.25">
      <c r="AC15" s="135"/>
      <c r="AD15" s="135"/>
      <c r="AE15" s="135"/>
      <c r="AF15" s="135"/>
      <c r="AG15" s="135"/>
      <c r="AH15" s="135"/>
    </row>
    <row r="16" spans="29:36" ht="16.5" customHeight="1" thickBot="1" x14ac:dyDescent="0.3">
      <c r="AC16" s="224" t="s">
        <v>273</v>
      </c>
      <c r="AD16" s="224"/>
      <c r="AE16" s="224"/>
      <c r="AF16" s="224"/>
      <c r="AG16" s="224"/>
      <c r="AH16" s="224"/>
      <c r="AI16" s="224"/>
      <c r="AJ16" s="224"/>
    </row>
    <row r="17" spans="12:65" ht="16.5" customHeight="1" thickTop="1" x14ac:dyDescent="0.25">
      <c r="L17" s="117"/>
      <c r="M17" s="113"/>
      <c r="N17" s="113"/>
      <c r="O17" s="113"/>
      <c r="P17" s="113"/>
      <c r="Q17" s="113"/>
      <c r="R17" s="113"/>
      <c r="S17" s="113"/>
      <c r="T17" s="113"/>
      <c r="U17" s="113"/>
      <c r="V17" s="113"/>
      <c r="W17" s="113"/>
      <c r="X17" s="113"/>
      <c r="Y17" s="113"/>
      <c r="Z17" s="113"/>
      <c r="AA17" s="114"/>
      <c r="AC17" s="142" t="s">
        <v>53</v>
      </c>
      <c r="AD17" s="142" t="s">
        <v>0</v>
      </c>
      <c r="AE17" s="142" t="s">
        <v>230</v>
      </c>
      <c r="AF17" s="142" t="s">
        <v>231</v>
      </c>
      <c r="AG17" s="142" t="s">
        <v>56</v>
      </c>
      <c r="AH17" s="142" t="s">
        <v>246</v>
      </c>
      <c r="AI17" s="142" t="s">
        <v>247</v>
      </c>
      <c r="AJ17" s="142" t="s">
        <v>248</v>
      </c>
      <c r="AK17" s="142" t="s">
        <v>249</v>
      </c>
      <c r="AL17" s="142" t="s">
        <v>66</v>
      </c>
      <c r="AM17" s="143" t="s">
        <v>14</v>
      </c>
      <c r="AN17" s="143" t="s">
        <v>13</v>
      </c>
      <c r="AO17" s="143" t="s">
        <v>8</v>
      </c>
      <c r="AP17" s="143" t="s">
        <v>15</v>
      </c>
      <c r="AQ17" s="143" t="s">
        <v>16</v>
      </c>
      <c r="AR17" s="144" t="s">
        <v>250</v>
      </c>
      <c r="AS17" s="143" t="s">
        <v>251</v>
      </c>
      <c r="AT17" s="143" t="s">
        <v>252</v>
      </c>
      <c r="AU17" s="143" t="s">
        <v>253</v>
      </c>
      <c r="AV17" s="143" t="s">
        <v>254</v>
      </c>
      <c r="AW17" s="143" t="s">
        <v>255</v>
      </c>
      <c r="AX17" s="144" t="s">
        <v>256</v>
      </c>
      <c r="AY17" s="144" t="s">
        <v>257</v>
      </c>
      <c r="AZ17" s="144" t="s">
        <v>258</v>
      </c>
      <c r="BA17" s="144" t="s">
        <v>259</v>
      </c>
      <c r="BB17" s="144" t="s">
        <v>260</v>
      </c>
      <c r="BC17" s="144" t="s">
        <v>261</v>
      </c>
      <c r="BD17" s="144" t="s">
        <v>262</v>
      </c>
      <c r="BE17" s="144" t="s">
        <v>263</v>
      </c>
      <c r="BF17" s="144" t="s">
        <v>264</v>
      </c>
      <c r="BG17" s="144" t="s">
        <v>265</v>
      </c>
      <c r="BH17" s="144" t="s">
        <v>266</v>
      </c>
      <c r="BI17" s="144" t="s">
        <v>267</v>
      </c>
      <c r="BJ17" s="144" t="s">
        <v>268</v>
      </c>
      <c r="BK17" s="144" t="s">
        <v>286</v>
      </c>
      <c r="BL17" s="144" t="s">
        <v>286</v>
      </c>
      <c r="BM17" s="144" t="s">
        <v>287</v>
      </c>
    </row>
    <row r="18" spans="12:65" ht="16.5" customHeight="1" x14ac:dyDescent="0.25">
      <c r="L18" s="118"/>
      <c r="M18" s="146"/>
      <c r="N18" s="146"/>
      <c r="O18" s="225" t="s">
        <v>236</v>
      </c>
      <c r="P18" s="225"/>
      <c r="Q18" s="225"/>
      <c r="R18" s="225"/>
      <c r="S18" s="225"/>
      <c r="T18" s="225"/>
      <c r="U18" s="225"/>
      <c r="V18" s="225"/>
      <c r="W18" s="225"/>
      <c r="X18" s="146"/>
      <c r="Y18" s="146"/>
      <c r="Z18" s="146"/>
      <c r="AA18" s="107"/>
      <c r="AC18" s="142" t="str">
        <f>CONCATENATE(N29,";",N31,";",P29)</f>
        <v>;;</v>
      </c>
      <c r="AD18" s="145">
        <f>N29</f>
        <v>0</v>
      </c>
      <c r="AE18" s="142">
        <f>P29</f>
        <v>0</v>
      </c>
      <c r="AF18" s="142">
        <f>P31</f>
        <v>0</v>
      </c>
      <c r="AG18" s="142" t="str">
        <f>AA33</f>
        <v/>
      </c>
      <c r="AH18" s="142">
        <f>V52</f>
        <v>0</v>
      </c>
      <c r="AI18" s="142">
        <f>V53</f>
        <v>0</v>
      </c>
      <c r="AJ18" s="142">
        <f>U52</f>
        <v>0</v>
      </c>
      <c r="AK18" s="142">
        <f>U53</f>
        <v>0</v>
      </c>
      <c r="AL18" s="142" t="str">
        <f>X34</f>
        <v/>
      </c>
      <c r="AM18" s="142">
        <f>V54</f>
        <v>0</v>
      </c>
      <c r="AN18" s="142">
        <f>V55</f>
        <v>0</v>
      </c>
      <c r="AO18" s="142">
        <f>V56</f>
        <v>0</v>
      </c>
      <c r="AP18" s="144">
        <f>V57</f>
        <v>0</v>
      </c>
      <c r="AQ18" s="144">
        <f>V58</f>
        <v>0</v>
      </c>
      <c r="AR18" s="144"/>
      <c r="AS18" s="142">
        <f>U54</f>
        <v>0</v>
      </c>
      <c r="AT18" s="142">
        <f>U55</f>
        <v>0</v>
      </c>
      <c r="AU18" s="142">
        <f>U56</f>
        <v>0</v>
      </c>
      <c r="AV18" s="144">
        <f>U57</f>
        <v>0</v>
      </c>
      <c r="AW18" s="144">
        <f>U58</f>
        <v>0</v>
      </c>
      <c r="AX18" s="144">
        <f>U59</f>
        <v>0</v>
      </c>
      <c r="AY18" s="144" t="str">
        <f>CONCATENATE(U35,"/",T35,"/",V35)</f>
        <v>//</v>
      </c>
      <c r="AZ18" s="144" t="str">
        <f>CONCATENATE(U36,"/",T36,"/",V36)</f>
        <v>//</v>
      </c>
      <c r="BA18" s="144" t="str">
        <f>CONCATENATE(U37,"/",T37,"/",V37)</f>
        <v>//</v>
      </c>
      <c r="BB18" s="144" t="str">
        <f>CONCATENATE(U38,"/",T38,"/",V38)</f>
        <v>//</v>
      </c>
      <c r="BC18" s="144" t="str">
        <f>CONCATENATE(U39,"/",T39,"/",V39)</f>
        <v>//</v>
      </c>
      <c r="BD18" s="144" t="str">
        <f>CONCATENATE(U40,"/",T40,"/",V40)</f>
        <v>//</v>
      </c>
      <c r="BE18" s="144" t="str">
        <f>CONCATENATE(U44,"/",T44,"/",V44)</f>
        <v>//</v>
      </c>
      <c r="BF18" s="144" t="str">
        <f>CONCATENATE(U45,"/",T45,"/",V45)</f>
        <v>//</v>
      </c>
      <c r="BG18" s="144" t="str">
        <f>CONCATENATE(U46,"/",T46,"/",V46)</f>
        <v>//</v>
      </c>
      <c r="BH18" s="144" t="str">
        <f>CONCATENATE(U47,"/",T47,"/",V47)</f>
        <v>//</v>
      </c>
      <c r="BI18" s="144" t="str">
        <f>CONCATENATE(U48,"/",T48,"/",V48)</f>
        <v>//</v>
      </c>
      <c r="BJ18" s="144" t="str">
        <f>CONCATENATE(U49,"/",T49,"/",V49)</f>
        <v>//</v>
      </c>
      <c r="BK18" s="144" t="e">
        <f>AB34</f>
        <v>#DIV/0!</v>
      </c>
      <c r="BL18" s="144" t="e">
        <f>AB36</f>
        <v>#DIV/0!</v>
      </c>
      <c r="BM18" s="144" t="e">
        <f>AB43</f>
        <v>#DIV/0!</v>
      </c>
    </row>
    <row r="19" spans="12:65" ht="16.5" customHeight="1" x14ac:dyDescent="0.25">
      <c r="L19" s="118"/>
      <c r="M19" s="146"/>
      <c r="N19" s="146"/>
      <c r="O19" s="225"/>
      <c r="P19" s="225"/>
      <c r="Q19" s="225"/>
      <c r="R19" s="225"/>
      <c r="S19" s="225"/>
      <c r="T19" s="225"/>
      <c r="U19" s="225"/>
      <c r="V19" s="225"/>
      <c r="W19" s="225"/>
      <c r="X19" s="146"/>
      <c r="Y19" s="146"/>
      <c r="Z19" s="146"/>
      <c r="AA19" s="107"/>
      <c r="AC19" s="135"/>
      <c r="AD19" s="135"/>
      <c r="AE19" s="135"/>
      <c r="AF19" s="135"/>
      <c r="AG19" s="135"/>
      <c r="AH19" s="135"/>
    </row>
    <row r="20" spans="12:65" ht="16.5" customHeight="1" x14ac:dyDescent="0.25">
      <c r="L20" s="118"/>
      <c r="M20" s="146"/>
      <c r="N20" s="146"/>
      <c r="O20" s="225"/>
      <c r="P20" s="225"/>
      <c r="Q20" s="225"/>
      <c r="R20" s="225"/>
      <c r="S20" s="225"/>
      <c r="T20" s="225"/>
      <c r="U20" s="225"/>
      <c r="V20" s="225"/>
      <c r="W20" s="225"/>
      <c r="X20" s="146"/>
      <c r="Y20" s="146"/>
      <c r="Z20" s="146"/>
      <c r="AA20" s="107"/>
      <c r="AB20" s="182" t="s">
        <v>282</v>
      </c>
      <c r="AC20" s="135" t="s">
        <v>277</v>
      </c>
      <c r="AD20" s="135"/>
      <c r="AE20" s="135"/>
      <c r="AF20" s="135"/>
      <c r="AG20" s="135"/>
      <c r="AH20" s="135"/>
    </row>
    <row r="21" spans="12:65" ht="16.5" customHeight="1" x14ac:dyDescent="0.25">
      <c r="L21" s="118"/>
      <c r="M21" s="146"/>
      <c r="N21" s="146"/>
      <c r="O21" s="225"/>
      <c r="P21" s="225"/>
      <c r="Q21" s="225"/>
      <c r="R21" s="225"/>
      <c r="S21" s="225"/>
      <c r="T21" s="225"/>
      <c r="U21" s="225"/>
      <c r="V21" s="225"/>
      <c r="W21" s="225"/>
      <c r="X21" s="146"/>
      <c r="Y21" s="146"/>
      <c r="Z21" s="146"/>
      <c r="AA21" s="107"/>
      <c r="AB21" s="182" t="s">
        <v>281</v>
      </c>
      <c r="AC21" s="135">
        <f>COUNTIF(newTRS!A:A,exportateur!AC18)</f>
        <v>0</v>
      </c>
      <c r="AD21" s="180">
        <v>0</v>
      </c>
      <c r="AE21" s="135"/>
      <c r="AF21" s="135"/>
      <c r="AG21" s="135"/>
      <c r="AH21" s="135"/>
    </row>
    <row r="22" spans="12:65" ht="16.5" customHeight="1" thickBot="1" x14ac:dyDescent="0.3">
      <c r="L22" s="118"/>
      <c r="M22" s="146"/>
      <c r="N22" s="146"/>
      <c r="O22" s="226"/>
      <c r="P22" s="226"/>
      <c r="Q22" s="226"/>
      <c r="R22" s="226"/>
      <c r="S22" s="226"/>
      <c r="T22" s="226"/>
      <c r="U22" s="226"/>
      <c r="V22" s="226"/>
      <c r="W22" s="226"/>
      <c r="X22" s="146"/>
      <c r="Y22" s="147"/>
      <c r="Z22" s="146"/>
      <c r="AA22" s="107"/>
      <c r="AC22" s="135" t="s">
        <v>122</v>
      </c>
      <c r="AD22" s="135"/>
      <c r="AE22" s="135"/>
      <c r="AF22" s="135"/>
      <c r="AG22" s="135"/>
      <c r="AH22" s="135"/>
    </row>
    <row r="23" spans="12:65" ht="16.5" customHeight="1" thickTop="1" x14ac:dyDescent="0.25">
      <c r="L23" s="118"/>
      <c r="M23" s="106"/>
      <c r="N23" s="106"/>
      <c r="O23" s="178" t="s">
        <v>279</v>
      </c>
      <c r="P23" s="227" t="s">
        <v>288</v>
      </c>
      <c r="Q23" s="228"/>
      <c r="R23" s="228"/>
      <c r="S23" s="228"/>
      <c r="T23" s="228"/>
      <c r="U23" s="228"/>
      <c r="V23" s="228"/>
      <c r="W23" s="228"/>
      <c r="X23" s="179"/>
      <c r="Y23" s="106"/>
      <c r="Z23" s="106"/>
      <c r="AA23" s="107"/>
      <c r="AC23" s="135">
        <f>MAX(AI34:AI84)</f>
        <v>0</v>
      </c>
      <c r="AD23" s="135"/>
      <c r="AE23" s="135"/>
      <c r="AF23" s="135"/>
      <c r="AG23" s="135"/>
      <c r="AH23" s="135"/>
    </row>
    <row r="24" spans="12:65" ht="16.5" customHeight="1" x14ac:dyDescent="0.25">
      <c r="L24" s="118"/>
      <c r="M24" s="106"/>
      <c r="N24" s="106"/>
      <c r="O24" s="179"/>
      <c r="P24" s="229"/>
      <c r="Q24" s="229"/>
      <c r="R24" s="229"/>
      <c r="S24" s="229"/>
      <c r="T24" s="229"/>
      <c r="U24" s="229"/>
      <c r="V24" s="229"/>
      <c r="W24" s="229"/>
      <c r="X24" s="179"/>
      <c r="Y24" s="106"/>
      <c r="Z24" s="106"/>
      <c r="AA24" s="107"/>
      <c r="AC24" s="135"/>
      <c r="AD24" s="135"/>
      <c r="AE24" s="135"/>
      <c r="AF24" s="135"/>
      <c r="AG24" s="135"/>
      <c r="AH24" s="135"/>
    </row>
    <row r="25" spans="12:65" ht="16.5" customHeight="1" thickBot="1" x14ac:dyDescent="0.25">
      <c r="L25" s="118"/>
      <c r="M25" s="106"/>
      <c r="N25" s="111" t="s">
        <v>129</v>
      </c>
      <c r="O25" s="179"/>
      <c r="P25" s="229"/>
      <c r="Q25" s="229"/>
      <c r="R25" s="229"/>
      <c r="S25" s="229"/>
      <c r="T25" s="229"/>
      <c r="U25" s="229"/>
      <c r="V25" s="229"/>
      <c r="W25" s="229"/>
      <c r="X25" s="179"/>
      <c r="Y25" s="111" t="s">
        <v>238</v>
      </c>
      <c r="Z25" s="111"/>
      <c r="AA25" s="107"/>
      <c r="AC25" s="135"/>
      <c r="AD25" s="135"/>
      <c r="AE25" s="135"/>
      <c r="AF25" s="135"/>
      <c r="AG25" s="135"/>
      <c r="AH25" s="135"/>
    </row>
    <row r="26" spans="12:65" ht="16.5" customHeight="1" thickTop="1" x14ac:dyDescent="0.25">
      <c r="L26" s="118"/>
      <c r="M26" s="106"/>
      <c r="N26" s="98" t="s">
        <v>30</v>
      </c>
      <c r="O26" s="179"/>
      <c r="P26" s="229"/>
      <c r="Q26" s="229"/>
      <c r="R26" s="229"/>
      <c r="S26" s="229"/>
      <c r="T26" s="229"/>
      <c r="U26" s="229"/>
      <c r="V26" s="229"/>
      <c r="W26" s="229"/>
      <c r="X26" s="179"/>
      <c r="Y26" s="98" t="s">
        <v>22</v>
      </c>
      <c r="Z26" s="112"/>
      <c r="AA26" s="107"/>
      <c r="AC26" s="135"/>
      <c r="AD26" s="135"/>
      <c r="AE26" s="135"/>
      <c r="AF26" s="135"/>
      <c r="AG26" s="135"/>
      <c r="AH26" s="135"/>
    </row>
    <row r="27" spans="12:65" ht="16.5" customHeight="1" thickBot="1" x14ac:dyDescent="0.3">
      <c r="L27" s="119"/>
      <c r="M27" s="109"/>
      <c r="N27" s="187"/>
      <c r="O27" s="109"/>
      <c r="P27" s="109"/>
      <c r="Q27" s="109"/>
      <c r="R27" s="109"/>
      <c r="S27" s="109"/>
      <c r="T27" s="109"/>
      <c r="U27" s="109"/>
      <c r="V27" s="109"/>
      <c r="W27" s="109"/>
      <c r="X27" s="109"/>
      <c r="Y27" s="109"/>
      <c r="Z27" s="109"/>
      <c r="AA27" s="110"/>
      <c r="AC27" s="135"/>
      <c r="AD27" s="135"/>
      <c r="AE27" s="135"/>
      <c r="AF27" s="135"/>
      <c r="AG27" s="135"/>
      <c r="AH27" s="135"/>
    </row>
    <row r="28" spans="12:65" ht="16.5" customHeight="1" thickTop="1" thickBot="1" x14ac:dyDescent="0.3">
      <c r="AC28" s="135"/>
      <c r="AD28" s="135"/>
      <c r="AE28" s="135"/>
      <c r="AF28" s="135"/>
      <c r="AG28" s="135"/>
      <c r="AH28" s="135"/>
    </row>
    <row r="29" spans="12:65" ht="16.5" customHeight="1" thickTop="1" thickBot="1" x14ac:dyDescent="0.3">
      <c r="M29" s="94" t="s">
        <v>0</v>
      </c>
      <c r="N29" s="152"/>
      <c r="O29" s="94" t="s">
        <v>3</v>
      </c>
      <c r="P29" s="153"/>
      <c r="R29" s="94" t="s">
        <v>29</v>
      </c>
      <c r="S29" s="153">
        <v>800</v>
      </c>
      <c r="U29" s="94" t="s">
        <v>235</v>
      </c>
      <c r="V29" s="230"/>
      <c r="W29" s="231"/>
      <c r="X29" s="231"/>
      <c r="Y29" s="231"/>
      <c r="Z29" s="232"/>
      <c r="AC29" s="135"/>
      <c r="AD29" s="135"/>
      <c r="AE29" s="135"/>
      <c r="AF29" s="135"/>
      <c r="AG29" s="135"/>
      <c r="AH29" s="135"/>
    </row>
    <row r="30" spans="12:65" ht="16.5" customHeight="1" thickBot="1" x14ac:dyDescent="0.25">
      <c r="M30" s="96" t="s">
        <v>1</v>
      </c>
      <c r="N30" s="123" t="str">
        <f>IF(N29&lt;&gt;"",N29-DATE(YEAR(N29),1,1)+1,"")</f>
        <v/>
      </c>
      <c r="O30" s="94"/>
      <c r="R30" s="129" t="s">
        <v>124</v>
      </c>
      <c r="S30" s="130">
        <f>data!D7</f>
        <v>380</v>
      </c>
      <c r="V30" s="233"/>
      <c r="W30" s="234"/>
      <c r="X30" s="234"/>
      <c r="Y30" s="234"/>
      <c r="Z30" s="235"/>
      <c r="AC30" s="135"/>
      <c r="AD30" s="135"/>
      <c r="AE30" s="135"/>
      <c r="AF30" s="135"/>
      <c r="AG30" s="135"/>
      <c r="AH30" s="135"/>
    </row>
    <row r="31" spans="12:65" ht="16.5" customHeight="1" thickBot="1" x14ac:dyDescent="0.3">
      <c r="M31" s="94" t="s">
        <v>2</v>
      </c>
      <c r="N31" s="153"/>
      <c r="O31" s="94" t="s">
        <v>42</v>
      </c>
      <c r="P31" s="153"/>
      <c r="R31" s="125" t="s">
        <v>125</v>
      </c>
      <c r="S31" s="128">
        <f>data!D8</f>
        <v>400</v>
      </c>
      <c r="V31" s="236"/>
      <c r="W31" s="237"/>
      <c r="X31" s="237"/>
      <c r="Y31" s="237"/>
      <c r="Z31" s="238"/>
      <c r="AB31" s="184"/>
      <c r="AC31" s="135"/>
      <c r="AD31" s="135"/>
      <c r="AE31" s="135"/>
      <c r="AF31" s="135"/>
      <c r="AG31" s="135"/>
      <c r="AH31" s="135"/>
      <c r="AJ31" s="189">
        <f>COUNT(AL34:AL84)</f>
        <v>0</v>
      </c>
    </row>
    <row r="32" spans="12:65" ht="16.5" customHeight="1" thickBot="1" x14ac:dyDescent="0.25">
      <c r="O32" s="125" t="str">
        <f>IF(P31&lt;&gt;"","soit","")</f>
        <v/>
      </c>
      <c r="P32" s="127" t="str">
        <f>IF(P31&lt;&gt;"",P31/(24*60),"")</f>
        <v/>
      </c>
      <c r="Q32" s="126" t="str">
        <f>IF(P31&lt;&gt;"","heures","")</f>
        <v/>
      </c>
      <c r="T32" s="130" t="s">
        <v>241</v>
      </c>
      <c r="V32" s="130" t="s">
        <v>242</v>
      </c>
      <c r="AB32" s="183"/>
      <c r="AC32" s="224" t="s">
        <v>274</v>
      </c>
      <c r="AD32" s="224"/>
      <c r="AE32" s="224"/>
      <c r="AF32" s="224"/>
      <c r="AG32" s="224"/>
      <c r="AH32" s="224"/>
      <c r="AJ32" s="224" t="s">
        <v>272</v>
      </c>
      <c r="AK32" s="224"/>
      <c r="AL32" s="224"/>
      <c r="AM32" s="224"/>
      <c r="AN32" s="224"/>
      <c r="AO32" s="224"/>
      <c r="AP32" s="224"/>
      <c r="AQ32" s="224"/>
      <c r="AR32" s="224"/>
      <c r="AS32" s="224"/>
      <c r="AT32" s="224"/>
      <c r="AU32" s="224"/>
      <c r="AV32" s="224"/>
    </row>
    <row r="33" spans="11:48" ht="16.5" customHeight="1" thickTop="1" x14ac:dyDescent="0.25">
      <c r="K33" s="150">
        <v>0</v>
      </c>
      <c r="L33" s="120"/>
      <c r="M33" s="101" t="s">
        <v>232</v>
      </c>
      <c r="N33" s="101" t="s">
        <v>233</v>
      </c>
      <c r="O33" s="102" t="s">
        <v>234</v>
      </c>
      <c r="P33" s="103" t="s">
        <v>10</v>
      </c>
      <c r="Q33" s="102" t="s">
        <v>11</v>
      </c>
      <c r="R33" s="104"/>
      <c r="T33" s="140">
        <f>data!D2</f>
        <v>25</v>
      </c>
      <c r="U33" s="139" t="s">
        <v>4</v>
      </c>
      <c r="V33" s="141">
        <f>data!D3</f>
        <v>39</v>
      </c>
      <c r="X33" s="239" t="s">
        <v>17</v>
      </c>
      <c r="Y33" s="240"/>
      <c r="Z33" s="200" t="str">
        <f>CONCATENATE(U52," OK")</f>
        <v>0 OK</v>
      </c>
      <c r="AA33" s="151" t="str">
        <f>IF(P31&lt;&gt;"",VLOOKUP(P31,data!I5:J44,2,TRUE),"")</f>
        <v/>
      </c>
      <c r="AB33" s="183"/>
      <c r="AC33" s="143" t="s">
        <v>240</v>
      </c>
      <c r="AD33" s="143" t="s">
        <v>14</v>
      </c>
      <c r="AE33" s="143" t="s">
        <v>13</v>
      </c>
      <c r="AF33" s="143" t="s">
        <v>8</v>
      </c>
      <c r="AG33" s="143" t="s">
        <v>15</v>
      </c>
      <c r="AH33" s="143" t="s">
        <v>16</v>
      </c>
      <c r="AI33" s="136" t="s">
        <v>122</v>
      </c>
      <c r="AJ33" s="142"/>
      <c r="AK33" s="144"/>
      <c r="AL33" s="144"/>
      <c r="AM33" s="144"/>
      <c r="AN33" s="144" t="s">
        <v>269</v>
      </c>
      <c r="AO33" s="144" t="s">
        <v>149</v>
      </c>
      <c r="AP33" s="144" t="s">
        <v>148</v>
      </c>
      <c r="AQ33" s="144" t="s">
        <v>270</v>
      </c>
      <c r="AR33" s="144" t="s">
        <v>271</v>
      </c>
      <c r="AS33" s="144" t="s">
        <v>275</v>
      </c>
      <c r="AT33" s="144" t="s">
        <v>283</v>
      </c>
      <c r="AU33" s="144" t="s">
        <v>284</v>
      </c>
      <c r="AV33" s="144" t="s">
        <v>285</v>
      </c>
    </row>
    <row r="34" spans="11:48" ht="16.5" customHeight="1" x14ac:dyDescent="0.25">
      <c r="K34" s="150">
        <f>COUNT(P34:P34)</f>
        <v>0</v>
      </c>
      <c r="L34" s="121" t="str">
        <f>IF(P34&lt;&gt;"",SUM(K$33:K34),"")</f>
        <v/>
      </c>
      <c r="M34" s="158"/>
      <c r="N34" s="158"/>
      <c r="O34" s="159"/>
      <c r="P34" s="172" t="str">
        <f>IF(N34&lt;&gt;"",IF(O34="",IF(M34&lt;&gt;"",N34-M34,N34),""),"")</f>
        <v/>
      </c>
      <c r="Q34" s="173" t="str">
        <f>IF(N34&lt;&gt;"",IF(O34&lt;&gt;"",IF(M34&lt;&gt;"",N34-M34,N34),""),"")</f>
        <v/>
      </c>
      <c r="R34" s="162"/>
      <c r="T34" s="137" t="s">
        <v>280</v>
      </c>
      <c r="U34" s="95" t="s">
        <v>79</v>
      </c>
      <c r="V34" s="99" t="s">
        <v>80</v>
      </c>
      <c r="X34" s="242" t="str">
        <f>IF(P31&lt;&gt;"",ROUND(U52/AA33*100,2),"")</f>
        <v/>
      </c>
      <c r="Y34" s="243"/>
      <c r="Z34" s="181" t="str">
        <f>IF(P31&lt;&gt;"",CONCATENATE("objectif : ",AA33),"")</f>
        <v/>
      </c>
      <c r="AB34" s="193" t="e">
        <f>AVERAGEA(U35:U40)</f>
        <v>#DIV/0!</v>
      </c>
      <c r="AC34" s="143" t="str">
        <f>IF(P34&lt;&gt;"",IF(P34&gt;400,TRUE,FALSE),"")</f>
        <v/>
      </c>
      <c r="AD34" s="143" t="str">
        <f>IF($O34=AD$33,$Q34,"")</f>
        <v/>
      </c>
      <c r="AE34" s="143" t="str">
        <f t="shared" ref="AE34:AH49" si="0">IF($O34=AE$33,$Q34,"")</f>
        <v/>
      </c>
      <c r="AF34" s="143" t="str">
        <f t="shared" si="0"/>
        <v/>
      </c>
      <c r="AG34" s="143" t="str">
        <f t="shared" si="0"/>
        <v/>
      </c>
      <c r="AH34" s="143" t="str">
        <f t="shared" si="0"/>
        <v/>
      </c>
      <c r="AI34" s="136" t="str">
        <f>IF(M34&lt;&gt;"",IF(N34="",M34,""),"")</f>
        <v/>
      </c>
      <c r="AJ34" s="142" t="str">
        <f>IF(N34&lt;&gt;"",AC$18,"")</f>
        <v/>
      </c>
      <c r="AK34" s="144" t="str">
        <f>IF(AJ34&lt;&gt;"",L34,"")</f>
        <v/>
      </c>
      <c r="AL34" s="144" t="str">
        <f>IF(AJ34&lt;&gt;"",N34-M34,"")</f>
        <v/>
      </c>
      <c r="AM34" s="144" t="str">
        <f>IF(O34&lt;&gt;"",O34,"")</f>
        <v/>
      </c>
      <c r="AN34" s="144" t="str">
        <f>IF(AJ34&lt;&gt;"",IF(AM34="",TRUE,FALSE),"")</f>
        <v/>
      </c>
      <c r="AO34" s="144" t="str">
        <f>IFERROR(VLOOKUP(AK34,$T$35:$V$40,2,FALSE),"")</f>
        <v/>
      </c>
      <c r="AP34" s="144" t="str">
        <f>IFERROR(VLOOKUP(AK34,$T$35:$V$40,3,FALSE),"")</f>
        <v/>
      </c>
      <c r="AQ34" s="144" t="str">
        <f>IFERROR(VLOOKUP(AK34,$T$44:$V$49,2,FALSE),"")</f>
        <v/>
      </c>
      <c r="AR34" s="144" t="str">
        <f>IFERROR(VLOOKUP(AK34,$T$44:$V$49,3,FALSE),"")</f>
        <v/>
      </c>
      <c r="AS34" s="144" t="str">
        <f>IF(AJ34&lt;&gt;"",IF(R34&lt;&gt;"",R34,""),"")</f>
        <v/>
      </c>
      <c r="AT34" s="144" t="str">
        <f>IF(AJ34&lt;&gt;"","F","")</f>
        <v/>
      </c>
      <c r="AU34" s="144" t="str">
        <f>IF(AJ34&lt;&gt;"",N$30,"")</f>
        <v/>
      </c>
      <c r="AV34" s="144" t="str">
        <f>IF(AJ34&lt;&gt;"",LEFT(N$31,1),"")</f>
        <v/>
      </c>
    </row>
    <row r="35" spans="11:48" ht="16.5" customHeight="1" x14ac:dyDescent="0.25">
      <c r="K35" s="150">
        <f t="shared" ref="K35:K84" si="1">COUNT(P35:P35)</f>
        <v>0</v>
      </c>
      <c r="L35" s="121" t="str">
        <f>IF(P35&lt;&gt;"",SUM(K$33:K35),"")</f>
        <v/>
      </c>
      <c r="M35" s="158"/>
      <c r="N35" s="158"/>
      <c r="O35" s="159"/>
      <c r="P35" s="174" t="str">
        <f t="shared" ref="P35:P84" si="2">IF(N35&lt;&gt;"",IF(O35="",IF(M35&lt;&gt;"",N35-M35,N35),""),"")</f>
        <v/>
      </c>
      <c r="Q35" s="175" t="str">
        <f t="shared" ref="Q35:Q84" si="3">IF(N35&lt;&gt;"",IF(O35&lt;&gt;"",IF(M35&lt;&gt;"",N35-M35,N35),""),"")</f>
        <v/>
      </c>
      <c r="R35" s="163"/>
      <c r="S35" s="188" t="str">
        <f>IF(T35="",IF(MAX(L$34:L$84)&gt;4,"-&gt;",""),"")</f>
        <v/>
      </c>
      <c r="T35" s="154"/>
      <c r="U35" s="194"/>
      <c r="V35" s="195"/>
      <c r="W35" s="151">
        <f>COUNT(T35:T40)</f>
        <v>0</v>
      </c>
      <c r="X35" s="242"/>
      <c r="Y35" s="243"/>
      <c r="Z35" s="246" t="s">
        <v>18</v>
      </c>
      <c r="AB35" s="193"/>
      <c r="AC35" s="143" t="str">
        <f t="shared" ref="AC35:AC84" si="4">IF(P35&lt;&gt;"",IF(P35&gt;400,TRUE,FALSE),"")</f>
        <v/>
      </c>
      <c r="AD35" s="143" t="str">
        <f t="shared" ref="AD35:AH66" si="5">IF($O35=AD$33,$Q35,"")</f>
        <v/>
      </c>
      <c r="AE35" s="143" t="str">
        <f t="shared" si="0"/>
        <v/>
      </c>
      <c r="AF35" s="143" t="str">
        <f t="shared" si="0"/>
        <v/>
      </c>
      <c r="AG35" s="143" t="str">
        <f t="shared" si="0"/>
        <v/>
      </c>
      <c r="AH35" s="143" t="str">
        <f t="shared" si="0"/>
        <v/>
      </c>
      <c r="AI35" s="136" t="str">
        <f t="shared" ref="AI35:AI84" si="6">IF(M35&lt;&gt;"",IF(N35="",M35,""),"")</f>
        <v/>
      </c>
      <c r="AJ35" s="142" t="str">
        <f t="shared" ref="AJ35:AJ84" si="7">IF(N35&lt;&gt;"",AC$18,"")</f>
        <v/>
      </c>
      <c r="AK35" s="144" t="str">
        <f t="shared" ref="AK35:AK84" si="8">IF(AJ35&lt;&gt;"",L35,"")</f>
        <v/>
      </c>
      <c r="AL35" s="144" t="str">
        <f t="shared" ref="AL35:AL84" si="9">IF(AJ35&lt;&gt;"",N35-M35,"")</f>
        <v/>
      </c>
      <c r="AM35" s="144" t="str">
        <f t="shared" ref="AM35:AM84" si="10">IF(O35&lt;&gt;"",O35,"")</f>
        <v/>
      </c>
      <c r="AN35" s="144" t="str">
        <f t="shared" ref="AN35:AN84" si="11">IF(AJ35&lt;&gt;"",IF(AM35="",TRUE,FALSE),"")</f>
        <v/>
      </c>
      <c r="AO35" s="144" t="str">
        <f t="shared" ref="AO35:AO84" si="12">IFERROR(VLOOKUP(AK35,$T$35:$V$40,2,FALSE),"")</f>
        <v/>
      </c>
      <c r="AP35" s="144" t="str">
        <f>IFERROR(VLOOKUP(AK35,$T$35:$V$40,3,FALSE),"")</f>
        <v/>
      </c>
      <c r="AQ35" s="144" t="str">
        <f t="shared" ref="AQ35:AQ84" si="13">IFERROR(VLOOKUP(AK35,$T$44:$V$49,2,FALSE),"")</f>
        <v/>
      </c>
      <c r="AR35" s="144" t="str">
        <f t="shared" ref="AR35:AR84" si="14">IFERROR(VLOOKUP(AK35,$T$44:$V$49,3,FALSE),"")</f>
        <v/>
      </c>
      <c r="AS35" s="144" t="str">
        <f t="shared" ref="AS35:AS84" si="15">IF(AJ35&lt;&gt;"",IF(R35&lt;&gt;"",R35,""),"")</f>
        <v/>
      </c>
      <c r="AT35" s="144" t="str">
        <f t="shared" ref="AT35:AT84" si="16">IF(AJ35&lt;&gt;"","F","")</f>
        <v/>
      </c>
      <c r="AU35" s="144" t="str">
        <f t="shared" ref="AU35:AU84" si="17">IF(AJ35&lt;&gt;"",N$30,"")</f>
        <v/>
      </c>
      <c r="AV35" s="144" t="str">
        <f t="shared" ref="AV35:AV84" si="18">IF(AJ35&lt;&gt;"",LEFT(N$31,1),"")</f>
        <v/>
      </c>
    </row>
    <row r="36" spans="11:48" ht="16.5" customHeight="1" x14ac:dyDescent="0.25">
      <c r="K36" s="150">
        <f t="shared" si="1"/>
        <v>0</v>
      </c>
      <c r="L36" s="121" t="str">
        <f>IF(P36&lt;&gt;"",SUM(K$33:K36),"")</f>
        <v/>
      </c>
      <c r="M36" s="158"/>
      <c r="N36" s="158"/>
      <c r="O36" s="159"/>
      <c r="P36" s="174" t="str">
        <f t="shared" si="2"/>
        <v/>
      </c>
      <c r="Q36" s="175" t="str">
        <f t="shared" si="3"/>
        <v/>
      </c>
      <c r="R36" s="162"/>
      <c r="S36" s="188" t="str">
        <f>IF(T36="",IF(MAX(L$34:L$84)&gt;12,"-&gt;",""),"")</f>
        <v/>
      </c>
      <c r="T36" s="154"/>
      <c r="U36" s="194"/>
      <c r="V36" s="195"/>
      <c r="W36" s="151"/>
      <c r="X36" s="242"/>
      <c r="Y36" s="243"/>
      <c r="Z36" s="246"/>
      <c r="AB36" s="193" t="e">
        <f>+AVERAGEA(V35:V40)</f>
        <v>#DIV/0!</v>
      </c>
      <c r="AC36" s="143" t="str">
        <f t="shared" si="4"/>
        <v/>
      </c>
      <c r="AD36" s="143" t="str">
        <f t="shared" si="5"/>
        <v/>
      </c>
      <c r="AE36" s="143" t="str">
        <f t="shared" si="0"/>
        <v/>
      </c>
      <c r="AF36" s="143" t="str">
        <f t="shared" si="0"/>
        <v/>
      </c>
      <c r="AG36" s="143" t="str">
        <f t="shared" si="0"/>
        <v/>
      </c>
      <c r="AH36" s="143" t="str">
        <f t="shared" si="0"/>
        <v/>
      </c>
      <c r="AI36" s="136" t="str">
        <f t="shared" si="6"/>
        <v/>
      </c>
      <c r="AJ36" s="142" t="str">
        <f t="shared" si="7"/>
        <v/>
      </c>
      <c r="AK36" s="144" t="str">
        <f t="shared" si="8"/>
        <v/>
      </c>
      <c r="AL36" s="144" t="str">
        <f t="shared" si="9"/>
        <v/>
      </c>
      <c r="AM36" s="144" t="str">
        <f t="shared" si="10"/>
        <v/>
      </c>
      <c r="AN36" s="144" t="str">
        <f t="shared" si="11"/>
        <v/>
      </c>
      <c r="AO36" s="144" t="str">
        <f t="shared" si="12"/>
        <v/>
      </c>
      <c r="AP36" s="144" t="str">
        <f>IFERROR(VLOOKUP(AK36,$T$35:$V$40,3,FALSE),"")</f>
        <v/>
      </c>
      <c r="AQ36" s="144" t="str">
        <f t="shared" si="13"/>
        <v/>
      </c>
      <c r="AR36" s="144" t="str">
        <f t="shared" si="14"/>
        <v/>
      </c>
      <c r="AS36" s="144" t="str">
        <f t="shared" si="15"/>
        <v/>
      </c>
      <c r="AT36" s="144" t="str">
        <f t="shared" si="16"/>
        <v/>
      </c>
      <c r="AU36" s="144" t="str">
        <f t="shared" si="17"/>
        <v/>
      </c>
      <c r="AV36" s="144" t="str">
        <f t="shared" si="18"/>
        <v/>
      </c>
    </row>
    <row r="37" spans="11:48" ht="16.5" customHeight="1" thickBot="1" x14ac:dyDescent="0.3">
      <c r="K37" s="150">
        <f t="shared" si="1"/>
        <v>0</v>
      </c>
      <c r="L37" s="121" t="str">
        <f>IF(P37&lt;&gt;"",SUM(K$33:K37),"")</f>
        <v/>
      </c>
      <c r="M37" s="158"/>
      <c r="N37" s="158"/>
      <c r="O37" s="159"/>
      <c r="P37" s="174" t="str">
        <f t="shared" si="2"/>
        <v/>
      </c>
      <c r="Q37" s="175" t="str">
        <f t="shared" si="3"/>
        <v/>
      </c>
      <c r="R37" s="162"/>
      <c r="S37" s="188" t="str">
        <f>IF(T37="",IF(MAX(L$34:L$84)&gt;22,"-&gt;",""),"")</f>
        <v/>
      </c>
      <c r="T37" s="154"/>
      <c r="U37" s="194"/>
      <c r="V37" s="195"/>
      <c r="W37" s="151"/>
      <c r="X37" s="244"/>
      <c r="Y37" s="245"/>
      <c r="Z37" s="247"/>
      <c r="AB37" s="193"/>
      <c r="AC37" s="143" t="str">
        <f t="shared" si="4"/>
        <v/>
      </c>
      <c r="AD37" s="143" t="str">
        <f t="shared" si="5"/>
        <v/>
      </c>
      <c r="AE37" s="143" t="str">
        <f t="shared" si="0"/>
        <v/>
      </c>
      <c r="AF37" s="143" t="str">
        <f t="shared" si="0"/>
        <v/>
      </c>
      <c r="AG37" s="143" t="str">
        <f t="shared" si="0"/>
        <v/>
      </c>
      <c r="AH37" s="143" t="str">
        <f t="shared" si="0"/>
        <v/>
      </c>
      <c r="AI37" s="136" t="str">
        <f t="shared" si="6"/>
        <v/>
      </c>
      <c r="AJ37" s="142" t="str">
        <f t="shared" si="7"/>
        <v/>
      </c>
      <c r="AK37" s="144" t="str">
        <f t="shared" si="8"/>
        <v/>
      </c>
      <c r="AL37" s="144" t="str">
        <f t="shared" si="9"/>
        <v/>
      </c>
      <c r="AM37" s="144" t="str">
        <f t="shared" si="10"/>
        <v/>
      </c>
      <c r="AN37" s="144" t="str">
        <f t="shared" si="11"/>
        <v/>
      </c>
      <c r="AO37" s="144" t="str">
        <f t="shared" si="12"/>
        <v/>
      </c>
      <c r="AP37" s="144" t="str">
        <f>IFERROR(VLOOKUP(AK37,$T$35:$V$40,3,FALSE),"")</f>
        <v/>
      </c>
      <c r="AQ37" s="144" t="str">
        <f t="shared" si="13"/>
        <v/>
      </c>
      <c r="AR37" s="144" t="str">
        <f t="shared" si="14"/>
        <v/>
      </c>
      <c r="AS37" s="144" t="str">
        <f t="shared" si="15"/>
        <v/>
      </c>
      <c r="AT37" s="144" t="str">
        <f t="shared" si="16"/>
        <v/>
      </c>
      <c r="AU37" s="144" t="str">
        <f t="shared" si="17"/>
        <v/>
      </c>
      <c r="AV37" s="144" t="str">
        <f t="shared" si="18"/>
        <v/>
      </c>
    </row>
    <row r="38" spans="11:48" ht="16.5" customHeight="1" thickTop="1" thickBot="1" x14ac:dyDescent="0.3">
      <c r="K38" s="150">
        <f t="shared" si="1"/>
        <v>0</v>
      </c>
      <c r="L38" s="121" t="str">
        <f>IF(P38&lt;&gt;"",SUM(K$33:K38),"")</f>
        <v/>
      </c>
      <c r="M38" s="158"/>
      <c r="N38" s="158"/>
      <c r="O38" s="159"/>
      <c r="P38" s="174" t="str">
        <f t="shared" si="2"/>
        <v/>
      </c>
      <c r="Q38" s="175" t="str">
        <f t="shared" si="3"/>
        <v/>
      </c>
      <c r="R38" s="162"/>
      <c r="S38" s="188" t="str">
        <f>IF(T38="",IF(MAX(L$34:L$84)&gt;32,"-&gt;",""),"")</f>
        <v/>
      </c>
      <c r="T38" s="154"/>
      <c r="U38" s="194"/>
      <c r="V38" s="195"/>
      <c r="W38" s="151"/>
      <c r="AB38" s="100"/>
      <c r="AC38" s="143" t="str">
        <f t="shared" si="4"/>
        <v/>
      </c>
      <c r="AD38" s="143" t="str">
        <f t="shared" si="5"/>
        <v/>
      </c>
      <c r="AE38" s="143" t="str">
        <f t="shared" si="0"/>
        <v/>
      </c>
      <c r="AF38" s="143" t="str">
        <f t="shared" si="0"/>
        <v/>
      </c>
      <c r="AG38" s="143" t="str">
        <f t="shared" si="0"/>
        <v/>
      </c>
      <c r="AH38" s="143" t="str">
        <f t="shared" si="0"/>
        <v/>
      </c>
      <c r="AI38" s="136" t="str">
        <f t="shared" si="6"/>
        <v/>
      </c>
      <c r="AJ38" s="142" t="str">
        <f t="shared" si="7"/>
        <v/>
      </c>
      <c r="AK38" s="144" t="str">
        <f t="shared" si="8"/>
        <v/>
      </c>
      <c r="AL38" s="144" t="str">
        <f t="shared" si="9"/>
        <v/>
      </c>
      <c r="AM38" s="144" t="str">
        <f t="shared" si="10"/>
        <v/>
      </c>
      <c r="AN38" s="144" t="str">
        <f t="shared" si="11"/>
        <v/>
      </c>
      <c r="AO38" s="144" t="str">
        <f t="shared" si="12"/>
        <v/>
      </c>
      <c r="AP38" s="144" t="str">
        <f t="shared" ref="AP38:AP84" si="19">IFERROR(VLOOKUP(AK38,$T$35:$V$40,3,FALSE),"")</f>
        <v/>
      </c>
      <c r="AQ38" s="144" t="str">
        <f t="shared" si="13"/>
        <v/>
      </c>
      <c r="AR38" s="144" t="str">
        <f t="shared" si="14"/>
        <v/>
      </c>
      <c r="AS38" s="144" t="str">
        <f t="shared" si="15"/>
        <v/>
      </c>
      <c r="AT38" s="144" t="str">
        <f t="shared" si="16"/>
        <v/>
      </c>
      <c r="AU38" s="144" t="str">
        <f t="shared" si="17"/>
        <v/>
      </c>
      <c r="AV38" s="144" t="str">
        <f t="shared" si="18"/>
        <v/>
      </c>
    </row>
    <row r="39" spans="11:48" ht="16.5" customHeight="1" thickTop="1" x14ac:dyDescent="0.25">
      <c r="K39" s="150">
        <f t="shared" si="1"/>
        <v>0</v>
      </c>
      <c r="L39" s="121" t="str">
        <f>IF(P39&lt;&gt;"",SUM(K$33:K39),"")</f>
        <v/>
      </c>
      <c r="M39" s="158"/>
      <c r="N39" s="158"/>
      <c r="O39" s="159"/>
      <c r="P39" s="174" t="str">
        <f t="shared" si="2"/>
        <v/>
      </c>
      <c r="Q39" s="175" t="str">
        <f t="shared" si="3"/>
        <v/>
      </c>
      <c r="R39" s="162"/>
      <c r="S39" s="188"/>
      <c r="T39" s="154"/>
      <c r="U39" s="194"/>
      <c r="V39" s="195"/>
      <c r="W39" s="151"/>
      <c r="X39" s="239"/>
      <c r="Y39" s="240"/>
      <c r="Z39" s="241"/>
      <c r="AB39" s="100"/>
      <c r="AC39" s="143" t="str">
        <f t="shared" si="4"/>
        <v/>
      </c>
      <c r="AD39" s="143" t="str">
        <f t="shared" si="5"/>
        <v/>
      </c>
      <c r="AE39" s="143" t="str">
        <f t="shared" si="0"/>
        <v/>
      </c>
      <c r="AF39" s="143" t="str">
        <f t="shared" si="0"/>
        <v/>
      </c>
      <c r="AG39" s="143" t="str">
        <f t="shared" si="0"/>
        <v/>
      </c>
      <c r="AH39" s="143" t="str">
        <f t="shared" si="0"/>
        <v/>
      </c>
      <c r="AI39" s="136" t="str">
        <f t="shared" si="6"/>
        <v/>
      </c>
      <c r="AJ39" s="142" t="str">
        <f t="shared" si="7"/>
        <v/>
      </c>
      <c r="AK39" s="144" t="str">
        <f t="shared" si="8"/>
        <v/>
      </c>
      <c r="AL39" s="144" t="str">
        <f t="shared" si="9"/>
        <v/>
      </c>
      <c r="AM39" s="144" t="str">
        <f t="shared" si="10"/>
        <v/>
      </c>
      <c r="AN39" s="144" t="str">
        <f t="shared" si="11"/>
        <v/>
      </c>
      <c r="AO39" s="144" t="str">
        <f t="shared" si="12"/>
        <v/>
      </c>
      <c r="AP39" s="144" t="str">
        <f t="shared" si="19"/>
        <v/>
      </c>
      <c r="AQ39" s="144" t="str">
        <f t="shared" si="13"/>
        <v/>
      </c>
      <c r="AR39" s="144" t="str">
        <f t="shared" si="14"/>
        <v/>
      </c>
      <c r="AS39" s="144" t="str">
        <f t="shared" si="15"/>
        <v/>
      </c>
      <c r="AT39" s="144" t="str">
        <f t="shared" si="16"/>
        <v/>
      </c>
      <c r="AU39" s="144" t="str">
        <f t="shared" si="17"/>
        <v/>
      </c>
      <c r="AV39" s="144" t="str">
        <f t="shared" si="18"/>
        <v/>
      </c>
    </row>
    <row r="40" spans="11:48" ht="16.5" customHeight="1" thickBot="1" x14ac:dyDescent="0.3">
      <c r="K40" s="150">
        <f t="shared" si="1"/>
        <v>0</v>
      </c>
      <c r="L40" s="121" t="str">
        <f>IF(P40&lt;&gt;"",SUM(K$33:K40),"")</f>
        <v/>
      </c>
      <c r="M40" s="158"/>
      <c r="N40" s="158"/>
      <c r="O40" s="159"/>
      <c r="P40" s="174" t="str">
        <f t="shared" si="2"/>
        <v/>
      </c>
      <c r="Q40" s="175" t="str">
        <f t="shared" si="3"/>
        <v/>
      </c>
      <c r="R40" s="162"/>
      <c r="S40" s="188"/>
      <c r="T40" s="156"/>
      <c r="U40" s="196"/>
      <c r="V40" s="197"/>
      <c r="W40" s="151"/>
      <c r="X40" s="248" t="str">
        <f>IF(U59&gt;2,"ATTENTION ne pas sortir les nappes avec un poids &gt;400. Baisser les impulsions si nécessaire !","")</f>
        <v/>
      </c>
      <c r="Y40" s="249"/>
      <c r="Z40" s="250"/>
      <c r="AB40" s="100"/>
      <c r="AC40" s="143" t="str">
        <f t="shared" si="4"/>
        <v/>
      </c>
      <c r="AD40" s="143" t="str">
        <f t="shared" si="5"/>
        <v/>
      </c>
      <c r="AE40" s="143" t="str">
        <f t="shared" si="0"/>
        <v/>
      </c>
      <c r="AF40" s="143" t="str">
        <f t="shared" si="0"/>
        <v/>
      </c>
      <c r="AG40" s="143" t="str">
        <f t="shared" si="0"/>
        <v/>
      </c>
      <c r="AH40" s="143" t="str">
        <f t="shared" si="0"/>
        <v/>
      </c>
      <c r="AI40" s="136" t="str">
        <f t="shared" si="6"/>
        <v/>
      </c>
      <c r="AJ40" s="142" t="str">
        <f t="shared" si="7"/>
        <v/>
      </c>
      <c r="AK40" s="144" t="str">
        <f t="shared" si="8"/>
        <v/>
      </c>
      <c r="AL40" s="144" t="str">
        <f t="shared" si="9"/>
        <v/>
      </c>
      <c r="AM40" s="144" t="str">
        <f t="shared" si="10"/>
        <v/>
      </c>
      <c r="AN40" s="144" t="str">
        <f t="shared" si="11"/>
        <v/>
      </c>
      <c r="AO40" s="144" t="str">
        <f t="shared" si="12"/>
        <v/>
      </c>
      <c r="AP40" s="144" t="str">
        <f t="shared" si="19"/>
        <v/>
      </c>
      <c r="AQ40" s="144" t="str">
        <f t="shared" si="13"/>
        <v/>
      </c>
      <c r="AR40" s="144" t="str">
        <f t="shared" si="14"/>
        <v/>
      </c>
      <c r="AS40" s="144" t="str">
        <f t="shared" si="15"/>
        <v/>
      </c>
      <c r="AT40" s="144" t="str">
        <f t="shared" si="16"/>
        <v/>
      </c>
      <c r="AU40" s="144" t="str">
        <f t="shared" si="17"/>
        <v/>
      </c>
      <c r="AV40" s="144" t="str">
        <f t="shared" si="18"/>
        <v/>
      </c>
    </row>
    <row r="41" spans="11:48" ht="16.5" customHeight="1" thickTop="1" thickBot="1" x14ac:dyDescent="0.25">
      <c r="K41" s="150">
        <f t="shared" si="1"/>
        <v>0</v>
      </c>
      <c r="L41" s="121" t="str">
        <f>IF(P41&lt;&gt;"",SUM(K$33:K41),"")</f>
        <v/>
      </c>
      <c r="M41" s="158"/>
      <c r="N41" s="158"/>
      <c r="O41" s="159"/>
      <c r="P41" s="174" t="str">
        <f t="shared" si="2"/>
        <v/>
      </c>
      <c r="Q41" s="175" t="str">
        <f t="shared" si="3"/>
        <v/>
      </c>
      <c r="R41" s="162"/>
      <c r="S41" s="188" t="str">
        <f>IF(T41="",IF(MAX(L40:L90)&gt;4,"-&gt;",""),"")</f>
        <v/>
      </c>
      <c r="T41" s="130" t="s">
        <v>244</v>
      </c>
      <c r="U41" s="124"/>
      <c r="V41" s="130" t="s">
        <v>245</v>
      </c>
      <c r="W41" s="151"/>
      <c r="X41" s="248"/>
      <c r="Y41" s="249"/>
      <c r="Z41" s="250"/>
      <c r="AB41" s="100"/>
      <c r="AC41" s="143" t="str">
        <f t="shared" si="4"/>
        <v/>
      </c>
      <c r="AD41" s="143" t="str">
        <f t="shared" si="5"/>
        <v/>
      </c>
      <c r="AE41" s="143" t="str">
        <f t="shared" si="0"/>
        <v/>
      </c>
      <c r="AF41" s="143" t="str">
        <f t="shared" si="0"/>
        <v/>
      </c>
      <c r="AG41" s="143" t="str">
        <f t="shared" si="0"/>
        <v/>
      </c>
      <c r="AH41" s="143" t="str">
        <f t="shared" si="0"/>
        <v/>
      </c>
      <c r="AI41" s="136" t="str">
        <f t="shared" si="6"/>
        <v/>
      </c>
      <c r="AJ41" s="142" t="str">
        <f t="shared" si="7"/>
        <v/>
      </c>
      <c r="AK41" s="144" t="str">
        <f t="shared" si="8"/>
        <v/>
      </c>
      <c r="AL41" s="144" t="str">
        <f t="shared" si="9"/>
        <v/>
      </c>
      <c r="AM41" s="144" t="str">
        <f t="shared" si="10"/>
        <v/>
      </c>
      <c r="AN41" s="144" t="str">
        <f t="shared" si="11"/>
        <v/>
      </c>
      <c r="AO41" s="144" t="str">
        <f t="shared" si="12"/>
        <v/>
      </c>
      <c r="AP41" s="144" t="str">
        <f t="shared" si="19"/>
        <v/>
      </c>
      <c r="AQ41" s="144" t="str">
        <f t="shared" si="13"/>
        <v/>
      </c>
      <c r="AR41" s="144" t="str">
        <f t="shared" si="14"/>
        <v/>
      </c>
      <c r="AS41" s="144" t="str">
        <f t="shared" si="15"/>
        <v/>
      </c>
      <c r="AT41" s="144" t="str">
        <f t="shared" si="16"/>
        <v/>
      </c>
      <c r="AU41" s="144" t="str">
        <f t="shared" si="17"/>
        <v/>
      </c>
      <c r="AV41" s="144" t="str">
        <f t="shared" si="18"/>
        <v/>
      </c>
    </row>
    <row r="42" spans="11:48" ht="16.5" customHeight="1" thickTop="1" x14ac:dyDescent="0.25">
      <c r="K42" s="150">
        <f t="shared" si="1"/>
        <v>0</v>
      </c>
      <c r="L42" s="121" t="str">
        <f>IF(P42&lt;&gt;"",SUM(K$33:K42),"")</f>
        <v/>
      </c>
      <c r="M42" s="158"/>
      <c r="N42" s="158"/>
      <c r="O42" s="159"/>
      <c r="P42" s="174" t="str">
        <f t="shared" si="2"/>
        <v/>
      </c>
      <c r="Q42" s="175" t="str">
        <f t="shared" si="3"/>
        <v/>
      </c>
      <c r="R42" s="162"/>
      <c r="S42" s="188" t="str">
        <f>IF(T42="",IF(MAX(L41:L91)&gt;4,"-&gt;",""),"")</f>
        <v/>
      </c>
      <c r="T42" s="140">
        <f>data!D4</f>
        <v>262</v>
      </c>
      <c r="U42" s="199" t="s">
        <v>243</v>
      </c>
      <c r="V42" s="141">
        <f>data!D5</f>
        <v>308</v>
      </c>
      <c r="W42" s="151"/>
      <c r="X42" s="248"/>
      <c r="Y42" s="249"/>
      <c r="Z42" s="250"/>
      <c r="AB42" s="193"/>
      <c r="AC42" s="143" t="str">
        <f t="shared" si="4"/>
        <v/>
      </c>
      <c r="AD42" s="143" t="str">
        <f t="shared" si="5"/>
        <v/>
      </c>
      <c r="AE42" s="143" t="str">
        <f t="shared" si="0"/>
        <v/>
      </c>
      <c r="AF42" s="143" t="str">
        <f t="shared" si="0"/>
        <v/>
      </c>
      <c r="AG42" s="143" t="str">
        <f t="shared" si="0"/>
        <v/>
      </c>
      <c r="AH42" s="143" t="str">
        <f t="shared" si="0"/>
        <v/>
      </c>
      <c r="AI42" s="136" t="str">
        <f t="shared" si="6"/>
        <v/>
      </c>
      <c r="AJ42" s="142" t="str">
        <f t="shared" si="7"/>
        <v/>
      </c>
      <c r="AK42" s="144" t="str">
        <f t="shared" si="8"/>
        <v/>
      </c>
      <c r="AL42" s="144" t="str">
        <f t="shared" si="9"/>
        <v/>
      </c>
      <c r="AM42" s="144" t="str">
        <f t="shared" si="10"/>
        <v/>
      </c>
      <c r="AN42" s="144" t="str">
        <f t="shared" si="11"/>
        <v/>
      </c>
      <c r="AO42" s="144" t="str">
        <f t="shared" si="12"/>
        <v/>
      </c>
      <c r="AP42" s="144" t="str">
        <f t="shared" si="19"/>
        <v/>
      </c>
      <c r="AQ42" s="144" t="str">
        <f t="shared" si="13"/>
        <v/>
      </c>
      <c r="AR42" s="144" t="str">
        <f t="shared" si="14"/>
        <v/>
      </c>
      <c r="AS42" s="144" t="str">
        <f t="shared" si="15"/>
        <v/>
      </c>
      <c r="AT42" s="144" t="str">
        <f t="shared" si="16"/>
        <v/>
      </c>
      <c r="AU42" s="144" t="str">
        <f t="shared" si="17"/>
        <v/>
      </c>
      <c r="AV42" s="144" t="str">
        <f t="shared" si="18"/>
        <v/>
      </c>
    </row>
    <row r="43" spans="11:48" ht="16.5" customHeight="1" x14ac:dyDescent="0.25">
      <c r="K43" s="150">
        <f t="shared" si="1"/>
        <v>0</v>
      </c>
      <c r="L43" s="121" t="str">
        <f>IF(P43&lt;&gt;"",SUM(K$33:K43),"")</f>
        <v/>
      </c>
      <c r="M43" s="158"/>
      <c r="N43" s="158"/>
      <c r="O43" s="159"/>
      <c r="P43" s="174" t="str">
        <f t="shared" si="2"/>
        <v/>
      </c>
      <c r="Q43" s="175" t="str">
        <f t="shared" si="3"/>
        <v/>
      </c>
      <c r="R43" s="162"/>
      <c r="S43" s="188" t="str">
        <f>IF(T43="",IF(MAX(L42:L92)&gt;4,"-&gt;",""),"")</f>
        <v/>
      </c>
      <c r="T43" s="137" t="s">
        <v>280</v>
      </c>
      <c r="U43" s="95" t="s">
        <v>7</v>
      </c>
      <c r="V43" s="99" t="s">
        <v>8</v>
      </c>
      <c r="W43" s="151"/>
      <c r="X43" s="248"/>
      <c r="Y43" s="249"/>
      <c r="Z43" s="250"/>
      <c r="AB43" s="100" t="e">
        <f>AVERAGEA(U44:U49)</f>
        <v>#DIV/0!</v>
      </c>
      <c r="AC43" s="143" t="str">
        <f t="shared" si="4"/>
        <v/>
      </c>
      <c r="AD43" s="143" t="str">
        <f t="shared" si="5"/>
        <v/>
      </c>
      <c r="AE43" s="143" t="str">
        <f t="shared" si="0"/>
        <v/>
      </c>
      <c r="AF43" s="143" t="str">
        <f t="shared" si="0"/>
        <v/>
      </c>
      <c r="AG43" s="143" t="str">
        <f t="shared" si="0"/>
        <v/>
      </c>
      <c r="AH43" s="143" t="str">
        <f t="shared" si="0"/>
        <v/>
      </c>
      <c r="AI43" s="136" t="str">
        <f t="shared" si="6"/>
        <v/>
      </c>
      <c r="AJ43" s="142" t="str">
        <f t="shared" si="7"/>
        <v/>
      </c>
      <c r="AK43" s="144" t="str">
        <f t="shared" si="8"/>
        <v/>
      </c>
      <c r="AL43" s="144" t="str">
        <f t="shared" si="9"/>
        <v/>
      </c>
      <c r="AM43" s="144" t="str">
        <f t="shared" si="10"/>
        <v/>
      </c>
      <c r="AN43" s="144" t="str">
        <f t="shared" si="11"/>
        <v/>
      </c>
      <c r="AO43" s="144" t="str">
        <f t="shared" si="12"/>
        <v/>
      </c>
      <c r="AP43" s="144" t="str">
        <f t="shared" si="19"/>
        <v/>
      </c>
      <c r="AQ43" s="144" t="str">
        <f t="shared" si="13"/>
        <v/>
      </c>
      <c r="AR43" s="144" t="str">
        <f t="shared" si="14"/>
        <v/>
      </c>
      <c r="AS43" s="144" t="str">
        <f t="shared" si="15"/>
        <v/>
      </c>
      <c r="AT43" s="144" t="str">
        <f t="shared" si="16"/>
        <v/>
      </c>
      <c r="AU43" s="144" t="str">
        <f t="shared" si="17"/>
        <v/>
      </c>
      <c r="AV43" s="144" t="str">
        <f t="shared" si="18"/>
        <v/>
      </c>
    </row>
    <row r="44" spans="11:48" ht="16.5" customHeight="1" thickBot="1" x14ac:dyDescent="0.3">
      <c r="K44" s="150">
        <f t="shared" si="1"/>
        <v>0</v>
      </c>
      <c r="L44" s="121" t="str">
        <f>IF(P44&lt;&gt;"",SUM(K$33:K44),"")</f>
        <v/>
      </c>
      <c r="M44" s="158"/>
      <c r="N44" s="158"/>
      <c r="O44" s="159"/>
      <c r="P44" s="174" t="str">
        <f t="shared" si="2"/>
        <v/>
      </c>
      <c r="Q44" s="175" t="str">
        <f t="shared" si="3"/>
        <v/>
      </c>
      <c r="R44" s="162"/>
      <c r="S44" s="188" t="str">
        <f>IF(T44="",IF(MAX(L$34:L$84)&gt;4,"-&gt;",""),"")</f>
        <v/>
      </c>
      <c r="T44" s="154"/>
      <c r="U44" s="194"/>
      <c r="V44" s="155"/>
      <c r="W44" s="151">
        <f>COUNT(T44:T49)</f>
        <v>0</v>
      </c>
      <c r="X44" s="251"/>
      <c r="Y44" s="252"/>
      <c r="Z44" s="253"/>
      <c r="AB44" s="100"/>
      <c r="AC44" s="143" t="str">
        <f t="shared" si="4"/>
        <v/>
      </c>
      <c r="AD44" s="143" t="str">
        <f t="shared" si="5"/>
        <v/>
      </c>
      <c r="AE44" s="143" t="str">
        <f t="shared" si="0"/>
        <v/>
      </c>
      <c r="AF44" s="143" t="str">
        <f t="shared" si="0"/>
        <v/>
      </c>
      <c r="AG44" s="143" t="str">
        <f t="shared" si="0"/>
        <v/>
      </c>
      <c r="AH44" s="143" t="str">
        <f t="shared" si="0"/>
        <v/>
      </c>
      <c r="AI44" s="136" t="str">
        <f t="shared" si="6"/>
        <v/>
      </c>
      <c r="AJ44" s="142" t="str">
        <f t="shared" si="7"/>
        <v/>
      </c>
      <c r="AK44" s="144" t="str">
        <f t="shared" si="8"/>
        <v/>
      </c>
      <c r="AL44" s="144" t="str">
        <f t="shared" si="9"/>
        <v/>
      </c>
      <c r="AM44" s="144" t="str">
        <f t="shared" si="10"/>
        <v/>
      </c>
      <c r="AN44" s="144" t="str">
        <f t="shared" si="11"/>
        <v/>
      </c>
      <c r="AO44" s="144" t="str">
        <f t="shared" si="12"/>
        <v/>
      </c>
      <c r="AP44" s="144" t="str">
        <f t="shared" si="19"/>
        <v/>
      </c>
      <c r="AQ44" s="144" t="str">
        <f t="shared" si="13"/>
        <v/>
      </c>
      <c r="AR44" s="144" t="str">
        <f t="shared" si="14"/>
        <v/>
      </c>
      <c r="AS44" s="144" t="str">
        <f t="shared" si="15"/>
        <v/>
      </c>
      <c r="AT44" s="144" t="str">
        <f t="shared" si="16"/>
        <v/>
      </c>
      <c r="AU44" s="144" t="str">
        <f t="shared" si="17"/>
        <v/>
      </c>
      <c r="AV44" s="144" t="str">
        <f t="shared" si="18"/>
        <v/>
      </c>
    </row>
    <row r="45" spans="11:48" ht="16.5" customHeight="1" thickTop="1" thickBot="1" x14ac:dyDescent="0.3">
      <c r="K45" s="150">
        <f t="shared" si="1"/>
        <v>0</v>
      </c>
      <c r="L45" s="121" t="str">
        <f>IF(P45&lt;&gt;"",SUM(K$33:K45),"")</f>
        <v/>
      </c>
      <c r="M45" s="158"/>
      <c r="N45" s="158"/>
      <c r="O45" s="159"/>
      <c r="P45" s="174" t="str">
        <f t="shared" si="2"/>
        <v/>
      </c>
      <c r="Q45" s="175" t="str">
        <f t="shared" si="3"/>
        <v/>
      </c>
      <c r="R45" s="162"/>
      <c r="S45" s="188" t="str">
        <f>IF(T45="",IF(MAX(L$34:L$84)&gt;12,"-&gt;",""),"")</f>
        <v/>
      </c>
      <c r="T45" s="154"/>
      <c r="U45" s="194"/>
      <c r="V45" s="155"/>
      <c r="W45" s="151"/>
      <c r="AC45" s="143" t="str">
        <f t="shared" si="4"/>
        <v/>
      </c>
      <c r="AD45" s="143" t="str">
        <f t="shared" si="5"/>
        <v/>
      </c>
      <c r="AE45" s="143" t="str">
        <f t="shared" si="0"/>
        <v/>
      </c>
      <c r="AF45" s="143" t="str">
        <f t="shared" si="0"/>
        <v/>
      </c>
      <c r="AG45" s="143" t="str">
        <f t="shared" si="0"/>
        <v/>
      </c>
      <c r="AH45" s="143" t="str">
        <f t="shared" si="0"/>
        <v/>
      </c>
      <c r="AI45" s="136" t="str">
        <f t="shared" si="6"/>
        <v/>
      </c>
      <c r="AJ45" s="142" t="str">
        <f t="shared" si="7"/>
        <v/>
      </c>
      <c r="AK45" s="144" t="str">
        <f t="shared" si="8"/>
        <v/>
      </c>
      <c r="AL45" s="144" t="str">
        <f t="shared" si="9"/>
        <v/>
      </c>
      <c r="AM45" s="144" t="str">
        <f t="shared" si="10"/>
        <v/>
      </c>
      <c r="AN45" s="144" t="str">
        <f t="shared" si="11"/>
        <v/>
      </c>
      <c r="AO45" s="144" t="str">
        <f t="shared" si="12"/>
        <v/>
      </c>
      <c r="AP45" s="144" t="str">
        <f t="shared" si="19"/>
        <v/>
      </c>
      <c r="AQ45" s="144" t="str">
        <f t="shared" si="13"/>
        <v/>
      </c>
      <c r="AR45" s="144" t="str">
        <f t="shared" si="14"/>
        <v/>
      </c>
      <c r="AS45" s="144" t="str">
        <f t="shared" si="15"/>
        <v/>
      </c>
      <c r="AT45" s="144" t="str">
        <f t="shared" si="16"/>
        <v/>
      </c>
      <c r="AU45" s="144" t="str">
        <f t="shared" si="17"/>
        <v/>
      </c>
      <c r="AV45" s="144" t="str">
        <f t="shared" si="18"/>
        <v/>
      </c>
    </row>
    <row r="46" spans="11:48" ht="16.5" customHeight="1" thickTop="1" x14ac:dyDescent="0.25">
      <c r="K46" s="150">
        <f t="shared" si="1"/>
        <v>0</v>
      </c>
      <c r="L46" s="121" t="str">
        <f>IF(P46&lt;&gt;"",SUM(K$33:K46),"")</f>
        <v/>
      </c>
      <c r="M46" s="158"/>
      <c r="N46" s="158"/>
      <c r="O46" s="159"/>
      <c r="P46" s="174" t="str">
        <f t="shared" si="2"/>
        <v/>
      </c>
      <c r="Q46" s="175" t="str">
        <f t="shared" si="3"/>
        <v/>
      </c>
      <c r="R46" s="162"/>
      <c r="S46" s="188" t="str">
        <f>IF(T46="",IF(MAX(L$34:L$84)&gt;22,"-&gt;",""),"")</f>
        <v/>
      </c>
      <c r="T46" s="154"/>
      <c r="U46" s="194"/>
      <c r="V46" s="155"/>
      <c r="W46" s="151"/>
      <c r="X46" s="239" t="s">
        <v>28</v>
      </c>
      <c r="Y46" s="240"/>
      <c r="Z46" s="241"/>
      <c r="AC46" s="143" t="str">
        <f t="shared" si="4"/>
        <v/>
      </c>
      <c r="AD46" s="143" t="str">
        <f t="shared" si="5"/>
        <v/>
      </c>
      <c r="AE46" s="143" t="str">
        <f t="shared" si="0"/>
        <v/>
      </c>
      <c r="AF46" s="143" t="str">
        <f t="shared" si="0"/>
        <v/>
      </c>
      <c r="AG46" s="143" t="str">
        <f t="shared" si="0"/>
        <v/>
      </c>
      <c r="AH46" s="143" t="str">
        <f t="shared" si="0"/>
        <v/>
      </c>
      <c r="AI46" s="136" t="str">
        <f t="shared" si="6"/>
        <v/>
      </c>
      <c r="AJ46" s="142" t="str">
        <f t="shared" si="7"/>
        <v/>
      </c>
      <c r="AK46" s="144" t="str">
        <f t="shared" si="8"/>
        <v/>
      </c>
      <c r="AL46" s="144" t="str">
        <f t="shared" si="9"/>
        <v/>
      </c>
      <c r="AM46" s="144" t="str">
        <f t="shared" si="10"/>
        <v/>
      </c>
      <c r="AN46" s="144" t="str">
        <f t="shared" si="11"/>
        <v/>
      </c>
      <c r="AO46" s="144" t="str">
        <f t="shared" si="12"/>
        <v/>
      </c>
      <c r="AP46" s="144" t="str">
        <f t="shared" si="19"/>
        <v/>
      </c>
      <c r="AQ46" s="144" t="str">
        <f t="shared" si="13"/>
        <v/>
      </c>
      <c r="AR46" s="144" t="str">
        <f t="shared" si="14"/>
        <v/>
      </c>
      <c r="AS46" s="144" t="str">
        <f t="shared" si="15"/>
        <v/>
      </c>
      <c r="AT46" s="144" t="str">
        <f t="shared" si="16"/>
        <v/>
      </c>
      <c r="AU46" s="144" t="str">
        <f t="shared" si="17"/>
        <v/>
      </c>
      <c r="AV46" s="144" t="str">
        <f t="shared" si="18"/>
        <v/>
      </c>
    </row>
    <row r="47" spans="11:48" ht="16.5" customHeight="1" x14ac:dyDescent="0.25">
      <c r="K47" s="150">
        <f t="shared" si="1"/>
        <v>0</v>
      </c>
      <c r="L47" s="121" t="str">
        <f>IF(P47&lt;&gt;"",SUM(K$33:K47),"")</f>
        <v/>
      </c>
      <c r="M47" s="158"/>
      <c r="N47" s="158"/>
      <c r="O47" s="159"/>
      <c r="P47" s="174" t="str">
        <f t="shared" si="2"/>
        <v/>
      </c>
      <c r="Q47" s="175" t="str">
        <f t="shared" si="3"/>
        <v/>
      </c>
      <c r="R47" s="162"/>
      <c r="S47" s="188" t="str">
        <f>IF(T47="",IF(MAX(L$34:L$84)&gt;32,"-&gt;",""),"")</f>
        <v/>
      </c>
      <c r="T47" s="154"/>
      <c r="U47" s="194"/>
      <c r="V47" s="155"/>
      <c r="W47" s="100"/>
      <c r="X47" s="105"/>
      <c r="Y47" s="106"/>
      <c r="Z47" s="107"/>
      <c r="AC47" s="143" t="str">
        <f t="shared" si="4"/>
        <v/>
      </c>
      <c r="AD47" s="143" t="str">
        <f t="shared" si="5"/>
        <v/>
      </c>
      <c r="AE47" s="143" t="str">
        <f t="shared" si="0"/>
        <v/>
      </c>
      <c r="AF47" s="143" t="str">
        <f t="shared" si="0"/>
        <v/>
      </c>
      <c r="AG47" s="143" t="str">
        <f t="shared" si="0"/>
        <v/>
      </c>
      <c r="AH47" s="143" t="str">
        <f t="shared" si="0"/>
        <v/>
      </c>
      <c r="AI47" s="136" t="str">
        <f t="shared" si="6"/>
        <v/>
      </c>
      <c r="AJ47" s="142" t="str">
        <f t="shared" si="7"/>
        <v/>
      </c>
      <c r="AK47" s="144" t="str">
        <f t="shared" si="8"/>
        <v/>
      </c>
      <c r="AL47" s="144" t="str">
        <f t="shared" si="9"/>
        <v/>
      </c>
      <c r="AM47" s="144" t="str">
        <f t="shared" si="10"/>
        <v/>
      </c>
      <c r="AN47" s="144" t="str">
        <f t="shared" si="11"/>
        <v/>
      </c>
      <c r="AO47" s="144" t="str">
        <f t="shared" si="12"/>
        <v/>
      </c>
      <c r="AP47" s="144" t="str">
        <f t="shared" si="19"/>
        <v/>
      </c>
      <c r="AQ47" s="144" t="str">
        <f t="shared" si="13"/>
        <v/>
      </c>
      <c r="AR47" s="144" t="str">
        <f t="shared" si="14"/>
        <v/>
      </c>
      <c r="AS47" s="144" t="str">
        <f t="shared" si="15"/>
        <v/>
      </c>
      <c r="AT47" s="144" t="str">
        <f t="shared" si="16"/>
        <v/>
      </c>
      <c r="AU47" s="144" t="str">
        <f t="shared" si="17"/>
        <v/>
      </c>
      <c r="AV47" s="144" t="str">
        <f t="shared" si="18"/>
        <v/>
      </c>
    </row>
    <row r="48" spans="11:48" ht="16.5" customHeight="1" x14ac:dyDescent="0.25">
      <c r="K48" s="150">
        <f t="shared" si="1"/>
        <v>0</v>
      </c>
      <c r="L48" s="121" t="str">
        <f>IF(P48&lt;&gt;"",SUM(K$33:K48),"")</f>
        <v/>
      </c>
      <c r="M48" s="158"/>
      <c r="N48" s="158"/>
      <c r="O48" s="159"/>
      <c r="P48" s="174" t="str">
        <f t="shared" si="2"/>
        <v/>
      </c>
      <c r="Q48" s="175" t="str">
        <f t="shared" si="3"/>
        <v/>
      </c>
      <c r="R48" s="162"/>
      <c r="S48" s="188"/>
      <c r="T48" s="154"/>
      <c r="U48" s="194"/>
      <c r="V48" s="155"/>
      <c r="W48" s="100"/>
      <c r="X48" s="105"/>
      <c r="Y48" s="106"/>
      <c r="Z48" s="107"/>
      <c r="AC48" s="143" t="str">
        <f t="shared" si="4"/>
        <v/>
      </c>
      <c r="AD48" s="143" t="str">
        <f t="shared" si="5"/>
        <v/>
      </c>
      <c r="AE48" s="143" t="str">
        <f t="shared" si="0"/>
        <v/>
      </c>
      <c r="AF48" s="143" t="str">
        <f t="shared" si="0"/>
        <v/>
      </c>
      <c r="AG48" s="143" t="str">
        <f t="shared" si="0"/>
        <v/>
      </c>
      <c r="AH48" s="143" t="str">
        <f t="shared" si="0"/>
        <v/>
      </c>
      <c r="AI48" s="136" t="str">
        <f t="shared" si="6"/>
        <v/>
      </c>
      <c r="AJ48" s="142" t="str">
        <f t="shared" si="7"/>
        <v/>
      </c>
      <c r="AK48" s="144" t="str">
        <f t="shared" si="8"/>
        <v/>
      </c>
      <c r="AL48" s="144" t="str">
        <f t="shared" si="9"/>
        <v/>
      </c>
      <c r="AM48" s="144" t="str">
        <f t="shared" si="10"/>
        <v/>
      </c>
      <c r="AN48" s="144" t="str">
        <f t="shared" si="11"/>
        <v/>
      </c>
      <c r="AO48" s="144" t="str">
        <f t="shared" si="12"/>
        <v/>
      </c>
      <c r="AP48" s="144" t="str">
        <f t="shared" si="19"/>
        <v/>
      </c>
      <c r="AQ48" s="144" t="str">
        <f t="shared" si="13"/>
        <v/>
      </c>
      <c r="AR48" s="144" t="str">
        <f t="shared" si="14"/>
        <v/>
      </c>
      <c r="AS48" s="144" t="str">
        <f t="shared" si="15"/>
        <v/>
      </c>
      <c r="AT48" s="144" t="str">
        <f t="shared" si="16"/>
        <v/>
      </c>
      <c r="AU48" s="144" t="str">
        <f t="shared" si="17"/>
        <v/>
      </c>
      <c r="AV48" s="144" t="str">
        <f t="shared" si="18"/>
        <v/>
      </c>
    </row>
    <row r="49" spans="11:48" ht="16.5" customHeight="1" thickBot="1" x14ac:dyDescent="0.3">
      <c r="K49" s="150">
        <f t="shared" si="1"/>
        <v>0</v>
      </c>
      <c r="L49" s="121" t="str">
        <f>IF(P49&lt;&gt;"",SUM(K$33:K49),"")</f>
        <v/>
      </c>
      <c r="M49" s="158"/>
      <c r="N49" s="158"/>
      <c r="O49" s="159"/>
      <c r="P49" s="174" t="str">
        <f t="shared" si="2"/>
        <v/>
      </c>
      <c r="Q49" s="175" t="str">
        <f t="shared" si="3"/>
        <v/>
      </c>
      <c r="R49" s="162"/>
      <c r="S49" s="188"/>
      <c r="T49" s="156"/>
      <c r="U49" s="196"/>
      <c r="V49" s="157"/>
      <c r="W49" s="100"/>
      <c r="X49" s="105"/>
      <c r="Y49" s="106"/>
      <c r="Z49" s="107"/>
      <c r="AC49" s="143" t="str">
        <f t="shared" si="4"/>
        <v/>
      </c>
      <c r="AD49" s="143" t="str">
        <f t="shared" si="5"/>
        <v/>
      </c>
      <c r="AE49" s="143" t="str">
        <f t="shared" si="0"/>
        <v/>
      </c>
      <c r="AF49" s="143" t="str">
        <f t="shared" si="0"/>
        <v/>
      </c>
      <c r="AG49" s="143" t="str">
        <f t="shared" si="0"/>
        <v/>
      </c>
      <c r="AH49" s="143" t="str">
        <f t="shared" si="0"/>
        <v/>
      </c>
      <c r="AI49" s="136" t="str">
        <f t="shared" si="6"/>
        <v/>
      </c>
      <c r="AJ49" s="142" t="str">
        <f t="shared" si="7"/>
        <v/>
      </c>
      <c r="AK49" s="144" t="str">
        <f t="shared" si="8"/>
        <v/>
      </c>
      <c r="AL49" s="144" t="str">
        <f t="shared" si="9"/>
        <v/>
      </c>
      <c r="AM49" s="144" t="str">
        <f t="shared" si="10"/>
        <v/>
      </c>
      <c r="AN49" s="144" t="str">
        <f t="shared" si="11"/>
        <v/>
      </c>
      <c r="AO49" s="144" t="str">
        <f t="shared" si="12"/>
        <v/>
      </c>
      <c r="AP49" s="144" t="str">
        <f t="shared" si="19"/>
        <v/>
      </c>
      <c r="AQ49" s="144" t="str">
        <f t="shared" si="13"/>
        <v/>
      </c>
      <c r="AR49" s="144" t="str">
        <f t="shared" si="14"/>
        <v/>
      </c>
      <c r="AS49" s="144" t="str">
        <f t="shared" si="15"/>
        <v/>
      </c>
      <c r="AT49" s="144" t="str">
        <f t="shared" si="16"/>
        <v/>
      </c>
      <c r="AU49" s="144" t="str">
        <f t="shared" si="17"/>
        <v/>
      </c>
      <c r="AV49" s="144" t="str">
        <f t="shared" si="18"/>
        <v/>
      </c>
    </row>
    <row r="50" spans="11:48" ht="16.5" customHeight="1" thickTop="1" thickBot="1" x14ac:dyDescent="0.3">
      <c r="K50" s="150">
        <f t="shared" si="1"/>
        <v>0</v>
      </c>
      <c r="L50" s="121" t="str">
        <f>IF(P50&lt;&gt;"",SUM(K$33:K50),"")</f>
        <v/>
      </c>
      <c r="M50" s="158"/>
      <c r="N50" s="158"/>
      <c r="O50" s="159"/>
      <c r="P50" s="174" t="str">
        <f t="shared" si="2"/>
        <v/>
      </c>
      <c r="Q50" s="175" t="str">
        <f t="shared" si="3"/>
        <v/>
      </c>
      <c r="R50" s="162"/>
      <c r="S50" s="188"/>
      <c r="W50" s="100"/>
      <c r="X50" s="105"/>
      <c r="Y50" s="106"/>
      <c r="Z50" s="107"/>
      <c r="AC50" s="143" t="str">
        <f t="shared" si="4"/>
        <v/>
      </c>
      <c r="AD50" s="143" t="str">
        <f t="shared" si="5"/>
        <v/>
      </c>
      <c r="AE50" s="143" t="str">
        <f t="shared" si="5"/>
        <v/>
      </c>
      <c r="AF50" s="143" t="str">
        <f t="shared" si="5"/>
        <v/>
      </c>
      <c r="AG50" s="143" t="str">
        <f t="shared" si="5"/>
        <v/>
      </c>
      <c r="AH50" s="143" t="str">
        <f t="shared" si="5"/>
        <v/>
      </c>
      <c r="AI50" s="136" t="str">
        <f t="shared" si="6"/>
        <v/>
      </c>
      <c r="AJ50" s="142" t="str">
        <f t="shared" si="7"/>
        <v/>
      </c>
      <c r="AK50" s="144" t="str">
        <f t="shared" si="8"/>
        <v/>
      </c>
      <c r="AL50" s="144" t="str">
        <f t="shared" si="9"/>
        <v/>
      </c>
      <c r="AM50" s="144" t="str">
        <f t="shared" si="10"/>
        <v/>
      </c>
      <c r="AN50" s="144" t="str">
        <f t="shared" si="11"/>
        <v/>
      </c>
      <c r="AO50" s="144" t="str">
        <f t="shared" si="12"/>
        <v/>
      </c>
      <c r="AP50" s="144" t="str">
        <f t="shared" si="19"/>
        <v/>
      </c>
      <c r="AQ50" s="144" t="str">
        <f t="shared" si="13"/>
        <v/>
      </c>
      <c r="AR50" s="144" t="str">
        <f t="shared" si="14"/>
        <v/>
      </c>
      <c r="AS50" s="144" t="str">
        <f t="shared" si="15"/>
        <v/>
      </c>
      <c r="AT50" s="144" t="str">
        <f t="shared" si="16"/>
        <v/>
      </c>
      <c r="AU50" s="144" t="str">
        <f t="shared" si="17"/>
        <v/>
      </c>
      <c r="AV50" s="144" t="str">
        <f t="shared" si="18"/>
        <v/>
      </c>
    </row>
    <row r="51" spans="11:48" ht="16.5" customHeight="1" thickTop="1" thickBot="1" x14ac:dyDescent="0.3">
      <c r="K51" s="150">
        <f t="shared" si="1"/>
        <v>0</v>
      </c>
      <c r="L51" s="121" t="str">
        <f>IF(P51&lt;&gt;"",SUM(K$33:K51),"")</f>
        <v/>
      </c>
      <c r="M51" s="158"/>
      <c r="N51" s="158"/>
      <c r="O51" s="159"/>
      <c r="P51" s="174" t="str">
        <f t="shared" si="2"/>
        <v/>
      </c>
      <c r="Q51" s="175" t="str">
        <f t="shared" si="3"/>
        <v/>
      </c>
      <c r="R51" s="162"/>
      <c r="S51" s="188"/>
      <c r="T51" s="239" t="s">
        <v>9</v>
      </c>
      <c r="U51" s="240"/>
      <c r="V51" s="241"/>
      <c r="W51" s="100"/>
      <c r="X51" s="108"/>
      <c r="Y51" s="109"/>
      <c r="Z51" s="110"/>
      <c r="AC51" s="143" t="str">
        <f t="shared" si="4"/>
        <v/>
      </c>
      <c r="AD51" s="143" t="str">
        <f t="shared" si="5"/>
        <v/>
      </c>
      <c r="AE51" s="143" t="str">
        <f t="shared" si="5"/>
        <v/>
      </c>
      <c r="AF51" s="143" t="str">
        <f t="shared" si="5"/>
        <v/>
      </c>
      <c r="AG51" s="143" t="str">
        <f t="shared" si="5"/>
        <v/>
      </c>
      <c r="AH51" s="143" t="str">
        <f t="shared" si="5"/>
        <v/>
      </c>
      <c r="AI51" s="136" t="str">
        <f t="shared" si="6"/>
        <v/>
      </c>
      <c r="AJ51" s="142" t="str">
        <f t="shared" si="7"/>
        <v/>
      </c>
      <c r="AK51" s="144" t="str">
        <f t="shared" si="8"/>
        <v/>
      </c>
      <c r="AL51" s="144" t="str">
        <f t="shared" si="9"/>
        <v/>
      </c>
      <c r="AM51" s="144" t="str">
        <f t="shared" si="10"/>
        <v/>
      </c>
      <c r="AN51" s="144" t="str">
        <f t="shared" si="11"/>
        <v/>
      </c>
      <c r="AO51" s="144" t="str">
        <f t="shared" si="12"/>
        <v/>
      </c>
      <c r="AP51" s="144" t="str">
        <f t="shared" si="19"/>
        <v/>
      </c>
      <c r="AQ51" s="144" t="str">
        <f t="shared" si="13"/>
        <v/>
      </c>
      <c r="AR51" s="144" t="str">
        <f t="shared" si="14"/>
        <v/>
      </c>
      <c r="AS51" s="144" t="str">
        <f t="shared" si="15"/>
        <v/>
      </c>
      <c r="AT51" s="144" t="str">
        <f t="shared" si="16"/>
        <v/>
      </c>
      <c r="AU51" s="144" t="str">
        <f t="shared" si="17"/>
        <v/>
      </c>
      <c r="AV51" s="144" t="str">
        <f t="shared" si="18"/>
        <v/>
      </c>
    </row>
    <row r="52" spans="11:48" ht="16.5" customHeight="1" thickTop="1" x14ac:dyDescent="0.25">
      <c r="K52" s="150">
        <f t="shared" si="1"/>
        <v>0</v>
      </c>
      <c r="L52" s="121" t="str">
        <f>IF(P52&lt;&gt;"",SUM(K$33:K52),"")</f>
        <v/>
      </c>
      <c r="M52" s="158"/>
      <c r="N52" s="158"/>
      <c r="O52" s="159"/>
      <c r="P52" s="174" t="str">
        <f t="shared" si="2"/>
        <v/>
      </c>
      <c r="Q52" s="175" t="str">
        <f t="shared" si="3"/>
        <v/>
      </c>
      <c r="R52" s="162"/>
      <c r="S52" s="188"/>
      <c r="T52" s="115" t="s">
        <v>10</v>
      </c>
      <c r="U52" s="86">
        <f>COUNT(P34:P84)</f>
        <v>0</v>
      </c>
      <c r="V52" s="132">
        <f>SUM(P34:P84)</f>
        <v>0</v>
      </c>
      <c r="Y52" s="97" t="s">
        <v>278</v>
      </c>
      <c r="AC52" s="143" t="str">
        <f t="shared" si="4"/>
        <v/>
      </c>
      <c r="AD52" s="143" t="str">
        <f t="shared" si="5"/>
        <v/>
      </c>
      <c r="AE52" s="143" t="str">
        <f t="shared" si="5"/>
        <v/>
      </c>
      <c r="AF52" s="143" t="str">
        <f t="shared" si="5"/>
        <v/>
      </c>
      <c r="AG52" s="143" t="str">
        <f t="shared" si="5"/>
        <v/>
      </c>
      <c r="AH52" s="143" t="str">
        <f t="shared" si="5"/>
        <v/>
      </c>
      <c r="AI52" s="136" t="str">
        <f t="shared" si="6"/>
        <v/>
      </c>
      <c r="AJ52" s="142" t="str">
        <f t="shared" si="7"/>
        <v/>
      </c>
      <c r="AK52" s="144" t="str">
        <f t="shared" si="8"/>
        <v/>
      </c>
      <c r="AL52" s="144" t="str">
        <f t="shared" si="9"/>
        <v/>
      </c>
      <c r="AM52" s="144" t="str">
        <f t="shared" si="10"/>
        <v/>
      </c>
      <c r="AN52" s="144" t="str">
        <f t="shared" si="11"/>
        <v/>
      </c>
      <c r="AO52" s="144" t="str">
        <f t="shared" si="12"/>
        <v/>
      </c>
      <c r="AP52" s="144" t="str">
        <f t="shared" si="19"/>
        <v/>
      </c>
      <c r="AQ52" s="144" t="str">
        <f t="shared" si="13"/>
        <v/>
      </c>
      <c r="AR52" s="144" t="str">
        <f t="shared" si="14"/>
        <v/>
      </c>
      <c r="AS52" s="144" t="str">
        <f t="shared" si="15"/>
        <v/>
      </c>
      <c r="AT52" s="144" t="str">
        <f t="shared" si="16"/>
        <v/>
      </c>
      <c r="AU52" s="144" t="str">
        <f t="shared" si="17"/>
        <v/>
      </c>
      <c r="AV52" s="144" t="str">
        <f t="shared" si="18"/>
        <v/>
      </c>
    </row>
    <row r="53" spans="11:48" ht="16.5" customHeight="1" x14ac:dyDescent="0.25">
      <c r="K53" s="150">
        <f t="shared" si="1"/>
        <v>0</v>
      </c>
      <c r="L53" s="121" t="str">
        <f>IF(P53&lt;&gt;"",SUM(K$33:K53),"")</f>
        <v/>
      </c>
      <c r="M53" s="158"/>
      <c r="N53" s="158"/>
      <c r="O53" s="159"/>
      <c r="P53" s="174" t="str">
        <f t="shared" si="2"/>
        <v/>
      </c>
      <c r="Q53" s="175" t="str">
        <f t="shared" si="3"/>
        <v/>
      </c>
      <c r="R53" s="162"/>
      <c r="S53" s="188"/>
      <c r="T53" s="116" t="s">
        <v>11</v>
      </c>
      <c r="U53" s="85">
        <f>COUNT(Q34:Q84)</f>
        <v>0</v>
      </c>
      <c r="V53" s="133">
        <f>SUM(Q34:Q84)</f>
        <v>0</v>
      </c>
      <c r="AC53" s="143" t="str">
        <f t="shared" si="4"/>
        <v/>
      </c>
      <c r="AD53" s="143" t="str">
        <f t="shared" si="5"/>
        <v/>
      </c>
      <c r="AE53" s="143" t="str">
        <f t="shared" si="5"/>
        <v/>
      </c>
      <c r="AF53" s="143" t="str">
        <f t="shared" si="5"/>
        <v/>
      </c>
      <c r="AG53" s="143" t="str">
        <f t="shared" si="5"/>
        <v/>
      </c>
      <c r="AH53" s="143" t="str">
        <f t="shared" si="5"/>
        <v/>
      </c>
      <c r="AI53" s="136" t="str">
        <f t="shared" si="6"/>
        <v/>
      </c>
      <c r="AJ53" s="142" t="str">
        <f t="shared" si="7"/>
        <v/>
      </c>
      <c r="AK53" s="144" t="str">
        <f t="shared" si="8"/>
        <v/>
      </c>
      <c r="AL53" s="144" t="str">
        <f t="shared" si="9"/>
        <v/>
      </c>
      <c r="AM53" s="144" t="str">
        <f t="shared" si="10"/>
        <v/>
      </c>
      <c r="AN53" s="144" t="str">
        <f t="shared" si="11"/>
        <v/>
      </c>
      <c r="AO53" s="144" t="str">
        <f t="shared" si="12"/>
        <v/>
      </c>
      <c r="AP53" s="144" t="str">
        <f t="shared" si="19"/>
        <v/>
      </c>
      <c r="AQ53" s="144" t="str">
        <f t="shared" si="13"/>
        <v/>
      </c>
      <c r="AR53" s="144" t="str">
        <f t="shared" si="14"/>
        <v/>
      </c>
      <c r="AS53" s="144" t="str">
        <f t="shared" si="15"/>
        <v/>
      </c>
      <c r="AT53" s="144" t="str">
        <f t="shared" si="16"/>
        <v/>
      </c>
      <c r="AU53" s="144" t="str">
        <f t="shared" si="17"/>
        <v/>
      </c>
      <c r="AV53" s="144" t="str">
        <f t="shared" si="18"/>
        <v/>
      </c>
    </row>
    <row r="54" spans="11:48" ht="16.5" customHeight="1" x14ac:dyDescent="0.25">
      <c r="K54" s="150">
        <f t="shared" si="1"/>
        <v>0</v>
      </c>
      <c r="L54" s="121" t="str">
        <f>IF(P54&lt;&gt;"",SUM(K$33:K54),"")</f>
        <v/>
      </c>
      <c r="M54" s="158"/>
      <c r="N54" s="158"/>
      <c r="O54" s="159"/>
      <c r="P54" s="174" t="str">
        <f t="shared" si="2"/>
        <v/>
      </c>
      <c r="Q54" s="175" t="str">
        <f t="shared" si="3"/>
        <v/>
      </c>
      <c r="R54" s="162"/>
      <c r="S54" s="188"/>
      <c r="T54" s="166" t="s">
        <v>14</v>
      </c>
      <c r="U54" s="167">
        <f>COUNTIF(O$34:O$84,T54)</f>
        <v>0</v>
      </c>
      <c r="V54" s="168">
        <f>SUM(AD34:AD84)</f>
        <v>0</v>
      </c>
      <c r="AC54" s="143" t="str">
        <f t="shared" si="4"/>
        <v/>
      </c>
      <c r="AD54" s="143" t="str">
        <f t="shared" si="5"/>
        <v/>
      </c>
      <c r="AE54" s="143" t="str">
        <f t="shared" si="5"/>
        <v/>
      </c>
      <c r="AF54" s="143" t="str">
        <f t="shared" si="5"/>
        <v/>
      </c>
      <c r="AG54" s="143" t="str">
        <f t="shared" si="5"/>
        <v/>
      </c>
      <c r="AH54" s="143" t="str">
        <f t="shared" si="5"/>
        <v/>
      </c>
      <c r="AI54" s="136" t="str">
        <f t="shared" si="6"/>
        <v/>
      </c>
      <c r="AJ54" s="142" t="str">
        <f t="shared" si="7"/>
        <v/>
      </c>
      <c r="AK54" s="144" t="str">
        <f t="shared" si="8"/>
        <v/>
      </c>
      <c r="AL54" s="144" t="str">
        <f t="shared" si="9"/>
        <v/>
      </c>
      <c r="AM54" s="144" t="str">
        <f t="shared" si="10"/>
        <v/>
      </c>
      <c r="AN54" s="144" t="str">
        <f t="shared" si="11"/>
        <v/>
      </c>
      <c r="AO54" s="144" t="str">
        <f t="shared" si="12"/>
        <v/>
      </c>
      <c r="AP54" s="144" t="str">
        <f t="shared" si="19"/>
        <v/>
      </c>
      <c r="AQ54" s="144" t="str">
        <f t="shared" si="13"/>
        <v/>
      </c>
      <c r="AR54" s="144" t="str">
        <f t="shared" si="14"/>
        <v/>
      </c>
      <c r="AS54" s="144" t="str">
        <f t="shared" si="15"/>
        <v/>
      </c>
      <c r="AT54" s="144" t="str">
        <f t="shared" si="16"/>
        <v/>
      </c>
      <c r="AU54" s="144" t="str">
        <f t="shared" si="17"/>
        <v/>
      </c>
      <c r="AV54" s="144" t="str">
        <f t="shared" si="18"/>
        <v/>
      </c>
    </row>
    <row r="55" spans="11:48" ht="16.5" customHeight="1" x14ac:dyDescent="0.25">
      <c r="K55" s="150">
        <f t="shared" si="1"/>
        <v>0</v>
      </c>
      <c r="L55" s="121" t="str">
        <f>IF(P55&lt;&gt;"",SUM(K$33:K55),"")</f>
        <v/>
      </c>
      <c r="M55" s="158"/>
      <c r="N55" s="158"/>
      <c r="O55" s="159"/>
      <c r="P55" s="174" t="str">
        <f t="shared" si="2"/>
        <v/>
      </c>
      <c r="Q55" s="175" t="str">
        <f t="shared" si="3"/>
        <v/>
      </c>
      <c r="R55" s="162"/>
      <c r="S55" s="188"/>
      <c r="T55" s="166" t="s">
        <v>13</v>
      </c>
      <c r="U55" s="167">
        <f>COUNTIF(O$34:O$84,T55)</f>
        <v>0</v>
      </c>
      <c r="V55" s="168">
        <f>SUM(AE34:AE84)</f>
        <v>0</v>
      </c>
      <c r="AC55" s="143" t="str">
        <f t="shared" si="4"/>
        <v/>
      </c>
      <c r="AD55" s="143" t="str">
        <f t="shared" si="5"/>
        <v/>
      </c>
      <c r="AE55" s="143" t="str">
        <f t="shared" si="5"/>
        <v/>
      </c>
      <c r="AF55" s="143" t="str">
        <f t="shared" si="5"/>
        <v/>
      </c>
      <c r="AG55" s="143" t="str">
        <f t="shared" si="5"/>
        <v/>
      </c>
      <c r="AH55" s="143" t="str">
        <f t="shared" si="5"/>
        <v/>
      </c>
      <c r="AI55" s="136" t="str">
        <f t="shared" si="6"/>
        <v/>
      </c>
      <c r="AJ55" s="142" t="str">
        <f t="shared" si="7"/>
        <v/>
      </c>
      <c r="AK55" s="144" t="str">
        <f t="shared" si="8"/>
        <v/>
      </c>
      <c r="AL55" s="144" t="str">
        <f t="shared" si="9"/>
        <v/>
      </c>
      <c r="AM55" s="144" t="str">
        <f t="shared" si="10"/>
        <v/>
      </c>
      <c r="AN55" s="144" t="str">
        <f t="shared" si="11"/>
        <v/>
      </c>
      <c r="AO55" s="144" t="str">
        <f t="shared" si="12"/>
        <v/>
      </c>
      <c r="AP55" s="144" t="str">
        <f t="shared" si="19"/>
        <v/>
      </c>
      <c r="AQ55" s="144" t="str">
        <f t="shared" si="13"/>
        <v/>
      </c>
      <c r="AR55" s="144" t="str">
        <f t="shared" si="14"/>
        <v/>
      </c>
      <c r="AS55" s="144" t="str">
        <f t="shared" si="15"/>
        <v/>
      </c>
      <c r="AT55" s="144" t="str">
        <f t="shared" si="16"/>
        <v/>
      </c>
      <c r="AU55" s="144" t="str">
        <f t="shared" si="17"/>
        <v/>
      </c>
      <c r="AV55" s="144" t="str">
        <f t="shared" si="18"/>
        <v/>
      </c>
    </row>
    <row r="56" spans="11:48" ht="16.5" customHeight="1" x14ac:dyDescent="0.25">
      <c r="K56" s="150">
        <f t="shared" si="1"/>
        <v>0</v>
      </c>
      <c r="L56" s="121" t="str">
        <f>IF(P56&lt;&gt;"",SUM(K$33:K56),"")</f>
        <v/>
      </c>
      <c r="M56" s="158"/>
      <c r="N56" s="158"/>
      <c r="O56" s="159"/>
      <c r="P56" s="174" t="str">
        <f t="shared" si="2"/>
        <v/>
      </c>
      <c r="Q56" s="175" t="str">
        <f t="shared" si="3"/>
        <v/>
      </c>
      <c r="R56" s="162"/>
      <c r="S56" s="188"/>
      <c r="T56" s="166" t="s">
        <v>8</v>
      </c>
      <c r="U56" s="167">
        <f>COUNTIF(O$34:O$84,T56)</f>
        <v>0</v>
      </c>
      <c r="V56" s="168">
        <f>SUM(AF34:AF84)</f>
        <v>0</v>
      </c>
      <c r="AC56" s="143" t="str">
        <f t="shared" si="4"/>
        <v/>
      </c>
      <c r="AD56" s="143" t="str">
        <f t="shared" si="5"/>
        <v/>
      </c>
      <c r="AE56" s="143" t="str">
        <f t="shared" si="5"/>
        <v/>
      </c>
      <c r="AF56" s="143" t="str">
        <f t="shared" si="5"/>
        <v/>
      </c>
      <c r="AG56" s="143" t="str">
        <f t="shared" si="5"/>
        <v/>
      </c>
      <c r="AH56" s="143" t="str">
        <f t="shared" si="5"/>
        <v/>
      </c>
      <c r="AI56" s="136" t="str">
        <f t="shared" si="6"/>
        <v/>
      </c>
      <c r="AJ56" s="142" t="str">
        <f t="shared" si="7"/>
        <v/>
      </c>
      <c r="AK56" s="144" t="str">
        <f t="shared" si="8"/>
        <v/>
      </c>
      <c r="AL56" s="144" t="str">
        <f t="shared" si="9"/>
        <v/>
      </c>
      <c r="AM56" s="144" t="str">
        <f t="shared" si="10"/>
        <v/>
      </c>
      <c r="AN56" s="144" t="str">
        <f t="shared" si="11"/>
        <v/>
      </c>
      <c r="AO56" s="144" t="str">
        <f t="shared" si="12"/>
        <v/>
      </c>
      <c r="AP56" s="144" t="str">
        <f t="shared" si="19"/>
        <v/>
      </c>
      <c r="AQ56" s="144" t="str">
        <f t="shared" si="13"/>
        <v/>
      </c>
      <c r="AR56" s="144" t="str">
        <f t="shared" si="14"/>
        <v/>
      </c>
      <c r="AS56" s="144" t="str">
        <f t="shared" si="15"/>
        <v/>
      </c>
      <c r="AT56" s="144" t="str">
        <f t="shared" si="16"/>
        <v/>
      </c>
      <c r="AU56" s="144" t="str">
        <f t="shared" si="17"/>
        <v/>
      </c>
      <c r="AV56" s="144" t="str">
        <f t="shared" si="18"/>
        <v/>
      </c>
    </row>
    <row r="57" spans="11:48" ht="16.5" customHeight="1" x14ac:dyDescent="0.25">
      <c r="K57" s="150">
        <f t="shared" si="1"/>
        <v>0</v>
      </c>
      <c r="L57" s="121" t="str">
        <f>IF(P57&lt;&gt;"",SUM(K$33:K57),"")</f>
        <v/>
      </c>
      <c r="M57" s="158"/>
      <c r="N57" s="158"/>
      <c r="O57" s="159"/>
      <c r="P57" s="174" t="str">
        <f t="shared" si="2"/>
        <v/>
      </c>
      <c r="Q57" s="175" t="str">
        <f t="shared" si="3"/>
        <v/>
      </c>
      <c r="R57" s="162"/>
      <c r="S57" s="188"/>
      <c r="T57" s="166" t="s">
        <v>15</v>
      </c>
      <c r="U57" s="167">
        <f>COUNTIF(O$34:O$84,T57)</f>
        <v>0</v>
      </c>
      <c r="V57" s="168">
        <f>SUM(AG34:AG84)</f>
        <v>0</v>
      </c>
      <c r="AC57" s="143" t="str">
        <f t="shared" si="4"/>
        <v/>
      </c>
      <c r="AD57" s="143" t="str">
        <f t="shared" si="5"/>
        <v/>
      </c>
      <c r="AE57" s="143" t="str">
        <f t="shared" si="5"/>
        <v/>
      </c>
      <c r="AF57" s="143" t="str">
        <f t="shared" si="5"/>
        <v/>
      </c>
      <c r="AG57" s="143" t="str">
        <f t="shared" si="5"/>
        <v/>
      </c>
      <c r="AH57" s="143" t="str">
        <f t="shared" si="5"/>
        <v/>
      </c>
      <c r="AI57" s="136" t="str">
        <f t="shared" si="6"/>
        <v/>
      </c>
      <c r="AJ57" s="142" t="str">
        <f t="shared" si="7"/>
        <v/>
      </c>
      <c r="AK57" s="144" t="str">
        <f t="shared" si="8"/>
        <v/>
      </c>
      <c r="AL57" s="144" t="str">
        <f t="shared" si="9"/>
        <v/>
      </c>
      <c r="AM57" s="144" t="str">
        <f t="shared" si="10"/>
        <v/>
      </c>
      <c r="AN57" s="144" t="str">
        <f t="shared" si="11"/>
        <v/>
      </c>
      <c r="AO57" s="144" t="str">
        <f t="shared" si="12"/>
        <v/>
      </c>
      <c r="AP57" s="144" t="str">
        <f t="shared" si="19"/>
        <v/>
      </c>
      <c r="AQ57" s="144" t="str">
        <f t="shared" si="13"/>
        <v/>
      </c>
      <c r="AR57" s="144" t="str">
        <f t="shared" si="14"/>
        <v/>
      </c>
      <c r="AS57" s="144" t="str">
        <f t="shared" si="15"/>
        <v/>
      </c>
      <c r="AT57" s="144" t="str">
        <f t="shared" si="16"/>
        <v/>
      </c>
      <c r="AU57" s="144" t="str">
        <f t="shared" si="17"/>
        <v/>
      </c>
      <c r="AV57" s="144" t="str">
        <f t="shared" si="18"/>
        <v/>
      </c>
    </row>
    <row r="58" spans="11:48" ht="16.5" customHeight="1" x14ac:dyDescent="0.25">
      <c r="K58" s="150">
        <f t="shared" si="1"/>
        <v>0</v>
      </c>
      <c r="L58" s="121" t="str">
        <f>IF(P58&lt;&gt;"",SUM(K$33:K58),"")</f>
        <v/>
      </c>
      <c r="M58" s="158"/>
      <c r="N58" s="158"/>
      <c r="O58" s="159"/>
      <c r="P58" s="174" t="str">
        <f t="shared" si="2"/>
        <v/>
      </c>
      <c r="Q58" s="175" t="str">
        <f t="shared" si="3"/>
        <v/>
      </c>
      <c r="R58" s="162"/>
      <c r="S58" s="188"/>
      <c r="T58" s="166" t="s">
        <v>16</v>
      </c>
      <c r="U58" s="167">
        <f>COUNTIF(O$34:O$84,T58)</f>
        <v>0</v>
      </c>
      <c r="V58" s="168">
        <f>SUM(AH34:AH84)</f>
        <v>0</v>
      </c>
      <c r="AC58" s="143" t="str">
        <f t="shared" si="4"/>
        <v/>
      </c>
      <c r="AD58" s="143" t="str">
        <f t="shared" si="5"/>
        <v/>
      </c>
      <c r="AE58" s="143" t="str">
        <f t="shared" si="5"/>
        <v/>
      </c>
      <c r="AF58" s="143" t="str">
        <f t="shared" si="5"/>
        <v/>
      </c>
      <c r="AG58" s="143" t="str">
        <f t="shared" si="5"/>
        <v/>
      </c>
      <c r="AH58" s="143" t="str">
        <f t="shared" si="5"/>
        <v/>
      </c>
      <c r="AI58" s="136" t="str">
        <f t="shared" si="6"/>
        <v/>
      </c>
      <c r="AJ58" s="142" t="str">
        <f t="shared" si="7"/>
        <v/>
      </c>
      <c r="AK58" s="144" t="str">
        <f t="shared" si="8"/>
        <v/>
      </c>
      <c r="AL58" s="144" t="str">
        <f t="shared" si="9"/>
        <v/>
      </c>
      <c r="AM58" s="144" t="str">
        <f t="shared" si="10"/>
        <v/>
      </c>
      <c r="AN58" s="144" t="str">
        <f t="shared" si="11"/>
        <v/>
      </c>
      <c r="AO58" s="144" t="str">
        <f t="shared" si="12"/>
        <v/>
      </c>
      <c r="AP58" s="144" t="str">
        <f t="shared" si="19"/>
        <v/>
      </c>
      <c r="AQ58" s="144" t="str">
        <f t="shared" si="13"/>
        <v/>
      </c>
      <c r="AR58" s="144" t="str">
        <f t="shared" si="14"/>
        <v/>
      </c>
      <c r="AS58" s="144" t="str">
        <f t="shared" si="15"/>
        <v/>
      </c>
      <c r="AT58" s="144" t="str">
        <f t="shared" si="16"/>
        <v/>
      </c>
      <c r="AU58" s="144" t="str">
        <f t="shared" si="17"/>
        <v/>
      </c>
      <c r="AV58" s="144" t="str">
        <f t="shared" si="18"/>
        <v/>
      </c>
    </row>
    <row r="59" spans="11:48" ht="16.5" customHeight="1" thickBot="1" x14ac:dyDescent="0.3">
      <c r="K59" s="150">
        <f t="shared" si="1"/>
        <v>0</v>
      </c>
      <c r="L59" s="121" t="str">
        <f>IF(P59&lt;&gt;"",SUM(K$33:K59),"")</f>
        <v/>
      </c>
      <c r="M59" s="158"/>
      <c r="N59" s="158"/>
      <c r="O59" s="159"/>
      <c r="P59" s="174" t="str">
        <f t="shared" si="2"/>
        <v/>
      </c>
      <c r="Q59" s="175" t="str">
        <f t="shared" si="3"/>
        <v/>
      </c>
      <c r="R59" s="162"/>
      <c r="S59" s="188"/>
      <c r="T59" s="169" t="s">
        <v>239</v>
      </c>
      <c r="U59" s="170">
        <f>COUNTIF(AC:AC,TRUE)</f>
        <v>0</v>
      </c>
      <c r="V59" s="171"/>
      <c r="AC59" s="143" t="str">
        <f t="shared" si="4"/>
        <v/>
      </c>
      <c r="AD59" s="143" t="str">
        <f t="shared" si="5"/>
        <v/>
      </c>
      <c r="AE59" s="143" t="str">
        <f t="shared" si="5"/>
        <v/>
      </c>
      <c r="AF59" s="143" t="str">
        <f t="shared" si="5"/>
        <v/>
      </c>
      <c r="AG59" s="143" t="str">
        <f t="shared" si="5"/>
        <v/>
      </c>
      <c r="AH59" s="143" t="str">
        <f t="shared" si="5"/>
        <v/>
      </c>
      <c r="AI59" s="136" t="str">
        <f t="shared" si="6"/>
        <v/>
      </c>
      <c r="AJ59" s="142" t="str">
        <f t="shared" si="7"/>
        <v/>
      </c>
      <c r="AK59" s="144" t="str">
        <f t="shared" si="8"/>
        <v/>
      </c>
      <c r="AL59" s="144" t="str">
        <f t="shared" si="9"/>
        <v/>
      </c>
      <c r="AM59" s="144" t="str">
        <f t="shared" si="10"/>
        <v/>
      </c>
      <c r="AN59" s="144" t="str">
        <f t="shared" si="11"/>
        <v/>
      </c>
      <c r="AO59" s="144" t="str">
        <f t="shared" si="12"/>
        <v/>
      </c>
      <c r="AP59" s="144" t="str">
        <f t="shared" si="19"/>
        <v/>
      </c>
      <c r="AQ59" s="144" t="str">
        <f t="shared" si="13"/>
        <v/>
      </c>
      <c r="AR59" s="144" t="str">
        <f t="shared" si="14"/>
        <v/>
      </c>
      <c r="AS59" s="144" t="str">
        <f t="shared" si="15"/>
        <v/>
      </c>
      <c r="AT59" s="144" t="str">
        <f t="shared" si="16"/>
        <v/>
      </c>
      <c r="AU59" s="144" t="str">
        <f t="shared" si="17"/>
        <v/>
      </c>
      <c r="AV59" s="144" t="str">
        <f t="shared" si="18"/>
        <v/>
      </c>
    </row>
    <row r="60" spans="11:48" ht="16.5" customHeight="1" thickTop="1" x14ac:dyDescent="0.25">
      <c r="K60" s="150">
        <f t="shared" si="1"/>
        <v>0</v>
      </c>
      <c r="L60" s="121" t="str">
        <f>IF(P60&lt;&gt;"",SUM(K$33:K60),"")</f>
        <v/>
      </c>
      <c r="M60" s="158"/>
      <c r="N60" s="158"/>
      <c r="O60" s="159"/>
      <c r="P60" s="174" t="str">
        <f t="shared" si="2"/>
        <v/>
      </c>
      <c r="Q60" s="175" t="str">
        <f t="shared" si="3"/>
        <v/>
      </c>
      <c r="R60" s="162"/>
      <c r="S60" s="188"/>
      <c r="AC60" s="143" t="str">
        <f t="shared" si="4"/>
        <v/>
      </c>
      <c r="AD60" s="143" t="str">
        <f t="shared" si="5"/>
        <v/>
      </c>
      <c r="AE60" s="143" t="str">
        <f t="shared" si="5"/>
        <v/>
      </c>
      <c r="AF60" s="143" t="str">
        <f t="shared" si="5"/>
        <v/>
      </c>
      <c r="AG60" s="143" t="str">
        <f t="shared" si="5"/>
        <v/>
      </c>
      <c r="AH60" s="143" t="str">
        <f t="shared" si="5"/>
        <v/>
      </c>
      <c r="AI60" s="136" t="str">
        <f t="shared" si="6"/>
        <v/>
      </c>
      <c r="AJ60" s="142" t="str">
        <f t="shared" si="7"/>
        <v/>
      </c>
      <c r="AK60" s="144" t="str">
        <f t="shared" si="8"/>
        <v/>
      </c>
      <c r="AL60" s="144" t="str">
        <f t="shared" si="9"/>
        <v/>
      </c>
      <c r="AM60" s="144" t="str">
        <f t="shared" si="10"/>
        <v/>
      </c>
      <c r="AN60" s="144" t="str">
        <f t="shared" si="11"/>
        <v/>
      </c>
      <c r="AO60" s="144" t="str">
        <f t="shared" si="12"/>
        <v/>
      </c>
      <c r="AP60" s="144" t="str">
        <f t="shared" si="19"/>
        <v/>
      </c>
      <c r="AQ60" s="144" t="str">
        <f t="shared" si="13"/>
        <v/>
      </c>
      <c r="AR60" s="144" t="str">
        <f t="shared" si="14"/>
        <v/>
      </c>
      <c r="AS60" s="144" t="str">
        <f t="shared" si="15"/>
        <v/>
      </c>
      <c r="AT60" s="144" t="str">
        <f t="shared" si="16"/>
        <v/>
      </c>
      <c r="AU60" s="144" t="str">
        <f t="shared" si="17"/>
        <v/>
      </c>
      <c r="AV60" s="144" t="str">
        <f t="shared" si="18"/>
        <v/>
      </c>
    </row>
    <row r="61" spans="11:48" ht="16.5" customHeight="1" x14ac:dyDescent="0.25">
      <c r="K61" s="150">
        <f t="shared" si="1"/>
        <v>0</v>
      </c>
      <c r="L61" s="121" t="str">
        <f>IF(P61&lt;&gt;"",SUM(K$33:K61),"")</f>
        <v/>
      </c>
      <c r="M61" s="158"/>
      <c r="N61" s="158"/>
      <c r="O61" s="159"/>
      <c r="P61" s="174" t="str">
        <f t="shared" si="2"/>
        <v/>
      </c>
      <c r="Q61" s="175" t="str">
        <f t="shared" si="3"/>
        <v/>
      </c>
      <c r="R61" s="162"/>
      <c r="S61" s="188"/>
      <c r="AC61" s="143" t="str">
        <f t="shared" si="4"/>
        <v/>
      </c>
      <c r="AD61" s="143" t="str">
        <f t="shared" si="5"/>
        <v/>
      </c>
      <c r="AE61" s="143" t="str">
        <f t="shared" si="5"/>
        <v/>
      </c>
      <c r="AF61" s="143" t="str">
        <f t="shared" si="5"/>
        <v/>
      </c>
      <c r="AG61" s="143" t="str">
        <f t="shared" si="5"/>
        <v/>
      </c>
      <c r="AH61" s="143" t="str">
        <f t="shared" si="5"/>
        <v/>
      </c>
      <c r="AI61" s="136" t="str">
        <f t="shared" si="6"/>
        <v/>
      </c>
      <c r="AJ61" s="142" t="str">
        <f t="shared" si="7"/>
        <v/>
      </c>
      <c r="AK61" s="144" t="str">
        <f t="shared" si="8"/>
        <v/>
      </c>
      <c r="AL61" s="144" t="str">
        <f t="shared" si="9"/>
        <v/>
      </c>
      <c r="AM61" s="144" t="str">
        <f t="shared" si="10"/>
        <v/>
      </c>
      <c r="AN61" s="144" t="str">
        <f t="shared" si="11"/>
        <v/>
      </c>
      <c r="AO61" s="144" t="str">
        <f t="shared" si="12"/>
        <v/>
      </c>
      <c r="AP61" s="144" t="str">
        <f t="shared" si="19"/>
        <v/>
      </c>
      <c r="AQ61" s="144" t="str">
        <f t="shared" si="13"/>
        <v/>
      </c>
      <c r="AR61" s="144" t="str">
        <f t="shared" si="14"/>
        <v/>
      </c>
      <c r="AS61" s="144" t="str">
        <f t="shared" si="15"/>
        <v/>
      </c>
      <c r="AT61" s="144" t="str">
        <f t="shared" si="16"/>
        <v/>
      </c>
      <c r="AU61" s="144" t="str">
        <f t="shared" si="17"/>
        <v/>
      </c>
      <c r="AV61" s="144" t="str">
        <f t="shared" si="18"/>
        <v/>
      </c>
    </row>
    <row r="62" spans="11:48" ht="16.5" customHeight="1" x14ac:dyDescent="0.25">
      <c r="K62" s="150">
        <f t="shared" si="1"/>
        <v>0</v>
      </c>
      <c r="L62" s="121" t="str">
        <f>IF(P62&lt;&gt;"",SUM(K$33:K62),"")</f>
        <v/>
      </c>
      <c r="M62" s="158"/>
      <c r="N62" s="158"/>
      <c r="O62" s="159"/>
      <c r="P62" s="174" t="str">
        <f t="shared" si="2"/>
        <v/>
      </c>
      <c r="Q62" s="175" t="str">
        <f t="shared" si="3"/>
        <v/>
      </c>
      <c r="R62" s="162"/>
      <c r="S62" s="188"/>
      <c r="AC62" s="143" t="str">
        <f t="shared" si="4"/>
        <v/>
      </c>
      <c r="AD62" s="143" t="str">
        <f t="shared" si="5"/>
        <v/>
      </c>
      <c r="AE62" s="143" t="str">
        <f t="shared" si="5"/>
        <v/>
      </c>
      <c r="AF62" s="143" t="str">
        <f t="shared" si="5"/>
        <v/>
      </c>
      <c r="AG62" s="143" t="str">
        <f t="shared" si="5"/>
        <v/>
      </c>
      <c r="AH62" s="143" t="str">
        <f t="shared" si="5"/>
        <v/>
      </c>
      <c r="AI62" s="136" t="str">
        <f t="shared" si="6"/>
        <v/>
      </c>
      <c r="AJ62" s="142" t="str">
        <f t="shared" si="7"/>
        <v/>
      </c>
      <c r="AK62" s="144" t="str">
        <f t="shared" si="8"/>
        <v/>
      </c>
      <c r="AL62" s="144" t="str">
        <f t="shared" si="9"/>
        <v/>
      </c>
      <c r="AM62" s="144" t="str">
        <f t="shared" si="10"/>
        <v/>
      </c>
      <c r="AN62" s="144" t="str">
        <f t="shared" si="11"/>
        <v/>
      </c>
      <c r="AO62" s="144" t="str">
        <f t="shared" si="12"/>
        <v/>
      </c>
      <c r="AP62" s="144" t="str">
        <f t="shared" si="19"/>
        <v/>
      </c>
      <c r="AQ62" s="144" t="str">
        <f t="shared" si="13"/>
        <v/>
      </c>
      <c r="AR62" s="144" t="str">
        <f t="shared" si="14"/>
        <v/>
      </c>
      <c r="AS62" s="144" t="str">
        <f t="shared" si="15"/>
        <v/>
      </c>
      <c r="AT62" s="144" t="str">
        <f t="shared" si="16"/>
        <v/>
      </c>
      <c r="AU62" s="144" t="str">
        <f t="shared" si="17"/>
        <v/>
      </c>
      <c r="AV62" s="144" t="str">
        <f t="shared" si="18"/>
        <v/>
      </c>
    </row>
    <row r="63" spans="11:48" ht="16.5" customHeight="1" x14ac:dyDescent="0.25">
      <c r="K63" s="150">
        <f t="shared" si="1"/>
        <v>0</v>
      </c>
      <c r="L63" s="121" t="str">
        <f>IF(P63&lt;&gt;"",SUM(K$33:K63),"")</f>
        <v/>
      </c>
      <c r="M63" s="158"/>
      <c r="N63" s="158"/>
      <c r="O63" s="159"/>
      <c r="P63" s="174" t="str">
        <f t="shared" si="2"/>
        <v/>
      </c>
      <c r="Q63" s="175" t="str">
        <f t="shared" si="3"/>
        <v/>
      </c>
      <c r="R63" s="162"/>
      <c r="S63" s="188"/>
      <c r="AC63" s="143" t="str">
        <f t="shared" si="4"/>
        <v/>
      </c>
      <c r="AD63" s="143" t="str">
        <f t="shared" si="5"/>
        <v/>
      </c>
      <c r="AE63" s="143" t="str">
        <f t="shared" si="5"/>
        <v/>
      </c>
      <c r="AF63" s="143" t="str">
        <f t="shared" si="5"/>
        <v/>
      </c>
      <c r="AG63" s="143" t="str">
        <f t="shared" si="5"/>
        <v/>
      </c>
      <c r="AH63" s="143" t="str">
        <f t="shared" si="5"/>
        <v/>
      </c>
      <c r="AI63" s="136" t="str">
        <f t="shared" si="6"/>
        <v/>
      </c>
      <c r="AJ63" s="142" t="str">
        <f t="shared" si="7"/>
        <v/>
      </c>
      <c r="AK63" s="144" t="str">
        <f t="shared" si="8"/>
        <v/>
      </c>
      <c r="AL63" s="144" t="str">
        <f t="shared" si="9"/>
        <v/>
      </c>
      <c r="AM63" s="144" t="str">
        <f t="shared" si="10"/>
        <v/>
      </c>
      <c r="AN63" s="144" t="str">
        <f t="shared" si="11"/>
        <v/>
      </c>
      <c r="AO63" s="144" t="str">
        <f t="shared" si="12"/>
        <v/>
      </c>
      <c r="AP63" s="144" t="str">
        <f t="shared" si="19"/>
        <v/>
      </c>
      <c r="AQ63" s="144" t="str">
        <f t="shared" si="13"/>
        <v/>
      </c>
      <c r="AR63" s="144" t="str">
        <f t="shared" si="14"/>
        <v/>
      </c>
      <c r="AS63" s="144" t="str">
        <f t="shared" si="15"/>
        <v/>
      </c>
      <c r="AT63" s="144" t="str">
        <f t="shared" si="16"/>
        <v/>
      </c>
      <c r="AU63" s="144" t="str">
        <f t="shared" si="17"/>
        <v/>
      </c>
      <c r="AV63" s="144" t="str">
        <f t="shared" si="18"/>
        <v/>
      </c>
    </row>
    <row r="64" spans="11:48" ht="16.5" customHeight="1" x14ac:dyDescent="0.25">
      <c r="K64" s="150">
        <f t="shared" si="1"/>
        <v>0</v>
      </c>
      <c r="L64" s="121" t="str">
        <f>IF(P64&lt;&gt;"",SUM(K$33:K64),"")</f>
        <v/>
      </c>
      <c r="M64" s="158"/>
      <c r="N64" s="158"/>
      <c r="O64" s="159"/>
      <c r="P64" s="174" t="str">
        <f t="shared" si="2"/>
        <v/>
      </c>
      <c r="Q64" s="175" t="str">
        <f t="shared" si="3"/>
        <v/>
      </c>
      <c r="R64" s="162"/>
      <c r="S64" s="188"/>
      <c r="AC64" s="143" t="str">
        <f t="shared" si="4"/>
        <v/>
      </c>
      <c r="AD64" s="143" t="str">
        <f t="shared" si="5"/>
        <v/>
      </c>
      <c r="AE64" s="143" t="str">
        <f t="shared" si="5"/>
        <v/>
      </c>
      <c r="AF64" s="143" t="str">
        <f t="shared" si="5"/>
        <v/>
      </c>
      <c r="AG64" s="143" t="str">
        <f t="shared" si="5"/>
        <v/>
      </c>
      <c r="AH64" s="143" t="str">
        <f t="shared" si="5"/>
        <v/>
      </c>
      <c r="AI64" s="136" t="str">
        <f t="shared" si="6"/>
        <v/>
      </c>
      <c r="AJ64" s="142" t="str">
        <f t="shared" si="7"/>
        <v/>
      </c>
      <c r="AK64" s="144" t="str">
        <f t="shared" si="8"/>
        <v/>
      </c>
      <c r="AL64" s="144" t="str">
        <f t="shared" si="9"/>
        <v/>
      </c>
      <c r="AM64" s="144" t="str">
        <f t="shared" si="10"/>
        <v/>
      </c>
      <c r="AN64" s="144" t="str">
        <f t="shared" si="11"/>
        <v/>
      </c>
      <c r="AO64" s="144" t="str">
        <f t="shared" si="12"/>
        <v/>
      </c>
      <c r="AP64" s="144" t="str">
        <f t="shared" si="19"/>
        <v/>
      </c>
      <c r="AQ64" s="144" t="str">
        <f t="shared" si="13"/>
        <v/>
      </c>
      <c r="AR64" s="144" t="str">
        <f t="shared" si="14"/>
        <v/>
      </c>
      <c r="AS64" s="144" t="str">
        <f t="shared" si="15"/>
        <v/>
      </c>
      <c r="AT64" s="144" t="str">
        <f t="shared" si="16"/>
        <v/>
      </c>
      <c r="AU64" s="144" t="str">
        <f t="shared" si="17"/>
        <v/>
      </c>
      <c r="AV64" s="144" t="str">
        <f t="shared" si="18"/>
        <v/>
      </c>
    </row>
    <row r="65" spans="11:48" ht="16.5" customHeight="1" x14ac:dyDescent="0.25">
      <c r="K65" s="150">
        <f t="shared" si="1"/>
        <v>0</v>
      </c>
      <c r="L65" s="121" t="str">
        <f>IF(P65&lt;&gt;"",SUM(K$33:K65),"")</f>
        <v/>
      </c>
      <c r="M65" s="158"/>
      <c r="N65" s="158"/>
      <c r="O65" s="159"/>
      <c r="P65" s="174" t="str">
        <f t="shared" si="2"/>
        <v/>
      </c>
      <c r="Q65" s="175" t="str">
        <f t="shared" si="3"/>
        <v/>
      </c>
      <c r="R65" s="162"/>
      <c r="S65" s="188"/>
      <c r="AC65" s="143" t="str">
        <f t="shared" si="4"/>
        <v/>
      </c>
      <c r="AD65" s="143" t="str">
        <f t="shared" si="5"/>
        <v/>
      </c>
      <c r="AE65" s="143" t="str">
        <f t="shared" si="5"/>
        <v/>
      </c>
      <c r="AF65" s="143" t="str">
        <f t="shared" si="5"/>
        <v/>
      </c>
      <c r="AG65" s="143" t="str">
        <f t="shared" si="5"/>
        <v/>
      </c>
      <c r="AH65" s="143" t="str">
        <f t="shared" si="5"/>
        <v/>
      </c>
      <c r="AI65" s="136" t="str">
        <f t="shared" si="6"/>
        <v/>
      </c>
      <c r="AJ65" s="142" t="str">
        <f t="shared" si="7"/>
        <v/>
      </c>
      <c r="AK65" s="144" t="str">
        <f t="shared" si="8"/>
        <v/>
      </c>
      <c r="AL65" s="144" t="str">
        <f t="shared" si="9"/>
        <v/>
      </c>
      <c r="AM65" s="144" t="str">
        <f t="shared" si="10"/>
        <v/>
      </c>
      <c r="AN65" s="144" t="str">
        <f t="shared" si="11"/>
        <v/>
      </c>
      <c r="AO65" s="144" t="str">
        <f t="shared" si="12"/>
        <v/>
      </c>
      <c r="AP65" s="144" t="str">
        <f t="shared" si="19"/>
        <v/>
      </c>
      <c r="AQ65" s="144" t="str">
        <f t="shared" si="13"/>
        <v/>
      </c>
      <c r="AR65" s="144" t="str">
        <f t="shared" si="14"/>
        <v/>
      </c>
      <c r="AS65" s="144" t="str">
        <f t="shared" si="15"/>
        <v/>
      </c>
      <c r="AT65" s="144" t="str">
        <f t="shared" si="16"/>
        <v/>
      </c>
      <c r="AU65" s="144" t="str">
        <f t="shared" si="17"/>
        <v/>
      </c>
      <c r="AV65" s="144" t="str">
        <f t="shared" si="18"/>
        <v/>
      </c>
    </row>
    <row r="66" spans="11:48" ht="16.5" customHeight="1" x14ac:dyDescent="0.25">
      <c r="K66" s="150">
        <f t="shared" si="1"/>
        <v>0</v>
      </c>
      <c r="L66" s="121" t="str">
        <f>IF(P66&lt;&gt;"",SUM(K$33:K66),"")</f>
        <v/>
      </c>
      <c r="M66" s="158"/>
      <c r="N66" s="158"/>
      <c r="O66" s="159"/>
      <c r="P66" s="174" t="str">
        <f t="shared" si="2"/>
        <v/>
      </c>
      <c r="Q66" s="175" t="str">
        <f t="shared" si="3"/>
        <v/>
      </c>
      <c r="R66" s="162"/>
      <c r="S66" s="188"/>
      <c r="AC66" s="143" t="str">
        <f t="shared" si="4"/>
        <v/>
      </c>
      <c r="AD66" s="143" t="str">
        <f t="shared" si="5"/>
        <v/>
      </c>
      <c r="AE66" s="143" t="str">
        <f t="shared" si="5"/>
        <v/>
      </c>
      <c r="AF66" s="143" t="str">
        <f t="shared" si="5"/>
        <v/>
      </c>
      <c r="AG66" s="143" t="str">
        <f t="shared" si="5"/>
        <v/>
      </c>
      <c r="AH66" s="143" t="str">
        <f t="shared" si="5"/>
        <v/>
      </c>
      <c r="AI66" s="136" t="str">
        <f t="shared" si="6"/>
        <v/>
      </c>
      <c r="AJ66" s="142" t="str">
        <f t="shared" si="7"/>
        <v/>
      </c>
      <c r="AK66" s="144" t="str">
        <f t="shared" si="8"/>
        <v/>
      </c>
      <c r="AL66" s="144" t="str">
        <f t="shared" si="9"/>
        <v/>
      </c>
      <c r="AM66" s="144" t="str">
        <f t="shared" si="10"/>
        <v/>
      </c>
      <c r="AN66" s="144" t="str">
        <f t="shared" si="11"/>
        <v/>
      </c>
      <c r="AO66" s="144" t="str">
        <f t="shared" si="12"/>
        <v/>
      </c>
      <c r="AP66" s="144" t="str">
        <f t="shared" si="19"/>
        <v/>
      </c>
      <c r="AQ66" s="144" t="str">
        <f t="shared" si="13"/>
        <v/>
      </c>
      <c r="AR66" s="144" t="str">
        <f t="shared" si="14"/>
        <v/>
      </c>
      <c r="AS66" s="144" t="str">
        <f t="shared" si="15"/>
        <v/>
      </c>
      <c r="AT66" s="144" t="str">
        <f t="shared" si="16"/>
        <v/>
      </c>
      <c r="AU66" s="144" t="str">
        <f t="shared" si="17"/>
        <v/>
      </c>
      <c r="AV66" s="144" t="str">
        <f t="shared" si="18"/>
        <v/>
      </c>
    </row>
    <row r="67" spans="11:48" ht="16.5" customHeight="1" x14ac:dyDescent="0.25">
      <c r="K67" s="150">
        <f t="shared" si="1"/>
        <v>0</v>
      </c>
      <c r="L67" s="121" t="str">
        <f>IF(P67&lt;&gt;"",SUM(K$33:K67),"")</f>
        <v/>
      </c>
      <c r="M67" s="158"/>
      <c r="N67" s="158"/>
      <c r="O67" s="159"/>
      <c r="P67" s="174" t="str">
        <f t="shared" si="2"/>
        <v/>
      </c>
      <c r="Q67" s="175" t="str">
        <f t="shared" si="3"/>
        <v/>
      </c>
      <c r="R67" s="162"/>
      <c r="S67" s="188"/>
      <c r="AC67" s="143" t="str">
        <f t="shared" si="4"/>
        <v/>
      </c>
      <c r="AD67" s="143" t="str">
        <f t="shared" ref="AD67:AH84" si="20">IF($O67=AD$33,$Q67,"")</f>
        <v/>
      </c>
      <c r="AE67" s="143" t="str">
        <f t="shared" si="20"/>
        <v/>
      </c>
      <c r="AF67" s="143" t="str">
        <f t="shared" si="20"/>
        <v/>
      </c>
      <c r="AG67" s="143" t="str">
        <f t="shared" si="20"/>
        <v/>
      </c>
      <c r="AH67" s="143" t="str">
        <f t="shared" si="20"/>
        <v/>
      </c>
      <c r="AI67" s="136" t="str">
        <f t="shared" si="6"/>
        <v/>
      </c>
      <c r="AJ67" s="142" t="str">
        <f t="shared" si="7"/>
        <v/>
      </c>
      <c r="AK67" s="144" t="str">
        <f t="shared" si="8"/>
        <v/>
      </c>
      <c r="AL67" s="144" t="str">
        <f t="shared" si="9"/>
        <v/>
      </c>
      <c r="AM67" s="144" t="str">
        <f t="shared" si="10"/>
        <v/>
      </c>
      <c r="AN67" s="144" t="str">
        <f t="shared" si="11"/>
        <v/>
      </c>
      <c r="AO67" s="144" t="str">
        <f t="shared" si="12"/>
        <v/>
      </c>
      <c r="AP67" s="144" t="str">
        <f t="shared" si="19"/>
        <v/>
      </c>
      <c r="AQ67" s="144" t="str">
        <f t="shared" si="13"/>
        <v/>
      </c>
      <c r="AR67" s="144" t="str">
        <f t="shared" si="14"/>
        <v/>
      </c>
      <c r="AS67" s="144" t="str">
        <f t="shared" si="15"/>
        <v/>
      </c>
      <c r="AT67" s="144" t="str">
        <f t="shared" si="16"/>
        <v/>
      </c>
      <c r="AU67" s="144" t="str">
        <f t="shared" si="17"/>
        <v/>
      </c>
      <c r="AV67" s="144" t="str">
        <f t="shared" si="18"/>
        <v/>
      </c>
    </row>
    <row r="68" spans="11:48" ht="16.5" customHeight="1" x14ac:dyDescent="0.25">
      <c r="K68" s="150">
        <f t="shared" si="1"/>
        <v>0</v>
      </c>
      <c r="L68" s="121" t="str">
        <f>IF(P68&lt;&gt;"",SUM(K$33:K68),"")</f>
        <v/>
      </c>
      <c r="M68" s="158"/>
      <c r="N68" s="158"/>
      <c r="O68" s="159"/>
      <c r="P68" s="174" t="str">
        <f t="shared" si="2"/>
        <v/>
      </c>
      <c r="Q68" s="175" t="str">
        <f t="shared" si="3"/>
        <v/>
      </c>
      <c r="R68" s="162"/>
      <c r="S68" s="188"/>
      <c r="AC68" s="143" t="str">
        <f t="shared" si="4"/>
        <v/>
      </c>
      <c r="AD68" s="143" t="str">
        <f t="shared" si="20"/>
        <v/>
      </c>
      <c r="AE68" s="143" t="str">
        <f t="shared" si="20"/>
        <v/>
      </c>
      <c r="AF68" s="143" t="str">
        <f t="shared" si="20"/>
        <v/>
      </c>
      <c r="AG68" s="143" t="str">
        <f t="shared" si="20"/>
        <v/>
      </c>
      <c r="AH68" s="143" t="str">
        <f t="shared" si="20"/>
        <v/>
      </c>
      <c r="AI68" s="136" t="str">
        <f t="shared" si="6"/>
        <v/>
      </c>
      <c r="AJ68" s="142" t="str">
        <f t="shared" si="7"/>
        <v/>
      </c>
      <c r="AK68" s="144" t="str">
        <f t="shared" si="8"/>
        <v/>
      </c>
      <c r="AL68" s="144" t="str">
        <f t="shared" si="9"/>
        <v/>
      </c>
      <c r="AM68" s="144" t="str">
        <f t="shared" si="10"/>
        <v/>
      </c>
      <c r="AN68" s="144" t="str">
        <f t="shared" si="11"/>
        <v/>
      </c>
      <c r="AO68" s="144" t="str">
        <f t="shared" si="12"/>
        <v/>
      </c>
      <c r="AP68" s="144" t="str">
        <f t="shared" si="19"/>
        <v/>
      </c>
      <c r="AQ68" s="144" t="str">
        <f t="shared" si="13"/>
        <v/>
      </c>
      <c r="AR68" s="144" t="str">
        <f t="shared" si="14"/>
        <v/>
      </c>
      <c r="AS68" s="144" t="str">
        <f t="shared" si="15"/>
        <v/>
      </c>
      <c r="AT68" s="144" t="str">
        <f t="shared" si="16"/>
        <v/>
      </c>
      <c r="AU68" s="144" t="str">
        <f t="shared" si="17"/>
        <v/>
      </c>
      <c r="AV68" s="144" t="str">
        <f t="shared" si="18"/>
        <v/>
      </c>
    </row>
    <row r="69" spans="11:48" ht="16.5" customHeight="1" x14ac:dyDescent="0.25">
      <c r="K69" s="150">
        <f t="shared" si="1"/>
        <v>0</v>
      </c>
      <c r="L69" s="121" t="str">
        <f>IF(P69&lt;&gt;"",SUM(K$33:K69),"")</f>
        <v/>
      </c>
      <c r="M69" s="158"/>
      <c r="N69" s="158"/>
      <c r="O69" s="159"/>
      <c r="P69" s="174" t="str">
        <f t="shared" si="2"/>
        <v/>
      </c>
      <c r="Q69" s="175" t="str">
        <f t="shared" si="3"/>
        <v/>
      </c>
      <c r="R69" s="162"/>
      <c r="S69" s="188"/>
      <c r="AC69" s="143" t="str">
        <f t="shared" si="4"/>
        <v/>
      </c>
      <c r="AD69" s="143" t="str">
        <f t="shared" si="20"/>
        <v/>
      </c>
      <c r="AE69" s="143" t="str">
        <f t="shared" si="20"/>
        <v/>
      </c>
      <c r="AF69" s="143" t="str">
        <f t="shared" si="20"/>
        <v/>
      </c>
      <c r="AG69" s="143" t="str">
        <f t="shared" si="20"/>
        <v/>
      </c>
      <c r="AH69" s="143" t="str">
        <f t="shared" si="20"/>
        <v/>
      </c>
      <c r="AI69" s="136" t="str">
        <f t="shared" si="6"/>
        <v/>
      </c>
      <c r="AJ69" s="142" t="str">
        <f t="shared" si="7"/>
        <v/>
      </c>
      <c r="AK69" s="144" t="str">
        <f t="shared" si="8"/>
        <v/>
      </c>
      <c r="AL69" s="144" t="str">
        <f t="shared" si="9"/>
        <v/>
      </c>
      <c r="AM69" s="144" t="str">
        <f t="shared" si="10"/>
        <v/>
      </c>
      <c r="AN69" s="144" t="str">
        <f t="shared" si="11"/>
        <v/>
      </c>
      <c r="AO69" s="144" t="str">
        <f t="shared" si="12"/>
        <v/>
      </c>
      <c r="AP69" s="144" t="str">
        <f t="shared" si="19"/>
        <v/>
      </c>
      <c r="AQ69" s="144" t="str">
        <f t="shared" si="13"/>
        <v/>
      </c>
      <c r="AR69" s="144" t="str">
        <f t="shared" si="14"/>
        <v/>
      </c>
      <c r="AS69" s="144" t="str">
        <f t="shared" si="15"/>
        <v/>
      </c>
      <c r="AT69" s="144" t="str">
        <f t="shared" si="16"/>
        <v/>
      </c>
      <c r="AU69" s="144" t="str">
        <f t="shared" si="17"/>
        <v/>
      </c>
      <c r="AV69" s="144" t="str">
        <f t="shared" si="18"/>
        <v/>
      </c>
    </row>
    <row r="70" spans="11:48" ht="16.5" customHeight="1" x14ac:dyDescent="0.25">
      <c r="K70" s="150">
        <f t="shared" si="1"/>
        <v>0</v>
      </c>
      <c r="L70" s="121" t="str">
        <f>IF(P70&lt;&gt;"",SUM(K$33:K70),"")</f>
        <v/>
      </c>
      <c r="M70" s="158"/>
      <c r="N70" s="158"/>
      <c r="O70" s="159"/>
      <c r="P70" s="174" t="str">
        <f t="shared" si="2"/>
        <v/>
      </c>
      <c r="Q70" s="175" t="str">
        <f t="shared" si="3"/>
        <v/>
      </c>
      <c r="R70" s="162"/>
      <c r="S70" s="188"/>
      <c r="AC70" s="143" t="str">
        <f t="shared" si="4"/>
        <v/>
      </c>
      <c r="AD70" s="143" t="str">
        <f t="shared" si="20"/>
        <v/>
      </c>
      <c r="AE70" s="143" t="str">
        <f t="shared" si="20"/>
        <v/>
      </c>
      <c r="AF70" s="143" t="str">
        <f t="shared" si="20"/>
        <v/>
      </c>
      <c r="AG70" s="143" t="str">
        <f t="shared" si="20"/>
        <v/>
      </c>
      <c r="AH70" s="143" t="str">
        <f t="shared" si="20"/>
        <v/>
      </c>
      <c r="AI70" s="136" t="str">
        <f t="shared" si="6"/>
        <v/>
      </c>
      <c r="AJ70" s="142" t="str">
        <f t="shared" si="7"/>
        <v/>
      </c>
      <c r="AK70" s="144" t="str">
        <f t="shared" si="8"/>
        <v/>
      </c>
      <c r="AL70" s="144" t="str">
        <f t="shared" si="9"/>
        <v/>
      </c>
      <c r="AM70" s="144" t="str">
        <f t="shared" si="10"/>
        <v/>
      </c>
      <c r="AN70" s="144" t="str">
        <f t="shared" si="11"/>
        <v/>
      </c>
      <c r="AO70" s="144" t="str">
        <f t="shared" si="12"/>
        <v/>
      </c>
      <c r="AP70" s="144" t="str">
        <f t="shared" si="19"/>
        <v/>
      </c>
      <c r="AQ70" s="144" t="str">
        <f t="shared" si="13"/>
        <v/>
      </c>
      <c r="AR70" s="144" t="str">
        <f t="shared" si="14"/>
        <v/>
      </c>
      <c r="AS70" s="144" t="str">
        <f t="shared" si="15"/>
        <v/>
      </c>
      <c r="AT70" s="144" t="str">
        <f t="shared" si="16"/>
        <v/>
      </c>
      <c r="AU70" s="144" t="str">
        <f t="shared" si="17"/>
        <v/>
      </c>
      <c r="AV70" s="144" t="str">
        <f t="shared" si="18"/>
        <v/>
      </c>
    </row>
    <row r="71" spans="11:48" ht="16.5" customHeight="1" x14ac:dyDescent="0.25">
      <c r="K71" s="150">
        <f t="shared" si="1"/>
        <v>0</v>
      </c>
      <c r="L71" s="121" t="str">
        <f>IF(P71&lt;&gt;"",SUM(K$33:K71),"")</f>
        <v/>
      </c>
      <c r="M71" s="158"/>
      <c r="N71" s="158"/>
      <c r="O71" s="159"/>
      <c r="P71" s="174" t="str">
        <f t="shared" si="2"/>
        <v/>
      </c>
      <c r="Q71" s="175" t="str">
        <f t="shared" si="3"/>
        <v/>
      </c>
      <c r="R71" s="162"/>
      <c r="S71" s="188"/>
      <c r="AC71" s="143" t="str">
        <f t="shared" si="4"/>
        <v/>
      </c>
      <c r="AD71" s="143" t="str">
        <f t="shared" si="20"/>
        <v/>
      </c>
      <c r="AE71" s="143" t="str">
        <f t="shared" si="20"/>
        <v/>
      </c>
      <c r="AF71" s="143" t="str">
        <f t="shared" si="20"/>
        <v/>
      </c>
      <c r="AG71" s="143" t="str">
        <f t="shared" si="20"/>
        <v/>
      </c>
      <c r="AH71" s="143" t="str">
        <f t="shared" si="20"/>
        <v/>
      </c>
      <c r="AI71" s="136" t="str">
        <f t="shared" si="6"/>
        <v/>
      </c>
      <c r="AJ71" s="142" t="str">
        <f t="shared" si="7"/>
        <v/>
      </c>
      <c r="AK71" s="144" t="str">
        <f t="shared" si="8"/>
        <v/>
      </c>
      <c r="AL71" s="144" t="str">
        <f t="shared" si="9"/>
        <v/>
      </c>
      <c r="AM71" s="144" t="str">
        <f t="shared" si="10"/>
        <v/>
      </c>
      <c r="AN71" s="144" t="str">
        <f t="shared" si="11"/>
        <v/>
      </c>
      <c r="AO71" s="144" t="str">
        <f t="shared" si="12"/>
        <v/>
      </c>
      <c r="AP71" s="144" t="str">
        <f t="shared" si="19"/>
        <v/>
      </c>
      <c r="AQ71" s="144" t="str">
        <f t="shared" si="13"/>
        <v/>
      </c>
      <c r="AR71" s="144" t="str">
        <f t="shared" si="14"/>
        <v/>
      </c>
      <c r="AS71" s="144" t="str">
        <f t="shared" si="15"/>
        <v/>
      </c>
      <c r="AT71" s="144" t="str">
        <f t="shared" si="16"/>
        <v/>
      </c>
      <c r="AU71" s="144" t="str">
        <f t="shared" si="17"/>
        <v/>
      </c>
      <c r="AV71" s="144" t="str">
        <f t="shared" si="18"/>
        <v/>
      </c>
    </row>
    <row r="72" spans="11:48" ht="16.5" customHeight="1" x14ac:dyDescent="0.25">
      <c r="K72" s="150">
        <f t="shared" si="1"/>
        <v>0</v>
      </c>
      <c r="L72" s="121" t="str">
        <f>IF(P72&lt;&gt;"",SUM(K$33:K72),"")</f>
        <v/>
      </c>
      <c r="M72" s="158"/>
      <c r="N72" s="158"/>
      <c r="O72" s="159"/>
      <c r="P72" s="174" t="str">
        <f t="shared" si="2"/>
        <v/>
      </c>
      <c r="Q72" s="175" t="str">
        <f t="shared" si="3"/>
        <v/>
      </c>
      <c r="R72" s="162"/>
      <c r="S72" s="188"/>
      <c r="AC72" s="143" t="str">
        <f t="shared" si="4"/>
        <v/>
      </c>
      <c r="AD72" s="143" t="str">
        <f t="shared" si="20"/>
        <v/>
      </c>
      <c r="AE72" s="143" t="str">
        <f t="shared" si="20"/>
        <v/>
      </c>
      <c r="AF72" s="143" t="str">
        <f t="shared" si="20"/>
        <v/>
      </c>
      <c r="AG72" s="143" t="str">
        <f t="shared" si="20"/>
        <v/>
      </c>
      <c r="AH72" s="143" t="str">
        <f t="shared" si="20"/>
        <v/>
      </c>
      <c r="AI72" s="136" t="str">
        <f t="shared" si="6"/>
        <v/>
      </c>
      <c r="AJ72" s="142" t="str">
        <f t="shared" si="7"/>
        <v/>
      </c>
      <c r="AK72" s="144" t="str">
        <f t="shared" si="8"/>
        <v/>
      </c>
      <c r="AL72" s="144" t="str">
        <f t="shared" si="9"/>
        <v/>
      </c>
      <c r="AM72" s="144" t="str">
        <f t="shared" si="10"/>
        <v/>
      </c>
      <c r="AN72" s="144" t="str">
        <f t="shared" si="11"/>
        <v/>
      </c>
      <c r="AO72" s="144" t="str">
        <f t="shared" si="12"/>
        <v/>
      </c>
      <c r="AP72" s="144" t="str">
        <f t="shared" si="19"/>
        <v/>
      </c>
      <c r="AQ72" s="144" t="str">
        <f t="shared" si="13"/>
        <v/>
      </c>
      <c r="AR72" s="144" t="str">
        <f t="shared" si="14"/>
        <v/>
      </c>
      <c r="AS72" s="144" t="str">
        <f t="shared" si="15"/>
        <v/>
      </c>
      <c r="AT72" s="144" t="str">
        <f t="shared" si="16"/>
        <v/>
      </c>
      <c r="AU72" s="144" t="str">
        <f t="shared" si="17"/>
        <v/>
      </c>
      <c r="AV72" s="144" t="str">
        <f t="shared" si="18"/>
        <v/>
      </c>
    </row>
    <row r="73" spans="11:48" ht="16.5" customHeight="1" x14ac:dyDescent="0.25">
      <c r="K73" s="150">
        <f t="shared" si="1"/>
        <v>0</v>
      </c>
      <c r="L73" s="121" t="str">
        <f>IF(P73&lt;&gt;"",SUM(K$33:K73),"")</f>
        <v/>
      </c>
      <c r="M73" s="158"/>
      <c r="N73" s="158"/>
      <c r="O73" s="159"/>
      <c r="P73" s="174" t="str">
        <f t="shared" si="2"/>
        <v/>
      </c>
      <c r="Q73" s="175" t="str">
        <f t="shared" si="3"/>
        <v/>
      </c>
      <c r="R73" s="162"/>
      <c r="S73" s="188"/>
      <c r="AC73" s="143" t="str">
        <f t="shared" si="4"/>
        <v/>
      </c>
      <c r="AD73" s="143" t="str">
        <f t="shared" si="20"/>
        <v/>
      </c>
      <c r="AE73" s="143" t="str">
        <f t="shared" si="20"/>
        <v/>
      </c>
      <c r="AF73" s="143" t="str">
        <f t="shared" si="20"/>
        <v/>
      </c>
      <c r="AG73" s="143" t="str">
        <f t="shared" si="20"/>
        <v/>
      </c>
      <c r="AH73" s="143" t="str">
        <f t="shared" si="20"/>
        <v/>
      </c>
      <c r="AI73" s="136" t="str">
        <f t="shared" si="6"/>
        <v/>
      </c>
      <c r="AJ73" s="142" t="str">
        <f t="shared" si="7"/>
        <v/>
      </c>
      <c r="AK73" s="144" t="str">
        <f t="shared" si="8"/>
        <v/>
      </c>
      <c r="AL73" s="144" t="str">
        <f t="shared" si="9"/>
        <v/>
      </c>
      <c r="AM73" s="144" t="str">
        <f t="shared" si="10"/>
        <v/>
      </c>
      <c r="AN73" s="144" t="str">
        <f t="shared" si="11"/>
        <v/>
      </c>
      <c r="AO73" s="144" t="str">
        <f t="shared" si="12"/>
        <v/>
      </c>
      <c r="AP73" s="144" t="str">
        <f t="shared" si="19"/>
        <v/>
      </c>
      <c r="AQ73" s="144" t="str">
        <f t="shared" si="13"/>
        <v/>
      </c>
      <c r="AR73" s="144" t="str">
        <f t="shared" si="14"/>
        <v/>
      </c>
      <c r="AS73" s="144" t="str">
        <f t="shared" si="15"/>
        <v/>
      </c>
      <c r="AT73" s="144" t="str">
        <f t="shared" si="16"/>
        <v/>
      </c>
      <c r="AU73" s="144" t="str">
        <f t="shared" si="17"/>
        <v/>
      </c>
      <c r="AV73" s="144" t="str">
        <f t="shared" si="18"/>
        <v/>
      </c>
    </row>
    <row r="74" spans="11:48" ht="16.5" customHeight="1" x14ac:dyDescent="0.25">
      <c r="K74" s="150">
        <f t="shared" si="1"/>
        <v>0</v>
      </c>
      <c r="L74" s="121" t="str">
        <f>IF(P74&lt;&gt;"",SUM(K$33:K74),"")</f>
        <v/>
      </c>
      <c r="M74" s="158"/>
      <c r="N74" s="158"/>
      <c r="O74" s="159"/>
      <c r="P74" s="174" t="str">
        <f t="shared" si="2"/>
        <v/>
      </c>
      <c r="Q74" s="175" t="str">
        <f t="shared" si="3"/>
        <v/>
      </c>
      <c r="R74" s="162"/>
      <c r="S74" s="188"/>
      <c r="AC74" s="143" t="str">
        <f t="shared" si="4"/>
        <v/>
      </c>
      <c r="AD74" s="143" t="str">
        <f t="shared" si="20"/>
        <v/>
      </c>
      <c r="AE74" s="143" t="str">
        <f t="shared" si="20"/>
        <v/>
      </c>
      <c r="AF74" s="143" t="str">
        <f t="shared" si="20"/>
        <v/>
      </c>
      <c r="AG74" s="143" t="str">
        <f t="shared" si="20"/>
        <v/>
      </c>
      <c r="AH74" s="143" t="str">
        <f t="shared" si="20"/>
        <v/>
      </c>
      <c r="AI74" s="136" t="str">
        <f t="shared" si="6"/>
        <v/>
      </c>
      <c r="AJ74" s="142" t="str">
        <f t="shared" si="7"/>
        <v/>
      </c>
      <c r="AK74" s="144" t="str">
        <f t="shared" si="8"/>
        <v/>
      </c>
      <c r="AL74" s="144" t="str">
        <f t="shared" si="9"/>
        <v/>
      </c>
      <c r="AM74" s="144" t="str">
        <f t="shared" si="10"/>
        <v/>
      </c>
      <c r="AN74" s="144" t="str">
        <f t="shared" si="11"/>
        <v/>
      </c>
      <c r="AO74" s="144" t="str">
        <f t="shared" si="12"/>
        <v/>
      </c>
      <c r="AP74" s="144" t="str">
        <f t="shared" si="19"/>
        <v/>
      </c>
      <c r="AQ74" s="144" t="str">
        <f t="shared" si="13"/>
        <v/>
      </c>
      <c r="AR74" s="144" t="str">
        <f t="shared" si="14"/>
        <v/>
      </c>
      <c r="AS74" s="144" t="str">
        <f t="shared" si="15"/>
        <v/>
      </c>
      <c r="AT74" s="144" t="str">
        <f t="shared" si="16"/>
        <v/>
      </c>
      <c r="AU74" s="144" t="str">
        <f t="shared" si="17"/>
        <v/>
      </c>
      <c r="AV74" s="144" t="str">
        <f t="shared" si="18"/>
        <v/>
      </c>
    </row>
    <row r="75" spans="11:48" ht="16.5" customHeight="1" x14ac:dyDescent="0.25">
      <c r="K75" s="150">
        <f t="shared" si="1"/>
        <v>0</v>
      </c>
      <c r="L75" s="121" t="str">
        <f>IF(P75&lt;&gt;"",SUM(K$33:K75),"")</f>
        <v/>
      </c>
      <c r="M75" s="158"/>
      <c r="N75" s="158"/>
      <c r="O75" s="159"/>
      <c r="P75" s="174" t="str">
        <f t="shared" si="2"/>
        <v/>
      </c>
      <c r="Q75" s="175" t="str">
        <f t="shared" si="3"/>
        <v/>
      </c>
      <c r="R75" s="162"/>
      <c r="S75" s="188"/>
      <c r="AC75" s="143" t="str">
        <f t="shared" si="4"/>
        <v/>
      </c>
      <c r="AD75" s="143" t="str">
        <f t="shared" si="20"/>
        <v/>
      </c>
      <c r="AE75" s="143" t="str">
        <f t="shared" si="20"/>
        <v/>
      </c>
      <c r="AF75" s="143" t="str">
        <f t="shared" si="20"/>
        <v/>
      </c>
      <c r="AG75" s="143" t="str">
        <f t="shared" si="20"/>
        <v/>
      </c>
      <c r="AH75" s="143" t="str">
        <f t="shared" si="20"/>
        <v/>
      </c>
      <c r="AI75" s="136" t="str">
        <f t="shared" si="6"/>
        <v/>
      </c>
      <c r="AJ75" s="142" t="str">
        <f t="shared" si="7"/>
        <v/>
      </c>
      <c r="AK75" s="144" t="str">
        <f t="shared" si="8"/>
        <v/>
      </c>
      <c r="AL75" s="144" t="str">
        <f t="shared" si="9"/>
        <v/>
      </c>
      <c r="AM75" s="144" t="str">
        <f t="shared" si="10"/>
        <v/>
      </c>
      <c r="AN75" s="144" t="str">
        <f t="shared" si="11"/>
        <v/>
      </c>
      <c r="AO75" s="144" t="str">
        <f t="shared" si="12"/>
        <v/>
      </c>
      <c r="AP75" s="144" t="str">
        <f t="shared" si="19"/>
        <v/>
      </c>
      <c r="AQ75" s="144" t="str">
        <f t="shared" si="13"/>
        <v/>
      </c>
      <c r="AR75" s="144" t="str">
        <f t="shared" si="14"/>
        <v/>
      </c>
      <c r="AS75" s="144" t="str">
        <f t="shared" si="15"/>
        <v/>
      </c>
      <c r="AT75" s="144" t="str">
        <f t="shared" si="16"/>
        <v/>
      </c>
      <c r="AU75" s="144" t="str">
        <f t="shared" si="17"/>
        <v/>
      </c>
      <c r="AV75" s="144" t="str">
        <f t="shared" si="18"/>
        <v/>
      </c>
    </row>
    <row r="76" spans="11:48" ht="16.5" customHeight="1" x14ac:dyDescent="0.25">
      <c r="K76" s="150">
        <f t="shared" si="1"/>
        <v>0</v>
      </c>
      <c r="L76" s="121" t="str">
        <f>IF(P76&lt;&gt;"",SUM(K$33:K76),"")</f>
        <v/>
      </c>
      <c r="M76" s="158"/>
      <c r="N76" s="158"/>
      <c r="O76" s="159"/>
      <c r="P76" s="174" t="str">
        <f t="shared" si="2"/>
        <v/>
      </c>
      <c r="Q76" s="175" t="str">
        <f t="shared" si="3"/>
        <v/>
      </c>
      <c r="R76" s="162"/>
      <c r="S76" s="188"/>
      <c r="AC76" s="143" t="str">
        <f t="shared" si="4"/>
        <v/>
      </c>
      <c r="AD76" s="143" t="str">
        <f t="shared" si="20"/>
        <v/>
      </c>
      <c r="AE76" s="143" t="str">
        <f t="shared" si="20"/>
        <v/>
      </c>
      <c r="AF76" s="143" t="str">
        <f t="shared" si="20"/>
        <v/>
      </c>
      <c r="AG76" s="143" t="str">
        <f t="shared" si="20"/>
        <v/>
      </c>
      <c r="AH76" s="143" t="str">
        <f t="shared" si="20"/>
        <v/>
      </c>
      <c r="AI76" s="136" t="str">
        <f t="shared" si="6"/>
        <v/>
      </c>
      <c r="AJ76" s="142" t="str">
        <f t="shared" si="7"/>
        <v/>
      </c>
      <c r="AK76" s="144" t="str">
        <f t="shared" si="8"/>
        <v/>
      </c>
      <c r="AL76" s="144" t="str">
        <f t="shared" si="9"/>
        <v/>
      </c>
      <c r="AM76" s="144" t="str">
        <f t="shared" si="10"/>
        <v/>
      </c>
      <c r="AN76" s="144" t="str">
        <f t="shared" si="11"/>
        <v/>
      </c>
      <c r="AO76" s="144" t="str">
        <f t="shared" si="12"/>
        <v/>
      </c>
      <c r="AP76" s="144" t="str">
        <f t="shared" si="19"/>
        <v/>
      </c>
      <c r="AQ76" s="144" t="str">
        <f t="shared" si="13"/>
        <v/>
      </c>
      <c r="AR76" s="144" t="str">
        <f t="shared" si="14"/>
        <v/>
      </c>
      <c r="AS76" s="144" t="str">
        <f t="shared" si="15"/>
        <v/>
      </c>
      <c r="AT76" s="144" t="str">
        <f t="shared" si="16"/>
        <v/>
      </c>
      <c r="AU76" s="144" t="str">
        <f t="shared" si="17"/>
        <v/>
      </c>
      <c r="AV76" s="144" t="str">
        <f t="shared" si="18"/>
        <v/>
      </c>
    </row>
    <row r="77" spans="11:48" ht="16.5" customHeight="1" x14ac:dyDescent="0.25">
      <c r="K77" s="150">
        <f t="shared" si="1"/>
        <v>0</v>
      </c>
      <c r="L77" s="121" t="str">
        <f>IF(P77&lt;&gt;"",SUM(K$33:K77),"")</f>
        <v/>
      </c>
      <c r="M77" s="158"/>
      <c r="N77" s="158"/>
      <c r="O77" s="159"/>
      <c r="P77" s="174" t="str">
        <f t="shared" si="2"/>
        <v/>
      </c>
      <c r="Q77" s="175" t="str">
        <f t="shared" si="3"/>
        <v/>
      </c>
      <c r="R77" s="162"/>
      <c r="S77" s="188"/>
      <c r="AC77" s="143" t="str">
        <f t="shared" si="4"/>
        <v/>
      </c>
      <c r="AD77" s="143" t="str">
        <f t="shared" si="20"/>
        <v/>
      </c>
      <c r="AE77" s="143" t="str">
        <f t="shared" si="20"/>
        <v/>
      </c>
      <c r="AF77" s="143" t="str">
        <f t="shared" si="20"/>
        <v/>
      </c>
      <c r="AG77" s="143" t="str">
        <f t="shared" si="20"/>
        <v/>
      </c>
      <c r="AH77" s="143" t="str">
        <f t="shared" si="20"/>
        <v/>
      </c>
      <c r="AI77" s="136" t="str">
        <f t="shared" si="6"/>
        <v/>
      </c>
      <c r="AJ77" s="142" t="str">
        <f t="shared" si="7"/>
        <v/>
      </c>
      <c r="AK77" s="144" t="str">
        <f t="shared" si="8"/>
        <v/>
      </c>
      <c r="AL77" s="144" t="str">
        <f t="shared" si="9"/>
        <v/>
      </c>
      <c r="AM77" s="144" t="str">
        <f t="shared" si="10"/>
        <v/>
      </c>
      <c r="AN77" s="144" t="str">
        <f t="shared" si="11"/>
        <v/>
      </c>
      <c r="AO77" s="144" t="str">
        <f t="shared" si="12"/>
        <v/>
      </c>
      <c r="AP77" s="144" t="str">
        <f t="shared" si="19"/>
        <v/>
      </c>
      <c r="AQ77" s="144" t="str">
        <f t="shared" si="13"/>
        <v/>
      </c>
      <c r="AR77" s="144" t="str">
        <f t="shared" si="14"/>
        <v/>
      </c>
      <c r="AS77" s="144" t="str">
        <f t="shared" si="15"/>
        <v/>
      </c>
      <c r="AT77" s="144" t="str">
        <f t="shared" si="16"/>
        <v/>
      </c>
      <c r="AU77" s="144" t="str">
        <f t="shared" si="17"/>
        <v/>
      </c>
      <c r="AV77" s="144" t="str">
        <f t="shared" si="18"/>
        <v/>
      </c>
    </row>
    <row r="78" spans="11:48" ht="16.5" customHeight="1" x14ac:dyDescent="0.25">
      <c r="K78" s="150">
        <f t="shared" si="1"/>
        <v>0</v>
      </c>
      <c r="L78" s="121" t="str">
        <f>IF(P78&lt;&gt;"",SUM(K$33:K78),"")</f>
        <v/>
      </c>
      <c r="M78" s="158"/>
      <c r="N78" s="158"/>
      <c r="O78" s="159"/>
      <c r="P78" s="174" t="str">
        <f t="shared" si="2"/>
        <v/>
      </c>
      <c r="Q78" s="175" t="str">
        <f t="shared" si="3"/>
        <v/>
      </c>
      <c r="R78" s="162"/>
      <c r="S78" s="188"/>
      <c r="AC78" s="143" t="str">
        <f t="shared" si="4"/>
        <v/>
      </c>
      <c r="AD78" s="143" t="str">
        <f t="shared" si="20"/>
        <v/>
      </c>
      <c r="AE78" s="143" t="str">
        <f t="shared" si="20"/>
        <v/>
      </c>
      <c r="AF78" s="143" t="str">
        <f t="shared" si="20"/>
        <v/>
      </c>
      <c r="AG78" s="143" t="str">
        <f t="shared" si="20"/>
        <v/>
      </c>
      <c r="AH78" s="143" t="str">
        <f t="shared" si="20"/>
        <v/>
      </c>
      <c r="AI78" s="136" t="str">
        <f t="shared" si="6"/>
        <v/>
      </c>
      <c r="AJ78" s="142" t="str">
        <f t="shared" si="7"/>
        <v/>
      </c>
      <c r="AK78" s="144" t="str">
        <f t="shared" si="8"/>
        <v/>
      </c>
      <c r="AL78" s="144" t="str">
        <f t="shared" si="9"/>
        <v/>
      </c>
      <c r="AM78" s="144" t="str">
        <f t="shared" si="10"/>
        <v/>
      </c>
      <c r="AN78" s="144" t="str">
        <f t="shared" si="11"/>
        <v/>
      </c>
      <c r="AO78" s="144" t="str">
        <f t="shared" si="12"/>
        <v/>
      </c>
      <c r="AP78" s="144" t="str">
        <f t="shared" si="19"/>
        <v/>
      </c>
      <c r="AQ78" s="144" t="str">
        <f t="shared" si="13"/>
        <v/>
      </c>
      <c r="AR78" s="144" t="str">
        <f t="shared" si="14"/>
        <v/>
      </c>
      <c r="AS78" s="144" t="str">
        <f t="shared" si="15"/>
        <v/>
      </c>
      <c r="AT78" s="144" t="str">
        <f t="shared" si="16"/>
        <v/>
      </c>
      <c r="AU78" s="144" t="str">
        <f t="shared" si="17"/>
        <v/>
      </c>
      <c r="AV78" s="144" t="str">
        <f t="shared" si="18"/>
        <v/>
      </c>
    </row>
    <row r="79" spans="11:48" ht="16.5" customHeight="1" x14ac:dyDescent="0.25">
      <c r="K79" s="150">
        <f t="shared" si="1"/>
        <v>0</v>
      </c>
      <c r="L79" s="121" t="str">
        <f>IF(P79&lt;&gt;"",SUM(K$33:K79),"")</f>
        <v/>
      </c>
      <c r="M79" s="158"/>
      <c r="N79" s="158"/>
      <c r="O79" s="159"/>
      <c r="P79" s="174" t="str">
        <f t="shared" si="2"/>
        <v/>
      </c>
      <c r="Q79" s="175" t="str">
        <f t="shared" si="3"/>
        <v/>
      </c>
      <c r="R79" s="162"/>
      <c r="S79" s="188"/>
      <c r="AC79" s="143" t="str">
        <f t="shared" si="4"/>
        <v/>
      </c>
      <c r="AD79" s="143" t="str">
        <f t="shared" si="20"/>
        <v/>
      </c>
      <c r="AE79" s="143" t="str">
        <f t="shared" si="20"/>
        <v/>
      </c>
      <c r="AF79" s="143" t="str">
        <f t="shared" si="20"/>
        <v/>
      </c>
      <c r="AG79" s="143" t="str">
        <f t="shared" si="20"/>
        <v/>
      </c>
      <c r="AH79" s="143" t="str">
        <f t="shared" si="20"/>
        <v/>
      </c>
      <c r="AI79" s="136" t="str">
        <f t="shared" si="6"/>
        <v/>
      </c>
      <c r="AJ79" s="142" t="str">
        <f t="shared" si="7"/>
        <v/>
      </c>
      <c r="AK79" s="144" t="str">
        <f t="shared" si="8"/>
        <v/>
      </c>
      <c r="AL79" s="144" t="str">
        <f t="shared" si="9"/>
        <v/>
      </c>
      <c r="AM79" s="144" t="str">
        <f t="shared" si="10"/>
        <v/>
      </c>
      <c r="AN79" s="144" t="str">
        <f t="shared" si="11"/>
        <v/>
      </c>
      <c r="AO79" s="144" t="str">
        <f t="shared" si="12"/>
        <v/>
      </c>
      <c r="AP79" s="144" t="str">
        <f t="shared" si="19"/>
        <v/>
      </c>
      <c r="AQ79" s="144" t="str">
        <f t="shared" si="13"/>
        <v/>
      </c>
      <c r="AR79" s="144" t="str">
        <f t="shared" si="14"/>
        <v/>
      </c>
      <c r="AS79" s="144" t="str">
        <f t="shared" si="15"/>
        <v/>
      </c>
      <c r="AT79" s="144" t="str">
        <f t="shared" si="16"/>
        <v/>
      </c>
      <c r="AU79" s="144" t="str">
        <f t="shared" si="17"/>
        <v/>
      </c>
      <c r="AV79" s="144" t="str">
        <f t="shared" si="18"/>
        <v/>
      </c>
    </row>
    <row r="80" spans="11:48" ht="16.5" customHeight="1" x14ac:dyDescent="0.25">
      <c r="K80" s="150">
        <f t="shared" si="1"/>
        <v>0</v>
      </c>
      <c r="L80" s="121" t="str">
        <f>IF(P80&lt;&gt;"",SUM(K$33:K80),"")</f>
        <v/>
      </c>
      <c r="M80" s="158"/>
      <c r="N80" s="158"/>
      <c r="O80" s="159"/>
      <c r="P80" s="174" t="str">
        <f t="shared" si="2"/>
        <v/>
      </c>
      <c r="Q80" s="175" t="str">
        <f t="shared" si="3"/>
        <v/>
      </c>
      <c r="R80" s="162"/>
      <c r="S80" s="188"/>
      <c r="AC80" s="143" t="str">
        <f t="shared" si="4"/>
        <v/>
      </c>
      <c r="AD80" s="143" t="str">
        <f t="shared" si="20"/>
        <v/>
      </c>
      <c r="AE80" s="143" t="str">
        <f t="shared" si="20"/>
        <v/>
      </c>
      <c r="AF80" s="143" t="str">
        <f t="shared" si="20"/>
        <v/>
      </c>
      <c r="AG80" s="143" t="str">
        <f t="shared" si="20"/>
        <v/>
      </c>
      <c r="AH80" s="143" t="str">
        <f t="shared" si="20"/>
        <v/>
      </c>
      <c r="AI80" s="136" t="str">
        <f t="shared" si="6"/>
        <v/>
      </c>
      <c r="AJ80" s="142" t="str">
        <f t="shared" si="7"/>
        <v/>
      </c>
      <c r="AK80" s="144" t="str">
        <f t="shared" si="8"/>
        <v/>
      </c>
      <c r="AL80" s="144" t="str">
        <f t="shared" si="9"/>
        <v/>
      </c>
      <c r="AM80" s="144" t="str">
        <f t="shared" si="10"/>
        <v/>
      </c>
      <c r="AN80" s="144" t="str">
        <f t="shared" si="11"/>
        <v/>
      </c>
      <c r="AO80" s="144" t="str">
        <f t="shared" si="12"/>
        <v/>
      </c>
      <c r="AP80" s="144" t="str">
        <f t="shared" si="19"/>
        <v/>
      </c>
      <c r="AQ80" s="144" t="str">
        <f t="shared" si="13"/>
        <v/>
      </c>
      <c r="AR80" s="144" t="str">
        <f t="shared" si="14"/>
        <v/>
      </c>
      <c r="AS80" s="144" t="str">
        <f t="shared" si="15"/>
        <v/>
      </c>
      <c r="AT80" s="144" t="str">
        <f t="shared" si="16"/>
        <v/>
      </c>
      <c r="AU80" s="144" t="str">
        <f t="shared" si="17"/>
        <v/>
      </c>
      <c r="AV80" s="144" t="str">
        <f t="shared" si="18"/>
        <v/>
      </c>
    </row>
    <row r="81" spans="11:48" ht="16.5" customHeight="1" x14ac:dyDescent="0.25">
      <c r="K81" s="150">
        <f t="shared" si="1"/>
        <v>0</v>
      </c>
      <c r="L81" s="121" t="str">
        <f>IF(P81&lt;&gt;"",SUM(K$33:K81),"")</f>
        <v/>
      </c>
      <c r="M81" s="158"/>
      <c r="N81" s="158"/>
      <c r="O81" s="159"/>
      <c r="P81" s="174" t="str">
        <f t="shared" si="2"/>
        <v/>
      </c>
      <c r="Q81" s="175" t="str">
        <f t="shared" si="3"/>
        <v/>
      </c>
      <c r="R81" s="162"/>
      <c r="S81" s="188"/>
      <c r="AC81" s="143" t="str">
        <f t="shared" si="4"/>
        <v/>
      </c>
      <c r="AD81" s="143" t="str">
        <f t="shared" si="20"/>
        <v/>
      </c>
      <c r="AE81" s="143" t="str">
        <f t="shared" si="20"/>
        <v/>
      </c>
      <c r="AF81" s="143" t="str">
        <f t="shared" si="20"/>
        <v/>
      </c>
      <c r="AG81" s="143" t="str">
        <f t="shared" si="20"/>
        <v/>
      </c>
      <c r="AH81" s="143" t="str">
        <f t="shared" si="20"/>
        <v/>
      </c>
      <c r="AI81" s="136" t="str">
        <f t="shared" si="6"/>
        <v/>
      </c>
      <c r="AJ81" s="142" t="str">
        <f t="shared" si="7"/>
        <v/>
      </c>
      <c r="AK81" s="144" t="str">
        <f t="shared" si="8"/>
        <v/>
      </c>
      <c r="AL81" s="144" t="str">
        <f t="shared" si="9"/>
        <v/>
      </c>
      <c r="AM81" s="144" t="str">
        <f t="shared" si="10"/>
        <v/>
      </c>
      <c r="AN81" s="144" t="str">
        <f t="shared" si="11"/>
        <v/>
      </c>
      <c r="AO81" s="144" t="str">
        <f t="shared" si="12"/>
        <v/>
      </c>
      <c r="AP81" s="144" t="str">
        <f t="shared" si="19"/>
        <v/>
      </c>
      <c r="AQ81" s="144" t="str">
        <f t="shared" si="13"/>
        <v/>
      </c>
      <c r="AR81" s="144" t="str">
        <f t="shared" si="14"/>
        <v/>
      </c>
      <c r="AS81" s="144" t="str">
        <f t="shared" si="15"/>
        <v/>
      </c>
      <c r="AT81" s="144" t="str">
        <f t="shared" si="16"/>
        <v/>
      </c>
      <c r="AU81" s="144" t="str">
        <f t="shared" si="17"/>
        <v/>
      </c>
      <c r="AV81" s="144" t="str">
        <f t="shared" si="18"/>
        <v/>
      </c>
    </row>
    <row r="82" spans="11:48" ht="16.5" customHeight="1" x14ac:dyDescent="0.25">
      <c r="K82" s="150">
        <f t="shared" si="1"/>
        <v>0</v>
      </c>
      <c r="L82" s="121" t="str">
        <f>IF(P82&lt;&gt;"",SUM(K$33:K82),"")</f>
        <v/>
      </c>
      <c r="M82" s="158"/>
      <c r="N82" s="158"/>
      <c r="O82" s="159"/>
      <c r="P82" s="174" t="str">
        <f t="shared" si="2"/>
        <v/>
      </c>
      <c r="Q82" s="175" t="str">
        <f t="shared" si="3"/>
        <v/>
      </c>
      <c r="R82" s="162"/>
      <c r="S82" s="188"/>
      <c r="AC82" s="143" t="str">
        <f t="shared" si="4"/>
        <v/>
      </c>
      <c r="AD82" s="143" t="str">
        <f t="shared" si="20"/>
        <v/>
      </c>
      <c r="AE82" s="143" t="str">
        <f t="shared" si="20"/>
        <v/>
      </c>
      <c r="AF82" s="143" t="str">
        <f t="shared" si="20"/>
        <v/>
      </c>
      <c r="AG82" s="143" t="str">
        <f t="shared" si="20"/>
        <v/>
      </c>
      <c r="AH82" s="143" t="str">
        <f t="shared" si="20"/>
        <v/>
      </c>
      <c r="AI82" s="136" t="str">
        <f t="shared" si="6"/>
        <v/>
      </c>
      <c r="AJ82" s="142" t="str">
        <f t="shared" si="7"/>
        <v/>
      </c>
      <c r="AK82" s="144" t="str">
        <f t="shared" si="8"/>
        <v/>
      </c>
      <c r="AL82" s="144" t="str">
        <f t="shared" si="9"/>
        <v/>
      </c>
      <c r="AM82" s="144" t="str">
        <f t="shared" si="10"/>
        <v/>
      </c>
      <c r="AN82" s="144" t="str">
        <f t="shared" si="11"/>
        <v/>
      </c>
      <c r="AO82" s="144" t="str">
        <f t="shared" si="12"/>
        <v/>
      </c>
      <c r="AP82" s="144" t="str">
        <f t="shared" si="19"/>
        <v/>
      </c>
      <c r="AQ82" s="144" t="str">
        <f t="shared" si="13"/>
        <v/>
      </c>
      <c r="AR82" s="144" t="str">
        <f t="shared" si="14"/>
        <v/>
      </c>
      <c r="AS82" s="144" t="str">
        <f t="shared" si="15"/>
        <v/>
      </c>
      <c r="AT82" s="144" t="str">
        <f t="shared" si="16"/>
        <v/>
      </c>
      <c r="AU82" s="144" t="str">
        <f t="shared" si="17"/>
        <v/>
      </c>
      <c r="AV82" s="144" t="str">
        <f t="shared" si="18"/>
        <v/>
      </c>
    </row>
    <row r="83" spans="11:48" ht="16.5" customHeight="1" x14ac:dyDescent="0.25">
      <c r="K83" s="150">
        <f t="shared" si="1"/>
        <v>0</v>
      </c>
      <c r="L83" s="121" t="str">
        <f>IF(P83&lt;&gt;"",SUM(K$33:K83),"")</f>
        <v/>
      </c>
      <c r="M83" s="158"/>
      <c r="N83" s="158"/>
      <c r="O83" s="159"/>
      <c r="P83" s="174" t="str">
        <f t="shared" si="2"/>
        <v/>
      </c>
      <c r="Q83" s="175" t="str">
        <f t="shared" si="3"/>
        <v/>
      </c>
      <c r="R83" s="162"/>
      <c r="S83" s="188"/>
      <c r="AC83" s="143" t="str">
        <f t="shared" si="4"/>
        <v/>
      </c>
      <c r="AD83" s="143" t="str">
        <f t="shared" si="20"/>
        <v/>
      </c>
      <c r="AE83" s="143" t="str">
        <f t="shared" si="20"/>
        <v/>
      </c>
      <c r="AF83" s="143" t="str">
        <f t="shared" si="20"/>
        <v/>
      </c>
      <c r="AG83" s="143" t="str">
        <f t="shared" si="20"/>
        <v/>
      </c>
      <c r="AH83" s="143" t="str">
        <f t="shared" si="20"/>
        <v/>
      </c>
      <c r="AI83" s="136" t="str">
        <f t="shared" si="6"/>
        <v/>
      </c>
      <c r="AJ83" s="142" t="str">
        <f t="shared" si="7"/>
        <v/>
      </c>
      <c r="AK83" s="144" t="str">
        <f t="shared" si="8"/>
        <v/>
      </c>
      <c r="AL83" s="144" t="str">
        <f t="shared" si="9"/>
        <v/>
      </c>
      <c r="AM83" s="144" t="str">
        <f t="shared" si="10"/>
        <v/>
      </c>
      <c r="AN83" s="144" t="str">
        <f t="shared" si="11"/>
        <v/>
      </c>
      <c r="AO83" s="144" t="str">
        <f t="shared" si="12"/>
        <v/>
      </c>
      <c r="AP83" s="144" t="str">
        <f t="shared" si="19"/>
        <v/>
      </c>
      <c r="AQ83" s="144" t="str">
        <f t="shared" si="13"/>
        <v/>
      </c>
      <c r="AR83" s="144" t="str">
        <f t="shared" si="14"/>
        <v/>
      </c>
      <c r="AS83" s="144" t="str">
        <f t="shared" si="15"/>
        <v/>
      </c>
      <c r="AT83" s="144" t="str">
        <f t="shared" si="16"/>
        <v/>
      </c>
      <c r="AU83" s="144" t="str">
        <f t="shared" si="17"/>
        <v/>
      </c>
      <c r="AV83" s="144" t="str">
        <f t="shared" si="18"/>
        <v/>
      </c>
    </row>
    <row r="84" spans="11:48" ht="16.5" customHeight="1" thickBot="1" x14ac:dyDescent="0.3">
      <c r="K84" s="150">
        <f t="shared" si="1"/>
        <v>0</v>
      </c>
      <c r="L84" s="122" t="str">
        <f>IF(P84&lt;&gt;"",SUM(K$34,K84),"")</f>
        <v/>
      </c>
      <c r="M84" s="160"/>
      <c r="N84" s="160"/>
      <c r="O84" s="161"/>
      <c r="P84" s="176" t="str">
        <f t="shared" si="2"/>
        <v/>
      </c>
      <c r="Q84" s="177" t="str">
        <f t="shared" si="3"/>
        <v/>
      </c>
      <c r="R84" s="164"/>
      <c r="S84" s="188"/>
      <c r="AC84" s="143" t="str">
        <f t="shared" si="4"/>
        <v/>
      </c>
      <c r="AD84" s="143" t="str">
        <f t="shared" si="20"/>
        <v/>
      </c>
      <c r="AE84" s="143" t="str">
        <f t="shared" si="20"/>
        <v/>
      </c>
      <c r="AF84" s="143" t="str">
        <f t="shared" si="20"/>
        <v/>
      </c>
      <c r="AG84" s="143" t="str">
        <f t="shared" si="20"/>
        <v/>
      </c>
      <c r="AH84" s="143" t="str">
        <f t="shared" si="20"/>
        <v/>
      </c>
      <c r="AI84" s="136" t="str">
        <f t="shared" si="6"/>
        <v/>
      </c>
      <c r="AJ84" s="142" t="str">
        <f t="shared" si="7"/>
        <v/>
      </c>
      <c r="AK84" s="144" t="str">
        <f t="shared" si="8"/>
        <v/>
      </c>
      <c r="AL84" s="144" t="str">
        <f t="shared" si="9"/>
        <v/>
      </c>
      <c r="AM84" s="144" t="str">
        <f t="shared" si="10"/>
        <v/>
      </c>
      <c r="AN84" s="144" t="str">
        <f t="shared" si="11"/>
        <v/>
      </c>
      <c r="AO84" s="144" t="str">
        <f t="shared" si="12"/>
        <v/>
      </c>
      <c r="AP84" s="144" t="str">
        <f t="shared" si="19"/>
        <v/>
      </c>
      <c r="AQ84" s="144" t="str">
        <f t="shared" si="13"/>
        <v/>
      </c>
      <c r="AR84" s="144" t="str">
        <f t="shared" si="14"/>
        <v/>
      </c>
      <c r="AS84" s="144" t="str">
        <f t="shared" si="15"/>
        <v/>
      </c>
      <c r="AT84" s="144" t="str">
        <f t="shared" si="16"/>
        <v/>
      </c>
      <c r="AU84" s="144" t="str">
        <f t="shared" si="17"/>
        <v/>
      </c>
      <c r="AV84" s="144" t="str">
        <f t="shared" si="18"/>
        <v/>
      </c>
    </row>
    <row r="85" spans="11:48" ht="16.5" customHeight="1" thickTop="1" x14ac:dyDescent="0.25">
      <c r="R85" s="165"/>
    </row>
  </sheetData>
  <sheetProtection selectLockedCells="1"/>
  <mergeCells count="13">
    <mergeCell ref="T51:V51"/>
    <mergeCell ref="X33:Y33"/>
    <mergeCell ref="X34:Y37"/>
    <mergeCell ref="Z35:Z37"/>
    <mergeCell ref="X39:Z39"/>
    <mergeCell ref="X40:Z44"/>
    <mergeCell ref="X46:Z46"/>
    <mergeCell ref="AC16:AJ16"/>
    <mergeCell ref="O18:W22"/>
    <mergeCell ref="P23:W26"/>
    <mergeCell ref="V29:Z31"/>
    <mergeCell ref="AC32:AH32"/>
    <mergeCell ref="AJ32:AV32"/>
  </mergeCells>
  <conditionalFormatting sqref="L34:L84">
    <cfRule type="cellIs" dxfId="9" priority="5" operator="notEqual">
      <formula>""""""</formula>
    </cfRule>
  </conditionalFormatting>
  <conditionalFormatting sqref="X34:Y37">
    <cfRule type="cellIs" dxfId="8" priority="4" operator="between">
      <formula>80</formula>
      <formula>100</formula>
    </cfRule>
  </conditionalFormatting>
  <conditionalFormatting sqref="P34:P84">
    <cfRule type="cellIs" dxfId="7" priority="3" operator="between">
      <formula>$S$30</formula>
      <formula>$S$31</formula>
    </cfRule>
  </conditionalFormatting>
  <conditionalFormatting sqref="U35:V40">
    <cfRule type="cellIs" dxfId="6" priority="2" operator="between">
      <formula>$T$33</formula>
      <formula>$V$33</formula>
    </cfRule>
  </conditionalFormatting>
  <conditionalFormatting sqref="U44:U49">
    <cfRule type="cellIs" dxfId="5" priority="1" operator="between">
      <formula>$T$42</formula>
      <formula>$V$42</formula>
    </cfRule>
  </conditionalFormatting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data!$A$9:$A$12</xm:f>
          </x14:formula1>
          <xm:sqref>V44:V49</xm:sqref>
        </x14:dataValidation>
        <x14:dataValidation type="list" allowBlank="1" showInputMessage="1" showErrorMessage="1">
          <x14:formula1>
            <xm:f>data!$F$8:$F$13</xm:f>
          </x14:formula1>
          <xm:sqref>P29</xm:sqref>
        </x14:dataValidation>
        <x14:dataValidation type="list" allowBlank="1" showInputMessage="1" showErrorMessage="1">
          <x14:formula1>
            <xm:f>data!$F$2:$F$5</xm:f>
          </x14:formula1>
          <xm:sqref>N31</xm:sqref>
        </x14:dataValidation>
        <x14:dataValidation type="list" allowBlank="1" showInputMessage="1" showErrorMessage="1">
          <x14:formula1>
            <xm:f>data!$A$2:$A$6</xm:f>
          </x14:formula1>
          <xm:sqref>O34:O84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/>
  <dimension ref="K1:DD85"/>
  <sheetViews>
    <sheetView tabSelected="1" topLeftCell="K19" zoomScaleNormal="100" workbookViewId="0">
      <selection activeCell="N29" sqref="N29"/>
    </sheetView>
  </sheetViews>
  <sheetFormatPr baseColWidth="10" defaultColWidth="11.42578125" defaultRowHeight="16.5" customHeight="1" x14ac:dyDescent="0.25"/>
  <cols>
    <col min="1" max="10" width="0" style="93" hidden="1" customWidth="1"/>
    <col min="11" max="11" width="2.42578125" style="150" customWidth="1"/>
    <col min="12" max="12" width="5.5703125" style="94" customWidth="1"/>
    <col min="13" max="15" width="13.28515625" style="93" customWidth="1"/>
    <col min="16" max="16" width="15.140625" style="93" customWidth="1"/>
    <col min="17" max="17" width="13.28515625" style="93" customWidth="1"/>
    <col min="18" max="18" width="39.28515625" style="93" bestFit="1" customWidth="1"/>
    <col min="19" max="19" width="6.85546875" style="93" customWidth="1"/>
    <col min="20" max="22" width="11.42578125" style="93"/>
    <col min="23" max="23" width="6.140625" style="93" customWidth="1"/>
    <col min="24" max="26" width="12.85546875" style="93" customWidth="1"/>
    <col min="27" max="27" width="7.28515625" style="93" customWidth="1"/>
    <col min="28" max="28" width="11.42578125" style="93"/>
    <col min="29" max="29" width="17.5703125" style="97" hidden="1" customWidth="1"/>
    <col min="30" max="30" width="10.7109375" style="97" hidden="1" customWidth="1"/>
    <col min="31" max="31" width="6.140625" style="97" hidden="1" customWidth="1"/>
    <col min="32" max="32" width="9.42578125" style="97" hidden="1" customWidth="1"/>
    <col min="33" max="33" width="6" style="97" hidden="1" customWidth="1"/>
    <col min="34" max="34" width="10.7109375" style="97" hidden="1" customWidth="1"/>
    <col min="35" max="35" width="15.28515625" style="136" hidden="1" customWidth="1"/>
    <col min="36" max="36" width="17.5703125" style="189" hidden="1" customWidth="1"/>
    <col min="37" max="37" width="9" style="138" hidden="1" customWidth="1"/>
    <col min="38" max="38" width="6" style="138" hidden="1" customWidth="1"/>
    <col min="39" max="39" width="10.7109375" style="138" hidden="1" customWidth="1"/>
    <col min="40" max="40" width="8.28515625" style="138" hidden="1" customWidth="1"/>
    <col min="41" max="41" width="9.42578125" style="138" hidden="1" customWidth="1"/>
    <col min="42" max="42" width="6" style="138" hidden="1" customWidth="1"/>
    <col min="43" max="43" width="10.7109375" style="138" hidden="1" customWidth="1"/>
    <col min="44" max="44" width="18.5703125" style="138" hidden="1" customWidth="1"/>
    <col min="45" max="45" width="9.85546875" style="138" hidden="1" customWidth="1"/>
    <col min="46" max="46" width="11.7109375" style="138" hidden="1" customWidth="1"/>
    <col min="47" max="47" width="16.28515625" style="138" hidden="1" customWidth="1"/>
    <col min="48" max="48" width="12.7109375" style="138" hidden="1" customWidth="1"/>
    <col min="49" max="49" width="17.5703125" style="138" hidden="1" customWidth="1"/>
    <col min="50" max="50" width="25.42578125" style="138" hidden="1" customWidth="1"/>
    <col min="51" max="56" width="5.140625" style="138" hidden="1" customWidth="1"/>
    <col min="57" max="62" width="4.7109375" style="138" hidden="1" customWidth="1"/>
    <col min="63" max="65" width="11.42578125" style="138" hidden="1" customWidth="1"/>
    <col min="66" max="81" width="11.42578125" style="138" customWidth="1"/>
    <col min="82" max="108" width="11.42578125" style="138"/>
    <col min="109" max="16384" width="11.42578125" style="93"/>
  </cols>
  <sheetData>
    <row r="1" spans="29:36" ht="16.5" hidden="1" customHeight="1" x14ac:dyDescent="0.25">
      <c r="AC1" s="135"/>
      <c r="AD1" s="135"/>
      <c r="AE1" s="135"/>
      <c r="AF1" s="135"/>
      <c r="AG1" s="135"/>
      <c r="AH1" s="135"/>
    </row>
    <row r="2" spans="29:36" ht="16.5" hidden="1" customHeight="1" x14ac:dyDescent="0.25">
      <c r="AC2" s="135"/>
      <c r="AD2" s="135"/>
      <c r="AE2" s="135"/>
      <c r="AF2" s="135"/>
      <c r="AG2" s="135"/>
      <c r="AH2" s="135"/>
    </row>
    <row r="3" spans="29:36" ht="16.5" hidden="1" customHeight="1" x14ac:dyDescent="0.25">
      <c r="AC3" s="135"/>
      <c r="AD3" s="135"/>
      <c r="AE3" s="135"/>
      <c r="AF3" s="135"/>
      <c r="AG3" s="135"/>
      <c r="AH3" s="135"/>
    </row>
    <row r="4" spans="29:36" ht="16.5" hidden="1" customHeight="1" x14ac:dyDescent="0.25">
      <c r="AC4" s="135"/>
      <c r="AD4" s="135"/>
      <c r="AE4" s="135"/>
      <c r="AF4" s="135"/>
      <c r="AG4" s="135"/>
      <c r="AH4" s="135"/>
    </row>
    <row r="5" spans="29:36" ht="16.5" hidden="1" customHeight="1" x14ac:dyDescent="0.25">
      <c r="AC5" s="135"/>
      <c r="AD5" s="135"/>
      <c r="AE5" s="135"/>
      <c r="AF5" s="135"/>
      <c r="AG5" s="135"/>
      <c r="AH5" s="135"/>
    </row>
    <row r="6" spans="29:36" ht="16.5" hidden="1" customHeight="1" x14ac:dyDescent="0.25">
      <c r="AC6" s="135"/>
      <c r="AD6" s="135"/>
      <c r="AE6" s="135"/>
      <c r="AF6" s="135"/>
      <c r="AG6" s="135"/>
      <c r="AH6" s="135"/>
    </row>
    <row r="7" spans="29:36" ht="16.5" hidden="1" customHeight="1" x14ac:dyDescent="0.25">
      <c r="AC7" s="135"/>
      <c r="AD7" s="135"/>
      <c r="AE7" s="135"/>
      <c r="AF7" s="135"/>
      <c r="AG7" s="135"/>
      <c r="AH7" s="135"/>
    </row>
    <row r="8" spans="29:36" ht="16.5" hidden="1" customHeight="1" x14ac:dyDescent="0.25">
      <c r="AC8" s="135"/>
      <c r="AD8" s="135"/>
      <c r="AE8" s="135"/>
      <c r="AF8" s="135"/>
      <c r="AG8" s="135"/>
      <c r="AH8" s="135"/>
    </row>
    <row r="9" spans="29:36" ht="16.5" hidden="1" customHeight="1" x14ac:dyDescent="0.25">
      <c r="AC9" s="135"/>
      <c r="AD9" s="135"/>
      <c r="AE9" s="135"/>
      <c r="AF9" s="135"/>
      <c r="AG9" s="135"/>
      <c r="AH9" s="135"/>
    </row>
    <row r="10" spans="29:36" ht="16.5" hidden="1" customHeight="1" x14ac:dyDescent="0.25">
      <c r="AC10" s="135"/>
      <c r="AD10" s="135"/>
      <c r="AE10" s="135"/>
      <c r="AF10" s="135"/>
      <c r="AG10" s="135"/>
      <c r="AH10" s="135"/>
    </row>
    <row r="11" spans="29:36" ht="16.5" hidden="1" customHeight="1" x14ac:dyDescent="0.25">
      <c r="AC11" s="135"/>
      <c r="AD11" s="135"/>
      <c r="AE11" s="135"/>
      <c r="AF11" s="135"/>
      <c r="AG11" s="135"/>
      <c r="AH11" s="135"/>
    </row>
    <row r="12" spans="29:36" ht="16.5" hidden="1" customHeight="1" x14ac:dyDescent="0.25">
      <c r="AC12" s="135"/>
      <c r="AD12" s="135"/>
      <c r="AE12" s="135"/>
      <c r="AF12" s="135"/>
      <c r="AG12" s="135"/>
      <c r="AH12" s="135"/>
    </row>
    <row r="13" spans="29:36" ht="16.5" hidden="1" customHeight="1" x14ac:dyDescent="0.25">
      <c r="AC13" s="135"/>
      <c r="AD13" s="135"/>
      <c r="AE13" s="135"/>
      <c r="AF13" s="135"/>
      <c r="AG13" s="135"/>
      <c r="AH13" s="135"/>
    </row>
    <row r="14" spans="29:36" ht="16.5" hidden="1" customHeight="1" x14ac:dyDescent="0.25">
      <c r="AC14" s="135"/>
      <c r="AD14" s="135"/>
      <c r="AE14" s="135"/>
      <c r="AF14" s="135"/>
      <c r="AG14" s="135"/>
      <c r="AH14" s="135"/>
    </row>
    <row r="15" spans="29:36" ht="16.5" hidden="1" customHeight="1" x14ac:dyDescent="0.25">
      <c r="AC15" s="135"/>
      <c r="AD15" s="135"/>
      <c r="AE15" s="135"/>
      <c r="AF15" s="135"/>
      <c r="AG15" s="135"/>
      <c r="AH15" s="135"/>
    </row>
    <row r="16" spans="29:36" ht="16.5" customHeight="1" thickBot="1" x14ac:dyDescent="0.3">
      <c r="AC16" s="224" t="s">
        <v>273</v>
      </c>
      <c r="AD16" s="224"/>
      <c r="AE16" s="224"/>
      <c r="AF16" s="224"/>
      <c r="AG16" s="224"/>
      <c r="AH16" s="224"/>
      <c r="AI16" s="224"/>
      <c r="AJ16" s="224"/>
    </row>
    <row r="17" spans="12:65" ht="16.5" customHeight="1" thickTop="1" x14ac:dyDescent="0.25">
      <c r="L17" s="117"/>
      <c r="M17" s="113"/>
      <c r="N17" s="113"/>
      <c r="O17" s="113"/>
      <c r="P17" s="113"/>
      <c r="Q17" s="113"/>
      <c r="R17" s="113"/>
      <c r="S17" s="113"/>
      <c r="T17" s="113"/>
      <c r="U17" s="113"/>
      <c r="V17" s="113"/>
      <c r="W17" s="113"/>
      <c r="X17" s="113"/>
      <c r="Y17" s="113"/>
      <c r="Z17" s="113"/>
      <c r="AA17" s="114"/>
      <c r="AC17" s="142" t="s">
        <v>53</v>
      </c>
      <c r="AD17" s="142" t="s">
        <v>0</v>
      </c>
      <c r="AE17" s="142" t="s">
        <v>230</v>
      </c>
      <c r="AF17" s="142" t="s">
        <v>231</v>
      </c>
      <c r="AG17" s="142" t="s">
        <v>56</v>
      </c>
      <c r="AH17" s="142" t="s">
        <v>246</v>
      </c>
      <c r="AI17" s="142" t="s">
        <v>247</v>
      </c>
      <c r="AJ17" s="142" t="s">
        <v>248</v>
      </c>
      <c r="AK17" s="142" t="s">
        <v>249</v>
      </c>
      <c r="AL17" s="142" t="s">
        <v>66</v>
      </c>
      <c r="AM17" s="143" t="s">
        <v>14</v>
      </c>
      <c r="AN17" s="143" t="s">
        <v>13</v>
      </c>
      <c r="AO17" s="143" t="s">
        <v>8</v>
      </c>
      <c r="AP17" s="143" t="s">
        <v>15</v>
      </c>
      <c r="AQ17" s="143" t="s">
        <v>16</v>
      </c>
      <c r="AR17" s="144" t="s">
        <v>250</v>
      </c>
      <c r="AS17" s="143" t="s">
        <v>251</v>
      </c>
      <c r="AT17" s="143" t="s">
        <v>252</v>
      </c>
      <c r="AU17" s="143" t="s">
        <v>253</v>
      </c>
      <c r="AV17" s="143" t="s">
        <v>254</v>
      </c>
      <c r="AW17" s="143" t="s">
        <v>255</v>
      </c>
      <c r="AX17" s="144" t="s">
        <v>256</v>
      </c>
      <c r="AY17" s="144" t="s">
        <v>257</v>
      </c>
      <c r="AZ17" s="144" t="s">
        <v>258</v>
      </c>
      <c r="BA17" s="144" t="s">
        <v>259</v>
      </c>
      <c r="BB17" s="144" t="s">
        <v>260</v>
      </c>
      <c r="BC17" s="144" t="s">
        <v>261</v>
      </c>
      <c r="BD17" s="144" t="s">
        <v>262</v>
      </c>
      <c r="BE17" s="144" t="s">
        <v>263</v>
      </c>
      <c r="BF17" s="144" t="s">
        <v>264</v>
      </c>
      <c r="BG17" s="144" t="s">
        <v>265</v>
      </c>
      <c r="BH17" s="144" t="s">
        <v>266</v>
      </c>
      <c r="BI17" s="144" t="s">
        <v>267</v>
      </c>
      <c r="BJ17" s="144" t="s">
        <v>268</v>
      </c>
      <c r="BK17" s="144" t="s">
        <v>286</v>
      </c>
      <c r="BL17" s="144" t="s">
        <v>286</v>
      </c>
      <c r="BM17" s="144" t="s">
        <v>287</v>
      </c>
    </row>
    <row r="18" spans="12:65" ht="16.5" customHeight="1" x14ac:dyDescent="0.25">
      <c r="L18" s="254" t="s">
        <v>373</v>
      </c>
      <c r="M18" s="255"/>
      <c r="N18" s="255"/>
      <c r="O18" s="225" t="s">
        <v>236</v>
      </c>
      <c r="P18" s="225"/>
      <c r="Q18" s="225"/>
      <c r="R18" s="225"/>
      <c r="S18" s="225"/>
      <c r="T18" s="225"/>
      <c r="U18" s="225"/>
      <c r="V18" s="225"/>
      <c r="W18" s="225"/>
      <c r="X18" s="146"/>
      <c r="Y18" s="146"/>
      <c r="Z18" s="146"/>
      <c r="AA18" s="107"/>
      <c r="AC18" s="142" t="str">
        <f>CONCATENATE(N29,";",N31,";",P29)</f>
        <v>44998;;</v>
      </c>
      <c r="AD18" s="145">
        <f>N29</f>
        <v>44998</v>
      </c>
      <c r="AE18" s="142">
        <f>P29</f>
        <v>0</v>
      </c>
      <c r="AF18" s="142">
        <f>P31</f>
        <v>480</v>
      </c>
      <c r="AG18" s="142">
        <f>AA33</f>
        <v>30</v>
      </c>
      <c r="AH18" s="142">
        <f>V52</f>
        <v>0</v>
      </c>
      <c r="AI18" s="142">
        <f>V53</f>
        <v>0</v>
      </c>
      <c r="AJ18" s="142">
        <f>U52</f>
        <v>0</v>
      </c>
      <c r="AK18" s="142">
        <f>U53</f>
        <v>0</v>
      </c>
      <c r="AL18" s="142">
        <f>X34</f>
        <v>0</v>
      </c>
      <c r="AM18" s="142">
        <f>V54</f>
        <v>0</v>
      </c>
      <c r="AN18" s="142">
        <f>V55</f>
        <v>0</v>
      </c>
      <c r="AO18" s="142">
        <f>V56</f>
        <v>0</v>
      </c>
      <c r="AP18" s="144">
        <f>V57</f>
        <v>0</v>
      </c>
      <c r="AQ18" s="144">
        <f>V58</f>
        <v>0</v>
      </c>
      <c r="AR18" s="144"/>
      <c r="AS18" s="142">
        <f>U54</f>
        <v>0</v>
      </c>
      <c r="AT18" s="142">
        <f>U55</f>
        <v>0</v>
      </c>
      <c r="AU18" s="142">
        <f>U56</f>
        <v>0</v>
      </c>
      <c r="AV18" s="144">
        <f>U57</f>
        <v>0</v>
      </c>
      <c r="AW18" s="144">
        <f>U58</f>
        <v>0</v>
      </c>
      <c r="AX18" s="144">
        <f>U59</f>
        <v>0</v>
      </c>
      <c r="AY18" s="144" t="str">
        <f>CONCATENATE(U35,"/",T35,"/",V35)</f>
        <v>//</v>
      </c>
      <c r="AZ18" s="144" t="str">
        <f>CONCATENATE(U36,"/",T36,"/",V36)</f>
        <v>//</v>
      </c>
      <c r="BA18" s="144" t="str">
        <f>CONCATENATE(U37,"/",T37,"/",V37)</f>
        <v>//</v>
      </c>
      <c r="BB18" s="144" t="str">
        <f>CONCATENATE(U38,"/",T38,"/",V38)</f>
        <v>//</v>
      </c>
      <c r="BC18" s="144" t="str">
        <f>CONCATENATE(U39,"/",T39,"/",V39)</f>
        <v>//</v>
      </c>
      <c r="BD18" s="144" t="str">
        <f>CONCATENATE(U40,"/",T40,"/",V40)</f>
        <v>//</v>
      </c>
      <c r="BE18" s="144" t="str">
        <f>CONCATENATE(U44,"/",T44,"/",V44)</f>
        <v>//</v>
      </c>
      <c r="BF18" s="144" t="str">
        <f>CONCATENATE(U45,"/",T45,"/",V45)</f>
        <v>//</v>
      </c>
      <c r="BG18" s="144" t="str">
        <f>CONCATENATE(U46,"/",T46,"/",V46)</f>
        <v>//</v>
      </c>
      <c r="BH18" s="144" t="str">
        <f>CONCATENATE(U47,"/",T47,"/",V47)</f>
        <v>//</v>
      </c>
      <c r="BI18" s="144" t="str">
        <f>CONCATENATE(U48,"/",T48,"/",V48)</f>
        <v>//</v>
      </c>
      <c r="BJ18" s="144" t="str">
        <f>CONCATENATE(U49,"/",T49,"/",V49)</f>
        <v>//</v>
      </c>
      <c r="BK18" s="144" t="e">
        <f>AB34</f>
        <v>#DIV/0!</v>
      </c>
      <c r="BL18" s="144" t="e">
        <f>AB36</f>
        <v>#DIV/0!</v>
      </c>
      <c r="BM18" s="144" t="e">
        <f>AB43</f>
        <v>#DIV/0!</v>
      </c>
    </row>
    <row r="19" spans="12:65" ht="16.5" customHeight="1" x14ac:dyDescent="0.25">
      <c r="L19" s="254"/>
      <c r="M19" s="255"/>
      <c r="N19" s="255"/>
      <c r="O19" s="225"/>
      <c r="P19" s="225"/>
      <c r="Q19" s="225"/>
      <c r="R19" s="225"/>
      <c r="S19" s="225"/>
      <c r="T19" s="225"/>
      <c r="U19" s="225"/>
      <c r="V19" s="225"/>
      <c r="W19" s="225"/>
      <c r="X19" s="146"/>
      <c r="Y19" s="146"/>
      <c r="Z19" s="146"/>
      <c r="AA19" s="107"/>
      <c r="AC19" s="135"/>
      <c r="AD19" s="135"/>
      <c r="AE19" s="135"/>
      <c r="AF19" s="135"/>
      <c r="AG19" s="135"/>
      <c r="AH19" s="135"/>
    </row>
    <row r="20" spans="12:65" ht="16.5" customHeight="1" x14ac:dyDescent="0.25">
      <c r="L20" s="118"/>
      <c r="M20" s="146"/>
      <c r="N20" s="146"/>
      <c r="O20" s="225"/>
      <c r="P20" s="225"/>
      <c r="Q20" s="225"/>
      <c r="R20" s="225"/>
      <c r="S20" s="225"/>
      <c r="T20" s="225"/>
      <c r="U20" s="225"/>
      <c r="V20" s="225"/>
      <c r="W20" s="225"/>
      <c r="X20" s="146"/>
      <c r="Y20" s="146"/>
      <c r="Z20" s="146"/>
      <c r="AA20" s="107"/>
      <c r="AB20" s="182" t="s">
        <v>282</v>
      </c>
      <c r="AC20" s="135" t="s">
        <v>277</v>
      </c>
      <c r="AD20" s="135"/>
      <c r="AE20" s="135"/>
      <c r="AF20" s="135"/>
      <c r="AG20" s="135"/>
      <c r="AH20" s="135"/>
    </row>
    <row r="21" spans="12:65" ht="16.5" customHeight="1" x14ac:dyDescent="0.25">
      <c r="L21" s="118"/>
      <c r="M21" s="146"/>
      <c r="N21" s="146"/>
      <c r="O21" s="225"/>
      <c r="P21" s="225"/>
      <c r="Q21" s="225"/>
      <c r="R21" s="225"/>
      <c r="S21" s="225"/>
      <c r="T21" s="225"/>
      <c r="U21" s="225"/>
      <c r="V21" s="225"/>
      <c r="W21" s="225"/>
      <c r="X21" s="146"/>
      <c r="Y21" s="146"/>
      <c r="Z21" s="146"/>
      <c r="AA21" s="107"/>
      <c r="AB21" s="182" t="s">
        <v>281</v>
      </c>
      <c r="AC21" s="135">
        <f>COUNTIF(newTRS!A:A,newProd!AC18)</f>
        <v>0</v>
      </c>
      <c r="AD21" s="180">
        <v>0</v>
      </c>
      <c r="AE21" s="135"/>
      <c r="AF21" s="135"/>
      <c r="AG21" s="135"/>
      <c r="AH21" s="135"/>
    </row>
    <row r="22" spans="12:65" ht="16.5" customHeight="1" thickBot="1" x14ac:dyDescent="0.3">
      <c r="L22" s="118"/>
      <c r="M22" s="146"/>
      <c r="N22" s="146"/>
      <c r="O22" s="226"/>
      <c r="P22" s="226"/>
      <c r="Q22" s="226"/>
      <c r="R22" s="226"/>
      <c r="S22" s="226"/>
      <c r="T22" s="226"/>
      <c r="U22" s="226"/>
      <c r="V22" s="226"/>
      <c r="W22" s="226"/>
      <c r="X22" s="146"/>
      <c r="Y22" s="147"/>
      <c r="Z22" s="146"/>
      <c r="AA22" s="107"/>
      <c r="AC22" s="135" t="s">
        <v>122</v>
      </c>
      <c r="AD22" s="135"/>
      <c r="AE22" s="135"/>
      <c r="AF22" s="135"/>
      <c r="AG22" s="135"/>
      <c r="AH22" s="135"/>
    </row>
    <row r="23" spans="12:65" ht="16.5" customHeight="1" thickTop="1" x14ac:dyDescent="0.25">
      <c r="L23" s="118"/>
      <c r="M23" s="106"/>
      <c r="N23" s="106"/>
      <c r="O23" s="178" t="s">
        <v>279</v>
      </c>
      <c r="P23" s="227" t="s">
        <v>237</v>
      </c>
      <c r="Q23" s="228"/>
      <c r="R23" s="228"/>
      <c r="S23" s="228"/>
      <c r="T23" s="228"/>
      <c r="U23" s="228"/>
      <c r="V23" s="228"/>
      <c r="W23" s="228"/>
      <c r="X23" s="179"/>
      <c r="Y23" s="106"/>
      <c r="Z23" s="106"/>
      <c r="AA23" s="107"/>
      <c r="AC23" s="135">
        <f>MAX(AI34:AI84)</f>
        <v>0</v>
      </c>
      <c r="AD23" s="135"/>
      <c r="AE23" s="135"/>
      <c r="AF23" s="135"/>
      <c r="AG23" s="135"/>
      <c r="AH23" s="135"/>
    </row>
    <row r="24" spans="12:65" ht="16.5" customHeight="1" x14ac:dyDescent="0.25">
      <c r="L24" s="118"/>
      <c r="M24" s="106"/>
      <c r="N24" s="106"/>
      <c r="O24" s="179"/>
      <c r="P24" s="229"/>
      <c r="Q24" s="229"/>
      <c r="R24" s="229"/>
      <c r="S24" s="229"/>
      <c r="T24" s="229"/>
      <c r="U24" s="229"/>
      <c r="V24" s="229"/>
      <c r="W24" s="229"/>
      <c r="X24" s="179"/>
      <c r="Y24" s="106"/>
      <c r="Z24" s="106"/>
      <c r="AA24" s="107"/>
      <c r="AC24" s="135"/>
      <c r="AD24" s="135"/>
      <c r="AE24" s="135"/>
      <c r="AF24" s="135"/>
      <c r="AG24" s="135"/>
      <c r="AH24" s="135"/>
    </row>
    <row r="25" spans="12:65" ht="16.5" customHeight="1" thickBot="1" x14ac:dyDescent="0.25">
      <c r="L25" s="118"/>
      <c r="M25" s="106"/>
      <c r="N25" s="111" t="s">
        <v>129</v>
      </c>
      <c r="O25" s="179"/>
      <c r="P25" s="229"/>
      <c r="Q25" s="229"/>
      <c r="R25" s="229"/>
      <c r="S25" s="229"/>
      <c r="T25" s="229"/>
      <c r="U25" s="229"/>
      <c r="V25" s="229"/>
      <c r="W25" s="229"/>
      <c r="X25" s="179"/>
      <c r="Y25" s="111" t="s">
        <v>238</v>
      </c>
      <c r="Z25" s="111"/>
      <c r="AA25" s="107"/>
      <c r="AC25" s="135"/>
      <c r="AD25" s="135"/>
      <c r="AE25" s="135"/>
      <c r="AF25" s="135"/>
      <c r="AG25" s="135"/>
      <c r="AH25" s="135"/>
    </row>
    <row r="26" spans="12:65" ht="16.5" customHeight="1" thickTop="1" x14ac:dyDescent="0.25">
      <c r="L26" s="118"/>
      <c r="M26" s="106"/>
      <c r="N26" s="98" t="s">
        <v>30</v>
      </c>
      <c r="O26" s="179"/>
      <c r="P26" s="229"/>
      <c r="Q26" s="229"/>
      <c r="R26" s="229"/>
      <c r="S26" s="229"/>
      <c r="T26" s="229"/>
      <c r="U26" s="229"/>
      <c r="V26" s="229"/>
      <c r="W26" s="229"/>
      <c r="X26" s="179"/>
      <c r="Y26" s="98" t="s">
        <v>22</v>
      </c>
      <c r="Z26" s="112"/>
      <c r="AA26" s="107"/>
      <c r="AC26" s="135"/>
      <c r="AD26" s="135"/>
      <c r="AE26" s="135"/>
      <c r="AF26" s="135"/>
      <c r="AG26" s="135"/>
      <c r="AH26" s="135"/>
    </row>
    <row r="27" spans="12:65" ht="16.5" customHeight="1" thickBot="1" x14ac:dyDescent="0.3">
      <c r="L27" s="119"/>
      <c r="M27" s="109"/>
      <c r="N27" s="187"/>
      <c r="O27" s="109"/>
      <c r="P27" s="109"/>
      <c r="Q27" s="109"/>
      <c r="R27" s="109"/>
      <c r="S27" s="109"/>
      <c r="T27" s="109"/>
      <c r="U27" s="109"/>
      <c r="V27" s="109"/>
      <c r="W27" s="109"/>
      <c r="X27" s="109"/>
      <c r="Y27" s="109"/>
      <c r="Z27" s="109"/>
      <c r="AA27" s="110"/>
      <c r="AC27" s="135"/>
      <c r="AD27" s="135"/>
      <c r="AE27" s="135"/>
      <c r="AF27" s="135"/>
      <c r="AG27" s="135"/>
      <c r="AH27" s="135"/>
    </row>
    <row r="28" spans="12:65" ht="16.5" customHeight="1" thickTop="1" thickBot="1" x14ac:dyDescent="0.3">
      <c r="AC28" s="135"/>
      <c r="AD28" s="135"/>
      <c r="AE28" s="135"/>
      <c r="AF28" s="135"/>
      <c r="AG28" s="135"/>
      <c r="AH28" s="135"/>
    </row>
    <row r="29" spans="12:65" ht="16.5" customHeight="1" thickTop="1" thickBot="1" x14ac:dyDescent="0.3">
      <c r="M29" s="94" t="s">
        <v>0</v>
      </c>
      <c r="N29" s="201">
        <v>44998</v>
      </c>
      <c r="O29" s="94" t="s">
        <v>3</v>
      </c>
      <c r="P29" s="201"/>
      <c r="R29" s="94" t="s">
        <v>29</v>
      </c>
      <c r="S29" s="202">
        <v>780</v>
      </c>
      <c r="U29" s="94" t="s">
        <v>235</v>
      </c>
      <c r="V29" s="230"/>
      <c r="W29" s="231"/>
      <c r="X29" s="231"/>
      <c r="Y29" s="231"/>
      <c r="Z29" s="232"/>
      <c r="AC29" s="135"/>
      <c r="AD29" s="135"/>
      <c r="AE29" s="135"/>
      <c r="AF29" s="135"/>
      <c r="AG29" s="135"/>
      <c r="AH29" s="135"/>
    </row>
    <row r="30" spans="12:65" ht="16.5" customHeight="1" thickTop="1" thickBot="1" x14ac:dyDescent="0.25">
      <c r="M30" s="96" t="s">
        <v>1</v>
      </c>
      <c r="N30" s="123">
        <f>IF(N29&lt;&gt;"",N29-DATE(YEAR(N29),1,1)+1,"")</f>
        <v>72</v>
      </c>
      <c r="O30" s="94"/>
      <c r="R30" s="129" t="s">
        <v>124</v>
      </c>
      <c r="S30" s="130">
        <f>data!D7</f>
        <v>380</v>
      </c>
      <c r="V30" s="233"/>
      <c r="W30" s="234"/>
      <c r="X30" s="234"/>
      <c r="Y30" s="234"/>
      <c r="Z30" s="235"/>
      <c r="AC30" s="135"/>
      <c r="AD30" s="135"/>
      <c r="AE30" s="135"/>
      <c r="AF30" s="135"/>
      <c r="AG30" s="135"/>
      <c r="AH30" s="135"/>
    </row>
    <row r="31" spans="12:65" ht="16.5" customHeight="1" thickTop="1" thickBot="1" x14ac:dyDescent="0.3">
      <c r="M31" s="94" t="s">
        <v>2</v>
      </c>
      <c r="N31" s="203"/>
      <c r="O31" s="94" t="s">
        <v>42</v>
      </c>
      <c r="P31" s="202">
        <v>480</v>
      </c>
      <c r="R31" s="125" t="s">
        <v>125</v>
      </c>
      <c r="S31" s="128">
        <f>data!D8</f>
        <v>400</v>
      </c>
      <c r="V31" s="236"/>
      <c r="W31" s="237"/>
      <c r="X31" s="237"/>
      <c r="Y31" s="237"/>
      <c r="Z31" s="238"/>
      <c r="AB31" s="184"/>
      <c r="AC31" s="135"/>
      <c r="AD31" s="135"/>
      <c r="AE31" s="135"/>
      <c r="AF31" s="135"/>
      <c r="AG31" s="135"/>
      <c r="AH31" s="135"/>
      <c r="AJ31" s="189">
        <f>COUNT(AL34:AL84)</f>
        <v>0</v>
      </c>
    </row>
    <row r="32" spans="12:65" ht="16.5" customHeight="1" thickTop="1" thickBot="1" x14ac:dyDescent="0.25">
      <c r="O32" s="125" t="str">
        <f>IF(P31&lt;&gt;"","soit","")</f>
        <v>soit</v>
      </c>
      <c r="P32" s="127">
        <f>IF(P31&lt;&gt;"",P31/(24*60),"")</f>
        <v>0.33333333333333331</v>
      </c>
      <c r="Q32" s="126" t="str">
        <f>IF(P31&lt;&gt;"","heures","")</f>
        <v>heures</v>
      </c>
      <c r="T32" s="130" t="s">
        <v>241</v>
      </c>
      <c r="V32" s="130" t="s">
        <v>242</v>
      </c>
      <c r="AB32" s="183"/>
      <c r="AC32" s="224" t="s">
        <v>274</v>
      </c>
      <c r="AD32" s="224"/>
      <c r="AE32" s="224"/>
      <c r="AF32" s="224"/>
      <c r="AG32" s="224"/>
      <c r="AH32" s="224"/>
      <c r="AJ32" s="224" t="s">
        <v>272</v>
      </c>
      <c r="AK32" s="224"/>
      <c r="AL32" s="224"/>
      <c r="AM32" s="224"/>
      <c r="AN32" s="224"/>
      <c r="AO32" s="224"/>
      <c r="AP32" s="224"/>
      <c r="AQ32" s="224"/>
      <c r="AR32" s="224"/>
      <c r="AS32" s="224"/>
      <c r="AT32" s="224"/>
      <c r="AU32" s="224"/>
      <c r="AV32" s="224"/>
    </row>
    <row r="33" spans="11:48" ht="16.5" customHeight="1" thickTop="1" x14ac:dyDescent="0.25">
      <c r="K33" s="150">
        <v>0</v>
      </c>
      <c r="L33" s="120"/>
      <c r="M33" s="101" t="s">
        <v>232</v>
      </c>
      <c r="N33" s="101" t="s">
        <v>233</v>
      </c>
      <c r="O33" s="102" t="s">
        <v>234</v>
      </c>
      <c r="P33" s="103" t="s">
        <v>10</v>
      </c>
      <c r="Q33" s="102" t="s">
        <v>11</v>
      </c>
      <c r="R33" s="104"/>
      <c r="T33" s="140">
        <f>data!D2</f>
        <v>25</v>
      </c>
      <c r="U33" s="139" t="s">
        <v>4</v>
      </c>
      <c r="V33" s="141">
        <f>data!D3</f>
        <v>39</v>
      </c>
      <c r="X33" s="239" t="s">
        <v>17</v>
      </c>
      <c r="Y33" s="240"/>
      <c r="Z33" s="131" t="str">
        <f>CONCATENATE(U52," OK")</f>
        <v>0 OK</v>
      </c>
      <c r="AA33" s="151">
        <f>IF(P31&lt;&gt;"",VLOOKUP(P31,data!I5:J44,2,TRUE),"")</f>
        <v>30</v>
      </c>
      <c r="AB33" s="183"/>
      <c r="AC33" s="143" t="s">
        <v>240</v>
      </c>
      <c r="AD33" s="143" t="s">
        <v>14</v>
      </c>
      <c r="AE33" s="143" t="s">
        <v>13</v>
      </c>
      <c r="AF33" s="143" t="s">
        <v>8</v>
      </c>
      <c r="AG33" s="143" t="s">
        <v>15</v>
      </c>
      <c r="AH33" s="143" t="s">
        <v>16</v>
      </c>
      <c r="AI33" s="136" t="s">
        <v>122</v>
      </c>
      <c r="AJ33" s="142"/>
      <c r="AK33" s="144"/>
      <c r="AL33" s="144"/>
      <c r="AM33" s="144"/>
      <c r="AN33" s="144" t="s">
        <v>269</v>
      </c>
      <c r="AO33" s="144" t="s">
        <v>149</v>
      </c>
      <c r="AP33" s="144" t="s">
        <v>148</v>
      </c>
      <c r="AQ33" s="144" t="s">
        <v>270</v>
      </c>
      <c r="AR33" s="144" t="s">
        <v>271</v>
      </c>
      <c r="AS33" s="144" t="s">
        <v>275</v>
      </c>
      <c r="AT33" s="144" t="s">
        <v>283</v>
      </c>
      <c r="AU33" s="144" t="s">
        <v>284</v>
      </c>
      <c r="AV33" s="144" t="s">
        <v>285</v>
      </c>
    </row>
    <row r="34" spans="11:48" ht="16.5" customHeight="1" x14ac:dyDescent="0.25">
      <c r="K34" s="150">
        <f>COUNT(P34:P34)</f>
        <v>0</v>
      </c>
      <c r="L34" s="121" t="str">
        <f>IF(P34&lt;&gt;"",SUM(K$33:K34),"")</f>
        <v/>
      </c>
      <c r="M34" s="158"/>
      <c r="N34" s="158"/>
      <c r="O34" s="159"/>
      <c r="P34" s="172" t="str">
        <f>IF(N34&lt;&gt;"",IF(O34="",IF(M34&lt;&gt;"",N34-M34,N34),""),"")</f>
        <v/>
      </c>
      <c r="Q34" s="173" t="str">
        <f>IF(N34&lt;&gt;"",IF(O34&lt;&gt;"",IF(M34&lt;&gt;"",N34-M34,N34),""),"")</f>
        <v/>
      </c>
      <c r="R34" s="162"/>
      <c r="T34" s="137" t="s">
        <v>280</v>
      </c>
      <c r="U34" s="95" t="s">
        <v>79</v>
      </c>
      <c r="V34" s="99" t="s">
        <v>80</v>
      </c>
      <c r="X34" s="242">
        <f>IF(P31&lt;&gt;"",ROUND(U52/AA33*100,2),"")</f>
        <v>0</v>
      </c>
      <c r="Y34" s="243"/>
      <c r="Z34" s="181" t="str">
        <f>IF(P31&lt;&gt;"",CONCATENATE("objectif : ",AA33),"")</f>
        <v>objectif : 30</v>
      </c>
      <c r="AB34" s="193" t="e">
        <f>AVERAGEA(U35:U40)</f>
        <v>#DIV/0!</v>
      </c>
      <c r="AC34" s="143" t="str">
        <f>IF(P34&lt;&gt;"",IF(P34&gt;400,TRUE,FALSE),"")</f>
        <v/>
      </c>
      <c r="AD34" s="143" t="str">
        <f>IF($O34=AD$33,$Q34,"")</f>
        <v/>
      </c>
      <c r="AE34" s="143" t="str">
        <f t="shared" ref="AE34:AH49" si="0">IF($O34=AE$33,$Q34,"")</f>
        <v/>
      </c>
      <c r="AF34" s="143" t="str">
        <f t="shared" si="0"/>
        <v/>
      </c>
      <c r="AG34" s="143" t="str">
        <f t="shared" si="0"/>
        <v/>
      </c>
      <c r="AH34" s="143" t="str">
        <f t="shared" si="0"/>
        <v/>
      </c>
      <c r="AI34" s="136" t="str">
        <f>IF(M34&lt;&gt;"",IF(N34="",M34,""),"")</f>
        <v/>
      </c>
      <c r="AJ34" s="142" t="str">
        <f>IF(N34&lt;&gt;"",AC$18,"")</f>
        <v/>
      </c>
      <c r="AK34" s="144" t="str">
        <f>IF(AJ34&lt;&gt;"",L34,"")</f>
        <v/>
      </c>
      <c r="AL34" s="144" t="str">
        <f>IF(AJ34&lt;&gt;"",N34-M34,"")</f>
        <v/>
      </c>
      <c r="AM34" s="144" t="str">
        <f>IF(O34&lt;&gt;"",O34,"")</f>
        <v/>
      </c>
      <c r="AN34" s="144" t="str">
        <f>IF(AJ34&lt;&gt;"",IF(AM34="",TRUE,FALSE),"")</f>
        <v/>
      </c>
      <c r="AO34" s="144" t="str">
        <f>IFERROR(VLOOKUP(AK34,$T$35:$V$40,2,FALSE),"")</f>
        <v/>
      </c>
      <c r="AP34" s="144" t="str">
        <f>IFERROR(VLOOKUP(AK34,$T$35:$V$40,3,FALSE),"")</f>
        <v/>
      </c>
      <c r="AQ34" s="144" t="str">
        <f>IFERROR(VLOOKUP(AK34,$T$44:$V$49,2,FALSE),"")</f>
        <v/>
      </c>
      <c r="AR34" s="144" t="str">
        <f>IFERROR(VLOOKUP(AK34,$T$44:$V$49,3,FALSE),"")</f>
        <v/>
      </c>
      <c r="AS34" s="144" t="str">
        <f>IF(AJ34&lt;&gt;"",IF(R34&lt;&gt;"",R34,""),"")</f>
        <v/>
      </c>
      <c r="AT34" s="144" t="str">
        <f>IF(AJ34&lt;&gt;"","F","")</f>
        <v/>
      </c>
      <c r="AU34" s="144" t="str">
        <f>IF(AJ34&lt;&gt;"",N$30,"")</f>
        <v/>
      </c>
      <c r="AV34" s="144" t="str">
        <f>IF(AJ34&lt;&gt;"",LEFT(N$31,1),"")</f>
        <v/>
      </c>
    </row>
    <row r="35" spans="11:48" ht="16.5" customHeight="1" x14ac:dyDescent="0.25">
      <c r="K35" s="150">
        <f t="shared" ref="K35:K84" si="1">COUNT(P35:P35)</f>
        <v>0</v>
      </c>
      <c r="L35" s="121" t="str">
        <f>IF(P35&lt;&gt;"",SUM(K$33:K35),"")</f>
        <v/>
      </c>
      <c r="M35" s="158"/>
      <c r="N35" s="158"/>
      <c r="O35" s="159"/>
      <c r="P35" s="174" t="str">
        <f t="shared" ref="P35:P84" si="2">IF(N35&lt;&gt;"",IF(O35="",IF(M35&lt;&gt;"",N35-M35,N35),""),"")</f>
        <v/>
      </c>
      <c r="Q35" s="175" t="str">
        <f t="shared" ref="Q35:Q84" si="3">IF(N35&lt;&gt;"",IF(O35&lt;&gt;"",IF(M35&lt;&gt;"",N35-M35,N35),""),"")</f>
        <v/>
      </c>
      <c r="R35" s="163"/>
      <c r="S35" s="188" t="str">
        <f>IF(T35="",IF(MAX(L$34:L$84)&gt;2,"-&gt;",""),"")</f>
        <v/>
      </c>
      <c r="T35" s="154"/>
      <c r="U35" s="194"/>
      <c r="V35" s="195"/>
      <c r="W35" s="151">
        <f>COUNT(T35:T40)</f>
        <v>0</v>
      </c>
      <c r="X35" s="242"/>
      <c r="Y35" s="243"/>
      <c r="Z35" s="246" t="s">
        <v>18</v>
      </c>
      <c r="AB35" s="193"/>
      <c r="AC35" s="143" t="str">
        <f t="shared" ref="AC35:AC64" si="4">IF(P35&lt;&gt;"",IF(P35&gt;400,TRUE,FALSE),"")</f>
        <v/>
      </c>
      <c r="AD35" s="143" t="str">
        <f t="shared" ref="AD35:AH66" si="5">IF($O35=AD$33,$Q35,"")</f>
        <v/>
      </c>
      <c r="AE35" s="143" t="str">
        <f t="shared" si="0"/>
        <v/>
      </c>
      <c r="AF35" s="143" t="str">
        <f t="shared" si="0"/>
        <v/>
      </c>
      <c r="AG35" s="143" t="str">
        <f t="shared" si="0"/>
        <v/>
      </c>
      <c r="AH35" s="143" t="str">
        <f t="shared" si="0"/>
        <v/>
      </c>
      <c r="AI35" s="136" t="str">
        <f t="shared" ref="AI35:AI84" si="6">IF(M35&lt;&gt;"",IF(N35="",M35,""),"")</f>
        <v/>
      </c>
      <c r="AJ35" s="142" t="str">
        <f t="shared" ref="AJ35:AJ84" si="7">IF(N35&lt;&gt;"",AC$18,"")</f>
        <v/>
      </c>
      <c r="AK35" s="144" t="str">
        <f t="shared" ref="AK35:AK84" si="8">IF(AJ35&lt;&gt;"",L35,"")</f>
        <v/>
      </c>
      <c r="AL35" s="144" t="str">
        <f t="shared" ref="AL35:AL84" si="9">IF(AJ35&lt;&gt;"",N35-M35,"")</f>
        <v/>
      </c>
      <c r="AM35" s="144" t="str">
        <f t="shared" ref="AM35:AM84" si="10">IF(O35&lt;&gt;"",O35,"")</f>
        <v/>
      </c>
      <c r="AN35" s="144" t="str">
        <f t="shared" ref="AN35:AN84" si="11">IF(AJ35&lt;&gt;"",IF(AM35="",TRUE,FALSE),"")</f>
        <v/>
      </c>
      <c r="AO35" s="144" t="str">
        <f t="shared" ref="AO35:AO84" si="12">IFERROR(VLOOKUP(AK35,$T$35:$V$40,2,FALSE),"")</f>
        <v/>
      </c>
      <c r="AP35" s="144" t="str">
        <f>IFERROR(VLOOKUP(AK35,$T$35:$V$40,3,FALSE),"")</f>
        <v/>
      </c>
      <c r="AQ35" s="144" t="str">
        <f t="shared" ref="AQ35:AQ84" si="13">IFERROR(VLOOKUP(AK35,$T$44:$V$49,2,FALSE),"")</f>
        <v/>
      </c>
      <c r="AR35" s="144" t="str">
        <f t="shared" ref="AR35:AR84" si="14">IFERROR(VLOOKUP(AK35,$T$44:$V$49,3,FALSE),"")</f>
        <v/>
      </c>
      <c r="AS35" s="144" t="str">
        <f t="shared" ref="AS35:AS84" si="15">IF(AJ35&lt;&gt;"",IF(R35&lt;&gt;"",R35,""),"")</f>
        <v/>
      </c>
      <c r="AT35" s="144" t="str">
        <f t="shared" ref="AT35:AT84" si="16">IF(AJ35&lt;&gt;"","F","")</f>
        <v/>
      </c>
      <c r="AU35" s="144" t="str">
        <f t="shared" ref="AU35:AU84" si="17">IF(AJ35&lt;&gt;"",N$30,"")</f>
        <v/>
      </c>
      <c r="AV35" s="144" t="str">
        <f t="shared" ref="AV35:AV84" si="18">IF(AJ35&lt;&gt;"",LEFT(N$31,1),"")</f>
        <v/>
      </c>
    </row>
    <row r="36" spans="11:48" ht="16.5" customHeight="1" x14ac:dyDescent="0.25">
      <c r="K36" s="150">
        <f t="shared" si="1"/>
        <v>0</v>
      </c>
      <c r="L36" s="121" t="str">
        <f>IF(P36&lt;&gt;"",SUM(K$33:K36),"")</f>
        <v/>
      </c>
      <c r="M36" s="158"/>
      <c r="N36" s="158"/>
      <c r="O36" s="159"/>
      <c r="P36" s="174" t="str">
        <f t="shared" si="2"/>
        <v/>
      </c>
      <c r="Q36" s="175" t="str">
        <f t="shared" si="3"/>
        <v/>
      </c>
      <c r="R36" s="162"/>
      <c r="S36" s="188" t="str">
        <f>IF(T36="",IF(MAX(L$34:L$84)&gt;10,"-&gt;",""),"")</f>
        <v/>
      </c>
      <c r="T36" s="154"/>
      <c r="U36" s="194"/>
      <c r="V36" s="195"/>
      <c r="W36" s="151"/>
      <c r="X36" s="242"/>
      <c r="Y36" s="243"/>
      <c r="Z36" s="246"/>
      <c r="AB36" s="193" t="e">
        <f>+AVERAGEA(V35:V40)</f>
        <v>#DIV/0!</v>
      </c>
      <c r="AC36" s="143" t="str">
        <f t="shared" si="4"/>
        <v/>
      </c>
      <c r="AD36" s="143" t="str">
        <f t="shared" si="5"/>
        <v/>
      </c>
      <c r="AE36" s="143" t="str">
        <f t="shared" si="0"/>
        <v/>
      </c>
      <c r="AF36" s="143" t="str">
        <f t="shared" si="0"/>
        <v/>
      </c>
      <c r="AG36" s="143" t="str">
        <f t="shared" si="0"/>
        <v/>
      </c>
      <c r="AH36" s="143" t="str">
        <f t="shared" si="0"/>
        <v/>
      </c>
      <c r="AI36" s="136" t="str">
        <f t="shared" si="6"/>
        <v/>
      </c>
      <c r="AJ36" s="142" t="str">
        <f t="shared" si="7"/>
        <v/>
      </c>
      <c r="AK36" s="144" t="str">
        <f t="shared" si="8"/>
        <v/>
      </c>
      <c r="AL36" s="144" t="str">
        <f t="shared" si="9"/>
        <v/>
      </c>
      <c r="AM36" s="144" t="str">
        <f t="shared" si="10"/>
        <v/>
      </c>
      <c r="AN36" s="144" t="str">
        <f t="shared" si="11"/>
        <v/>
      </c>
      <c r="AO36" s="144" t="str">
        <f t="shared" si="12"/>
        <v/>
      </c>
      <c r="AP36" s="144" t="str">
        <f>IFERROR(VLOOKUP(AK36,$T$35:$V$40,3,FALSE),"")</f>
        <v/>
      </c>
      <c r="AQ36" s="144" t="str">
        <f t="shared" si="13"/>
        <v/>
      </c>
      <c r="AR36" s="144" t="str">
        <f t="shared" si="14"/>
        <v/>
      </c>
      <c r="AS36" s="144" t="str">
        <f t="shared" si="15"/>
        <v/>
      </c>
      <c r="AT36" s="144" t="str">
        <f t="shared" si="16"/>
        <v/>
      </c>
      <c r="AU36" s="144" t="str">
        <f t="shared" si="17"/>
        <v/>
      </c>
      <c r="AV36" s="144" t="str">
        <f t="shared" si="18"/>
        <v/>
      </c>
    </row>
    <row r="37" spans="11:48" ht="16.5" customHeight="1" thickBot="1" x14ac:dyDescent="0.3">
      <c r="K37" s="150">
        <f t="shared" si="1"/>
        <v>0</v>
      </c>
      <c r="L37" s="121" t="str">
        <f>IF(P37&lt;&gt;"",SUM(K$33:K37),"")</f>
        <v/>
      </c>
      <c r="M37" s="158"/>
      <c r="N37" s="158"/>
      <c r="O37" s="159"/>
      <c r="P37" s="174" t="str">
        <f t="shared" si="2"/>
        <v/>
      </c>
      <c r="Q37" s="175" t="str">
        <f t="shared" si="3"/>
        <v/>
      </c>
      <c r="R37" s="162"/>
      <c r="S37" s="188" t="str">
        <f>IF(T37="",IF(MAX(L$34:L$84)&gt;20,"-&gt;",""),"")</f>
        <v/>
      </c>
      <c r="T37" s="154"/>
      <c r="U37" s="194"/>
      <c r="V37" s="195"/>
      <c r="W37" s="151"/>
      <c r="X37" s="244"/>
      <c r="Y37" s="245"/>
      <c r="Z37" s="247"/>
      <c r="AB37" s="193"/>
      <c r="AC37" s="143" t="str">
        <f t="shared" si="4"/>
        <v/>
      </c>
      <c r="AD37" s="143" t="str">
        <f t="shared" si="5"/>
        <v/>
      </c>
      <c r="AE37" s="143" t="str">
        <f t="shared" si="0"/>
        <v/>
      </c>
      <c r="AF37" s="143" t="str">
        <f t="shared" si="0"/>
        <v/>
      </c>
      <c r="AG37" s="143" t="str">
        <f t="shared" si="0"/>
        <v/>
      </c>
      <c r="AH37" s="143" t="str">
        <f t="shared" si="0"/>
        <v/>
      </c>
      <c r="AI37" s="136" t="str">
        <f t="shared" si="6"/>
        <v/>
      </c>
      <c r="AJ37" s="142" t="str">
        <f t="shared" si="7"/>
        <v/>
      </c>
      <c r="AK37" s="144" t="str">
        <f t="shared" si="8"/>
        <v/>
      </c>
      <c r="AL37" s="144" t="str">
        <f t="shared" si="9"/>
        <v/>
      </c>
      <c r="AM37" s="144" t="str">
        <f t="shared" si="10"/>
        <v/>
      </c>
      <c r="AN37" s="144" t="str">
        <f t="shared" si="11"/>
        <v/>
      </c>
      <c r="AO37" s="144" t="str">
        <f t="shared" si="12"/>
        <v/>
      </c>
      <c r="AP37" s="144" t="str">
        <f>IFERROR(VLOOKUP(AK37,$T$35:$V$40,3,FALSE),"")</f>
        <v/>
      </c>
      <c r="AQ37" s="144" t="str">
        <f t="shared" si="13"/>
        <v/>
      </c>
      <c r="AR37" s="144" t="str">
        <f t="shared" si="14"/>
        <v/>
      </c>
      <c r="AS37" s="144" t="str">
        <f t="shared" si="15"/>
        <v/>
      </c>
      <c r="AT37" s="144" t="str">
        <f t="shared" si="16"/>
        <v/>
      </c>
      <c r="AU37" s="144" t="str">
        <f t="shared" si="17"/>
        <v/>
      </c>
      <c r="AV37" s="144" t="str">
        <f t="shared" si="18"/>
        <v/>
      </c>
    </row>
    <row r="38" spans="11:48" ht="16.5" customHeight="1" thickTop="1" thickBot="1" x14ac:dyDescent="0.3">
      <c r="K38" s="150">
        <f t="shared" si="1"/>
        <v>0</v>
      </c>
      <c r="L38" s="121" t="str">
        <f>IF(P38&lt;&gt;"",SUM(K$33:K38),"")</f>
        <v/>
      </c>
      <c r="M38" s="158"/>
      <c r="N38" s="158"/>
      <c r="O38" s="159"/>
      <c r="P38" s="174" t="str">
        <f t="shared" si="2"/>
        <v/>
      </c>
      <c r="Q38" s="175" t="str">
        <f t="shared" si="3"/>
        <v/>
      </c>
      <c r="R38" s="162"/>
      <c r="S38" s="188" t="str">
        <f>IF(T38="",IF(MAX(L$34:L$84)&gt;32,"-&gt;",""),"")</f>
        <v/>
      </c>
      <c r="T38" s="154"/>
      <c r="U38" s="194"/>
      <c r="V38" s="195"/>
      <c r="W38" s="151"/>
      <c r="AB38" s="100"/>
      <c r="AC38" s="143" t="str">
        <f t="shared" si="4"/>
        <v/>
      </c>
      <c r="AD38" s="143" t="str">
        <f t="shared" si="5"/>
        <v/>
      </c>
      <c r="AE38" s="143" t="str">
        <f t="shared" si="0"/>
        <v/>
      </c>
      <c r="AF38" s="143" t="str">
        <f t="shared" si="0"/>
        <v/>
      </c>
      <c r="AG38" s="143" t="str">
        <f t="shared" si="0"/>
        <v/>
      </c>
      <c r="AH38" s="143" t="str">
        <f t="shared" si="0"/>
        <v/>
      </c>
      <c r="AI38" s="136" t="str">
        <f t="shared" si="6"/>
        <v/>
      </c>
      <c r="AJ38" s="142" t="str">
        <f t="shared" si="7"/>
        <v/>
      </c>
      <c r="AK38" s="144" t="str">
        <f t="shared" si="8"/>
        <v/>
      </c>
      <c r="AL38" s="144" t="str">
        <f t="shared" si="9"/>
        <v/>
      </c>
      <c r="AM38" s="144" t="str">
        <f t="shared" si="10"/>
        <v/>
      </c>
      <c r="AN38" s="144" t="str">
        <f t="shared" si="11"/>
        <v/>
      </c>
      <c r="AO38" s="144" t="str">
        <f t="shared" si="12"/>
        <v/>
      </c>
      <c r="AP38" s="144" t="str">
        <f t="shared" ref="AP38:AP84" si="19">IFERROR(VLOOKUP(AK38,$T$35:$V$40,3,FALSE),"")</f>
        <v/>
      </c>
      <c r="AQ38" s="144" t="str">
        <f t="shared" si="13"/>
        <v/>
      </c>
      <c r="AR38" s="144" t="str">
        <f t="shared" si="14"/>
        <v/>
      </c>
      <c r="AS38" s="144" t="str">
        <f t="shared" si="15"/>
        <v/>
      </c>
      <c r="AT38" s="144" t="str">
        <f t="shared" si="16"/>
        <v/>
      </c>
      <c r="AU38" s="144" t="str">
        <f t="shared" si="17"/>
        <v/>
      </c>
      <c r="AV38" s="144" t="str">
        <f t="shared" si="18"/>
        <v/>
      </c>
    </row>
    <row r="39" spans="11:48" ht="16.5" customHeight="1" thickTop="1" x14ac:dyDescent="0.25">
      <c r="K39" s="150">
        <f t="shared" si="1"/>
        <v>0</v>
      </c>
      <c r="L39" s="121" t="str">
        <f>IF(P39&lt;&gt;"",SUM(K$33:K39),"")</f>
        <v/>
      </c>
      <c r="M39" s="158"/>
      <c r="N39" s="158"/>
      <c r="O39" s="159"/>
      <c r="P39" s="174" t="str">
        <f t="shared" si="2"/>
        <v/>
      </c>
      <c r="Q39" s="175" t="str">
        <f t="shared" si="3"/>
        <v/>
      </c>
      <c r="R39" s="162"/>
      <c r="S39" s="188"/>
      <c r="T39" s="154"/>
      <c r="U39" s="194"/>
      <c r="V39" s="195"/>
      <c r="W39" s="151"/>
      <c r="X39" s="239"/>
      <c r="Y39" s="240"/>
      <c r="Z39" s="241"/>
      <c r="AB39" s="100"/>
      <c r="AC39" s="143" t="str">
        <f t="shared" si="4"/>
        <v/>
      </c>
      <c r="AD39" s="143" t="str">
        <f t="shared" si="5"/>
        <v/>
      </c>
      <c r="AE39" s="143" t="str">
        <f t="shared" si="0"/>
        <v/>
      </c>
      <c r="AF39" s="143" t="str">
        <f t="shared" si="0"/>
        <v/>
      </c>
      <c r="AG39" s="143" t="str">
        <f t="shared" si="0"/>
        <v/>
      </c>
      <c r="AH39" s="143" t="str">
        <f t="shared" si="0"/>
        <v/>
      </c>
      <c r="AI39" s="136" t="str">
        <f t="shared" si="6"/>
        <v/>
      </c>
      <c r="AJ39" s="142" t="str">
        <f t="shared" si="7"/>
        <v/>
      </c>
      <c r="AK39" s="144" t="str">
        <f t="shared" si="8"/>
        <v/>
      </c>
      <c r="AL39" s="144" t="str">
        <f t="shared" si="9"/>
        <v/>
      </c>
      <c r="AM39" s="144" t="str">
        <f t="shared" si="10"/>
        <v/>
      </c>
      <c r="AN39" s="144" t="str">
        <f t="shared" si="11"/>
        <v/>
      </c>
      <c r="AO39" s="144" t="str">
        <f t="shared" si="12"/>
        <v/>
      </c>
      <c r="AP39" s="144" t="str">
        <f t="shared" si="19"/>
        <v/>
      </c>
      <c r="AQ39" s="144" t="str">
        <f t="shared" si="13"/>
        <v/>
      </c>
      <c r="AR39" s="144" t="str">
        <f t="shared" si="14"/>
        <v/>
      </c>
      <c r="AS39" s="144" t="str">
        <f t="shared" si="15"/>
        <v/>
      </c>
      <c r="AT39" s="144" t="str">
        <f t="shared" si="16"/>
        <v/>
      </c>
      <c r="AU39" s="144" t="str">
        <f t="shared" si="17"/>
        <v/>
      </c>
      <c r="AV39" s="144" t="str">
        <f t="shared" si="18"/>
        <v/>
      </c>
    </row>
    <row r="40" spans="11:48" ht="16.5" customHeight="1" thickBot="1" x14ac:dyDescent="0.3">
      <c r="K40" s="150">
        <f t="shared" si="1"/>
        <v>0</v>
      </c>
      <c r="L40" s="121" t="str">
        <f>IF(P40&lt;&gt;"",SUM(K$33:K40),"")</f>
        <v/>
      </c>
      <c r="M40" s="158"/>
      <c r="N40" s="158"/>
      <c r="O40" s="159"/>
      <c r="P40" s="174" t="str">
        <f t="shared" si="2"/>
        <v/>
      </c>
      <c r="Q40" s="175" t="str">
        <f t="shared" si="3"/>
        <v/>
      </c>
      <c r="R40" s="162"/>
      <c r="S40" s="188"/>
      <c r="T40" s="156"/>
      <c r="U40" s="196"/>
      <c r="V40" s="197"/>
      <c r="W40" s="151"/>
      <c r="X40" s="248" t="str">
        <f>IF(U59&gt;2,"ATTENTION ne pas sortir les nappes avec un poids &gt;400. Baisser les impulsions si nécessaire !","")</f>
        <v/>
      </c>
      <c r="Y40" s="249"/>
      <c r="Z40" s="250"/>
      <c r="AB40" s="100"/>
      <c r="AC40" s="143" t="str">
        <f t="shared" si="4"/>
        <v/>
      </c>
      <c r="AD40" s="143" t="str">
        <f t="shared" si="5"/>
        <v/>
      </c>
      <c r="AE40" s="143" t="str">
        <f t="shared" si="0"/>
        <v/>
      </c>
      <c r="AF40" s="143" t="str">
        <f t="shared" si="0"/>
        <v/>
      </c>
      <c r="AG40" s="143" t="str">
        <f t="shared" si="0"/>
        <v/>
      </c>
      <c r="AH40" s="143" t="str">
        <f t="shared" si="0"/>
        <v/>
      </c>
      <c r="AI40" s="136" t="str">
        <f t="shared" si="6"/>
        <v/>
      </c>
      <c r="AJ40" s="142" t="str">
        <f t="shared" si="7"/>
        <v/>
      </c>
      <c r="AK40" s="144" t="str">
        <f t="shared" si="8"/>
        <v/>
      </c>
      <c r="AL40" s="144" t="str">
        <f t="shared" si="9"/>
        <v/>
      </c>
      <c r="AM40" s="144" t="str">
        <f t="shared" si="10"/>
        <v/>
      </c>
      <c r="AN40" s="144" t="str">
        <f t="shared" si="11"/>
        <v/>
      </c>
      <c r="AO40" s="144" t="str">
        <f t="shared" si="12"/>
        <v/>
      </c>
      <c r="AP40" s="144" t="str">
        <f t="shared" si="19"/>
        <v/>
      </c>
      <c r="AQ40" s="144" t="str">
        <f t="shared" si="13"/>
        <v/>
      </c>
      <c r="AR40" s="144" t="str">
        <f t="shared" si="14"/>
        <v/>
      </c>
      <c r="AS40" s="144" t="str">
        <f t="shared" si="15"/>
        <v/>
      </c>
      <c r="AT40" s="144" t="str">
        <f t="shared" si="16"/>
        <v/>
      </c>
      <c r="AU40" s="144" t="str">
        <f t="shared" si="17"/>
        <v/>
      </c>
      <c r="AV40" s="144" t="str">
        <f t="shared" si="18"/>
        <v/>
      </c>
    </row>
    <row r="41" spans="11:48" ht="16.5" customHeight="1" thickTop="1" thickBot="1" x14ac:dyDescent="0.25">
      <c r="K41" s="150">
        <f t="shared" si="1"/>
        <v>0</v>
      </c>
      <c r="L41" s="121" t="str">
        <f>IF(P41&lt;&gt;"",SUM(K$33:K41),"")</f>
        <v/>
      </c>
      <c r="M41" s="158"/>
      <c r="N41" s="158"/>
      <c r="O41" s="159"/>
      <c r="P41" s="174" t="str">
        <f t="shared" si="2"/>
        <v/>
      </c>
      <c r="Q41" s="175" t="str">
        <f t="shared" si="3"/>
        <v/>
      </c>
      <c r="R41" s="162"/>
      <c r="S41" s="188" t="str">
        <f>IF(T41="",IF(MAX(L40:L90)&gt;4,"-&gt;",""),"")</f>
        <v/>
      </c>
      <c r="T41" s="130" t="s">
        <v>244</v>
      </c>
      <c r="U41" s="124"/>
      <c r="V41" s="130" t="s">
        <v>245</v>
      </c>
      <c r="W41" s="151"/>
      <c r="X41" s="248"/>
      <c r="Y41" s="249"/>
      <c r="Z41" s="250"/>
      <c r="AB41" s="100"/>
      <c r="AC41" s="143" t="str">
        <f t="shared" si="4"/>
        <v/>
      </c>
      <c r="AD41" s="143" t="str">
        <f t="shared" si="5"/>
        <v/>
      </c>
      <c r="AE41" s="143" t="str">
        <f t="shared" si="0"/>
        <v/>
      </c>
      <c r="AF41" s="143" t="str">
        <f t="shared" si="0"/>
        <v/>
      </c>
      <c r="AG41" s="143" t="str">
        <f t="shared" si="0"/>
        <v/>
      </c>
      <c r="AH41" s="143" t="str">
        <f t="shared" si="0"/>
        <v/>
      </c>
      <c r="AI41" s="136" t="str">
        <f t="shared" si="6"/>
        <v/>
      </c>
      <c r="AJ41" s="142" t="str">
        <f t="shared" si="7"/>
        <v/>
      </c>
      <c r="AK41" s="144" t="str">
        <f t="shared" si="8"/>
        <v/>
      </c>
      <c r="AL41" s="144" t="str">
        <f t="shared" si="9"/>
        <v/>
      </c>
      <c r="AM41" s="144" t="str">
        <f t="shared" si="10"/>
        <v/>
      </c>
      <c r="AN41" s="144" t="str">
        <f t="shared" si="11"/>
        <v/>
      </c>
      <c r="AO41" s="144" t="str">
        <f t="shared" si="12"/>
        <v/>
      </c>
      <c r="AP41" s="144" t="str">
        <f t="shared" si="19"/>
        <v/>
      </c>
      <c r="AQ41" s="144" t="str">
        <f t="shared" si="13"/>
        <v/>
      </c>
      <c r="AR41" s="144" t="str">
        <f t="shared" si="14"/>
        <v/>
      </c>
      <c r="AS41" s="144" t="str">
        <f t="shared" si="15"/>
        <v/>
      </c>
      <c r="AT41" s="144" t="str">
        <f t="shared" si="16"/>
        <v/>
      </c>
      <c r="AU41" s="144" t="str">
        <f t="shared" si="17"/>
        <v/>
      </c>
      <c r="AV41" s="144" t="str">
        <f t="shared" si="18"/>
        <v/>
      </c>
    </row>
    <row r="42" spans="11:48" ht="16.5" customHeight="1" thickTop="1" x14ac:dyDescent="0.25">
      <c r="K42" s="150">
        <f t="shared" si="1"/>
        <v>0</v>
      </c>
      <c r="L42" s="121" t="str">
        <f>IF(P42&lt;&gt;"",SUM(K$33:K42),"")</f>
        <v/>
      </c>
      <c r="M42" s="158"/>
      <c r="N42" s="158"/>
      <c r="O42" s="159"/>
      <c r="P42" s="174" t="str">
        <f t="shared" si="2"/>
        <v/>
      </c>
      <c r="Q42" s="175" t="str">
        <f t="shared" si="3"/>
        <v/>
      </c>
      <c r="R42" s="162"/>
      <c r="S42" s="188" t="str">
        <f>IF(T42="",IF(MAX(L41:L91)&gt;4,"-&gt;",""),"")</f>
        <v/>
      </c>
      <c r="T42" s="140">
        <f>data!D4</f>
        <v>262</v>
      </c>
      <c r="U42" s="134" t="s">
        <v>243</v>
      </c>
      <c r="V42" s="141">
        <f>data!D5</f>
        <v>308</v>
      </c>
      <c r="W42" s="151"/>
      <c r="X42" s="248"/>
      <c r="Y42" s="249"/>
      <c r="Z42" s="250"/>
      <c r="AB42" s="193"/>
      <c r="AC42" s="143" t="str">
        <f t="shared" si="4"/>
        <v/>
      </c>
      <c r="AD42" s="143" t="str">
        <f t="shared" si="5"/>
        <v/>
      </c>
      <c r="AE42" s="143" t="str">
        <f t="shared" si="0"/>
        <v/>
      </c>
      <c r="AF42" s="143" t="str">
        <f t="shared" si="0"/>
        <v/>
      </c>
      <c r="AG42" s="143" t="str">
        <f t="shared" si="0"/>
        <v/>
      </c>
      <c r="AH42" s="143" t="str">
        <f t="shared" si="0"/>
        <v/>
      </c>
      <c r="AI42" s="136" t="str">
        <f t="shared" si="6"/>
        <v/>
      </c>
      <c r="AJ42" s="142" t="str">
        <f t="shared" si="7"/>
        <v/>
      </c>
      <c r="AK42" s="144" t="str">
        <f t="shared" si="8"/>
        <v/>
      </c>
      <c r="AL42" s="144" t="str">
        <f t="shared" si="9"/>
        <v/>
      </c>
      <c r="AM42" s="144" t="str">
        <f t="shared" si="10"/>
        <v/>
      </c>
      <c r="AN42" s="144" t="str">
        <f t="shared" si="11"/>
        <v/>
      </c>
      <c r="AO42" s="144" t="str">
        <f t="shared" si="12"/>
        <v/>
      </c>
      <c r="AP42" s="144" t="str">
        <f t="shared" si="19"/>
        <v/>
      </c>
      <c r="AQ42" s="144" t="str">
        <f t="shared" si="13"/>
        <v/>
      </c>
      <c r="AR42" s="144" t="str">
        <f t="shared" si="14"/>
        <v/>
      </c>
      <c r="AS42" s="144" t="str">
        <f t="shared" si="15"/>
        <v/>
      </c>
      <c r="AT42" s="144" t="str">
        <f t="shared" si="16"/>
        <v/>
      </c>
      <c r="AU42" s="144" t="str">
        <f t="shared" si="17"/>
        <v/>
      </c>
      <c r="AV42" s="144" t="str">
        <f t="shared" si="18"/>
        <v/>
      </c>
    </row>
    <row r="43" spans="11:48" ht="16.5" customHeight="1" x14ac:dyDescent="0.25">
      <c r="K43" s="150">
        <f t="shared" si="1"/>
        <v>0</v>
      </c>
      <c r="L43" s="121" t="str">
        <f>IF(P43&lt;&gt;"",SUM(K$33:K43),"")</f>
        <v/>
      </c>
      <c r="M43" s="158"/>
      <c r="N43" s="158"/>
      <c r="O43" s="159"/>
      <c r="P43" s="174" t="str">
        <f t="shared" si="2"/>
        <v/>
      </c>
      <c r="Q43" s="175" t="str">
        <f t="shared" si="3"/>
        <v/>
      </c>
      <c r="R43" s="162"/>
      <c r="S43" s="188" t="str">
        <f>IF(T43="",IF(MAX(L42:L92)&gt;4,"-&gt;",""),"")</f>
        <v/>
      </c>
      <c r="T43" s="137" t="s">
        <v>280</v>
      </c>
      <c r="U43" s="95" t="s">
        <v>7</v>
      </c>
      <c r="V43" s="99" t="s">
        <v>8</v>
      </c>
      <c r="W43" s="151"/>
      <c r="X43" s="248"/>
      <c r="Y43" s="249"/>
      <c r="Z43" s="250"/>
      <c r="AB43" s="100" t="e">
        <f>AVERAGEA(U44:U49)</f>
        <v>#DIV/0!</v>
      </c>
      <c r="AC43" s="143" t="str">
        <f t="shared" si="4"/>
        <v/>
      </c>
      <c r="AD43" s="143" t="str">
        <f t="shared" si="5"/>
        <v/>
      </c>
      <c r="AE43" s="143" t="str">
        <f t="shared" si="0"/>
        <v/>
      </c>
      <c r="AF43" s="143" t="str">
        <f t="shared" si="0"/>
        <v/>
      </c>
      <c r="AG43" s="143" t="str">
        <f t="shared" si="0"/>
        <v/>
      </c>
      <c r="AH43" s="143" t="str">
        <f t="shared" si="0"/>
        <v/>
      </c>
      <c r="AI43" s="136" t="str">
        <f t="shared" si="6"/>
        <v/>
      </c>
      <c r="AJ43" s="142" t="str">
        <f t="shared" si="7"/>
        <v/>
      </c>
      <c r="AK43" s="144" t="str">
        <f t="shared" si="8"/>
        <v/>
      </c>
      <c r="AL43" s="144" t="str">
        <f t="shared" si="9"/>
        <v/>
      </c>
      <c r="AM43" s="144" t="str">
        <f t="shared" si="10"/>
        <v/>
      </c>
      <c r="AN43" s="144" t="str">
        <f t="shared" si="11"/>
        <v/>
      </c>
      <c r="AO43" s="144" t="str">
        <f t="shared" si="12"/>
        <v/>
      </c>
      <c r="AP43" s="144" t="str">
        <f t="shared" si="19"/>
        <v/>
      </c>
      <c r="AQ43" s="144" t="str">
        <f t="shared" si="13"/>
        <v/>
      </c>
      <c r="AR43" s="144" t="str">
        <f t="shared" si="14"/>
        <v/>
      </c>
      <c r="AS43" s="144" t="str">
        <f t="shared" si="15"/>
        <v/>
      </c>
      <c r="AT43" s="144" t="str">
        <f t="shared" si="16"/>
        <v/>
      </c>
      <c r="AU43" s="144" t="str">
        <f t="shared" si="17"/>
        <v/>
      </c>
      <c r="AV43" s="144" t="str">
        <f t="shared" si="18"/>
        <v/>
      </c>
    </row>
    <row r="44" spans="11:48" ht="16.5" customHeight="1" thickBot="1" x14ac:dyDescent="0.3">
      <c r="K44" s="150">
        <f t="shared" si="1"/>
        <v>0</v>
      </c>
      <c r="L44" s="121" t="str">
        <f>IF(P44&lt;&gt;"",SUM(K$33:K44),"")</f>
        <v/>
      </c>
      <c r="M44" s="158"/>
      <c r="N44" s="158"/>
      <c r="O44" s="159"/>
      <c r="P44" s="174" t="str">
        <f t="shared" si="2"/>
        <v/>
      </c>
      <c r="Q44" s="175" t="str">
        <f t="shared" si="3"/>
        <v/>
      </c>
      <c r="R44" s="162"/>
      <c r="S44" s="188" t="str">
        <f>IF(T44="",IF(MAX(L$34:L$84)&gt;4,"-&gt;",""),"")</f>
        <v/>
      </c>
      <c r="T44" s="154"/>
      <c r="U44" s="194"/>
      <c r="V44" s="155"/>
      <c r="W44" s="151">
        <f>COUNT(T44:T49)</f>
        <v>0</v>
      </c>
      <c r="X44" s="251"/>
      <c r="Y44" s="252"/>
      <c r="Z44" s="253"/>
      <c r="AB44" s="100"/>
      <c r="AC44" s="143" t="str">
        <f t="shared" si="4"/>
        <v/>
      </c>
      <c r="AD44" s="143" t="str">
        <f t="shared" si="5"/>
        <v/>
      </c>
      <c r="AE44" s="143" t="str">
        <f t="shared" si="0"/>
        <v/>
      </c>
      <c r="AF44" s="143" t="str">
        <f t="shared" si="0"/>
        <v/>
      </c>
      <c r="AG44" s="143" t="str">
        <f t="shared" si="0"/>
        <v/>
      </c>
      <c r="AH44" s="143" t="str">
        <f t="shared" si="0"/>
        <v/>
      </c>
      <c r="AI44" s="136" t="str">
        <f t="shared" si="6"/>
        <v/>
      </c>
      <c r="AJ44" s="142" t="str">
        <f t="shared" si="7"/>
        <v/>
      </c>
      <c r="AK44" s="144" t="str">
        <f t="shared" si="8"/>
        <v/>
      </c>
      <c r="AL44" s="144" t="str">
        <f t="shared" si="9"/>
        <v/>
      </c>
      <c r="AM44" s="144" t="str">
        <f t="shared" si="10"/>
        <v/>
      </c>
      <c r="AN44" s="144" t="str">
        <f t="shared" si="11"/>
        <v/>
      </c>
      <c r="AO44" s="144" t="str">
        <f t="shared" si="12"/>
        <v/>
      </c>
      <c r="AP44" s="144" t="str">
        <f t="shared" si="19"/>
        <v/>
      </c>
      <c r="AQ44" s="144" t="str">
        <f t="shared" si="13"/>
        <v/>
      </c>
      <c r="AR44" s="144" t="str">
        <f t="shared" si="14"/>
        <v/>
      </c>
      <c r="AS44" s="144" t="str">
        <f t="shared" si="15"/>
        <v/>
      </c>
      <c r="AT44" s="144" t="str">
        <f t="shared" si="16"/>
        <v/>
      </c>
      <c r="AU44" s="144" t="str">
        <f t="shared" si="17"/>
        <v/>
      </c>
      <c r="AV44" s="144" t="str">
        <f t="shared" si="18"/>
        <v/>
      </c>
    </row>
    <row r="45" spans="11:48" ht="16.5" customHeight="1" thickTop="1" thickBot="1" x14ac:dyDescent="0.3">
      <c r="K45" s="150">
        <f t="shared" si="1"/>
        <v>0</v>
      </c>
      <c r="L45" s="121" t="str">
        <f>IF(P45&lt;&gt;"",SUM(K$33:K45),"")</f>
        <v/>
      </c>
      <c r="M45" s="158"/>
      <c r="N45" s="158"/>
      <c r="O45" s="159"/>
      <c r="P45" s="174" t="str">
        <f t="shared" si="2"/>
        <v/>
      </c>
      <c r="Q45" s="175" t="str">
        <f t="shared" si="3"/>
        <v/>
      </c>
      <c r="R45" s="162"/>
      <c r="S45" s="188" t="str">
        <f>IF(T45="",IF(MAX(L$34:L$84)&gt;10,"-&gt;",""),"")</f>
        <v/>
      </c>
      <c r="T45" s="154"/>
      <c r="U45" s="194"/>
      <c r="V45" s="155"/>
      <c r="W45" s="151"/>
      <c r="AC45" s="143" t="str">
        <f t="shared" si="4"/>
        <v/>
      </c>
      <c r="AD45" s="143" t="str">
        <f t="shared" si="5"/>
        <v/>
      </c>
      <c r="AE45" s="143" t="str">
        <f t="shared" si="0"/>
        <v/>
      </c>
      <c r="AF45" s="143" t="str">
        <f t="shared" si="0"/>
        <v/>
      </c>
      <c r="AG45" s="143" t="str">
        <f t="shared" si="0"/>
        <v/>
      </c>
      <c r="AH45" s="143" t="str">
        <f t="shared" si="0"/>
        <v/>
      </c>
      <c r="AI45" s="136" t="str">
        <f t="shared" si="6"/>
        <v/>
      </c>
      <c r="AJ45" s="142" t="str">
        <f t="shared" si="7"/>
        <v/>
      </c>
      <c r="AK45" s="144" t="str">
        <f t="shared" si="8"/>
        <v/>
      </c>
      <c r="AL45" s="144" t="str">
        <f t="shared" si="9"/>
        <v/>
      </c>
      <c r="AM45" s="144" t="str">
        <f t="shared" si="10"/>
        <v/>
      </c>
      <c r="AN45" s="144" t="str">
        <f t="shared" si="11"/>
        <v/>
      </c>
      <c r="AO45" s="144" t="str">
        <f t="shared" si="12"/>
        <v/>
      </c>
      <c r="AP45" s="144" t="str">
        <f t="shared" si="19"/>
        <v/>
      </c>
      <c r="AQ45" s="144" t="str">
        <f t="shared" si="13"/>
        <v/>
      </c>
      <c r="AR45" s="144" t="str">
        <f t="shared" si="14"/>
        <v/>
      </c>
      <c r="AS45" s="144" t="str">
        <f t="shared" si="15"/>
        <v/>
      </c>
      <c r="AT45" s="144" t="str">
        <f t="shared" si="16"/>
        <v/>
      </c>
      <c r="AU45" s="144" t="str">
        <f t="shared" si="17"/>
        <v/>
      </c>
      <c r="AV45" s="144" t="str">
        <f t="shared" si="18"/>
        <v/>
      </c>
    </row>
    <row r="46" spans="11:48" ht="16.5" customHeight="1" thickTop="1" x14ac:dyDescent="0.25">
      <c r="K46" s="150">
        <f t="shared" si="1"/>
        <v>0</v>
      </c>
      <c r="L46" s="121" t="str">
        <f>IF(P46&lt;&gt;"",SUM(K$33:K46),"")</f>
        <v/>
      </c>
      <c r="M46" s="158"/>
      <c r="N46" s="158"/>
      <c r="O46" s="159"/>
      <c r="P46" s="174" t="str">
        <f t="shared" si="2"/>
        <v/>
      </c>
      <c r="Q46" s="175" t="str">
        <f t="shared" si="3"/>
        <v/>
      </c>
      <c r="R46" s="162"/>
      <c r="S46" s="188" t="str">
        <f>IF(T46="",IF(MAX(L$34:L$84)&gt;20,"-&gt;",""),"")</f>
        <v/>
      </c>
      <c r="T46" s="154"/>
      <c r="U46" s="194"/>
      <c r="V46" s="155"/>
      <c r="W46" s="151"/>
      <c r="X46" s="239" t="s">
        <v>28</v>
      </c>
      <c r="Y46" s="240"/>
      <c r="Z46" s="241"/>
      <c r="AC46" s="143" t="str">
        <f t="shared" si="4"/>
        <v/>
      </c>
      <c r="AD46" s="143" t="str">
        <f t="shared" si="5"/>
        <v/>
      </c>
      <c r="AE46" s="143" t="str">
        <f t="shared" si="0"/>
        <v/>
      </c>
      <c r="AF46" s="143" t="str">
        <f t="shared" si="0"/>
        <v/>
      </c>
      <c r="AG46" s="143" t="str">
        <f t="shared" si="0"/>
        <v/>
      </c>
      <c r="AH46" s="143" t="str">
        <f t="shared" si="0"/>
        <v/>
      </c>
      <c r="AI46" s="136" t="str">
        <f t="shared" si="6"/>
        <v/>
      </c>
      <c r="AJ46" s="142" t="str">
        <f t="shared" si="7"/>
        <v/>
      </c>
      <c r="AK46" s="144" t="str">
        <f t="shared" si="8"/>
        <v/>
      </c>
      <c r="AL46" s="144" t="str">
        <f t="shared" si="9"/>
        <v/>
      </c>
      <c r="AM46" s="144" t="str">
        <f t="shared" si="10"/>
        <v/>
      </c>
      <c r="AN46" s="144" t="str">
        <f t="shared" si="11"/>
        <v/>
      </c>
      <c r="AO46" s="144" t="str">
        <f t="shared" si="12"/>
        <v/>
      </c>
      <c r="AP46" s="144" t="str">
        <f t="shared" si="19"/>
        <v/>
      </c>
      <c r="AQ46" s="144" t="str">
        <f t="shared" si="13"/>
        <v/>
      </c>
      <c r="AR46" s="144" t="str">
        <f t="shared" si="14"/>
        <v/>
      </c>
      <c r="AS46" s="144" t="str">
        <f t="shared" si="15"/>
        <v/>
      </c>
      <c r="AT46" s="144" t="str">
        <f t="shared" si="16"/>
        <v/>
      </c>
      <c r="AU46" s="144" t="str">
        <f t="shared" si="17"/>
        <v/>
      </c>
      <c r="AV46" s="144" t="str">
        <f t="shared" si="18"/>
        <v/>
      </c>
    </row>
    <row r="47" spans="11:48" ht="16.5" customHeight="1" x14ac:dyDescent="0.25">
      <c r="K47" s="150">
        <f t="shared" si="1"/>
        <v>0</v>
      </c>
      <c r="L47" s="121" t="str">
        <f>IF(P47&lt;&gt;"",SUM(K$33:K47),"")</f>
        <v/>
      </c>
      <c r="M47" s="158"/>
      <c r="N47" s="158"/>
      <c r="O47" s="159"/>
      <c r="P47" s="174" t="str">
        <f t="shared" si="2"/>
        <v/>
      </c>
      <c r="Q47" s="175" t="str">
        <f t="shared" si="3"/>
        <v/>
      </c>
      <c r="R47" s="162"/>
      <c r="S47" s="188" t="str">
        <f>IF(T47="",IF(MAX(L$34:L$84)&gt;32,"-&gt;",""),"")</f>
        <v/>
      </c>
      <c r="T47" s="154"/>
      <c r="U47" s="194"/>
      <c r="V47" s="155"/>
      <c r="W47" s="100"/>
      <c r="X47" s="105"/>
      <c r="Y47" s="106"/>
      <c r="Z47" s="107"/>
      <c r="AC47" s="143" t="str">
        <f t="shared" si="4"/>
        <v/>
      </c>
      <c r="AD47" s="143" t="str">
        <f t="shared" si="5"/>
        <v/>
      </c>
      <c r="AE47" s="143" t="str">
        <f t="shared" si="0"/>
        <v/>
      </c>
      <c r="AF47" s="143" t="str">
        <f t="shared" si="0"/>
        <v/>
      </c>
      <c r="AG47" s="143" t="str">
        <f t="shared" si="0"/>
        <v/>
      </c>
      <c r="AH47" s="143" t="str">
        <f t="shared" si="0"/>
        <v/>
      </c>
      <c r="AI47" s="136" t="str">
        <f t="shared" si="6"/>
        <v/>
      </c>
      <c r="AJ47" s="142" t="str">
        <f t="shared" si="7"/>
        <v/>
      </c>
      <c r="AK47" s="144" t="str">
        <f t="shared" si="8"/>
        <v/>
      </c>
      <c r="AL47" s="144" t="str">
        <f t="shared" si="9"/>
        <v/>
      </c>
      <c r="AM47" s="144" t="str">
        <f t="shared" si="10"/>
        <v/>
      </c>
      <c r="AN47" s="144" t="str">
        <f t="shared" si="11"/>
        <v/>
      </c>
      <c r="AO47" s="144" t="str">
        <f t="shared" si="12"/>
        <v/>
      </c>
      <c r="AP47" s="144" t="str">
        <f t="shared" si="19"/>
        <v/>
      </c>
      <c r="AQ47" s="144" t="str">
        <f t="shared" si="13"/>
        <v/>
      </c>
      <c r="AR47" s="144" t="str">
        <f t="shared" si="14"/>
        <v/>
      </c>
      <c r="AS47" s="144" t="str">
        <f>IF(AJ47&lt;&gt;"",IF(R47&lt;&gt;"",R47,""),"")</f>
        <v/>
      </c>
      <c r="AT47" s="144" t="str">
        <f t="shared" si="16"/>
        <v/>
      </c>
      <c r="AU47" s="144" t="str">
        <f t="shared" si="17"/>
        <v/>
      </c>
      <c r="AV47" s="144" t="str">
        <f t="shared" si="18"/>
        <v/>
      </c>
    </row>
    <row r="48" spans="11:48" ht="16.5" customHeight="1" x14ac:dyDescent="0.25">
      <c r="K48" s="150">
        <f t="shared" si="1"/>
        <v>0</v>
      </c>
      <c r="L48" s="121" t="str">
        <f>IF(P48&lt;&gt;"",SUM(K$33:K48),"")</f>
        <v/>
      </c>
      <c r="M48" s="158"/>
      <c r="N48" s="158"/>
      <c r="O48" s="159"/>
      <c r="P48" s="174" t="str">
        <f t="shared" si="2"/>
        <v/>
      </c>
      <c r="Q48" s="175" t="str">
        <f t="shared" si="3"/>
        <v/>
      </c>
      <c r="R48" s="162"/>
      <c r="S48" s="188"/>
      <c r="T48" s="154"/>
      <c r="U48" s="194"/>
      <c r="V48" s="155"/>
      <c r="W48" s="100"/>
      <c r="X48" s="105"/>
      <c r="Y48" s="106"/>
      <c r="Z48" s="107"/>
      <c r="AC48" s="143" t="str">
        <f t="shared" si="4"/>
        <v/>
      </c>
      <c r="AD48" s="143" t="str">
        <f t="shared" si="5"/>
        <v/>
      </c>
      <c r="AE48" s="143" t="str">
        <f t="shared" si="0"/>
        <v/>
      </c>
      <c r="AF48" s="143" t="str">
        <f t="shared" si="0"/>
        <v/>
      </c>
      <c r="AG48" s="143" t="str">
        <f t="shared" si="0"/>
        <v/>
      </c>
      <c r="AH48" s="143" t="str">
        <f t="shared" si="0"/>
        <v/>
      </c>
      <c r="AI48" s="136" t="str">
        <f t="shared" si="6"/>
        <v/>
      </c>
      <c r="AJ48" s="142" t="str">
        <f t="shared" si="7"/>
        <v/>
      </c>
      <c r="AK48" s="144" t="str">
        <f t="shared" si="8"/>
        <v/>
      </c>
      <c r="AL48" s="144" t="str">
        <f t="shared" si="9"/>
        <v/>
      </c>
      <c r="AM48" s="144" t="str">
        <f t="shared" si="10"/>
        <v/>
      </c>
      <c r="AN48" s="144" t="str">
        <f t="shared" si="11"/>
        <v/>
      </c>
      <c r="AO48" s="144" t="str">
        <f t="shared" si="12"/>
        <v/>
      </c>
      <c r="AP48" s="144" t="str">
        <f t="shared" si="19"/>
        <v/>
      </c>
      <c r="AQ48" s="144" t="str">
        <f t="shared" si="13"/>
        <v/>
      </c>
      <c r="AR48" s="144" t="str">
        <f t="shared" si="14"/>
        <v/>
      </c>
      <c r="AS48" s="144" t="str">
        <f>IF(AJ48&lt;&gt;"",IF(R48&lt;&gt;"",R48,""),"")</f>
        <v/>
      </c>
      <c r="AT48" s="144" t="str">
        <f t="shared" si="16"/>
        <v/>
      </c>
      <c r="AU48" s="144" t="str">
        <f t="shared" si="17"/>
        <v/>
      </c>
      <c r="AV48" s="144" t="str">
        <f t="shared" si="18"/>
        <v/>
      </c>
    </row>
    <row r="49" spans="11:48" ht="16.5" customHeight="1" thickBot="1" x14ac:dyDescent="0.3">
      <c r="K49" s="150">
        <f t="shared" si="1"/>
        <v>0</v>
      </c>
      <c r="L49" s="121" t="str">
        <f>IF(P49&lt;&gt;"",SUM(K$33:K49),"")</f>
        <v/>
      </c>
      <c r="M49" s="158"/>
      <c r="N49" s="158"/>
      <c r="O49" s="159"/>
      <c r="P49" s="174" t="str">
        <f t="shared" si="2"/>
        <v/>
      </c>
      <c r="Q49" s="175" t="str">
        <f t="shared" si="3"/>
        <v/>
      </c>
      <c r="R49" s="162"/>
      <c r="S49" s="188"/>
      <c r="T49" s="156"/>
      <c r="U49" s="196"/>
      <c r="V49" s="157"/>
      <c r="W49" s="100"/>
      <c r="X49" s="105"/>
      <c r="Y49" s="106"/>
      <c r="Z49" s="107"/>
      <c r="AC49" s="143" t="str">
        <f t="shared" si="4"/>
        <v/>
      </c>
      <c r="AD49" s="143" t="str">
        <f t="shared" si="5"/>
        <v/>
      </c>
      <c r="AE49" s="143" t="str">
        <f t="shared" si="0"/>
        <v/>
      </c>
      <c r="AF49" s="143" t="str">
        <f t="shared" si="0"/>
        <v/>
      </c>
      <c r="AG49" s="143" t="str">
        <f t="shared" si="0"/>
        <v/>
      </c>
      <c r="AH49" s="143" t="str">
        <f t="shared" si="0"/>
        <v/>
      </c>
      <c r="AI49" s="136" t="str">
        <f t="shared" si="6"/>
        <v/>
      </c>
      <c r="AJ49" s="142" t="str">
        <f t="shared" si="7"/>
        <v/>
      </c>
      <c r="AK49" s="144" t="str">
        <f t="shared" si="8"/>
        <v/>
      </c>
      <c r="AL49" s="144" t="str">
        <f t="shared" si="9"/>
        <v/>
      </c>
      <c r="AM49" s="144" t="str">
        <f t="shared" si="10"/>
        <v/>
      </c>
      <c r="AN49" s="144" t="str">
        <f t="shared" si="11"/>
        <v/>
      </c>
      <c r="AO49" s="144" t="str">
        <f t="shared" si="12"/>
        <v/>
      </c>
      <c r="AP49" s="144" t="str">
        <f t="shared" si="19"/>
        <v/>
      </c>
      <c r="AQ49" s="144" t="str">
        <f t="shared" si="13"/>
        <v/>
      </c>
      <c r="AR49" s="144" t="str">
        <f t="shared" si="14"/>
        <v/>
      </c>
      <c r="AS49" s="144" t="str">
        <f>IF(AJ49&lt;&gt;"",IF(R49&lt;&gt;"",R49,""),"")</f>
        <v/>
      </c>
      <c r="AT49" s="144" t="str">
        <f t="shared" si="16"/>
        <v/>
      </c>
      <c r="AU49" s="144" t="str">
        <f t="shared" si="17"/>
        <v/>
      </c>
      <c r="AV49" s="144" t="str">
        <f t="shared" si="18"/>
        <v/>
      </c>
    </row>
    <row r="50" spans="11:48" ht="16.5" customHeight="1" thickTop="1" thickBot="1" x14ac:dyDescent="0.3">
      <c r="K50" s="150">
        <f t="shared" si="1"/>
        <v>0</v>
      </c>
      <c r="L50" s="121" t="str">
        <f>IF(P50&lt;&gt;"",SUM(K$33:K50),"")</f>
        <v/>
      </c>
      <c r="M50" s="158"/>
      <c r="N50" s="158"/>
      <c r="O50" s="159"/>
      <c r="P50" s="174" t="str">
        <f t="shared" si="2"/>
        <v/>
      </c>
      <c r="Q50" s="175" t="str">
        <f t="shared" si="3"/>
        <v/>
      </c>
      <c r="R50" s="162"/>
      <c r="S50" s="188"/>
      <c r="W50" s="100"/>
      <c r="X50" s="105"/>
      <c r="Y50" s="106"/>
      <c r="Z50" s="107"/>
      <c r="AC50" s="143" t="str">
        <f t="shared" si="4"/>
        <v/>
      </c>
      <c r="AD50" s="143" t="str">
        <f t="shared" si="5"/>
        <v/>
      </c>
      <c r="AE50" s="143" t="str">
        <f t="shared" si="5"/>
        <v/>
      </c>
      <c r="AF50" s="143" t="str">
        <f t="shared" si="5"/>
        <v/>
      </c>
      <c r="AG50" s="143" t="str">
        <f t="shared" si="5"/>
        <v/>
      </c>
      <c r="AH50" s="143" t="str">
        <f t="shared" si="5"/>
        <v/>
      </c>
      <c r="AI50" s="136" t="str">
        <f t="shared" si="6"/>
        <v/>
      </c>
      <c r="AJ50" s="142" t="str">
        <f t="shared" si="7"/>
        <v/>
      </c>
      <c r="AK50" s="144" t="str">
        <f t="shared" si="8"/>
        <v/>
      </c>
      <c r="AL50" s="144" t="str">
        <f t="shared" si="9"/>
        <v/>
      </c>
      <c r="AM50" s="144" t="str">
        <f t="shared" si="10"/>
        <v/>
      </c>
      <c r="AN50" s="144" t="str">
        <f t="shared" si="11"/>
        <v/>
      </c>
      <c r="AO50" s="144" t="str">
        <f t="shared" si="12"/>
        <v/>
      </c>
      <c r="AP50" s="144" t="str">
        <f t="shared" si="19"/>
        <v/>
      </c>
      <c r="AQ50" s="144" t="str">
        <f t="shared" si="13"/>
        <v/>
      </c>
      <c r="AR50" s="144" t="str">
        <f t="shared" si="14"/>
        <v/>
      </c>
      <c r="AS50" s="144" t="str">
        <f>IF(AJ50&lt;&gt;"",IF(R50&lt;&gt;"",R50,""),"")</f>
        <v/>
      </c>
      <c r="AT50" s="144" t="str">
        <f t="shared" si="16"/>
        <v/>
      </c>
      <c r="AU50" s="144" t="str">
        <f t="shared" si="17"/>
        <v/>
      </c>
      <c r="AV50" s="144" t="str">
        <f t="shared" si="18"/>
        <v/>
      </c>
    </row>
    <row r="51" spans="11:48" ht="16.5" customHeight="1" thickTop="1" thickBot="1" x14ac:dyDescent="0.3">
      <c r="K51" s="150">
        <f t="shared" si="1"/>
        <v>0</v>
      </c>
      <c r="L51" s="121" t="str">
        <f>IF(P51&lt;&gt;"",SUM(K$33:K51),"")</f>
        <v/>
      </c>
      <c r="M51" s="158"/>
      <c r="N51" s="158"/>
      <c r="O51" s="159"/>
      <c r="P51" s="174" t="str">
        <f t="shared" si="2"/>
        <v/>
      </c>
      <c r="Q51" s="175" t="str">
        <f t="shared" si="3"/>
        <v/>
      </c>
      <c r="R51" s="162"/>
      <c r="S51" s="188"/>
      <c r="T51" s="239" t="s">
        <v>9</v>
      </c>
      <c r="U51" s="240"/>
      <c r="V51" s="241"/>
      <c r="W51" s="100"/>
      <c r="X51" s="108"/>
      <c r="Y51" s="109"/>
      <c r="Z51" s="110"/>
      <c r="AC51" s="143" t="str">
        <f t="shared" si="4"/>
        <v/>
      </c>
      <c r="AD51" s="143" t="str">
        <f t="shared" si="5"/>
        <v/>
      </c>
      <c r="AE51" s="143" t="str">
        <f t="shared" si="5"/>
        <v/>
      </c>
      <c r="AF51" s="143" t="str">
        <f t="shared" si="5"/>
        <v/>
      </c>
      <c r="AG51" s="143" t="str">
        <f t="shared" si="5"/>
        <v/>
      </c>
      <c r="AH51" s="143" t="str">
        <f t="shared" si="5"/>
        <v/>
      </c>
      <c r="AI51" s="136" t="str">
        <f t="shared" si="6"/>
        <v/>
      </c>
      <c r="AJ51" s="142" t="str">
        <f t="shared" si="7"/>
        <v/>
      </c>
      <c r="AK51" s="144" t="str">
        <f t="shared" si="8"/>
        <v/>
      </c>
      <c r="AL51" s="144" t="str">
        <f t="shared" si="9"/>
        <v/>
      </c>
      <c r="AM51" s="144" t="str">
        <f t="shared" si="10"/>
        <v/>
      </c>
      <c r="AN51" s="144" t="str">
        <f t="shared" si="11"/>
        <v/>
      </c>
      <c r="AO51" s="144" t="str">
        <f t="shared" si="12"/>
        <v/>
      </c>
      <c r="AP51" s="144" t="str">
        <f t="shared" si="19"/>
        <v/>
      </c>
      <c r="AQ51" s="144" t="str">
        <f t="shared" si="13"/>
        <v/>
      </c>
      <c r="AR51" s="144" t="str">
        <f t="shared" si="14"/>
        <v/>
      </c>
      <c r="AS51" s="144" t="str">
        <f t="shared" si="15"/>
        <v/>
      </c>
      <c r="AT51" s="144" t="str">
        <f t="shared" si="16"/>
        <v/>
      </c>
      <c r="AU51" s="144" t="str">
        <f t="shared" si="17"/>
        <v/>
      </c>
      <c r="AV51" s="144" t="str">
        <f t="shared" si="18"/>
        <v/>
      </c>
    </row>
    <row r="52" spans="11:48" ht="16.5" customHeight="1" thickTop="1" x14ac:dyDescent="0.25">
      <c r="K52" s="150">
        <f t="shared" si="1"/>
        <v>0</v>
      </c>
      <c r="L52" s="121" t="str">
        <f>IF(P52&lt;&gt;"",SUM(K$33:K52),"")</f>
        <v/>
      </c>
      <c r="M52" s="158"/>
      <c r="N52" s="158"/>
      <c r="O52" s="159"/>
      <c r="P52" s="174" t="str">
        <f t="shared" si="2"/>
        <v/>
      </c>
      <c r="Q52" s="175" t="str">
        <f t="shared" si="3"/>
        <v/>
      </c>
      <c r="R52" s="162"/>
      <c r="S52" s="188"/>
      <c r="T52" s="115" t="s">
        <v>10</v>
      </c>
      <c r="U52" s="86">
        <f>COUNT(P34:P84)</f>
        <v>0</v>
      </c>
      <c r="V52" s="132">
        <f>SUM(P34:P84)</f>
        <v>0</v>
      </c>
      <c r="Y52" s="97" t="s">
        <v>278</v>
      </c>
      <c r="AC52" s="143" t="str">
        <f t="shared" si="4"/>
        <v/>
      </c>
      <c r="AD52" s="143" t="str">
        <f t="shared" si="5"/>
        <v/>
      </c>
      <c r="AE52" s="143" t="str">
        <f t="shared" si="5"/>
        <v/>
      </c>
      <c r="AF52" s="143" t="str">
        <f t="shared" si="5"/>
        <v/>
      </c>
      <c r="AG52" s="143" t="str">
        <f t="shared" si="5"/>
        <v/>
      </c>
      <c r="AH52" s="143" t="str">
        <f t="shared" si="5"/>
        <v/>
      </c>
      <c r="AI52" s="136" t="str">
        <f t="shared" si="6"/>
        <v/>
      </c>
      <c r="AJ52" s="142" t="str">
        <f t="shared" si="7"/>
        <v/>
      </c>
      <c r="AK52" s="144" t="str">
        <f t="shared" si="8"/>
        <v/>
      </c>
      <c r="AL52" s="144" t="str">
        <f t="shared" si="9"/>
        <v/>
      </c>
      <c r="AM52" s="144" t="str">
        <f t="shared" si="10"/>
        <v/>
      </c>
      <c r="AN52" s="144" t="str">
        <f t="shared" si="11"/>
        <v/>
      </c>
      <c r="AO52" s="144" t="str">
        <f t="shared" si="12"/>
        <v/>
      </c>
      <c r="AP52" s="144" t="str">
        <f t="shared" si="19"/>
        <v/>
      </c>
      <c r="AQ52" s="144" t="str">
        <f t="shared" si="13"/>
        <v/>
      </c>
      <c r="AR52" s="144" t="str">
        <f t="shared" si="14"/>
        <v/>
      </c>
      <c r="AS52" s="144" t="str">
        <f t="shared" si="15"/>
        <v/>
      </c>
      <c r="AT52" s="144" t="str">
        <f t="shared" si="16"/>
        <v/>
      </c>
      <c r="AU52" s="144" t="str">
        <f t="shared" si="17"/>
        <v/>
      </c>
      <c r="AV52" s="144" t="str">
        <f t="shared" si="18"/>
        <v/>
      </c>
    </row>
    <row r="53" spans="11:48" ht="16.5" customHeight="1" x14ac:dyDescent="0.25">
      <c r="K53" s="150">
        <f t="shared" si="1"/>
        <v>0</v>
      </c>
      <c r="L53" s="121" t="str">
        <f>IF(P53&lt;&gt;"",SUM(K$33:K53),"")</f>
        <v/>
      </c>
      <c r="M53" s="158"/>
      <c r="N53" s="158"/>
      <c r="O53" s="159"/>
      <c r="P53" s="174" t="str">
        <f t="shared" si="2"/>
        <v/>
      </c>
      <c r="Q53" s="175" t="str">
        <f t="shared" si="3"/>
        <v/>
      </c>
      <c r="R53" s="162"/>
      <c r="S53" s="188"/>
      <c r="T53" s="116" t="s">
        <v>11</v>
      </c>
      <c r="U53" s="85">
        <f>COUNT(Q34:Q84)</f>
        <v>0</v>
      </c>
      <c r="V53" s="133">
        <f>SUM(Q34:Q84)</f>
        <v>0</v>
      </c>
      <c r="AC53" s="143" t="str">
        <f t="shared" si="4"/>
        <v/>
      </c>
      <c r="AD53" s="143" t="str">
        <f t="shared" si="5"/>
        <v/>
      </c>
      <c r="AE53" s="143" t="str">
        <f t="shared" si="5"/>
        <v/>
      </c>
      <c r="AF53" s="143" t="str">
        <f t="shared" si="5"/>
        <v/>
      </c>
      <c r="AG53" s="143" t="str">
        <f t="shared" si="5"/>
        <v/>
      </c>
      <c r="AH53" s="143" t="str">
        <f t="shared" si="5"/>
        <v/>
      </c>
      <c r="AI53" s="136" t="str">
        <f t="shared" si="6"/>
        <v/>
      </c>
      <c r="AJ53" s="142" t="str">
        <f t="shared" si="7"/>
        <v/>
      </c>
      <c r="AK53" s="144" t="str">
        <f t="shared" si="8"/>
        <v/>
      </c>
      <c r="AL53" s="144" t="str">
        <f t="shared" si="9"/>
        <v/>
      </c>
      <c r="AM53" s="144" t="str">
        <f t="shared" si="10"/>
        <v/>
      </c>
      <c r="AN53" s="144" t="str">
        <f t="shared" si="11"/>
        <v/>
      </c>
      <c r="AO53" s="144" t="str">
        <f t="shared" si="12"/>
        <v/>
      </c>
      <c r="AP53" s="144" t="str">
        <f t="shared" si="19"/>
        <v/>
      </c>
      <c r="AQ53" s="144" t="str">
        <f t="shared" si="13"/>
        <v/>
      </c>
      <c r="AR53" s="144" t="str">
        <f t="shared" si="14"/>
        <v/>
      </c>
      <c r="AS53" s="144" t="str">
        <f t="shared" si="15"/>
        <v/>
      </c>
      <c r="AT53" s="144" t="str">
        <f t="shared" si="16"/>
        <v/>
      </c>
      <c r="AU53" s="144" t="str">
        <f t="shared" si="17"/>
        <v/>
      </c>
      <c r="AV53" s="144" t="str">
        <f t="shared" si="18"/>
        <v/>
      </c>
    </row>
    <row r="54" spans="11:48" ht="16.5" customHeight="1" x14ac:dyDescent="0.25">
      <c r="K54" s="150">
        <f t="shared" si="1"/>
        <v>0</v>
      </c>
      <c r="L54" s="121" t="str">
        <f>IF(P54&lt;&gt;"",SUM(K$33:K54),"")</f>
        <v/>
      </c>
      <c r="M54" s="158"/>
      <c r="N54" s="158"/>
      <c r="O54" s="159"/>
      <c r="P54" s="174" t="str">
        <f t="shared" si="2"/>
        <v/>
      </c>
      <c r="Q54" s="175" t="str">
        <f t="shared" si="3"/>
        <v/>
      </c>
      <c r="R54" s="162"/>
      <c r="S54" s="188"/>
      <c r="T54" s="166" t="s">
        <v>14</v>
      </c>
      <c r="U54" s="167">
        <f>COUNTIF(O$34:O$84,T54)</f>
        <v>0</v>
      </c>
      <c r="V54" s="168">
        <f>SUM(AD34:AD84)</f>
        <v>0</v>
      </c>
      <c r="AC54" s="143" t="str">
        <f t="shared" si="4"/>
        <v/>
      </c>
      <c r="AD54" s="143" t="str">
        <f t="shared" si="5"/>
        <v/>
      </c>
      <c r="AE54" s="143" t="str">
        <f t="shared" si="5"/>
        <v/>
      </c>
      <c r="AF54" s="143" t="str">
        <f t="shared" si="5"/>
        <v/>
      </c>
      <c r="AG54" s="143" t="str">
        <f t="shared" si="5"/>
        <v/>
      </c>
      <c r="AH54" s="143" t="str">
        <f t="shared" si="5"/>
        <v/>
      </c>
      <c r="AI54" s="136" t="str">
        <f t="shared" si="6"/>
        <v/>
      </c>
      <c r="AJ54" s="142" t="str">
        <f t="shared" si="7"/>
        <v/>
      </c>
      <c r="AK54" s="144" t="str">
        <f t="shared" si="8"/>
        <v/>
      </c>
      <c r="AL54" s="144" t="str">
        <f t="shared" si="9"/>
        <v/>
      </c>
      <c r="AM54" s="144" t="str">
        <f t="shared" si="10"/>
        <v/>
      </c>
      <c r="AN54" s="144" t="str">
        <f t="shared" si="11"/>
        <v/>
      </c>
      <c r="AO54" s="144" t="str">
        <f t="shared" si="12"/>
        <v/>
      </c>
      <c r="AP54" s="144" t="str">
        <f t="shared" si="19"/>
        <v/>
      </c>
      <c r="AQ54" s="144" t="str">
        <f t="shared" si="13"/>
        <v/>
      </c>
      <c r="AR54" s="144" t="str">
        <f t="shared" si="14"/>
        <v/>
      </c>
      <c r="AS54" s="144" t="str">
        <f t="shared" si="15"/>
        <v/>
      </c>
      <c r="AT54" s="144" t="str">
        <f t="shared" si="16"/>
        <v/>
      </c>
      <c r="AU54" s="144" t="str">
        <f t="shared" si="17"/>
        <v/>
      </c>
      <c r="AV54" s="144" t="str">
        <f t="shared" si="18"/>
        <v/>
      </c>
    </row>
    <row r="55" spans="11:48" ht="16.5" customHeight="1" x14ac:dyDescent="0.25">
      <c r="K55" s="150">
        <f t="shared" si="1"/>
        <v>0</v>
      </c>
      <c r="L55" s="121" t="str">
        <f>IF(P55&lt;&gt;"",SUM(K$33:K55),"")</f>
        <v/>
      </c>
      <c r="M55" s="158"/>
      <c r="N55" s="158"/>
      <c r="O55" s="159"/>
      <c r="P55" s="174" t="str">
        <f t="shared" si="2"/>
        <v/>
      </c>
      <c r="Q55" s="175" t="str">
        <f t="shared" si="3"/>
        <v/>
      </c>
      <c r="R55" s="162"/>
      <c r="S55" s="188"/>
      <c r="T55" s="166" t="s">
        <v>13</v>
      </c>
      <c r="U55" s="167">
        <f>COUNTIF(O$34:O$84,T55)</f>
        <v>0</v>
      </c>
      <c r="V55" s="168">
        <f>SUM(AE34:AE84)</f>
        <v>0</v>
      </c>
      <c r="AC55" s="143" t="str">
        <f t="shared" si="4"/>
        <v/>
      </c>
      <c r="AD55" s="143" t="str">
        <f t="shared" si="5"/>
        <v/>
      </c>
      <c r="AE55" s="143" t="str">
        <f t="shared" si="5"/>
        <v/>
      </c>
      <c r="AF55" s="143" t="str">
        <f t="shared" si="5"/>
        <v/>
      </c>
      <c r="AG55" s="143" t="str">
        <f t="shared" si="5"/>
        <v/>
      </c>
      <c r="AH55" s="143" t="str">
        <f t="shared" si="5"/>
        <v/>
      </c>
      <c r="AI55" s="136" t="str">
        <f t="shared" si="6"/>
        <v/>
      </c>
      <c r="AJ55" s="142" t="str">
        <f t="shared" si="7"/>
        <v/>
      </c>
      <c r="AK55" s="144" t="str">
        <f t="shared" si="8"/>
        <v/>
      </c>
      <c r="AL55" s="144" t="str">
        <f t="shared" si="9"/>
        <v/>
      </c>
      <c r="AM55" s="144" t="str">
        <f t="shared" si="10"/>
        <v/>
      </c>
      <c r="AN55" s="144" t="str">
        <f t="shared" si="11"/>
        <v/>
      </c>
      <c r="AO55" s="144" t="str">
        <f t="shared" si="12"/>
        <v/>
      </c>
      <c r="AP55" s="144" t="str">
        <f t="shared" si="19"/>
        <v/>
      </c>
      <c r="AQ55" s="144" t="str">
        <f t="shared" si="13"/>
        <v/>
      </c>
      <c r="AR55" s="144" t="str">
        <f t="shared" si="14"/>
        <v/>
      </c>
      <c r="AS55" s="144" t="str">
        <f t="shared" si="15"/>
        <v/>
      </c>
      <c r="AT55" s="144" t="str">
        <f t="shared" si="16"/>
        <v/>
      </c>
      <c r="AU55" s="144" t="str">
        <f t="shared" si="17"/>
        <v/>
      </c>
      <c r="AV55" s="144" t="str">
        <f t="shared" si="18"/>
        <v/>
      </c>
    </row>
    <row r="56" spans="11:48" ht="16.5" customHeight="1" x14ac:dyDescent="0.25">
      <c r="K56" s="150">
        <f t="shared" si="1"/>
        <v>0</v>
      </c>
      <c r="L56" s="121" t="str">
        <f>IF(P56&lt;&gt;"",SUM(K$33:K56),"")</f>
        <v/>
      </c>
      <c r="M56" s="158"/>
      <c r="N56" s="158"/>
      <c r="O56" s="159"/>
      <c r="P56" s="174" t="str">
        <f t="shared" si="2"/>
        <v/>
      </c>
      <c r="Q56" s="175" t="str">
        <f t="shared" si="3"/>
        <v/>
      </c>
      <c r="R56" s="162"/>
      <c r="S56" s="188"/>
      <c r="T56" s="166" t="s">
        <v>8</v>
      </c>
      <c r="U56" s="167">
        <f>COUNTIF(O$34:O$84,T56)</f>
        <v>0</v>
      </c>
      <c r="V56" s="168">
        <f>SUM(AF34:AF84)</f>
        <v>0</v>
      </c>
      <c r="AC56" s="143" t="str">
        <f t="shared" si="4"/>
        <v/>
      </c>
      <c r="AD56" s="143" t="str">
        <f t="shared" si="5"/>
        <v/>
      </c>
      <c r="AE56" s="143" t="str">
        <f t="shared" si="5"/>
        <v/>
      </c>
      <c r="AF56" s="143" t="str">
        <f t="shared" si="5"/>
        <v/>
      </c>
      <c r="AG56" s="143" t="str">
        <f t="shared" si="5"/>
        <v/>
      </c>
      <c r="AH56" s="143" t="str">
        <f t="shared" si="5"/>
        <v/>
      </c>
      <c r="AI56" s="136" t="str">
        <f t="shared" si="6"/>
        <v/>
      </c>
      <c r="AJ56" s="142" t="str">
        <f t="shared" si="7"/>
        <v/>
      </c>
      <c r="AK56" s="144" t="str">
        <f t="shared" si="8"/>
        <v/>
      </c>
      <c r="AL56" s="144" t="str">
        <f t="shared" si="9"/>
        <v/>
      </c>
      <c r="AM56" s="144" t="str">
        <f t="shared" si="10"/>
        <v/>
      </c>
      <c r="AN56" s="144" t="str">
        <f t="shared" si="11"/>
        <v/>
      </c>
      <c r="AO56" s="144" t="str">
        <f t="shared" si="12"/>
        <v/>
      </c>
      <c r="AP56" s="144" t="str">
        <f t="shared" si="19"/>
        <v/>
      </c>
      <c r="AQ56" s="144" t="str">
        <f t="shared" si="13"/>
        <v/>
      </c>
      <c r="AR56" s="144" t="str">
        <f t="shared" si="14"/>
        <v/>
      </c>
      <c r="AS56" s="144" t="str">
        <f t="shared" si="15"/>
        <v/>
      </c>
      <c r="AT56" s="144" t="str">
        <f t="shared" si="16"/>
        <v/>
      </c>
      <c r="AU56" s="144" t="str">
        <f t="shared" si="17"/>
        <v/>
      </c>
      <c r="AV56" s="144" t="str">
        <f t="shared" si="18"/>
        <v/>
      </c>
    </row>
    <row r="57" spans="11:48" ht="16.5" customHeight="1" x14ac:dyDescent="0.25">
      <c r="K57" s="150">
        <f t="shared" si="1"/>
        <v>0</v>
      </c>
      <c r="L57" s="121" t="str">
        <f>IF(P57&lt;&gt;"",SUM(K$33:K57),"")</f>
        <v/>
      </c>
      <c r="M57" s="158"/>
      <c r="N57" s="158"/>
      <c r="O57" s="159"/>
      <c r="P57" s="174" t="str">
        <f t="shared" si="2"/>
        <v/>
      </c>
      <c r="Q57" s="175" t="str">
        <f t="shared" si="3"/>
        <v/>
      </c>
      <c r="R57" s="162"/>
      <c r="S57" s="188"/>
      <c r="T57" s="166" t="s">
        <v>15</v>
      </c>
      <c r="U57" s="167">
        <f>COUNTIF(O$34:O$84,T57)</f>
        <v>0</v>
      </c>
      <c r="V57" s="168">
        <f>SUM(AG34:AG84)</f>
        <v>0</v>
      </c>
      <c r="AC57" s="143" t="str">
        <f t="shared" si="4"/>
        <v/>
      </c>
      <c r="AD57" s="143" t="str">
        <f t="shared" si="5"/>
        <v/>
      </c>
      <c r="AE57" s="143" t="str">
        <f t="shared" si="5"/>
        <v/>
      </c>
      <c r="AF57" s="143" t="str">
        <f t="shared" si="5"/>
        <v/>
      </c>
      <c r="AG57" s="143" t="str">
        <f t="shared" si="5"/>
        <v/>
      </c>
      <c r="AH57" s="143" t="str">
        <f t="shared" si="5"/>
        <v/>
      </c>
      <c r="AI57" s="136" t="str">
        <f t="shared" si="6"/>
        <v/>
      </c>
      <c r="AJ57" s="142" t="str">
        <f t="shared" si="7"/>
        <v/>
      </c>
      <c r="AK57" s="144" t="str">
        <f t="shared" si="8"/>
        <v/>
      </c>
      <c r="AL57" s="144" t="str">
        <f t="shared" si="9"/>
        <v/>
      </c>
      <c r="AM57" s="144" t="str">
        <f t="shared" si="10"/>
        <v/>
      </c>
      <c r="AN57" s="144" t="str">
        <f t="shared" si="11"/>
        <v/>
      </c>
      <c r="AO57" s="144" t="str">
        <f t="shared" si="12"/>
        <v/>
      </c>
      <c r="AP57" s="144" t="str">
        <f t="shared" si="19"/>
        <v/>
      </c>
      <c r="AQ57" s="144" t="str">
        <f t="shared" si="13"/>
        <v/>
      </c>
      <c r="AR57" s="144" t="str">
        <f t="shared" si="14"/>
        <v/>
      </c>
      <c r="AS57" s="144" t="str">
        <f t="shared" si="15"/>
        <v/>
      </c>
      <c r="AT57" s="144" t="str">
        <f t="shared" si="16"/>
        <v/>
      </c>
      <c r="AU57" s="144" t="str">
        <f t="shared" si="17"/>
        <v/>
      </c>
      <c r="AV57" s="144" t="str">
        <f t="shared" si="18"/>
        <v/>
      </c>
    </row>
    <row r="58" spans="11:48" ht="16.5" customHeight="1" x14ac:dyDescent="0.25">
      <c r="K58" s="150">
        <f t="shared" si="1"/>
        <v>0</v>
      </c>
      <c r="L58" s="121" t="str">
        <f>IF(P58&lt;&gt;"",SUM(K$33:K58),"")</f>
        <v/>
      </c>
      <c r="M58" s="158"/>
      <c r="N58" s="158"/>
      <c r="O58" s="159"/>
      <c r="P58" s="174" t="str">
        <f t="shared" si="2"/>
        <v/>
      </c>
      <c r="Q58" s="175" t="str">
        <f t="shared" si="3"/>
        <v/>
      </c>
      <c r="R58" s="162"/>
      <c r="S58" s="188"/>
      <c r="T58" s="166" t="s">
        <v>16</v>
      </c>
      <c r="U58" s="167">
        <f>COUNTIF(O$34:O$84,T58)</f>
        <v>0</v>
      </c>
      <c r="V58" s="168">
        <f>SUM(AH34:AH84)</f>
        <v>0</v>
      </c>
      <c r="AC58" s="143" t="str">
        <f t="shared" si="4"/>
        <v/>
      </c>
      <c r="AD58" s="143" t="str">
        <f t="shared" si="5"/>
        <v/>
      </c>
      <c r="AE58" s="143" t="str">
        <f t="shared" si="5"/>
        <v/>
      </c>
      <c r="AF58" s="143" t="str">
        <f t="shared" si="5"/>
        <v/>
      </c>
      <c r="AG58" s="143" t="str">
        <f t="shared" si="5"/>
        <v/>
      </c>
      <c r="AH58" s="143" t="str">
        <f t="shared" si="5"/>
        <v/>
      </c>
      <c r="AI58" s="136" t="str">
        <f t="shared" si="6"/>
        <v/>
      </c>
      <c r="AJ58" s="142" t="str">
        <f t="shared" si="7"/>
        <v/>
      </c>
      <c r="AK58" s="144" t="str">
        <f t="shared" si="8"/>
        <v/>
      </c>
      <c r="AL58" s="144" t="str">
        <f t="shared" si="9"/>
        <v/>
      </c>
      <c r="AM58" s="144" t="str">
        <f t="shared" si="10"/>
        <v/>
      </c>
      <c r="AN58" s="144" t="str">
        <f t="shared" si="11"/>
        <v/>
      </c>
      <c r="AO58" s="144" t="str">
        <f t="shared" si="12"/>
        <v/>
      </c>
      <c r="AP58" s="144" t="str">
        <f t="shared" si="19"/>
        <v/>
      </c>
      <c r="AQ58" s="144" t="str">
        <f t="shared" si="13"/>
        <v/>
      </c>
      <c r="AR58" s="144" t="str">
        <f t="shared" si="14"/>
        <v/>
      </c>
      <c r="AS58" s="144" t="str">
        <f t="shared" si="15"/>
        <v/>
      </c>
      <c r="AT58" s="144" t="str">
        <f t="shared" si="16"/>
        <v/>
      </c>
      <c r="AU58" s="144" t="str">
        <f t="shared" si="17"/>
        <v/>
      </c>
      <c r="AV58" s="144" t="str">
        <f t="shared" si="18"/>
        <v/>
      </c>
    </row>
    <row r="59" spans="11:48" ht="16.5" customHeight="1" thickBot="1" x14ac:dyDescent="0.3">
      <c r="K59" s="150">
        <f t="shared" si="1"/>
        <v>0</v>
      </c>
      <c r="L59" s="121" t="str">
        <f>IF(P59&lt;&gt;"",SUM(K$33:K59),"")</f>
        <v/>
      </c>
      <c r="M59" s="158"/>
      <c r="N59" s="158"/>
      <c r="O59" s="159"/>
      <c r="P59" s="174" t="str">
        <f t="shared" si="2"/>
        <v/>
      </c>
      <c r="Q59" s="175" t="str">
        <f t="shared" si="3"/>
        <v/>
      </c>
      <c r="R59" s="162"/>
      <c r="S59" s="188"/>
      <c r="T59" s="169" t="s">
        <v>239</v>
      </c>
      <c r="U59" s="170">
        <f>COUNTIF(AC:AC,TRUE)</f>
        <v>0</v>
      </c>
      <c r="V59" s="171"/>
      <c r="AC59" s="143" t="str">
        <f t="shared" si="4"/>
        <v/>
      </c>
      <c r="AD59" s="143" t="str">
        <f t="shared" si="5"/>
        <v/>
      </c>
      <c r="AE59" s="143" t="str">
        <f t="shared" si="5"/>
        <v/>
      </c>
      <c r="AF59" s="143" t="str">
        <f t="shared" si="5"/>
        <v/>
      </c>
      <c r="AG59" s="143" t="str">
        <f t="shared" si="5"/>
        <v/>
      </c>
      <c r="AH59" s="143" t="str">
        <f t="shared" si="5"/>
        <v/>
      </c>
      <c r="AI59" s="136" t="str">
        <f t="shared" si="6"/>
        <v/>
      </c>
      <c r="AJ59" s="142" t="str">
        <f t="shared" si="7"/>
        <v/>
      </c>
      <c r="AK59" s="144" t="str">
        <f t="shared" si="8"/>
        <v/>
      </c>
      <c r="AL59" s="144" t="str">
        <f t="shared" si="9"/>
        <v/>
      </c>
      <c r="AM59" s="144" t="str">
        <f t="shared" si="10"/>
        <v/>
      </c>
      <c r="AN59" s="144" t="str">
        <f t="shared" si="11"/>
        <v/>
      </c>
      <c r="AO59" s="144" t="str">
        <f t="shared" si="12"/>
        <v/>
      </c>
      <c r="AP59" s="144" t="str">
        <f t="shared" si="19"/>
        <v/>
      </c>
      <c r="AQ59" s="144" t="str">
        <f t="shared" si="13"/>
        <v/>
      </c>
      <c r="AR59" s="144" t="str">
        <f t="shared" si="14"/>
        <v/>
      </c>
      <c r="AS59" s="144" t="str">
        <f t="shared" si="15"/>
        <v/>
      </c>
      <c r="AT59" s="144" t="str">
        <f t="shared" si="16"/>
        <v/>
      </c>
      <c r="AU59" s="144" t="str">
        <f t="shared" si="17"/>
        <v/>
      </c>
      <c r="AV59" s="144" t="str">
        <f t="shared" si="18"/>
        <v/>
      </c>
    </row>
    <row r="60" spans="11:48" ht="16.5" customHeight="1" thickTop="1" x14ac:dyDescent="0.25">
      <c r="K60" s="150">
        <f t="shared" si="1"/>
        <v>0</v>
      </c>
      <c r="L60" s="121" t="str">
        <f>IF(P60&lt;&gt;"",SUM(K$33:K60),"")</f>
        <v/>
      </c>
      <c r="M60" s="158"/>
      <c r="N60" s="158"/>
      <c r="O60" s="159"/>
      <c r="P60" s="174" t="str">
        <f t="shared" si="2"/>
        <v/>
      </c>
      <c r="Q60" s="175" t="str">
        <f t="shared" si="3"/>
        <v/>
      </c>
      <c r="R60" s="162"/>
      <c r="S60" s="188"/>
      <c r="AC60" s="143" t="str">
        <f t="shared" si="4"/>
        <v/>
      </c>
      <c r="AD60" s="143" t="str">
        <f t="shared" si="5"/>
        <v/>
      </c>
      <c r="AE60" s="143" t="str">
        <f t="shared" si="5"/>
        <v/>
      </c>
      <c r="AF60" s="143" t="str">
        <f t="shared" si="5"/>
        <v/>
      </c>
      <c r="AG60" s="143" t="str">
        <f t="shared" si="5"/>
        <v/>
      </c>
      <c r="AH60" s="143" t="str">
        <f t="shared" si="5"/>
        <v/>
      </c>
      <c r="AI60" s="136" t="str">
        <f t="shared" si="6"/>
        <v/>
      </c>
      <c r="AJ60" s="142" t="str">
        <f t="shared" si="7"/>
        <v/>
      </c>
      <c r="AK60" s="144" t="str">
        <f t="shared" si="8"/>
        <v/>
      </c>
      <c r="AL60" s="144" t="str">
        <f t="shared" si="9"/>
        <v/>
      </c>
      <c r="AM60" s="144" t="str">
        <f t="shared" si="10"/>
        <v/>
      </c>
      <c r="AN60" s="144" t="str">
        <f t="shared" si="11"/>
        <v/>
      </c>
      <c r="AO60" s="144" t="str">
        <f t="shared" si="12"/>
        <v/>
      </c>
      <c r="AP60" s="144" t="str">
        <f t="shared" si="19"/>
        <v/>
      </c>
      <c r="AQ60" s="144" t="str">
        <f t="shared" si="13"/>
        <v/>
      </c>
      <c r="AR60" s="144" t="str">
        <f t="shared" si="14"/>
        <v/>
      </c>
      <c r="AS60" s="144" t="str">
        <f t="shared" si="15"/>
        <v/>
      </c>
      <c r="AT60" s="144" t="str">
        <f t="shared" si="16"/>
        <v/>
      </c>
      <c r="AU60" s="144" t="str">
        <f t="shared" si="17"/>
        <v/>
      </c>
      <c r="AV60" s="144" t="str">
        <f t="shared" si="18"/>
        <v/>
      </c>
    </row>
    <row r="61" spans="11:48" ht="16.5" customHeight="1" x14ac:dyDescent="0.25">
      <c r="K61" s="150">
        <f t="shared" si="1"/>
        <v>0</v>
      </c>
      <c r="L61" s="121" t="str">
        <f>IF(P61&lt;&gt;"",SUM(K$33:K61),"")</f>
        <v/>
      </c>
      <c r="M61" s="158"/>
      <c r="N61" s="158"/>
      <c r="O61" s="159"/>
      <c r="P61" s="174" t="str">
        <f t="shared" si="2"/>
        <v/>
      </c>
      <c r="Q61" s="175" t="str">
        <f t="shared" si="3"/>
        <v/>
      </c>
      <c r="R61" s="162"/>
      <c r="S61" s="188"/>
      <c r="AC61" s="143" t="str">
        <f t="shared" si="4"/>
        <v/>
      </c>
      <c r="AD61" s="143" t="str">
        <f t="shared" si="5"/>
        <v/>
      </c>
      <c r="AE61" s="143" t="str">
        <f t="shared" si="5"/>
        <v/>
      </c>
      <c r="AF61" s="143" t="str">
        <f t="shared" si="5"/>
        <v/>
      </c>
      <c r="AG61" s="143" t="str">
        <f t="shared" si="5"/>
        <v/>
      </c>
      <c r="AH61" s="143" t="str">
        <f t="shared" si="5"/>
        <v/>
      </c>
      <c r="AI61" s="136" t="str">
        <f t="shared" si="6"/>
        <v/>
      </c>
      <c r="AJ61" s="142" t="str">
        <f t="shared" si="7"/>
        <v/>
      </c>
      <c r="AK61" s="144" t="str">
        <f t="shared" si="8"/>
        <v/>
      </c>
      <c r="AL61" s="144" t="str">
        <f t="shared" si="9"/>
        <v/>
      </c>
      <c r="AM61" s="144" t="str">
        <f t="shared" si="10"/>
        <v/>
      </c>
      <c r="AN61" s="144" t="str">
        <f t="shared" si="11"/>
        <v/>
      </c>
      <c r="AO61" s="144" t="str">
        <f t="shared" si="12"/>
        <v/>
      </c>
      <c r="AP61" s="144" t="str">
        <f t="shared" si="19"/>
        <v/>
      </c>
      <c r="AQ61" s="144" t="str">
        <f t="shared" si="13"/>
        <v/>
      </c>
      <c r="AR61" s="144" t="str">
        <f t="shared" si="14"/>
        <v/>
      </c>
      <c r="AS61" s="144" t="str">
        <f t="shared" si="15"/>
        <v/>
      </c>
      <c r="AT61" s="144" t="str">
        <f t="shared" si="16"/>
        <v/>
      </c>
      <c r="AU61" s="144" t="str">
        <f t="shared" si="17"/>
        <v/>
      </c>
      <c r="AV61" s="144" t="str">
        <f t="shared" si="18"/>
        <v/>
      </c>
    </row>
    <row r="62" spans="11:48" ht="16.5" customHeight="1" x14ac:dyDescent="0.25">
      <c r="K62" s="150">
        <f t="shared" si="1"/>
        <v>0</v>
      </c>
      <c r="L62" s="121" t="str">
        <f>IF(P62&lt;&gt;"",SUM(K$33:K62),"")</f>
        <v/>
      </c>
      <c r="M62" s="158"/>
      <c r="N62" s="158"/>
      <c r="O62" s="159"/>
      <c r="P62" s="174" t="str">
        <f t="shared" si="2"/>
        <v/>
      </c>
      <c r="Q62" s="175" t="str">
        <f t="shared" si="3"/>
        <v/>
      </c>
      <c r="R62" s="162"/>
      <c r="S62" s="188"/>
      <c r="AC62" s="143" t="str">
        <f t="shared" si="4"/>
        <v/>
      </c>
      <c r="AD62" s="143" t="str">
        <f t="shared" si="5"/>
        <v/>
      </c>
      <c r="AE62" s="143" t="str">
        <f t="shared" si="5"/>
        <v/>
      </c>
      <c r="AF62" s="143" t="str">
        <f t="shared" si="5"/>
        <v/>
      </c>
      <c r="AG62" s="143" t="str">
        <f t="shared" si="5"/>
        <v/>
      </c>
      <c r="AH62" s="143" t="str">
        <f t="shared" si="5"/>
        <v/>
      </c>
      <c r="AI62" s="136" t="str">
        <f t="shared" si="6"/>
        <v/>
      </c>
      <c r="AJ62" s="142" t="str">
        <f t="shared" si="7"/>
        <v/>
      </c>
      <c r="AK62" s="144" t="str">
        <f t="shared" si="8"/>
        <v/>
      </c>
      <c r="AL62" s="144" t="str">
        <f t="shared" si="9"/>
        <v/>
      </c>
      <c r="AM62" s="144" t="str">
        <f t="shared" si="10"/>
        <v/>
      </c>
      <c r="AN62" s="144" t="str">
        <f t="shared" si="11"/>
        <v/>
      </c>
      <c r="AO62" s="144" t="str">
        <f t="shared" si="12"/>
        <v/>
      </c>
      <c r="AP62" s="144" t="str">
        <f t="shared" si="19"/>
        <v/>
      </c>
      <c r="AQ62" s="144" t="str">
        <f t="shared" si="13"/>
        <v/>
      </c>
      <c r="AR62" s="144" t="str">
        <f t="shared" si="14"/>
        <v/>
      </c>
      <c r="AS62" s="144" t="str">
        <f t="shared" si="15"/>
        <v/>
      </c>
      <c r="AT62" s="144" t="str">
        <f t="shared" si="16"/>
        <v/>
      </c>
      <c r="AU62" s="144" t="str">
        <f t="shared" si="17"/>
        <v/>
      </c>
      <c r="AV62" s="144" t="str">
        <f t="shared" si="18"/>
        <v/>
      </c>
    </row>
    <row r="63" spans="11:48" ht="16.5" customHeight="1" x14ac:dyDescent="0.25">
      <c r="K63" s="150">
        <f t="shared" si="1"/>
        <v>0</v>
      </c>
      <c r="L63" s="121" t="str">
        <f>IF(P63&lt;&gt;"",SUM(K$33:K63),"")</f>
        <v/>
      </c>
      <c r="M63" s="158"/>
      <c r="N63" s="158"/>
      <c r="O63" s="159"/>
      <c r="P63" s="174" t="str">
        <f t="shared" si="2"/>
        <v/>
      </c>
      <c r="Q63" s="175" t="str">
        <f t="shared" si="3"/>
        <v/>
      </c>
      <c r="R63" s="162"/>
      <c r="S63" s="188"/>
      <c r="AC63" s="143" t="str">
        <f t="shared" si="4"/>
        <v/>
      </c>
      <c r="AD63" s="143" t="str">
        <f t="shared" si="5"/>
        <v/>
      </c>
      <c r="AE63" s="143" t="str">
        <f t="shared" si="5"/>
        <v/>
      </c>
      <c r="AF63" s="143" t="str">
        <f t="shared" si="5"/>
        <v/>
      </c>
      <c r="AG63" s="143" t="str">
        <f t="shared" si="5"/>
        <v/>
      </c>
      <c r="AH63" s="143" t="str">
        <f t="shared" si="5"/>
        <v/>
      </c>
      <c r="AI63" s="136" t="str">
        <f t="shared" si="6"/>
        <v/>
      </c>
      <c r="AJ63" s="142" t="str">
        <f t="shared" si="7"/>
        <v/>
      </c>
      <c r="AK63" s="144" t="str">
        <f t="shared" si="8"/>
        <v/>
      </c>
      <c r="AL63" s="144" t="str">
        <f t="shared" si="9"/>
        <v/>
      </c>
      <c r="AM63" s="144" t="str">
        <f t="shared" si="10"/>
        <v/>
      </c>
      <c r="AN63" s="144" t="str">
        <f t="shared" si="11"/>
        <v/>
      </c>
      <c r="AO63" s="144" t="str">
        <f t="shared" si="12"/>
        <v/>
      </c>
      <c r="AP63" s="144" t="str">
        <f t="shared" si="19"/>
        <v/>
      </c>
      <c r="AQ63" s="144" t="str">
        <f t="shared" si="13"/>
        <v/>
      </c>
      <c r="AR63" s="144" t="str">
        <f t="shared" si="14"/>
        <v/>
      </c>
      <c r="AS63" s="144" t="str">
        <f t="shared" si="15"/>
        <v/>
      </c>
      <c r="AT63" s="144" t="str">
        <f t="shared" si="16"/>
        <v/>
      </c>
      <c r="AU63" s="144" t="str">
        <f t="shared" si="17"/>
        <v/>
      </c>
      <c r="AV63" s="144" t="str">
        <f t="shared" si="18"/>
        <v/>
      </c>
    </row>
    <row r="64" spans="11:48" ht="16.5" customHeight="1" x14ac:dyDescent="0.25">
      <c r="K64" s="150">
        <f t="shared" si="1"/>
        <v>0</v>
      </c>
      <c r="L64" s="121" t="str">
        <f>IF(P64&lt;&gt;"",SUM(K$33:K64),"")</f>
        <v/>
      </c>
      <c r="M64" s="158"/>
      <c r="N64" s="158"/>
      <c r="O64" s="159"/>
      <c r="P64" s="174" t="str">
        <f t="shared" si="2"/>
        <v/>
      </c>
      <c r="Q64" s="175" t="str">
        <f t="shared" si="3"/>
        <v/>
      </c>
      <c r="R64" s="162"/>
      <c r="S64" s="188"/>
      <c r="AC64" s="143" t="str">
        <f t="shared" si="4"/>
        <v/>
      </c>
      <c r="AD64" s="143" t="str">
        <f t="shared" si="5"/>
        <v/>
      </c>
      <c r="AE64" s="143" t="str">
        <f t="shared" si="5"/>
        <v/>
      </c>
      <c r="AF64" s="143" t="str">
        <f t="shared" si="5"/>
        <v/>
      </c>
      <c r="AG64" s="143" t="str">
        <f t="shared" si="5"/>
        <v/>
      </c>
      <c r="AH64" s="143" t="str">
        <f t="shared" si="5"/>
        <v/>
      </c>
      <c r="AI64" s="136" t="str">
        <f t="shared" si="6"/>
        <v/>
      </c>
      <c r="AJ64" s="142" t="str">
        <f t="shared" si="7"/>
        <v/>
      </c>
      <c r="AK64" s="144" t="str">
        <f t="shared" si="8"/>
        <v/>
      </c>
      <c r="AL64" s="144" t="str">
        <f t="shared" si="9"/>
        <v/>
      </c>
      <c r="AM64" s="144" t="str">
        <f t="shared" si="10"/>
        <v/>
      </c>
      <c r="AN64" s="144" t="str">
        <f t="shared" si="11"/>
        <v/>
      </c>
      <c r="AO64" s="144" t="str">
        <f t="shared" si="12"/>
        <v/>
      </c>
      <c r="AP64" s="144" t="str">
        <f t="shared" si="19"/>
        <v/>
      </c>
      <c r="AQ64" s="144" t="str">
        <f t="shared" si="13"/>
        <v/>
      </c>
      <c r="AR64" s="144" t="str">
        <f t="shared" si="14"/>
        <v/>
      </c>
      <c r="AS64" s="144" t="str">
        <f t="shared" si="15"/>
        <v/>
      </c>
      <c r="AT64" s="144" t="str">
        <f t="shared" si="16"/>
        <v/>
      </c>
      <c r="AU64" s="144" t="str">
        <f t="shared" si="17"/>
        <v/>
      </c>
      <c r="AV64" s="144" t="str">
        <f t="shared" si="18"/>
        <v/>
      </c>
    </row>
    <row r="65" spans="11:48" ht="16.5" customHeight="1" x14ac:dyDescent="0.25">
      <c r="K65" s="150">
        <f t="shared" si="1"/>
        <v>0</v>
      </c>
      <c r="L65" s="121" t="str">
        <f>IF(P65&lt;&gt;"",SUM(K$33:K65),"")</f>
        <v/>
      </c>
      <c r="M65" s="158"/>
      <c r="N65" s="158"/>
      <c r="O65" s="159"/>
      <c r="P65" s="174" t="str">
        <f t="shared" si="2"/>
        <v/>
      </c>
      <c r="Q65" s="175" t="str">
        <f t="shared" si="3"/>
        <v/>
      </c>
      <c r="R65" s="162"/>
      <c r="S65" s="188"/>
      <c r="AC65" s="143" t="str">
        <f t="shared" ref="AC65:AC84" si="20">IF(P65&lt;&gt;"",IF(P65&gt;400,TRUE,FALSE),"")</f>
        <v/>
      </c>
      <c r="AD65" s="143" t="str">
        <f t="shared" si="5"/>
        <v/>
      </c>
      <c r="AE65" s="143" t="str">
        <f t="shared" si="5"/>
        <v/>
      </c>
      <c r="AF65" s="143" t="str">
        <f t="shared" si="5"/>
        <v/>
      </c>
      <c r="AG65" s="143" t="str">
        <f t="shared" si="5"/>
        <v/>
      </c>
      <c r="AH65" s="143" t="str">
        <f t="shared" si="5"/>
        <v/>
      </c>
      <c r="AI65" s="136" t="str">
        <f t="shared" si="6"/>
        <v/>
      </c>
      <c r="AJ65" s="142" t="str">
        <f t="shared" si="7"/>
        <v/>
      </c>
      <c r="AK65" s="144" t="str">
        <f t="shared" si="8"/>
        <v/>
      </c>
      <c r="AL65" s="144" t="str">
        <f t="shared" si="9"/>
        <v/>
      </c>
      <c r="AM65" s="144" t="str">
        <f t="shared" si="10"/>
        <v/>
      </c>
      <c r="AN65" s="144" t="str">
        <f t="shared" si="11"/>
        <v/>
      </c>
      <c r="AO65" s="144" t="str">
        <f t="shared" si="12"/>
        <v/>
      </c>
      <c r="AP65" s="144" t="str">
        <f t="shared" si="19"/>
        <v/>
      </c>
      <c r="AQ65" s="144" t="str">
        <f t="shared" si="13"/>
        <v/>
      </c>
      <c r="AR65" s="144" t="str">
        <f t="shared" si="14"/>
        <v/>
      </c>
      <c r="AS65" s="144" t="str">
        <f t="shared" si="15"/>
        <v/>
      </c>
      <c r="AT65" s="144" t="str">
        <f t="shared" si="16"/>
        <v/>
      </c>
      <c r="AU65" s="144" t="str">
        <f t="shared" si="17"/>
        <v/>
      </c>
      <c r="AV65" s="144" t="str">
        <f t="shared" si="18"/>
        <v/>
      </c>
    </row>
    <row r="66" spans="11:48" ht="16.5" customHeight="1" x14ac:dyDescent="0.25">
      <c r="K66" s="150">
        <f t="shared" si="1"/>
        <v>0</v>
      </c>
      <c r="L66" s="121" t="str">
        <f>IF(P66&lt;&gt;"",SUM(K$33:K66),"")</f>
        <v/>
      </c>
      <c r="M66" s="158"/>
      <c r="N66" s="158"/>
      <c r="O66" s="159"/>
      <c r="P66" s="174" t="str">
        <f t="shared" si="2"/>
        <v/>
      </c>
      <c r="Q66" s="175" t="str">
        <f t="shared" si="3"/>
        <v/>
      </c>
      <c r="R66" s="162"/>
      <c r="S66" s="188"/>
      <c r="AC66" s="143" t="str">
        <f t="shared" si="20"/>
        <v/>
      </c>
      <c r="AD66" s="143" t="str">
        <f t="shared" si="5"/>
        <v/>
      </c>
      <c r="AE66" s="143" t="str">
        <f t="shared" si="5"/>
        <v/>
      </c>
      <c r="AF66" s="143" t="str">
        <f t="shared" si="5"/>
        <v/>
      </c>
      <c r="AG66" s="143" t="str">
        <f t="shared" si="5"/>
        <v/>
      </c>
      <c r="AH66" s="143" t="str">
        <f t="shared" si="5"/>
        <v/>
      </c>
      <c r="AI66" s="136" t="str">
        <f t="shared" si="6"/>
        <v/>
      </c>
      <c r="AJ66" s="142" t="str">
        <f t="shared" si="7"/>
        <v/>
      </c>
      <c r="AK66" s="144" t="str">
        <f t="shared" si="8"/>
        <v/>
      </c>
      <c r="AL66" s="144" t="str">
        <f t="shared" si="9"/>
        <v/>
      </c>
      <c r="AM66" s="144" t="str">
        <f t="shared" si="10"/>
        <v/>
      </c>
      <c r="AN66" s="144" t="str">
        <f t="shared" si="11"/>
        <v/>
      </c>
      <c r="AO66" s="144" t="str">
        <f t="shared" si="12"/>
        <v/>
      </c>
      <c r="AP66" s="144" t="str">
        <f t="shared" si="19"/>
        <v/>
      </c>
      <c r="AQ66" s="144" t="str">
        <f t="shared" si="13"/>
        <v/>
      </c>
      <c r="AR66" s="144" t="str">
        <f t="shared" si="14"/>
        <v/>
      </c>
      <c r="AS66" s="144" t="str">
        <f t="shared" si="15"/>
        <v/>
      </c>
      <c r="AT66" s="144" t="str">
        <f t="shared" si="16"/>
        <v/>
      </c>
      <c r="AU66" s="144" t="str">
        <f t="shared" si="17"/>
        <v/>
      </c>
      <c r="AV66" s="144" t="str">
        <f t="shared" si="18"/>
        <v/>
      </c>
    </row>
    <row r="67" spans="11:48" ht="16.5" customHeight="1" x14ac:dyDescent="0.25">
      <c r="K67" s="150">
        <f t="shared" si="1"/>
        <v>0</v>
      </c>
      <c r="L67" s="121" t="str">
        <f>IF(P67&lt;&gt;"",SUM(K$33:K67),"")</f>
        <v/>
      </c>
      <c r="M67" s="158"/>
      <c r="N67" s="158"/>
      <c r="O67" s="159"/>
      <c r="P67" s="174" t="str">
        <f t="shared" si="2"/>
        <v/>
      </c>
      <c r="Q67" s="175" t="str">
        <f t="shared" si="3"/>
        <v/>
      </c>
      <c r="R67" s="162"/>
      <c r="S67" s="188"/>
      <c r="AC67" s="143" t="str">
        <f t="shared" si="20"/>
        <v/>
      </c>
      <c r="AD67" s="143" t="str">
        <f t="shared" ref="AD67:AH84" si="21">IF($O67=AD$33,$Q67,"")</f>
        <v/>
      </c>
      <c r="AE67" s="143" t="str">
        <f t="shared" si="21"/>
        <v/>
      </c>
      <c r="AF67" s="143" t="str">
        <f t="shared" si="21"/>
        <v/>
      </c>
      <c r="AG67" s="143" t="str">
        <f t="shared" si="21"/>
        <v/>
      </c>
      <c r="AH67" s="143" t="str">
        <f t="shared" si="21"/>
        <v/>
      </c>
      <c r="AI67" s="136" t="str">
        <f t="shared" si="6"/>
        <v/>
      </c>
      <c r="AJ67" s="142" t="str">
        <f t="shared" si="7"/>
        <v/>
      </c>
      <c r="AK67" s="144" t="str">
        <f t="shared" si="8"/>
        <v/>
      </c>
      <c r="AL67" s="144" t="str">
        <f t="shared" si="9"/>
        <v/>
      </c>
      <c r="AM67" s="144" t="str">
        <f t="shared" si="10"/>
        <v/>
      </c>
      <c r="AN67" s="144" t="str">
        <f t="shared" si="11"/>
        <v/>
      </c>
      <c r="AO67" s="144" t="str">
        <f t="shared" si="12"/>
        <v/>
      </c>
      <c r="AP67" s="144" t="str">
        <f t="shared" si="19"/>
        <v/>
      </c>
      <c r="AQ67" s="144" t="str">
        <f t="shared" si="13"/>
        <v/>
      </c>
      <c r="AR67" s="144" t="str">
        <f t="shared" si="14"/>
        <v/>
      </c>
      <c r="AS67" s="144" t="str">
        <f t="shared" si="15"/>
        <v/>
      </c>
      <c r="AT67" s="144" t="str">
        <f t="shared" si="16"/>
        <v/>
      </c>
      <c r="AU67" s="144" t="str">
        <f t="shared" si="17"/>
        <v/>
      </c>
      <c r="AV67" s="144" t="str">
        <f t="shared" si="18"/>
        <v/>
      </c>
    </row>
    <row r="68" spans="11:48" ht="16.5" customHeight="1" x14ac:dyDescent="0.25">
      <c r="K68" s="150">
        <f t="shared" si="1"/>
        <v>0</v>
      </c>
      <c r="L68" s="121" t="str">
        <f>IF(P68&lt;&gt;"",SUM(K$33:K68),"")</f>
        <v/>
      </c>
      <c r="M68" s="158"/>
      <c r="N68" s="158"/>
      <c r="O68" s="159"/>
      <c r="P68" s="174" t="str">
        <f t="shared" si="2"/>
        <v/>
      </c>
      <c r="Q68" s="175" t="str">
        <f t="shared" si="3"/>
        <v/>
      </c>
      <c r="R68" s="162"/>
      <c r="S68" s="188"/>
      <c r="AC68" s="143" t="str">
        <f t="shared" si="20"/>
        <v/>
      </c>
      <c r="AD68" s="143" t="str">
        <f t="shared" si="21"/>
        <v/>
      </c>
      <c r="AE68" s="143" t="str">
        <f t="shared" si="21"/>
        <v/>
      </c>
      <c r="AF68" s="143" t="str">
        <f t="shared" si="21"/>
        <v/>
      </c>
      <c r="AG68" s="143" t="str">
        <f t="shared" si="21"/>
        <v/>
      </c>
      <c r="AH68" s="143" t="str">
        <f t="shared" si="21"/>
        <v/>
      </c>
      <c r="AI68" s="136" t="str">
        <f t="shared" si="6"/>
        <v/>
      </c>
      <c r="AJ68" s="142" t="str">
        <f t="shared" si="7"/>
        <v/>
      </c>
      <c r="AK68" s="144" t="str">
        <f t="shared" si="8"/>
        <v/>
      </c>
      <c r="AL68" s="144" t="str">
        <f t="shared" si="9"/>
        <v/>
      </c>
      <c r="AM68" s="144" t="str">
        <f t="shared" si="10"/>
        <v/>
      </c>
      <c r="AN68" s="144" t="str">
        <f t="shared" si="11"/>
        <v/>
      </c>
      <c r="AO68" s="144" t="str">
        <f t="shared" si="12"/>
        <v/>
      </c>
      <c r="AP68" s="144" t="str">
        <f t="shared" si="19"/>
        <v/>
      </c>
      <c r="AQ68" s="144" t="str">
        <f t="shared" si="13"/>
        <v/>
      </c>
      <c r="AR68" s="144" t="str">
        <f t="shared" si="14"/>
        <v/>
      </c>
      <c r="AS68" s="144" t="str">
        <f t="shared" si="15"/>
        <v/>
      </c>
      <c r="AT68" s="144" t="str">
        <f t="shared" si="16"/>
        <v/>
      </c>
      <c r="AU68" s="144" t="str">
        <f t="shared" si="17"/>
        <v/>
      </c>
      <c r="AV68" s="144" t="str">
        <f t="shared" si="18"/>
        <v/>
      </c>
    </row>
    <row r="69" spans="11:48" ht="16.5" customHeight="1" x14ac:dyDescent="0.25">
      <c r="K69" s="150">
        <f t="shared" si="1"/>
        <v>0</v>
      </c>
      <c r="L69" s="121" t="str">
        <f>IF(P69&lt;&gt;"",SUM(K$33:K69),"")</f>
        <v/>
      </c>
      <c r="M69" s="158"/>
      <c r="N69" s="158"/>
      <c r="O69" s="159"/>
      <c r="P69" s="174" t="str">
        <f t="shared" si="2"/>
        <v/>
      </c>
      <c r="Q69" s="175" t="str">
        <f t="shared" si="3"/>
        <v/>
      </c>
      <c r="R69" s="162"/>
      <c r="S69" s="188"/>
      <c r="AC69" s="143" t="str">
        <f t="shared" si="20"/>
        <v/>
      </c>
      <c r="AD69" s="143" t="str">
        <f t="shared" si="21"/>
        <v/>
      </c>
      <c r="AE69" s="143" t="str">
        <f t="shared" si="21"/>
        <v/>
      </c>
      <c r="AF69" s="143" t="str">
        <f t="shared" si="21"/>
        <v/>
      </c>
      <c r="AG69" s="143" t="str">
        <f t="shared" si="21"/>
        <v/>
      </c>
      <c r="AH69" s="143" t="str">
        <f t="shared" si="21"/>
        <v/>
      </c>
      <c r="AI69" s="136" t="str">
        <f t="shared" si="6"/>
        <v/>
      </c>
      <c r="AJ69" s="142" t="str">
        <f t="shared" si="7"/>
        <v/>
      </c>
      <c r="AK69" s="144" t="str">
        <f t="shared" si="8"/>
        <v/>
      </c>
      <c r="AL69" s="144" t="str">
        <f t="shared" si="9"/>
        <v/>
      </c>
      <c r="AM69" s="144" t="str">
        <f t="shared" si="10"/>
        <v/>
      </c>
      <c r="AN69" s="144" t="str">
        <f t="shared" si="11"/>
        <v/>
      </c>
      <c r="AO69" s="144" t="str">
        <f t="shared" si="12"/>
        <v/>
      </c>
      <c r="AP69" s="144" t="str">
        <f t="shared" si="19"/>
        <v/>
      </c>
      <c r="AQ69" s="144" t="str">
        <f t="shared" si="13"/>
        <v/>
      </c>
      <c r="AR69" s="144" t="str">
        <f t="shared" si="14"/>
        <v/>
      </c>
      <c r="AS69" s="144" t="str">
        <f t="shared" si="15"/>
        <v/>
      </c>
      <c r="AT69" s="144" t="str">
        <f t="shared" si="16"/>
        <v/>
      </c>
      <c r="AU69" s="144" t="str">
        <f t="shared" si="17"/>
        <v/>
      </c>
      <c r="AV69" s="144" t="str">
        <f t="shared" si="18"/>
        <v/>
      </c>
    </row>
    <row r="70" spans="11:48" ht="16.5" customHeight="1" x14ac:dyDescent="0.25">
      <c r="K70" s="150">
        <f t="shared" si="1"/>
        <v>0</v>
      </c>
      <c r="L70" s="121" t="str">
        <f>IF(P70&lt;&gt;"",SUM(K$33:K70),"")</f>
        <v/>
      </c>
      <c r="M70" s="158"/>
      <c r="N70" s="158"/>
      <c r="O70" s="159"/>
      <c r="P70" s="174" t="str">
        <f t="shared" si="2"/>
        <v/>
      </c>
      <c r="Q70" s="175" t="str">
        <f t="shared" si="3"/>
        <v/>
      </c>
      <c r="R70" s="162"/>
      <c r="S70" s="188"/>
      <c r="AC70" s="143" t="str">
        <f t="shared" si="20"/>
        <v/>
      </c>
      <c r="AD70" s="143" t="str">
        <f t="shared" si="21"/>
        <v/>
      </c>
      <c r="AE70" s="143" t="str">
        <f t="shared" si="21"/>
        <v/>
      </c>
      <c r="AF70" s="143" t="str">
        <f t="shared" si="21"/>
        <v/>
      </c>
      <c r="AG70" s="143" t="str">
        <f t="shared" si="21"/>
        <v/>
      </c>
      <c r="AH70" s="143" t="str">
        <f t="shared" si="21"/>
        <v/>
      </c>
      <c r="AI70" s="136" t="str">
        <f t="shared" si="6"/>
        <v/>
      </c>
      <c r="AJ70" s="142" t="str">
        <f t="shared" si="7"/>
        <v/>
      </c>
      <c r="AK70" s="144" t="str">
        <f t="shared" si="8"/>
        <v/>
      </c>
      <c r="AL70" s="144" t="str">
        <f t="shared" si="9"/>
        <v/>
      </c>
      <c r="AM70" s="144" t="str">
        <f t="shared" si="10"/>
        <v/>
      </c>
      <c r="AN70" s="144" t="str">
        <f t="shared" si="11"/>
        <v/>
      </c>
      <c r="AO70" s="144" t="str">
        <f t="shared" si="12"/>
        <v/>
      </c>
      <c r="AP70" s="144" t="str">
        <f t="shared" si="19"/>
        <v/>
      </c>
      <c r="AQ70" s="144" t="str">
        <f t="shared" si="13"/>
        <v/>
      </c>
      <c r="AR70" s="144" t="str">
        <f t="shared" si="14"/>
        <v/>
      </c>
      <c r="AS70" s="144" t="str">
        <f t="shared" si="15"/>
        <v/>
      </c>
      <c r="AT70" s="144" t="str">
        <f t="shared" si="16"/>
        <v/>
      </c>
      <c r="AU70" s="144" t="str">
        <f t="shared" si="17"/>
        <v/>
      </c>
      <c r="AV70" s="144" t="str">
        <f t="shared" si="18"/>
        <v/>
      </c>
    </row>
    <row r="71" spans="11:48" ht="16.5" customHeight="1" x14ac:dyDescent="0.25">
      <c r="K71" s="150">
        <f t="shared" si="1"/>
        <v>0</v>
      </c>
      <c r="L71" s="121" t="str">
        <f>IF(P71&lt;&gt;"",SUM(K$33:K71),"")</f>
        <v/>
      </c>
      <c r="M71" s="158"/>
      <c r="N71" s="158"/>
      <c r="O71" s="159"/>
      <c r="P71" s="174" t="str">
        <f t="shared" si="2"/>
        <v/>
      </c>
      <c r="Q71" s="175" t="str">
        <f t="shared" si="3"/>
        <v/>
      </c>
      <c r="R71" s="162"/>
      <c r="S71" s="188"/>
      <c r="AC71" s="143" t="str">
        <f t="shared" si="20"/>
        <v/>
      </c>
      <c r="AD71" s="143" t="str">
        <f t="shared" si="21"/>
        <v/>
      </c>
      <c r="AE71" s="143" t="str">
        <f t="shared" si="21"/>
        <v/>
      </c>
      <c r="AF71" s="143" t="str">
        <f t="shared" si="21"/>
        <v/>
      </c>
      <c r="AG71" s="143" t="str">
        <f t="shared" si="21"/>
        <v/>
      </c>
      <c r="AH71" s="143" t="str">
        <f t="shared" si="21"/>
        <v/>
      </c>
      <c r="AI71" s="136" t="str">
        <f t="shared" si="6"/>
        <v/>
      </c>
      <c r="AJ71" s="142" t="str">
        <f t="shared" si="7"/>
        <v/>
      </c>
      <c r="AK71" s="144" t="str">
        <f t="shared" si="8"/>
        <v/>
      </c>
      <c r="AL71" s="144" t="str">
        <f t="shared" si="9"/>
        <v/>
      </c>
      <c r="AM71" s="144" t="str">
        <f t="shared" si="10"/>
        <v/>
      </c>
      <c r="AN71" s="144" t="str">
        <f t="shared" si="11"/>
        <v/>
      </c>
      <c r="AO71" s="144" t="str">
        <f t="shared" si="12"/>
        <v/>
      </c>
      <c r="AP71" s="144" t="str">
        <f t="shared" si="19"/>
        <v/>
      </c>
      <c r="AQ71" s="144" t="str">
        <f t="shared" si="13"/>
        <v/>
      </c>
      <c r="AR71" s="144" t="str">
        <f t="shared" si="14"/>
        <v/>
      </c>
      <c r="AS71" s="144" t="str">
        <f t="shared" si="15"/>
        <v/>
      </c>
      <c r="AT71" s="144" t="str">
        <f t="shared" si="16"/>
        <v/>
      </c>
      <c r="AU71" s="144" t="str">
        <f t="shared" si="17"/>
        <v/>
      </c>
      <c r="AV71" s="144" t="str">
        <f t="shared" si="18"/>
        <v/>
      </c>
    </row>
    <row r="72" spans="11:48" ht="16.5" customHeight="1" x14ac:dyDescent="0.25">
      <c r="K72" s="150">
        <f t="shared" si="1"/>
        <v>0</v>
      </c>
      <c r="L72" s="121" t="str">
        <f>IF(P72&lt;&gt;"",SUM(K$33:K72),"")</f>
        <v/>
      </c>
      <c r="M72" s="158"/>
      <c r="N72" s="158"/>
      <c r="O72" s="159"/>
      <c r="P72" s="174" t="str">
        <f t="shared" si="2"/>
        <v/>
      </c>
      <c r="Q72" s="175" t="str">
        <f t="shared" si="3"/>
        <v/>
      </c>
      <c r="R72" s="162"/>
      <c r="S72" s="188"/>
      <c r="AC72" s="143" t="str">
        <f t="shared" si="20"/>
        <v/>
      </c>
      <c r="AD72" s="143" t="str">
        <f t="shared" si="21"/>
        <v/>
      </c>
      <c r="AE72" s="143" t="str">
        <f t="shared" si="21"/>
        <v/>
      </c>
      <c r="AF72" s="143" t="str">
        <f t="shared" si="21"/>
        <v/>
      </c>
      <c r="AG72" s="143" t="str">
        <f t="shared" si="21"/>
        <v/>
      </c>
      <c r="AH72" s="143" t="str">
        <f t="shared" si="21"/>
        <v/>
      </c>
      <c r="AI72" s="136" t="str">
        <f t="shared" si="6"/>
        <v/>
      </c>
      <c r="AJ72" s="142" t="str">
        <f t="shared" si="7"/>
        <v/>
      </c>
      <c r="AK72" s="144" t="str">
        <f t="shared" si="8"/>
        <v/>
      </c>
      <c r="AL72" s="144" t="str">
        <f t="shared" si="9"/>
        <v/>
      </c>
      <c r="AM72" s="144" t="str">
        <f t="shared" si="10"/>
        <v/>
      </c>
      <c r="AN72" s="144" t="str">
        <f t="shared" si="11"/>
        <v/>
      </c>
      <c r="AO72" s="144" t="str">
        <f t="shared" si="12"/>
        <v/>
      </c>
      <c r="AP72" s="144" t="str">
        <f t="shared" si="19"/>
        <v/>
      </c>
      <c r="AQ72" s="144" t="str">
        <f t="shared" si="13"/>
        <v/>
      </c>
      <c r="AR72" s="144" t="str">
        <f t="shared" si="14"/>
        <v/>
      </c>
      <c r="AS72" s="144" t="str">
        <f t="shared" si="15"/>
        <v/>
      </c>
      <c r="AT72" s="144" t="str">
        <f t="shared" si="16"/>
        <v/>
      </c>
      <c r="AU72" s="144" t="str">
        <f t="shared" si="17"/>
        <v/>
      </c>
      <c r="AV72" s="144" t="str">
        <f t="shared" si="18"/>
        <v/>
      </c>
    </row>
    <row r="73" spans="11:48" ht="16.5" customHeight="1" x14ac:dyDescent="0.25">
      <c r="K73" s="150">
        <f t="shared" si="1"/>
        <v>0</v>
      </c>
      <c r="L73" s="121" t="str">
        <f>IF(P73&lt;&gt;"",SUM(K$33:K73),"")</f>
        <v/>
      </c>
      <c r="M73" s="158"/>
      <c r="N73" s="158"/>
      <c r="O73" s="159"/>
      <c r="P73" s="174" t="str">
        <f t="shared" si="2"/>
        <v/>
      </c>
      <c r="Q73" s="175" t="str">
        <f t="shared" si="3"/>
        <v/>
      </c>
      <c r="R73" s="162"/>
      <c r="S73" s="188"/>
      <c r="AC73" s="143" t="str">
        <f t="shared" si="20"/>
        <v/>
      </c>
      <c r="AD73" s="143" t="str">
        <f t="shared" si="21"/>
        <v/>
      </c>
      <c r="AE73" s="143" t="str">
        <f t="shared" si="21"/>
        <v/>
      </c>
      <c r="AF73" s="143" t="str">
        <f t="shared" si="21"/>
        <v/>
      </c>
      <c r="AG73" s="143" t="str">
        <f t="shared" si="21"/>
        <v/>
      </c>
      <c r="AH73" s="143" t="str">
        <f t="shared" si="21"/>
        <v/>
      </c>
      <c r="AI73" s="136" t="str">
        <f t="shared" si="6"/>
        <v/>
      </c>
      <c r="AJ73" s="142" t="str">
        <f t="shared" si="7"/>
        <v/>
      </c>
      <c r="AK73" s="144" t="str">
        <f t="shared" si="8"/>
        <v/>
      </c>
      <c r="AL73" s="144" t="str">
        <f t="shared" si="9"/>
        <v/>
      </c>
      <c r="AM73" s="144" t="str">
        <f t="shared" si="10"/>
        <v/>
      </c>
      <c r="AN73" s="144" t="str">
        <f t="shared" si="11"/>
        <v/>
      </c>
      <c r="AO73" s="144" t="str">
        <f t="shared" si="12"/>
        <v/>
      </c>
      <c r="AP73" s="144" t="str">
        <f t="shared" si="19"/>
        <v/>
      </c>
      <c r="AQ73" s="144" t="str">
        <f t="shared" si="13"/>
        <v/>
      </c>
      <c r="AR73" s="144" t="str">
        <f t="shared" si="14"/>
        <v/>
      </c>
      <c r="AS73" s="144" t="str">
        <f t="shared" si="15"/>
        <v/>
      </c>
      <c r="AT73" s="144" t="str">
        <f t="shared" si="16"/>
        <v/>
      </c>
      <c r="AU73" s="144" t="str">
        <f t="shared" si="17"/>
        <v/>
      </c>
      <c r="AV73" s="144" t="str">
        <f t="shared" si="18"/>
        <v/>
      </c>
    </row>
    <row r="74" spans="11:48" ht="16.5" customHeight="1" x14ac:dyDescent="0.25">
      <c r="K74" s="150">
        <f t="shared" si="1"/>
        <v>0</v>
      </c>
      <c r="L74" s="121" t="str">
        <f>IF(P74&lt;&gt;"",SUM(K$33:K74),"")</f>
        <v/>
      </c>
      <c r="M74" s="158"/>
      <c r="N74" s="158"/>
      <c r="O74" s="159"/>
      <c r="P74" s="174" t="str">
        <f t="shared" si="2"/>
        <v/>
      </c>
      <c r="Q74" s="175" t="str">
        <f t="shared" si="3"/>
        <v/>
      </c>
      <c r="R74" s="162"/>
      <c r="S74" s="188"/>
      <c r="AC74" s="143" t="str">
        <f t="shared" si="20"/>
        <v/>
      </c>
      <c r="AD74" s="143" t="str">
        <f t="shared" si="21"/>
        <v/>
      </c>
      <c r="AE74" s="143" t="str">
        <f t="shared" si="21"/>
        <v/>
      </c>
      <c r="AF74" s="143" t="str">
        <f t="shared" si="21"/>
        <v/>
      </c>
      <c r="AG74" s="143" t="str">
        <f t="shared" si="21"/>
        <v/>
      </c>
      <c r="AH74" s="143" t="str">
        <f t="shared" si="21"/>
        <v/>
      </c>
      <c r="AI74" s="136" t="str">
        <f t="shared" si="6"/>
        <v/>
      </c>
      <c r="AJ74" s="142" t="str">
        <f t="shared" si="7"/>
        <v/>
      </c>
      <c r="AK74" s="144" t="str">
        <f t="shared" si="8"/>
        <v/>
      </c>
      <c r="AL74" s="144" t="str">
        <f t="shared" si="9"/>
        <v/>
      </c>
      <c r="AM74" s="144" t="str">
        <f t="shared" si="10"/>
        <v/>
      </c>
      <c r="AN74" s="144" t="str">
        <f t="shared" si="11"/>
        <v/>
      </c>
      <c r="AO74" s="144" t="str">
        <f t="shared" si="12"/>
        <v/>
      </c>
      <c r="AP74" s="144" t="str">
        <f t="shared" si="19"/>
        <v/>
      </c>
      <c r="AQ74" s="144" t="str">
        <f t="shared" si="13"/>
        <v/>
      </c>
      <c r="AR74" s="144" t="str">
        <f t="shared" si="14"/>
        <v/>
      </c>
      <c r="AS74" s="144" t="str">
        <f t="shared" si="15"/>
        <v/>
      </c>
      <c r="AT74" s="144" t="str">
        <f t="shared" si="16"/>
        <v/>
      </c>
      <c r="AU74" s="144" t="str">
        <f t="shared" si="17"/>
        <v/>
      </c>
      <c r="AV74" s="144" t="str">
        <f t="shared" si="18"/>
        <v/>
      </c>
    </row>
    <row r="75" spans="11:48" ht="16.5" customHeight="1" x14ac:dyDescent="0.25">
      <c r="K75" s="150">
        <f t="shared" si="1"/>
        <v>0</v>
      </c>
      <c r="L75" s="121" t="str">
        <f>IF(P75&lt;&gt;"",SUM(K$33:K75),"")</f>
        <v/>
      </c>
      <c r="M75" s="158"/>
      <c r="N75" s="158"/>
      <c r="O75" s="159"/>
      <c r="P75" s="174" t="str">
        <f t="shared" si="2"/>
        <v/>
      </c>
      <c r="Q75" s="175" t="str">
        <f t="shared" si="3"/>
        <v/>
      </c>
      <c r="R75" s="162"/>
      <c r="S75" s="188"/>
      <c r="AC75" s="143" t="str">
        <f t="shared" si="20"/>
        <v/>
      </c>
      <c r="AD75" s="143" t="str">
        <f t="shared" si="21"/>
        <v/>
      </c>
      <c r="AE75" s="143" t="str">
        <f t="shared" si="21"/>
        <v/>
      </c>
      <c r="AF75" s="143" t="str">
        <f t="shared" si="21"/>
        <v/>
      </c>
      <c r="AG75" s="143" t="str">
        <f t="shared" si="21"/>
        <v/>
      </c>
      <c r="AH75" s="143" t="str">
        <f t="shared" si="21"/>
        <v/>
      </c>
      <c r="AI75" s="136" t="str">
        <f t="shared" si="6"/>
        <v/>
      </c>
      <c r="AJ75" s="142" t="str">
        <f t="shared" si="7"/>
        <v/>
      </c>
      <c r="AK75" s="144" t="str">
        <f t="shared" si="8"/>
        <v/>
      </c>
      <c r="AL75" s="144" t="str">
        <f t="shared" si="9"/>
        <v/>
      </c>
      <c r="AM75" s="144" t="str">
        <f t="shared" si="10"/>
        <v/>
      </c>
      <c r="AN75" s="144" t="str">
        <f t="shared" si="11"/>
        <v/>
      </c>
      <c r="AO75" s="144" t="str">
        <f t="shared" si="12"/>
        <v/>
      </c>
      <c r="AP75" s="144" t="str">
        <f t="shared" si="19"/>
        <v/>
      </c>
      <c r="AQ75" s="144" t="str">
        <f t="shared" si="13"/>
        <v/>
      </c>
      <c r="AR75" s="144" t="str">
        <f t="shared" si="14"/>
        <v/>
      </c>
      <c r="AS75" s="144" t="str">
        <f t="shared" si="15"/>
        <v/>
      </c>
      <c r="AT75" s="144" t="str">
        <f t="shared" si="16"/>
        <v/>
      </c>
      <c r="AU75" s="144" t="str">
        <f t="shared" si="17"/>
        <v/>
      </c>
      <c r="AV75" s="144" t="str">
        <f t="shared" si="18"/>
        <v/>
      </c>
    </row>
    <row r="76" spans="11:48" ht="16.5" customHeight="1" x14ac:dyDescent="0.25">
      <c r="K76" s="150">
        <f t="shared" si="1"/>
        <v>0</v>
      </c>
      <c r="L76" s="121" t="str">
        <f>IF(P76&lt;&gt;"",SUM(K$33:K76),"")</f>
        <v/>
      </c>
      <c r="M76" s="158"/>
      <c r="N76" s="158"/>
      <c r="O76" s="159"/>
      <c r="P76" s="174" t="str">
        <f t="shared" si="2"/>
        <v/>
      </c>
      <c r="Q76" s="175" t="str">
        <f t="shared" si="3"/>
        <v/>
      </c>
      <c r="R76" s="162"/>
      <c r="S76" s="188"/>
      <c r="AC76" s="143" t="str">
        <f t="shared" si="20"/>
        <v/>
      </c>
      <c r="AD76" s="143" t="str">
        <f t="shared" si="21"/>
        <v/>
      </c>
      <c r="AE76" s="143" t="str">
        <f t="shared" si="21"/>
        <v/>
      </c>
      <c r="AF76" s="143" t="str">
        <f t="shared" si="21"/>
        <v/>
      </c>
      <c r="AG76" s="143" t="str">
        <f t="shared" si="21"/>
        <v/>
      </c>
      <c r="AH76" s="143" t="str">
        <f t="shared" si="21"/>
        <v/>
      </c>
      <c r="AI76" s="136" t="str">
        <f t="shared" si="6"/>
        <v/>
      </c>
      <c r="AJ76" s="142" t="str">
        <f t="shared" si="7"/>
        <v/>
      </c>
      <c r="AK76" s="144" t="str">
        <f t="shared" si="8"/>
        <v/>
      </c>
      <c r="AL76" s="144" t="str">
        <f t="shared" si="9"/>
        <v/>
      </c>
      <c r="AM76" s="144" t="str">
        <f t="shared" si="10"/>
        <v/>
      </c>
      <c r="AN76" s="144" t="str">
        <f t="shared" si="11"/>
        <v/>
      </c>
      <c r="AO76" s="144" t="str">
        <f t="shared" si="12"/>
        <v/>
      </c>
      <c r="AP76" s="144" t="str">
        <f t="shared" si="19"/>
        <v/>
      </c>
      <c r="AQ76" s="144" t="str">
        <f t="shared" si="13"/>
        <v/>
      </c>
      <c r="AR76" s="144" t="str">
        <f t="shared" si="14"/>
        <v/>
      </c>
      <c r="AS76" s="144" t="str">
        <f t="shared" si="15"/>
        <v/>
      </c>
      <c r="AT76" s="144" t="str">
        <f t="shared" si="16"/>
        <v/>
      </c>
      <c r="AU76" s="144" t="str">
        <f t="shared" si="17"/>
        <v/>
      </c>
      <c r="AV76" s="144" t="str">
        <f t="shared" si="18"/>
        <v/>
      </c>
    </row>
    <row r="77" spans="11:48" ht="16.5" customHeight="1" x14ac:dyDescent="0.25">
      <c r="K77" s="150">
        <f t="shared" si="1"/>
        <v>0</v>
      </c>
      <c r="L77" s="121" t="str">
        <f>IF(P77&lt;&gt;"",SUM(K$33:K77),"")</f>
        <v/>
      </c>
      <c r="M77" s="158"/>
      <c r="N77" s="158"/>
      <c r="O77" s="159"/>
      <c r="P77" s="174" t="str">
        <f t="shared" si="2"/>
        <v/>
      </c>
      <c r="Q77" s="175" t="str">
        <f t="shared" si="3"/>
        <v/>
      </c>
      <c r="R77" s="162"/>
      <c r="S77" s="188"/>
      <c r="AC77" s="143" t="str">
        <f t="shared" si="20"/>
        <v/>
      </c>
      <c r="AD77" s="143" t="str">
        <f t="shared" si="21"/>
        <v/>
      </c>
      <c r="AE77" s="143" t="str">
        <f t="shared" si="21"/>
        <v/>
      </c>
      <c r="AF77" s="143" t="str">
        <f t="shared" si="21"/>
        <v/>
      </c>
      <c r="AG77" s="143" t="str">
        <f t="shared" si="21"/>
        <v/>
      </c>
      <c r="AH77" s="143" t="str">
        <f t="shared" si="21"/>
        <v/>
      </c>
      <c r="AI77" s="136" t="str">
        <f t="shared" si="6"/>
        <v/>
      </c>
      <c r="AJ77" s="142" t="str">
        <f t="shared" si="7"/>
        <v/>
      </c>
      <c r="AK77" s="144" t="str">
        <f t="shared" si="8"/>
        <v/>
      </c>
      <c r="AL77" s="144" t="str">
        <f t="shared" si="9"/>
        <v/>
      </c>
      <c r="AM77" s="144" t="str">
        <f t="shared" si="10"/>
        <v/>
      </c>
      <c r="AN77" s="144" t="str">
        <f t="shared" si="11"/>
        <v/>
      </c>
      <c r="AO77" s="144" t="str">
        <f t="shared" si="12"/>
        <v/>
      </c>
      <c r="AP77" s="144" t="str">
        <f t="shared" si="19"/>
        <v/>
      </c>
      <c r="AQ77" s="144" t="str">
        <f t="shared" si="13"/>
        <v/>
      </c>
      <c r="AR77" s="144" t="str">
        <f t="shared" si="14"/>
        <v/>
      </c>
      <c r="AS77" s="144" t="str">
        <f t="shared" si="15"/>
        <v/>
      </c>
      <c r="AT77" s="144" t="str">
        <f t="shared" si="16"/>
        <v/>
      </c>
      <c r="AU77" s="144" t="str">
        <f t="shared" si="17"/>
        <v/>
      </c>
      <c r="AV77" s="144" t="str">
        <f t="shared" si="18"/>
        <v/>
      </c>
    </row>
    <row r="78" spans="11:48" ht="16.5" customHeight="1" x14ac:dyDescent="0.25">
      <c r="K78" s="150">
        <f t="shared" si="1"/>
        <v>0</v>
      </c>
      <c r="L78" s="121" t="str">
        <f>IF(P78&lt;&gt;"",SUM(K$33:K78),"")</f>
        <v/>
      </c>
      <c r="M78" s="158"/>
      <c r="N78" s="158"/>
      <c r="O78" s="159"/>
      <c r="P78" s="174" t="str">
        <f t="shared" si="2"/>
        <v/>
      </c>
      <c r="Q78" s="175" t="str">
        <f t="shared" si="3"/>
        <v/>
      </c>
      <c r="R78" s="162"/>
      <c r="S78" s="188"/>
      <c r="AC78" s="143" t="str">
        <f t="shared" si="20"/>
        <v/>
      </c>
      <c r="AD78" s="143" t="str">
        <f t="shared" si="21"/>
        <v/>
      </c>
      <c r="AE78" s="143" t="str">
        <f t="shared" si="21"/>
        <v/>
      </c>
      <c r="AF78" s="143" t="str">
        <f t="shared" si="21"/>
        <v/>
      </c>
      <c r="AG78" s="143" t="str">
        <f t="shared" si="21"/>
        <v/>
      </c>
      <c r="AH78" s="143" t="str">
        <f t="shared" si="21"/>
        <v/>
      </c>
      <c r="AI78" s="136" t="str">
        <f t="shared" si="6"/>
        <v/>
      </c>
      <c r="AJ78" s="142" t="str">
        <f t="shared" si="7"/>
        <v/>
      </c>
      <c r="AK78" s="144" t="str">
        <f t="shared" si="8"/>
        <v/>
      </c>
      <c r="AL78" s="144" t="str">
        <f t="shared" si="9"/>
        <v/>
      </c>
      <c r="AM78" s="144" t="str">
        <f t="shared" si="10"/>
        <v/>
      </c>
      <c r="AN78" s="144" t="str">
        <f t="shared" si="11"/>
        <v/>
      </c>
      <c r="AO78" s="144" t="str">
        <f t="shared" si="12"/>
        <v/>
      </c>
      <c r="AP78" s="144" t="str">
        <f t="shared" si="19"/>
        <v/>
      </c>
      <c r="AQ78" s="144" t="str">
        <f t="shared" si="13"/>
        <v/>
      </c>
      <c r="AR78" s="144" t="str">
        <f t="shared" si="14"/>
        <v/>
      </c>
      <c r="AS78" s="144" t="str">
        <f t="shared" si="15"/>
        <v/>
      </c>
      <c r="AT78" s="144" t="str">
        <f t="shared" si="16"/>
        <v/>
      </c>
      <c r="AU78" s="144" t="str">
        <f t="shared" si="17"/>
        <v/>
      </c>
      <c r="AV78" s="144" t="str">
        <f t="shared" si="18"/>
        <v/>
      </c>
    </row>
    <row r="79" spans="11:48" ht="16.5" customHeight="1" x14ac:dyDescent="0.25">
      <c r="K79" s="150">
        <f t="shared" si="1"/>
        <v>0</v>
      </c>
      <c r="L79" s="121" t="str">
        <f>IF(P79&lt;&gt;"",SUM(K$33:K79),"")</f>
        <v/>
      </c>
      <c r="M79" s="158"/>
      <c r="N79" s="158"/>
      <c r="O79" s="159"/>
      <c r="P79" s="174" t="str">
        <f t="shared" si="2"/>
        <v/>
      </c>
      <c r="Q79" s="175" t="str">
        <f t="shared" si="3"/>
        <v/>
      </c>
      <c r="R79" s="162"/>
      <c r="S79" s="188"/>
      <c r="AC79" s="143" t="str">
        <f t="shared" si="20"/>
        <v/>
      </c>
      <c r="AD79" s="143" t="str">
        <f t="shared" si="21"/>
        <v/>
      </c>
      <c r="AE79" s="143" t="str">
        <f t="shared" si="21"/>
        <v/>
      </c>
      <c r="AF79" s="143" t="str">
        <f t="shared" si="21"/>
        <v/>
      </c>
      <c r="AG79" s="143" t="str">
        <f t="shared" si="21"/>
        <v/>
      </c>
      <c r="AH79" s="143" t="str">
        <f t="shared" si="21"/>
        <v/>
      </c>
      <c r="AI79" s="136" t="str">
        <f t="shared" si="6"/>
        <v/>
      </c>
      <c r="AJ79" s="142" t="str">
        <f t="shared" si="7"/>
        <v/>
      </c>
      <c r="AK79" s="144" t="str">
        <f t="shared" si="8"/>
        <v/>
      </c>
      <c r="AL79" s="144" t="str">
        <f t="shared" si="9"/>
        <v/>
      </c>
      <c r="AM79" s="144" t="str">
        <f t="shared" si="10"/>
        <v/>
      </c>
      <c r="AN79" s="144" t="str">
        <f t="shared" si="11"/>
        <v/>
      </c>
      <c r="AO79" s="144" t="str">
        <f t="shared" si="12"/>
        <v/>
      </c>
      <c r="AP79" s="144" t="str">
        <f t="shared" si="19"/>
        <v/>
      </c>
      <c r="AQ79" s="144" t="str">
        <f t="shared" si="13"/>
        <v/>
      </c>
      <c r="AR79" s="144" t="str">
        <f t="shared" si="14"/>
        <v/>
      </c>
      <c r="AS79" s="144" t="str">
        <f t="shared" si="15"/>
        <v/>
      </c>
      <c r="AT79" s="144" t="str">
        <f t="shared" si="16"/>
        <v/>
      </c>
      <c r="AU79" s="144" t="str">
        <f t="shared" si="17"/>
        <v/>
      </c>
      <c r="AV79" s="144" t="str">
        <f t="shared" si="18"/>
        <v/>
      </c>
    </row>
    <row r="80" spans="11:48" ht="16.5" customHeight="1" x14ac:dyDescent="0.25">
      <c r="K80" s="150">
        <f t="shared" si="1"/>
        <v>0</v>
      </c>
      <c r="L80" s="121" t="str">
        <f>IF(P80&lt;&gt;"",SUM(K$33:K80),"")</f>
        <v/>
      </c>
      <c r="M80" s="158"/>
      <c r="N80" s="158"/>
      <c r="O80" s="159"/>
      <c r="P80" s="174" t="str">
        <f t="shared" si="2"/>
        <v/>
      </c>
      <c r="Q80" s="175" t="str">
        <f t="shared" si="3"/>
        <v/>
      </c>
      <c r="R80" s="162"/>
      <c r="S80" s="188"/>
      <c r="AC80" s="143" t="str">
        <f t="shared" si="20"/>
        <v/>
      </c>
      <c r="AD80" s="143" t="str">
        <f t="shared" si="21"/>
        <v/>
      </c>
      <c r="AE80" s="143" t="str">
        <f t="shared" si="21"/>
        <v/>
      </c>
      <c r="AF80" s="143" t="str">
        <f t="shared" si="21"/>
        <v/>
      </c>
      <c r="AG80" s="143" t="str">
        <f t="shared" si="21"/>
        <v/>
      </c>
      <c r="AH80" s="143" t="str">
        <f t="shared" si="21"/>
        <v/>
      </c>
      <c r="AI80" s="136" t="str">
        <f t="shared" si="6"/>
        <v/>
      </c>
      <c r="AJ80" s="142" t="str">
        <f t="shared" si="7"/>
        <v/>
      </c>
      <c r="AK80" s="144" t="str">
        <f t="shared" si="8"/>
        <v/>
      </c>
      <c r="AL80" s="144" t="str">
        <f t="shared" si="9"/>
        <v/>
      </c>
      <c r="AM80" s="144" t="str">
        <f t="shared" si="10"/>
        <v/>
      </c>
      <c r="AN80" s="144" t="str">
        <f t="shared" si="11"/>
        <v/>
      </c>
      <c r="AO80" s="144" t="str">
        <f t="shared" si="12"/>
        <v/>
      </c>
      <c r="AP80" s="144" t="str">
        <f t="shared" si="19"/>
        <v/>
      </c>
      <c r="AQ80" s="144" t="str">
        <f t="shared" si="13"/>
        <v/>
      </c>
      <c r="AR80" s="144" t="str">
        <f t="shared" si="14"/>
        <v/>
      </c>
      <c r="AS80" s="144" t="str">
        <f t="shared" si="15"/>
        <v/>
      </c>
      <c r="AT80" s="144" t="str">
        <f t="shared" si="16"/>
        <v/>
      </c>
      <c r="AU80" s="144" t="str">
        <f t="shared" si="17"/>
        <v/>
      </c>
      <c r="AV80" s="144" t="str">
        <f t="shared" si="18"/>
        <v/>
      </c>
    </row>
    <row r="81" spans="11:48" ht="16.5" customHeight="1" x14ac:dyDescent="0.25">
      <c r="K81" s="150">
        <f t="shared" si="1"/>
        <v>0</v>
      </c>
      <c r="L81" s="121" t="str">
        <f>IF(P81&lt;&gt;"",SUM(K$33:K81),"")</f>
        <v/>
      </c>
      <c r="M81" s="158"/>
      <c r="N81" s="158"/>
      <c r="O81" s="159"/>
      <c r="P81" s="174" t="str">
        <f t="shared" si="2"/>
        <v/>
      </c>
      <c r="Q81" s="175" t="str">
        <f t="shared" si="3"/>
        <v/>
      </c>
      <c r="R81" s="162"/>
      <c r="S81" s="188"/>
      <c r="AC81" s="143" t="str">
        <f t="shared" si="20"/>
        <v/>
      </c>
      <c r="AD81" s="143" t="str">
        <f t="shared" si="21"/>
        <v/>
      </c>
      <c r="AE81" s="143" t="str">
        <f t="shared" si="21"/>
        <v/>
      </c>
      <c r="AF81" s="143" t="str">
        <f t="shared" si="21"/>
        <v/>
      </c>
      <c r="AG81" s="143" t="str">
        <f t="shared" si="21"/>
        <v/>
      </c>
      <c r="AH81" s="143" t="str">
        <f t="shared" si="21"/>
        <v/>
      </c>
      <c r="AI81" s="136" t="str">
        <f t="shared" si="6"/>
        <v/>
      </c>
      <c r="AJ81" s="142" t="str">
        <f t="shared" si="7"/>
        <v/>
      </c>
      <c r="AK81" s="144" t="str">
        <f t="shared" si="8"/>
        <v/>
      </c>
      <c r="AL81" s="144" t="str">
        <f t="shared" si="9"/>
        <v/>
      </c>
      <c r="AM81" s="144" t="str">
        <f t="shared" si="10"/>
        <v/>
      </c>
      <c r="AN81" s="144" t="str">
        <f t="shared" si="11"/>
        <v/>
      </c>
      <c r="AO81" s="144" t="str">
        <f t="shared" si="12"/>
        <v/>
      </c>
      <c r="AP81" s="144" t="str">
        <f t="shared" si="19"/>
        <v/>
      </c>
      <c r="AQ81" s="144" t="str">
        <f t="shared" si="13"/>
        <v/>
      </c>
      <c r="AR81" s="144" t="str">
        <f t="shared" si="14"/>
        <v/>
      </c>
      <c r="AS81" s="144" t="str">
        <f t="shared" si="15"/>
        <v/>
      </c>
      <c r="AT81" s="144" t="str">
        <f t="shared" si="16"/>
        <v/>
      </c>
      <c r="AU81" s="144" t="str">
        <f t="shared" si="17"/>
        <v/>
      </c>
      <c r="AV81" s="144" t="str">
        <f t="shared" si="18"/>
        <v/>
      </c>
    </row>
    <row r="82" spans="11:48" ht="16.5" customHeight="1" x14ac:dyDescent="0.25">
      <c r="K82" s="150">
        <f t="shared" si="1"/>
        <v>0</v>
      </c>
      <c r="L82" s="121" t="str">
        <f>IF(P82&lt;&gt;"",SUM(K$33:K82),"")</f>
        <v/>
      </c>
      <c r="M82" s="158"/>
      <c r="N82" s="158"/>
      <c r="O82" s="159"/>
      <c r="P82" s="174" t="str">
        <f t="shared" si="2"/>
        <v/>
      </c>
      <c r="Q82" s="175" t="str">
        <f t="shared" si="3"/>
        <v/>
      </c>
      <c r="R82" s="162"/>
      <c r="S82" s="188"/>
      <c r="AC82" s="143" t="str">
        <f t="shared" si="20"/>
        <v/>
      </c>
      <c r="AD82" s="143" t="str">
        <f t="shared" si="21"/>
        <v/>
      </c>
      <c r="AE82" s="143" t="str">
        <f t="shared" si="21"/>
        <v/>
      </c>
      <c r="AF82" s="143" t="str">
        <f t="shared" si="21"/>
        <v/>
      </c>
      <c r="AG82" s="143" t="str">
        <f t="shared" si="21"/>
        <v/>
      </c>
      <c r="AH82" s="143" t="str">
        <f t="shared" si="21"/>
        <v/>
      </c>
      <c r="AI82" s="136" t="str">
        <f t="shared" si="6"/>
        <v/>
      </c>
      <c r="AJ82" s="142" t="str">
        <f t="shared" si="7"/>
        <v/>
      </c>
      <c r="AK82" s="144" t="str">
        <f t="shared" si="8"/>
        <v/>
      </c>
      <c r="AL82" s="144" t="str">
        <f t="shared" si="9"/>
        <v/>
      </c>
      <c r="AM82" s="144" t="str">
        <f t="shared" si="10"/>
        <v/>
      </c>
      <c r="AN82" s="144" t="str">
        <f t="shared" si="11"/>
        <v/>
      </c>
      <c r="AO82" s="144" t="str">
        <f t="shared" si="12"/>
        <v/>
      </c>
      <c r="AP82" s="144" t="str">
        <f t="shared" si="19"/>
        <v/>
      </c>
      <c r="AQ82" s="144" t="str">
        <f t="shared" si="13"/>
        <v/>
      </c>
      <c r="AR82" s="144" t="str">
        <f t="shared" si="14"/>
        <v/>
      </c>
      <c r="AS82" s="144" t="str">
        <f t="shared" si="15"/>
        <v/>
      </c>
      <c r="AT82" s="144" t="str">
        <f t="shared" si="16"/>
        <v/>
      </c>
      <c r="AU82" s="144" t="str">
        <f t="shared" si="17"/>
        <v/>
      </c>
      <c r="AV82" s="144" t="str">
        <f t="shared" si="18"/>
        <v/>
      </c>
    </row>
    <row r="83" spans="11:48" ht="16.5" customHeight="1" x14ac:dyDescent="0.25">
      <c r="K83" s="150">
        <f t="shared" si="1"/>
        <v>0</v>
      </c>
      <c r="L83" s="121" t="str">
        <f>IF(P83&lt;&gt;"",SUM(K$33:K83),"")</f>
        <v/>
      </c>
      <c r="M83" s="158"/>
      <c r="N83" s="158"/>
      <c r="O83" s="159"/>
      <c r="P83" s="174" t="str">
        <f t="shared" si="2"/>
        <v/>
      </c>
      <c r="Q83" s="175" t="str">
        <f t="shared" si="3"/>
        <v/>
      </c>
      <c r="R83" s="162"/>
      <c r="S83" s="188"/>
      <c r="AC83" s="143" t="str">
        <f t="shared" si="20"/>
        <v/>
      </c>
      <c r="AD83" s="143" t="str">
        <f t="shared" si="21"/>
        <v/>
      </c>
      <c r="AE83" s="143" t="str">
        <f t="shared" si="21"/>
        <v/>
      </c>
      <c r="AF83" s="143" t="str">
        <f t="shared" si="21"/>
        <v/>
      </c>
      <c r="AG83" s="143" t="str">
        <f t="shared" si="21"/>
        <v/>
      </c>
      <c r="AH83" s="143" t="str">
        <f t="shared" si="21"/>
        <v/>
      </c>
      <c r="AI83" s="136" t="str">
        <f t="shared" si="6"/>
        <v/>
      </c>
      <c r="AJ83" s="142" t="str">
        <f t="shared" si="7"/>
        <v/>
      </c>
      <c r="AK83" s="144" t="str">
        <f t="shared" si="8"/>
        <v/>
      </c>
      <c r="AL83" s="144" t="str">
        <f t="shared" si="9"/>
        <v/>
      </c>
      <c r="AM83" s="144" t="str">
        <f t="shared" si="10"/>
        <v/>
      </c>
      <c r="AN83" s="144" t="str">
        <f t="shared" si="11"/>
        <v/>
      </c>
      <c r="AO83" s="144" t="str">
        <f t="shared" si="12"/>
        <v/>
      </c>
      <c r="AP83" s="144" t="str">
        <f t="shared" si="19"/>
        <v/>
      </c>
      <c r="AQ83" s="144" t="str">
        <f t="shared" si="13"/>
        <v/>
      </c>
      <c r="AR83" s="144" t="str">
        <f t="shared" si="14"/>
        <v/>
      </c>
      <c r="AS83" s="144" t="str">
        <f t="shared" si="15"/>
        <v/>
      </c>
      <c r="AT83" s="144" t="str">
        <f t="shared" si="16"/>
        <v/>
      </c>
      <c r="AU83" s="144" t="str">
        <f t="shared" si="17"/>
        <v/>
      </c>
      <c r="AV83" s="144" t="str">
        <f t="shared" si="18"/>
        <v/>
      </c>
    </row>
    <row r="84" spans="11:48" ht="16.5" customHeight="1" thickBot="1" x14ac:dyDescent="0.3">
      <c r="K84" s="150">
        <f t="shared" si="1"/>
        <v>0</v>
      </c>
      <c r="L84" s="122" t="str">
        <f>IF(P84&lt;&gt;"",SUM(K$34,K84),"")</f>
        <v/>
      </c>
      <c r="M84" s="160"/>
      <c r="N84" s="160"/>
      <c r="O84" s="161"/>
      <c r="P84" s="176" t="str">
        <f t="shared" si="2"/>
        <v/>
      </c>
      <c r="Q84" s="177" t="str">
        <f t="shared" si="3"/>
        <v/>
      </c>
      <c r="R84" s="164"/>
      <c r="S84" s="188"/>
      <c r="AC84" s="143" t="str">
        <f t="shared" si="20"/>
        <v/>
      </c>
      <c r="AD84" s="143" t="str">
        <f t="shared" si="21"/>
        <v/>
      </c>
      <c r="AE84" s="143" t="str">
        <f t="shared" si="21"/>
        <v/>
      </c>
      <c r="AF84" s="143" t="str">
        <f t="shared" si="21"/>
        <v/>
      </c>
      <c r="AG84" s="143" t="str">
        <f t="shared" si="21"/>
        <v/>
      </c>
      <c r="AH84" s="143" t="str">
        <f t="shared" si="21"/>
        <v/>
      </c>
      <c r="AI84" s="136" t="str">
        <f t="shared" si="6"/>
        <v/>
      </c>
      <c r="AJ84" s="142" t="str">
        <f t="shared" si="7"/>
        <v/>
      </c>
      <c r="AK84" s="144" t="str">
        <f t="shared" si="8"/>
        <v/>
      </c>
      <c r="AL84" s="144" t="str">
        <f t="shared" si="9"/>
        <v/>
      </c>
      <c r="AM84" s="144" t="str">
        <f t="shared" si="10"/>
        <v/>
      </c>
      <c r="AN84" s="144" t="str">
        <f t="shared" si="11"/>
        <v/>
      </c>
      <c r="AO84" s="144" t="str">
        <f t="shared" si="12"/>
        <v/>
      </c>
      <c r="AP84" s="144" t="str">
        <f t="shared" si="19"/>
        <v/>
      </c>
      <c r="AQ84" s="144" t="str">
        <f t="shared" si="13"/>
        <v/>
      </c>
      <c r="AR84" s="144" t="str">
        <f t="shared" si="14"/>
        <v/>
      </c>
      <c r="AS84" s="144" t="str">
        <f t="shared" si="15"/>
        <v/>
      </c>
      <c r="AT84" s="144" t="str">
        <f t="shared" si="16"/>
        <v/>
      </c>
      <c r="AU84" s="144" t="str">
        <f t="shared" si="17"/>
        <v/>
      </c>
      <c r="AV84" s="144" t="str">
        <f t="shared" si="18"/>
        <v/>
      </c>
    </row>
    <row r="85" spans="11:48" ht="16.5" customHeight="1" thickTop="1" x14ac:dyDescent="0.25">
      <c r="R85" s="165"/>
    </row>
  </sheetData>
  <sheetProtection sheet="1" objects="1" scenarios="1" selectLockedCells="1"/>
  <mergeCells count="14">
    <mergeCell ref="AC16:AJ16"/>
    <mergeCell ref="AC32:AH32"/>
    <mergeCell ref="P23:W26"/>
    <mergeCell ref="O18:W22"/>
    <mergeCell ref="V29:Z31"/>
    <mergeCell ref="AJ32:AV32"/>
    <mergeCell ref="L18:N19"/>
    <mergeCell ref="T51:V51"/>
    <mergeCell ref="X46:Z46"/>
    <mergeCell ref="Z35:Z37"/>
    <mergeCell ref="X33:Y33"/>
    <mergeCell ref="X34:Y37"/>
    <mergeCell ref="X39:Z39"/>
    <mergeCell ref="X40:Z44"/>
  </mergeCells>
  <conditionalFormatting sqref="L34:L84">
    <cfRule type="cellIs" dxfId="4" priority="5" operator="notEqual">
      <formula>""""""</formula>
    </cfRule>
  </conditionalFormatting>
  <conditionalFormatting sqref="X34:Y37">
    <cfRule type="cellIs" dxfId="3" priority="4" operator="between">
      <formula>80</formula>
      <formula>100</formula>
    </cfRule>
  </conditionalFormatting>
  <conditionalFormatting sqref="P34:P84">
    <cfRule type="cellIs" dxfId="2" priority="3" operator="between">
      <formula>$S$30</formula>
      <formula>$S$31</formula>
    </cfRule>
  </conditionalFormatting>
  <conditionalFormatting sqref="U35:V40">
    <cfRule type="cellIs" dxfId="1" priority="2" operator="between">
      <formula>$T$33</formula>
      <formula>$V$33</formula>
    </cfRule>
  </conditionalFormatting>
  <conditionalFormatting sqref="U44:U49">
    <cfRule type="cellIs" dxfId="0" priority="1" operator="between">
      <formula>$T$42</formula>
      <formula>$V$42</formula>
    </cfRule>
  </conditionalFormatting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data!$A$2:$A$6</xm:f>
          </x14:formula1>
          <xm:sqref>O34:O84</xm:sqref>
        </x14:dataValidation>
        <x14:dataValidation type="list" allowBlank="1" showInputMessage="1" showErrorMessage="1">
          <x14:formula1>
            <xm:f>data!$F$2:$F$5</xm:f>
          </x14:formula1>
          <xm:sqref>N31</xm:sqref>
        </x14:dataValidation>
        <x14:dataValidation type="list" allowBlank="1" showInputMessage="1" showErrorMessage="1">
          <x14:formula1>
            <xm:f>data!$F$8:$F$13</xm:f>
          </x14:formula1>
          <xm:sqref>P29</xm:sqref>
        </x14:dataValidation>
        <x14:dataValidation type="list" allowBlank="1" showInputMessage="1" showErrorMessage="1">
          <x14:formula1>
            <xm:f>data!$A$9:$A$12</xm:f>
          </x14:formula1>
          <xm:sqref>V44:V49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:N576"/>
  <sheetViews>
    <sheetView workbookViewId="0">
      <pane ySplit="1" topLeftCell="A25" activePane="bottomLeft" state="frozen"/>
      <selection pane="bottomLeft" activeCell="A391" sqref="A391"/>
    </sheetView>
  </sheetViews>
  <sheetFormatPr baseColWidth="10" defaultRowHeight="15" x14ac:dyDescent="0.25"/>
  <cols>
    <col min="1" max="1" width="24.5703125" style="148" bestFit="1" customWidth="1"/>
    <col min="2" max="2" width="3" style="191" bestFit="1" customWidth="1"/>
    <col min="3" max="3" width="4" style="191" bestFit="1" customWidth="1"/>
    <col min="4" max="4" width="10.7109375" style="191" bestFit="1" customWidth="1"/>
    <col min="5" max="5" width="8.28515625" style="191" bestFit="1" customWidth="1"/>
    <col min="6" max="7" width="5.85546875" style="191" bestFit="1" customWidth="1"/>
    <col min="8" max="8" width="7.7109375" style="191" bestFit="1" customWidth="1"/>
    <col min="9" max="9" width="9.5703125" style="191" bestFit="1" customWidth="1"/>
    <col min="10" max="10" width="24" style="191" bestFit="1" customWidth="1"/>
    <col min="11" max="11" width="8.5703125" style="191" bestFit="1" customWidth="1"/>
    <col min="12" max="12" width="11.5703125" style="191" bestFit="1" customWidth="1"/>
    <col min="13" max="13" width="6" style="191" bestFit="1" customWidth="1"/>
    <col min="14" max="14" width="6" style="192" customWidth="1"/>
  </cols>
  <sheetData>
    <row r="1" spans="1:14" x14ac:dyDescent="0.25">
      <c r="A1" s="144" t="s">
        <v>276</v>
      </c>
      <c r="B1" s="143"/>
      <c r="C1" s="143"/>
      <c r="D1" s="143"/>
      <c r="E1" s="143" t="s">
        <v>269</v>
      </c>
      <c r="F1" s="143" t="s">
        <v>149</v>
      </c>
      <c r="G1" s="143" t="s">
        <v>148</v>
      </c>
      <c r="H1" s="143" t="s">
        <v>270</v>
      </c>
      <c r="I1" s="143" t="s">
        <v>271</v>
      </c>
      <c r="J1" s="143" t="s">
        <v>275</v>
      </c>
      <c r="K1" s="143" t="s">
        <v>283</v>
      </c>
      <c r="L1" s="143" t="s">
        <v>284</v>
      </c>
      <c r="M1" s="143" t="s">
        <v>285</v>
      </c>
      <c r="N1" s="190"/>
    </row>
    <row r="2" spans="1:14" x14ac:dyDescent="0.25">
      <c r="A2" s="148" t="s">
        <v>84</v>
      </c>
    </row>
    <row r="3" spans="1:14" x14ac:dyDescent="0.25">
      <c r="A3" s="148" t="s">
        <v>291</v>
      </c>
      <c r="C3" s="191">
        <v>100</v>
      </c>
      <c r="D3" s="191" t="s">
        <v>16</v>
      </c>
      <c r="E3" s="191" t="b">
        <v>0</v>
      </c>
      <c r="K3" s="191" t="s">
        <v>92</v>
      </c>
      <c r="L3" s="191">
        <v>346</v>
      </c>
      <c r="M3" s="191" t="s">
        <v>200</v>
      </c>
    </row>
    <row r="4" spans="1:14" x14ac:dyDescent="0.25">
      <c r="A4" s="148" t="s">
        <v>291</v>
      </c>
      <c r="B4" s="191">
        <v>1</v>
      </c>
      <c r="C4" s="191">
        <v>383</v>
      </c>
      <c r="E4" s="191" t="b">
        <v>1</v>
      </c>
      <c r="K4" s="191" t="s">
        <v>92</v>
      </c>
      <c r="L4" s="191">
        <v>346</v>
      </c>
      <c r="M4" s="191" t="s">
        <v>200</v>
      </c>
    </row>
    <row r="5" spans="1:14" x14ac:dyDescent="0.25">
      <c r="A5" s="148" t="s">
        <v>291</v>
      </c>
      <c r="B5" s="191">
        <v>2</v>
      </c>
      <c r="C5" s="191">
        <v>386</v>
      </c>
      <c r="E5" s="191" t="b">
        <v>1</v>
      </c>
      <c r="K5" s="191" t="s">
        <v>92</v>
      </c>
      <c r="L5" s="191">
        <v>346</v>
      </c>
      <c r="M5" s="191" t="s">
        <v>200</v>
      </c>
    </row>
    <row r="6" spans="1:14" x14ac:dyDescent="0.25">
      <c r="A6" s="148" t="s">
        <v>291</v>
      </c>
      <c r="B6" s="191">
        <v>3</v>
      </c>
      <c r="C6" s="191">
        <v>385</v>
      </c>
      <c r="E6" s="191" t="b">
        <v>1</v>
      </c>
      <c r="K6" s="191" t="s">
        <v>92</v>
      </c>
      <c r="L6" s="191">
        <v>346</v>
      </c>
      <c r="M6" s="191" t="s">
        <v>200</v>
      </c>
    </row>
    <row r="7" spans="1:14" x14ac:dyDescent="0.25">
      <c r="A7" s="148" t="s">
        <v>291</v>
      </c>
      <c r="C7" s="191">
        <v>200</v>
      </c>
      <c r="D7" s="191" t="s">
        <v>14</v>
      </c>
      <c r="E7" s="191" t="b">
        <v>0</v>
      </c>
      <c r="K7" s="191" t="s">
        <v>92</v>
      </c>
      <c r="L7" s="191">
        <v>346</v>
      </c>
      <c r="M7" s="191" t="s">
        <v>200</v>
      </c>
    </row>
    <row r="8" spans="1:14" x14ac:dyDescent="0.25">
      <c r="A8" s="148" t="s">
        <v>291</v>
      </c>
      <c r="B8" s="191">
        <v>4</v>
      </c>
      <c r="C8" s="191">
        <v>389</v>
      </c>
      <c r="E8" s="191" t="b">
        <v>1</v>
      </c>
      <c r="J8" s="191">
        <v>4.8</v>
      </c>
      <c r="K8" s="191" t="s">
        <v>92</v>
      </c>
      <c r="L8" s="191">
        <v>346</v>
      </c>
      <c r="M8" s="191" t="s">
        <v>200</v>
      </c>
    </row>
    <row r="9" spans="1:14" x14ac:dyDescent="0.25">
      <c r="A9" s="148" t="s">
        <v>291</v>
      </c>
      <c r="B9" s="191">
        <v>5</v>
      </c>
      <c r="C9" s="191">
        <v>382</v>
      </c>
      <c r="E9" s="191" t="b">
        <v>1</v>
      </c>
      <c r="J9" s="191">
        <v>4.8</v>
      </c>
      <c r="K9" s="191" t="s">
        <v>92</v>
      </c>
      <c r="L9" s="191">
        <v>346</v>
      </c>
      <c r="M9" s="191" t="s">
        <v>200</v>
      </c>
    </row>
    <row r="10" spans="1:14" x14ac:dyDescent="0.25">
      <c r="A10" s="148" t="s">
        <v>291</v>
      </c>
      <c r="B10" s="191">
        <v>6</v>
      </c>
      <c r="C10" s="191">
        <v>400</v>
      </c>
      <c r="E10" s="191" t="b">
        <v>1</v>
      </c>
      <c r="F10" s="191">
        <v>38.200000000000003</v>
      </c>
      <c r="G10" s="191">
        <v>37</v>
      </c>
      <c r="K10" s="191" t="s">
        <v>92</v>
      </c>
      <c r="L10" s="191">
        <v>346</v>
      </c>
      <c r="M10" s="191" t="s">
        <v>200</v>
      </c>
    </row>
    <row r="11" spans="1:14" x14ac:dyDescent="0.25">
      <c r="A11" s="148" t="s">
        <v>291</v>
      </c>
      <c r="B11" s="191">
        <v>7</v>
      </c>
      <c r="C11" s="191">
        <v>388</v>
      </c>
      <c r="E11" s="191" t="b">
        <v>1</v>
      </c>
      <c r="K11" s="191" t="s">
        <v>92</v>
      </c>
      <c r="L11" s="191">
        <v>346</v>
      </c>
      <c r="M11" s="191" t="s">
        <v>200</v>
      </c>
    </row>
    <row r="12" spans="1:14" x14ac:dyDescent="0.25">
      <c r="A12" s="148" t="s">
        <v>291</v>
      </c>
      <c r="B12" s="191">
        <v>8</v>
      </c>
      <c r="C12" s="191">
        <v>386</v>
      </c>
      <c r="E12" s="191" t="b">
        <v>1</v>
      </c>
      <c r="K12" s="191" t="s">
        <v>92</v>
      </c>
      <c r="L12" s="191">
        <v>346</v>
      </c>
      <c r="M12" s="191" t="s">
        <v>200</v>
      </c>
    </row>
    <row r="13" spans="1:14" x14ac:dyDescent="0.25">
      <c r="A13" s="148" t="s">
        <v>291</v>
      </c>
      <c r="B13" s="191">
        <v>9</v>
      </c>
      <c r="C13" s="191">
        <v>396</v>
      </c>
      <c r="E13" s="191" t="b">
        <v>1</v>
      </c>
      <c r="K13" s="191" t="s">
        <v>92</v>
      </c>
      <c r="L13" s="191">
        <v>346</v>
      </c>
      <c r="M13" s="191" t="s">
        <v>200</v>
      </c>
    </row>
    <row r="14" spans="1:14" x14ac:dyDescent="0.25">
      <c r="A14" s="148" t="s">
        <v>291</v>
      </c>
      <c r="B14" s="191">
        <v>10</v>
      </c>
      <c r="C14" s="191">
        <v>393</v>
      </c>
      <c r="E14" s="191" t="b">
        <v>1</v>
      </c>
      <c r="J14" s="191" t="s">
        <v>289</v>
      </c>
      <c r="K14" s="191" t="s">
        <v>92</v>
      </c>
      <c r="L14" s="191">
        <v>346</v>
      </c>
      <c r="M14" s="191" t="s">
        <v>200</v>
      </c>
    </row>
    <row r="15" spans="1:14" x14ac:dyDescent="0.25">
      <c r="A15" s="148" t="s">
        <v>291</v>
      </c>
      <c r="B15" s="191">
        <v>11</v>
      </c>
      <c r="C15" s="191">
        <v>399</v>
      </c>
      <c r="E15" s="191" t="b">
        <v>1</v>
      </c>
      <c r="K15" s="191" t="s">
        <v>92</v>
      </c>
      <c r="L15" s="191">
        <v>346</v>
      </c>
      <c r="M15" s="191" t="s">
        <v>200</v>
      </c>
    </row>
    <row r="16" spans="1:14" x14ac:dyDescent="0.25">
      <c r="A16" s="148" t="s">
        <v>291</v>
      </c>
      <c r="B16" s="191">
        <v>12</v>
      </c>
      <c r="C16" s="191">
        <v>407</v>
      </c>
      <c r="E16" s="191" t="b">
        <v>1</v>
      </c>
      <c r="K16" s="191" t="s">
        <v>92</v>
      </c>
      <c r="L16" s="191">
        <v>346</v>
      </c>
      <c r="M16" s="191" t="s">
        <v>200</v>
      </c>
    </row>
    <row r="17" spans="1:13" x14ac:dyDescent="0.25">
      <c r="A17" s="148" t="s">
        <v>294</v>
      </c>
      <c r="B17" s="191">
        <v>1</v>
      </c>
      <c r="C17" s="191">
        <v>398</v>
      </c>
      <c r="E17" s="191" t="b">
        <v>1</v>
      </c>
      <c r="K17" s="191" t="s">
        <v>92</v>
      </c>
      <c r="L17" s="191">
        <v>332</v>
      </c>
      <c r="M17" s="191" t="s">
        <v>93</v>
      </c>
    </row>
    <row r="18" spans="1:13" x14ac:dyDescent="0.25">
      <c r="A18" s="148" t="s">
        <v>294</v>
      </c>
      <c r="B18" s="191">
        <v>2</v>
      </c>
      <c r="C18" s="191">
        <v>390</v>
      </c>
      <c r="E18" s="191" t="b">
        <v>1</v>
      </c>
      <c r="K18" s="191" t="s">
        <v>92</v>
      </c>
      <c r="L18" s="191">
        <v>332</v>
      </c>
      <c r="M18" s="191" t="s">
        <v>93</v>
      </c>
    </row>
    <row r="19" spans="1:13" x14ac:dyDescent="0.25">
      <c r="A19" s="148" t="s">
        <v>294</v>
      </c>
      <c r="B19" s="191">
        <v>3</v>
      </c>
      <c r="C19" s="191">
        <v>386</v>
      </c>
      <c r="E19" s="191" t="b">
        <v>1</v>
      </c>
      <c r="K19" s="191" t="s">
        <v>92</v>
      </c>
      <c r="L19" s="191">
        <v>332</v>
      </c>
      <c r="M19" s="191" t="s">
        <v>93</v>
      </c>
    </row>
    <row r="20" spans="1:13" x14ac:dyDescent="0.25">
      <c r="A20" s="148" t="s">
        <v>294</v>
      </c>
      <c r="B20" s="191">
        <v>4</v>
      </c>
      <c r="C20" s="191">
        <v>396</v>
      </c>
      <c r="E20" s="191" t="b">
        <v>1</v>
      </c>
      <c r="H20" s="191">
        <v>295</v>
      </c>
      <c r="I20" s="191" t="s">
        <v>82</v>
      </c>
      <c r="K20" s="191" t="s">
        <v>92</v>
      </c>
      <c r="L20" s="191">
        <v>332</v>
      </c>
      <c r="M20" s="191" t="s">
        <v>93</v>
      </c>
    </row>
    <row r="21" spans="1:13" x14ac:dyDescent="0.25">
      <c r="A21" s="148" t="s">
        <v>294</v>
      </c>
      <c r="B21" s="191">
        <v>5</v>
      </c>
      <c r="C21" s="191">
        <v>389</v>
      </c>
      <c r="E21" s="191" t="b">
        <v>1</v>
      </c>
      <c r="F21" s="191">
        <v>38.5</v>
      </c>
      <c r="G21" s="191">
        <v>36.4</v>
      </c>
      <c r="K21" s="191" t="s">
        <v>92</v>
      </c>
      <c r="L21" s="191">
        <v>332</v>
      </c>
      <c r="M21" s="191" t="s">
        <v>93</v>
      </c>
    </row>
    <row r="22" spans="1:13" x14ac:dyDescent="0.25">
      <c r="A22" s="148" t="s">
        <v>294</v>
      </c>
      <c r="B22" s="191">
        <v>6</v>
      </c>
      <c r="C22" s="191">
        <v>385</v>
      </c>
      <c r="E22" s="191" t="b">
        <v>1</v>
      </c>
      <c r="K22" s="191" t="s">
        <v>92</v>
      </c>
      <c r="L22" s="191">
        <v>332</v>
      </c>
      <c r="M22" s="191" t="s">
        <v>93</v>
      </c>
    </row>
    <row r="23" spans="1:13" x14ac:dyDescent="0.25">
      <c r="A23" s="148" t="s">
        <v>294</v>
      </c>
      <c r="B23" s="191">
        <v>7</v>
      </c>
      <c r="C23" s="191">
        <v>380</v>
      </c>
      <c r="E23" s="191" t="b">
        <v>1</v>
      </c>
      <c r="K23" s="191" t="s">
        <v>92</v>
      </c>
      <c r="L23" s="191">
        <v>332</v>
      </c>
      <c r="M23" s="191" t="s">
        <v>93</v>
      </c>
    </row>
    <row r="24" spans="1:13" x14ac:dyDescent="0.25">
      <c r="A24" s="148" t="s">
        <v>294</v>
      </c>
      <c r="B24" s="191">
        <v>8</v>
      </c>
      <c r="C24" s="191">
        <v>391</v>
      </c>
      <c r="E24" s="191" t="b">
        <v>1</v>
      </c>
      <c r="K24" s="191" t="s">
        <v>92</v>
      </c>
      <c r="L24" s="191">
        <v>332</v>
      </c>
      <c r="M24" s="191" t="s">
        <v>93</v>
      </c>
    </row>
    <row r="25" spans="1:13" x14ac:dyDescent="0.25">
      <c r="A25" s="148" t="s">
        <v>294</v>
      </c>
      <c r="B25" s="191">
        <v>9</v>
      </c>
      <c r="C25" s="191">
        <v>393</v>
      </c>
      <c r="E25" s="191" t="b">
        <v>1</v>
      </c>
      <c r="K25" s="191" t="s">
        <v>92</v>
      </c>
      <c r="L25" s="191">
        <v>332</v>
      </c>
      <c r="M25" s="191" t="s">
        <v>93</v>
      </c>
    </row>
    <row r="26" spans="1:13" x14ac:dyDescent="0.25">
      <c r="A26" s="148" t="s">
        <v>294</v>
      </c>
      <c r="C26" s="191">
        <v>288</v>
      </c>
      <c r="D26" s="191" t="s">
        <v>293</v>
      </c>
      <c r="E26" s="191" t="b">
        <v>0</v>
      </c>
      <c r="K26" s="191" t="s">
        <v>92</v>
      </c>
      <c r="L26" s="191">
        <v>332</v>
      </c>
      <c r="M26" s="191" t="s">
        <v>93</v>
      </c>
    </row>
    <row r="27" spans="1:13" x14ac:dyDescent="0.25">
      <c r="A27" s="148" t="s">
        <v>294</v>
      </c>
      <c r="B27" s="191">
        <v>10</v>
      </c>
      <c r="C27" s="191">
        <v>385</v>
      </c>
      <c r="E27" s="191" t="b">
        <v>1</v>
      </c>
      <c r="K27" s="191" t="s">
        <v>92</v>
      </c>
      <c r="L27" s="191">
        <v>332</v>
      </c>
      <c r="M27" s="191" t="s">
        <v>93</v>
      </c>
    </row>
    <row r="28" spans="1:13" x14ac:dyDescent="0.25">
      <c r="A28" s="148" t="s">
        <v>294</v>
      </c>
      <c r="B28" s="191">
        <v>11</v>
      </c>
      <c r="C28" s="191">
        <v>374</v>
      </c>
      <c r="E28" s="191" t="b">
        <v>1</v>
      </c>
      <c r="K28" s="191" t="s">
        <v>92</v>
      </c>
      <c r="L28" s="191">
        <v>332</v>
      </c>
      <c r="M28" s="191" t="s">
        <v>93</v>
      </c>
    </row>
    <row r="29" spans="1:13" x14ac:dyDescent="0.25">
      <c r="A29" s="148" t="s">
        <v>294</v>
      </c>
      <c r="B29" s="191">
        <v>12</v>
      </c>
      <c r="C29" s="191">
        <v>397</v>
      </c>
      <c r="E29" s="191" t="b">
        <v>1</v>
      </c>
      <c r="K29" s="191" t="s">
        <v>92</v>
      </c>
      <c r="L29" s="191">
        <v>332</v>
      </c>
      <c r="M29" s="191" t="s">
        <v>93</v>
      </c>
    </row>
    <row r="30" spans="1:13" x14ac:dyDescent="0.25">
      <c r="A30" s="148" t="s">
        <v>294</v>
      </c>
      <c r="B30" s="191">
        <v>13</v>
      </c>
      <c r="C30" s="191">
        <v>380</v>
      </c>
      <c r="E30" s="191" t="b">
        <v>1</v>
      </c>
      <c r="K30" s="191" t="s">
        <v>92</v>
      </c>
      <c r="L30" s="191">
        <v>332</v>
      </c>
      <c r="M30" s="191" t="s">
        <v>93</v>
      </c>
    </row>
    <row r="31" spans="1:13" x14ac:dyDescent="0.25">
      <c r="A31" s="148" t="s">
        <v>294</v>
      </c>
      <c r="B31" s="191">
        <v>14</v>
      </c>
      <c r="C31" s="191">
        <v>393</v>
      </c>
      <c r="E31" s="191" t="b">
        <v>1</v>
      </c>
      <c r="K31" s="191" t="s">
        <v>92</v>
      </c>
      <c r="L31" s="191">
        <v>332</v>
      </c>
      <c r="M31" s="191" t="s">
        <v>93</v>
      </c>
    </row>
    <row r="32" spans="1:13" x14ac:dyDescent="0.25">
      <c r="A32" s="148" t="s">
        <v>294</v>
      </c>
      <c r="B32" s="191">
        <v>15</v>
      </c>
      <c r="C32" s="191">
        <v>403</v>
      </c>
      <c r="E32" s="191" t="b">
        <v>1</v>
      </c>
      <c r="F32" s="191">
        <v>36.9</v>
      </c>
      <c r="G32" s="191">
        <v>34.6</v>
      </c>
      <c r="K32" s="191" t="s">
        <v>92</v>
      </c>
      <c r="L32" s="191">
        <v>332</v>
      </c>
      <c r="M32" s="191" t="s">
        <v>93</v>
      </c>
    </row>
    <row r="33" spans="1:13" x14ac:dyDescent="0.25">
      <c r="A33" s="148" t="s">
        <v>294</v>
      </c>
      <c r="B33" s="191">
        <v>16</v>
      </c>
      <c r="C33" s="191">
        <v>393</v>
      </c>
      <c r="E33" s="191" t="b">
        <v>1</v>
      </c>
      <c r="K33" s="191" t="s">
        <v>92</v>
      </c>
      <c r="L33" s="191">
        <v>332</v>
      </c>
      <c r="M33" s="191" t="s">
        <v>93</v>
      </c>
    </row>
    <row r="34" spans="1:13" x14ac:dyDescent="0.25">
      <c r="A34" s="148" t="s">
        <v>294</v>
      </c>
      <c r="B34" s="191">
        <v>17</v>
      </c>
      <c r="C34" s="191">
        <v>391</v>
      </c>
      <c r="E34" s="191" t="b">
        <v>1</v>
      </c>
      <c r="K34" s="191" t="s">
        <v>92</v>
      </c>
      <c r="L34" s="191">
        <v>332</v>
      </c>
      <c r="M34" s="191" t="s">
        <v>93</v>
      </c>
    </row>
    <row r="35" spans="1:13" x14ac:dyDescent="0.25">
      <c r="A35" s="148" t="s">
        <v>294</v>
      </c>
      <c r="B35" s="191">
        <v>18</v>
      </c>
      <c r="C35" s="191">
        <v>370</v>
      </c>
      <c r="E35" s="191" t="b">
        <v>1</v>
      </c>
      <c r="K35" s="191" t="s">
        <v>92</v>
      </c>
      <c r="L35" s="191">
        <v>332</v>
      </c>
      <c r="M35" s="191" t="s">
        <v>93</v>
      </c>
    </row>
    <row r="36" spans="1:13" x14ac:dyDescent="0.25">
      <c r="A36" s="148" t="s">
        <v>300</v>
      </c>
      <c r="C36" s="191">
        <v>160</v>
      </c>
      <c r="D36" s="191" t="s">
        <v>16</v>
      </c>
      <c r="E36" s="191" t="b">
        <v>0</v>
      </c>
      <c r="K36" s="191" t="s">
        <v>92</v>
      </c>
      <c r="L36" s="191">
        <v>332</v>
      </c>
      <c r="M36" s="191" t="s">
        <v>94</v>
      </c>
    </row>
    <row r="37" spans="1:13" x14ac:dyDescent="0.25">
      <c r="A37" s="148" t="s">
        <v>300</v>
      </c>
      <c r="B37" s="191">
        <v>1</v>
      </c>
      <c r="C37" s="191">
        <v>380</v>
      </c>
      <c r="E37" s="191" t="b">
        <v>1</v>
      </c>
      <c r="H37" s="191">
        <v>298</v>
      </c>
      <c r="I37" s="191" t="s">
        <v>299</v>
      </c>
      <c r="K37" s="191" t="s">
        <v>92</v>
      </c>
      <c r="L37" s="191">
        <v>332</v>
      </c>
      <c r="M37" s="191" t="s">
        <v>94</v>
      </c>
    </row>
    <row r="38" spans="1:13" x14ac:dyDescent="0.25">
      <c r="A38" s="148" t="s">
        <v>300</v>
      </c>
      <c r="B38" s="191">
        <v>2</v>
      </c>
      <c r="C38" s="191">
        <v>378</v>
      </c>
      <c r="E38" s="191" t="b">
        <v>1</v>
      </c>
      <c r="F38" s="191">
        <v>26.4</v>
      </c>
      <c r="G38" s="191">
        <v>28.1</v>
      </c>
      <c r="K38" s="191" t="s">
        <v>92</v>
      </c>
      <c r="L38" s="191">
        <v>332</v>
      </c>
      <c r="M38" s="191" t="s">
        <v>94</v>
      </c>
    </row>
    <row r="39" spans="1:13" x14ac:dyDescent="0.25">
      <c r="A39" s="148" t="s">
        <v>300</v>
      </c>
      <c r="B39" s="191">
        <v>3</v>
      </c>
      <c r="C39" s="191">
        <v>379</v>
      </c>
      <c r="E39" s="191" t="b">
        <v>1</v>
      </c>
      <c r="K39" s="191" t="s">
        <v>92</v>
      </c>
      <c r="L39" s="191">
        <v>332</v>
      </c>
      <c r="M39" s="191" t="s">
        <v>94</v>
      </c>
    </row>
    <row r="40" spans="1:13" x14ac:dyDescent="0.25">
      <c r="A40" s="148" t="s">
        <v>300</v>
      </c>
      <c r="B40" s="191">
        <v>4</v>
      </c>
      <c r="C40" s="191">
        <v>374</v>
      </c>
      <c r="E40" s="191" t="b">
        <v>1</v>
      </c>
      <c r="K40" s="191" t="s">
        <v>92</v>
      </c>
      <c r="L40" s="191">
        <v>332</v>
      </c>
      <c r="M40" s="191" t="s">
        <v>94</v>
      </c>
    </row>
    <row r="41" spans="1:13" x14ac:dyDescent="0.25">
      <c r="A41" s="148" t="s">
        <v>300</v>
      </c>
      <c r="B41" s="191">
        <v>5</v>
      </c>
      <c r="C41" s="191">
        <v>381</v>
      </c>
      <c r="E41" s="191" t="b">
        <v>1</v>
      </c>
      <c r="K41" s="191" t="s">
        <v>92</v>
      </c>
      <c r="L41" s="191">
        <v>332</v>
      </c>
      <c r="M41" s="191" t="s">
        <v>94</v>
      </c>
    </row>
    <row r="42" spans="1:13" x14ac:dyDescent="0.25">
      <c r="A42" s="148" t="s">
        <v>300</v>
      </c>
      <c r="B42" s="191">
        <v>6</v>
      </c>
      <c r="C42" s="191">
        <v>381</v>
      </c>
      <c r="E42" s="191" t="b">
        <v>1</v>
      </c>
      <c r="K42" s="191" t="s">
        <v>92</v>
      </c>
      <c r="L42" s="191">
        <v>332</v>
      </c>
      <c r="M42" s="191" t="s">
        <v>94</v>
      </c>
    </row>
    <row r="43" spans="1:13" x14ac:dyDescent="0.25">
      <c r="A43" s="148" t="s">
        <v>300</v>
      </c>
      <c r="B43" s="191">
        <v>7</v>
      </c>
      <c r="C43" s="191">
        <v>379</v>
      </c>
      <c r="E43" s="191" t="b">
        <v>1</v>
      </c>
      <c r="F43" s="191">
        <v>25.9</v>
      </c>
      <c r="G43" s="191">
        <v>27.6</v>
      </c>
      <c r="K43" s="191" t="s">
        <v>92</v>
      </c>
      <c r="L43" s="191">
        <v>332</v>
      </c>
      <c r="M43" s="191" t="s">
        <v>94</v>
      </c>
    </row>
    <row r="44" spans="1:13" x14ac:dyDescent="0.25">
      <c r="A44" s="148" t="s">
        <v>300</v>
      </c>
      <c r="B44" s="191">
        <v>8</v>
      </c>
      <c r="C44" s="191">
        <v>382</v>
      </c>
      <c r="E44" s="191" t="b">
        <v>1</v>
      </c>
      <c r="K44" s="191" t="s">
        <v>92</v>
      </c>
      <c r="L44" s="191">
        <v>332</v>
      </c>
      <c r="M44" s="191" t="s">
        <v>94</v>
      </c>
    </row>
    <row r="45" spans="1:13" x14ac:dyDescent="0.25">
      <c r="A45" s="148" t="s">
        <v>300</v>
      </c>
      <c r="B45" s="191">
        <v>9</v>
      </c>
      <c r="C45" s="191">
        <v>383</v>
      </c>
      <c r="E45" s="191" t="b">
        <v>1</v>
      </c>
      <c r="K45" s="191" t="s">
        <v>92</v>
      </c>
      <c r="L45" s="191">
        <v>332</v>
      </c>
      <c r="M45" s="191" t="s">
        <v>94</v>
      </c>
    </row>
    <row r="46" spans="1:13" x14ac:dyDescent="0.25">
      <c r="A46" s="148" t="s">
        <v>300</v>
      </c>
      <c r="B46" s="191">
        <v>10</v>
      </c>
      <c r="C46" s="191">
        <v>378</v>
      </c>
      <c r="E46" s="191" t="b">
        <v>1</v>
      </c>
      <c r="K46" s="191" t="s">
        <v>92</v>
      </c>
      <c r="L46" s="191">
        <v>332</v>
      </c>
      <c r="M46" s="191" t="s">
        <v>94</v>
      </c>
    </row>
    <row r="47" spans="1:13" x14ac:dyDescent="0.25">
      <c r="A47" s="148" t="s">
        <v>300</v>
      </c>
      <c r="B47" s="191">
        <v>11</v>
      </c>
      <c r="C47" s="191">
        <v>381</v>
      </c>
      <c r="E47" s="191" t="b">
        <v>1</v>
      </c>
      <c r="K47" s="191" t="s">
        <v>92</v>
      </c>
      <c r="L47" s="191">
        <v>332</v>
      </c>
      <c r="M47" s="191" t="s">
        <v>94</v>
      </c>
    </row>
    <row r="48" spans="1:13" x14ac:dyDescent="0.25">
      <c r="A48" s="148" t="s">
        <v>300</v>
      </c>
      <c r="B48" s="191">
        <v>12</v>
      </c>
      <c r="C48" s="191">
        <v>382</v>
      </c>
      <c r="E48" s="191" t="b">
        <v>1</v>
      </c>
      <c r="F48" s="191">
        <v>26.6</v>
      </c>
      <c r="G48" s="191">
        <v>27.9</v>
      </c>
      <c r="K48" s="191" t="s">
        <v>92</v>
      </c>
      <c r="L48" s="191">
        <v>332</v>
      </c>
      <c r="M48" s="191" t="s">
        <v>94</v>
      </c>
    </row>
    <row r="49" spans="1:13" x14ac:dyDescent="0.25">
      <c r="A49" s="148" t="s">
        <v>300</v>
      </c>
      <c r="B49" s="191">
        <v>13</v>
      </c>
      <c r="C49" s="191">
        <v>379</v>
      </c>
      <c r="E49" s="191" t="b">
        <v>1</v>
      </c>
      <c r="K49" s="191" t="s">
        <v>92</v>
      </c>
      <c r="L49" s="191">
        <v>332</v>
      </c>
      <c r="M49" s="191" t="s">
        <v>94</v>
      </c>
    </row>
    <row r="50" spans="1:13" x14ac:dyDescent="0.25">
      <c r="A50" s="148" t="s">
        <v>300</v>
      </c>
      <c r="B50" s="191">
        <v>14</v>
      </c>
      <c r="C50" s="191">
        <v>378</v>
      </c>
      <c r="E50" s="191" t="b">
        <v>1</v>
      </c>
      <c r="K50" s="191" t="s">
        <v>92</v>
      </c>
      <c r="L50" s="191">
        <v>332</v>
      </c>
      <c r="M50" s="191" t="s">
        <v>94</v>
      </c>
    </row>
    <row r="51" spans="1:13" x14ac:dyDescent="0.25">
      <c r="A51" s="148" t="s">
        <v>300</v>
      </c>
      <c r="B51" s="191">
        <v>15</v>
      </c>
      <c r="C51" s="191">
        <v>380</v>
      </c>
      <c r="E51" s="191" t="b">
        <v>1</v>
      </c>
      <c r="K51" s="191" t="s">
        <v>92</v>
      </c>
      <c r="L51" s="191">
        <v>332</v>
      </c>
      <c r="M51" s="191" t="s">
        <v>94</v>
      </c>
    </row>
    <row r="52" spans="1:13" x14ac:dyDescent="0.25">
      <c r="A52" s="148" t="s">
        <v>300</v>
      </c>
      <c r="B52" s="191">
        <v>16</v>
      </c>
      <c r="C52" s="191">
        <v>378</v>
      </c>
      <c r="E52" s="191" t="b">
        <v>1</v>
      </c>
      <c r="K52" s="191" t="s">
        <v>92</v>
      </c>
      <c r="L52" s="191">
        <v>332</v>
      </c>
      <c r="M52" s="191" t="s">
        <v>94</v>
      </c>
    </row>
    <row r="53" spans="1:13" x14ac:dyDescent="0.25">
      <c r="A53" s="148" t="s">
        <v>300</v>
      </c>
      <c r="B53" s="191">
        <v>17</v>
      </c>
      <c r="C53" s="191">
        <v>380</v>
      </c>
      <c r="E53" s="191" t="b">
        <v>1</v>
      </c>
      <c r="K53" s="191" t="s">
        <v>92</v>
      </c>
      <c r="L53" s="191">
        <v>332</v>
      </c>
      <c r="M53" s="191" t="s">
        <v>94</v>
      </c>
    </row>
    <row r="54" spans="1:13" x14ac:dyDescent="0.25">
      <c r="A54" s="148" t="s">
        <v>305</v>
      </c>
      <c r="B54" s="191">
        <v>1</v>
      </c>
      <c r="C54" s="191">
        <v>382</v>
      </c>
      <c r="E54" s="191" t="b">
        <v>1</v>
      </c>
      <c r="K54" s="191" t="s">
        <v>92</v>
      </c>
      <c r="L54" s="191">
        <v>333</v>
      </c>
      <c r="M54" s="191" t="s">
        <v>94</v>
      </c>
    </row>
    <row r="55" spans="1:13" x14ac:dyDescent="0.25">
      <c r="A55" s="148" t="s">
        <v>305</v>
      </c>
      <c r="B55" s="191">
        <v>2</v>
      </c>
      <c r="C55" s="191">
        <v>377</v>
      </c>
      <c r="E55" s="191" t="b">
        <v>1</v>
      </c>
      <c r="K55" s="191" t="s">
        <v>92</v>
      </c>
      <c r="L55" s="191">
        <v>333</v>
      </c>
      <c r="M55" s="191" t="s">
        <v>94</v>
      </c>
    </row>
    <row r="56" spans="1:13" x14ac:dyDescent="0.25">
      <c r="A56" s="148" t="s">
        <v>305</v>
      </c>
      <c r="B56" s="191">
        <v>3</v>
      </c>
      <c r="C56" s="191">
        <v>382</v>
      </c>
      <c r="E56" s="191" t="b">
        <v>1</v>
      </c>
      <c r="H56" s="191">
        <v>287</v>
      </c>
      <c r="I56" s="191" t="s">
        <v>299</v>
      </c>
      <c r="K56" s="191" t="s">
        <v>92</v>
      </c>
      <c r="L56" s="191">
        <v>333</v>
      </c>
      <c r="M56" s="191" t="s">
        <v>94</v>
      </c>
    </row>
    <row r="57" spans="1:13" x14ac:dyDescent="0.25">
      <c r="A57" s="148" t="s">
        <v>305</v>
      </c>
      <c r="B57" s="191">
        <v>4</v>
      </c>
      <c r="C57" s="191">
        <v>375</v>
      </c>
      <c r="E57" s="191" t="b">
        <v>1</v>
      </c>
      <c r="H57" s="191">
        <v>291</v>
      </c>
      <c r="I57" s="191" t="s">
        <v>299</v>
      </c>
      <c r="K57" s="191" t="s">
        <v>92</v>
      </c>
      <c r="L57" s="191">
        <v>333</v>
      </c>
      <c r="M57" s="191" t="s">
        <v>94</v>
      </c>
    </row>
    <row r="58" spans="1:13" x14ac:dyDescent="0.25">
      <c r="A58" s="148" t="s">
        <v>305</v>
      </c>
      <c r="B58" s="191">
        <v>5</v>
      </c>
      <c r="C58" s="191">
        <v>380</v>
      </c>
      <c r="E58" s="191" t="b">
        <v>1</v>
      </c>
      <c r="F58" s="191">
        <v>30.2</v>
      </c>
      <c r="G58" s="191">
        <v>31.9</v>
      </c>
      <c r="K58" s="191" t="s">
        <v>92</v>
      </c>
      <c r="L58" s="191">
        <v>333</v>
      </c>
      <c r="M58" s="191" t="s">
        <v>94</v>
      </c>
    </row>
    <row r="59" spans="1:13" x14ac:dyDescent="0.25">
      <c r="A59" s="148" t="s">
        <v>305</v>
      </c>
      <c r="B59" s="191">
        <v>6</v>
      </c>
      <c r="C59" s="191">
        <v>377</v>
      </c>
      <c r="E59" s="191" t="b">
        <v>1</v>
      </c>
      <c r="K59" s="191" t="s">
        <v>92</v>
      </c>
      <c r="L59" s="191">
        <v>333</v>
      </c>
      <c r="M59" s="191" t="s">
        <v>94</v>
      </c>
    </row>
    <row r="60" spans="1:13" x14ac:dyDescent="0.25">
      <c r="A60" s="148" t="s">
        <v>305</v>
      </c>
      <c r="B60" s="191">
        <v>7</v>
      </c>
      <c r="C60" s="191">
        <v>380</v>
      </c>
      <c r="E60" s="191" t="b">
        <v>1</v>
      </c>
      <c r="K60" s="191" t="s">
        <v>92</v>
      </c>
      <c r="L60" s="191">
        <v>333</v>
      </c>
      <c r="M60" s="191" t="s">
        <v>94</v>
      </c>
    </row>
    <row r="61" spans="1:13" x14ac:dyDescent="0.25">
      <c r="A61" s="148" t="s">
        <v>305</v>
      </c>
      <c r="B61" s="191">
        <v>8</v>
      </c>
      <c r="C61" s="191">
        <v>377</v>
      </c>
      <c r="E61" s="191" t="b">
        <v>1</v>
      </c>
      <c r="K61" s="191" t="s">
        <v>92</v>
      </c>
      <c r="L61" s="191">
        <v>333</v>
      </c>
      <c r="M61" s="191" t="s">
        <v>94</v>
      </c>
    </row>
    <row r="62" spans="1:13" x14ac:dyDescent="0.25">
      <c r="A62" s="148" t="s">
        <v>305</v>
      </c>
      <c r="B62" s="191">
        <v>9</v>
      </c>
      <c r="C62" s="191">
        <v>381</v>
      </c>
      <c r="E62" s="191" t="b">
        <v>1</v>
      </c>
      <c r="K62" s="191" t="s">
        <v>92</v>
      </c>
      <c r="L62" s="191">
        <v>333</v>
      </c>
      <c r="M62" s="191" t="s">
        <v>94</v>
      </c>
    </row>
    <row r="63" spans="1:13" x14ac:dyDescent="0.25">
      <c r="A63" s="148" t="s">
        <v>305</v>
      </c>
      <c r="B63" s="191">
        <v>10</v>
      </c>
      <c r="C63" s="191">
        <v>379</v>
      </c>
      <c r="E63" s="191" t="b">
        <v>1</v>
      </c>
      <c r="F63" s="191">
        <v>30.5</v>
      </c>
      <c r="G63" s="191">
        <v>32.4</v>
      </c>
      <c r="K63" s="191" t="s">
        <v>92</v>
      </c>
      <c r="L63" s="191">
        <v>333</v>
      </c>
      <c r="M63" s="191" t="s">
        <v>94</v>
      </c>
    </row>
    <row r="64" spans="1:13" x14ac:dyDescent="0.25">
      <c r="A64" s="148" t="s">
        <v>305</v>
      </c>
      <c r="B64" s="191">
        <v>11</v>
      </c>
      <c r="C64" s="191">
        <v>380</v>
      </c>
      <c r="E64" s="191" t="b">
        <v>1</v>
      </c>
      <c r="K64" s="191" t="s">
        <v>92</v>
      </c>
      <c r="L64" s="191">
        <v>333</v>
      </c>
      <c r="M64" s="191" t="s">
        <v>94</v>
      </c>
    </row>
    <row r="65" spans="1:13" x14ac:dyDescent="0.25">
      <c r="A65" s="148" t="s">
        <v>305</v>
      </c>
      <c r="B65" s="191">
        <v>12</v>
      </c>
      <c r="C65" s="191">
        <v>377</v>
      </c>
      <c r="E65" s="191" t="b">
        <v>1</v>
      </c>
      <c r="K65" s="191" t="s">
        <v>92</v>
      </c>
      <c r="L65" s="191">
        <v>333</v>
      </c>
      <c r="M65" s="191" t="s">
        <v>94</v>
      </c>
    </row>
    <row r="66" spans="1:13" x14ac:dyDescent="0.25">
      <c r="A66" s="148" t="s">
        <v>305</v>
      </c>
      <c r="B66" s="191">
        <v>13</v>
      </c>
      <c r="C66" s="191">
        <v>380</v>
      </c>
      <c r="E66" s="191" t="b">
        <v>1</v>
      </c>
      <c r="K66" s="191" t="s">
        <v>92</v>
      </c>
      <c r="L66" s="191">
        <v>333</v>
      </c>
      <c r="M66" s="191" t="s">
        <v>94</v>
      </c>
    </row>
    <row r="67" spans="1:13" x14ac:dyDescent="0.25">
      <c r="A67" s="148" t="s">
        <v>305</v>
      </c>
      <c r="B67" s="191">
        <v>14</v>
      </c>
      <c r="C67" s="191">
        <v>377</v>
      </c>
      <c r="E67" s="191" t="b">
        <v>1</v>
      </c>
      <c r="K67" s="191" t="s">
        <v>92</v>
      </c>
      <c r="L67" s="191">
        <v>333</v>
      </c>
      <c r="M67" s="191" t="s">
        <v>94</v>
      </c>
    </row>
    <row r="68" spans="1:13" x14ac:dyDescent="0.25">
      <c r="A68" s="148" t="s">
        <v>305</v>
      </c>
      <c r="B68" s="191">
        <v>15</v>
      </c>
      <c r="C68" s="191">
        <v>377</v>
      </c>
      <c r="E68" s="191" t="b">
        <v>1</v>
      </c>
      <c r="F68" s="191">
        <v>31.4</v>
      </c>
      <c r="G68" s="191">
        <v>32</v>
      </c>
      <c r="K68" s="191" t="s">
        <v>92</v>
      </c>
      <c r="L68" s="191">
        <v>333</v>
      </c>
      <c r="M68" s="191" t="s">
        <v>94</v>
      </c>
    </row>
    <row r="69" spans="1:13" x14ac:dyDescent="0.25">
      <c r="A69" s="148" t="s">
        <v>305</v>
      </c>
      <c r="B69" s="191">
        <v>16</v>
      </c>
      <c r="C69" s="191">
        <v>380</v>
      </c>
      <c r="E69" s="191" t="b">
        <v>1</v>
      </c>
      <c r="K69" s="191" t="s">
        <v>92</v>
      </c>
      <c r="L69" s="191">
        <v>333</v>
      </c>
      <c r="M69" s="191" t="s">
        <v>94</v>
      </c>
    </row>
    <row r="70" spans="1:13" x14ac:dyDescent="0.25">
      <c r="A70" s="148" t="s">
        <v>305</v>
      </c>
      <c r="B70" s="191">
        <v>17</v>
      </c>
      <c r="C70" s="191">
        <v>378</v>
      </c>
      <c r="E70" s="191" t="b">
        <v>1</v>
      </c>
      <c r="K70" s="191" t="s">
        <v>92</v>
      </c>
      <c r="L70" s="191">
        <v>333</v>
      </c>
      <c r="M70" s="191" t="s">
        <v>94</v>
      </c>
    </row>
    <row r="71" spans="1:13" x14ac:dyDescent="0.25">
      <c r="A71" s="148" t="s">
        <v>305</v>
      </c>
      <c r="B71" s="191">
        <v>18</v>
      </c>
      <c r="C71" s="191">
        <v>378</v>
      </c>
      <c r="E71" s="191" t="b">
        <v>1</v>
      </c>
      <c r="K71" s="191" t="s">
        <v>92</v>
      </c>
      <c r="L71" s="191">
        <v>333</v>
      </c>
      <c r="M71" s="191" t="s">
        <v>94</v>
      </c>
    </row>
    <row r="72" spans="1:13" x14ac:dyDescent="0.25">
      <c r="A72" s="148" t="s">
        <v>305</v>
      </c>
      <c r="B72" s="191">
        <v>19</v>
      </c>
      <c r="C72" s="191">
        <v>379</v>
      </c>
      <c r="E72" s="191" t="b">
        <v>1</v>
      </c>
      <c r="K72" s="191" t="s">
        <v>92</v>
      </c>
      <c r="L72" s="191">
        <v>333</v>
      </c>
      <c r="M72" s="191" t="s">
        <v>94</v>
      </c>
    </row>
    <row r="73" spans="1:13" x14ac:dyDescent="0.25">
      <c r="A73" s="148" t="s">
        <v>305</v>
      </c>
      <c r="B73" s="191">
        <v>20</v>
      </c>
      <c r="C73" s="191">
        <v>378</v>
      </c>
      <c r="E73" s="191" t="b">
        <v>1</v>
      </c>
      <c r="F73" s="191">
        <v>31.2</v>
      </c>
      <c r="G73" s="191">
        <v>32.799999999999997</v>
      </c>
      <c r="K73" s="191" t="s">
        <v>92</v>
      </c>
      <c r="L73" s="191">
        <v>333</v>
      </c>
      <c r="M73" s="191" t="s">
        <v>94</v>
      </c>
    </row>
    <row r="74" spans="1:13" x14ac:dyDescent="0.25">
      <c r="A74" s="148" t="s">
        <v>305</v>
      </c>
      <c r="B74" s="191">
        <v>21</v>
      </c>
      <c r="C74" s="191">
        <v>379</v>
      </c>
      <c r="E74" s="191" t="b">
        <v>1</v>
      </c>
      <c r="K74" s="191" t="s">
        <v>92</v>
      </c>
      <c r="L74" s="191">
        <v>333</v>
      </c>
      <c r="M74" s="191" t="s">
        <v>94</v>
      </c>
    </row>
    <row r="75" spans="1:13" x14ac:dyDescent="0.25">
      <c r="A75" s="148" t="s">
        <v>305</v>
      </c>
      <c r="B75" s="191">
        <v>22</v>
      </c>
      <c r="C75" s="191">
        <v>378</v>
      </c>
      <c r="E75" s="191" t="b">
        <v>1</v>
      </c>
      <c r="K75" s="191" t="s">
        <v>92</v>
      </c>
      <c r="L75" s="191">
        <v>333</v>
      </c>
      <c r="M75" s="191" t="s">
        <v>94</v>
      </c>
    </row>
    <row r="76" spans="1:13" x14ac:dyDescent="0.25">
      <c r="A76" s="148" t="s">
        <v>305</v>
      </c>
      <c r="B76" s="191">
        <v>23</v>
      </c>
      <c r="C76" s="191">
        <v>382</v>
      </c>
      <c r="E76" s="191" t="b">
        <v>1</v>
      </c>
      <c r="K76" s="191" t="s">
        <v>92</v>
      </c>
      <c r="L76" s="191">
        <v>333</v>
      </c>
      <c r="M76" s="191" t="s">
        <v>94</v>
      </c>
    </row>
    <row r="77" spans="1:13" x14ac:dyDescent="0.25">
      <c r="A77" s="148" t="s">
        <v>305</v>
      </c>
      <c r="B77" s="191">
        <v>24</v>
      </c>
      <c r="C77" s="191">
        <v>379</v>
      </c>
      <c r="E77" s="191" t="b">
        <v>1</v>
      </c>
      <c r="K77" s="191" t="s">
        <v>92</v>
      </c>
      <c r="L77" s="191">
        <v>333</v>
      </c>
      <c r="M77" s="191" t="s">
        <v>94</v>
      </c>
    </row>
    <row r="78" spans="1:13" x14ac:dyDescent="0.25">
      <c r="A78" s="148" t="s">
        <v>305</v>
      </c>
      <c r="B78" s="191">
        <v>25</v>
      </c>
      <c r="C78" s="191">
        <v>379</v>
      </c>
      <c r="E78" s="191" t="b">
        <v>1</v>
      </c>
      <c r="K78" s="191" t="s">
        <v>92</v>
      </c>
      <c r="L78" s="191">
        <v>333</v>
      </c>
      <c r="M78" s="191" t="s">
        <v>94</v>
      </c>
    </row>
    <row r="79" spans="1:13" x14ac:dyDescent="0.25">
      <c r="A79" s="148" t="s">
        <v>305</v>
      </c>
      <c r="B79" s="191">
        <v>26</v>
      </c>
      <c r="C79" s="191">
        <v>378</v>
      </c>
      <c r="E79" s="191" t="b">
        <v>1</v>
      </c>
      <c r="K79" s="191" t="s">
        <v>92</v>
      </c>
      <c r="L79" s="191">
        <v>333</v>
      </c>
      <c r="M79" s="191" t="s">
        <v>94</v>
      </c>
    </row>
    <row r="80" spans="1:13" x14ac:dyDescent="0.25">
      <c r="A80" s="148" t="s">
        <v>305</v>
      </c>
      <c r="B80" s="191">
        <v>27</v>
      </c>
      <c r="C80" s="191">
        <v>379</v>
      </c>
      <c r="E80" s="191" t="b">
        <v>1</v>
      </c>
      <c r="K80" s="191" t="s">
        <v>92</v>
      </c>
      <c r="L80" s="191">
        <v>333</v>
      </c>
      <c r="M80" s="191" t="s">
        <v>94</v>
      </c>
    </row>
    <row r="81" spans="1:13" x14ac:dyDescent="0.25">
      <c r="A81" s="148" t="s">
        <v>305</v>
      </c>
      <c r="B81" s="191">
        <v>28</v>
      </c>
      <c r="C81" s="191">
        <v>378</v>
      </c>
      <c r="E81" s="191" t="b">
        <v>1</v>
      </c>
      <c r="K81" s="191" t="s">
        <v>92</v>
      </c>
      <c r="L81" s="191">
        <v>333</v>
      </c>
      <c r="M81" s="191" t="s">
        <v>94</v>
      </c>
    </row>
    <row r="82" spans="1:13" x14ac:dyDescent="0.25">
      <c r="A82" s="148" t="s">
        <v>305</v>
      </c>
      <c r="B82" s="191">
        <v>29</v>
      </c>
      <c r="C82" s="191">
        <v>378</v>
      </c>
      <c r="E82" s="191" t="b">
        <v>1</v>
      </c>
      <c r="K82" s="191" t="s">
        <v>92</v>
      </c>
      <c r="L82" s="191">
        <v>333</v>
      </c>
      <c r="M82" s="191" t="s">
        <v>94</v>
      </c>
    </row>
    <row r="83" spans="1:13" x14ac:dyDescent="0.25">
      <c r="A83" s="148" t="s">
        <v>312</v>
      </c>
      <c r="B83" s="191">
        <v>1</v>
      </c>
      <c r="C83" s="191">
        <v>383</v>
      </c>
      <c r="E83" s="191" t="b">
        <v>1</v>
      </c>
      <c r="K83" s="191" t="s">
        <v>92</v>
      </c>
      <c r="L83" s="191">
        <v>333</v>
      </c>
      <c r="M83" s="191" t="s">
        <v>93</v>
      </c>
    </row>
    <row r="84" spans="1:13" x14ac:dyDescent="0.25">
      <c r="A84" s="148" t="s">
        <v>312</v>
      </c>
      <c r="B84" s="191">
        <v>2</v>
      </c>
      <c r="C84" s="191">
        <v>376</v>
      </c>
      <c r="E84" s="191" t="b">
        <v>1</v>
      </c>
      <c r="K84" s="191" t="s">
        <v>92</v>
      </c>
      <c r="L84" s="191">
        <v>333</v>
      </c>
      <c r="M84" s="191" t="s">
        <v>93</v>
      </c>
    </row>
    <row r="85" spans="1:13" x14ac:dyDescent="0.25">
      <c r="A85" s="148" t="s">
        <v>312</v>
      </c>
      <c r="B85" s="191">
        <v>3</v>
      </c>
      <c r="C85" s="191">
        <v>375</v>
      </c>
      <c r="E85" s="191" t="b">
        <v>1</v>
      </c>
      <c r="K85" s="191" t="s">
        <v>92</v>
      </c>
      <c r="L85" s="191">
        <v>333</v>
      </c>
      <c r="M85" s="191" t="s">
        <v>93</v>
      </c>
    </row>
    <row r="86" spans="1:13" x14ac:dyDescent="0.25">
      <c r="A86" s="148" t="s">
        <v>312</v>
      </c>
      <c r="B86" s="191">
        <v>4</v>
      </c>
      <c r="C86" s="191">
        <v>380</v>
      </c>
      <c r="E86" s="191" t="b">
        <v>1</v>
      </c>
      <c r="F86" s="191">
        <v>38.6</v>
      </c>
      <c r="G86" s="191">
        <v>36.200000000000003</v>
      </c>
      <c r="K86" s="191" t="s">
        <v>92</v>
      </c>
      <c r="L86" s="191">
        <v>333</v>
      </c>
      <c r="M86" s="191" t="s">
        <v>93</v>
      </c>
    </row>
    <row r="87" spans="1:13" x14ac:dyDescent="0.25">
      <c r="A87" s="148" t="s">
        <v>312</v>
      </c>
      <c r="B87" s="191">
        <v>5</v>
      </c>
      <c r="C87" s="191">
        <v>376</v>
      </c>
      <c r="E87" s="191" t="b">
        <v>1</v>
      </c>
      <c r="K87" s="191" t="s">
        <v>92</v>
      </c>
      <c r="L87" s="191">
        <v>333</v>
      </c>
      <c r="M87" s="191" t="s">
        <v>93</v>
      </c>
    </row>
    <row r="88" spans="1:13" x14ac:dyDescent="0.25">
      <c r="A88" s="148" t="s">
        <v>312</v>
      </c>
      <c r="B88" s="191">
        <v>6</v>
      </c>
      <c r="C88" s="191">
        <v>378</v>
      </c>
      <c r="E88" s="191" t="b">
        <v>1</v>
      </c>
      <c r="K88" s="191" t="s">
        <v>92</v>
      </c>
      <c r="L88" s="191">
        <v>333</v>
      </c>
      <c r="M88" s="191" t="s">
        <v>93</v>
      </c>
    </row>
    <row r="89" spans="1:13" x14ac:dyDescent="0.25">
      <c r="A89" s="148" t="s">
        <v>312</v>
      </c>
      <c r="B89" s="191">
        <v>7</v>
      </c>
      <c r="C89" s="191">
        <v>385</v>
      </c>
      <c r="E89" s="191" t="b">
        <v>1</v>
      </c>
      <c r="K89" s="191" t="s">
        <v>92</v>
      </c>
      <c r="L89" s="191">
        <v>333</v>
      </c>
      <c r="M89" s="191" t="s">
        <v>93</v>
      </c>
    </row>
    <row r="90" spans="1:13" x14ac:dyDescent="0.25">
      <c r="A90" s="148" t="s">
        <v>312</v>
      </c>
      <c r="B90" s="191">
        <v>8</v>
      </c>
      <c r="C90" s="191">
        <v>386</v>
      </c>
      <c r="E90" s="191" t="b">
        <v>1</v>
      </c>
      <c r="K90" s="191" t="s">
        <v>92</v>
      </c>
      <c r="L90" s="191">
        <v>333</v>
      </c>
      <c r="M90" s="191" t="s">
        <v>93</v>
      </c>
    </row>
    <row r="91" spans="1:13" x14ac:dyDescent="0.25">
      <c r="A91" s="148" t="s">
        <v>312</v>
      </c>
      <c r="B91" s="191">
        <v>9</v>
      </c>
      <c r="C91" s="191">
        <v>379</v>
      </c>
      <c r="E91" s="191" t="b">
        <v>1</v>
      </c>
      <c r="K91" s="191" t="s">
        <v>92</v>
      </c>
      <c r="L91" s="191">
        <v>333</v>
      </c>
      <c r="M91" s="191" t="s">
        <v>93</v>
      </c>
    </row>
    <row r="92" spans="1:13" x14ac:dyDescent="0.25">
      <c r="A92" s="148" t="s">
        <v>312</v>
      </c>
      <c r="B92" s="191">
        <v>10</v>
      </c>
      <c r="C92" s="191">
        <v>372</v>
      </c>
      <c r="E92" s="191" t="b">
        <v>1</v>
      </c>
      <c r="K92" s="191" t="s">
        <v>92</v>
      </c>
      <c r="L92" s="191">
        <v>333</v>
      </c>
      <c r="M92" s="191" t="s">
        <v>93</v>
      </c>
    </row>
    <row r="93" spans="1:13" x14ac:dyDescent="0.25">
      <c r="A93" s="148" t="s">
        <v>312</v>
      </c>
      <c r="B93" s="191">
        <v>11</v>
      </c>
      <c r="C93" s="191">
        <v>383</v>
      </c>
      <c r="E93" s="191" t="b">
        <v>1</v>
      </c>
      <c r="K93" s="191" t="s">
        <v>92</v>
      </c>
      <c r="L93" s="191">
        <v>333</v>
      </c>
      <c r="M93" s="191" t="s">
        <v>93</v>
      </c>
    </row>
    <row r="94" spans="1:13" x14ac:dyDescent="0.25">
      <c r="A94" s="148" t="s">
        <v>312</v>
      </c>
      <c r="B94" s="191">
        <v>12</v>
      </c>
      <c r="C94" s="191">
        <v>378</v>
      </c>
      <c r="E94" s="191" t="b">
        <v>1</v>
      </c>
      <c r="K94" s="191" t="s">
        <v>92</v>
      </c>
      <c r="L94" s="191">
        <v>333</v>
      </c>
      <c r="M94" s="191" t="s">
        <v>93</v>
      </c>
    </row>
    <row r="95" spans="1:13" x14ac:dyDescent="0.25">
      <c r="A95" s="148" t="s">
        <v>312</v>
      </c>
      <c r="B95" s="191">
        <v>13</v>
      </c>
      <c r="C95" s="191">
        <v>382</v>
      </c>
      <c r="E95" s="191" t="b">
        <v>1</v>
      </c>
      <c r="K95" s="191" t="s">
        <v>92</v>
      </c>
      <c r="L95" s="191">
        <v>333</v>
      </c>
      <c r="M95" s="191" t="s">
        <v>93</v>
      </c>
    </row>
    <row r="96" spans="1:13" x14ac:dyDescent="0.25">
      <c r="A96" s="148" t="s">
        <v>312</v>
      </c>
      <c r="B96" s="191">
        <v>14</v>
      </c>
      <c r="C96" s="191">
        <v>382</v>
      </c>
      <c r="E96" s="191" t="b">
        <v>1</v>
      </c>
      <c r="K96" s="191" t="s">
        <v>92</v>
      </c>
      <c r="L96" s="191">
        <v>333</v>
      </c>
      <c r="M96" s="191" t="s">
        <v>93</v>
      </c>
    </row>
    <row r="97" spans="1:13" x14ac:dyDescent="0.25">
      <c r="A97" s="148" t="s">
        <v>312</v>
      </c>
      <c r="B97" s="191">
        <v>15</v>
      </c>
      <c r="C97" s="191">
        <v>383</v>
      </c>
      <c r="E97" s="191" t="b">
        <v>1</v>
      </c>
      <c r="K97" s="191" t="s">
        <v>92</v>
      </c>
      <c r="L97" s="191">
        <v>333</v>
      </c>
      <c r="M97" s="191" t="s">
        <v>93</v>
      </c>
    </row>
    <row r="98" spans="1:13" x14ac:dyDescent="0.25">
      <c r="A98" s="148" t="s">
        <v>312</v>
      </c>
      <c r="B98" s="191">
        <v>16</v>
      </c>
      <c r="C98" s="191">
        <v>380</v>
      </c>
      <c r="E98" s="191" t="b">
        <v>1</v>
      </c>
      <c r="K98" s="191" t="s">
        <v>92</v>
      </c>
      <c r="L98" s="191">
        <v>333</v>
      </c>
      <c r="M98" s="191" t="s">
        <v>93</v>
      </c>
    </row>
    <row r="99" spans="1:13" x14ac:dyDescent="0.25">
      <c r="A99" s="148" t="s">
        <v>312</v>
      </c>
      <c r="B99" s="191">
        <v>17</v>
      </c>
      <c r="C99" s="191">
        <v>378</v>
      </c>
      <c r="E99" s="191" t="b">
        <v>1</v>
      </c>
      <c r="K99" s="191" t="s">
        <v>92</v>
      </c>
      <c r="L99" s="191">
        <v>333</v>
      </c>
      <c r="M99" s="191" t="s">
        <v>93</v>
      </c>
    </row>
    <row r="100" spans="1:13" x14ac:dyDescent="0.25">
      <c r="A100" s="148" t="s">
        <v>312</v>
      </c>
      <c r="B100" s="191">
        <v>18</v>
      </c>
      <c r="C100" s="191">
        <v>380</v>
      </c>
      <c r="E100" s="191" t="b">
        <v>1</v>
      </c>
      <c r="K100" s="191" t="s">
        <v>92</v>
      </c>
      <c r="L100" s="191">
        <v>333</v>
      </c>
      <c r="M100" s="191" t="s">
        <v>93</v>
      </c>
    </row>
    <row r="101" spans="1:13" x14ac:dyDescent="0.25">
      <c r="A101" s="148" t="s">
        <v>312</v>
      </c>
      <c r="B101" s="191">
        <v>19</v>
      </c>
      <c r="C101" s="191">
        <v>376</v>
      </c>
      <c r="E101" s="191" t="b">
        <v>1</v>
      </c>
      <c r="K101" s="191" t="s">
        <v>92</v>
      </c>
      <c r="L101" s="191">
        <v>333</v>
      </c>
      <c r="M101" s="191" t="s">
        <v>93</v>
      </c>
    </row>
    <row r="102" spans="1:13" x14ac:dyDescent="0.25">
      <c r="A102" s="148" t="s">
        <v>312</v>
      </c>
      <c r="B102" s="191">
        <v>20</v>
      </c>
      <c r="C102" s="191">
        <v>376</v>
      </c>
      <c r="E102" s="191" t="b">
        <v>1</v>
      </c>
      <c r="K102" s="191" t="s">
        <v>92</v>
      </c>
      <c r="L102" s="191">
        <v>333</v>
      </c>
      <c r="M102" s="191" t="s">
        <v>93</v>
      </c>
    </row>
    <row r="103" spans="1:13" x14ac:dyDescent="0.25">
      <c r="A103" s="148" t="s">
        <v>312</v>
      </c>
      <c r="B103" s="191">
        <v>21</v>
      </c>
      <c r="C103" s="191">
        <v>378</v>
      </c>
      <c r="E103" s="191" t="b">
        <v>1</v>
      </c>
      <c r="K103" s="191" t="s">
        <v>92</v>
      </c>
      <c r="L103" s="191">
        <v>333</v>
      </c>
      <c r="M103" s="191" t="s">
        <v>93</v>
      </c>
    </row>
    <row r="104" spans="1:13" x14ac:dyDescent="0.25">
      <c r="A104" s="148" t="s">
        <v>312</v>
      </c>
      <c r="B104" s="191">
        <v>22</v>
      </c>
      <c r="C104" s="191">
        <v>373</v>
      </c>
      <c r="E104" s="191" t="b">
        <v>1</v>
      </c>
      <c r="K104" s="191" t="s">
        <v>92</v>
      </c>
      <c r="L104" s="191">
        <v>333</v>
      </c>
      <c r="M104" s="191" t="s">
        <v>93</v>
      </c>
    </row>
    <row r="105" spans="1:13" x14ac:dyDescent="0.25">
      <c r="A105" s="148" t="s">
        <v>312</v>
      </c>
      <c r="B105" s="191">
        <v>23</v>
      </c>
      <c r="C105" s="191">
        <v>379</v>
      </c>
      <c r="E105" s="191" t="b">
        <v>1</v>
      </c>
      <c r="K105" s="191" t="s">
        <v>92</v>
      </c>
      <c r="L105" s="191">
        <v>333</v>
      </c>
      <c r="M105" s="191" t="s">
        <v>93</v>
      </c>
    </row>
    <row r="106" spans="1:13" x14ac:dyDescent="0.25">
      <c r="A106" s="148" t="s">
        <v>312</v>
      </c>
      <c r="B106" s="191">
        <v>24</v>
      </c>
      <c r="C106" s="191">
        <v>377</v>
      </c>
      <c r="E106" s="191" t="b">
        <v>1</v>
      </c>
      <c r="K106" s="191" t="s">
        <v>92</v>
      </c>
      <c r="L106" s="191">
        <v>333</v>
      </c>
      <c r="M106" s="191" t="s">
        <v>93</v>
      </c>
    </row>
    <row r="107" spans="1:13" x14ac:dyDescent="0.25">
      <c r="A107" s="148" t="s">
        <v>314</v>
      </c>
      <c r="B107" s="191">
        <v>1</v>
      </c>
      <c r="C107" s="191">
        <v>1171</v>
      </c>
      <c r="E107" s="191" t="b">
        <v>1</v>
      </c>
      <c r="K107" s="191" t="s">
        <v>92</v>
      </c>
      <c r="L107" s="191">
        <v>334</v>
      </c>
      <c r="M107" s="191" t="s">
        <v>93</v>
      </c>
    </row>
    <row r="108" spans="1:13" x14ac:dyDescent="0.25">
      <c r="A108" s="148" t="s">
        <v>314</v>
      </c>
      <c r="B108" s="191">
        <v>2</v>
      </c>
      <c r="C108" s="191">
        <v>367</v>
      </c>
      <c r="E108" s="191" t="b">
        <v>1</v>
      </c>
      <c r="K108" s="191" t="s">
        <v>92</v>
      </c>
      <c r="L108" s="191">
        <v>334</v>
      </c>
      <c r="M108" s="191" t="s">
        <v>93</v>
      </c>
    </row>
    <row r="109" spans="1:13" x14ac:dyDescent="0.25">
      <c r="A109" s="148" t="s">
        <v>314</v>
      </c>
      <c r="B109" s="191">
        <v>3</v>
      </c>
      <c r="C109" s="191">
        <v>389</v>
      </c>
      <c r="E109" s="191" t="b">
        <v>1</v>
      </c>
      <c r="H109" s="191">
        <v>314</v>
      </c>
      <c r="I109" s="191">
        <v>0</v>
      </c>
      <c r="K109" s="191" t="s">
        <v>92</v>
      </c>
      <c r="L109" s="191">
        <v>334</v>
      </c>
      <c r="M109" s="191" t="s">
        <v>93</v>
      </c>
    </row>
    <row r="110" spans="1:13" x14ac:dyDescent="0.25">
      <c r="A110" s="148" t="s">
        <v>314</v>
      </c>
      <c r="C110" s="191">
        <v>403</v>
      </c>
      <c r="D110" s="191" t="s">
        <v>293</v>
      </c>
      <c r="E110" s="191" t="b">
        <v>0</v>
      </c>
      <c r="K110" s="191" t="s">
        <v>92</v>
      </c>
      <c r="L110" s="191">
        <v>334</v>
      </c>
      <c r="M110" s="191" t="s">
        <v>93</v>
      </c>
    </row>
    <row r="111" spans="1:13" x14ac:dyDescent="0.25">
      <c r="A111" s="148" t="s">
        <v>314</v>
      </c>
      <c r="B111" s="191">
        <v>4</v>
      </c>
      <c r="C111" s="191">
        <v>378</v>
      </c>
      <c r="E111" s="191" t="b">
        <v>1</v>
      </c>
      <c r="F111" s="191">
        <v>29.5</v>
      </c>
      <c r="G111" s="191">
        <v>31</v>
      </c>
      <c r="K111" s="191" t="s">
        <v>92</v>
      </c>
      <c r="L111" s="191">
        <v>334</v>
      </c>
      <c r="M111" s="191" t="s">
        <v>93</v>
      </c>
    </row>
    <row r="112" spans="1:13" x14ac:dyDescent="0.25">
      <c r="A112" s="148" t="s">
        <v>314</v>
      </c>
      <c r="B112" s="191">
        <v>5</v>
      </c>
      <c r="C112" s="191">
        <v>371</v>
      </c>
      <c r="E112" s="191" t="b">
        <v>1</v>
      </c>
      <c r="K112" s="191" t="s">
        <v>92</v>
      </c>
      <c r="L112" s="191">
        <v>334</v>
      </c>
      <c r="M112" s="191" t="s">
        <v>93</v>
      </c>
    </row>
    <row r="113" spans="1:13" x14ac:dyDescent="0.25">
      <c r="A113" s="148" t="s">
        <v>314</v>
      </c>
      <c r="B113" s="191">
        <v>6</v>
      </c>
      <c r="C113" s="191">
        <v>374</v>
      </c>
      <c r="E113" s="191" t="b">
        <v>1</v>
      </c>
      <c r="K113" s="191" t="s">
        <v>92</v>
      </c>
      <c r="L113" s="191">
        <v>334</v>
      </c>
      <c r="M113" s="191" t="s">
        <v>93</v>
      </c>
    </row>
    <row r="114" spans="1:13" x14ac:dyDescent="0.25">
      <c r="A114" s="148" t="s">
        <v>314</v>
      </c>
      <c r="B114" s="191">
        <v>7</v>
      </c>
      <c r="C114" s="191">
        <v>371</v>
      </c>
      <c r="E114" s="191" t="b">
        <v>1</v>
      </c>
      <c r="K114" s="191" t="s">
        <v>92</v>
      </c>
      <c r="L114" s="191">
        <v>334</v>
      </c>
      <c r="M114" s="191" t="s">
        <v>93</v>
      </c>
    </row>
    <row r="115" spans="1:13" x14ac:dyDescent="0.25">
      <c r="A115" s="148" t="s">
        <v>314</v>
      </c>
      <c r="B115" s="191">
        <v>8</v>
      </c>
      <c r="C115" s="191">
        <v>362</v>
      </c>
      <c r="E115" s="191" t="b">
        <v>1</v>
      </c>
      <c r="K115" s="191" t="s">
        <v>92</v>
      </c>
      <c r="L115" s="191">
        <v>334</v>
      </c>
      <c r="M115" s="191" t="s">
        <v>93</v>
      </c>
    </row>
    <row r="116" spans="1:13" x14ac:dyDescent="0.25">
      <c r="A116" s="148" t="s">
        <v>314</v>
      </c>
      <c r="B116" s="191">
        <v>9</v>
      </c>
      <c r="C116" s="191">
        <v>375</v>
      </c>
      <c r="E116" s="191" t="b">
        <v>1</v>
      </c>
      <c r="K116" s="191" t="s">
        <v>92</v>
      </c>
      <c r="L116" s="191">
        <v>334</v>
      </c>
      <c r="M116" s="191" t="s">
        <v>93</v>
      </c>
    </row>
    <row r="117" spans="1:13" x14ac:dyDescent="0.25">
      <c r="A117" s="148" t="s">
        <v>314</v>
      </c>
      <c r="B117" s="191">
        <v>10</v>
      </c>
      <c r="C117" s="191">
        <v>376</v>
      </c>
      <c r="E117" s="191" t="b">
        <v>1</v>
      </c>
      <c r="K117" s="191" t="s">
        <v>92</v>
      </c>
      <c r="L117" s="191">
        <v>334</v>
      </c>
      <c r="M117" s="191" t="s">
        <v>93</v>
      </c>
    </row>
    <row r="118" spans="1:13" x14ac:dyDescent="0.25">
      <c r="A118" s="148" t="s">
        <v>314</v>
      </c>
      <c r="B118" s="191">
        <v>11</v>
      </c>
      <c r="C118" s="191">
        <v>379</v>
      </c>
      <c r="E118" s="191" t="b">
        <v>1</v>
      </c>
      <c r="K118" s="191" t="s">
        <v>92</v>
      </c>
      <c r="L118" s="191">
        <v>334</v>
      </c>
      <c r="M118" s="191" t="s">
        <v>93</v>
      </c>
    </row>
    <row r="119" spans="1:13" x14ac:dyDescent="0.25">
      <c r="A119" s="148" t="s">
        <v>314</v>
      </c>
      <c r="B119" s="191">
        <v>12</v>
      </c>
      <c r="C119" s="191">
        <v>371</v>
      </c>
      <c r="E119" s="191" t="b">
        <v>1</v>
      </c>
      <c r="K119" s="191" t="s">
        <v>92</v>
      </c>
      <c r="L119" s="191">
        <v>334</v>
      </c>
      <c r="M119" s="191" t="s">
        <v>93</v>
      </c>
    </row>
    <row r="120" spans="1:13" x14ac:dyDescent="0.25">
      <c r="A120" s="148" t="s">
        <v>314</v>
      </c>
      <c r="B120" s="191">
        <v>13</v>
      </c>
      <c r="C120" s="191">
        <v>373</v>
      </c>
      <c r="E120" s="191" t="b">
        <v>1</v>
      </c>
      <c r="K120" s="191" t="s">
        <v>92</v>
      </c>
      <c r="L120" s="191">
        <v>334</v>
      </c>
      <c r="M120" s="191" t="s">
        <v>93</v>
      </c>
    </row>
    <row r="121" spans="1:13" x14ac:dyDescent="0.25">
      <c r="A121" s="148" t="s">
        <v>314</v>
      </c>
      <c r="B121" s="191">
        <v>14</v>
      </c>
      <c r="C121" s="191">
        <v>376</v>
      </c>
      <c r="E121" s="191" t="b">
        <v>1</v>
      </c>
      <c r="F121" s="191">
        <v>28.5</v>
      </c>
      <c r="G121" s="191">
        <v>30.9</v>
      </c>
      <c r="K121" s="191" t="s">
        <v>92</v>
      </c>
      <c r="L121" s="191">
        <v>334</v>
      </c>
      <c r="M121" s="191" t="s">
        <v>93</v>
      </c>
    </row>
    <row r="122" spans="1:13" x14ac:dyDescent="0.25">
      <c r="A122" s="148" t="s">
        <v>314</v>
      </c>
      <c r="B122" s="191">
        <v>15</v>
      </c>
      <c r="C122" s="191">
        <v>372</v>
      </c>
      <c r="E122" s="191" t="b">
        <v>1</v>
      </c>
      <c r="K122" s="191" t="s">
        <v>92</v>
      </c>
      <c r="L122" s="191">
        <v>334</v>
      </c>
      <c r="M122" s="191" t="s">
        <v>93</v>
      </c>
    </row>
    <row r="123" spans="1:13" x14ac:dyDescent="0.25">
      <c r="A123" s="148" t="s">
        <v>314</v>
      </c>
      <c r="B123" s="191">
        <v>16</v>
      </c>
      <c r="C123" s="191">
        <v>375</v>
      </c>
      <c r="E123" s="191" t="b">
        <v>1</v>
      </c>
      <c r="K123" s="191" t="s">
        <v>92</v>
      </c>
      <c r="L123" s="191">
        <v>334</v>
      </c>
      <c r="M123" s="191" t="s">
        <v>93</v>
      </c>
    </row>
    <row r="124" spans="1:13" x14ac:dyDescent="0.25">
      <c r="A124" s="148" t="s">
        <v>314</v>
      </c>
      <c r="B124" s="191">
        <v>17</v>
      </c>
      <c r="C124" s="191">
        <v>371</v>
      </c>
      <c r="E124" s="191" t="b">
        <v>1</v>
      </c>
      <c r="K124" s="191" t="s">
        <v>92</v>
      </c>
      <c r="L124" s="191">
        <v>334</v>
      </c>
      <c r="M124" s="191" t="s">
        <v>93</v>
      </c>
    </row>
    <row r="125" spans="1:13" x14ac:dyDescent="0.25">
      <c r="A125" s="148" t="s">
        <v>314</v>
      </c>
      <c r="B125" s="191">
        <v>18</v>
      </c>
      <c r="C125" s="191">
        <v>381</v>
      </c>
      <c r="E125" s="191" t="b">
        <v>1</v>
      </c>
      <c r="K125" s="191" t="s">
        <v>92</v>
      </c>
      <c r="L125" s="191">
        <v>334</v>
      </c>
      <c r="M125" s="191" t="s">
        <v>93</v>
      </c>
    </row>
    <row r="126" spans="1:13" x14ac:dyDescent="0.25">
      <c r="A126" s="148" t="s">
        <v>314</v>
      </c>
      <c r="B126" s="191">
        <v>19</v>
      </c>
      <c r="C126" s="191">
        <v>378</v>
      </c>
      <c r="E126" s="191" t="b">
        <v>1</v>
      </c>
      <c r="K126" s="191" t="s">
        <v>92</v>
      </c>
      <c r="L126" s="191">
        <v>334</v>
      </c>
      <c r="M126" s="191" t="s">
        <v>93</v>
      </c>
    </row>
    <row r="127" spans="1:13" x14ac:dyDescent="0.25">
      <c r="A127" s="148" t="s">
        <v>314</v>
      </c>
      <c r="B127" s="191">
        <v>20</v>
      </c>
      <c r="C127" s="191">
        <v>397</v>
      </c>
      <c r="E127" s="191" t="b">
        <v>1</v>
      </c>
      <c r="K127" s="191" t="s">
        <v>92</v>
      </c>
      <c r="L127" s="191">
        <v>334</v>
      </c>
      <c r="M127" s="191" t="s">
        <v>93</v>
      </c>
    </row>
    <row r="128" spans="1:13" x14ac:dyDescent="0.25">
      <c r="A128" s="148" t="s">
        <v>314</v>
      </c>
      <c r="B128" s="191">
        <v>21</v>
      </c>
      <c r="C128" s="191">
        <v>369</v>
      </c>
      <c r="E128" s="191" t="b">
        <v>1</v>
      </c>
      <c r="K128" s="191" t="s">
        <v>92</v>
      </c>
      <c r="L128" s="191">
        <v>334</v>
      </c>
      <c r="M128" s="191" t="s">
        <v>93</v>
      </c>
    </row>
    <row r="129" spans="1:13" x14ac:dyDescent="0.25">
      <c r="A129" s="148" t="s">
        <v>314</v>
      </c>
      <c r="B129" s="191">
        <v>22</v>
      </c>
      <c r="C129" s="191">
        <v>381</v>
      </c>
      <c r="E129" s="191" t="b">
        <v>1</v>
      </c>
      <c r="K129" s="191" t="s">
        <v>92</v>
      </c>
      <c r="L129" s="191">
        <v>334</v>
      </c>
      <c r="M129" s="191" t="s">
        <v>93</v>
      </c>
    </row>
    <row r="130" spans="1:13" x14ac:dyDescent="0.25">
      <c r="A130" s="148" t="s">
        <v>314</v>
      </c>
      <c r="B130" s="191">
        <v>23</v>
      </c>
      <c r="C130" s="191">
        <v>373</v>
      </c>
      <c r="E130" s="191" t="b">
        <v>1</v>
      </c>
      <c r="K130" s="191" t="s">
        <v>92</v>
      </c>
      <c r="L130" s="191">
        <v>334</v>
      </c>
      <c r="M130" s="191" t="s">
        <v>93</v>
      </c>
    </row>
    <row r="131" spans="1:13" x14ac:dyDescent="0.25">
      <c r="A131" s="148" t="s">
        <v>314</v>
      </c>
      <c r="B131" s="191">
        <v>24</v>
      </c>
      <c r="C131" s="191">
        <v>370</v>
      </c>
      <c r="E131" s="191" t="b">
        <v>1</v>
      </c>
      <c r="K131" s="191" t="s">
        <v>92</v>
      </c>
      <c r="L131" s="191">
        <v>334</v>
      </c>
      <c r="M131" s="191" t="s">
        <v>93</v>
      </c>
    </row>
    <row r="132" spans="1:13" x14ac:dyDescent="0.25">
      <c r="A132" s="148" t="s">
        <v>318</v>
      </c>
      <c r="B132" s="191">
        <v>1</v>
      </c>
      <c r="C132" s="191">
        <v>960</v>
      </c>
      <c r="E132" s="191" t="b">
        <v>1</v>
      </c>
      <c r="K132" s="191" t="s">
        <v>92</v>
      </c>
      <c r="L132" s="191">
        <v>334</v>
      </c>
      <c r="M132" s="191" t="s">
        <v>94</v>
      </c>
    </row>
    <row r="133" spans="1:13" x14ac:dyDescent="0.25">
      <c r="A133" s="148" t="s">
        <v>318</v>
      </c>
      <c r="B133" s="191">
        <v>2</v>
      </c>
      <c r="C133" s="191">
        <v>375</v>
      </c>
      <c r="E133" s="191" t="b">
        <v>1</v>
      </c>
      <c r="K133" s="191" t="s">
        <v>92</v>
      </c>
      <c r="L133" s="191">
        <v>334</v>
      </c>
      <c r="M133" s="191" t="s">
        <v>94</v>
      </c>
    </row>
    <row r="134" spans="1:13" x14ac:dyDescent="0.25">
      <c r="A134" s="148" t="s">
        <v>318</v>
      </c>
      <c r="B134" s="191">
        <v>3</v>
      </c>
      <c r="C134" s="191">
        <v>378</v>
      </c>
      <c r="E134" s="191" t="b">
        <v>1</v>
      </c>
      <c r="K134" s="191" t="s">
        <v>92</v>
      </c>
      <c r="L134" s="191">
        <v>334</v>
      </c>
      <c r="M134" s="191" t="s">
        <v>94</v>
      </c>
    </row>
    <row r="135" spans="1:13" x14ac:dyDescent="0.25">
      <c r="A135" s="148" t="s">
        <v>318</v>
      </c>
      <c r="B135" s="191">
        <v>4</v>
      </c>
      <c r="C135" s="191">
        <v>380</v>
      </c>
      <c r="E135" s="191" t="b">
        <v>1</v>
      </c>
      <c r="K135" s="191" t="s">
        <v>92</v>
      </c>
      <c r="L135" s="191">
        <v>334</v>
      </c>
      <c r="M135" s="191" t="s">
        <v>94</v>
      </c>
    </row>
    <row r="136" spans="1:13" x14ac:dyDescent="0.25">
      <c r="A136" s="148" t="s">
        <v>318</v>
      </c>
      <c r="B136" s="191">
        <v>5</v>
      </c>
      <c r="C136" s="191">
        <v>380</v>
      </c>
      <c r="E136" s="191" t="b">
        <v>1</v>
      </c>
      <c r="F136" s="191">
        <v>31.8</v>
      </c>
      <c r="G136" s="191">
        <v>32.4</v>
      </c>
      <c r="K136" s="191" t="s">
        <v>92</v>
      </c>
      <c r="L136" s="191">
        <v>334</v>
      </c>
      <c r="M136" s="191" t="s">
        <v>94</v>
      </c>
    </row>
    <row r="137" spans="1:13" x14ac:dyDescent="0.25">
      <c r="A137" s="148" t="s">
        <v>318</v>
      </c>
      <c r="B137" s="191">
        <v>6</v>
      </c>
      <c r="C137" s="191">
        <v>377</v>
      </c>
      <c r="E137" s="191" t="b">
        <v>1</v>
      </c>
      <c r="K137" s="191" t="s">
        <v>92</v>
      </c>
      <c r="L137" s="191">
        <v>334</v>
      </c>
      <c r="M137" s="191" t="s">
        <v>94</v>
      </c>
    </row>
    <row r="138" spans="1:13" x14ac:dyDescent="0.25">
      <c r="A138" s="148" t="s">
        <v>318</v>
      </c>
      <c r="B138" s="191">
        <v>7</v>
      </c>
      <c r="C138" s="191">
        <v>382</v>
      </c>
      <c r="E138" s="191" t="b">
        <v>1</v>
      </c>
      <c r="K138" s="191" t="s">
        <v>92</v>
      </c>
      <c r="L138" s="191">
        <v>334</v>
      </c>
      <c r="M138" s="191" t="s">
        <v>94</v>
      </c>
    </row>
    <row r="139" spans="1:13" x14ac:dyDescent="0.25">
      <c r="A139" s="148" t="s">
        <v>318</v>
      </c>
      <c r="B139" s="191">
        <v>8</v>
      </c>
      <c r="C139" s="191">
        <v>384</v>
      </c>
      <c r="E139" s="191" t="b">
        <v>1</v>
      </c>
      <c r="K139" s="191" t="s">
        <v>92</v>
      </c>
      <c r="L139" s="191">
        <v>334</v>
      </c>
      <c r="M139" s="191" t="s">
        <v>94</v>
      </c>
    </row>
    <row r="140" spans="1:13" x14ac:dyDescent="0.25">
      <c r="A140" s="148" t="s">
        <v>318</v>
      </c>
      <c r="B140" s="191">
        <v>9</v>
      </c>
      <c r="C140" s="191">
        <v>379</v>
      </c>
      <c r="E140" s="191" t="b">
        <v>1</v>
      </c>
      <c r="K140" s="191" t="s">
        <v>92</v>
      </c>
      <c r="L140" s="191">
        <v>334</v>
      </c>
      <c r="M140" s="191" t="s">
        <v>94</v>
      </c>
    </row>
    <row r="141" spans="1:13" x14ac:dyDescent="0.25">
      <c r="A141" s="148" t="s">
        <v>318</v>
      </c>
      <c r="B141" s="191">
        <v>10</v>
      </c>
      <c r="C141" s="191">
        <v>379</v>
      </c>
      <c r="E141" s="191" t="b">
        <v>1</v>
      </c>
      <c r="F141" s="191">
        <v>32.200000000000003</v>
      </c>
      <c r="G141" s="191">
        <v>32.799999999999997</v>
      </c>
      <c r="K141" s="191" t="s">
        <v>92</v>
      </c>
      <c r="L141" s="191">
        <v>334</v>
      </c>
      <c r="M141" s="191" t="s">
        <v>94</v>
      </c>
    </row>
    <row r="142" spans="1:13" x14ac:dyDescent="0.25">
      <c r="A142" s="148" t="s">
        <v>318</v>
      </c>
      <c r="B142" s="191">
        <v>11</v>
      </c>
      <c r="C142" s="191">
        <v>379</v>
      </c>
      <c r="E142" s="191" t="b">
        <v>1</v>
      </c>
      <c r="K142" s="191" t="s">
        <v>92</v>
      </c>
      <c r="L142" s="191">
        <v>334</v>
      </c>
      <c r="M142" s="191" t="s">
        <v>94</v>
      </c>
    </row>
    <row r="143" spans="1:13" x14ac:dyDescent="0.25">
      <c r="A143" s="148" t="s">
        <v>318</v>
      </c>
      <c r="B143" s="191">
        <v>12</v>
      </c>
      <c r="C143" s="191">
        <v>379</v>
      </c>
      <c r="E143" s="191" t="b">
        <v>1</v>
      </c>
      <c r="K143" s="191" t="s">
        <v>92</v>
      </c>
      <c r="L143" s="191">
        <v>334</v>
      </c>
      <c r="M143" s="191" t="s">
        <v>94</v>
      </c>
    </row>
    <row r="144" spans="1:13" x14ac:dyDescent="0.25">
      <c r="A144" s="148" t="s">
        <v>318</v>
      </c>
      <c r="B144" s="191">
        <v>13</v>
      </c>
      <c r="C144" s="191">
        <v>381</v>
      </c>
      <c r="E144" s="191" t="b">
        <v>1</v>
      </c>
      <c r="K144" s="191" t="s">
        <v>92</v>
      </c>
      <c r="L144" s="191">
        <v>334</v>
      </c>
      <c r="M144" s="191" t="s">
        <v>94</v>
      </c>
    </row>
    <row r="145" spans="1:13" x14ac:dyDescent="0.25">
      <c r="A145" s="148" t="s">
        <v>318</v>
      </c>
      <c r="B145" s="191">
        <v>14</v>
      </c>
      <c r="C145" s="191">
        <v>379</v>
      </c>
      <c r="E145" s="191" t="b">
        <v>1</v>
      </c>
      <c r="K145" s="191" t="s">
        <v>92</v>
      </c>
      <c r="L145" s="191">
        <v>334</v>
      </c>
      <c r="M145" s="191" t="s">
        <v>94</v>
      </c>
    </row>
    <row r="146" spans="1:13" x14ac:dyDescent="0.25">
      <c r="A146" s="148" t="s">
        <v>318</v>
      </c>
      <c r="B146" s="191">
        <v>15</v>
      </c>
      <c r="C146" s="191">
        <v>381</v>
      </c>
      <c r="E146" s="191" t="b">
        <v>1</v>
      </c>
      <c r="F146" s="191">
        <v>32.6</v>
      </c>
      <c r="G146" s="191">
        <v>33.1</v>
      </c>
      <c r="K146" s="191" t="s">
        <v>92</v>
      </c>
      <c r="L146" s="191">
        <v>334</v>
      </c>
      <c r="M146" s="191" t="s">
        <v>94</v>
      </c>
    </row>
    <row r="147" spans="1:13" x14ac:dyDescent="0.25">
      <c r="A147" s="148" t="s">
        <v>318</v>
      </c>
      <c r="B147" s="191">
        <v>16</v>
      </c>
      <c r="C147" s="191">
        <v>383</v>
      </c>
      <c r="E147" s="191" t="b">
        <v>1</v>
      </c>
      <c r="K147" s="191" t="s">
        <v>92</v>
      </c>
      <c r="L147" s="191">
        <v>334</v>
      </c>
      <c r="M147" s="191" t="s">
        <v>94</v>
      </c>
    </row>
    <row r="148" spans="1:13" x14ac:dyDescent="0.25">
      <c r="A148" s="148" t="s">
        <v>318</v>
      </c>
      <c r="B148" s="191">
        <v>17</v>
      </c>
      <c r="C148" s="191">
        <v>377</v>
      </c>
      <c r="E148" s="191" t="b">
        <v>1</v>
      </c>
      <c r="K148" s="191" t="s">
        <v>92</v>
      </c>
      <c r="L148" s="191">
        <v>334</v>
      </c>
      <c r="M148" s="191" t="s">
        <v>94</v>
      </c>
    </row>
    <row r="149" spans="1:13" x14ac:dyDescent="0.25">
      <c r="A149" s="148" t="s">
        <v>318</v>
      </c>
      <c r="B149" s="191">
        <v>18</v>
      </c>
      <c r="C149" s="191">
        <v>380</v>
      </c>
      <c r="E149" s="191" t="b">
        <v>1</v>
      </c>
      <c r="K149" s="191" t="s">
        <v>92</v>
      </c>
      <c r="L149" s="191">
        <v>334</v>
      </c>
      <c r="M149" s="191" t="s">
        <v>94</v>
      </c>
    </row>
    <row r="150" spans="1:13" x14ac:dyDescent="0.25">
      <c r="A150" s="148" t="s">
        <v>318</v>
      </c>
      <c r="B150" s="191">
        <v>19</v>
      </c>
      <c r="C150" s="191">
        <v>377</v>
      </c>
      <c r="E150" s="191" t="b">
        <v>1</v>
      </c>
      <c r="K150" s="191" t="s">
        <v>92</v>
      </c>
      <c r="L150" s="191">
        <v>334</v>
      </c>
      <c r="M150" s="191" t="s">
        <v>94</v>
      </c>
    </row>
    <row r="151" spans="1:13" x14ac:dyDescent="0.25">
      <c r="A151" s="148" t="s">
        <v>318</v>
      </c>
      <c r="B151" s="191">
        <v>20</v>
      </c>
      <c r="C151" s="191">
        <v>380</v>
      </c>
      <c r="E151" s="191" t="b">
        <v>1</v>
      </c>
      <c r="F151" s="191">
        <v>32.5</v>
      </c>
      <c r="G151" s="191">
        <v>33.700000000000003</v>
      </c>
      <c r="K151" s="191" t="s">
        <v>92</v>
      </c>
      <c r="L151" s="191">
        <v>334</v>
      </c>
      <c r="M151" s="191" t="s">
        <v>94</v>
      </c>
    </row>
    <row r="152" spans="1:13" x14ac:dyDescent="0.25">
      <c r="A152" s="148" t="s">
        <v>318</v>
      </c>
      <c r="B152" s="191">
        <v>21</v>
      </c>
      <c r="C152" s="191">
        <v>379</v>
      </c>
      <c r="E152" s="191" t="b">
        <v>1</v>
      </c>
      <c r="K152" s="191" t="s">
        <v>92</v>
      </c>
      <c r="L152" s="191">
        <v>334</v>
      </c>
      <c r="M152" s="191" t="s">
        <v>94</v>
      </c>
    </row>
    <row r="153" spans="1:13" x14ac:dyDescent="0.25">
      <c r="A153" s="148" t="s">
        <v>318</v>
      </c>
      <c r="B153" s="191">
        <v>22</v>
      </c>
      <c r="C153" s="191">
        <v>381</v>
      </c>
      <c r="E153" s="191" t="b">
        <v>1</v>
      </c>
      <c r="K153" s="191" t="s">
        <v>92</v>
      </c>
      <c r="L153" s="191">
        <v>334</v>
      </c>
      <c r="M153" s="191" t="s">
        <v>94</v>
      </c>
    </row>
    <row r="154" spans="1:13" x14ac:dyDescent="0.25">
      <c r="A154" s="148" t="s">
        <v>318</v>
      </c>
      <c r="B154" s="191">
        <v>23</v>
      </c>
      <c r="C154" s="191">
        <v>381</v>
      </c>
      <c r="E154" s="191" t="b">
        <v>1</v>
      </c>
      <c r="K154" s="191" t="s">
        <v>92</v>
      </c>
      <c r="L154" s="191">
        <v>334</v>
      </c>
      <c r="M154" s="191" t="s">
        <v>94</v>
      </c>
    </row>
    <row r="155" spans="1:13" x14ac:dyDescent="0.25">
      <c r="A155" s="148" t="s">
        <v>318</v>
      </c>
      <c r="B155" s="191">
        <v>24</v>
      </c>
      <c r="C155" s="191">
        <v>382</v>
      </c>
      <c r="E155" s="191" t="b">
        <v>1</v>
      </c>
      <c r="K155" s="191" t="s">
        <v>92</v>
      </c>
      <c r="L155" s="191">
        <v>334</v>
      </c>
      <c r="M155" s="191" t="s">
        <v>94</v>
      </c>
    </row>
    <row r="156" spans="1:13" x14ac:dyDescent="0.25">
      <c r="A156" s="148" t="s">
        <v>318</v>
      </c>
      <c r="B156" s="191">
        <v>25</v>
      </c>
      <c r="C156" s="191">
        <v>382</v>
      </c>
      <c r="E156" s="191" t="b">
        <v>1</v>
      </c>
      <c r="K156" s="191" t="s">
        <v>92</v>
      </c>
      <c r="L156" s="191">
        <v>334</v>
      </c>
      <c r="M156" s="191" t="s">
        <v>94</v>
      </c>
    </row>
    <row r="157" spans="1:13" x14ac:dyDescent="0.25">
      <c r="A157" s="148" t="s">
        <v>318</v>
      </c>
      <c r="B157" s="191">
        <v>26</v>
      </c>
      <c r="C157" s="191">
        <v>381</v>
      </c>
      <c r="E157" s="191" t="b">
        <v>1</v>
      </c>
      <c r="K157" s="191" t="s">
        <v>92</v>
      </c>
      <c r="L157" s="191">
        <v>334</v>
      </c>
      <c r="M157" s="191" t="s">
        <v>94</v>
      </c>
    </row>
    <row r="158" spans="1:13" x14ac:dyDescent="0.25">
      <c r="A158" s="148" t="s">
        <v>318</v>
      </c>
      <c r="B158" s="191">
        <v>27</v>
      </c>
      <c r="C158" s="191">
        <v>378</v>
      </c>
      <c r="E158" s="191" t="b">
        <v>1</v>
      </c>
      <c r="K158" s="191" t="s">
        <v>92</v>
      </c>
      <c r="L158" s="191">
        <v>334</v>
      </c>
      <c r="M158" s="191" t="s">
        <v>94</v>
      </c>
    </row>
    <row r="159" spans="1:13" x14ac:dyDescent="0.25">
      <c r="A159" s="148" t="s">
        <v>318</v>
      </c>
      <c r="B159" s="191">
        <v>28</v>
      </c>
      <c r="C159" s="191">
        <v>380</v>
      </c>
      <c r="E159" s="191" t="b">
        <v>1</v>
      </c>
      <c r="K159" s="191" t="s">
        <v>92</v>
      </c>
      <c r="L159" s="191">
        <v>334</v>
      </c>
      <c r="M159" s="191" t="s">
        <v>94</v>
      </c>
    </row>
    <row r="160" spans="1:13" x14ac:dyDescent="0.25">
      <c r="A160" s="148" t="s">
        <v>323</v>
      </c>
      <c r="C160" s="191">
        <v>-419</v>
      </c>
      <c r="D160" s="191" t="s">
        <v>16</v>
      </c>
      <c r="E160" s="191" t="b">
        <v>0</v>
      </c>
      <c r="K160" s="191" t="s">
        <v>92</v>
      </c>
      <c r="L160" s="191">
        <v>335</v>
      </c>
      <c r="M160" s="191" t="s">
        <v>93</v>
      </c>
    </row>
    <row r="161" spans="1:13" x14ac:dyDescent="0.25">
      <c r="A161" s="148" t="s">
        <v>323</v>
      </c>
      <c r="B161" s="191">
        <v>1</v>
      </c>
      <c r="C161" s="191">
        <v>386</v>
      </c>
      <c r="E161" s="191" t="b">
        <v>1</v>
      </c>
      <c r="K161" s="191" t="s">
        <v>92</v>
      </c>
      <c r="L161" s="191">
        <v>335</v>
      </c>
      <c r="M161" s="191" t="s">
        <v>93</v>
      </c>
    </row>
    <row r="162" spans="1:13" x14ac:dyDescent="0.25">
      <c r="A162" s="148" t="s">
        <v>323</v>
      </c>
      <c r="B162" s="191">
        <v>2</v>
      </c>
      <c r="C162" s="191">
        <v>370</v>
      </c>
      <c r="E162" s="191" t="b">
        <v>1</v>
      </c>
      <c r="K162" s="191" t="s">
        <v>92</v>
      </c>
      <c r="L162" s="191">
        <v>335</v>
      </c>
      <c r="M162" s="191" t="s">
        <v>93</v>
      </c>
    </row>
    <row r="163" spans="1:13" x14ac:dyDescent="0.25">
      <c r="A163" s="148" t="s">
        <v>323</v>
      </c>
      <c r="B163" s="191">
        <v>3</v>
      </c>
      <c r="C163" s="191">
        <v>372</v>
      </c>
      <c r="E163" s="191" t="b">
        <v>1</v>
      </c>
      <c r="F163" s="191">
        <v>32.6</v>
      </c>
      <c r="G163" s="191">
        <v>28.6</v>
      </c>
      <c r="K163" s="191" t="s">
        <v>92</v>
      </c>
      <c r="L163" s="191">
        <v>335</v>
      </c>
      <c r="M163" s="191" t="s">
        <v>93</v>
      </c>
    </row>
    <row r="164" spans="1:13" x14ac:dyDescent="0.25">
      <c r="A164" s="148" t="s">
        <v>323</v>
      </c>
      <c r="B164" s="191">
        <v>4</v>
      </c>
      <c r="C164" s="191">
        <v>383</v>
      </c>
      <c r="E164" s="191" t="b">
        <v>1</v>
      </c>
      <c r="H164" s="191">
        <v>278</v>
      </c>
      <c r="I164" s="191" t="s">
        <v>10</v>
      </c>
      <c r="K164" s="191" t="s">
        <v>92</v>
      </c>
      <c r="L164" s="191">
        <v>335</v>
      </c>
      <c r="M164" s="191" t="s">
        <v>93</v>
      </c>
    </row>
    <row r="165" spans="1:13" x14ac:dyDescent="0.25">
      <c r="A165" s="148" t="s">
        <v>323</v>
      </c>
      <c r="B165" s="191">
        <v>5</v>
      </c>
      <c r="C165" s="191">
        <v>376</v>
      </c>
      <c r="E165" s="191" t="b">
        <v>1</v>
      </c>
      <c r="K165" s="191" t="s">
        <v>92</v>
      </c>
      <c r="L165" s="191">
        <v>335</v>
      </c>
      <c r="M165" s="191" t="s">
        <v>93</v>
      </c>
    </row>
    <row r="166" spans="1:13" x14ac:dyDescent="0.25">
      <c r="A166" s="148" t="s">
        <v>323</v>
      </c>
      <c r="B166" s="191">
        <v>6</v>
      </c>
      <c r="C166" s="191">
        <v>375</v>
      </c>
      <c r="E166" s="191" t="b">
        <v>1</v>
      </c>
      <c r="K166" s="191" t="s">
        <v>92</v>
      </c>
      <c r="L166" s="191">
        <v>335</v>
      </c>
      <c r="M166" s="191" t="s">
        <v>93</v>
      </c>
    </row>
    <row r="167" spans="1:13" x14ac:dyDescent="0.25">
      <c r="A167" s="148" t="s">
        <v>323</v>
      </c>
      <c r="B167" s="191">
        <v>7</v>
      </c>
      <c r="C167" s="191">
        <v>371</v>
      </c>
      <c r="E167" s="191" t="b">
        <v>1</v>
      </c>
      <c r="K167" s="191" t="s">
        <v>92</v>
      </c>
      <c r="L167" s="191">
        <v>335</v>
      </c>
      <c r="M167" s="191" t="s">
        <v>93</v>
      </c>
    </row>
    <row r="168" spans="1:13" x14ac:dyDescent="0.25">
      <c r="A168" s="148" t="s">
        <v>323</v>
      </c>
      <c r="B168" s="191">
        <v>8</v>
      </c>
      <c r="C168" s="191">
        <v>375</v>
      </c>
      <c r="E168" s="191" t="b">
        <v>1</v>
      </c>
      <c r="K168" s="191" t="s">
        <v>92</v>
      </c>
      <c r="L168" s="191">
        <v>335</v>
      </c>
      <c r="M168" s="191" t="s">
        <v>93</v>
      </c>
    </row>
    <row r="169" spans="1:13" x14ac:dyDescent="0.25">
      <c r="A169" s="148" t="s">
        <v>323</v>
      </c>
      <c r="B169" s="191">
        <v>9</v>
      </c>
      <c r="C169" s="191">
        <v>375</v>
      </c>
      <c r="E169" s="191" t="b">
        <v>1</v>
      </c>
      <c r="K169" s="191" t="s">
        <v>92</v>
      </c>
      <c r="L169" s="191">
        <v>335</v>
      </c>
      <c r="M169" s="191" t="s">
        <v>93</v>
      </c>
    </row>
    <row r="170" spans="1:13" x14ac:dyDescent="0.25">
      <c r="A170" s="148" t="s">
        <v>323</v>
      </c>
      <c r="B170" s="191">
        <v>10</v>
      </c>
      <c r="C170" s="191">
        <v>372</v>
      </c>
      <c r="E170" s="191" t="b">
        <v>1</v>
      </c>
      <c r="K170" s="191" t="s">
        <v>92</v>
      </c>
      <c r="L170" s="191">
        <v>335</v>
      </c>
      <c r="M170" s="191" t="s">
        <v>93</v>
      </c>
    </row>
    <row r="171" spans="1:13" x14ac:dyDescent="0.25">
      <c r="A171" s="148" t="s">
        <v>323</v>
      </c>
      <c r="B171" s="191">
        <v>11</v>
      </c>
      <c r="C171" s="191">
        <v>380</v>
      </c>
      <c r="E171" s="191" t="b">
        <v>1</v>
      </c>
      <c r="K171" s="191" t="s">
        <v>92</v>
      </c>
      <c r="L171" s="191">
        <v>335</v>
      </c>
      <c r="M171" s="191" t="s">
        <v>93</v>
      </c>
    </row>
    <row r="172" spans="1:13" x14ac:dyDescent="0.25">
      <c r="A172" s="148" t="s">
        <v>323</v>
      </c>
      <c r="B172" s="191">
        <v>12</v>
      </c>
      <c r="C172" s="191">
        <v>377</v>
      </c>
      <c r="E172" s="191" t="b">
        <v>1</v>
      </c>
      <c r="K172" s="191" t="s">
        <v>92</v>
      </c>
      <c r="L172" s="191">
        <v>335</v>
      </c>
      <c r="M172" s="191" t="s">
        <v>93</v>
      </c>
    </row>
    <row r="173" spans="1:13" x14ac:dyDescent="0.25">
      <c r="A173" s="148" t="s">
        <v>323</v>
      </c>
      <c r="B173" s="191">
        <v>13</v>
      </c>
      <c r="C173" s="191">
        <v>376</v>
      </c>
      <c r="E173" s="191" t="b">
        <v>1</v>
      </c>
      <c r="F173" s="191">
        <v>31.4</v>
      </c>
      <c r="G173" s="191">
        <v>29.5</v>
      </c>
      <c r="K173" s="191" t="s">
        <v>92</v>
      </c>
      <c r="L173" s="191">
        <v>335</v>
      </c>
      <c r="M173" s="191" t="s">
        <v>93</v>
      </c>
    </row>
    <row r="174" spans="1:13" x14ac:dyDescent="0.25">
      <c r="A174" s="148" t="s">
        <v>323</v>
      </c>
      <c r="B174" s="191">
        <v>14</v>
      </c>
      <c r="C174" s="191">
        <v>386</v>
      </c>
      <c r="E174" s="191" t="b">
        <v>1</v>
      </c>
      <c r="K174" s="191" t="s">
        <v>92</v>
      </c>
      <c r="L174" s="191">
        <v>335</v>
      </c>
      <c r="M174" s="191" t="s">
        <v>93</v>
      </c>
    </row>
    <row r="175" spans="1:13" x14ac:dyDescent="0.25">
      <c r="A175" s="148" t="s">
        <v>323</v>
      </c>
      <c r="B175" s="191">
        <v>15</v>
      </c>
      <c r="C175" s="191">
        <v>372</v>
      </c>
      <c r="E175" s="191" t="b">
        <v>1</v>
      </c>
      <c r="H175" s="191">
        <v>282</v>
      </c>
      <c r="I175" s="191" t="s">
        <v>10</v>
      </c>
      <c r="K175" s="191" t="s">
        <v>92</v>
      </c>
      <c r="L175" s="191">
        <v>335</v>
      </c>
      <c r="M175" s="191" t="s">
        <v>93</v>
      </c>
    </row>
    <row r="176" spans="1:13" x14ac:dyDescent="0.25">
      <c r="A176" s="148" t="s">
        <v>323</v>
      </c>
      <c r="B176" s="191">
        <v>16</v>
      </c>
      <c r="C176" s="191">
        <v>369</v>
      </c>
      <c r="E176" s="191" t="b">
        <v>1</v>
      </c>
      <c r="K176" s="191" t="s">
        <v>92</v>
      </c>
      <c r="L176" s="191">
        <v>335</v>
      </c>
      <c r="M176" s="191" t="s">
        <v>93</v>
      </c>
    </row>
    <row r="177" spans="1:13" x14ac:dyDescent="0.25">
      <c r="A177" s="148" t="s">
        <v>323</v>
      </c>
      <c r="B177" s="191">
        <v>17</v>
      </c>
      <c r="C177" s="191">
        <v>375</v>
      </c>
      <c r="E177" s="191" t="b">
        <v>1</v>
      </c>
      <c r="K177" s="191" t="s">
        <v>92</v>
      </c>
      <c r="L177" s="191">
        <v>335</v>
      </c>
      <c r="M177" s="191" t="s">
        <v>93</v>
      </c>
    </row>
    <row r="178" spans="1:13" x14ac:dyDescent="0.25">
      <c r="A178" s="148" t="s">
        <v>323</v>
      </c>
      <c r="B178" s="191">
        <v>18</v>
      </c>
      <c r="C178" s="191">
        <v>378</v>
      </c>
      <c r="E178" s="191" t="b">
        <v>1</v>
      </c>
      <c r="K178" s="191" t="s">
        <v>92</v>
      </c>
      <c r="L178" s="191">
        <v>335</v>
      </c>
      <c r="M178" s="191" t="s">
        <v>93</v>
      </c>
    </row>
    <row r="179" spans="1:13" x14ac:dyDescent="0.25">
      <c r="A179" s="148" t="s">
        <v>323</v>
      </c>
      <c r="B179" s="191">
        <v>19</v>
      </c>
      <c r="C179" s="191">
        <v>375</v>
      </c>
      <c r="E179" s="191" t="b">
        <v>1</v>
      </c>
      <c r="K179" s="191" t="s">
        <v>92</v>
      </c>
      <c r="L179" s="191">
        <v>335</v>
      </c>
      <c r="M179" s="191" t="s">
        <v>93</v>
      </c>
    </row>
    <row r="180" spans="1:13" x14ac:dyDescent="0.25">
      <c r="A180" s="148" t="s">
        <v>323</v>
      </c>
      <c r="B180" s="191">
        <v>20</v>
      </c>
      <c r="C180" s="191">
        <v>371</v>
      </c>
      <c r="E180" s="191" t="b">
        <v>1</v>
      </c>
      <c r="K180" s="191" t="s">
        <v>92</v>
      </c>
      <c r="L180" s="191">
        <v>335</v>
      </c>
      <c r="M180" s="191" t="s">
        <v>93</v>
      </c>
    </row>
    <row r="181" spans="1:13" x14ac:dyDescent="0.25">
      <c r="A181" s="148" t="s">
        <v>323</v>
      </c>
      <c r="B181" s="191">
        <v>21</v>
      </c>
      <c r="C181" s="191">
        <v>384</v>
      </c>
      <c r="E181" s="191" t="b">
        <v>1</v>
      </c>
      <c r="K181" s="191" t="s">
        <v>92</v>
      </c>
      <c r="L181" s="191">
        <v>335</v>
      </c>
      <c r="M181" s="191" t="s">
        <v>93</v>
      </c>
    </row>
    <row r="182" spans="1:13" x14ac:dyDescent="0.25">
      <c r="A182" s="148" t="s">
        <v>323</v>
      </c>
      <c r="B182" s="191">
        <v>22</v>
      </c>
      <c r="C182" s="191">
        <v>380</v>
      </c>
      <c r="E182" s="191" t="b">
        <v>1</v>
      </c>
      <c r="K182" s="191" t="s">
        <v>92</v>
      </c>
      <c r="L182" s="191">
        <v>335</v>
      </c>
      <c r="M182" s="191" t="s">
        <v>93</v>
      </c>
    </row>
    <row r="183" spans="1:13" x14ac:dyDescent="0.25">
      <c r="A183" s="148" t="s">
        <v>323</v>
      </c>
      <c r="B183" s="191">
        <v>23</v>
      </c>
      <c r="C183" s="191">
        <v>382</v>
      </c>
      <c r="E183" s="191" t="b">
        <v>1</v>
      </c>
      <c r="K183" s="191" t="s">
        <v>92</v>
      </c>
      <c r="L183" s="191">
        <v>335</v>
      </c>
      <c r="M183" s="191" t="s">
        <v>93</v>
      </c>
    </row>
    <row r="184" spans="1:13" x14ac:dyDescent="0.25">
      <c r="A184" s="148" t="s">
        <v>323</v>
      </c>
      <c r="B184" s="191">
        <v>24</v>
      </c>
      <c r="C184" s="191">
        <v>379</v>
      </c>
      <c r="E184" s="191" t="b">
        <v>1</v>
      </c>
      <c r="K184" s="191" t="s">
        <v>92</v>
      </c>
      <c r="L184" s="191">
        <v>335</v>
      </c>
      <c r="M184" s="191" t="s">
        <v>93</v>
      </c>
    </row>
    <row r="185" spans="1:13" x14ac:dyDescent="0.25">
      <c r="A185" s="148" t="s">
        <v>323</v>
      </c>
      <c r="B185" s="191">
        <v>25</v>
      </c>
      <c r="C185" s="191">
        <v>380</v>
      </c>
      <c r="E185" s="191" t="b">
        <v>1</v>
      </c>
      <c r="K185" s="191" t="s">
        <v>92</v>
      </c>
      <c r="L185" s="191">
        <v>335</v>
      </c>
      <c r="M185" s="191" t="s">
        <v>93</v>
      </c>
    </row>
    <row r="186" spans="1:13" x14ac:dyDescent="0.25">
      <c r="A186" s="148" t="s">
        <v>323</v>
      </c>
      <c r="B186" s="191">
        <v>26</v>
      </c>
      <c r="C186" s="191">
        <v>370</v>
      </c>
      <c r="E186" s="191" t="b">
        <v>1</v>
      </c>
      <c r="K186" s="191" t="s">
        <v>92</v>
      </c>
      <c r="L186" s="191">
        <v>335</v>
      </c>
      <c r="M186" s="191" t="s">
        <v>93</v>
      </c>
    </row>
    <row r="187" spans="1:13" x14ac:dyDescent="0.25">
      <c r="A187" s="148" t="s">
        <v>323</v>
      </c>
      <c r="B187" s="191">
        <v>27</v>
      </c>
      <c r="C187" s="191">
        <v>382</v>
      </c>
      <c r="E187" s="191" t="b">
        <v>1</v>
      </c>
      <c r="K187" s="191" t="s">
        <v>92</v>
      </c>
      <c r="L187" s="191">
        <v>335</v>
      </c>
      <c r="M187" s="191" t="s">
        <v>93</v>
      </c>
    </row>
    <row r="188" spans="1:13" x14ac:dyDescent="0.25">
      <c r="A188" s="148" t="s">
        <v>323</v>
      </c>
      <c r="B188" s="191">
        <v>28</v>
      </c>
      <c r="C188" s="191">
        <v>382</v>
      </c>
      <c r="E188" s="191" t="b">
        <v>1</v>
      </c>
      <c r="K188" s="191" t="s">
        <v>92</v>
      </c>
      <c r="L188" s="191">
        <v>335</v>
      </c>
      <c r="M188" s="191" t="s">
        <v>93</v>
      </c>
    </row>
    <row r="189" spans="1:13" x14ac:dyDescent="0.25">
      <c r="A189" s="148" t="s">
        <v>328</v>
      </c>
      <c r="B189" s="191">
        <v>1</v>
      </c>
      <c r="C189" s="191">
        <v>378</v>
      </c>
      <c r="E189" s="191" t="b">
        <v>1</v>
      </c>
      <c r="K189" s="191" t="s">
        <v>92</v>
      </c>
      <c r="L189" s="191">
        <v>335</v>
      </c>
      <c r="M189" s="191" t="s">
        <v>94</v>
      </c>
    </row>
    <row r="190" spans="1:13" x14ac:dyDescent="0.25">
      <c r="A190" s="148" t="s">
        <v>328</v>
      </c>
      <c r="B190" s="191">
        <v>2</v>
      </c>
      <c r="C190" s="191">
        <v>382</v>
      </c>
      <c r="E190" s="191" t="b">
        <v>1</v>
      </c>
      <c r="K190" s="191" t="s">
        <v>92</v>
      </c>
      <c r="L190" s="191">
        <v>335</v>
      </c>
      <c r="M190" s="191" t="s">
        <v>94</v>
      </c>
    </row>
    <row r="191" spans="1:13" x14ac:dyDescent="0.25">
      <c r="A191" s="148" t="s">
        <v>328</v>
      </c>
      <c r="B191" s="191">
        <v>3</v>
      </c>
      <c r="C191" s="191">
        <v>372</v>
      </c>
      <c r="E191" s="191" t="b">
        <v>1</v>
      </c>
      <c r="K191" s="191" t="s">
        <v>92</v>
      </c>
      <c r="L191" s="191">
        <v>335</v>
      </c>
      <c r="M191" s="191" t="s">
        <v>94</v>
      </c>
    </row>
    <row r="192" spans="1:13" x14ac:dyDescent="0.25">
      <c r="A192" s="148" t="s">
        <v>328</v>
      </c>
      <c r="B192" s="191">
        <v>4</v>
      </c>
      <c r="C192" s="191">
        <v>376</v>
      </c>
      <c r="E192" s="191" t="b">
        <v>1</v>
      </c>
      <c r="F192" s="191">
        <v>29.7</v>
      </c>
      <c r="G192" s="191">
        <v>30.5</v>
      </c>
      <c r="H192" s="191">
        <v>278</v>
      </c>
      <c r="I192" s="191" t="s">
        <v>10</v>
      </c>
      <c r="K192" s="191" t="s">
        <v>92</v>
      </c>
      <c r="L192" s="191">
        <v>335</v>
      </c>
      <c r="M192" s="191" t="s">
        <v>94</v>
      </c>
    </row>
    <row r="193" spans="1:13" x14ac:dyDescent="0.25">
      <c r="A193" s="148" t="s">
        <v>328</v>
      </c>
      <c r="B193" s="191">
        <v>5</v>
      </c>
      <c r="C193" s="191">
        <v>375</v>
      </c>
      <c r="E193" s="191" t="b">
        <v>1</v>
      </c>
      <c r="K193" s="191" t="s">
        <v>92</v>
      </c>
      <c r="L193" s="191">
        <v>335</v>
      </c>
      <c r="M193" s="191" t="s">
        <v>94</v>
      </c>
    </row>
    <row r="194" spans="1:13" x14ac:dyDescent="0.25">
      <c r="A194" s="148" t="s">
        <v>328</v>
      </c>
      <c r="B194" s="191">
        <v>6</v>
      </c>
      <c r="C194" s="191">
        <v>383</v>
      </c>
      <c r="E194" s="191" t="b">
        <v>1</v>
      </c>
      <c r="K194" s="191" t="s">
        <v>92</v>
      </c>
      <c r="L194" s="191">
        <v>335</v>
      </c>
      <c r="M194" s="191" t="s">
        <v>94</v>
      </c>
    </row>
    <row r="195" spans="1:13" x14ac:dyDescent="0.25">
      <c r="A195" s="148" t="s">
        <v>328</v>
      </c>
      <c r="B195" s="191">
        <v>7</v>
      </c>
      <c r="C195" s="191">
        <v>378</v>
      </c>
      <c r="E195" s="191" t="b">
        <v>1</v>
      </c>
      <c r="K195" s="191" t="s">
        <v>92</v>
      </c>
      <c r="L195" s="191">
        <v>335</v>
      </c>
      <c r="M195" s="191" t="s">
        <v>94</v>
      </c>
    </row>
    <row r="196" spans="1:13" x14ac:dyDescent="0.25">
      <c r="A196" s="148" t="s">
        <v>328</v>
      </c>
      <c r="B196" s="191">
        <v>8</v>
      </c>
      <c r="C196" s="191">
        <v>386</v>
      </c>
      <c r="E196" s="191" t="b">
        <v>1</v>
      </c>
      <c r="K196" s="191" t="s">
        <v>92</v>
      </c>
      <c r="L196" s="191">
        <v>335</v>
      </c>
      <c r="M196" s="191" t="s">
        <v>94</v>
      </c>
    </row>
    <row r="197" spans="1:13" x14ac:dyDescent="0.25">
      <c r="A197" s="148" t="s">
        <v>328</v>
      </c>
      <c r="B197" s="191">
        <v>9</v>
      </c>
      <c r="C197" s="191">
        <v>377</v>
      </c>
      <c r="E197" s="191" t="b">
        <v>1</v>
      </c>
      <c r="K197" s="191" t="s">
        <v>92</v>
      </c>
      <c r="L197" s="191">
        <v>335</v>
      </c>
      <c r="M197" s="191" t="s">
        <v>94</v>
      </c>
    </row>
    <row r="198" spans="1:13" x14ac:dyDescent="0.25">
      <c r="A198" s="148" t="s">
        <v>328</v>
      </c>
      <c r="B198" s="191">
        <v>10</v>
      </c>
      <c r="C198" s="191">
        <v>385</v>
      </c>
      <c r="E198" s="191" t="b">
        <v>1</v>
      </c>
      <c r="K198" s="191" t="s">
        <v>92</v>
      </c>
      <c r="L198" s="191">
        <v>335</v>
      </c>
      <c r="M198" s="191" t="s">
        <v>94</v>
      </c>
    </row>
    <row r="199" spans="1:13" x14ac:dyDescent="0.25">
      <c r="A199" s="148" t="s">
        <v>328</v>
      </c>
      <c r="B199" s="191">
        <v>11</v>
      </c>
      <c r="C199" s="191">
        <v>380</v>
      </c>
      <c r="E199" s="191" t="b">
        <v>1</v>
      </c>
      <c r="F199" s="191">
        <v>28.3</v>
      </c>
      <c r="G199" s="191">
        <v>29.1</v>
      </c>
      <c r="K199" s="191" t="s">
        <v>92</v>
      </c>
      <c r="L199" s="191">
        <v>335</v>
      </c>
      <c r="M199" s="191" t="s">
        <v>94</v>
      </c>
    </row>
    <row r="200" spans="1:13" x14ac:dyDescent="0.25">
      <c r="A200" s="148" t="s">
        <v>328</v>
      </c>
      <c r="B200" s="191">
        <v>12</v>
      </c>
      <c r="C200" s="191">
        <v>378</v>
      </c>
      <c r="E200" s="191" t="b">
        <v>1</v>
      </c>
      <c r="K200" s="191" t="s">
        <v>92</v>
      </c>
      <c r="L200" s="191">
        <v>335</v>
      </c>
      <c r="M200" s="191" t="s">
        <v>94</v>
      </c>
    </row>
    <row r="201" spans="1:13" x14ac:dyDescent="0.25">
      <c r="A201" s="148" t="s">
        <v>328</v>
      </c>
      <c r="B201" s="191">
        <v>13</v>
      </c>
      <c r="C201" s="191">
        <v>377</v>
      </c>
      <c r="E201" s="191" t="b">
        <v>1</v>
      </c>
      <c r="K201" s="191" t="s">
        <v>92</v>
      </c>
      <c r="L201" s="191">
        <v>335</v>
      </c>
      <c r="M201" s="191" t="s">
        <v>94</v>
      </c>
    </row>
    <row r="202" spans="1:13" x14ac:dyDescent="0.25">
      <c r="A202" s="148" t="s">
        <v>328</v>
      </c>
      <c r="B202" s="191">
        <v>14</v>
      </c>
      <c r="C202" s="191">
        <v>368</v>
      </c>
      <c r="E202" s="191" t="b">
        <v>1</v>
      </c>
      <c r="K202" s="191" t="s">
        <v>92</v>
      </c>
      <c r="L202" s="191">
        <v>335</v>
      </c>
      <c r="M202" s="191" t="s">
        <v>94</v>
      </c>
    </row>
    <row r="203" spans="1:13" x14ac:dyDescent="0.25">
      <c r="A203" s="148" t="s">
        <v>328</v>
      </c>
      <c r="B203" s="191">
        <v>15</v>
      </c>
      <c r="C203" s="191">
        <v>378</v>
      </c>
      <c r="E203" s="191" t="b">
        <v>1</v>
      </c>
      <c r="H203" s="191">
        <v>282</v>
      </c>
      <c r="I203" s="191" t="s">
        <v>10</v>
      </c>
      <c r="K203" s="191" t="s">
        <v>92</v>
      </c>
      <c r="L203" s="191">
        <v>335</v>
      </c>
      <c r="M203" s="191" t="s">
        <v>94</v>
      </c>
    </row>
    <row r="204" spans="1:13" x14ac:dyDescent="0.25">
      <c r="A204" s="148" t="s">
        <v>328</v>
      </c>
      <c r="B204" s="191">
        <v>16</v>
      </c>
      <c r="C204" s="191">
        <v>389</v>
      </c>
      <c r="E204" s="191" t="b">
        <v>1</v>
      </c>
      <c r="K204" s="191" t="s">
        <v>92</v>
      </c>
      <c r="L204" s="191">
        <v>335</v>
      </c>
      <c r="M204" s="191" t="s">
        <v>94</v>
      </c>
    </row>
    <row r="205" spans="1:13" x14ac:dyDescent="0.25">
      <c r="A205" s="148" t="s">
        <v>328</v>
      </c>
      <c r="B205" s="191">
        <v>17</v>
      </c>
      <c r="C205" s="191">
        <v>383</v>
      </c>
      <c r="E205" s="191" t="b">
        <v>1</v>
      </c>
      <c r="K205" s="191" t="s">
        <v>92</v>
      </c>
      <c r="L205" s="191">
        <v>335</v>
      </c>
      <c r="M205" s="191" t="s">
        <v>94</v>
      </c>
    </row>
    <row r="206" spans="1:13" x14ac:dyDescent="0.25">
      <c r="A206" s="148" t="s">
        <v>328</v>
      </c>
      <c r="B206" s="191">
        <v>18</v>
      </c>
      <c r="C206" s="191">
        <v>371</v>
      </c>
      <c r="E206" s="191" t="b">
        <v>1</v>
      </c>
      <c r="K206" s="191" t="s">
        <v>92</v>
      </c>
      <c r="L206" s="191">
        <v>335</v>
      </c>
      <c r="M206" s="191" t="s">
        <v>94</v>
      </c>
    </row>
    <row r="207" spans="1:13" x14ac:dyDescent="0.25">
      <c r="A207" s="148" t="s">
        <v>328</v>
      </c>
      <c r="B207" s="191">
        <v>19</v>
      </c>
      <c r="C207" s="191">
        <v>390</v>
      </c>
      <c r="E207" s="191" t="b">
        <v>1</v>
      </c>
      <c r="K207" s="191" t="s">
        <v>92</v>
      </c>
      <c r="L207" s="191">
        <v>335</v>
      </c>
      <c r="M207" s="191" t="s">
        <v>94</v>
      </c>
    </row>
    <row r="208" spans="1:13" x14ac:dyDescent="0.25">
      <c r="A208" s="148" t="s">
        <v>328</v>
      </c>
      <c r="B208" s="191">
        <v>20</v>
      </c>
      <c r="C208" s="191">
        <v>381</v>
      </c>
      <c r="E208" s="191" t="b">
        <v>1</v>
      </c>
      <c r="K208" s="191" t="s">
        <v>92</v>
      </c>
      <c r="L208" s="191">
        <v>335</v>
      </c>
      <c r="M208" s="191" t="s">
        <v>94</v>
      </c>
    </row>
    <row r="209" spans="1:13" x14ac:dyDescent="0.25">
      <c r="A209" s="148" t="s">
        <v>328</v>
      </c>
      <c r="B209" s="191">
        <v>21</v>
      </c>
      <c r="C209" s="191">
        <v>382</v>
      </c>
      <c r="E209" s="191" t="b">
        <v>1</v>
      </c>
      <c r="F209" s="191">
        <v>28.6</v>
      </c>
      <c r="G209" s="191">
        <v>30.3</v>
      </c>
      <c r="K209" s="191" t="s">
        <v>92</v>
      </c>
      <c r="L209" s="191">
        <v>335</v>
      </c>
      <c r="M209" s="191" t="s">
        <v>94</v>
      </c>
    </row>
    <row r="210" spans="1:13" x14ac:dyDescent="0.25">
      <c r="A210" s="148" t="s">
        <v>328</v>
      </c>
      <c r="B210" s="191">
        <v>22</v>
      </c>
      <c r="C210" s="191">
        <v>384</v>
      </c>
      <c r="E210" s="191" t="b">
        <v>1</v>
      </c>
      <c r="K210" s="191" t="s">
        <v>92</v>
      </c>
      <c r="L210" s="191">
        <v>335</v>
      </c>
      <c r="M210" s="191" t="s">
        <v>94</v>
      </c>
    </row>
    <row r="211" spans="1:13" x14ac:dyDescent="0.25">
      <c r="A211" s="148" t="s">
        <v>328</v>
      </c>
      <c r="B211" s="191">
        <v>23</v>
      </c>
      <c r="C211" s="191">
        <v>376</v>
      </c>
      <c r="E211" s="191" t="b">
        <v>1</v>
      </c>
      <c r="K211" s="191" t="s">
        <v>92</v>
      </c>
      <c r="L211" s="191">
        <v>335</v>
      </c>
      <c r="M211" s="191" t="s">
        <v>94</v>
      </c>
    </row>
    <row r="212" spans="1:13" x14ac:dyDescent="0.25">
      <c r="A212" s="148" t="s">
        <v>328</v>
      </c>
      <c r="B212" s="191">
        <v>24</v>
      </c>
      <c r="C212" s="191">
        <v>382</v>
      </c>
      <c r="E212" s="191" t="b">
        <v>1</v>
      </c>
      <c r="K212" s="191" t="s">
        <v>92</v>
      </c>
      <c r="L212" s="191">
        <v>335</v>
      </c>
      <c r="M212" s="191" t="s">
        <v>94</v>
      </c>
    </row>
    <row r="213" spans="1:13" x14ac:dyDescent="0.25">
      <c r="A213" s="148" t="s">
        <v>328</v>
      </c>
      <c r="B213" s="191">
        <v>25</v>
      </c>
      <c r="C213" s="191">
        <v>386</v>
      </c>
      <c r="E213" s="191" t="b">
        <v>1</v>
      </c>
      <c r="K213" s="191" t="s">
        <v>92</v>
      </c>
      <c r="L213" s="191">
        <v>335</v>
      </c>
      <c r="M213" s="191" t="s">
        <v>94</v>
      </c>
    </row>
    <row r="214" spans="1:13" x14ac:dyDescent="0.25">
      <c r="A214" s="148" t="s">
        <v>328</v>
      </c>
      <c r="B214" s="191">
        <v>26</v>
      </c>
      <c r="C214" s="191">
        <v>389</v>
      </c>
      <c r="E214" s="191" t="b">
        <v>1</v>
      </c>
      <c r="K214" s="191" t="s">
        <v>92</v>
      </c>
      <c r="L214" s="191">
        <v>335</v>
      </c>
      <c r="M214" s="191" t="s">
        <v>94</v>
      </c>
    </row>
    <row r="215" spans="1:13" x14ac:dyDescent="0.25">
      <c r="A215" s="148" t="s">
        <v>332</v>
      </c>
      <c r="B215" s="191">
        <v>1</v>
      </c>
      <c r="C215" s="191">
        <v>371</v>
      </c>
      <c r="E215" s="191" t="b">
        <v>1</v>
      </c>
      <c r="K215" s="191" t="s">
        <v>92</v>
      </c>
      <c r="L215" s="191">
        <v>336</v>
      </c>
      <c r="M215" s="191" t="s">
        <v>93</v>
      </c>
    </row>
    <row r="216" spans="1:13" x14ac:dyDescent="0.25">
      <c r="A216" s="148" t="s">
        <v>332</v>
      </c>
      <c r="B216" s="191">
        <v>2</v>
      </c>
      <c r="C216" s="191">
        <v>393</v>
      </c>
      <c r="E216" s="191" t="b">
        <v>1</v>
      </c>
      <c r="K216" s="191" t="s">
        <v>92</v>
      </c>
      <c r="L216" s="191">
        <v>336</v>
      </c>
      <c r="M216" s="191" t="s">
        <v>93</v>
      </c>
    </row>
    <row r="217" spans="1:13" x14ac:dyDescent="0.25">
      <c r="A217" s="148" t="s">
        <v>332</v>
      </c>
      <c r="B217" s="191">
        <v>3</v>
      </c>
      <c r="C217" s="191">
        <v>383</v>
      </c>
      <c r="E217" s="191" t="b">
        <v>1</v>
      </c>
      <c r="K217" s="191" t="s">
        <v>92</v>
      </c>
      <c r="L217" s="191">
        <v>336</v>
      </c>
      <c r="M217" s="191" t="s">
        <v>93</v>
      </c>
    </row>
    <row r="218" spans="1:13" x14ac:dyDescent="0.25">
      <c r="A218" s="148" t="s">
        <v>332</v>
      </c>
      <c r="B218" s="191">
        <v>4</v>
      </c>
      <c r="C218" s="191">
        <v>389</v>
      </c>
      <c r="E218" s="191" t="b">
        <v>1</v>
      </c>
      <c r="F218" s="191">
        <v>32.6</v>
      </c>
      <c r="G218" s="191">
        <v>29.4</v>
      </c>
      <c r="H218" s="191">
        <v>278</v>
      </c>
      <c r="I218" s="191" t="s">
        <v>10</v>
      </c>
      <c r="K218" s="191" t="s">
        <v>92</v>
      </c>
      <c r="L218" s="191">
        <v>336</v>
      </c>
      <c r="M218" s="191" t="s">
        <v>93</v>
      </c>
    </row>
    <row r="219" spans="1:13" x14ac:dyDescent="0.25">
      <c r="A219" s="148" t="s">
        <v>332</v>
      </c>
      <c r="B219" s="191">
        <v>5</v>
      </c>
      <c r="C219" s="191">
        <v>376</v>
      </c>
      <c r="E219" s="191" t="b">
        <v>1</v>
      </c>
      <c r="K219" s="191" t="s">
        <v>92</v>
      </c>
      <c r="L219" s="191">
        <v>336</v>
      </c>
      <c r="M219" s="191" t="s">
        <v>93</v>
      </c>
    </row>
    <row r="220" spans="1:13" x14ac:dyDescent="0.25">
      <c r="A220" s="148" t="s">
        <v>332</v>
      </c>
      <c r="B220" s="191">
        <v>6</v>
      </c>
      <c r="C220" s="191">
        <v>377</v>
      </c>
      <c r="E220" s="191" t="b">
        <v>1</v>
      </c>
      <c r="K220" s="191" t="s">
        <v>92</v>
      </c>
      <c r="L220" s="191">
        <v>336</v>
      </c>
      <c r="M220" s="191" t="s">
        <v>93</v>
      </c>
    </row>
    <row r="221" spans="1:13" x14ac:dyDescent="0.25">
      <c r="A221" s="148" t="s">
        <v>332</v>
      </c>
      <c r="B221" s="191">
        <v>7</v>
      </c>
      <c r="C221" s="191">
        <v>378</v>
      </c>
      <c r="E221" s="191" t="b">
        <v>1</v>
      </c>
      <c r="K221" s="191" t="s">
        <v>92</v>
      </c>
      <c r="L221" s="191">
        <v>336</v>
      </c>
      <c r="M221" s="191" t="s">
        <v>93</v>
      </c>
    </row>
    <row r="222" spans="1:13" x14ac:dyDescent="0.25">
      <c r="A222" s="148" t="s">
        <v>332</v>
      </c>
      <c r="B222" s="191">
        <v>8</v>
      </c>
      <c r="C222" s="191">
        <v>385</v>
      </c>
      <c r="E222" s="191" t="b">
        <v>1</v>
      </c>
      <c r="K222" s="191" t="s">
        <v>92</v>
      </c>
      <c r="L222" s="191">
        <v>336</v>
      </c>
      <c r="M222" s="191" t="s">
        <v>93</v>
      </c>
    </row>
    <row r="223" spans="1:13" x14ac:dyDescent="0.25">
      <c r="A223" s="148" t="s">
        <v>332</v>
      </c>
      <c r="B223" s="191">
        <v>9</v>
      </c>
      <c r="C223" s="191">
        <v>389</v>
      </c>
      <c r="E223" s="191" t="b">
        <v>1</v>
      </c>
      <c r="K223" s="191" t="s">
        <v>92</v>
      </c>
      <c r="L223" s="191">
        <v>336</v>
      </c>
      <c r="M223" s="191" t="s">
        <v>93</v>
      </c>
    </row>
    <row r="224" spans="1:13" x14ac:dyDescent="0.25">
      <c r="A224" s="148" t="s">
        <v>332</v>
      </c>
      <c r="B224" s="191">
        <v>10</v>
      </c>
      <c r="C224" s="191">
        <v>384</v>
      </c>
      <c r="E224" s="191" t="b">
        <v>1</v>
      </c>
      <c r="K224" s="191" t="s">
        <v>92</v>
      </c>
      <c r="L224" s="191">
        <v>336</v>
      </c>
      <c r="M224" s="191" t="s">
        <v>93</v>
      </c>
    </row>
    <row r="225" spans="1:13" x14ac:dyDescent="0.25">
      <c r="A225" s="148" t="s">
        <v>332</v>
      </c>
      <c r="B225" s="191">
        <v>11</v>
      </c>
      <c r="C225" s="191">
        <v>385</v>
      </c>
      <c r="E225" s="191" t="b">
        <v>1</v>
      </c>
      <c r="K225" s="191" t="s">
        <v>92</v>
      </c>
      <c r="L225" s="191">
        <v>336</v>
      </c>
      <c r="M225" s="191" t="s">
        <v>93</v>
      </c>
    </row>
    <row r="226" spans="1:13" x14ac:dyDescent="0.25">
      <c r="A226" s="148" t="s">
        <v>332</v>
      </c>
      <c r="B226" s="191">
        <v>12</v>
      </c>
      <c r="C226" s="191">
        <v>386</v>
      </c>
      <c r="E226" s="191" t="b">
        <v>1</v>
      </c>
      <c r="K226" s="191" t="s">
        <v>92</v>
      </c>
      <c r="L226" s="191">
        <v>336</v>
      </c>
      <c r="M226" s="191" t="s">
        <v>93</v>
      </c>
    </row>
    <row r="227" spans="1:13" x14ac:dyDescent="0.25">
      <c r="A227" s="148" t="s">
        <v>332</v>
      </c>
      <c r="B227" s="191">
        <v>13</v>
      </c>
      <c r="C227" s="191">
        <v>382</v>
      </c>
      <c r="E227" s="191" t="b">
        <v>1</v>
      </c>
      <c r="K227" s="191" t="s">
        <v>92</v>
      </c>
      <c r="L227" s="191">
        <v>336</v>
      </c>
      <c r="M227" s="191" t="s">
        <v>93</v>
      </c>
    </row>
    <row r="228" spans="1:13" x14ac:dyDescent="0.25">
      <c r="A228" s="148" t="s">
        <v>332</v>
      </c>
      <c r="B228" s="191">
        <v>14</v>
      </c>
      <c r="C228" s="191">
        <v>377</v>
      </c>
      <c r="E228" s="191" t="b">
        <v>1</v>
      </c>
      <c r="F228" s="191">
        <v>31.9</v>
      </c>
      <c r="G228" s="191">
        <v>27.9</v>
      </c>
      <c r="K228" s="191" t="s">
        <v>92</v>
      </c>
      <c r="L228" s="191">
        <v>336</v>
      </c>
      <c r="M228" s="191" t="s">
        <v>93</v>
      </c>
    </row>
    <row r="229" spans="1:13" x14ac:dyDescent="0.25">
      <c r="A229" s="148" t="s">
        <v>332</v>
      </c>
      <c r="B229" s="191">
        <v>15</v>
      </c>
      <c r="C229" s="191">
        <v>381</v>
      </c>
      <c r="E229" s="191" t="b">
        <v>1</v>
      </c>
      <c r="H229" s="191">
        <v>282</v>
      </c>
      <c r="I229" s="191" t="s">
        <v>10</v>
      </c>
      <c r="K229" s="191" t="s">
        <v>92</v>
      </c>
      <c r="L229" s="191">
        <v>336</v>
      </c>
      <c r="M229" s="191" t="s">
        <v>93</v>
      </c>
    </row>
    <row r="230" spans="1:13" x14ac:dyDescent="0.25">
      <c r="A230" s="148" t="s">
        <v>332</v>
      </c>
      <c r="B230" s="191">
        <v>16</v>
      </c>
      <c r="C230" s="191">
        <v>383</v>
      </c>
      <c r="E230" s="191" t="b">
        <v>1</v>
      </c>
      <c r="K230" s="191" t="s">
        <v>92</v>
      </c>
      <c r="L230" s="191">
        <v>336</v>
      </c>
      <c r="M230" s="191" t="s">
        <v>93</v>
      </c>
    </row>
    <row r="231" spans="1:13" x14ac:dyDescent="0.25">
      <c r="A231" s="148" t="s">
        <v>332</v>
      </c>
      <c r="B231" s="191">
        <v>17</v>
      </c>
      <c r="C231" s="191">
        <v>389</v>
      </c>
      <c r="E231" s="191" t="b">
        <v>1</v>
      </c>
      <c r="K231" s="191" t="s">
        <v>92</v>
      </c>
      <c r="L231" s="191">
        <v>336</v>
      </c>
      <c r="M231" s="191" t="s">
        <v>93</v>
      </c>
    </row>
    <row r="232" spans="1:13" x14ac:dyDescent="0.25">
      <c r="A232" s="148" t="s">
        <v>332</v>
      </c>
      <c r="B232" s="191">
        <v>18</v>
      </c>
      <c r="C232" s="191">
        <v>385</v>
      </c>
      <c r="E232" s="191" t="b">
        <v>1</v>
      </c>
      <c r="K232" s="191" t="s">
        <v>92</v>
      </c>
      <c r="L232" s="191">
        <v>336</v>
      </c>
      <c r="M232" s="191" t="s">
        <v>93</v>
      </c>
    </row>
    <row r="233" spans="1:13" x14ac:dyDescent="0.25">
      <c r="A233" s="148" t="s">
        <v>332</v>
      </c>
      <c r="B233" s="191">
        <v>19</v>
      </c>
      <c r="C233" s="191">
        <v>381</v>
      </c>
      <c r="E233" s="191" t="b">
        <v>1</v>
      </c>
      <c r="K233" s="191" t="s">
        <v>92</v>
      </c>
      <c r="L233" s="191">
        <v>336</v>
      </c>
      <c r="M233" s="191" t="s">
        <v>93</v>
      </c>
    </row>
    <row r="234" spans="1:13" x14ac:dyDescent="0.25">
      <c r="A234" s="148" t="s">
        <v>332</v>
      </c>
      <c r="B234" s="191">
        <v>20</v>
      </c>
      <c r="C234" s="191">
        <v>388</v>
      </c>
      <c r="E234" s="191" t="b">
        <v>1</v>
      </c>
      <c r="K234" s="191" t="s">
        <v>92</v>
      </c>
      <c r="L234" s="191">
        <v>336</v>
      </c>
      <c r="M234" s="191" t="s">
        <v>93</v>
      </c>
    </row>
    <row r="235" spans="1:13" x14ac:dyDescent="0.25">
      <c r="A235" s="148" t="s">
        <v>332</v>
      </c>
      <c r="B235" s="191">
        <v>21</v>
      </c>
      <c r="C235" s="191">
        <v>373</v>
      </c>
      <c r="E235" s="191" t="b">
        <v>1</v>
      </c>
      <c r="K235" s="191" t="s">
        <v>92</v>
      </c>
      <c r="L235" s="191">
        <v>336</v>
      </c>
      <c r="M235" s="191" t="s">
        <v>93</v>
      </c>
    </row>
    <row r="236" spans="1:13" x14ac:dyDescent="0.25">
      <c r="A236" s="148" t="s">
        <v>332</v>
      </c>
      <c r="B236" s="191">
        <v>22</v>
      </c>
      <c r="C236" s="191">
        <v>382</v>
      </c>
      <c r="E236" s="191" t="b">
        <v>1</v>
      </c>
      <c r="K236" s="191" t="s">
        <v>92</v>
      </c>
      <c r="L236" s="191">
        <v>336</v>
      </c>
      <c r="M236" s="191" t="s">
        <v>93</v>
      </c>
    </row>
    <row r="237" spans="1:13" x14ac:dyDescent="0.25">
      <c r="A237" s="148" t="s">
        <v>332</v>
      </c>
      <c r="B237" s="191">
        <v>23</v>
      </c>
      <c r="C237" s="191">
        <v>391</v>
      </c>
      <c r="E237" s="191" t="b">
        <v>1</v>
      </c>
      <c r="K237" s="191" t="s">
        <v>92</v>
      </c>
      <c r="L237" s="191">
        <v>336</v>
      </c>
      <c r="M237" s="191" t="s">
        <v>93</v>
      </c>
    </row>
    <row r="238" spans="1:13" x14ac:dyDescent="0.25">
      <c r="A238" s="148" t="s">
        <v>332</v>
      </c>
      <c r="B238" s="191">
        <v>24</v>
      </c>
      <c r="C238" s="191">
        <v>389</v>
      </c>
      <c r="E238" s="191" t="b">
        <v>1</v>
      </c>
      <c r="K238" s="191" t="s">
        <v>92</v>
      </c>
      <c r="L238" s="191">
        <v>336</v>
      </c>
      <c r="M238" s="191" t="s">
        <v>93</v>
      </c>
    </row>
    <row r="239" spans="1:13" x14ac:dyDescent="0.25">
      <c r="A239" s="148" t="s">
        <v>332</v>
      </c>
      <c r="B239" s="191">
        <v>25</v>
      </c>
      <c r="C239" s="191">
        <v>384</v>
      </c>
      <c r="E239" s="191" t="b">
        <v>1</v>
      </c>
      <c r="K239" s="191" t="s">
        <v>92</v>
      </c>
      <c r="L239" s="191">
        <v>336</v>
      </c>
      <c r="M239" s="191" t="s">
        <v>93</v>
      </c>
    </row>
    <row r="240" spans="1:13" x14ac:dyDescent="0.25">
      <c r="A240" s="148" t="s">
        <v>332</v>
      </c>
      <c r="B240" s="191">
        <v>26</v>
      </c>
      <c r="C240" s="191">
        <v>389</v>
      </c>
      <c r="E240" s="191" t="b">
        <v>1</v>
      </c>
      <c r="K240" s="191" t="s">
        <v>92</v>
      </c>
      <c r="L240" s="191">
        <v>336</v>
      </c>
      <c r="M240" s="191" t="s">
        <v>93</v>
      </c>
    </row>
    <row r="241" spans="1:13" x14ac:dyDescent="0.25">
      <c r="A241" s="148" t="s">
        <v>332</v>
      </c>
      <c r="B241" s="191">
        <v>27</v>
      </c>
      <c r="C241" s="191">
        <v>381</v>
      </c>
      <c r="E241" s="191" t="b">
        <v>1</v>
      </c>
      <c r="K241" s="191" t="s">
        <v>92</v>
      </c>
      <c r="L241" s="191">
        <v>336</v>
      </c>
      <c r="M241" s="191" t="s">
        <v>93</v>
      </c>
    </row>
    <row r="242" spans="1:13" x14ac:dyDescent="0.25">
      <c r="A242" s="148" t="s">
        <v>335</v>
      </c>
      <c r="B242" s="191">
        <v>1</v>
      </c>
      <c r="C242" s="191">
        <v>371</v>
      </c>
      <c r="E242" s="191" t="b">
        <v>1</v>
      </c>
      <c r="K242" s="191" t="s">
        <v>92</v>
      </c>
      <c r="L242" s="191">
        <v>339</v>
      </c>
      <c r="M242" s="191" t="s">
        <v>93</v>
      </c>
    </row>
    <row r="243" spans="1:13" x14ac:dyDescent="0.25">
      <c r="A243" s="148" t="s">
        <v>335</v>
      </c>
      <c r="B243" s="191">
        <v>2</v>
      </c>
      <c r="C243" s="191">
        <v>393</v>
      </c>
      <c r="E243" s="191" t="b">
        <v>1</v>
      </c>
      <c r="H243" s="191">
        <v>270</v>
      </c>
      <c r="I243" s="191" t="s">
        <v>82</v>
      </c>
      <c r="K243" s="191" t="s">
        <v>92</v>
      </c>
      <c r="L243" s="191">
        <v>339</v>
      </c>
      <c r="M243" s="191" t="s">
        <v>93</v>
      </c>
    </row>
    <row r="244" spans="1:13" x14ac:dyDescent="0.25">
      <c r="A244" s="148" t="s">
        <v>335</v>
      </c>
      <c r="B244" s="191">
        <v>3</v>
      </c>
      <c r="C244" s="191">
        <v>383</v>
      </c>
      <c r="E244" s="191" t="b">
        <v>1</v>
      </c>
      <c r="H244" s="191">
        <v>281</v>
      </c>
      <c r="I244" s="191" t="s">
        <v>82</v>
      </c>
      <c r="K244" s="191" t="s">
        <v>92</v>
      </c>
      <c r="L244" s="191">
        <v>339</v>
      </c>
      <c r="M244" s="191" t="s">
        <v>93</v>
      </c>
    </row>
    <row r="245" spans="1:13" x14ac:dyDescent="0.25">
      <c r="A245" s="148" t="s">
        <v>335</v>
      </c>
      <c r="B245" s="191">
        <v>4</v>
      </c>
      <c r="C245" s="191">
        <v>389</v>
      </c>
      <c r="E245" s="191" t="b">
        <v>1</v>
      </c>
      <c r="F245" s="191">
        <v>38.4</v>
      </c>
      <c r="G245" s="191">
        <v>38.200000000000003</v>
      </c>
      <c r="K245" s="191" t="s">
        <v>92</v>
      </c>
      <c r="L245" s="191">
        <v>339</v>
      </c>
      <c r="M245" s="191" t="s">
        <v>93</v>
      </c>
    </row>
    <row r="246" spans="1:13" x14ac:dyDescent="0.25">
      <c r="A246" s="148" t="s">
        <v>335</v>
      </c>
      <c r="B246" s="191">
        <v>5</v>
      </c>
      <c r="C246" s="191">
        <v>376</v>
      </c>
      <c r="E246" s="191" t="b">
        <v>1</v>
      </c>
      <c r="K246" s="191" t="s">
        <v>92</v>
      </c>
      <c r="L246" s="191">
        <v>339</v>
      </c>
      <c r="M246" s="191" t="s">
        <v>93</v>
      </c>
    </row>
    <row r="247" spans="1:13" x14ac:dyDescent="0.25">
      <c r="A247" s="148" t="s">
        <v>335</v>
      </c>
      <c r="B247" s="191">
        <v>6</v>
      </c>
      <c r="C247" s="191">
        <v>377</v>
      </c>
      <c r="E247" s="191" t="b">
        <v>1</v>
      </c>
      <c r="K247" s="191" t="s">
        <v>92</v>
      </c>
      <c r="L247" s="191">
        <v>339</v>
      </c>
      <c r="M247" s="191" t="s">
        <v>93</v>
      </c>
    </row>
    <row r="248" spans="1:13" x14ac:dyDescent="0.25">
      <c r="A248" s="148" t="s">
        <v>335</v>
      </c>
      <c r="B248" s="191">
        <v>7</v>
      </c>
      <c r="C248" s="191">
        <v>378</v>
      </c>
      <c r="E248" s="191" t="b">
        <v>1</v>
      </c>
      <c r="K248" s="191" t="s">
        <v>92</v>
      </c>
      <c r="L248" s="191">
        <v>339</v>
      </c>
      <c r="M248" s="191" t="s">
        <v>93</v>
      </c>
    </row>
    <row r="249" spans="1:13" x14ac:dyDescent="0.25">
      <c r="A249" s="148" t="s">
        <v>335</v>
      </c>
      <c r="B249" s="191">
        <v>8</v>
      </c>
      <c r="C249" s="191">
        <v>385</v>
      </c>
      <c r="E249" s="191" t="b">
        <v>1</v>
      </c>
      <c r="K249" s="191" t="s">
        <v>92</v>
      </c>
      <c r="L249" s="191">
        <v>339</v>
      </c>
      <c r="M249" s="191" t="s">
        <v>93</v>
      </c>
    </row>
    <row r="250" spans="1:13" x14ac:dyDescent="0.25">
      <c r="A250" s="148" t="s">
        <v>335</v>
      </c>
      <c r="B250" s="191">
        <v>9</v>
      </c>
      <c r="C250" s="191">
        <v>389</v>
      </c>
      <c r="E250" s="191" t="b">
        <v>1</v>
      </c>
      <c r="K250" s="191" t="s">
        <v>92</v>
      </c>
      <c r="L250" s="191">
        <v>339</v>
      </c>
      <c r="M250" s="191" t="s">
        <v>93</v>
      </c>
    </row>
    <row r="251" spans="1:13" x14ac:dyDescent="0.25">
      <c r="A251" s="148" t="s">
        <v>335</v>
      </c>
      <c r="B251" s="191">
        <v>10</v>
      </c>
      <c r="C251" s="191">
        <v>384</v>
      </c>
      <c r="E251" s="191" t="b">
        <v>1</v>
      </c>
      <c r="K251" s="191" t="s">
        <v>92</v>
      </c>
      <c r="L251" s="191">
        <v>339</v>
      </c>
      <c r="M251" s="191" t="s">
        <v>93</v>
      </c>
    </row>
    <row r="252" spans="1:13" x14ac:dyDescent="0.25">
      <c r="A252" s="148" t="s">
        <v>335</v>
      </c>
      <c r="B252" s="191">
        <v>11</v>
      </c>
      <c r="C252" s="191">
        <v>385</v>
      </c>
      <c r="E252" s="191" t="b">
        <v>1</v>
      </c>
      <c r="F252" s="191">
        <v>34.799999999999997</v>
      </c>
      <c r="G252" s="191">
        <v>37.5</v>
      </c>
      <c r="K252" s="191" t="s">
        <v>92</v>
      </c>
      <c r="L252" s="191">
        <v>339</v>
      </c>
      <c r="M252" s="191" t="s">
        <v>93</v>
      </c>
    </row>
    <row r="253" spans="1:13" x14ac:dyDescent="0.25">
      <c r="A253" s="148" t="s">
        <v>335</v>
      </c>
      <c r="B253" s="191">
        <v>12</v>
      </c>
      <c r="C253" s="191">
        <v>386</v>
      </c>
      <c r="E253" s="191" t="b">
        <v>1</v>
      </c>
      <c r="K253" s="191" t="s">
        <v>92</v>
      </c>
      <c r="L253" s="191">
        <v>339</v>
      </c>
      <c r="M253" s="191" t="s">
        <v>93</v>
      </c>
    </row>
    <row r="254" spans="1:13" x14ac:dyDescent="0.25">
      <c r="A254" s="148" t="s">
        <v>335</v>
      </c>
      <c r="B254" s="191">
        <v>13</v>
      </c>
      <c r="C254" s="191">
        <v>382</v>
      </c>
      <c r="E254" s="191" t="b">
        <v>1</v>
      </c>
      <c r="K254" s="191" t="s">
        <v>92</v>
      </c>
      <c r="L254" s="191">
        <v>339</v>
      </c>
      <c r="M254" s="191" t="s">
        <v>93</v>
      </c>
    </row>
    <row r="255" spans="1:13" x14ac:dyDescent="0.25">
      <c r="A255" s="148" t="s">
        <v>335</v>
      </c>
      <c r="B255" s="191">
        <v>14</v>
      </c>
      <c r="C255" s="191">
        <v>377</v>
      </c>
      <c r="E255" s="191" t="b">
        <v>1</v>
      </c>
      <c r="K255" s="191" t="s">
        <v>92</v>
      </c>
      <c r="L255" s="191">
        <v>339</v>
      </c>
      <c r="M255" s="191" t="s">
        <v>93</v>
      </c>
    </row>
    <row r="256" spans="1:13" x14ac:dyDescent="0.25">
      <c r="A256" s="148" t="s">
        <v>335</v>
      </c>
      <c r="B256" s="191">
        <v>15</v>
      </c>
      <c r="C256" s="191">
        <v>381</v>
      </c>
      <c r="E256" s="191" t="b">
        <v>1</v>
      </c>
      <c r="K256" s="191" t="s">
        <v>92</v>
      </c>
      <c r="L256" s="191">
        <v>339</v>
      </c>
      <c r="M256" s="191" t="s">
        <v>93</v>
      </c>
    </row>
    <row r="257" spans="1:13" x14ac:dyDescent="0.25">
      <c r="A257" s="148" t="s">
        <v>335</v>
      </c>
      <c r="B257" s="191">
        <v>16</v>
      </c>
      <c r="C257" s="191">
        <v>383</v>
      </c>
      <c r="E257" s="191" t="b">
        <v>1</v>
      </c>
      <c r="K257" s="191" t="s">
        <v>92</v>
      </c>
      <c r="L257" s="191">
        <v>339</v>
      </c>
      <c r="M257" s="191" t="s">
        <v>93</v>
      </c>
    </row>
    <row r="258" spans="1:13" x14ac:dyDescent="0.25">
      <c r="A258" s="148" t="s">
        <v>335</v>
      </c>
      <c r="B258" s="191">
        <v>17</v>
      </c>
      <c r="C258" s="191">
        <v>389</v>
      </c>
      <c r="E258" s="191" t="b">
        <v>1</v>
      </c>
      <c r="K258" s="191" t="s">
        <v>92</v>
      </c>
      <c r="L258" s="191">
        <v>339</v>
      </c>
      <c r="M258" s="191" t="s">
        <v>93</v>
      </c>
    </row>
    <row r="259" spans="1:13" x14ac:dyDescent="0.25">
      <c r="A259" s="148" t="s">
        <v>335</v>
      </c>
      <c r="B259" s="191">
        <v>18</v>
      </c>
      <c r="C259" s="191">
        <v>385</v>
      </c>
      <c r="E259" s="191" t="b">
        <v>1</v>
      </c>
      <c r="K259" s="191" t="s">
        <v>92</v>
      </c>
      <c r="L259" s="191">
        <v>339</v>
      </c>
      <c r="M259" s="191" t="s">
        <v>93</v>
      </c>
    </row>
    <row r="260" spans="1:13" x14ac:dyDescent="0.25">
      <c r="A260" s="148" t="s">
        <v>335</v>
      </c>
      <c r="B260" s="191">
        <v>19</v>
      </c>
      <c r="C260" s="191">
        <v>381</v>
      </c>
      <c r="E260" s="191" t="b">
        <v>1</v>
      </c>
      <c r="K260" s="191" t="s">
        <v>92</v>
      </c>
      <c r="L260" s="191">
        <v>339</v>
      </c>
      <c r="M260" s="191" t="s">
        <v>93</v>
      </c>
    </row>
    <row r="261" spans="1:13" x14ac:dyDescent="0.25">
      <c r="A261" s="148" t="s">
        <v>335</v>
      </c>
      <c r="B261" s="191">
        <v>20</v>
      </c>
      <c r="C261" s="191">
        <v>388</v>
      </c>
      <c r="E261" s="191" t="b">
        <v>1</v>
      </c>
      <c r="K261" s="191" t="s">
        <v>92</v>
      </c>
      <c r="L261" s="191">
        <v>339</v>
      </c>
      <c r="M261" s="191" t="s">
        <v>93</v>
      </c>
    </row>
    <row r="262" spans="1:13" x14ac:dyDescent="0.25">
      <c r="A262" s="148" t="s">
        <v>335</v>
      </c>
      <c r="B262" s="191">
        <v>21</v>
      </c>
      <c r="C262" s="191">
        <v>373</v>
      </c>
      <c r="E262" s="191" t="b">
        <v>1</v>
      </c>
      <c r="K262" s="191" t="s">
        <v>92</v>
      </c>
      <c r="L262" s="191">
        <v>339</v>
      </c>
      <c r="M262" s="191" t="s">
        <v>93</v>
      </c>
    </row>
    <row r="263" spans="1:13" x14ac:dyDescent="0.25">
      <c r="A263" s="148" t="s">
        <v>335</v>
      </c>
      <c r="B263" s="191">
        <v>22</v>
      </c>
      <c r="C263" s="191">
        <v>382</v>
      </c>
      <c r="E263" s="191" t="b">
        <v>1</v>
      </c>
      <c r="K263" s="191" t="s">
        <v>92</v>
      </c>
      <c r="L263" s="191">
        <v>339</v>
      </c>
      <c r="M263" s="191" t="s">
        <v>93</v>
      </c>
    </row>
    <row r="264" spans="1:13" x14ac:dyDescent="0.25">
      <c r="A264" s="148" t="s">
        <v>335</v>
      </c>
      <c r="B264" s="191">
        <v>23</v>
      </c>
      <c r="C264" s="191">
        <v>391</v>
      </c>
      <c r="E264" s="191" t="b">
        <v>1</v>
      </c>
      <c r="K264" s="191" t="s">
        <v>92</v>
      </c>
      <c r="L264" s="191">
        <v>339</v>
      </c>
      <c r="M264" s="191" t="s">
        <v>93</v>
      </c>
    </row>
    <row r="265" spans="1:13" x14ac:dyDescent="0.25">
      <c r="A265" s="148" t="s">
        <v>335</v>
      </c>
      <c r="B265" s="191">
        <v>24</v>
      </c>
      <c r="C265" s="191">
        <v>389</v>
      </c>
      <c r="E265" s="191" t="b">
        <v>1</v>
      </c>
      <c r="K265" s="191" t="s">
        <v>92</v>
      </c>
      <c r="L265" s="191">
        <v>339</v>
      </c>
      <c r="M265" s="191" t="s">
        <v>93</v>
      </c>
    </row>
    <row r="266" spans="1:13" x14ac:dyDescent="0.25">
      <c r="A266" s="148" t="s">
        <v>335</v>
      </c>
      <c r="B266" s="191">
        <v>25</v>
      </c>
      <c r="C266" s="191">
        <v>384</v>
      </c>
      <c r="E266" s="191" t="b">
        <v>1</v>
      </c>
      <c r="K266" s="191" t="s">
        <v>92</v>
      </c>
      <c r="L266" s="191">
        <v>339</v>
      </c>
      <c r="M266" s="191" t="s">
        <v>93</v>
      </c>
    </row>
    <row r="267" spans="1:13" x14ac:dyDescent="0.25">
      <c r="A267" s="148" t="s">
        <v>335</v>
      </c>
      <c r="B267" s="191">
        <v>26</v>
      </c>
      <c r="C267" s="191">
        <v>389</v>
      </c>
      <c r="E267" s="191" t="b">
        <v>1</v>
      </c>
      <c r="K267" s="191" t="s">
        <v>92</v>
      </c>
      <c r="L267" s="191">
        <v>339</v>
      </c>
      <c r="M267" s="191" t="s">
        <v>93</v>
      </c>
    </row>
    <row r="268" spans="1:13" x14ac:dyDescent="0.25">
      <c r="A268" s="148" t="s">
        <v>335</v>
      </c>
      <c r="B268" s="191">
        <v>27</v>
      </c>
      <c r="C268" s="191">
        <v>381</v>
      </c>
      <c r="E268" s="191" t="b">
        <v>1</v>
      </c>
      <c r="K268" s="191" t="s">
        <v>92</v>
      </c>
      <c r="L268" s="191">
        <v>339</v>
      </c>
      <c r="M268" s="191" t="s">
        <v>93</v>
      </c>
    </row>
    <row r="269" spans="1:13" x14ac:dyDescent="0.25">
      <c r="A269" s="148" t="s">
        <v>340</v>
      </c>
      <c r="B269" s="191">
        <v>1</v>
      </c>
      <c r="C269" s="191">
        <v>321</v>
      </c>
      <c r="E269" s="191" t="b">
        <v>1</v>
      </c>
      <c r="K269" s="191" t="s">
        <v>92</v>
      </c>
      <c r="L269" s="191">
        <v>339</v>
      </c>
      <c r="M269" s="191" t="s">
        <v>94</v>
      </c>
    </row>
    <row r="270" spans="1:13" x14ac:dyDescent="0.25">
      <c r="A270" s="148" t="s">
        <v>340</v>
      </c>
      <c r="B270" s="191">
        <v>2</v>
      </c>
      <c r="C270" s="191">
        <v>419</v>
      </c>
      <c r="E270" s="191" t="b">
        <v>1</v>
      </c>
      <c r="H270" s="191">
        <v>270</v>
      </c>
      <c r="I270" s="191" t="s">
        <v>82</v>
      </c>
      <c r="K270" s="191" t="s">
        <v>92</v>
      </c>
      <c r="L270" s="191">
        <v>339</v>
      </c>
      <c r="M270" s="191" t="s">
        <v>94</v>
      </c>
    </row>
    <row r="271" spans="1:13" x14ac:dyDescent="0.25">
      <c r="A271" s="148" t="s">
        <v>340</v>
      </c>
      <c r="B271" s="191">
        <v>3</v>
      </c>
      <c r="C271" s="191">
        <v>392</v>
      </c>
      <c r="E271" s="191" t="b">
        <v>1</v>
      </c>
      <c r="H271" s="191">
        <v>281</v>
      </c>
      <c r="I271" s="191" t="s">
        <v>82</v>
      </c>
      <c r="K271" s="191" t="s">
        <v>92</v>
      </c>
      <c r="L271" s="191">
        <v>339</v>
      </c>
      <c r="M271" s="191" t="s">
        <v>94</v>
      </c>
    </row>
    <row r="272" spans="1:13" x14ac:dyDescent="0.25">
      <c r="A272" s="148" t="s">
        <v>340</v>
      </c>
      <c r="B272" s="191">
        <v>4</v>
      </c>
      <c r="C272" s="191">
        <v>394</v>
      </c>
      <c r="E272" s="191" t="b">
        <v>1</v>
      </c>
      <c r="F272" s="191">
        <v>38.4</v>
      </c>
      <c r="G272" s="191">
        <v>38.200000000000003</v>
      </c>
      <c r="K272" s="191" t="s">
        <v>92</v>
      </c>
      <c r="L272" s="191">
        <v>339</v>
      </c>
      <c r="M272" s="191" t="s">
        <v>94</v>
      </c>
    </row>
    <row r="273" spans="1:13" x14ac:dyDescent="0.25">
      <c r="A273" s="148" t="s">
        <v>340</v>
      </c>
      <c r="B273" s="191">
        <v>5</v>
      </c>
      <c r="C273" s="191">
        <v>380</v>
      </c>
      <c r="E273" s="191" t="b">
        <v>1</v>
      </c>
      <c r="K273" s="191" t="s">
        <v>92</v>
      </c>
      <c r="L273" s="191">
        <v>339</v>
      </c>
      <c r="M273" s="191" t="s">
        <v>94</v>
      </c>
    </row>
    <row r="274" spans="1:13" x14ac:dyDescent="0.25">
      <c r="A274" s="148" t="s">
        <v>340</v>
      </c>
      <c r="B274" s="191">
        <v>6</v>
      </c>
      <c r="C274" s="191">
        <v>389</v>
      </c>
      <c r="E274" s="191" t="b">
        <v>1</v>
      </c>
      <c r="K274" s="191" t="s">
        <v>92</v>
      </c>
      <c r="L274" s="191">
        <v>339</v>
      </c>
      <c r="M274" s="191" t="s">
        <v>94</v>
      </c>
    </row>
    <row r="275" spans="1:13" x14ac:dyDescent="0.25">
      <c r="A275" s="148" t="s">
        <v>340</v>
      </c>
      <c r="B275" s="191">
        <v>7</v>
      </c>
      <c r="C275" s="191">
        <v>377</v>
      </c>
      <c r="E275" s="191" t="b">
        <v>1</v>
      </c>
      <c r="K275" s="191" t="s">
        <v>92</v>
      </c>
      <c r="L275" s="191">
        <v>339</v>
      </c>
      <c r="M275" s="191" t="s">
        <v>94</v>
      </c>
    </row>
    <row r="276" spans="1:13" x14ac:dyDescent="0.25">
      <c r="A276" s="148" t="s">
        <v>340</v>
      </c>
      <c r="B276" s="191">
        <v>8</v>
      </c>
      <c r="C276" s="191">
        <v>388</v>
      </c>
      <c r="E276" s="191" t="b">
        <v>1</v>
      </c>
      <c r="K276" s="191" t="s">
        <v>92</v>
      </c>
      <c r="L276" s="191">
        <v>339</v>
      </c>
      <c r="M276" s="191" t="s">
        <v>94</v>
      </c>
    </row>
    <row r="277" spans="1:13" x14ac:dyDescent="0.25">
      <c r="A277" s="148" t="s">
        <v>340</v>
      </c>
      <c r="B277" s="191">
        <v>9</v>
      </c>
      <c r="C277" s="191">
        <v>384</v>
      </c>
      <c r="E277" s="191" t="b">
        <v>1</v>
      </c>
      <c r="K277" s="191" t="s">
        <v>92</v>
      </c>
      <c r="L277" s="191">
        <v>339</v>
      </c>
      <c r="M277" s="191" t="s">
        <v>94</v>
      </c>
    </row>
    <row r="278" spans="1:13" x14ac:dyDescent="0.25">
      <c r="A278" s="148" t="s">
        <v>340</v>
      </c>
      <c r="B278" s="191">
        <v>10</v>
      </c>
      <c r="C278" s="191">
        <v>388</v>
      </c>
      <c r="E278" s="191" t="b">
        <v>1</v>
      </c>
      <c r="K278" s="191" t="s">
        <v>92</v>
      </c>
      <c r="L278" s="191">
        <v>339</v>
      </c>
      <c r="M278" s="191" t="s">
        <v>94</v>
      </c>
    </row>
    <row r="279" spans="1:13" x14ac:dyDescent="0.25">
      <c r="A279" s="148" t="s">
        <v>340</v>
      </c>
      <c r="B279" s="191">
        <v>11</v>
      </c>
      <c r="C279" s="191">
        <v>383</v>
      </c>
      <c r="E279" s="191" t="b">
        <v>1</v>
      </c>
      <c r="F279" s="191">
        <v>34.799999999999997</v>
      </c>
      <c r="G279" s="191">
        <v>37.5</v>
      </c>
      <c r="K279" s="191" t="s">
        <v>92</v>
      </c>
      <c r="L279" s="191">
        <v>339</v>
      </c>
      <c r="M279" s="191" t="s">
        <v>94</v>
      </c>
    </row>
    <row r="280" spans="1:13" x14ac:dyDescent="0.25">
      <c r="A280" s="148" t="s">
        <v>341</v>
      </c>
      <c r="C280" s="191">
        <v>63</v>
      </c>
      <c r="D280" s="191" t="s">
        <v>16</v>
      </c>
      <c r="E280" s="191" t="b">
        <v>0</v>
      </c>
      <c r="K280" s="191" t="s">
        <v>92</v>
      </c>
      <c r="L280" s="191">
        <v>340</v>
      </c>
      <c r="M280" s="191" t="s">
        <v>93</v>
      </c>
    </row>
    <row r="281" spans="1:13" x14ac:dyDescent="0.25">
      <c r="A281" s="148" t="s">
        <v>341</v>
      </c>
      <c r="B281" s="191">
        <v>1</v>
      </c>
      <c r="C281" s="191">
        <v>381</v>
      </c>
      <c r="E281" s="191" t="b">
        <v>1</v>
      </c>
      <c r="K281" s="191" t="s">
        <v>92</v>
      </c>
      <c r="L281" s="191">
        <v>340</v>
      </c>
      <c r="M281" s="191" t="s">
        <v>93</v>
      </c>
    </row>
    <row r="282" spans="1:13" x14ac:dyDescent="0.25">
      <c r="A282" s="148" t="s">
        <v>341</v>
      </c>
      <c r="C282" s="191">
        <v>280</v>
      </c>
      <c r="D282" s="191" t="s">
        <v>293</v>
      </c>
      <c r="E282" s="191" t="b">
        <v>0</v>
      </c>
      <c r="K282" s="191" t="s">
        <v>92</v>
      </c>
      <c r="L282" s="191">
        <v>340</v>
      </c>
      <c r="M282" s="191" t="s">
        <v>93</v>
      </c>
    </row>
    <row r="283" spans="1:13" x14ac:dyDescent="0.25">
      <c r="A283" s="148" t="s">
        <v>341</v>
      </c>
      <c r="B283" s="191">
        <v>2</v>
      </c>
      <c r="C283" s="191">
        <v>399</v>
      </c>
      <c r="E283" s="191" t="b">
        <v>1</v>
      </c>
      <c r="K283" s="191" t="s">
        <v>92</v>
      </c>
      <c r="L283" s="191">
        <v>340</v>
      </c>
      <c r="M283" s="191" t="s">
        <v>93</v>
      </c>
    </row>
    <row r="284" spans="1:13" x14ac:dyDescent="0.25">
      <c r="A284" s="148" t="s">
        <v>341</v>
      </c>
      <c r="B284" s="191">
        <v>3</v>
      </c>
      <c r="C284" s="191">
        <v>383</v>
      </c>
      <c r="E284" s="191" t="b">
        <v>1</v>
      </c>
      <c r="K284" s="191" t="s">
        <v>92</v>
      </c>
      <c r="L284" s="191">
        <v>340</v>
      </c>
      <c r="M284" s="191" t="s">
        <v>93</v>
      </c>
    </row>
    <row r="285" spans="1:13" x14ac:dyDescent="0.25">
      <c r="A285" s="148" t="s">
        <v>341</v>
      </c>
      <c r="B285" s="191">
        <v>4</v>
      </c>
      <c r="C285" s="191">
        <v>381</v>
      </c>
      <c r="E285" s="191" t="b">
        <v>1</v>
      </c>
      <c r="F285" s="191">
        <v>27.5</v>
      </c>
      <c r="G285" s="191">
        <v>31</v>
      </c>
      <c r="K285" s="191" t="s">
        <v>92</v>
      </c>
      <c r="L285" s="191">
        <v>340</v>
      </c>
      <c r="M285" s="191" t="s">
        <v>93</v>
      </c>
    </row>
    <row r="286" spans="1:13" x14ac:dyDescent="0.25">
      <c r="A286" s="148" t="s">
        <v>341</v>
      </c>
      <c r="B286" s="191">
        <v>5</v>
      </c>
      <c r="C286" s="191">
        <v>384</v>
      </c>
      <c r="E286" s="191" t="b">
        <v>1</v>
      </c>
      <c r="K286" s="191" t="s">
        <v>92</v>
      </c>
      <c r="L286" s="191">
        <v>340</v>
      </c>
      <c r="M286" s="191" t="s">
        <v>93</v>
      </c>
    </row>
    <row r="287" spans="1:13" x14ac:dyDescent="0.25">
      <c r="A287" s="148" t="s">
        <v>341</v>
      </c>
      <c r="B287" s="191">
        <v>6</v>
      </c>
      <c r="C287" s="191">
        <v>386</v>
      </c>
      <c r="E287" s="191" t="b">
        <v>1</v>
      </c>
      <c r="K287" s="191" t="s">
        <v>92</v>
      </c>
      <c r="L287" s="191">
        <v>340</v>
      </c>
      <c r="M287" s="191" t="s">
        <v>93</v>
      </c>
    </row>
    <row r="288" spans="1:13" x14ac:dyDescent="0.25">
      <c r="A288" s="148" t="s">
        <v>341</v>
      </c>
      <c r="C288" s="191">
        <v>110</v>
      </c>
      <c r="D288" s="191" t="s">
        <v>293</v>
      </c>
      <c r="E288" s="191" t="b">
        <v>0</v>
      </c>
      <c r="K288" s="191" t="s">
        <v>92</v>
      </c>
      <c r="L288" s="191">
        <v>340</v>
      </c>
      <c r="M288" s="191" t="s">
        <v>93</v>
      </c>
    </row>
    <row r="289" spans="1:13" x14ac:dyDescent="0.25">
      <c r="A289" s="148" t="s">
        <v>341</v>
      </c>
      <c r="B289" s="191">
        <v>7</v>
      </c>
      <c r="C289" s="191">
        <v>416</v>
      </c>
      <c r="E289" s="191" t="b">
        <v>1</v>
      </c>
      <c r="K289" s="191" t="s">
        <v>92</v>
      </c>
      <c r="L289" s="191">
        <v>340</v>
      </c>
      <c r="M289" s="191" t="s">
        <v>93</v>
      </c>
    </row>
    <row r="290" spans="1:13" x14ac:dyDescent="0.25">
      <c r="A290" s="148" t="s">
        <v>341</v>
      </c>
      <c r="B290" s="191">
        <v>8</v>
      </c>
      <c r="C290" s="191">
        <v>382</v>
      </c>
      <c r="E290" s="191" t="b">
        <v>1</v>
      </c>
      <c r="K290" s="191" t="s">
        <v>92</v>
      </c>
      <c r="L290" s="191">
        <v>340</v>
      </c>
      <c r="M290" s="191" t="s">
        <v>93</v>
      </c>
    </row>
    <row r="291" spans="1:13" x14ac:dyDescent="0.25">
      <c r="A291" s="148" t="s">
        <v>341</v>
      </c>
      <c r="B291" s="191">
        <v>9</v>
      </c>
      <c r="C291" s="191">
        <v>384</v>
      </c>
      <c r="E291" s="191" t="b">
        <v>1</v>
      </c>
      <c r="K291" s="191" t="s">
        <v>92</v>
      </c>
      <c r="L291" s="191">
        <v>340</v>
      </c>
      <c r="M291" s="191" t="s">
        <v>93</v>
      </c>
    </row>
    <row r="292" spans="1:13" x14ac:dyDescent="0.25">
      <c r="A292" s="148" t="s">
        <v>341</v>
      </c>
      <c r="B292" s="191">
        <v>10</v>
      </c>
      <c r="C292" s="191">
        <v>383</v>
      </c>
      <c r="E292" s="191" t="b">
        <v>1</v>
      </c>
      <c r="K292" s="191" t="s">
        <v>92</v>
      </c>
      <c r="L292" s="191">
        <v>340</v>
      </c>
      <c r="M292" s="191" t="s">
        <v>93</v>
      </c>
    </row>
    <row r="293" spans="1:13" x14ac:dyDescent="0.25">
      <c r="A293" s="148" t="s">
        <v>341</v>
      </c>
      <c r="C293" s="191">
        <v>202</v>
      </c>
      <c r="D293" s="191" t="s">
        <v>293</v>
      </c>
      <c r="E293" s="191" t="b">
        <v>0</v>
      </c>
      <c r="K293" s="191" t="s">
        <v>92</v>
      </c>
      <c r="L293" s="191">
        <v>340</v>
      </c>
      <c r="M293" s="191" t="s">
        <v>93</v>
      </c>
    </row>
    <row r="294" spans="1:13" x14ac:dyDescent="0.25">
      <c r="A294" s="148" t="s">
        <v>341</v>
      </c>
      <c r="B294" s="191">
        <v>11</v>
      </c>
      <c r="C294" s="191">
        <v>394</v>
      </c>
      <c r="E294" s="191" t="b">
        <v>1</v>
      </c>
      <c r="K294" s="191" t="s">
        <v>92</v>
      </c>
      <c r="L294" s="191">
        <v>340</v>
      </c>
      <c r="M294" s="191" t="s">
        <v>93</v>
      </c>
    </row>
    <row r="295" spans="1:13" x14ac:dyDescent="0.25">
      <c r="A295" s="148" t="s">
        <v>341</v>
      </c>
      <c r="B295" s="191">
        <v>12</v>
      </c>
      <c r="C295" s="191">
        <v>395</v>
      </c>
      <c r="E295" s="191" t="b">
        <v>1</v>
      </c>
      <c r="K295" s="191" t="s">
        <v>92</v>
      </c>
      <c r="L295" s="191">
        <v>340</v>
      </c>
      <c r="M295" s="191" t="s">
        <v>93</v>
      </c>
    </row>
    <row r="296" spans="1:13" x14ac:dyDescent="0.25">
      <c r="A296" s="148" t="s">
        <v>341</v>
      </c>
      <c r="C296" s="191">
        <v>44</v>
      </c>
      <c r="D296" s="191" t="s">
        <v>293</v>
      </c>
      <c r="E296" s="191" t="b">
        <v>0</v>
      </c>
      <c r="K296" s="191" t="s">
        <v>92</v>
      </c>
      <c r="L296" s="191">
        <v>340</v>
      </c>
      <c r="M296" s="191" t="s">
        <v>93</v>
      </c>
    </row>
    <row r="297" spans="1:13" x14ac:dyDescent="0.25">
      <c r="A297" s="148" t="s">
        <v>341</v>
      </c>
      <c r="B297" s="191">
        <v>13</v>
      </c>
      <c r="C297" s="191">
        <v>385</v>
      </c>
      <c r="E297" s="191" t="b">
        <v>1</v>
      </c>
      <c r="K297" s="191" t="s">
        <v>92</v>
      </c>
      <c r="L297" s="191">
        <v>340</v>
      </c>
      <c r="M297" s="191" t="s">
        <v>93</v>
      </c>
    </row>
    <row r="298" spans="1:13" x14ac:dyDescent="0.25">
      <c r="A298" s="148" t="s">
        <v>341</v>
      </c>
      <c r="B298" s="191">
        <v>14</v>
      </c>
      <c r="C298" s="191">
        <v>392</v>
      </c>
      <c r="E298" s="191" t="b">
        <v>1</v>
      </c>
      <c r="F298" s="191">
        <v>29.3</v>
      </c>
      <c r="G298" s="191">
        <v>28.7</v>
      </c>
      <c r="K298" s="191" t="s">
        <v>92</v>
      </c>
      <c r="L298" s="191">
        <v>340</v>
      </c>
      <c r="M298" s="191" t="s">
        <v>93</v>
      </c>
    </row>
    <row r="299" spans="1:13" x14ac:dyDescent="0.25">
      <c r="A299" s="148" t="s">
        <v>341</v>
      </c>
      <c r="B299" s="191">
        <v>15</v>
      </c>
      <c r="C299" s="191">
        <v>386</v>
      </c>
      <c r="E299" s="191" t="b">
        <v>1</v>
      </c>
      <c r="K299" s="191" t="s">
        <v>92</v>
      </c>
      <c r="L299" s="191">
        <v>340</v>
      </c>
      <c r="M299" s="191" t="s">
        <v>93</v>
      </c>
    </row>
    <row r="300" spans="1:13" x14ac:dyDescent="0.25">
      <c r="A300" s="148" t="s">
        <v>341</v>
      </c>
      <c r="B300" s="191">
        <v>16</v>
      </c>
      <c r="C300" s="191">
        <v>385</v>
      </c>
      <c r="E300" s="191" t="b">
        <v>1</v>
      </c>
      <c r="K300" s="191" t="s">
        <v>92</v>
      </c>
      <c r="L300" s="191">
        <v>340</v>
      </c>
      <c r="M300" s="191" t="s">
        <v>93</v>
      </c>
    </row>
    <row r="301" spans="1:13" x14ac:dyDescent="0.25">
      <c r="A301" s="148" t="s">
        <v>341</v>
      </c>
      <c r="B301" s="191">
        <v>17</v>
      </c>
      <c r="C301" s="191">
        <v>393</v>
      </c>
      <c r="E301" s="191" t="b">
        <v>1</v>
      </c>
      <c r="K301" s="191" t="s">
        <v>92</v>
      </c>
      <c r="L301" s="191">
        <v>340</v>
      </c>
      <c r="M301" s="191" t="s">
        <v>93</v>
      </c>
    </row>
    <row r="302" spans="1:13" x14ac:dyDescent="0.25">
      <c r="A302" s="148" t="s">
        <v>341</v>
      </c>
      <c r="B302" s="191">
        <v>18</v>
      </c>
      <c r="C302" s="191">
        <v>400</v>
      </c>
      <c r="E302" s="191" t="b">
        <v>1</v>
      </c>
      <c r="K302" s="191" t="s">
        <v>92</v>
      </c>
      <c r="L302" s="191">
        <v>340</v>
      </c>
      <c r="M302" s="191" t="s">
        <v>93</v>
      </c>
    </row>
    <row r="303" spans="1:13" x14ac:dyDescent="0.25">
      <c r="A303" s="148" t="s">
        <v>341</v>
      </c>
      <c r="B303" s="191">
        <v>19</v>
      </c>
      <c r="C303" s="191">
        <v>386</v>
      </c>
      <c r="E303" s="191" t="b">
        <v>1</v>
      </c>
      <c r="K303" s="191" t="s">
        <v>92</v>
      </c>
      <c r="L303" s="191">
        <v>340</v>
      </c>
      <c r="M303" s="191" t="s">
        <v>93</v>
      </c>
    </row>
    <row r="304" spans="1:13" x14ac:dyDescent="0.25">
      <c r="A304" s="148" t="s">
        <v>341</v>
      </c>
      <c r="B304" s="191">
        <v>20</v>
      </c>
      <c r="C304" s="191">
        <v>388</v>
      </c>
      <c r="E304" s="191" t="b">
        <v>1</v>
      </c>
      <c r="K304" s="191" t="s">
        <v>92</v>
      </c>
      <c r="L304" s="191">
        <v>340</v>
      </c>
      <c r="M304" s="191" t="s">
        <v>93</v>
      </c>
    </row>
    <row r="305" spans="1:13" x14ac:dyDescent="0.25">
      <c r="A305" s="148" t="s">
        <v>341</v>
      </c>
      <c r="B305" s="191">
        <v>21</v>
      </c>
      <c r="C305" s="191">
        <v>399</v>
      </c>
      <c r="E305" s="191" t="b">
        <v>1</v>
      </c>
      <c r="K305" s="191" t="s">
        <v>92</v>
      </c>
      <c r="L305" s="191">
        <v>340</v>
      </c>
      <c r="M305" s="191" t="s">
        <v>93</v>
      </c>
    </row>
    <row r="306" spans="1:13" x14ac:dyDescent="0.25">
      <c r="A306" s="148" t="s">
        <v>341</v>
      </c>
      <c r="B306" s="191">
        <v>22</v>
      </c>
      <c r="C306" s="191">
        <v>406</v>
      </c>
      <c r="E306" s="191" t="b">
        <v>1</v>
      </c>
      <c r="K306" s="191" t="s">
        <v>92</v>
      </c>
      <c r="L306" s="191">
        <v>340</v>
      </c>
      <c r="M306" s="191" t="s">
        <v>93</v>
      </c>
    </row>
    <row r="307" spans="1:13" x14ac:dyDescent="0.25">
      <c r="A307" s="148" t="s">
        <v>341</v>
      </c>
      <c r="B307" s="191">
        <v>23</v>
      </c>
      <c r="C307" s="191">
        <v>394</v>
      </c>
      <c r="E307" s="191" t="b">
        <v>1</v>
      </c>
      <c r="K307" s="191" t="s">
        <v>92</v>
      </c>
      <c r="L307" s="191">
        <v>340</v>
      </c>
      <c r="M307" s="191" t="s">
        <v>93</v>
      </c>
    </row>
    <row r="308" spans="1:13" x14ac:dyDescent="0.25">
      <c r="A308" s="148" t="s">
        <v>341</v>
      </c>
      <c r="B308" s="191">
        <v>24</v>
      </c>
      <c r="C308" s="191">
        <v>387</v>
      </c>
      <c r="E308" s="191" t="b">
        <v>1</v>
      </c>
      <c r="K308" s="191" t="s">
        <v>92</v>
      </c>
      <c r="L308" s="191">
        <v>340</v>
      </c>
      <c r="M308" s="191" t="s">
        <v>93</v>
      </c>
    </row>
    <row r="309" spans="1:13" x14ac:dyDescent="0.25">
      <c r="A309" s="148" t="s">
        <v>346</v>
      </c>
      <c r="B309" s="191">
        <v>1</v>
      </c>
      <c r="C309" s="191">
        <v>384</v>
      </c>
      <c r="E309" s="191" t="b">
        <v>1</v>
      </c>
      <c r="K309" s="191" t="s">
        <v>92</v>
      </c>
      <c r="L309" s="191">
        <v>2</v>
      </c>
      <c r="M309" s="191" t="s">
        <v>350</v>
      </c>
    </row>
    <row r="310" spans="1:13" x14ac:dyDescent="0.25">
      <c r="A310" s="148" t="s">
        <v>346</v>
      </c>
      <c r="B310" s="191">
        <v>2</v>
      </c>
      <c r="C310" s="191">
        <v>385</v>
      </c>
      <c r="E310" s="191" t="b">
        <v>1</v>
      </c>
      <c r="K310" s="191" t="s">
        <v>92</v>
      </c>
      <c r="L310" s="191">
        <v>2</v>
      </c>
      <c r="M310" s="191" t="s">
        <v>350</v>
      </c>
    </row>
    <row r="311" spans="1:13" x14ac:dyDescent="0.25">
      <c r="A311" s="148" t="s">
        <v>346</v>
      </c>
      <c r="B311" s="191">
        <v>3</v>
      </c>
      <c r="C311" s="191">
        <v>385</v>
      </c>
      <c r="E311" s="191" t="b">
        <v>1</v>
      </c>
      <c r="K311" s="191" t="s">
        <v>92</v>
      </c>
      <c r="L311" s="191">
        <v>2</v>
      </c>
      <c r="M311" s="191" t="s">
        <v>350</v>
      </c>
    </row>
    <row r="312" spans="1:13" x14ac:dyDescent="0.25">
      <c r="A312" s="148" t="s">
        <v>346</v>
      </c>
      <c r="B312" s="191">
        <v>4</v>
      </c>
      <c r="C312" s="191">
        <v>383</v>
      </c>
      <c r="E312" s="191" t="b">
        <v>1</v>
      </c>
      <c r="F312" s="191">
        <v>32.6</v>
      </c>
      <c r="G312" s="191">
        <v>34</v>
      </c>
      <c r="K312" s="191" t="s">
        <v>92</v>
      </c>
      <c r="L312" s="191">
        <v>2</v>
      </c>
      <c r="M312" s="191" t="s">
        <v>350</v>
      </c>
    </row>
    <row r="313" spans="1:13" x14ac:dyDescent="0.25">
      <c r="A313" s="148" t="s">
        <v>346</v>
      </c>
      <c r="B313" s="191">
        <v>5</v>
      </c>
      <c r="C313" s="191">
        <v>381</v>
      </c>
      <c r="E313" s="191" t="b">
        <v>1</v>
      </c>
      <c r="K313" s="191" t="s">
        <v>92</v>
      </c>
      <c r="L313" s="191">
        <v>2</v>
      </c>
      <c r="M313" s="191" t="s">
        <v>350</v>
      </c>
    </row>
    <row r="314" spans="1:13" x14ac:dyDescent="0.25">
      <c r="A314" s="148" t="s">
        <v>346</v>
      </c>
      <c r="B314" s="191">
        <v>6</v>
      </c>
      <c r="C314" s="191">
        <v>381</v>
      </c>
      <c r="E314" s="191" t="b">
        <v>1</v>
      </c>
      <c r="K314" s="191" t="s">
        <v>92</v>
      </c>
      <c r="L314" s="191">
        <v>2</v>
      </c>
      <c r="M314" s="191" t="s">
        <v>350</v>
      </c>
    </row>
    <row r="315" spans="1:13" x14ac:dyDescent="0.25">
      <c r="A315" s="148" t="s">
        <v>346</v>
      </c>
      <c r="B315" s="191">
        <v>7</v>
      </c>
      <c r="C315" s="191">
        <v>388</v>
      </c>
      <c r="E315" s="191" t="b">
        <v>1</v>
      </c>
      <c r="K315" s="191" t="s">
        <v>92</v>
      </c>
      <c r="L315" s="191">
        <v>2</v>
      </c>
      <c r="M315" s="191" t="s">
        <v>350</v>
      </c>
    </row>
    <row r="316" spans="1:13" x14ac:dyDescent="0.25">
      <c r="A316" s="148" t="s">
        <v>346</v>
      </c>
      <c r="B316" s="191">
        <v>8</v>
      </c>
      <c r="C316" s="191">
        <v>380</v>
      </c>
      <c r="E316" s="191" t="b">
        <v>1</v>
      </c>
      <c r="K316" s="191" t="s">
        <v>92</v>
      </c>
      <c r="L316" s="191">
        <v>2</v>
      </c>
      <c r="M316" s="191" t="s">
        <v>350</v>
      </c>
    </row>
    <row r="317" spans="1:13" x14ac:dyDescent="0.25">
      <c r="A317" s="148" t="s">
        <v>346</v>
      </c>
      <c r="B317" s="191">
        <v>9</v>
      </c>
      <c r="C317" s="191">
        <v>383</v>
      </c>
      <c r="E317" s="191" t="b">
        <v>1</v>
      </c>
      <c r="K317" s="191" t="s">
        <v>92</v>
      </c>
      <c r="L317" s="191">
        <v>2</v>
      </c>
      <c r="M317" s="191" t="s">
        <v>350</v>
      </c>
    </row>
    <row r="318" spans="1:13" x14ac:dyDescent="0.25">
      <c r="A318" s="148" t="s">
        <v>346</v>
      </c>
      <c r="B318" s="191">
        <v>10</v>
      </c>
      <c r="C318" s="191">
        <v>379</v>
      </c>
      <c r="E318" s="191" t="b">
        <v>1</v>
      </c>
      <c r="K318" s="191" t="s">
        <v>92</v>
      </c>
      <c r="L318" s="191">
        <v>2</v>
      </c>
      <c r="M318" s="191" t="s">
        <v>350</v>
      </c>
    </row>
    <row r="319" spans="1:13" x14ac:dyDescent="0.25">
      <c r="A319" s="148" t="s">
        <v>346</v>
      </c>
      <c r="B319" s="191">
        <v>11</v>
      </c>
      <c r="C319" s="191">
        <v>385</v>
      </c>
      <c r="E319" s="191" t="b">
        <v>1</v>
      </c>
      <c r="K319" s="191" t="s">
        <v>92</v>
      </c>
      <c r="L319" s="191">
        <v>2</v>
      </c>
      <c r="M319" s="191" t="s">
        <v>350</v>
      </c>
    </row>
    <row r="320" spans="1:13" x14ac:dyDescent="0.25">
      <c r="A320" s="148" t="s">
        <v>346</v>
      </c>
      <c r="B320" s="191">
        <v>12</v>
      </c>
      <c r="C320" s="191">
        <v>382</v>
      </c>
      <c r="E320" s="191" t="b">
        <v>1</v>
      </c>
      <c r="K320" s="191" t="s">
        <v>92</v>
      </c>
      <c r="L320" s="191">
        <v>2</v>
      </c>
      <c r="M320" s="191" t="s">
        <v>350</v>
      </c>
    </row>
    <row r="321" spans="1:13" x14ac:dyDescent="0.25">
      <c r="A321" s="148" t="s">
        <v>346</v>
      </c>
      <c r="B321" s="191">
        <v>13</v>
      </c>
      <c r="C321" s="191">
        <v>386</v>
      </c>
      <c r="E321" s="191" t="b">
        <v>1</v>
      </c>
      <c r="K321" s="191" t="s">
        <v>92</v>
      </c>
      <c r="L321" s="191">
        <v>2</v>
      </c>
      <c r="M321" s="191" t="s">
        <v>350</v>
      </c>
    </row>
    <row r="322" spans="1:13" x14ac:dyDescent="0.25">
      <c r="A322" s="148" t="s">
        <v>346</v>
      </c>
      <c r="B322" s="191">
        <v>14</v>
      </c>
      <c r="C322" s="191">
        <v>388</v>
      </c>
      <c r="E322" s="191" t="b">
        <v>1</v>
      </c>
      <c r="F322" s="191">
        <v>33.9</v>
      </c>
      <c r="G322" s="191">
        <v>32.1</v>
      </c>
      <c r="K322" s="191" t="s">
        <v>92</v>
      </c>
      <c r="L322" s="191">
        <v>2</v>
      </c>
      <c r="M322" s="191" t="s">
        <v>350</v>
      </c>
    </row>
    <row r="323" spans="1:13" x14ac:dyDescent="0.25">
      <c r="A323" s="148" t="s">
        <v>346</v>
      </c>
      <c r="B323" s="191">
        <v>15</v>
      </c>
      <c r="C323" s="191">
        <v>381</v>
      </c>
      <c r="E323" s="191" t="b">
        <v>1</v>
      </c>
      <c r="K323" s="191" t="s">
        <v>92</v>
      </c>
      <c r="L323" s="191">
        <v>2</v>
      </c>
      <c r="M323" s="191" t="s">
        <v>350</v>
      </c>
    </row>
    <row r="324" spans="1:13" x14ac:dyDescent="0.25">
      <c r="A324" s="148" t="s">
        <v>346</v>
      </c>
      <c r="B324" s="191">
        <v>16</v>
      </c>
      <c r="C324" s="191">
        <v>390</v>
      </c>
      <c r="E324" s="191" t="b">
        <v>1</v>
      </c>
      <c r="K324" s="191" t="s">
        <v>92</v>
      </c>
      <c r="L324" s="191">
        <v>2</v>
      </c>
      <c r="M324" s="191" t="s">
        <v>350</v>
      </c>
    </row>
    <row r="325" spans="1:13" x14ac:dyDescent="0.25">
      <c r="A325" s="148" t="s">
        <v>346</v>
      </c>
      <c r="B325" s="191">
        <v>17</v>
      </c>
      <c r="C325" s="191">
        <v>379</v>
      </c>
      <c r="E325" s="191" t="b">
        <v>1</v>
      </c>
      <c r="K325" s="191" t="s">
        <v>92</v>
      </c>
      <c r="L325" s="191">
        <v>2</v>
      </c>
      <c r="M325" s="191" t="s">
        <v>350</v>
      </c>
    </row>
    <row r="326" spans="1:13" x14ac:dyDescent="0.25">
      <c r="A326" s="148" t="s">
        <v>346</v>
      </c>
      <c r="B326" s="191">
        <v>18</v>
      </c>
      <c r="C326" s="191">
        <v>380</v>
      </c>
      <c r="E326" s="191" t="b">
        <v>1</v>
      </c>
      <c r="K326" s="191" t="s">
        <v>92</v>
      </c>
      <c r="L326" s="191">
        <v>2</v>
      </c>
      <c r="M326" s="191" t="s">
        <v>350</v>
      </c>
    </row>
    <row r="327" spans="1:13" x14ac:dyDescent="0.25">
      <c r="A327" s="148" t="s">
        <v>346</v>
      </c>
      <c r="B327" s="191">
        <v>19</v>
      </c>
      <c r="C327" s="191">
        <v>379</v>
      </c>
      <c r="E327" s="191" t="b">
        <v>1</v>
      </c>
      <c r="K327" s="191" t="s">
        <v>92</v>
      </c>
      <c r="L327" s="191">
        <v>2</v>
      </c>
      <c r="M327" s="191" t="s">
        <v>350</v>
      </c>
    </row>
    <row r="328" spans="1:13" x14ac:dyDescent="0.25">
      <c r="A328" s="148" t="s">
        <v>346</v>
      </c>
      <c r="B328" s="191">
        <v>20</v>
      </c>
      <c r="C328" s="191">
        <v>384</v>
      </c>
      <c r="E328" s="191" t="b">
        <v>1</v>
      </c>
      <c r="K328" s="191" t="s">
        <v>92</v>
      </c>
      <c r="L328" s="191">
        <v>2</v>
      </c>
      <c r="M328" s="191" t="s">
        <v>350</v>
      </c>
    </row>
    <row r="329" spans="1:13" x14ac:dyDescent="0.25">
      <c r="A329" s="148" t="s">
        <v>346</v>
      </c>
      <c r="B329" s="191">
        <v>21</v>
      </c>
      <c r="C329" s="191">
        <v>382</v>
      </c>
      <c r="E329" s="191" t="b">
        <v>1</v>
      </c>
      <c r="K329" s="191" t="s">
        <v>92</v>
      </c>
      <c r="L329" s="191">
        <v>2</v>
      </c>
      <c r="M329" s="191" t="s">
        <v>350</v>
      </c>
    </row>
    <row r="330" spans="1:13" x14ac:dyDescent="0.25">
      <c r="A330" s="148" t="s">
        <v>346</v>
      </c>
      <c r="B330" s="191">
        <v>22</v>
      </c>
      <c r="C330" s="191">
        <v>381</v>
      </c>
      <c r="E330" s="191" t="b">
        <v>1</v>
      </c>
      <c r="K330" s="191" t="s">
        <v>92</v>
      </c>
      <c r="L330" s="191">
        <v>2</v>
      </c>
      <c r="M330" s="191" t="s">
        <v>350</v>
      </c>
    </row>
    <row r="331" spans="1:13" x14ac:dyDescent="0.25">
      <c r="A331" s="148" t="s">
        <v>346</v>
      </c>
      <c r="B331" s="191">
        <v>23</v>
      </c>
      <c r="C331" s="191">
        <v>382</v>
      </c>
      <c r="E331" s="191" t="b">
        <v>1</v>
      </c>
      <c r="K331" s="191" t="s">
        <v>92</v>
      </c>
      <c r="L331" s="191">
        <v>2</v>
      </c>
      <c r="M331" s="191" t="s">
        <v>350</v>
      </c>
    </row>
    <row r="332" spans="1:13" x14ac:dyDescent="0.25">
      <c r="A332" s="148" t="s">
        <v>346</v>
      </c>
      <c r="B332" s="191">
        <v>24</v>
      </c>
      <c r="C332" s="191">
        <v>383</v>
      </c>
      <c r="E332" s="191" t="b">
        <v>1</v>
      </c>
      <c r="F332" s="191">
        <v>36.4</v>
      </c>
      <c r="G332" s="191">
        <v>33.1</v>
      </c>
      <c r="K332" s="191" t="s">
        <v>92</v>
      </c>
      <c r="L332" s="191">
        <v>2</v>
      </c>
      <c r="M332" s="191" t="s">
        <v>350</v>
      </c>
    </row>
    <row r="333" spans="1:13" x14ac:dyDescent="0.25">
      <c r="A333" s="148" t="s">
        <v>346</v>
      </c>
      <c r="B333" s="191">
        <v>25</v>
      </c>
      <c r="C333" s="191">
        <v>388</v>
      </c>
      <c r="E333" s="191" t="b">
        <v>1</v>
      </c>
      <c r="K333" s="191" t="s">
        <v>92</v>
      </c>
      <c r="L333" s="191">
        <v>2</v>
      </c>
      <c r="M333" s="191" t="s">
        <v>350</v>
      </c>
    </row>
    <row r="334" spans="1:13" x14ac:dyDescent="0.25">
      <c r="A334" s="148" t="s">
        <v>346</v>
      </c>
      <c r="B334" s="191">
        <v>26</v>
      </c>
      <c r="C334" s="191">
        <v>380</v>
      </c>
      <c r="E334" s="191" t="b">
        <v>1</v>
      </c>
      <c r="K334" s="191" t="s">
        <v>92</v>
      </c>
      <c r="L334" s="191">
        <v>2</v>
      </c>
      <c r="M334" s="191" t="s">
        <v>350</v>
      </c>
    </row>
    <row r="335" spans="1:13" x14ac:dyDescent="0.25">
      <c r="A335" s="148" t="s">
        <v>346</v>
      </c>
      <c r="B335" s="191">
        <v>27</v>
      </c>
      <c r="C335" s="191">
        <v>392</v>
      </c>
      <c r="E335" s="191" t="b">
        <v>1</v>
      </c>
      <c r="K335" s="191" t="s">
        <v>92</v>
      </c>
      <c r="L335" s="191">
        <v>2</v>
      </c>
      <c r="M335" s="191" t="s">
        <v>350</v>
      </c>
    </row>
    <row r="336" spans="1:13" x14ac:dyDescent="0.25">
      <c r="A336" s="148" t="s">
        <v>351</v>
      </c>
      <c r="B336" s="191">
        <v>1</v>
      </c>
      <c r="C336" s="191">
        <v>375</v>
      </c>
      <c r="E336" s="191" t="b">
        <v>1</v>
      </c>
      <c r="K336" s="191" t="s">
        <v>92</v>
      </c>
      <c r="L336" s="191">
        <v>3</v>
      </c>
      <c r="M336" s="191" t="s">
        <v>94</v>
      </c>
    </row>
    <row r="337" spans="1:13" x14ac:dyDescent="0.25">
      <c r="A337" s="148" t="s">
        <v>351</v>
      </c>
      <c r="B337" s="191">
        <v>2</v>
      </c>
      <c r="C337" s="191">
        <v>377</v>
      </c>
      <c r="E337" s="191" t="b">
        <v>1</v>
      </c>
      <c r="K337" s="191" t="s">
        <v>92</v>
      </c>
      <c r="L337" s="191">
        <v>3</v>
      </c>
      <c r="M337" s="191" t="s">
        <v>94</v>
      </c>
    </row>
    <row r="338" spans="1:13" x14ac:dyDescent="0.25">
      <c r="A338" s="148" t="s">
        <v>351</v>
      </c>
      <c r="B338" s="191">
        <v>3</v>
      </c>
      <c r="C338" s="191">
        <v>374</v>
      </c>
      <c r="E338" s="191" t="b">
        <v>1</v>
      </c>
      <c r="K338" s="191" t="s">
        <v>92</v>
      </c>
      <c r="L338" s="191">
        <v>3</v>
      </c>
      <c r="M338" s="191" t="s">
        <v>94</v>
      </c>
    </row>
    <row r="339" spans="1:13" x14ac:dyDescent="0.25">
      <c r="A339" s="148" t="s">
        <v>351</v>
      </c>
      <c r="B339" s="191">
        <v>4</v>
      </c>
      <c r="C339" s="191">
        <v>380</v>
      </c>
      <c r="E339" s="191" t="b">
        <v>1</v>
      </c>
      <c r="F339" s="191">
        <v>31.6</v>
      </c>
      <c r="G339" s="191">
        <v>28.9</v>
      </c>
      <c r="K339" s="191" t="s">
        <v>92</v>
      </c>
      <c r="L339" s="191">
        <v>3</v>
      </c>
      <c r="M339" s="191" t="s">
        <v>94</v>
      </c>
    </row>
    <row r="340" spans="1:13" x14ac:dyDescent="0.25">
      <c r="A340" s="148" t="s">
        <v>351</v>
      </c>
      <c r="B340" s="191">
        <v>5</v>
      </c>
      <c r="C340" s="191">
        <v>381</v>
      </c>
      <c r="E340" s="191" t="b">
        <v>1</v>
      </c>
      <c r="H340" s="191">
        <v>296</v>
      </c>
      <c r="I340" s="191" t="s">
        <v>10</v>
      </c>
      <c r="K340" s="191" t="s">
        <v>92</v>
      </c>
      <c r="L340" s="191">
        <v>3</v>
      </c>
      <c r="M340" s="191" t="s">
        <v>94</v>
      </c>
    </row>
    <row r="341" spans="1:13" x14ac:dyDescent="0.25">
      <c r="A341" s="148" t="s">
        <v>351</v>
      </c>
      <c r="B341" s="191">
        <v>6</v>
      </c>
      <c r="C341" s="191">
        <v>371</v>
      </c>
      <c r="E341" s="191" t="b">
        <v>1</v>
      </c>
      <c r="K341" s="191" t="s">
        <v>92</v>
      </c>
      <c r="L341" s="191">
        <v>3</v>
      </c>
      <c r="M341" s="191" t="s">
        <v>94</v>
      </c>
    </row>
    <row r="342" spans="1:13" x14ac:dyDescent="0.25">
      <c r="A342" s="148" t="s">
        <v>351</v>
      </c>
      <c r="B342" s="191">
        <v>7</v>
      </c>
      <c r="C342" s="191">
        <v>382</v>
      </c>
      <c r="E342" s="191" t="b">
        <v>1</v>
      </c>
      <c r="K342" s="191" t="s">
        <v>92</v>
      </c>
      <c r="L342" s="191">
        <v>3</v>
      </c>
      <c r="M342" s="191" t="s">
        <v>94</v>
      </c>
    </row>
    <row r="343" spans="1:13" x14ac:dyDescent="0.25">
      <c r="A343" s="148" t="s">
        <v>351</v>
      </c>
      <c r="B343" s="191">
        <v>8</v>
      </c>
      <c r="C343" s="191">
        <v>375</v>
      </c>
      <c r="E343" s="191" t="b">
        <v>1</v>
      </c>
      <c r="K343" s="191" t="s">
        <v>92</v>
      </c>
      <c r="L343" s="191">
        <v>3</v>
      </c>
      <c r="M343" s="191" t="s">
        <v>94</v>
      </c>
    </row>
    <row r="344" spans="1:13" x14ac:dyDescent="0.25">
      <c r="A344" s="148" t="s">
        <v>351</v>
      </c>
      <c r="B344" s="191">
        <v>9</v>
      </c>
      <c r="C344" s="191">
        <v>387</v>
      </c>
      <c r="E344" s="191" t="b">
        <v>1</v>
      </c>
      <c r="H344" s="191">
        <v>297</v>
      </c>
      <c r="I344" s="191" t="s">
        <v>10</v>
      </c>
      <c r="K344" s="191" t="s">
        <v>92</v>
      </c>
      <c r="L344" s="191">
        <v>3</v>
      </c>
      <c r="M344" s="191" t="s">
        <v>94</v>
      </c>
    </row>
    <row r="345" spans="1:13" x14ac:dyDescent="0.25">
      <c r="A345" s="148" t="s">
        <v>351</v>
      </c>
      <c r="B345" s="191">
        <v>10</v>
      </c>
      <c r="C345" s="191">
        <v>394</v>
      </c>
      <c r="E345" s="191" t="b">
        <v>1</v>
      </c>
      <c r="K345" s="191" t="s">
        <v>92</v>
      </c>
      <c r="L345" s="191">
        <v>3</v>
      </c>
      <c r="M345" s="191" t="s">
        <v>94</v>
      </c>
    </row>
    <row r="346" spans="1:13" x14ac:dyDescent="0.25">
      <c r="A346" s="148" t="s">
        <v>351</v>
      </c>
      <c r="B346" s="191">
        <v>11</v>
      </c>
      <c r="C346" s="191">
        <v>384</v>
      </c>
      <c r="E346" s="191" t="b">
        <v>1</v>
      </c>
      <c r="K346" s="191" t="s">
        <v>92</v>
      </c>
      <c r="L346" s="191">
        <v>3</v>
      </c>
      <c r="M346" s="191" t="s">
        <v>94</v>
      </c>
    </row>
    <row r="347" spans="1:13" x14ac:dyDescent="0.25">
      <c r="A347" s="148" t="s">
        <v>351</v>
      </c>
      <c r="B347" s="191">
        <v>12</v>
      </c>
      <c r="C347" s="191">
        <v>390</v>
      </c>
      <c r="E347" s="191" t="b">
        <v>1</v>
      </c>
      <c r="K347" s="191" t="s">
        <v>92</v>
      </c>
      <c r="L347" s="191">
        <v>3</v>
      </c>
      <c r="M347" s="191" t="s">
        <v>94</v>
      </c>
    </row>
    <row r="348" spans="1:13" x14ac:dyDescent="0.25">
      <c r="A348" s="148" t="s">
        <v>351</v>
      </c>
      <c r="B348" s="191">
        <v>13</v>
      </c>
      <c r="C348" s="191">
        <v>387</v>
      </c>
      <c r="E348" s="191" t="b">
        <v>1</v>
      </c>
      <c r="K348" s="191" t="s">
        <v>92</v>
      </c>
      <c r="L348" s="191">
        <v>3</v>
      </c>
      <c r="M348" s="191" t="s">
        <v>94</v>
      </c>
    </row>
    <row r="349" spans="1:13" x14ac:dyDescent="0.25">
      <c r="A349" s="148" t="s">
        <v>351</v>
      </c>
      <c r="B349" s="191">
        <v>14</v>
      </c>
      <c r="C349" s="191">
        <v>385</v>
      </c>
      <c r="E349" s="191" t="b">
        <v>1</v>
      </c>
      <c r="F349" s="191">
        <v>31</v>
      </c>
      <c r="G349" s="191">
        <v>28.7</v>
      </c>
      <c r="K349" s="191" t="s">
        <v>92</v>
      </c>
      <c r="L349" s="191">
        <v>3</v>
      </c>
      <c r="M349" s="191" t="s">
        <v>94</v>
      </c>
    </row>
    <row r="350" spans="1:13" x14ac:dyDescent="0.25">
      <c r="A350" s="148" t="s">
        <v>351</v>
      </c>
      <c r="B350" s="191">
        <v>15</v>
      </c>
      <c r="C350" s="191">
        <v>396</v>
      </c>
      <c r="E350" s="191" t="b">
        <v>1</v>
      </c>
      <c r="K350" s="191" t="s">
        <v>92</v>
      </c>
      <c r="L350" s="191">
        <v>3</v>
      </c>
      <c r="M350" s="191" t="s">
        <v>94</v>
      </c>
    </row>
    <row r="351" spans="1:13" x14ac:dyDescent="0.25">
      <c r="A351" s="148" t="s">
        <v>351</v>
      </c>
      <c r="B351" s="191">
        <v>16</v>
      </c>
      <c r="C351" s="191">
        <v>388</v>
      </c>
      <c r="E351" s="191" t="b">
        <v>1</v>
      </c>
      <c r="K351" s="191" t="s">
        <v>92</v>
      </c>
      <c r="L351" s="191">
        <v>3</v>
      </c>
      <c r="M351" s="191" t="s">
        <v>94</v>
      </c>
    </row>
    <row r="352" spans="1:13" x14ac:dyDescent="0.25">
      <c r="A352" s="148" t="s">
        <v>351</v>
      </c>
      <c r="B352" s="191">
        <v>17</v>
      </c>
      <c r="C352" s="191">
        <v>387</v>
      </c>
      <c r="E352" s="191" t="b">
        <v>1</v>
      </c>
      <c r="K352" s="191" t="s">
        <v>92</v>
      </c>
      <c r="L352" s="191">
        <v>3</v>
      </c>
      <c r="M352" s="191" t="s">
        <v>94</v>
      </c>
    </row>
    <row r="353" spans="1:13" x14ac:dyDescent="0.25">
      <c r="A353" s="148" t="s">
        <v>351</v>
      </c>
      <c r="B353" s="191">
        <v>18</v>
      </c>
      <c r="C353" s="191">
        <v>379</v>
      </c>
      <c r="E353" s="191" t="b">
        <v>1</v>
      </c>
      <c r="K353" s="191" t="s">
        <v>92</v>
      </c>
      <c r="L353" s="191">
        <v>3</v>
      </c>
      <c r="M353" s="191" t="s">
        <v>94</v>
      </c>
    </row>
    <row r="354" spans="1:13" x14ac:dyDescent="0.25">
      <c r="A354" s="148" t="s">
        <v>351</v>
      </c>
      <c r="B354" s="191">
        <v>19</v>
      </c>
      <c r="C354" s="191">
        <v>397</v>
      </c>
      <c r="E354" s="191" t="b">
        <v>1</v>
      </c>
      <c r="K354" s="191" t="s">
        <v>92</v>
      </c>
      <c r="L354" s="191">
        <v>3</v>
      </c>
      <c r="M354" s="191" t="s">
        <v>94</v>
      </c>
    </row>
    <row r="355" spans="1:13" x14ac:dyDescent="0.25">
      <c r="A355" s="148" t="s">
        <v>351</v>
      </c>
      <c r="B355" s="191">
        <v>20</v>
      </c>
      <c r="C355" s="191">
        <v>380</v>
      </c>
      <c r="E355" s="191" t="b">
        <v>1</v>
      </c>
      <c r="K355" s="191" t="s">
        <v>92</v>
      </c>
      <c r="L355" s="191">
        <v>3</v>
      </c>
      <c r="M355" s="191" t="s">
        <v>94</v>
      </c>
    </row>
    <row r="356" spans="1:13" x14ac:dyDescent="0.25">
      <c r="A356" s="148" t="s">
        <v>351</v>
      </c>
      <c r="B356" s="191">
        <v>21</v>
      </c>
      <c r="C356" s="191">
        <v>385</v>
      </c>
      <c r="E356" s="191" t="b">
        <v>1</v>
      </c>
      <c r="K356" s="191" t="s">
        <v>92</v>
      </c>
      <c r="L356" s="191">
        <v>3</v>
      </c>
      <c r="M356" s="191" t="s">
        <v>94</v>
      </c>
    </row>
    <row r="357" spans="1:13" x14ac:dyDescent="0.25">
      <c r="A357" s="148" t="s">
        <v>351</v>
      </c>
      <c r="B357" s="191">
        <v>22</v>
      </c>
      <c r="C357" s="191">
        <v>384</v>
      </c>
      <c r="E357" s="191" t="b">
        <v>1</v>
      </c>
      <c r="K357" s="191" t="s">
        <v>92</v>
      </c>
      <c r="L357" s="191">
        <v>3</v>
      </c>
      <c r="M357" s="191" t="s">
        <v>94</v>
      </c>
    </row>
    <row r="358" spans="1:13" x14ac:dyDescent="0.25">
      <c r="A358" s="148" t="s">
        <v>351</v>
      </c>
      <c r="B358" s="191">
        <v>23</v>
      </c>
      <c r="C358" s="191">
        <v>381</v>
      </c>
      <c r="E358" s="191" t="b">
        <v>1</v>
      </c>
      <c r="K358" s="191" t="s">
        <v>92</v>
      </c>
      <c r="L358" s="191">
        <v>3</v>
      </c>
      <c r="M358" s="191" t="s">
        <v>94</v>
      </c>
    </row>
    <row r="359" spans="1:13" x14ac:dyDescent="0.25">
      <c r="A359" s="148" t="s">
        <v>351</v>
      </c>
      <c r="B359" s="191">
        <v>24</v>
      </c>
      <c r="C359" s="191">
        <v>385</v>
      </c>
      <c r="E359" s="191" t="b">
        <v>1</v>
      </c>
      <c r="F359" s="191">
        <v>32.299999999999997</v>
      </c>
      <c r="G359" s="191">
        <v>29</v>
      </c>
      <c r="K359" s="191" t="s">
        <v>92</v>
      </c>
      <c r="L359" s="191">
        <v>3</v>
      </c>
      <c r="M359" s="191" t="s">
        <v>94</v>
      </c>
    </row>
    <row r="360" spans="1:13" x14ac:dyDescent="0.25">
      <c r="A360" s="148" t="s">
        <v>351</v>
      </c>
      <c r="B360" s="191">
        <v>25</v>
      </c>
      <c r="C360" s="191">
        <v>386</v>
      </c>
      <c r="E360" s="191" t="b">
        <v>1</v>
      </c>
      <c r="K360" s="191" t="s">
        <v>92</v>
      </c>
      <c r="L360" s="191">
        <v>3</v>
      </c>
      <c r="M360" s="191" t="s">
        <v>94</v>
      </c>
    </row>
    <row r="361" spans="1:13" x14ac:dyDescent="0.25">
      <c r="A361" s="148" t="s">
        <v>351</v>
      </c>
      <c r="B361" s="191">
        <v>26</v>
      </c>
      <c r="C361" s="191">
        <v>385</v>
      </c>
      <c r="E361" s="191" t="b">
        <v>1</v>
      </c>
      <c r="K361" s="191" t="s">
        <v>92</v>
      </c>
      <c r="L361" s="191">
        <v>3</v>
      </c>
      <c r="M361" s="191" t="s">
        <v>94</v>
      </c>
    </row>
    <row r="362" spans="1:13" x14ac:dyDescent="0.25">
      <c r="A362" s="148" t="s">
        <v>351</v>
      </c>
      <c r="B362" s="191">
        <v>27</v>
      </c>
      <c r="C362" s="191">
        <v>381</v>
      </c>
      <c r="E362" s="191" t="b">
        <v>1</v>
      </c>
      <c r="K362" s="191" t="s">
        <v>92</v>
      </c>
      <c r="L362" s="191">
        <v>3</v>
      </c>
      <c r="M362" s="191" t="s">
        <v>94</v>
      </c>
    </row>
    <row r="363" spans="1:13" x14ac:dyDescent="0.25">
      <c r="A363" s="148" t="s">
        <v>357</v>
      </c>
      <c r="B363" s="191">
        <v>1</v>
      </c>
      <c r="C363" s="191">
        <v>389</v>
      </c>
      <c r="E363" s="191" t="b">
        <v>1</v>
      </c>
      <c r="K363" s="191" t="s">
        <v>92</v>
      </c>
      <c r="L363" s="191">
        <v>9</v>
      </c>
      <c r="M363" s="191" t="s">
        <v>93</v>
      </c>
    </row>
    <row r="364" spans="1:13" x14ac:dyDescent="0.25">
      <c r="A364" s="148" t="s">
        <v>357</v>
      </c>
      <c r="B364" s="191">
        <v>2</v>
      </c>
      <c r="C364" s="191">
        <v>382</v>
      </c>
      <c r="E364" s="191" t="b">
        <v>1</v>
      </c>
      <c r="K364" s="191" t="s">
        <v>92</v>
      </c>
      <c r="L364" s="191">
        <v>9</v>
      </c>
      <c r="M364" s="191" t="s">
        <v>93</v>
      </c>
    </row>
    <row r="365" spans="1:13" x14ac:dyDescent="0.25">
      <c r="A365" s="148" t="s">
        <v>357</v>
      </c>
      <c r="B365" s="191">
        <v>3</v>
      </c>
      <c r="C365" s="191">
        <v>384</v>
      </c>
      <c r="E365" s="191" t="b">
        <v>1</v>
      </c>
      <c r="K365" s="191" t="s">
        <v>92</v>
      </c>
      <c r="L365" s="191">
        <v>9</v>
      </c>
      <c r="M365" s="191" t="s">
        <v>93</v>
      </c>
    </row>
    <row r="366" spans="1:13" x14ac:dyDescent="0.25">
      <c r="A366" s="148" t="s">
        <v>357</v>
      </c>
      <c r="B366" s="191">
        <v>4</v>
      </c>
      <c r="C366" s="191">
        <v>386</v>
      </c>
      <c r="E366" s="191" t="b">
        <v>1</v>
      </c>
      <c r="F366" s="191">
        <v>29.6</v>
      </c>
      <c r="G366" s="191">
        <v>32.4</v>
      </c>
      <c r="K366" s="191" t="s">
        <v>92</v>
      </c>
      <c r="L366" s="191">
        <v>9</v>
      </c>
      <c r="M366" s="191" t="s">
        <v>93</v>
      </c>
    </row>
    <row r="367" spans="1:13" x14ac:dyDescent="0.25">
      <c r="A367" s="148" t="s">
        <v>357</v>
      </c>
      <c r="B367" s="191">
        <v>5</v>
      </c>
      <c r="C367" s="191">
        <v>389</v>
      </c>
      <c r="E367" s="191" t="b">
        <v>1</v>
      </c>
      <c r="K367" s="191" t="s">
        <v>92</v>
      </c>
      <c r="L367" s="191">
        <v>9</v>
      </c>
      <c r="M367" s="191" t="s">
        <v>93</v>
      </c>
    </row>
    <row r="368" spans="1:13" x14ac:dyDescent="0.25">
      <c r="A368" s="148" t="s">
        <v>357</v>
      </c>
      <c r="B368" s="191">
        <v>6</v>
      </c>
      <c r="C368" s="191">
        <v>383</v>
      </c>
      <c r="E368" s="191" t="b">
        <v>1</v>
      </c>
      <c r="K368" s="191" t="s">
        <v>92</v>
      </c>
      <c r="L368" s="191">
        <v>9</v>
      </c>
      <c r="M368" s="191" t="s">
        <v>93</v>
      </c>
    </row>
    <row r="369" spans="1:13" x14ac:dyDescent="0.25">
      <c r="A369" s="148" t="s">
        <v>357</v>
      </c>
      <c r="B369" s="191">
        <v>7</v>
      </c>
      <c r="C369" s="191">
        <v>384</v>
      </c>
      <c r="E369" s="191" t="b">
        <v>1</v>
      </c>
      <c r="K369" s="191" t="s">
        <v>92</v>
      </c>
      <c r="L369" s="191">
        <v>9</v>
      </c>
      <c r="M369" s="191" t="s">
        <v>93</v>
      </c>
    </row>
    <row r="370" spans="1:13" x14ac:dyDescent="0.25">
      <c r="A370" s="148" t="s">
        <v>357</v>
      </c>
      <c r="B370" s="191">
        <v>8</v>
      </c>
      <c r="C370" s="191">
        <v>386</v>
      </c>
      <c r="E370" s="191" t="b">
        <v>1</v>
      </c>
      <c r="K370" s="191" t="s">
        <v>92</v>
      </c>
      <c r="L370" s="191">
        <v>9</v>
      </c>
      <c r="M370" s="191" t="s">
        <v>93</v>
      </c>
    </row>
    <row r="371" spans="1:13" x14ac:dyDescent="0.25">
      <c r="A371" s="148" t="s">
        <v>357</v>
      </c>
      <c r="B371" s="191">
        <v>9</v>
      </c>
      <c r="C371" s="191">
        <v>386</v>
      </c>
      <c r="E371" s="191" t="b">
        <v>1</v>
      </c>
      <c r="K371" s="191" t="s">
        <v>92</v>
      </c>
      <c r="L371" s="191">
        <v>9</v>
      </c>
      <c r="M371" s="191" t="s">
        <v>93</v>
      </c>
    </row>
    <row r="372" spans="1:13" x14ac:dyDescent="0.25">
      <c r="A372" s="148" t="s">
        <v>357</v>
      </c>
      <c r="B372" s="191">
        <v>10</v>
      </c>
      <c r="C372" s="191">
        <v>381</v>
      </c>
      <c r="E372" s="191" t="b">
        <v>1</v>
      </c>
      <c r="K372" s="191" t="s">
        <v>92</v>
      </c>
      <c r="L372" s="191">
        <v>9</v>
      </c>
      <c r="M372" s="191" t="s">
        <v>93</v>
      </c>
    </row>
    <row r="373" spans="1:13" x14ac:dyDescent="0.25">
      <c r="A373" s="148" t="s">
        <v>357</v>
      </c>
      <c r="B373" s="191">
        <v>11</v>
      </c>
      <c r="C373" s="191">
        <v>382</v>
      </c>
      <c r="E373" s="191" t="b">
        <v>1</v>
      </c>
      <c r="K373" s="191" t="s">
        <v>92</v>
      </c>
      <c r="L373" s="191">
        <v>9</v>
      </c>
      <c r="M373" s="191" t="s">
        <v>93</v>
      </c>
    </row>
    <row r="374" spans="1:13" x14ac:dyDescent="0.25">
      <c r="A374" s="148" t="s">
        <v>357</v>
      </c>
      <c r="B374" s="191">
        <v>12</v>
      </c>
      <c r="C374" s="191">
        <v>383</v>
      </c>
      <c r="E374" s="191" t="b">
        <v>1</v>
      </c>
      <c r="K374" s="191" t="s">
        <v>92</v>
      </c>
      <c r="L374" s="191">
        <v>9</v>
      </c>
      <c r="M374" s="191" t="s">
        <v>93</v>
      </c>
    </row>
    <row r="375" spans="1:13" x14ac:dyDescent="0.25">
      <c r="A375" s="148" t="s">
        <v>357</v>
      </c>
      <c r="B375" s="191">
        <v>13</v>
      </c>
      <c r="C375" s="191">
        <v>380</v>
      </c>
      <c r="E375" s="191" t="b">
        <v>1</v>
      </c>
      <c r="K375" s="191" t="s">
        <v>92</v>
      </c>
      <c r="L375" s="191">
        <v>9</v>
      </c>
      <c r="M375" s="191" t="s">
        <v>93</v>
      </c>
    </row>
    <row r="376" spans="1:13" x14ac:dyDescent="0.25">
      <c r="A376" s="148" t="s">
        <v>357</v>
      </c>
      <c r="B376" s="191">
        <v>14</v>
      </c>
      <c r="C376" s="191">
        <v>381</v>
      </c>
      <c r="E376" s="191" t="b">
        <v>1</v>
      </c>
      <c r="F376" s="191">
        <v>28.9</v>
      </c>
      <c r="G376" s="191">
        <v>32.6</v>
      </c>
      <c r="K376" s="191" t="s">
        <v>92</v>
      </c>
      <c r="L376" s="191">
        <v>9</v>
      </c>
      <c r="M376" s="191" t="s">
        <v>93</v>
      </c>
    </row>
    <row r="377" spans="1:13" x14ac:dyDescent="0.25">
      <c r="A377" s="148" t="s">
        <v>357</v>
      </c>
      <c r="B377" s="191">
        <v>15</v>
      </c>
      <c r="C377" s="191">
        <v>389</v>
      </c>
      <c r="E377" s="191" t="b">
        <v>1</v>
      </c>
      <c r="K377" s="191" t="s">
        <v>92</v>
      </c>
      <c r="L377" s="191">
        <v>9</v>
      </c>
      <c r="M377" s="191" t="s">
        <v>93</v>
      </c>
    </row>
    <row r="378" spans="1:13" x14ac:dyDescent="0.25">
      <c r="A378" s="148" t="s">
        <v>357</v>
      </c>
      <c r="B378" s="191">
        <v>16</v>
      </c>
      <c r="C378" s="191">
        <v>378</v>
      </c>
      <c r="E378" s="191" t="b">
        <v>1</v>
      </c>
      <c r="K378" s="191" t="s">
        <v>92</v>
      </c>
      <c r="L378" s="191">
        <v>9</v>
      </c>
      <c r="M378" s="191" t="s">
        <v>93</v>
      </c>
    </row>
    <row r="379" spans="1:13" x14ac:dyDescent="0.25">
      <c r="A379" s="148" t="s">
        <v>357</v>
      </c>
      <c r="B379" s="191">
        <v>17</v>
      </c>
      <c r="C379" s="191">
        <v>389</v>
      </c>
      <c r="E379" s="191" t="b">
        <v>1</v>
      </c>
      <c r="K379" s="191" t="s">
        <v>92</v>
      </c>
      <c r="L379" s="191">
        <v>9</v>
      </c>
      <c r="M379" s="191" t="s">
        <v>93</v>
      </c>
    </row>
    <row r="380" spans="1:13" x14ac:dyDescent="0.25">
      <c r="A380" s="148" t="s">
        <v>357</v>
      </c>
      <c r="B380" s="191">
        <v>18</v>
      </c>
      <c r="C380" s="191">
        <v>394</v>
      </c>
      <c r="E380" s="191" t="b">
        <v>1</v>
      </c>
      <c r="K380" s="191" t="s">
        <v>92</v>
      </c>
      <c r="L380" s="191">
        <v>9</v>
      </c>
      <c r="M380" s="191" t="s">
        <v>93</v>
      </c>
    </row>
    <row r="381" spans="1:13" x14ac:dyDescent="0.25">
      <c r="A381" s="148" t="s">
        <v>357</v>
      </c>
      <c r="B381" s="191">
        <v>19</v>
      </c>
      <c r="C381" s="191">
        <v>385</v>
      </c>
      <c r="E381" s="191" t="b">
        <v>1</v>
      </c>
      <c r="K381" s="191" t="s">
        <v>92</v>
      </c>
      <c r="L381" s="191">
        <v>9</v>
      </c>
      <c r="M381" s="191" t="s">
        <v>93</v>
      </c>
    </row>
    <row r="382" spans="1:13" x14ac:dyDescent="0.25">
      <c r="A382" s="148" t="s">
        <v>357</v>
      </c>
      <c r="B382" s="191">
        <v>20</v>
      </c>
      <c r="C382" s="191">
        <v>381</v>
      </c>
      <c r="E382" s="191" t="b">
        <v>1</v>
      </c>
      <c r="K382" s="191" t="s">
        <v>92</v>
      </c>
      <c r="L382" s="191">
        <v>9</v>
      </c>
      <c r="M382" s="191" t="s">
        <v>93</v>
      </c>
    </row>
    <row r="383" spans="1:13" x14ac:dyDescent="0.25">
      <c r="A383" s="148" t="s">
        <v>357</v>
      </c>
      <c r="B383" s="191">
        <v>21</v>
      </c>
      <c r="C383" s="191">
        <v>381</v>
      </c>
      <c r="E383" s="191" t="b">
        <v>1</v>
      </c>
      <c r="K383" s="191" t="s">
        <v>92</v>
      </c>
      <c r="L383" s="191">
        <v>9</v>
      </c>
      <c r="M383" s="191" t="s">
        <v>93</v>
      </c>
    </row>
    <row r="384" spans="1:13" x14ac:dyDescent="0.25">
      <c r="A384" s="148" t="s">
        <v>357</v>
      </c>
      <c r="B384" s="191">
        <v>22</v>
      </c>
      <c r="C384" s="191">
        <v>386</v>
      </c>
      <c r="E384" s="191" t="b">
        <v>1</v>
      </c>
      <c r="K384" s="191" t="s">
        <v>92</v>
      </c>
      <c r="L384" s="191">
        <v>9</v>
      </c>
      <c r="M384" s="191" t="s">
        <v>93</v>
      </c>
    </row>
    <row r="385" spans="1:13" x14ac:dyDescent="0.25">
      <c r="A385" s="148" t="s">
        <v>357</v>
      </c>
      <c r="B385" s="191">
        <v>23</v>
      </c>
      <c r="C385" s="191">
        <v>380</v>
      </c>
      <c r="E385" s="191" t="b">
        <v>1</v>
      </c>
      <c r="K385" s="191" t="s">
        <v>92</v>
      </c>
      <c r="L385" s="191">
        <v>9</v>
      </c>
      <c r="M385" s="191" t="s">
        <v>93</v>
      </c>
    </row>
    <row r="386" spans="1:13" x14ac:dyDescent="0.25">
      <c r="A386" s="148" t="s">
        <v>357</v>
      </c>
      <c r="B386" s="191">
        <v>24</v>
      </c>
      <c r="C386" s="191">
        <v>380</v>
      </c>
      <c r="E386" s="191" t="b">
        <v>1</v>
      </c>
      <c r="F386" s="191">
        <v>0</v>
      </c>
      <c r="G386" s="191">
        <v>0</v>
      </c>
      <c r="K386" s="191" t="s">
        <v>92</v>
      </c>
      <c r="L386" s="191">
        <v>9</v>
      </c>
      <c r="M386" s="191" t="s">
        <v>93</v>
      </c>
    </row>
    <row r="387" spans="1:13" x14ac:dyDescent="0.25">
      <c r="A387" s="148" t="s">
        <v>357</v>
      </c>
      <c r="B387" s="191">
        <v>25</v>
      </c>
      <c r="C387" s="191">
        <v>420</v>
      </c>
      <c r="E387" s="191" t="b">
        <v>1</v>
      </c>
      <c r="K387" s="191" t="s">
        <v>92</v>
      </c>
      <c r="L387" s="191">
        <v>9</v>
      </c>
      <c r="M387" s="191" t="s">
        <v>93</v>
      </c>
    </row>
    <row r="388" spans="1:13" x14ac:dyDescent="0.25">
      <c r="A388" s="148" t="s">
        <v>357</v>
      </c>
      <c r="B388" s="191">
        <v>26</v>
      </c>
      <c r="C388" s="191">
        <v>383</v>
      </c>
      <c r="E388" s="191" t="b">
        <v>1</v>
      </c>
      <c r="K388" s="191" t="s">
        <v>92</v>
      </c>
      <c r="L388" s="191">
        <v>9</v>
      </c>
      <c r="M388" s="191" t="s">
        <v>93</v>
      </c>
    </row>
    <row r="389" spans="1:13" x14ac:dyDescent="0.25">
      <c r="A389" s="148" t="s">
        <v>357</v>
      </c>
      <c r="B389" s="191">
        <v>27</v>
      </c>
      <c r="C389" s="191">
        <v>384</v>
      </c>
      <c r="E389" s="191" t="b">
        <v>1</v>
      </c>
      <c r="K389" s="191" t="s">
        <v>92</v>
      </c>
      <c r="L389" s="191">
        <v>9</v>
      </c>
      <c r="M389" s="191" t="s">
        <v>93</v>
      </c>
    </row>
    <row r="390" spans="1:13" x14ac:dyDescent="0.25">
      <c r="A390" s="148" t="s">
        <v>357</v>
      </c>
      <c r="B390" s="191">
        <v>28</v>
      </c>
      <c r="C390" s="191">
        <v>388</v>
      </c>
      <c r="E390" s="191" t="b">
        <v>1</v>
      </c>
      <c r="K390" s="191" t="s">
        <v>92</v>
      </c>
      <c r="L390" s="191">
        <v>9</v>
      </c>
      <c r="M390" s="191" t="s">
        <v>93</v>
      </c>
    </row>
    <row r="391" spans="1:13" x14ac:dyDescent="0.25">
      <c r="A391" s="148" t="s">
        <v>357</v>
      </c>
      <c r="B391" s="191">
        <v>29</v>
      </c>
      <c r="C391" s="191">
        <v>385</v>
      </c>
      <c r="E391" s="191" t="b">
        <v>1</v>
      </c>
      <c r="K391" s="191" t="s">
        <v>92</v>
      </c>
      <c r="L391" s="191">
        <v>9</v>
      </c>
      <c r="M391" s="191" t="s">
        <v>93</v>
      </c>
    </row>
    <row r="392" spans="1:13" x14ac:dyDescent="0.25">
      <c r="A392" s="148" t="s">
        <v>361</v>
      </c>
      <c r="B392" s="191">
        <v>1</v>
      </c>
      <c r="C392" s="191">
        <v>387</v>
      </c>
      <c r="E392" s="191" t="b">
        <v>1</v>
      </c>
      <c r="K392" s="191" t="s">
        <v>92</v>
      </c>
      <c r="L392" s="191">
        <v>9</v>
      </c>
      <c r="M392" s="191" t="s">
        <v>94</v>
      </c>
    </row>
    <row r="393" spans="1:13" x14ac:dyDescent="0.25">
      <c r="A393" s="148" t="s">
        <v>361</v>
      </c>
      <c r="B393" s="191">
        <v>2</v>
      </c>
      <c r="C393" s="191">
        <v>385</v>
      </c>
      <c r="E393" s="191" t="b">
        <v>1</v>
      </c>
      <c r="K393" s="191" t="s">
        <v>92</v>
      </c>
      <c r="L393" s="191">
        <v>9</v>
      </c>
      <c r="M393" s="191" t="s">
        <v>94</v>
      </c>
    </row>
    <row r="394" spans="1:13" x14ac:dyDescent="0.25">
      <c r="A394" s="148" t="s">
        <v>361</v>
      </c>
      <c r="B394" s="191">
        <v>3</v>
      </c>
      <c r="C394" s="191">
        <v>382</v>
      </c>
      <c r="E394" s="191" t="b">
        <v>1</v>
      </c>
      <c r="K394" s="191" t="s">
        <v>92</v>
      </c>
      <c r="L394" s="191">
        <v>9</v>
      </c>
      <c r="M394" s="191" t="s">
        <v>94</v>
      </c>
    </row>
    <row r="395" spans="1:13" x14ac:dyDescent="0.25">
      <c r="A395" s="148" t="s">
        <v>361</v>
      </c>
      <c r="B395" s="191">
        <v>4</v>
      </c>
      <c r="C395" s="191">
        <v>380</v>
      </c>
      <c r="E395" s="191" t="b">
        <v>1</v>
      </c>
      <c r="F395" s="191">
        <v>32.1</v>
      </c>
      <c r="G395" s="191">
        <v>32.799999999999997</v>
      </c>
      <c r="K395" s="191" t="s">
        <v>92</v>
      </c>
      <c r="L395" s="191">
        <v>9</v>
      </c>
      <c r="M395" s="191" t="s">
        <v>94</v>
      </c>
    </row>
    <row r="396" spans="1:13" x14ac:dyDescent="0.25">
      <c r="A396" s="148" t="s">
        <v>361</v>
      </c>
      <c r="B396" s="191">
        <v>5</v>
      </c>
      <c r="C396" s="191">
        <v>389</v>
      </c>
      <c r="E396" s="191" t="b">
        <v>1</v>
      </c>
      <c r="H396" s="191">
        <v>295</v>
      </c>
      <c r="I396" s="191" t="s">
        <v>10</v>
      </c>
      <c r="K396" s="191" t="s">
        <v>92</v>
      </c>
      <c r="L396" s="191">
        <v>9</v>
      </c>
      <c r="M396" s="191" t="s">
        <v>94</v>
      </c>
    </row>
    <row r="397" spans="1:13" x14ac:dyDescent="0.25">
      <c r="A397" s="148" t="s">
        <v>361</v>
      </c>
      <c r="B397" s="191">
        <v>6</v>
      </c>
      <c r="C397" s="191">
        <v>383</v>
      </c>
      <c r="E397" s="191" t="b">
        <v>1</v>
      </c>
      <c r="K397" s="191" t="s">
        <v>92</v>
      </c>
      <c r="L397" s="191">
        <v>9</v>
      </c>
      <c r="M397" s="191" t="s">
        <v>94</v>
      </c>
    </row>
    <row r="398" spans="1:13" x14ac:dyDescent="0.25">
      <c r="A398" s="148" t="s">
        <v>361</v>
      </c>
      <c r="B398" s="191">
        <v>7</v>
      </c>
      <c r="C398" s="191">
        <v>383</v>
      </c>
      <c r="E398" s="191" t="b">
        <v>1</v>
      </c>
      <c r="K398" s="191" t="s">
        <v>92</v>
      </c>
      <c r="L398" s="191">
        <v>9</v>
      </c>
      <c r="M398" s="191" t="s">
        <v>94</v>
      </c>
    </row>
    <row r="399" spans="1:13" x14ac:dyDescent="0.25">
      <c r="A399" s="148" t="s">
        <v>361</v>
      </c>
      <c r="B399" s="191">
        <v>8</v>
      </c>
      <c r="C399" s="191">
        <v>379</v>
      </c>
      <c r="E399" s="191" t="b">
        <v>1</v>
      </c>
      <c r="K399" s="191" t="s">
        <v>92</v>
      </c>
      <c r="L399" s="191">
        <v>9</v>
      </c>
      <c r="M399" s="191" t="s">
        <v>94</v>
      </c>
    </row>
    <row r="400" spans="1:13" x14ac:dyDescent="0.25">
      <c r="A400" s="148" t="s">
        <v>361</v>
      </c>
      <c r="B400" s="191">
        <v>9</v>
      </c>
      <c r="C400" s="191">
        <v>384</v>
      </c>
      <c r="E400" s="191" t="b">
        <v>1</v>
      </c>
      <c r="K400" s="191" t="s">
        <v>92</v>
      </c>
      <c r="L400" s="191">
        <v>9</v>
      </c>
      <c r="M400" s="191" t="s">
        <v>94</v>
      </c>
    </row>
    <row r="401" spans="1:13" x14ac:dyDescent="0.25">
      <c r="A401" s="148" t="s">
        <v>361</v>
      </c>
      <c r="C401" s="191">
        <v>258</v>
      </c>
      <c r="D401" s="191" t="s">
        <v>15</v>
      </c>
      <c r="E401" s="191" t="b">
        <v>0</v>
      </c>
      <c r="K401" s="191" t="s">
        <v>92</v>
      </c>
      <c r="L401" s="191">
        <v>9</v>
      </c>
      <c r="M401" s="191" t="s">
        <v>94</v>
      </c>
    </row>
    <row r="402" spans="1:13" x14ac:dyDescent="0.25">
      <c r="A402" s="148" t="s">
        <v>361</v>
      </c>
      <c r="B402" s="191">
        <v>10</v>
      </c>
      <c r="C402" s="191">
        <v>373</v>
      </c>
      <c r="E402" s="191" t="b">
        <v>1</v>
      </c>
      <c r="K402" s="191" t="s">
        <v>92</v>
      </c>
      <c r="L402" s="191">
        <v>9</v>
      </c>
      <c r="M402" s="191" t="s">
        <v>94</v>
      </c>
    </row>
    <row r="403" spans="1:13" x14ac:dyDescent="0.25">
      <c r="A403" s="148" t="s">
        <v>361</v>
      </c>
      <c r="B403" s="191">
        <v>11</v>
      </c>
      <c r="C403" s="191">
        <v>375</v>
      </c>
      <c r="E403" s="191" t="b">
        <v>1</v>
      </c>
      <c r="K403" s="191" t="s">
        <v>92</v>
      </c>
      <c r="L403" s="191">
        <v>9</v>
      </c>
      <c r="M403" s="191" t="s">
        <v>94</v>
      </c>
    </row>
    <row r="404" spans="1:13" x14ac:dyDescent="0.25">
      <c r="A404" s="148" t="s">
        <v>361</v>
      </c>
      <c r="B404" s="191">
        <v>12</v>
      </c>
      <c r="C404" s="191">
        <v>385</v>
      </c>
      <c r="E404" s="191" t="b">
        <v>1</v>
      </c>
      <c r="F404" s="191">
        <v>31.8</v>
      </c>
      <c r="G404" s="191">
        <v>31</v>
      </c>
      <c r="K404" s="191" t="s">
        <v>92</v>
      </c>
      <c r="L404" s="191">
        <v>9</v>
      </c>
      <c r="M404" s="191" t="s">
        <v>94</v>
      </c>
    </row>
    <row r="405" spans="1:13" x14ac:dyDescent="0.25">
      <c r="A405" s="148" t="s">
        <v>361</v>
      </c>
      <c r="B405" s="191">
        <v>13</v>
      </c>
      <c r="C405" s="191">
        <v>381</v>
      </c>
      <c r="E405" s="191" t="b">
        <v>1</v>
      </c>
      <c r="K405" s="191" t="s">
        <v>92</v>
      </c>
      <c r="L405" s="191">
        <v>9</v>
      </c>
      <c r="M405" s="191" t="s">
        <v>94</v>
      </c>
    </row>
    <row r="406" spans="1:13" x14ac:dyDescent="0.25">
      <c r="A406" s="148" t="s">
        <v>361</v>
      </c>
      <c r="B406" s="191">
        <v>14</v>
      </c>
      <c r="C406" s="191">
        <v>377</v>
      </c>
      <c r="E406" s="191" t="b">
        <v>1</v>
      </c>
      <c r="K406" s="191" t="s">
        <v>92</v>
      </c>
      <c r="L406" s="191">
        <v>9</v>
      </c>
      <c r="M406" s="191" t="s">
        <v>94</v>
      </c>
    </row>
    <row r="407" spans="1:13" x14ac:dyDescent="0.25">
      <c r="A407" s="148" t="s">
        <v>361</v>
      </c>
      <c r="B407" s="191">
        <v>15</v>
      </c>
      <c r="C407" s="191">
        <v>386</v>
      </c>
      <c r="E407" s="191" t="b">
        <v>1</v>
      </c>
      <c r="K407" s="191" t="s">
        <v>92</v>
      </c>
      <c r="L407" s="191">
        <v>9</v>
      </c>
      <c r="M407" s="191" t="s">
        <v>94</v>
      </c>
    </row>
    <row r="408" spans="1:13" x14ac:dyDescent="0.25">
      <c r="A408" s="148" t="s">
        <v>361</v>
      </c>
      <c r="C408" s="191">
        <v>398</v>
      </c>
      <c r="D408" s="191" t="s">
        <v>14</v>
      </c>
      <c r="E408" s="191" t="b">
        <v>0</v>
      </c>
      <c r="K408" s="191" t="s">
        <v>92</v>
      </c>
      <c r="L408" s="191">
        <v>9</v>
      </c>
      <c r="M408" s="191" t="s">
        <v>94</v>
      </c>
    </row>
    <row r="409" spans="1:13" x14ac:dyDescent="0.25">
      <c r="A409" s="148" t="s">
        <v>361</v>
      </c>
      <c r="B409" s="191">
        <v>16</v>
      </c>
      <c r="C409" s="191">
        <v>384</v>
      </c>
      <c r="E409" s="191" t="b">
        <v>1</v>
      </c>
      <c r="K409" s="191" t="s">
        <v>92</v>
      </c>
      <c r="L409" s="191">
        <v>9</v>
      </c>
      <c r="M409" s="191" t="s">
        <v>94</v>
      </c>
    </row>
    <row r="410" spans="1:13" x14ac:dyDescent="0.25">
      <c r="A410" s="148" t="s">
        <v>361</v>
      </c>
      <c r="B410" s="191">
        <v>17</v>
      </c>
      <c r="C410" s="191">
        <v>383</v>
      </c>
      <c r="E410" s="191" t="b">
        <v>1</v>
      </c>
      <c r="K410" s="191" t="s">
        <v>92</v>
      </c>
      <c r="L410" s="191">
        <v>9</v>
      </c>
      <c r="M410" s="191" t="s">
        <v>94</v>
      </c>
    </row>
    <row r="411" spans="1:13" x14ac:dyDescent="0.25">
      <c r="A411" s="148" t="s">
        <v>361</v>
      </c>
      <c r="B411" s="191">
        <v>18</v>
      </c>
      <c r="C411" s="191">
        <v>382</v>
      </c>
      <c r="E411" s="191" t="b">
        <v>1</v>
      </c>
      <c r="K411" s="191" t="s">
        <v>92</v>
      </c>
      <c r="L411" s="191">
        <v>9</v>
      </c>
      <c r="M411" s="191" t="s">
        <v>94</v>
      </c>
    </row>
    <row r="412" spans="1:13" x14ac:dyDescent="0.25">
      <c r="A412" s="148" t="s">
        <v>361</v>
      </c>
      <c r="B412" s="191">
        <v>19</v>
      </c>
      <c r="C412" s="191">
        <v>382</v>
      </c>
      <c r="E412" s="191" t="b">
        <v>1</v>
      </c>
      <c r="K412" s="191" t="s">
        <v>92</v>
      </c>
      <c r="L412" s="191">
        <v>9</v>
      </c>
      <c r="M412" s="191" t="s">
        <v>94</v>
      </c>
    </row>
    <row r="413" spans="1:13" x14ac:dyDescent="0.25">
      <c r="A413" s="148" t="s">
        <v>361</v>
      </c>
      <c r="B413" s="191">
        <v>20</v>
      </c>
      <c r="C413" s="191">
        <v>385</v>
      </c>
      <c r="E413" s="191" t="b">
        <v>1</v>
      </c>
      <c r="K413" s="191" t="s">
        <v>92</v>
      </c>
      <c r="L413" s="191">
        <v>9</v>
      </c>
      <c r="M413" s="191" t="s">
        <v>94</v>
      </c>
    </row>
    <row r="414" spans="1:13" x14ac:dyDescent="0.25">
      <c r="A414" s="148" t="s">
        <v>361</v>
      </c>
      <c r="B414" s="191">
        <v>21</v>
      </c>
      <c r="C414" s="191">
        <v>384</v>
      </c>
      <c r="E414" s="191" t="b">
        <v>1</v>
      </c>
      <c r="K414" s="191" t="s">
        <v>92</v>
      </c>
      <c r="L414" s="191">
        <v>9</v>
      </c>
      <c r="M414" s="191" t="s">
        <v>94</v>
      </c>
    </row>
    <row r="415" spans="1:13" x14ac:dyDescent="0.25">
      <c r="A415" s="148" t="s">
        <v>361</v>
      </c>
      <c r="B415" s="191">
        <v>22</v>
      </c>
      <c r="C415" s="191">
        <v>397</v>
      </c>
      <c r="E415" s="191" t="b">
        <v>1</v>
      </c>
      <c r="K415" s="191" t="s">
        <v>92</v>
      </c>
      <c r="L415" s="191">
        <v>9</v>
      </c>
      <c r="M415" s="191" t="s">
        <v>94</v>
      </c>
    </row>
    <row r="416" spans="1:13" x14ac:dyDescent="0.25">
      <c r="A416" s="148" t="s">
        <v>361</v>
      </c>
      <c r="B416" s="191">
        <v>23</v>
      </c>
      <c r="C416" s="191">
        <v>383</v>
      </c>
      <c r="E416" s="191" t="b">
        <v>1</v>
      </c>
      <c r="K416" s="191" t="s">
        <v>92</v>
      </c>
      <c r="L416" s="191">
        <v>9</v>
      </c>
      <c r="M416" s="191" t="s">
        <v>94</v>
      </c>
    </row>
    <row r="417" spans="1:13" x14ac:dyDescent="0.25">
      <c r="A417" s="148" t="s">
        <v>361</v>
      </c>
      <c r="B417" s="191">
        <v>24</v>
      </c>
      <c r="C417" s="191">
        <v>386</v>
      </c>
      <c r="E417" s="191" t="b">
        <v>1</v>
      </c>
      <c r="K417" s="191" t="s">
        <v>92</v>
      </c>
      <c r="L417" s="191">
        <v>9</v>
      </c>
      <c r="M417" s="191" t="s">
        <v>94</v>
      </c>
    </row>
    <row r="418" spans="1:13" x14ac:dyDescent="0.25">
      <c r="A418" s="148" t="s">
        <v>361</v>
      </c>
      <c r="B418" s="191">
        <v>25</v>
      </c>
      <c r="C418" s="191">
        <v>389</v>
      </c>
      <c r="E418" s="191" t="b">
        <v>1</v>
      </c>
      <c r="K418" s="191" t="s">
        <v>92</v>
      </c>
      <c r="L418" s="191">
        <v>9</v>
      </c>
      <c r="M418" s="191" t="s">
        <v>94</v>
      </c>
    </row>
    <row r="419" spans="1:13" x14ac:dyDescent="0.25">
      <c r="A419" s="148" t="s">
        <v>361</v>
      </c>
      <c r="B419" s="191">
        <v>26</v>
      </c>
      <c r="C419" s="191">
        <v>383</v>
      </c>
      <c r="E419" s="191" t="b">
        <v>1</v>
      </c>
      <c r="K419" s="191" t="s">
        <v>92</v>
      </c>
      <c r="L419" s="191">
        <v>9</v>
      </c>
      <c r="M419" s="191" t="s">
        <v>94</v>
      </c>
    </row>
    <row r="420" spans="1:13" x14ac:dyDescent="0.25">
      <c r="A420" s="148" t="s">
        <v>361</v>
      </c>
      <c r="B420" s="191">
        <v>27</v>
      </c>
      <c r="C420" s="191">
        <v>384</v>
      </c>
      <c r="E420" s="191" t="b">
        <v>1</v>
      </c>
      <c r="K420" s="191" t="s">
        <v>92</v>
      </c>
      <c r="L420" s="191">
        <v>9</v>
      </c>
      <c r="M420" s="191" t="s">
        <v>94</v>
      </c>
    </row>
    <row r="421" spans="1:13" x14ac:dyDescent="0.25">
      <c r="A421" s="148" t="s">
        <v>361</v>
      </c>
      <c r="B421" s="191">
        <v>28</v>
      </c>
      <c r="C421" s="191">
        <v>388</v>
      </c>
      <c r="E421" s="191" t="b">
        <v>1</v>
      </c>
      <c r="K421" s="191" t="s">
        <v>92</v>
      </c>
      <c r="L421" s="191">
        <v>9</v>
      </c>
      <c r="M421" s="191" t="s">
        <v>94</v>
      </c>
    </row>
    <row r="422" spans="1:13" x14ac:dyDescent="0.25">
      <c r="A422" s="148" t="s">
        <v>361</v>
      </c>
      <c r="B422" s="191">
        <v>29</v>
      </c>
      <c r="C422" s="191">
        <v>384</v>
      </c>
      <c r="E422" s="191" t="b">
        <v>1</v>
      </c>
      <c r="K422" s="191" t="s">
        <v>92</v>
      </c>
      <c r="L422" s="191">
        <v>9</v>
      </c>
      <c r="M422" s="191" t="s">
        <v>94</v>
      </c>
    </row>
    <row r="423" spans="1:13" x14ac:dyDescent="0.25">
      <c r="A423" s="148" t="s">
        <v>361</v>
      </c>
      <c r="B423" s="191">
        <v>30</v>
      </c>
      <c r="C423" s="191">
        <v>384</v>
      </c>
      <c r="E423" s="191" t="b">
        <v>1</v>
      </c>
      <c r="K423" s="191" t="s">
        <v>92</v>
      </c>
      <c r="L423" s="191">
        <v>9</v>
      </c>
      <c r="M423" s="191" t="s">
        <v>94</v>
      </c>
    </row>
    <row r="424" spans="1:13" x14ac:dyDescent="0.25">
      <c r="A424" s="148" t="s">
        <v>365</v>
      </c>
      <c r="B424" s="191">
        <v>1</v>
      </c>
      <c r="C424" s="191">
        <v>396</v>
      </c>
      <c r="E424" s="191" t="b">
        <v>1</v>
      </c>
      <c r="K424" s="191" t="s">
        <v>92</v>
      </c>
      <c r="L424" s="191">
        <v>9</v>
      </c>
      <c r="M424" s="191" t="s">
        <v>200</v>
      </c>
    </row>
    <row r="425" spans="1:13" x14ac:dyDescent="0.25">
      <c r="A425" s="148" t="s">
        <v>365</v>
      </c>
      <c r="B425" s="191">
        <v>2</v>
      </c>
      <c r="C425" s="191">
        <v>382</v>
      </c>
      <c r="E425" s="191" t="b">
        <v>1</v>
      </c>
      <c r="H425" s="191">
        <v>382</v>
      </c>
      <c r="I425" s="191" t="s">
        <v>10</v>
      </c>
      <c r="K425" s="191" t="s">
        <v>92</v>
      </c>
      <c r="L425" s="191">
        <v>9</v>
      </c>
      <c r="M425" s="191" t="s">
        <v>200</v>
      </c>
    </row>
    <row r="426" spans="1:13" x14ac:dyDescent="0.25">
      <c r="A426" s="148" t="s">
        <v>365</v>
      </c>
      <c r="B426" s="191">
        <v>3</v>
      </c>
      <c r="C426" s="191">
        <v>381</v>
      </c>
      <c r="E426" s="191" t="b">
        <v>1</v>
      </c>
      <c r="H426" s="191">
        <v>381</v>
      </c>
      <c r="I426" s="191" t="s">
        <v>10</v>
      </c>
      <c r="K426" s="191" t="s">
        <v>92</v>
      </c>
      <c r="L426" s="191">
        <v>9</v>
      </c>
      <c r="M426" s="191" t="s">
        <v>200</v>
      </c>
    </row>
    <row r="427" spans="1:13" x14ac:dyDescent="0.25">
      <c r="A427" s="148" t="s">
        <v>365</v>
      </c>
      <c r="B427" s="191">
        <v>4</v>
      </c>
      <c r="C427" s="191">
        <v>384</v>
      </c>
      <c r="E427" s="191" t="b">
        <v>1</v>
      </c>
      <c r="F427" s="191">
        <v>31.1</v>
      </c>
      <c r="G427" s="191">
        <v>32.299999999999997</v>
      </c>
      <c r="K427" s="191" t="s">
        <v>92</v>
      </c>
      <c r="L427" s="191">
        <v>9</v>
      </c>
      <c r="M427" s="191" t="s">
        <v>200</v>
      </c>
    </row>
    <row r="428" spans="1:13" x14ac:dyDescent="0.25">
      <c r="A428" s="148" t="s">
        <v>365</v>
      </c>
      <c r="B428" s="191">
        <v>5</v>
      </c>
      <c r="C428" s="191">
        <v>396</v>
      </c>
      <c r="E428" s="191" t="b">
        <v>1</v>
      </c>
      <c r="K428" s="191" t="s">
        <v>92</v>
      </c>
      <c r="L428" s="191">
        <v>9</v>
      </c>
      <c r="M428" s="191" t="s">
        <v>200</v>
      </c>
    </row>
    <row r="429" spans="1:13" x14ac:dyDescent="0.25">
      <c r="A429" s="148" t="s">
        <v>365</v>
      </c>
      <c r="B429" s="191">
        <v>6</v>
      </c>
      <c r="C429" s="191">
        <v>381</v>
      </c>
      <c r="E429" s="191" t="b">
        <v>1</v>
      </c>
      <c r="K429" s="191" t="s">
        <v>92</v>
      </c>
      <c r="L429" s="191">
        <v>9</v>
      </c>
      <c r="M429" s="191" t="s">
        <v>200</v>
      </c>
    </row>
    <row r="430" spans="1:13" x14ac:dyDescent="0.25">
      <c r="A430" s="148" t="s">
        <v>365</v>
      </c>
      <c r="B430" s="191">
        <v>7</v>
      </c>
      <c r="C430" s="191">
        <v>392</v>
      </c>
      <c r="E430" s="191" t="b">
        <v>1</v>
      </c>
      <c r="K430" s="191" t="s">
        <v>92</v>
      </c>
      <c r="L430" s="191">
        <v>9</v>
      </c>
      <c r="M430" s="191" t="s">
        <v>200</v>
      </c>
    </row>
    <row r="431" spans="1:13" x14ac:dyDescent="0.25">
      <c r="A431" s="148" t="s">
        <v>365</v>
      </c>
      <c r="B431" s="191">
        <v>8</v>
      </c>
      <c r="C431" s="191">
        <v>387</v>
      </c>
      <c r="E431" s="191" t="b">
        <v>1</v>
      </c>
      <c r="K431" s="191" t="s">
        <v>92</v>
      </c>
      <c r="L431" s="191">
        <v>9</v>
      </c>
      <c r="M431" s="191" t="s">
        <v>200</v>
      </c>
    </row>
    <row r="432" spans="1:13" x14ac:dyDescent="0.25">
      <c r="A432" s="148" t="s">
        <v>365</v>
      </c>
      <c r="B432" s="191">
        <v>9</v>
      </c>
      <c r="C432" s="191">
        <v>384</v>
      </c>
      <c r="E432" s="191" t="b">
        <v>1</v>
      </c>
      <c r="K432" s="191" t="s">
        <v>92</v>
      </c>
      <c r="L432" s="191">
        <v>9</v>
      </c>
      <c r="M432" s="191" t="s">
        <v>200</v>
      </c>
    </row>
    <row r="433" spans="1:13" x14ac:dyDescent="0.25">
      <c r="A433" s="148" t="s">
        <v>365</v>
      </c>
      <c r="B433" s="191">
        <v>10</v>
      </c>
      <c r="C433" s="191">
        <v>383</v>
      </c>
      <c r="E433" s="191" t="b">
        <v>1</v>
      </c>
      <c r="H433" s="191">
        <v>383</v>
      </c>
      <c r="I433" s="191" t="s">
        <v>10</v>
      </c>
      <c r="K433" s="191" t="s">
        <v>92</v>
      </c>
      <c r="L433" s="191">
        <v>9</v>
      </c>
      <c r="M433" s="191" t="s">
        <v>200</v>
      </c>
    </row>
    <row r="434" spans="1:13" x14ac:dyDescent="0.25">
      <c r="A434" s="148" t="s">
        <v>365</v>
      </c>
      <c r="B434" s="191">
        <v>11</v>
      </c>
      <c r="C434" s="191">
        <v>388</v>
      </c>
      <c r="E434" s="191" t="b">
        <v>1</v>
      </c>
      <c r="F434" s="191">
        <v>30.5</v>
      </c>
      <c r="G434" s="191">
        <v>32</v>
      </c>
      <c r="K434" s="191" t="s">
        <v>92</v>
      </c>
      <c r="L434" s="191">
        <v>9</v>
      </c>
      <c r="M434" s="191" t="s">
        <v>200</v>
      </c>
    </row>
    <row r="435" spans="1:13" x14ac:dyDescent="0.25">
      <c r="A435" s="148" t="s">
        <v>365</v>
      </c>
      <c r="B435" s="191">
        <v>12</v>
      </c>
      <c r="C435" s="191">
        <v>387</v>
      </c>
      <c r="E435" s="191" t="b">
        <v>1</v>
      </c>
      <c r="K435" s="191" t="s">
        <v>92</v>
      </c>
      <c r="L435" s="191">
        <v>9</v>
      </c>
      <c r="M435" s="191" t="s">
        <v>200</v>
      </c>
    </row>
    <row r="436" spans="1:13" x14ac:dyDescent="0.25">
      <c r="A436" s="148" t="s">
        <v>365</v>
      </c>
      <c r="B436" s="191">
        <v>13</v>
      </c>
      <c r="C436" s="191">
        <v>389</v>
      </c>
      <c r="E436" s="191" t="b">
        <v>1</v>
      </c>
      <c r="K436" s="191" t="s">
        <v>92</v>
      </c>
      <c r="L436" s="191">
        <v>9</v>
      </c>
      <c r="M436" s="191" t="s">
        <v>200</v>
      </c>
    </row>
    <row r="437" spans="1:13" x14ac:dyDescent="0.25">
      <c r="A437" s="148" t="s">
        <v>365</v>
      </c>
      <c r="B437" s="191">
        <v>14</v>
      </c>
      <c r="C437" s="191">
        <v>385</v>
      </c>
      <c r="E437" s="191" t="b">
        <v>1</v>
      </c>
      <c r="K437" s="191" t="s">
        <v>92</v>
      </c>
      <c r="L437" s="191">
        <v>9</v>
      </c>
      <c r="M437" s="191" t="s">
        <v>200</v>
      </c>
    </row>
    <row r="438" spans="1:13" x14ac:dyDescent="0.25">
      <c r="A438" s="148" t="s">
        <v>365</v>
      </c>
      <c r="B438" s="191">
        <v>15</v>
      </c>
      <c r="C438" s="191">
        <v>380</v>
      </c>
      <c r="E438" s="191" t="b">
        <v>1</v>
      </c>
      <c r="K438" s="191" t="s">
        <v>92</v>
      </c>
      <c r="L438" s="191">
        <v>9</v>
      </c>
      <c r="M438" s="191" t="s">
        <v>200</v>
      </c>
    </row>
    <row r="439" spans="1:13" x14ac:dyDescent="0.25">
      <c r="A439" s="148" t="s">
        <v>365</v>
      </c>
      <c r="B439" s="191">
        <v>16</v>
      </c>
      <c r="C439" s="191">
        <v>382</v>
      </c>
      <c r="E439" s="191" t="b">
        <v>1</v>
      </c>
      <c r="K439" s="191" t="s">
        <v>92</v>
      </c>
      <c r="L439" s="191">
        <v>9</v>
      </c>
      <c r="M439" s="191" t="s">
        <v>200</v>
      </c>
    </row>
    <row r="440" spans="1:13" x14ac:dyDescent="0.25">
      <c r="A440" s="148" t="s">
        <v>365</v>
      </c>
      <c r="B440" s="191">
        <v>17</v>
      </c>
      <c r="C440" s="191">
        <v>382</v>
      </c>
      <c r="E440" s="191" t="b">
        <v>1</v>
      </c>
      <c r="K440" s="191" t="s">
        <v>92</v>
      </c>
      <c r="L440" s="191">
        <v>9</v>
      </c>
      <c r="M440" s="191" t="s">
        <v>200</v>
      </c>
    </row>
    <row r="441" spans="1:13" x14ac:dyDescent="0.25">
      <c r="A441" s="148" t="s">
        <v>365</v>
      </c>
      <c r="B441" s="191">
        <v>18</v>
      </c>
      <c r="C441" s="191">
        <v>389</v>
      </c>
      <c r="E441" s="191" t="b">
        <v>1</v>
      </c>
      <c r="K441" s="191" t="s">
        <v>92</v>
      </c>
      <c r="L441" s="191">
        <v>9</v>
      </c>
      <c r="M441" s="191" t="s">
        <v>200</v>
      </c>
    </row>
    <row r="442" spans="1:13" x14ac:dyDescent="0.25">
      <c r="A442" s="148" t="s">
        <v>365</v>
      </c>
      <c r="B442" s="191">
        <v>19</v>
      </c>
      <c r="C442" s="191">
        <v>388</v>
      </c>
      <c r="E442" s="191" t="b">
        <v>1</v>
      </c>
      <c r="K442" s="191" t="s">
        <v>92</v>
      </c>
      <c r="L442" s="191">
        <v>9</v>
      </c>
      <c r="M442" s="191" t="s">
        <v>200</v>
      </c>
    </row>
    <row r="443" spans="1:13" x14ac:dyDescent="0.25">
      <c r="A443" s="148" t="s">
        <v>365</v>
      </c>
      <c r="B443" s="191">
        <v>20</v>
      </c>
      <c r="C443" s="191">
        <v>381</v>
      </c>
      <c r="E443" s="191" t="b">
        <v>1</v>
      </c>
      <c r="H443" s="191">
        <v>381</v>
      </c>
      <c r="I443" s="191" t="s">
        <v>10</v>
      </c>
      <c r="K443" s="191" t="s">
        <v>92</v>
      </c>
      <c r="L443" s="191">
        <v>9</v>
      </c>
      <c r="M443" s="191" t="s">
        <v>200</v>
      </c>
    </row>
    <row r="444" spans="1:13" x14ac:dyDescent="0.25">
      <c r="A444" s="148" t="s">
        <v>365</v>
      </c>
      <c r="B444" s="191">
        <v>21</v>
      </c>
      <c r="C444" s="191">
        <v>391</v>
      </c>
      <c r="E444" s="191" t="b">
        <v>1</v>
      </c>
      <c r="F444" s="191">
        <v>28.9</v>
      </c>
      <c r="G444" s="191">
        <v>31.8</v>
      </c>
      <c r="K444" s="191" t="s">
        <v>92</v>
      </c>
      <c r="L444" s="191">
        <v>9</v>
      </c>
      <c r="M444" s="191" t="s">
        <v>200</v>
      </c>
    </row>
    <row r="445" spans="1:13" x14ac:dyDescent="0.25">
      <c r="A445" s="148" t="s">
        <v>365</v>
      </c>
      <c r="B445" s="191">
        <v>22</v>
      </c>
      <c r="C445" s="191">
        <v>384</v>
      </c>
      <c r="E445" s="191" t="b">
        <v>1</v>
      </c>
      <c r="K445" s="191" t="s">
        <v>92</v>
      </c>
      <c r="L445" s="191">
        <v>9</v>
      </c>
      <c r="M445" s="191" t="s">
        <v>200</v>
      </c>
    </row>
    <row r="446" spans="1:13" x14ac:dyDescent="0.25">
      <c r="A446" s="148" t="s">
        <v>365</v>
      </c>
      <c r="B446" s="191">
        <v>23</v>
      </c>
      <c r="C446" s="191">
        <v>393</v>
      </c>
      <c r="E446" s="191" t="b">
        <v>1</v>
      </c>
      <c r="K446" s="191" t="s">
        <v>92</v>
      </c>
      <c r="L446" s="191">
        <v>9</v>
      </c>
      <c r="M446" s="191" t="s">
        <v>200</v>
      </c>
    </row>
    <row r="447" spans="1:13" x14ac:dyDescent="0.25">
      <c r="A447" s="148" t="s">
        <v>365</v>
      </c>
      <c r="B447" s="191">
        <v>24</v>
      </c>
      <c r="C447" s="191">
        <v>388</v>
      </c>
      <c r="E447" s="191" t="b">
        <v>1</v>
      </c>
      <c r="K447" s="191" t="s">
        <v>92</v>
      </c>
      <c r="L447" s="191">
        <v>9</v>
      </c>
      <c r="M447" s="191" t="s">
        <v>200</v>
      </c>
    </row>
    <row r="448" spans="1:13" x14ac:dyDescent="0.25">
      <c r="A448" s="148" t="s">
        <v>365</v>
      </c>
      <c r="B448" s="191">
        <v>25</v>
      </c>
      <c r="C448" s="191">
        <v>381</v>
      </c>
      <c r="E448" s="191" t="b">
        <v>1</v>
      </c>
      <c r="K448" s="191" t="s">
        <v>92</v>
      </c>
      <c r="L448" s="191">
        <v>9</v>
      </c>
      <c r="M448" s="191" t="s">
        <v>200</v>
      </c>
    </row>
    <row r="449" spans="1:13" x14ac:dyDescent="0.25">
      <c r="A449" s="148" t="s">
        <v>365</v>
      </c>
      <c r="B449" s="191">
        <v>26</v>
      </c>
      <c r="C449" s="191">
        <v>387</v>
      </c>
      <c r="E449" s="191" t="b">
        <v>1</v>
      </c>
      <c r="K449" s="191" t="s">
        <v>92</v>
      </c>
      <c r="L449" s="191">
        <v>9</v>
      </c>
      <c r="M449" s="191" t="s">
        <v>200</v>
      </c>
    </row>
    <row r="450" spans="1:13" x14ac:dyDescent="0.25">
      <c r="A450" s="148" t="s">
        <v>365</v>
      </c>
      <c r="B450" s="191">
        <v>27</v>
      </c>
      <c r="C450" s="191">
        <v>389</v>
      </c>
      <c r="E450" s="191" t="b">
        <v>1</v>
      </c>
      <c r="K450" s="191" t="s">
        <v>92</v>
      </c>
      <c r="L450" s="191">
        <v>9</v>
      </c>
      <c r="M450" s="191" t="s">
        <v>200</v>
      </c>
    </row>
    <row r="451" spans="1:13" x14ac:dyDescent="0.25">
      <c r="A451" s="148" t="s">
        <v>365</v>
      </c>
      <c r="B451" s="191">
        <v>28</v>
      </c>
      <c r="C451" s="191">
        <v>390</v>
      </c>
      <c r="E451" s="191" t="b">
        <v>1</v>
      </c>
      <c r="K451" s="191" t="s">
        <v>92</v>
      </c>
      <c r="L451" s="191">
        <v>9</v>
      </c>
      <c r="M451" s="191" t="s">
        <v>200</v>
      </c>
    </row>
    <row r="452" spans="1:13" x14ac:dyDescent="0.25">
      <c r="A452" s="148" t="s">
        <v>365</v>
      </c>
      <c r="B452" s="191">
        <v>29</v>
      </c>
      <c r="C452" s="191">
        <v>383</v>
      </c>
      <c r="E452" s="191" t="b">
        <v>1</v>
      </c>
      <c r="K452" s="191" t="s">
        <v>92</v>
      </c>
      <c r="L452" s="191">
        <v>9</v>
      </c>
      <c r="M452" s="191" t="s">
        <v>200</v>
      </c>
    </row>
    <row r="453" spans="1:13" x14ac:dyDescent="0.25">
      <c r="A453" s="148" t="s">
        <v>365</v>
      </c>
      <c r="B453" s="191">
        <v>30</v>
      </c>
      <c r="C453" s="191">
        <v>387</v>
      </c>
      <c r="E453" s="191" t="b">
        <v>1</v>
      </c>
      <c r="K453" s="191" t="s">
        <v>92</v>
      </c>
      <c r="L453" s="191">
        <v>9</v>
      </c>
      <c r="M453" s="191" t="s">
        <v>200</v>
      </c>
    </row>
    <row r="454" spans="1:13" x14ac:dyDescent="0.25">
      <c r="A454" s="148" t="s">
        <v>374</v>
      </c>
      <c r="B454" s="191">
        <v>1</v>
      </c>
      <c r="C454" s="191">
        <v>382</v>
      </c>
      <c r="E454" s="191" t="b">
        <v>1</v>
      </c>
      <c r="K454" s="191" t="s">
        <v>92</v>
      </c>
      <c r="L454" s="191">
        <v>10</v>
      </c>
      <c r="M454" s="191" t="s">
        <v>93</v>
      </c>
    </row>
    <row r="455" spans="1:13" x14ac:dyDescent="0.25">
      <c r="A455" s="148" t="s">
        <v>374</v>
      </c>
      <c r="B455" s="191">
        <v>2</v>
      </c>
      <c r="C455" s="191">
        <v>382</v>
      </c>
      <c r="E455" s="191" t="b">
        <v>1</v>
      </c>
      <c r="K455" s="191" t="s">
        <v>92</v>
      </c>
      <c r="L455" s="191">
        <v>10</v>
      </c>
      <c r="M455" s="191" t="s">
        <v>93</v>
      </c>
    </row>
    <row r="456" spans="1:13" x14ac:dyDescent="0.25">
      <c r="A456" s="148" t="s">
        <v>374</v>
      </c>
      <c r="B456" s="191">
        <v>3</v>
      </c>
      <c r="C456" s="191">
        <v>383</v>
      </c>
      <c r="E456" s="191" t="b">
        <v>1</v>
      </c>
      <c r="K456" s="191" t="s">
        <v>92</v>
      </c>
      <c r="L456" s="191">
        <v>10</v>
      </c>
      <c r="M456" s="191" t="s">
        <v>93</v>
      </c>
    </row>
    <row r="457" spans="1:13" x14ac:dyDescent="0.25">
      <c r="A457" s="148" t="s">
        <v>374</v>
      </c>
      <c r="B457" s="191">
        <v>4</v>
      </c>
      <c r="C457" s="191">
        <v>384</v>
      </c>
      <c r="E457" s="191" t="b">
        <v>1</v>
      </c>
      <c r="K457" s="191" t="s">
        <v>92</v>
      </c>
      <c r="L457" s="191">
        <v>10</v>
      </c>
      <c r="M457" s="191" t="s">
        <v>93</v>
      </c>
    </row>
    <row r="458" spans="1:13" x14ac:dyDescent="0.25">
      <c r="A458" s="148" t="s">
        <v>374</v>
      </c>
      <c r="B458" s="191">
        <v>5</v>
      </c>
      <c r="C458" s="191">
        <v>381</v>
      </c>
      <c r="E458" s="191" t="b">
        <v>1</v>
      </c>
      <c r="K458" s="191" t="s">
        <v>92</v>
      </c>
      <c r="L458" s="191">
        <v>10</v>
      </c>
      <c r="M458" s="191" t="s">
        <v>93</v>
      </c>
    </row>
    <row r="459" spans="1:13" x14ac:dyDescent="0.25">
      <c r="A459" s="148" t="s">
        <v>374</v>
      </c>
      <c r="B459" s="191">
        <v>6</v>
      </c>
      <c r="C459" s="191">
        <v>380</v>
      </c>
      <c r="E459" s="191" t="b">
        <v>1</v>
      </c>
      <c r="K459" s="191" t="s">
        <v>92</v>
      </c>
      <c r="L459" s="191">
        <v>10</v>
      </c>
      <c r="M459" s="191" t="s">
        <v>93</v>
      </c>
    </row>
    <row r="460" spans="1:13" x14ac:dyDescent="0.25">
      <c r="A460" s="148" t="s">
        <v>374</v>
      </c>
      <c r="B460" s="191">
        <v>7</v>
      </c>
      <c r="C460" s="191">
        <v>387</v>
      </c>
      <c r="E460" s="191" t="b">
        <v>1</v>
      </c>
      <c r="K460" s="191" t="s">
        <v>92</v>
      </c>
      <c r="L460" s="191">
        <v>10</v>
      </c>
      <c r="M460" s="191" t="s">
        <v>93</v>
      </c>
    </row>
    <row r="461" spans="1:13" x14ac:dyDescent="0.25">
      <c r="A461" s="148" t="s">
        <v>374</v>
      </c>
      <c r="B461" s="191">
        <v>8</v>
      </c>
      <c r="C461" s="191">
        <v>383</v>
      </c>
      <c r="E461" s="191" t="b">
        <v>1</v>
      </c>
      <c r="K461" s="191" t="s">
        <v>92</v>
      </c>
      <c r="L461" s="191">
        <v>10</v>
      </c>
      <c r="M461" s="191" t="s">
        <v>93</v>
      </c>
    </row>
    <row r="462" spans="1:13" x14ac:dyDescent="0.25">
      <c r="A462" s="148" t="s">
        <v>374</v>
      </c>
      <c r="B462" s="191">
        <v>9</v>
      </c>
      <c r="C462" s="191">
        <v>380</v>
      </c>
      <c r="E462" s="191" t="b">
        <v>1</v>
      </c>
      <c r="K462" s="191" t="s">
        <v>92</v>
      </c>
      <c r="L462" s="191">
        <v>10</v>
      </c>
      <c r="M462" s="191" t="s">
        <v>93</v>
      </c>
    </row>
    <row r="463" spans="1:13" x14ac:dyDescent="0.25">
      <c r="A463" s="148" t="s">
        <v>374</v>
      </c>
      <c r="B463" s="191">
        <v>10</v>
      </c>
      <c r="C463" s="191">
        <v>376</v>
      </c>
      <c r="E463" s="191" t="b">
        <v>1</v>
      </c>
      <c r="K463" s="191" t="s">
        <v>92</v>
      </c>
      <c r="L463" s="191">
        <v>10</v>
      </c>
      <c r="M463" s="191" t="s">
        <v>93</v>
      </c>
    </row>
    <row r="464" spans="1:13" x14ac:dyDescent="0.25">
      <c r="A464" s="148" t="s">
        <v>374</v>
      </c>
      <c r="B464" s="191">
        <v>11</v>
      </c>
      <c r="C464" s="191">
        <v>382</v>
      </c>
      <c r="E464" s="191" t="b">
        <v>1</v>
      </c>
      <c r="K464" s="191" t="s">
        <v>92</v>
      </c>
      <c r="L464" s="191">
        <v>10</v>
      </c>
      <c r="M464" s="191" t="s">
        <v>93</v>
      </c>
    </row>
    <row r="465" spans="1:13" x14ac:dyDescent="0.25">
      <c r="A465" s="148" t="s">
        <v>374</v>
      </c>
      <c r="B465" s="191">
        <v>12</v>
      </c>
      <c r="C465" s="191">
        <v>387</v>
      </c>
      <c r="E465" s="191" t="b">
        <v>1</v>
      </c>
      <c r="K465" s="191" t="s">
        <v>92</v>
      </c>
      <c r="L465" s="191">
        <v>10</v>
      </c>
      <c r="M465" s="191" t="s">
        <v>93</v>
      </c>
    </row>
    <row r="466" spans="1:13" x14ac:dyDescent="0.25">
      <c r="A466" s="148" t="s">
        <v>374</v>
      </c>
      <c r="B466" s="191">
        <v>13</v>
      </c>
      <c r="C466" s="191">
        <v>374</v>
      </c>
      <c r="E466" s="191" t="b">
        <v>1</v>
      </c>
      <c r="K466" s="191" t="s">
        <v>92</v>
      </c>
      <c r="L466" s="191">
        <v>10</v>
      </c>
      <c r="M466" s="191" t="s">
        <v>93</v>
      </c>
    </row>
    <row r="467" spans="1:13" x14ac:dyDescent="0.25">
      <c r="A467" s="148" t="s">
        <v>374</v>
      </c>
      <c r="B467" s="191">
        <v>14</v>
      </c>
      <c r="C467" s="191">
        <v>377</v>
      </c>
      <c r="E467" s="191" t="b">
        <v>1</v>
      </c>
      <c r="K467" s="191" t="s">
        <v>92</v>
      </c>
      <c r="L467" s="191">
        <v>10</v>
      </c>
      <c r="M467" s="191" t="s">
        <v>93</v>
      </c>
    </row>
    <row r="468" spans="1:13" x14ac:dyDescent="0.25">
      <c r="A468" s="148" t="s">
        <v>374</v>
      </c>
      <c r="B468" s="191">
        <v>15</v>
      </c>
      <c r="C468" s="191">
        <v>387</v>
      </c>
      <c r="E468" s="191" t="b">
        <v>1</v>
      </c>
      <c r="K468" s="191" t="s">
        <v>92</v>
      </c>
      <c r="L468" s="191">
        <v>10</v>
      </c>
      <c r="M468" s="191" t="s">
        <v>93</v>
      </c>
    </row>
    <row r="469" spans="1:13" x14ac:dyDescent="0.25">
      <c r="A469" s="148" t="s">
        <v>374</v>
      </c>
      <c r="B469" s="191">
        <v>16</v>
      </c>
      <c r="C469" s="191">
        <v>397</v>
      </c>
      <c r="E469" s="191" t="b">
        <v>1</v>
      </c>
      <c r="K469" s="191" t="s">
        <v>92</v>
      </c>
      <c r="L469" s="191">
        <v>10</v>
      </c>
      <c r="M469" s="191" t="s">
        <v>93</v>
      </c>
    </row>
    <row r="470" spans="1:13" x14ac:dyDescent="0.25">
      <c r="A470" s="148" t="s">
        <v>374</v>
      </c>
      <c r="B470" s="191">
        <v>17</v>
      </c>
      <c r="C470" s="191">
        <v>378</v>
      </c>
      <c r="E470" s="191" t="b">
        <v>1</v>
      </c>
      <c r="K470" s="191" t="s">
        <v>92</v>
      </c>
      <c r="L470" s="191">
        <v>10</v>
      </c>
      <c r="M470" s="191" t="s">
        <v>93</v>
      </c>
    </row>
    <row r="471" spans="1:13" x14ac:dyDescent="0.25">
      <c r="A471" s="148" t="s">
        <v>374</v>
      </c>
      <c r="B471" s="191">
        <v>18</v>
      </c>
      <c r="C471" s="191">
        <v>377</v>
      </c>
      <c r="E471" s="191" t="b">
        <v>1</v>
      </c>
      <c r="K471" s="191" t="s">
        <v>92</v>
      </c>
      <c r="L471" s="191">
        <v>10</v>
      </c>
      <c r="M471" s="191" t="s">
        <v>93</v>
      </c>
    </row>
    <row r="472" spans="1:13" x14ac:dyDescent="0.25">
      <c r="A472" s="148" t="s">
        <v>375</v>
      </c>
      <c r="B472" s="191">
        <v>1</v>
      </c>
      <c r="C472" s="191">
        <v>360</v>
      </c>
      <c r="E472" s="191" t="b">
        <v>1</v>
      </c>
      <c r="K472" s="191" t="s">
        <v>92</v>
      </c>
      <c r="L472" s="191">
        <v>23</v>
      </c>
      <c r="M472" s="191" t="s">
        <v>200</v>
      </c>
    </row>
    <row r="473" spans="1:13" x14ac:dyDescent="0.25">
      <c r="A473" s="148" t="s">
        <v>375</v>
      </c>
      <c r="B473" s="191">
        <v>2</v>
      </c>
      <c r="C473" s="191">
        <v>384</v>
      </c>
      <c r="E473" s="191" t="b">
        <v>1</v>
      </c>
      <c r="F473" s="191">
        <v>29</v>
      </c>
      <c r="G473" s="191">
        <v>31.2</v>
      </c>
      <c r="K473" s="191" t="s">
        <v>92</v>
      </c>
      <c r="L473" s="191">
        <v>23</v>
      </c>
      <c r="M473" s="191" t="s">
        <v>200</v>
      </c>
    </row>
    <row r="474" spans="1:13" x14ac:dyDescent="0.25">
      <c r="A474" s="148" t="s">
        <v>375</v>
      </c>
      <c r="B474" s="191">
        <v>3</v>
      </c>
      <c r="C474" s="191">
        <v>388</v>
      </c>
      <c r="E474" s="191" t="b">
        <v>1</v>
      </c>
      <c r="K474" s="191" t="s">
        <v>92</v>
      </c>
      <c r="L474" s="191">
        <v>23</v>
      </c>
      <c r="M474" s="191" t="s">
        <v>200</v>
      </c>
    </row>
    <row r="475" spans="1:13" x14ac:dyDescent="0.25">
      <c r="A475" s="148" t="s">
        <v>375</v>
      </c>
      <c r="B475" s="191">
        <v>4</v>
      </c>
      <c r="C475" s="191">
        <v>383</v>
      </c>
      <c r="E475" s="191" t="b">
        <v>1</v>
      </c>
      <c r="K475" s="191" t="s">
        <v>92</v>
      </c>
      <c r="L475" s="191">
        <v>23</v>
      </c>
      <c r="M475" s="191" t="s">
        <v>200</v>
      </c>
    </row>
    <row r="476" spans="1:13" x14ac:dyDescent="0.25">
      <c r="A476" s="148" t="s">
        <v>375</v>
      </c>
      <c r="B476" s="191">
        <v>5</v>
      </c>
      <c r="C476" s="191">
        <v>389</v>
      </c>
      <c r="E476" s="191" t="b">
        <v>1</v>
      </c>
      <c r="K476" s="191" t="s">
        <v>92</v>
      </c>
      <c r="L476" s="191">
        <v>23</v>
      </c>
      <c r="M476" s="191" t="s">
        <v>200</v>
      </c>
    </row>
    <row r="477" spans="1:13" x14ac:dyDescent="0.25">
      <c r="A477" s="148" t="s">
        <v>375</v>
      </c>
      <c r="B477" s="191">
        <v>6</v>
      </c>
      <c r="C477" s="191">
        <v>393</v>
      </c>
      <c r="E477" s="191" t="b">
        <v>1</v>
      </c>
      <c r="K477" s="191" t="s">
        <v>92</v>
      </c>
      <c r="L477" s="191">
        <v>23</v>
      </c>
      <c r="M477" s="191" t="s">
        <v>200</v>
      </c>
    </row>
    <row r="478" spans="1:13" x14ac:dyDescent="0.25">
      <c r="A478" s="148" t="s">
        <v>375</v>
      </c>
      <c r="B478" s="191">
        <v>7</v>
      </c>
      <c r="C478" s="191">
        <v>388</v>
      </c>
      <c r="E478" s="191" t="b">
        <v>1</v>
      </c>
      <c r="K478" s="191" t="s">
        <v>92</v>
      </c>
      <c r="L478" s="191">
        <v>23</v>
      </c>
      <c r="M478" s="191" t="s">
        <v>200</v>
      </c>
    </row>
    <row r="479" spans="1:13" x14ac:dyDescent="0.25">
      <c r="A479" s="148" t="s">
        <v>375</v>
      </c>
      <c r="B479" s="191">
        <v>8</v>
      </c>
      <c r="C479" s="191">
        <v>387</v>
      </c>
      <c r="E479" s="191" t="b">
        <v>1</v>
      </c>
      <c r="K479" s="191" t="s">
        <v>92</v>
      </c>
      <c r="L479" s="191">
        <v>23</v>
      </c>
      <c r="M479" s="191" t="s">
        <v>200</v>
      </c>
    </row>
    <row r="480" spans="1:13" x14ac:dyDescent="0.25">
      <c r="A480" s="148" t="s">
        <v>375</v>
      </c>
      <c r="B480" s="191">
        <v>9</v>
      </c>
      <c r="C480" s="191">
        <v>396</v>
      </c>
      <c r="E480" s="191" t="b">
        <v>1</v>
      </c>
      <c r="K480" s="191" t="s">
        <v>92</v>
      </c>
      <c r="L480" s="191">
        <v>23</v>
      </c>
      <c r="M480" s="191" t="s">
        <v>200</v>
      </c>
    </row>
    <row r="481" spans="1:13" x14ac:dyDescent="0.25">
      <c r="A481" s="148" t="s">
        <v>375</v>
      </c>
      <c r="B481" s="191">
        <v>10</v>
      </c>
      <c r="C481" s="191">
        <v>389</v>
      </c>
      <c r="E481" s="191" t="b">
        <v>1</v>
      </c>
      <c r="K481" s="191" t="s">
        <v>92</v>
      </c>
      <c r="L481" s="191">
        <v>23</v>
      </c>
      <c r="M481" s="191" t="s">
        <v>200</v>
      </c>
    </row>
    <row r="482" spans="1:13" x14ac:dyDescent="0.25">
      <c r="A482" s="148" t="s">
        <v>375</v>
      </c>
      <c r="B482" s="191">
        <v>11</v>
      </c>
      <c r="C482" s="191">
        <v>383</v>
      </c>
      <c r="E482" s="191" t="b">
        <v>1</v>
      </c>
      <c r="K482" s="191" t="s">
        <v>92</v>
      </c>
      <c r="L482" s="191">
        <v>23</v>
      </c>
      <c r="M482" s="191" t="s">
        <v>200</v>
      </c>
    </row>
    <row r="483" spans="1:13" x14ac:dyDescent="0.25">
      <c r="A483" s="148" t="s">
        <v>375</v>
      </c>
      <c r="B483" s="191">
        <v>12</v>
      </c>
      <c r="C483" s="191">
        <v>387</v>
      </c>
      <c r="E483" s="191" t="b">
        <v>1</v>
      </c>
      <c r="K483" s="191" t="s">
        <v>92</v>
      </c>
      <c r="L483" s="191">
        <v>23</v>
      </c>
      <c r="M483" s="191" t="s">
        <v>200</v>
      </c>
    </row>
    <row r="484" spans="1:13" x14ac:dyDescent="0.25">
      <c r="A484" s="148" t="s">
        <v>375</v>
      </c>
      <c r="B484" s="191">
        <v>13</v>
      </c>
      <c r="C484" s="191">
        <v>392</v>
      </c>
      <c r="E484" s="191" t="b">
        <v>1</v>
      </c>
      <c r="K484" s="191" t="s">
        <v>92</v>
      </c>
      <c r="L484" s="191">
        <v>23</v>
      </c>
      <c r="M484" s="191" t="s">
        <v>200</v>
      </c>
    </row>
    <row r="485" spans="1:13" x14ac:dyDescent="0.25">
      <c r="A485" s="148" t="s">
        <v>375</v>
      </c>
      <c r="B485" s="191">
        <v>14</v>
      </c>
      <c r="C485" s="191">
        <v>386</v>
      </c>
      <c r="E485" s="191" t="b">
        <v>1</v>
      </c>
      <c r="K485" s="191" t="s">
        <v>92</v>
      </c>
      <c r="L485" s="191">
        <v>23</v>
      </c>
      <c r="M485" s="191" t="s">
        <v>200</v>
      </c>
    </row>
    <row r="486" spans="1:13" x14ac:dyDescent="0.25">
      <c r="A486" s="148" t="s">
        <v>375</v>
      </c>
      <c r="B486" s="191">
        <v>15</v>
      </c>
      <c r="C486" s="191">
        <v>386</v>
      </c>
      <c r="E486" s="191" t="b">
        <v>1</v>
      </c>
      <c r="K486" s="191" t="s">
        <v>92</v>
      </c>
      <c r="L486" s="191">
        <v>23</v>
      </c>
      <c r="M486" s="191" t="s">
        <v>200</v>
      </c>
    </row>
    <row r="487" spans="1:13" x14ac:dyDescent="0.25">
      <c r="A487" s="148" t="s">
        <v>375</v>
      </c>
      <c r="B487" s="191">
        <v>16</v>
      </c>
      <c r="C487" s="191">
        <v>390</v>
      </c>
      <c r="E487" s="191" t="b">
        <v>1</v>
      </c>
      <c r="K487" s="191" t="s">
        <v>92</v>
      </c>
      <c r="L487" s="191">
        <v>23</v>
      </c>
      <c r="M487" s="191" t="s">
        <v>200</v>
      </c>
    </row>
    <row r="488" spans="1:13" x14ac:dyDescent="0.25">
      <c r="A488" s="148" t="s">
        <v>375</v>
      </c>
      <c r="B488" s="191">
        <v>17</v>
      </c>
      <c r="C488" s="191">
        <v>392</v>
      </c>
      <c r="E488" s="191" t="b">
        <v>1</v>
      </c>
      <c r="K488" s="191" t="s">
        <v>92</v>
      </c>
      <c r="L488" s="191">
        <v>23</v>
      </c>
      <c r="M488" s="191" t="s">
        <v>200</v>
      </c>
    </row>
    <row r="489" spans="1:13" x14ac:dyDescent="0.25">
      <c r="A489" s="148" t="s">
        <v>375</v>
      </c>
      <c r="B489" s="191">
        <v>18</v>
      </c>
      <c r="C489" s="191">
        <v>392</v>
      </c>
      <c r="E489" s="191" t="b">
        <v>1</v>
      </c>
      <c r="K489" s="191" t="s">
        <v>92</v>
      </c>
      <c r="L489" s="191">
        <v>23</v>
      </c>
      <c r="M489" s="191" t="s">
        <v>200</v>
      </c>
    </row>
    <row r="490" spans="1:13" x14ac:dyDescent="0.25">
      <c r="A490" s="148" t="s">
        <v>375</v>
      </c>
      <c r="B490" s="191">
        <v>19</v>
      </c>
      <c r="C490" s="191">
        <v>390</v>
      </c>
      <c r="E490" s="191" t="b">
        <v>1</v>
      </c>
      <c r="K490" s="191" t="s">
        <v>92</v>
      </c>
      <c r="L490" s="191">
        <v>23</v>
      </c>
      <c r="M490" s="191" t="s">
        <v>200</v>
      </c>
    </row>
    <row r="491" spans="1:13" x14ac:dyDescent="0.25">
      <c r="A491" s="148" t="s">
        <v>377</v>
      </c>
      <c r="B491" s="191">
        <v>1</v>
      </c>
      <c r="C491" s="191">
        <v>392</v>
      </c>
      <c r="E491" s="191" t="b">
        <v>1</v>
      </c>
      <c r="K491" s="191" t="s">
        <v>92</v>
      </c>
      <c r="L491" s="191">
        <v>24</v>
      </c>
      <c r="M491" s="191" t="s">
        <v>93</v>
      </c>
    </row>
    <row r="492" spans="1:13" x14ac:dyDescent="0.25">
      <c r="A492" s="148" t="s">
        <v>377</v>
      </c>
      <c r="B492" s="191">
        <v>2</v>
      </c>
      <c r="C492" s="191">
        <v>388</v>
      </c>
      <c r="E492" s="191" t="b">
        <v>1</v>
      </c>
      <c r="K492" s="191" t="s">
        <v>92</v>
      </c>
      <c r="L492" s="191">
        <v>24</v>
      </c>
      <c r="M492" s="191" t="s">
        <v>93</v>
      </c>
    </row>
    <row r="493" spans="1:13" x14ac:dyDescent="0.25">
      <c r="A493" s="148" t="s">
        <v>377</v>
      </c>
      <c r="B493" s="191">
        <v>3</v>
      </c>
      <c r="C493" s="191">
        <v>389</v>
      </c>
      <c r="E493" s="191" t="b">
        <v>1</v>
      </c>
      <c r="K493" s="191" t="s">
        <v>92</v>
      </c>
      <c r="L493" s="191">
        <v>24</v>
      </c>
      <c r="M493" s="191" t="s">
        <v>93</v>
      </c>
    </row>
    <row r="494" spans="1:13" x14ac:dyDescent="0.25">
      <c r="A494" s="148" t="s">
        <v>377</v>
      </c>
      <c r="C494" s="191">
        <v>347</v>
      </c>
      <c r="D494" s="191" t="s">
        <v>14</v>
      </c>
      <c r="E494" s="191" t="b">
        <v>0</v>
      </c>
      <c r="K494" s="191" t="s">
        <v>92</v>
      </c>
      <c r="L494" s="191">
        <v>24</v>
      </c>
      <c r="M494" s="191" t="s">
        <v>93</v>
      </c>
    </row>
    <row r="495" spans="1:13" x14ac:dyDescent="0.25">
      <c r="A495" s="148" t="s">
        <v>377</v>
      </c>
      <c r="B495" s="191">
        <v>4</v>
      </c>
      <c r="C495" s="191">
        <v>380</v>
      </c>
      <c r="E495" s="191" t="b">
        <v>1</v>
      </c>
      <c r="F495" s="191">
        <v>33.700000000000003</v>
      </c>
      <c r="G495" s="191">
        <v>29.5</v>
      </c>
      <c r="K495" s="191" t="s">
        <v>92</v>
      </c>
      <c r="L495" s="191">
        <v>24</v>
      </c>
      <c r="M495" s="191" t="s">
        <v>93</v>
      </c>
    </row>
    <row r="496" spans="1:13" x14ac:dyDescent="0.25">
      <c r="A496" s="148" t="s">
        <v>377</v>
      </c>
      <c r="B496" s="191">
        <v>5</v>
      </c>
      <c r="C496" s="191">
        <v>383</v>
      </c>
      <c r="E496" s="191" t="b">
        <v>1</v>
      </c>
      <c r="K496" s="191" t="s">
        <v>92</v>
      </c>
      <c r="L496" s="191">
        <v>24</v>
      </c>
      <c r="M496" s="191" t="s">
        <v>93</v>
      </c>
    </row>
    <row r="497" spans="1:13" x14ac:dyDescent="0.25">
      <c r="A497" s="148" t="s">
        <v>377</v>
      </c>
      <c r="C497" s="191">
        <v>558</v>
      </c>
      <c r="D497" s="191" t="s">
        <v>14</v>
      </c>
      <c r="E497" s="191" t="b">
        <v>0</v>
      </c>
      <c r="K497" s="191" t="s">
        <v>92</v>
      </c>
      <c r="L497" s="191">
        <v>24</v>
      </c>
      <c r="M497" s="191" t="s">
        <v>93</v>
      </c>
    </row>
    <row r="498" spans="1:13" x14ac:dyDescent="0.25">
      <c r="A498" s="148" t="s">
        <v>377</v>
      </c>
      <c r="B498" s="191">
        <v>6</v>
      </c>
      <c r="C498" s="191">
        <v>393</v>
      </c>
      <c r="E498" s="191" t="b">
        <v>1</v>
      </c>
      <c r="K498" s="191" t="s">
        <v>92</v>
      </c>
      <c r="L498" s="191">
        <v>24</v>
      </c>
      <c r="M498" s="191" t="s">
        <v>93</v>
      </c>
    </row>
    <row r="499" spans="1:13" x14ac:dyDescent="0.25">
      <c r="A499" s="148" t="s">
        <v>377</v>
      </c>
      <c r="B499" s="191">
        <v>7</v>
      </c>
      <c r="C499" s="191">
        <v>384</v>
      </c>
      <c r="E499" s="191" t="b">
        <v>1</v>
      </c>
      <c r="K499" s="191" t="s">
        <v>92</v>
      </c>
      <c r="L499" s="191">
        <v>24</v>
      </c>
      <c r="M499" s="191" t="s">
        <v>93</v>
      </c>
    </row>
    <row r="500" spans="1:13" x14ac:dyDescent="0.25">
      <c r="A500" s="148" t="s">
        <v>377</v>
      </c>
      <c r="B500" s="191">
        <v>8</v>
      </c>
      <c r="C500" s="191">
        <v>390</v>
      </c>
      <c r="E500" s="191" t="b">
        <v>1</v>
      </c>
      <c r="K500" s="191" t="s">
        <v>92</v>
      </c>
      <c r="L500" s="191">
        <v>24</v>
      </c>
      <c r="M500" s="191" t="s">
        <v>93</v>
      </c>
    </row>
    <row r="501" spans="1:13" x14ac:dyDescent="0.25">
      <c r="A501" s="148" t="s">
        <v>377</v>
      </c>
      <c r="B501" s="191">
        <v>9</v>
      </c>
      <c r="C501" s="191">
        <v>383</v>
      </c>
      <c r="E501" s="191" t="b">
        <v>1</v>
      </c>
      <c r="K501" s="191" t="s">
        <v>92</v>
      </c>
      <c r="L501" s="191">
        <v>24</v>
      </c>
      <c r="M501" s="191" t="s">
        <v>93</v>
      </c>
    </row>
    <row r="502" spans="1:13" x14ac:dyDescent="0.25">
      <c r="A502" s="148" t="s">
        <v>377</v>
      </c>
      <c r="B502" s="191">
        <v>10</v>
      </c>
      <c r="C502" s="191">
        <v>394</v>
      </c>
      <c r="E502" s="191" t="b">
        <v>1</v>
      </c>
      <c r="K502" s="191" t="s">
        <v>92</v>
      </c>
      <c r="L502" s="191">
        <v>24</v>
      </c>
      <c r="M502" s="191" t="s">
        <v>93</v>
      </c>
    </row>
    <row r="503" spans="1:13" x14ac:dyDescent="0.25">
      <c r="A503" s="148" t="s">
        <v>377</v>
      </c>
      <c r="C503" s="191">
        <v>362</v>
      </c>
      <c r="D503" s="191" t="s">
        <v>14</v>
      </c>
      <c r="E503" s="191" t="b">
        <v>0</v>
      </c>
      <c r="K503" s="191" t="s">
        <v>92</v>
      </c>
      <c r="L503" s="191">
        <v>24</v>
      </c>
      <c r="M503" s="191" t="s">
        <v>93</v>
      </c>
    </row>
    <row r="504" spans="1:13" x14ac:dyDescent="0.25">
      <c r="A504" s="148" t="s">
        <v>377</v>
      </c>
      <c r="B504" s="191">
        <v>11</v>
      </c>
      <c r="C504" s="191">
        <v>387</v>
      </c>
      <c r="E504" s="191" t="b">
        <v>1</v>
      </c>
      <c r="F504" s="191">
        <v>34.200000000000003</v>
      </c>
      <c r="G504" s="191">
        <v>28.6</v>
      </c>
      <c r="K504" s="191" t="s">
        <v>92</v>
      </c>
      <c r="L504" s="191">
        <v>24</v>
      </c>
      <c r="M504" s="191" t="s">
        <v>93</v>
      </c>
    </row>
    <row r="505" spans="1:13" x14ac:dyDescent="0.25">
      <c r="A505" s="148" t="s">
        <v>377</v>
      </c>
      <c r="B505" s="191">
        <v>12</v>
      </c>
      <c r="C505" s="191">
        <v>394</v>
      </c>
      <c r="E505" s="191" t="b">
        <v>1</v>
      </c>
      <c r="K505" s="191" t="s">
        <v>92</v>
      </c>
      <c r="L505" s="191">
        <v>24</v>
      </c>
      <c r="M505" s="191" t="s">
        <v>93</v>
      </c>
    </row>
    <row r="506" spans="1:13" x14ac:dyDescent="0.25">
      <c r="A506" s="148" t="s">
        <v>381</v>
      </c>
      <c r="B506" s="191">
        <v>1</v>
      </c>
      <c r="C506" s="191">
        <v>397</v>
      </c>
      <c r="E506" s="191" t="b">
        <v>1</v>
      </c>
      <c r="K506" s="191" t="s">
        <v>92</v>
      </c>
      <c r="L506" s="191">
        <v>24</v>
      </c>
      <c r="M506" s="191" t="s">
        <v>200</v>
      </c>
    </row>
    <row r="507" spans="1:13" x14ac:dyDescent="0.25">
      <c r="A507" s="148" t="s">
        <v>381</v>
      </c>
      <c r="B507" s="191">
        <v>2</v>
      </c>
      <c r="C507" s="191">
        <v>391</v>
      </c>
      <c r="E507" s="191" t="b">
        <v>1</v>
      </c>
      <c r="K507" s="191" t="s">
        <v>92</v>
      </c>
      <c r="L507" s="191">
        <v>24</v>
      </c>
      <c r="M507" s="191" t="s">
        <v>200</v>
      </c>
    </row>
    <row r="508" spans="1:13" x14ac:dyDescent="0.25">
      <c r="A508" s="148" t="s">
        <v>381</v>
      </c>
      <c r="B508" s="191">
        <v>3</v>
      </c>
      <c r="C508" s="191">
        <v>385</v>
      </c>
      <c r="E508" s="191" t="b">
        <v>1</v>
      </c>
      <c r="F508" s="191">
        <v>31.2</v>
      </c>
      <c r="G508" s="191">
        <v>31</v>
      </c>
      <c r="K508" s="191" t="s">
        <v>92</v>
      </c>
      <c r="L508" s="191">
        <v>24</v>
      </c>
      <c r="M508" s="191" t="s">
        <v>200</v>
      </c>
    </row>
    <row r="509" spans="1:13" x14ac:dyDescent="0.25">
      <c r="A509" s="148" t="s">
        <v>381</v>
      </c>
      <c r="B509" s="191">
        <v>4</v>
      </c>
      <c r="C509" s="191">
        <v>385</v>
      </c>
      <c r="E509" s="191" t="b">
        <v>1</v>
      </c>
      <c r="K509" s="191" t="s">
        <v>92</v>
      </c>
      <c r="L509" s="191">
        <v>24</v>
      </c>
      <c r="M509" s="191" t="s">
        <v>200</v>
      </c>
    </row>
    <row r="510" spans="1:13" x14ac:dyDescent="0.25">
      <c r="A510" s="148" t="s">
        <v>381</v>
      </c>
      <c r="B510" s="191">
        <v>5</v>
      </c>
      <c r="C510" s="191">
        <v>386</v>
      </c>
      <c r="E510" s="191" t="b">
        <v>1</v>
      </c>
      <c r="K510" s="191" t="s">
        <v>92</v>
      </c>
      <c r="L510" s="191">
        <v>24</v>
      </c>
      <c r="M510" s="191" t="s">
        <v>200</v>
      </c>
    </row>
    <row r="511" spans="1:13" x14ac:dyDescent="0.25">
      <c r="A511" s="148" t="s">
        <v>381</v>
      </c>
      <c r="B511" s="191">
        <v>6</v>
      </c>
      <c r="C511" s="191">
        <v>385</v>
      </c>
      <c r="E511" s="191" t="b">
        <v>1</v>
      </c>
      <c r="K511" s="191" t="s">
        <v>92</v>
      </c>
      <c r="L511" s="191">
        <v>24</v>
      </c>
      <c r="M511" s="191" t="s">
        <v>200</v>
      </c>
    </row>
    <row r="512" spans="1:13" x14ac:dyDescent="0.25">
      <c r="A512" s="148" t="s">
        <v>381</v>
      </c>
      <c r="B512" s="191">
        <v>7</v>
      </c>
      <c r="C512" s="191">
        <v>392</v>
      </c>
      <c r="E512" s="191" t="b">
        <v>1</v>
      </c>
      <c r="K512" s="191" t="s">
        <v>92</v>
      </c>
      <c r="L512" s="191">
        <v>24</v>
      </c>
      <c r="M512" s="191" t="s">
        <v>200</v>
      </c>
    </row>
    <row r="513" spans="1:13" x14ac:dyDescent="0.25">
      <c r="A513" s="148" t="s">
        <v>381</v>
      </c>
      <c r="B513" s="191">
        <v>8</v>
      </c>
      <c r="C513" s="191">
        <v>380</v>
      </c>
      <c r="E513" s="191" t="b">
        <v>1</v>
      </c>
      <c r="K513" s="191" t="s">
        <v>92</v>
      </c>
      <c r="L513" s="191">
        <v>24</v>
      </c>
      <c r="M513" s="191" t="s">
        <v>200</v>
      </c>
    </row>
    <row r="514" spans="1:13" x14ac:dyDescent="0.25">
      <c r="A514" s="148" t="s">
        <v>381</v>
      </c>
      <c r="B514" s="191">
        <v>9</v>
      </c>
      <c r="C514" s="191">
        <v>386</v>
      </c>
      <c r="E514" s="191" t="b">
        <v>1</v>
      </c>
      <c r="K514" s="191" t="s">
        <v>92</v>
      </c>
      <c r="L514" s="191">
        <v>24</v>
      </c>
      <c r="M514" s="191" t="s">
        <v>200</v>
      </c>
    </row>
    <row r="515" spans="1:13" x14ac:dyDescent="0.25">
      <c r="A515" s="148" t="s">
        <v>381</v>
      </c>
      <c r="B515" s="191">
        <v>10</v>
      </c>
      <c r="C515" s="191">
        <v>394</v>
      </c>
      <c r="E515" s="191" t="b">
        <v>1</v>
      </c>
      <c r="K515" s="191" t="s">
        <v>92</v>
      </c>
      <c r="L515" s="191">
        <v>24</v>
      </c>
      <c r="M515" s="191" t="s">
        <v>200</v>
      </c>
    </row>
    <row r="516" spans="1:13" x14ac:dyDescent="0.25">
      <c r="A516" s="148" t="s">
        <v>381</v>
      </c>
      <c r="B516" s="191">
        <v>11</v>
      </c>
      <c r="C516" s="191">
        <v>386</v>
      </c>
      <c r="E516" s="191" t="b">
        <v>1</v>
      </c>
      <c r="K516" s="191" t="s">
        <v>92</v>
      </c>
      <c r="L516" s="191">
        <v>24</v>
      </c>
      <c r="M516" s="191" t="s">
        <v>200</v>
      </c>
    </row>
    <row r="517" spans="1:13" x14ac:dyDescent="0.25">
      <c r="A517" s="148" t="s">
        <v>381</v>
      </c>
      <c r="B517" s="191">
        <v>12</v>
      </c>
      <c r="C517" s="191">
        <v>383</v>
      </c>
      <c r="E517" s="191" t="b">
        <v>1</v>
      </c>
      <c r="F517" s="191">
        <v>30.5</v>
      </c>
      <c r="G517" s="191">
        <v>27.5</v>
      </c>
      <c r="K517" s="191" t="s">
        <v>92</v>
      </c>
      <c r="L517" s="191">
        <v>24</v>
      </c>
      <c r="M517" s="191" t="s">
        <v>200</v>
      </c>
    </row>
    <row r="518" spans="1:13" x14ac:dyDescent="0.25">
      <c r="A518" s="148" t="s">
        <v>381</v>
      </c>
      <c r="B518" s="191">
        <v>13</v>
      </c>
      <c r="C518" s="191">
        <v>389</v>
      </c>
      <c r="E518" s="191" t="b">
        <v>1</v>
      </c>
      <c r="K518" s="191" t="s">
        <v>92</v>
      </c>
      <c r="L518" s="191">
        <v>24</v>
      </c>
      <c r="M518" s="191" t="s">
        <v>200</v>
      </c>
    </row>
    <row r="519" spans="1:13" x14ac:dyDescent="0.25">
      <c r="A519" s="148" t="s">
        <v>381</v>
      </c>
      <c r="B519" s="191">
        <v>14</v>
      </c>
      <c r="C519" s="191">
        <v>392</v>
      </c>
      <c r="E519" s="191" t="b">
        <v>1</v>
      </c>
      <c r="K519" s="191" t="s">
        <v>92</v>
      </c>
      <c r="L519" s="191">
        <v>24</v>
      </c>
      <c r="M519" s="191" t="s">
        <v>200</v>
      </c>
    </row>
    <row r="520" spans="1:13" x14ac:dyDescent="0.25">
      <c r="A520" s="148" t="s">
        <v>381</v>
      </c>
      <c r="B520" s="191">
        <v>15</v>
      </c>
      <c r="C520" s="191">
        <v>392</v>
      </c>
      <c r="E520" s="191" t="b">
        <v>1</v>
      </c>
      <c r="K520" s="191" t="s">
        <v>92</v>
      </c>
      <c r="L520" s="191">
        <v>24</v>
      </c>
      <c r="M520" s="191" t="s">
        <v>200</v>
      </c>
    </row>
    <row r="521" spans="1:13" x14ac:dyDescent="0.25">
      <c r="A521" s="148" t="s">
        <v>381</v>
      </c>
      <c r="B521" s="191">
        <v>16</v>
      </c>
      <c r="C521" s="191">
        <v>391</v>
      </c>
      <c r="E521" s="191" t="b">
        <v>1</v>
      </c>
      <c r="K521" s="191" t="s">
        <v>92</v>
      </c>
      <c r="L521" s="191">
        <v>24</v>
      </c>
      <c r="M521" s="191" t="s">
        <v>200</v>
      </c>
    </row>
    <row r="522" spans="1:13" x14ac:dyDescent="0.25">
      <c r="A522" s="148" t="s">
        <v>381</v>
      </c>
      <c r="B522" s="191">
        <v>17</v>
      </c>
      <c r="C522" s="191">
        <v>390</v>
      </c>
      <c r="E522" s="191" t="b">
        <v>1</v>
      </c>
      <c r="K522" s="191" t="s">
        <v>92</v>
      </c>
      <c r="L522" s="191">
        <v>24</v>
      </c>
      <c r="M522" s="191" t="s">
        <v>200</v>
      </c>
    </row>
    <row r="523" spans="1:13" x14ac:dyDescent="0.25">
      <c r="A523" s="148" t="s">
        <v>381</v>
      </c>
      <c r="B523" s="191">
        <v>18</v>
      </c>
      <c r="C523" s="191">
        <v>387</v>
      </c>
      <c r="E523" s="191" t="b">
        <v>1</v>
      </c>
      <c r="K523" s="191" t="s">
        <v>92</v>
      </c>
      <c r="L523" s="191">
        <v>24</v>
      </c>
      <c r="M523" s="191" t="s">
        <v>200</v>
      </c>
    </row>
    <row r="524" spans="1:13" x14ac:dyDescent="0.25">
      <c r="A524" s="148" t="s">
        <v>381</v>
      </c>
      <c r="B524" s="191">
        <v>19</v>
      </c>
      <c r="C524" s="191">
        <v>383</v>
      </c>
      <c r="E524" s="191" t="b">
        <v>1</v>
      </c>
      <c r="K524" s="191" t="s">
        <v>92</v>
      </c>
      <c r="L524" s="191">
        <v>24</v>
      </c>
      <c r="M524" s="191" t="s">
        <v>200</v>
      </c>
    </row>
    <row r="525" spans="1:13" x14ac:dyDescent="0.25">
      <c r="A525" s="148" t="s">
        <v>381</v>
      </c>
      <c r="B525" s="191">
        <v>20</v>
      </c>
      <c r="C525" s="191">
        <v>389</v>
      </c>
      <c r="E525" s="191" t="b">
        <v>1</v>
      </c>
      <c r="K525" s="191" t="s">
        <v>92</v>
      </c>
      <c r="L525" s="191">
        <v>24</v>
      </c>
      <c r="M525" s="191" t="s">
        <v>200</v>
      </c>
    </row>
    <row r="526" spans="1:13" x14ac:dyDescent="0.25">
      <c r="A526" s="148" t="s">
        <v>381</v>
      </c>
      <c r="B526" s="191">
        <v>21</v>
      </c>
      <c r="C526" s="191">
        <v>389</v>
      </c>
      <c r="E526" s="191" t="b">
        <v>1</v>
      </c>
      <c r="K526" s="191" t="s">
        <v>92</v>
      </c>
      <c r="L526" s="191">
        <v>24</v>
      </c>
      <c r="M526" s="191" t="s">
        <v>200</v>
      </c>
    </row>
    <row r="527" spans="1:13" x14ac:dyDescent="0.25">
      <c r="A527" s="148" t="s">
        <v>381</v>
      </c>
      <c r="B527" s="191">
        <v>22</v>
      </c>
      <c r="C527" s="191">
        <v>385</v>
      </c>
      <c r="E527" s="191" t="b">
        <v>1</v>
      </c>
      <c r="K527" s="191" t="s">
        <v>92</v>
      </c>
      <c r="L527" s="191">
        <v>24</v>
      </c>
      <c r="M527" s="191" t="s">
        <v>200</v>
      </c>
    </row>
    <row r="528" spans="1:13" x14ac:dyDescent="0.25">
      <c r="A528" s="148" t="s">
        <v>381</v>
      </c>
      <c r="B528" s="191">
        <v>23</v>
      </c>
      <c r="C528" s="191">
        <v>386</v>
      </c>
      <c r="E528" s="191" t="b">
        <v>1</v>
      </c>
      <c r="K528" s="191" t="s">
        <v>92</v>
      </c>
      <c r="L528" s="191">
        <v>24</v>
      </c>
      <c r="M528" s="191" t="s">
        <v>200</v>
      </c>
    </row>
    <row r="529" spans="1:13" x14ac:dyDescent="0.25">
      <c r="A529" s="148" t="s">
        <v>381</v>
      </c>
      <c r="B529" s="191">
        <v>24</v>
      </c>
      <c r="C529" s="191">
        <v>393</v>
      </c>
      <c r="E529" s="191" t="b">
        <v>1</v>
      </c>
      <c r="K529" s="191" t="s">
        <v>92</v>
      </c>
      <c r="L529" s="191">
        <v>24</v>
      </c>
      <c r="M529" s="191" t="s">
        <v>200</v>
      </c>
    </row>
    <row r="530" spans="1:13" x14ac:dyDescent="0.25">
      <c r="A530" s="148" t="s">
        <v>381</v>
      </c>
      <c r="B530" s="191">
        <v>25</v>
      </c>
      <c r="C530" s="191">
        <v>388</v>
      </c>
      <c r="E530" s="191" t="b">
        <v>1</v>
      </c>
      <c r="K530" s="191" t="s">
        <v>92</v>
      </c>
      <c r="L530" s="191">
        <v>24</v>
      </c>
      <c r="M530" s="191" t="s">
        <v>200</v>
      </c>
    </row>
    <row r="531" spans="1:13" x14ac:dyDescent="0.25">
      <c r="A531" s="148" t="s">
        <v>381</v>
      </c>
      <c r="B531" s="191">
        <v>26</v>
      </c>
      <c r="C531" s="191">
        <v>390</v>
      </c>
      <c r="E531" s="191" t="b">
        <v>1</v>
      </c>
      <c r="K531" s="191" t="s">
        <v>92</v>
      </c>
      <c r="L531" s="191">
        <v>24</v>
      </c>
      <c r="M531" s="191" t="s">
        <v>200</v>
      </c>
    </row>
    <row r="532" spans="1:13" x14ac:dyDescent="0.25">
      <c r="A532" s="148" t="s">
        <v>381</v>
      </c>
      <c r="B532" s="191">
        <v>27</v>
      </c>
      <c r="C532" s="191">
        <v>387</v>
      </c>
      <c r="E532" s="191" t="b">
        <v>1</v>
      </c>
      <c r="K532" s="191" t="s">
        <v>92</v>
      </c>
      <c r="L532" s="191">
        <v>24</v>
      </c>
      <c r="M532" s="191" t="s">
        <v>200</v>
      </c>
    </row>
    <row r="533" spans="1:13" x14ac:dyDescent="0.25">
      <c r="A533" s="148" t="s">
        <v>381</v>
      </c>
      <c r="B533" s="191">
        <v>28</v>
      </c>
      <c r="C533" s="191">
        <v>390</v>
      </c>
      <c r="E533" s="191" t="b">
        <v>1</v>
      </c>
      <c r="K533" s="191" t="s">
        <v>92</v>
      </c>
      <c r="L533" s="191">
        <v>24</v>
      </c>
      <c r="M533" s="191" t="s">
        <v>200</v>
      </c>
    </row>
    <row r="534" spans="1:13" x14ac:dyDescent="0.25">
      <c r="A534" s="148" t="s">
        <v>381</v>
      </c>
      <c r="B534" s="191">
        <v>29</v>
      </c>
      <c r="C534" s="191">
        <v>388</v>
      </c>
      <c r="E534" s="191" t="b">
        <v>1</v>
      </c>
      <c r="K534" s="191" t="s">
        <v>92</v>
      </c>
      <c r="L534" s="191">
        <v>24</v>
      </c>
      <c r="M534" s="191" t="s">
        <v>200</v>
      </c>
    </row>
    <row r="535" spans="1:13" x14ac:dyDescent="0.25">
      <c r="A535" s="148" t="s">
        <v>384</v>
      </c>
      <c r="B535" s="191">
        <v>1</v>
      </c>
      <c r="C535" s="191">
        <v>385</v>
      </c>
      <c r="E535" s="191" t="b">
        <v>1</v>
      </c>
      <c r="K535" s="191" t="s">
        <v>92</v>
      </c>
      <c r="L535" s="191">
        <v>25</v>
      </c>
      <c r="M535" s="191" t="s">
        <v>93</v>
      </c>
    </row>
    <row r="536" spans="1:13" x14ac:dyDescent="0.25">
      <c r="A536" s="148" t="s">
        <v>384</v>
      </c>
      <c r="B536" s="191">
        <v>2</v>
      </c>
      <c r="C536" s="191">
        <v>390</v>
      </c>
      <c r="E536" s="191" t="b">
        <v>1</v>
      </c>
      <c r="K536" s="191" t="s">
        <v>92</v>
      </c>
      <c r="L536" s="191">
        <v>25</v>
      </c>
      <c r="M536" s="191" t="s">
        <v>93</v>
      </c>
    </row>
    <row r="537" spans="1:13" x14ac:dyDescent="0.25">
      <c r="A537" s="148" t="s">
        <v>384</v>
      </c>
      <c r="B537" s="191">
        <v>3</v>
      </c>
      <c r="C537" s="191">
        <v>384</v>
      </c>
      <c r="E537" s="191" t="b">
        <v>1</v>
      </c>
      <c r="K537" s="191" t="s">
        <v>92</v>
      </c>
      <c r="L537" s="191">
        <v>25</v>
      </c>
      <c r="M537" s="191" t="s">
        <v>93</v>
      </c>
    </row>
    <row r="538" spans="1:13" x14ac:dyDescent="0.25">
      <c r="A538" s="148" t="s">
        <v>384</v>
      </c>
      <c r="B538" s="191">
        <v>4</v>
      </c>
      <c r="C538" s="191">
        <v>383</v>
      </c>
      <c r="E538" s="191" t="b">
        <v>1</v>
      </c>
      <c r="F538" s="191">
        <v>30.5</v>
      </c>
      <c r="G538" s="191">
        <v>28.7</v>
      </c>
      <c r="K538" s="191" t="s">
        <v>92</v>
      </c>
      <c r="L538" s="191">
        <v>25</v>
      </c>
      <c r="M538" s="191" t="s">
        <v>93</v>
      </c>
    </row>
    <row r="539" spans="1:13" x14ac:dyDescent="0.25">
      <c r="A539" s="148" t="s">
        <v>384</v>
      </c>
      <c r="B539" s="191">
        <v>5</v>
      </c>
      <c r="C539" s="191">
        <v>405</v>
      </c>
      <c r="E539" s="191" t="b">
        <v>1</v>
      </c>
      <c r="K539" s="191" t="s">
        <v>92</v>
      </c>
      <c r="L539" s="191">
        <v>25</v>
      </c>
      <c r="M539" s="191" t="s">
        <v>93</v>
      </c>
    </row>
    <row r="540" spans="1:13" x14ac:dyDescent="0.25">
      <c r="A540" s="148" t="s">
        <v>384</v>
      </c>
      <c r="B540" s="191">
        <v>6</v>
      </c>
      <c r="C540" s="191">
        <v>380</v>
      </c>
      <c r="E540" s="191" t="b">
        <v>1</v>
      </c>
      <c r="K540" s="191" t="s">
        <v>92</v>
      </c>
      <c r="L540" s="191">
        <v>25</v>
      </c>
      <c r="M540" s="191" t="s">
        <v>93</v>
      </c>
    </row>
    <row r="541" spans="1:13" x14ac:dyDescent="0.25">
      <c r="A541" s="148" t="s">
        <v>384</v>
      </c>
      <c r="B541" s="191">
        <v>7</v>
      </c>
      <c r="C541" s="191">
        <v>380</v>
      </c>
      <c r="E541" s="191" t="b">
        <v>1</v>
      </c>
      <c r="K541" s="191" t="s">
        <v>92</v>
      </c>
      <c r="L541" s="191">
        <v>25</v>
      </c>
      <c r="M541" s="191" t="s">
        <v>93</v>
      </c>
    </row>
    <row r="542" spans="1:13" x14ac:dyDescent="0.25">
      <c r="A542" s="148" t="s">
        <v>384</v>
      </c>
      <c r="B542" s="191">
        <v>8</v>
      </c>
      <c r="C542" s="191">
        <v>390</v>
      </c>
      <c r="E542" s="191" t="b">
        <v>1</v>
      </c>
      <c r="K542" s="191" t="s">
        <v>92</v>
      </c>
      <c r="L542" s="191">
        <v>25</v>
      </c>
      <c r="M542" s="191" t="s">
        <v>93</v>
      </c>
    </row>
    <row r="543" spans="1:13" x14ac:dyDescent="0.25">
      <c r="A543" s="148" t="s">
        <v>384</v>
      </c>
      <c r="B543" s="191">
        <v>9</v>
      </c>
      <c r="C543" s="191">
        <v>380</v>
      </c>
      <c r="E543" s="191" t="b">
        <v>1</v>
      </c>
      <c r="K543" s="191" t="s">
        <v>92</v>
      </c>
      <c r="L543" s="191">
        <v>25</v>
      </c>
      <c r="M543" s="191" t="s">
        <v>93</v>
      </c>
    </row>
    <row r="544" spans="1:13" x14ac:dyDescent="0.25">
      <c r="A544" s="148" t="s">
        <v>384</v>
      </c>
      <c r="B544" s="191">
        <v>10</v>
      </c>
      <c r="C544" s="191">
        <v>383</v>
      </c>
      <c r="E544" s="191" t="b">
        <v>1</v>
      </c>
      <c r="K544" s="191" t="s">
        <v>92</v>
      </c>
      <c r="L544" s="191">
        <v>25</v>
      </c>
      <c r="M544" s="191" t="s">
        <v>93</v>
      </c>
    </row>
    <row r="545" spans="1:13" x14ac:dyDescent="0.25">
      <c r="A545" s="148" t="s">
        <v>384</v>
      </c>
      <c r="B545" s="191">
        <v>11</v>
      </c>
      <c r="C545" s="191">
        <v>382</v>
      </c>
      <c r="E545" s="191" t="b">
        <v>1</v>
      </c>
      <c r="F545" s="191">
        <v>30.9</v>
      </c>
      <c r="G545" s="191">
        <v>27.6</v>
      </c>
      <c r="K545" s="191" t="s">
        <v>92</v>
      </c>
      <c r="L545" s="191">
        <v>25</v>
      </c>
      <c r="M545" s="191" t="s">
        <v>93</v>
      </c>
    </row>
    <row r="546" spans="1:13" x14ac:dyDescent="0.25">
      <c r="A546" s="148" t="s">
        <v>384</v>
      </c>
      <c r="B546" s="191">
        <v>12</v>
      </c>
      <c r="C546" s="191">
        <v>384</v>
      </c>
      <c r="E546" s="191" t="b">
        <v>1</v>
      </c>
      <c r="K546" s="191" t="s">
        <v>92</v>
      </c>
      <c r="L546" s="191">
        <v>25</v>
      </c>
      <c r="M546" s="191" t="s">
        <v>93</v>
      </c>
    </row>
    <row r="547" spans="1:13" x14ac:dyDescent="0.25">
      <c r="A547" s="148" t="s">
        <v>384</v>
      </c>
      <c r="B547" s="191">
        <v>13</v>
      </c>
      <c r="C547" s="191">
        <v>398</v>
      </c>
      <c r="E547" s="191" t="b">
        <v>1</v>
      </c>
      <c r="K547" s="191" t="s">
        <v>92</v>
      </c>
      <c r="L547" s="191">
        <v>25</v>
      </c>
      <c r="M547" s="191" t="s">
        <v>93</v>
      </c>
    </row>
    <row r="548" spans="1:13" x14ac:dyDescent="0.25">
      <c r="A548" s="148" t="s">
        <v>384</v>
      </c>
      <c r="B548" s="191">
        <v>14</v>
      </c>
      <c r="C548" s="191">
        <v>384</v>
      </c>
      <c r="E548" s="191" t="b">
        <v>1</v>
      </c>
      <c r="K548" s="191" t="s">
        <v>92</v>
      </c>
      <c r="L548" s="191">
        <v>25</v>
      </c>
      <c r="M548" s="191" t="s">
        <v>93</v>
      </c>
    </row>
    <row r="549" spans="1:13" x14ac:dyDescent="0.25">
      <c r="A549" s="148" t="s">
        <v>384</v>
      </c>
      <c r="B549" s="191">
        <v>15</v>
      </c>
      <c r="C549" s="191">
        <v>384</v>
      </c>
      <c r="E549" s="191" t="b">
        <v>1</v>
      </c>
      <c r="K549" s="191" t="s">
        <v>92</v>
      </c>
      <c r="L549" s="191">
        <v>25</v>
      </c>
      <c r="M549" s="191" t="s">
        <v>93</v>
      </c>
    </row>
    <row r="550" spans="1:13" x14ac:dyDescent="0.25">
      <c r="A550" s="148" t="s">
        <v>384</v>
      </c>
      <c r="B550" s="191">
        <v>16</v>
      </c>
      <c r="C550" s="191">
        <v>382</v>
      </c>
      <c r="E550" s="191" t="b">
        <v>1</v>
      </c>
      <c r="K550" s="191" t="s">
        <v>92</v>
      </c>
      <c r="L550" s="191">
        <v>25</v>
      </c>
      <c r="M550" s="191" t="s">
        <v>93</v>
      </c>
    </row>
    <row r="551" spans="1:13" x14ac:dyDescent="0.25">
      <c r="A551" s="148" t="s">
        <v>384</v>
      </c>
      <c r="B551" s="191">
        <v>17</v>
      </c>
      <c r="C551" s="191">
        <v>385</v>
      </c>
      <c r="E551" s="191" t="b">
        <v>1</v>
      </c>
      <c r="K551" s="191" t="s">
        <v>92</v>
      </c>
      <c r="L551" s="191">
        <v>25</v>
      </c>
      <c r="M551" s="191" t="s">
        <v>93</v>
      </c>
    </row>
    <row r="552" spans="1:13" x14ac:dyDescent="0.25">
      <c r="A552" s="148" t="s">
        <v>384</v>
      </c>
      <c r="B552" s="191">
        <v>18</v>
      </c>
      <c r="C552" s="191">
        <v>386</v>
      </c>
      <c r="E552" s="191" t="b">
        <v>1</v>
      </c>
      <c r="K552" s="191" t="s">
        <v>92</v>
      </c>
      <c r="L552" s="191">
        <v>25</v>
      </c>
      <c r="M552" s="191" t="s">
        <v>93</v>
      </c>
    </row>
    <row r="553" spans="1:13" x14ac:dyDescent="0.25">
      <c r="A553" s="148" t="s">
        <v>384</v>
      </c>
      <c r="B553" s="191">
        <v>19</v>
      </c>
      <c r="C553" s="191">
        <v>400</v>
      </c>
      <c r="E553" s="191" t="b">
        <v>1</v>
      </c>
      <c r="K553" s="191" t="s">
        <v>92</v>
      </c>
      <c r="L553" s="191">
        <v>25</v>
      </c>
      <c r="M553" s="191" t="s">
        <v>93</v>
      </c>
    </row>
    <row r="554" spans="1:13" x14ac:dyDescent="0.25">
      <c r="A554" s="148" t="s">
        <v>384</v>
      </c>
      <c r="B554" s="191">
        <v>20</v>
      </c>
      <c r="C554" s="191">
        <v>390</v>
      </c>
      <c r="E554" s="191" t="b">
        <v>1</v>
      </c>
      <c r="K554" s="191" t="s">
        <v>92</v>
      </c>
      <c r="L554" s="191">
        <v>25</v>
      </c>
      <c r="M554" s="191" t="s">
        <v>93</v>
      </c>
    </row>
    <row r="555" spans="1:13" x14ac:dyDescent="0.25">
      <c r="A555" s="148" t="s">
        <v>384</v>
      </c>
      <c r="B555" s="191">
        <v>21</v>
      </c>
      <c r="C555" s="191">
        <v>384</v>
      </c>
      <c r="E555" s="191" t="b">
        <v>1</v>
      </c>
      <c r="F555" s="191">
        <v>31.3</v>
      </c>
      <c r="G555" s="191">
        <v>28.6</v>
      </c>
      <c r="K555" s="191" t="s">
        <v>92</v>
      </c>
      <c r="L555" s="191">
        <v>25</v>
      </c>
      <c r="M555" s="191" t="s">
        <v>93</v>
      </c>
    </row>
    <row r="556" spans="1:13" x14ac:dyDescent="0.25">
      <c r="A556" s="148" t="s">
        <v>384</v>
      </c>
      <c r="B556" s="191">
        <v>22</v>
      </c>
      <c r="C556" s="191">
        <v>389</v>
      </c>
      <c r="E556" s="191" t="b">
        <v>1</v>
      </c>
      <c r="K556" s="191" t="s">
        <v>92</v>
      </c>
      <c r="L556" s="191">
        <v>25</v>
      </c>
      <c r="M556" s="191" t="s">
        <v>93</v>
      </c>
    </row>
    <row r="557" spans="1:13" x14ac:dyDescent="0.25">
      <c r="A557" s="148" t="s">
        <v>384</v>
      </c>
      <c r="B557" s="191">
        <v>23</v>
      </c>
      <c r="C557" s="191">
        <v>387</v>
      </c>
      <c r="E557" s="191" t="b">
        <v>1</v>
      </c>
      <c r="K557" s="191" t="s">
        <v>92</v>
      </c>
      <c r="L557" s="191">
        <v>25</v>
      </c>
      <c r="M557" s="191" t="s">
        <v>93</v>
      </c>
    </row>
    <row r="558" spans="1:13" x14ac:dyDescent="0.25">
      <c r="A558" s="148" t="s">
        <v>384</v>
      </c>
      <c r="B558" s="191">
        <v>24</v>
      </c>
      <c r="C558" s="191">
        <v>391</v>
      </c>
      <c r="E558" s="191" t="b">
        <v>1</v>
      </c>
      <c r="K558" s="191" t="s">
        <v>92</v>
      </c>
      <c r="L558" s="191">
        <v>25</v>
      </c>
      <c r="M558" s="191" t="s">
        <v>93</v>
      </c>
    </row>
    <row r="559" spans="1:13" x14ac:dyDescent="0.25">
      <c r="A559" s="148" t="s">
        <v>384</v>
      </c>
      <c r="B559" s="191">
        <v>25</v>
      </c>
      <c r="C559" s="191">
        <v>387</v>
      </c>
      <c r="E559" s="191" t="b">
        <v>1</v>
      </c>
      <c r="K559" s="191" t="s">
        <v>92</v>
      </c>
      <c r="L559" s="191">
        <v>25</v>
      </c>
      <c r="M559" s="191" t="s">
        <v>93</v>
      </c>
    </row>
    <row r="560" spans="1:13" x14ac:dyDescent="0.25">
      <c r="A560" s="148" t="s">
        <v>384</v>
      </c>
      <c r="B560" s="191">
        <v>26</v>
      </c>
      <c r="C560" s="191">
        <v>385</v>
      </c>
      <c r="E560" s="191" t="b">
        <v>1</v>
      </c>
      <c r="K560" s="191" t="s">
        <v>92</v>
      </c>
      <c r="L560" s="191">
        <v>25</v>
      </c>
      <c r="M560" s="191" t="s">
        <v>93</v>
      </c>
    </row>
    <row r="561" spans="1:13" x14ac:dyDescent="0.25">
      <c r="A561" s="148" t="s">
        <v>388</v>
      </c>
      <c r="B561" s="191">
        <v>1</v>
      </c>
      <c r="C561" s="191">
        <v>387</v>
      </c>
      <c r="E561" s="191" t="b">
        <v>1</v>
      </c>
      <c r="K561" s="191" t="s">
        <v>92</v>
      </c>
      <c r="L561" s="191">
        <v>72</v>
      </c>
      <c r="M561" s="191" t="s">
        <v>93</v>
      </c>
    </row>
    <row r="562" spans="1:13" x14ac:dyDescent="0.25">
      <c r="A562" s="148" t="s">
        <v>388</v>
      </c>
      <c r="B562" s="191">
        <v>2</v>
      </c>
      <c r="C562" s="191">
        <v>460</v>
      </c>
      <c r="E562" s="191" t="b">
        <v>1</v>
      </c>
      <c r="K562" s="191" t="s">
        <v>92</v>
      </c>
      <c r="L562" s="191">
        <v>72</v>
      </c>
      <c r="M562" s="191" t="s">
        <v>93</v>
      </c>
    </row>
    <row r="563" spans="1:13" x14ac:dyDescent="0.25">
      <c r="A563" s="148" t="s">
        <v>388</v>
      </c>
      <c r="B563" s="191">
        <v>3</v>
      </c>
      <c r="C563" s="191">
        <v>385</v>
      </c>
      <c r="E563" s="191" t="b">
        <v>1</v>
      </c>
      <c r="F563" s="191">
        <v>34</v>
      </c>
      <c r="G563" s="191">
        <v>35</v>
      </c>
      <c r="K563" s="191" t="s">
        <v>92</v>
      </c>
      <c r="L563" s="191">
        <v>72</v>
      </c>
      <c r="M563" s="191" t="s">
        <v>93</v>
      </c>
    </row>
    <row r="564" spans="1:13" x14ac:dyDescent="0.25">
      <c r="A564" s="148" t="s">
        <v>388</v>
      </c>
      <c r="B564" s="191">
        <v>4</v>
      </c>
      <c r="C564" s="191">
        <v>405</v>
      </c>
      <c r="E564" s="191" t="b">
        <v>1</v>
      </c>
      <c r="K564" s="191" t="s">
        <v>92</v>
      </c>
      <c r="L564" s="191">
        <v>72</v>
      </c>
      <c r="M564" s="191" t="s">
        <v>93</v>
      </c>
    </row>
    <row r="565" spans="1:13" x14ac:dyDescent="0.25">
      <c r="A565" s="148" t="s">
        <v>388</v>
      </c>
      <c r="B565" s="191">
        <v>5</v>
      </c>
      <c r="C565" s="191">
        <v>419</v>
      </c>
      <c r="E565" s="191" t="b">
        <v>1</v>
      </c>
      <c r="K565" s="191" t="s">
        <v>92</v>
      </c>
      <c r="L565" s="191">
        <v>72</v>
      </c>
      <c r="M565" s="191" t="s">
        <v>93</v>
      </c>
    </row>
    <row r="566" spans="1:13" x14ac:dyDescent="0.25">
      <c r="A566" s="148" t="s">
        <v>388</v>
      </c>
      <c r="B566" s="191">
        <v>6</v>
      </c>
      <c r="C566" s="191">
        <v>382</v>
      </c>
      <c r="E566" s="191" t="b">
        <v>1</v>
      </c>
      <c r="K566" s="191" t="s">
        <v>92</v>
      </c>
      <c r="L566" s="191">
        <v>72</v>
      </c>
      <c r="M566" s="191" t="s">
        <v>93</v>
      </c>
    </row>
    <row r="567" spans="1:13" x14ac:dyDescent="0.25">
      <c r="A567" s="148" t="s">
        <v>388</v>
      </c>
      <c r="B567" s="191">
        <v>7</v>
      </c>
      <c r="C567" s="191">
        <v>402</v>
      </c>
      <c r="E567" s="191" t="b">
        <v>1</v>
      </c>
      <c r="K567" s="191" t="s">
        <v>92</v>
      </c>
      <c r="L567" s="191">
        <v>72</v>
      </c>
      <c r="M567" s="191" t="s">
        <v>93</v>
      </c>
    </row>
    <row r="568" spans="1:13" x14ac:dyDescent="0.25">
      <c r="A568" s="148" t="s">
        <v>388</v>
      </c>
      <c r="B568" s="191">
        <v>8</v>
      </c>
      <c r="C568" s="191">
        <v>408</v>
      </c>
      <c r="E568" s="191" t="b">
        <v>1</v>
      </c>
      <c r="K568" s="191" t="s">
        <v>92</v>
      </c>
      <c r="L568" s="191">
        <v>72</v>
      </c>
      <c r="M568" s="191" t="s">
        <v>93</v>
      </c>
    </row>
    <row r="569" spans="1:13" x14ac:dyDescent="0.25">
      <c r="A569" s="148" t="s">
        <v>388</v>
      </c>
      <c r="B569" s="191">
        <v>9</v>
      </c>
      <c r="C569" s="191">
        <v>395</v>
      </c>
      <c r="E569" s="191" t="b">
        <v>1</v>
      </c>
      <c r="K569" s="191" t="s">
        <v>92</v>
      </c>
      <c r="L569" s="191">
        <v>72</v>
      </c>
      <c r="M569" s="191" t="s">
        <v>93</v>
      </c>
    </row>
    <row r="570" spans="1:13" x14ac:dyDescent="0.25">
      <c r="A570" s="148" t="s">
        <v>388</v>
      </c>
      <c r="B570" s="191">
        <v>10</v>
      </c>
      <c r="C570" s="191">
        <v>393</v>
      </c>
      <c r="E570" s="191" t="b">
        <v>1</v>
      </c>
      <c r="K570" s="191" t="s">
        <v>92</v>
      </c>
      <c r="L570" s="191">
        <v>72</v>
      </c>
      <c r="M570" s="191" t="s">
        <v>93</v>
      </c>
    </row>
    <row r="571" spans="1:13" x14ac:dyDescent="0.25">
      <c r="A571" s="148" t="s">
        <v>388</v>
      </c>
      <c r="B571" s="191">
        <v>11</v>
      </c>
      <c r="C571" s="191">
        <v>374</v>
      </c>
      <c r="E571" s="191" t="b">
        <v>1</v>
      </c>
      <c r="K571" s="191" t="s">
        <v>92</v>
      </c>
      <c r="L571" s="191">
        <v>72</v>
      </c>
      <c r="M571" s="191" t="s">
        <v>93</v>
      </c>
    </row>
    <row r="572" spans="1:13" x14ac:dyDescent="0.25">
      <c r="A572" s="148" t="s">
        <v>388</v>
      </c>
      <c r="B572" s="191">
        <v>12</v>
      </c>
      <c r="C572" s="191">
        <v>387</v>
      </c>
      <c r="E572" s="191" t="b">
        <v>1</v>
      </c>
      <c r="K572" s="191" t="s">
        <v>92</v>
      </c>
      <c r="L572" s="191">
        <v>72</v>
      </c>
      <c r="M572" s="191" t="s">
        <v>93</v>
      </c>
    </row>
    <row r="573" spans="1:13" x14ac:dyDescent="0.25">
      <c r="A573" s="148" t="s">
        <v>388</v>
      </c>
      <c r="B573" s="191">
        <v>13</v>
      </c>
      <c r="C573" s="191">
        <v>419</v>
      </c>
      <c r="E573" s="191" t="b">
        <v>1</v>
      </c>
      <c r="K573" s="191" t="s">
        <v>92</v>
      </c>
      <c r="L573" s="191">
        <v>72</v>
      </c>
      <c r="M573" s="191" t="s">
        <v>93</v>
      </c>
    </row>
    <row r="574" spans="1:13" x14ac:dyDescent="0.25">
      <c r="A574" s="148" t="s">
        <v>388</v>
      </c>
      <c r="B574" s="191">
        <v>14</v>
      </c>
      <c r="C574" s="191">
        <v>387</v>
      </c>
      <c r="E574" s="191" t="b">
        <v>1</v>
      </c>
      <c r="K574" s="191" t="s">
        <v>92</v>
      </c>
      <c r="L574" s="191">
        <v>72</v>
      </c>
      <c r="M574" s="191" t="s">
        <v>93</v>
      </c>
    </row>
    <row r="575" spans="1:13" x14ac:dyDescent="0.25">
      <c r="D575" s="191" t="s">
        <v>16</v>
      </c>
    </row>
    <row r="576" spans="1:13" x14ac:dyDescent="0.25">
      <c r="A576" s="148" t="s">
        <v>388</v>
      </c>
      <c r="C576" s="191">
        <v>1600</v>
      </c>
      <c r="D576" s="191" t="s">
        <v>14</v>
      </c>
      <c r="E576" s="191" t="b">
        <v>0</v>
      </c>
      <c r="K576" s="191" t="s">
        <v>92</v>
      </c>
      <c r="L576" s="191">
        <v>72</v>
      </c>
      <c r="M576" s="191" t="s">
        <v>93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AK27"/>
  <sheetViews>
    <sheetView workbookViewId="0">
      <selection activeCell="B23" sqref="B23"/>
    </sheetView>
  </sheetViews>
  <sheetFormatPr baseColWidth="10" defaultRowHeight="15" x14ac:dyDescent="0.25"/>
  <cols>
    <col min="1" max="1" width="27.7109375" style="148" bestFit="1" customWidth="1"/>
    <col min="2" max="2" width="10.7109375" style="186" bestFit="1" customWidth="1"/>
    <col min="3" max="3" width="11.28515625" style="148" bestFit="1" customWidth="1"/>
    <col min="4" max="4" width="4" style="148" bestFit="1" customWidth="1"/>
    <col min="5" max="5" width="3.85546875" style="148" bestFit="1" customWidth="1"/>
    <col min="6" max="7" width="8.140625" style="148" bestFit="1" customWidth="1"/>
    <col min="8" max="9" width="9" style="148" bestFit="1" customWidth="1"/>
    <col min="10" max="10" width="6" style="186" bestFit="1" customWidth="1"/>
    <col min="11" max="12" width="5" style="148" bestFit="1" customWidth="1"/>
    <col min="13" max="13" width="9.42578125" style="148" bestFit="1" customWidth="1"/>
    <col min="14" max="14" width="6" style="148" bestFit="1" customWidth="1"/>
    <col min="15" max="15" width="10.7109375" style="148" bestFit="1" customWidth="1"/>
    <col min="16" max="16" width="18.5703125" style="148" bestFit="1" customWidth="1"/>
    <col min="17" max="17" width="9.85546875" style="148" bestFit="1" customWidth="1"/>
    <col min="18" max="18" width="11.7109375" style="148" bestFit="1" customWidth="1"/>
    <col min="19" max="19" width="16.28515625" style="148" bestFit="1" customWidth="1"/>
    <col min="20" max="20" width="12.7109375" style="148" bestFit="1" customWidth="1"/>
    <col min="21" max="21" width="17.5703125" style="148" bestFit="1" customWidth="1"/>
    <col min="22" max="22" width="25.42578125" style="148" bestFit="1" customWidth="1"/>
    <col min="23" max="23" width="10.85546875" style="148" bestFit="1" customWidth="1"/>
    <col min="24" max="25" width="11.85546875" style="148" bestFit="1" customWidth="1"/>
    <col min="26" max="28" width="5.140625" style="148" bestFit="1" customWidth="1"/>
    <col min="29" max="29" width="9.28515625" style="148" bestFit="1" customWidth="1"/>
    <col min="30" max="31" width="10.28515625" style="148" bestFit="1" customWidth="1"/>
    <col min="32" max="34" width="4.7109375" style="148" bestFit="1" customWidth="1"/>
    <col min="35" max="37" width="11.42578125" style="148"/>
  </cols>
  <sheetData>
    <row r="1" spans="1:37" s="61" customFormat="1" x14ac:dyDescent="0.25">
      <c r="A1" s="143" t="s">
        <v>53</v>
      </c>
      <c r="B1" s="185" t="s">
        <v>0</v>
      </c>
      <c r="C1" s="143" t="s">
        <v>230</v>
      </c>
      <c r="D1" s="143" t="s">
        <v>231</v>
      </c>
      <c r="E1" s="143" t="s">
        <v>56</v>
      </c>
      <c r="F1" s="143" t="s">
        <v>246</v>
      </c>
      <c r="G1" s="143" t="s">
        <v>247</v>
      </c>
      <c r="H1" s="143" t="s">
        <v>248</v>
      </c>
      <c r="I1" s="143" t="s">
        <v>249</v>
      </c>
      <c r="J1" s="185" t="s">
        <v>66</v>
      </c>
      <c r="K1" s="143" t="s">
        <v>14</v>
      </c>
      <c r="L1" s="143" t="s">
        <v>13</v>
      </c>
      <c r="M1" s="143" t="s">
        <v>8</v>
      </c>
      <c r="N1" s="143" t="s">
        <v>15</v>
      </c>
      <c r="O1" s="143" t="s">
        <v>16</v>
      </c>
      <c r="P1" s="143" t="s">
        <v>250</v>
      </c>
      <c r="Q1" s="143" t="s">
        <v>251</v>
      </c>
      <c r="R1" s="143" t="s">
        <v>252</v>
      </c>
      <c r="S1" s="143" t="s">
        <v>253</v>
      </c>
      <c r="T1" s="143" t="s">
        <v>254</v>
      </c>
      <c r="U1" s="143" t="s">
        <v>255</v>
      </c>
      <c r="V1" s="143" t="s">
        <v>256</v>
      </c>
      <c r="W1" s="143" t="s">
        <v>257</v>
      </c>
      <c r="X1" s="143" t="s">
        <v>258</v>
      </c>
      <c r="Y1" s="143" t="s">
        <v>259</v>
      </c>
      <c r="Z1" s="143" t="s">
        <v>260</v>
      </c>
      <c r="AA1" s="143" t="s">
        <v>261</v>
      </c>
      <c r="AB1" s="143" t="s">
        <v>262</v>
      </c>
      <c r="AC1" s="143" t="s">
        <v>263</v>
      </c>
      <c r="AD1" s="143" t="s">
        <v>264</v>
      </c>
      <c r="AE1" s="143" t="s">
        <v>265</v>
      </c>
      <c r="AF1" s="143" t="s">
        <v>266</v>
      </c>
      <c r="AG1" s="143" t="s">
        <v>267</v>
      </c>
      <c r="AH1" s="143" t="s">
        <v>268</v>
      </c>
      <c r="AI1" s="144" t="s">
        <v>286</v>
      </c>
      <c r="AJ1" s="144" t="s">
        <v>286</v>
      </c>
      <c r="AK1" s="144" t="s">
        <v>287</v>
      </c>
    </row>
    <row r="2" spans="1:37" x14ac:dyDescent="0.25">
      <c r="A2" s="148" t="s">
        <v>84</v>
      </c>
    </row>
    <row r="3" spans="1:37" x14ac:dyDescent="0.25">
      <c r="A3" s="148" t="s">
        <v>291</v>
      </c>
      <c r="B3" s="198">
        <v>44907</v>
      </c>
      <c r="C3" s="148" t="s">
        <v>54</v>
      </c>
      <c r="D3" s="148">
        <v>240</v>
      </c>
      <c r="E3" s="148">
        <v>15</v>
      </c>
      <c r="F3" s="148">
        <v>4694</v>
      </c>
      <c r="G3" s="148">
        <v>300</v>
      </c>
      <c r="H3" s="148">
        <v>12</v>
      </c>
      <c r="I3" s="148">
        <v>2</v>
      </c>
      <c r="J3" s="186">
        <v>80</v>
      </c>
      <c r="K3" s="148">
        <v>200</v>
      </c>
      <c r="L3" s="148">
        <v>0</v>
      </c>
      <c r="M3" s="148">
        <v>0</v>
      </c>
      <c r="N3" s="148">
        <v>0</v>
      </c>
      <c r="O3" s="148">
        <v>100</v>
      </c>
      <c r="Q3" s="148">
        <v>1</v>
      </c>
      <c r="R3" s="148">
        <v>0</v>
      </c>
      <c r="S3" s="148">
        <v>0</v>
      </c>
      <c r="T3" s="148">
        <v>0</v>
      </c>
      <c r="U3" s="148">
        <v>1</v>
      </c>
      <c r="V3" s="148">
        <v>1</v>
      </c>
      <c r="W3" s="148" t="s">
        <v>292</v>
      </c>
      <c r="X3" s="148" t="s">
        <v>290</v>
      </c>
      <c r="Y3" s="148" t="s">
        <v>290</v>
      </c>
      <c r="Z3" s="148" t="s">
        <v>290</v>
      </c>
      <c r="AA3" s="148" t="s">
        <v>290</v>
      </c>
      <c r="AB3" s="148" t="s">
        <v>290</v>
      </c>
      <c r="AC3" s="148" t="s">
        <v>290</v>
      </c>
      <c r="AD3" s="148" t="s">
        <v>290</v>
      </c>
      <c r="AE3" s="148" t="s">
        <v>290</v>
      </c>
      <c r="AF3" s="148" t="s">
        <v>290</v>
      </c>
      <c r="AG3" s="148" t="s">
        <v>290</v>
      </c>
      <c r="AH3" s="148" t="s">
        <v>290</v>
      </c>
      <c r="AI3" s="148">
        <v>38.200000000000003</v>
      </c>
      <c r="AJ3" s="148">
        <v>37</v>
      </c>
      <c r="AK3" s="148" t="e">
        <v>#DIV/0!</v>
      </c>
    </row>
    <row r="4" spans="1:37" x14ac:dyDescent="0.25">
      <c r="A4" s="148" t="s">
        <v>294</v>
      </c>
      <c r="B4" s="198">
        <v>44893</v>
      </c>
      <c r="C4" s="148" t="s">
        <v>87</v>
      </c>
      <c r="D4" s="148">
        <v>360</v>
      </c>
      <c r="E4" s="148">
        <v>22</v>
      </c>
      <c r="F4" s="148">
        <v>6994</v>
      </c>
      <c r="G4" s="148">
        <v>288</v>
      </c>
      <c r="H4" s="148">
        <v>18</v>
      </c>
      <c r="I4" s="148">
        <v>1</v>
      </c>
      <c r="J4" s="186">
        <v>81.819999999999993</v>
      </c>
      <c r="K4" s="148">
        <v>0</v>
      </c>
      <c r="L4" s="148">
        <v>0</v>
      </c>
      <c r="M4" s="148">
        <v>0</v>
      </c>
      <c r="N4" s="148">
        <v>0</v>
      </c>
      <c r="O4" s="148">
        <v>0</v>
      </c>
      <c r="Q4" s="148">
        <v>0</v>
      </c>
      <c r="R4" s="148">
        <v>0</v>
      </c>
      <c r="S4" s="148">
        <v>0</v>
      </c>
      <c r="T4" s="148">
        <v>0</v>
      </c>
      <c r="U4" s="148">
        <v>0</v>
      </c>
      <c r="V4" s="148">
        <v>1</v>
      </c>
      <c r="W4" s="148" t="s">
        <v>295</v>
      </c>
      <c r="X4" s="148" t="s">
        <v>296</v>
      </c>
      <c r="Y4" s="148" t="s">
        <v>290</v>
      </c>
      <c r="Z4" s="148" t="s">
        <v>290</v>
      </c>
      <c r="AA4" s="148" t="s">
        <v>290</v>
      </c>
      <c r="AB4" s="148" t="s">
        <v>290</v>
      </c>
      <c r="AC4" s="148" t="s">
        <v>297</v>
      </c>
      <c r="AD4" s="148" t="s">
        <v>290</v>
      </c>
      <c r="AE4" s="148" t="s">
        <v>290</v>
      </c>
      <c r="AF4" s="148" t="s">
        <v>290</v>
      </c>
      <c r="AG4" s="148" t="s">
        <v>290</v>
      </c>
      <c r="AH4" s="148" t="s">
        <v>290</v>
      </c>
      <c r="AI4" s="148">
        <v>37.700000000000003</v>
      </c>
      <c r="AJ4" s="148">
        <v>35.5</v>
      </c>
      <c r="AK4" s="148">
        <v>295</v>
      </c>
    </row>
    <row r="5" spans="1:37" x14ac:dyDescent="0.25">
      <c r="A5" s="148" t="s">
        <v>300</v>
      </c>
      <c r="B5" s="198">
        <v>44893</v>
      </c>
      <c r="C5" s="148" t="s">
        <v>298</v>
      </c>
      <c r="D5" s="148">
        <v>300</v>
      </c>
      <c r="E5" s="148">
        <v>18</v>
      </c>
      <c r="F5" s="148">
        <v>6453</v>
      </c>
      <c r="G5" s="148">
        <v>160</v>
      </c>
      <c r="H5" s="148">
        <v>17</v>
      </c>
      <c r="I5" s="148">
        <v>1</v>
      </c>
      <c r="J5" s="186">
        <v>94.44</v>
      </c>
      <c r="K5" s="148">
        <v>0</v>
      </c>
      <c r="L5" s="148">
        <v>0</v>
      </c>
      <c r="M5" s="148">
        <v>0</v>
      </c>
      <c r="N5" s="148">
        <v>0</v>
      </c>
      <c r="O5" s="148">
        <v>160</v>
      </c>
      <c r="Q5" s="148">
        <v>0</v>
      </c>
      <c r="R5" s="148">
        <v>0</v>
      </c>
      <c r="S5" s="148">
        <v>0</v>
      </c>
      <c r="T5" s="148">
        <v>0</v>
      </c>
      <c r="U5" s="148">
        <v>1</v>
      </c>
      <c r="V5" s="148">
        <v>0</v>
      </c>
      <c r="W5" s="149" t="s">
        <v>301</v>
      </c>
      <c r="X5" s="148" t="s">
        <v>302</v>
      </c>
      <c r="Y5" s="148" t="s">
        <v>303</v>
      </c>
      <c r="Z5" s="148" t="s">
        <v>290</v>
      </c>
      <c r="AA5" s="148" t="s">
        <v>290</v>
      </c>
      <c r="AB5" s="148" t="s">
        <v>290</v>
      </c>
      <c r="AC5" s="148" t="s">
        <v>304</v>
      </c>
      <c r="AD5" s="148" t="s">
        <v>290</v>
      </c>
      <c r="AE5" s="148" t="s">
        <v>290</v>
      </c>
      <c r="AF5" s="148" t="s">
        <v>290</v>
      </c>
      <c r="AG5" s="148" t="s">
        <v>290</v>
      </c>
      <c r="AH5" s="148" t="s">
        <v>290</v>
      </c>
      <c r="AI5" s="148">
        <v>26.3</v>
      </c>
      <c r="AJ5" s="148">
        <v>27.866666666666664</v>
      </c>
      <c r="AK5" s="148">
        <v>298</v>
      </c>
    </row>
    <row r="6" spans="1:37" x14ac:dyDescent="0.25">
      <c r="A6" s="148" t="s">
        <v>305</v>
      </c>
      <c r="B6" s="198">
        <v>44894</v>
      </c>
      <c r="C6" s="148" t="s">
        <v>298</v>
      </c>
      <c r="D6" s="148">
        <v>480</v>
      </c>
      <c r="E6" s="148">
        <v>30</v>
      </c>
      <c r="F6" s="148">
        <v>10984</v>
      </c>
      <c r="G6" s="148">
        <v>0</v>
      </c>
      <c r="H6" s="148">
        <v>29</v>
      </c>
      <c r="I6" s="148">
        <v>0</v>
      </c>
      <c r="J6" s="186">
        <v>96.67</v>
      </c>
      <c r="K6" s="148">
        <v>0</v>
      </c>
      <c r="L6" s="148">
        <v>0</v>
      </c>
      <c r="M6" s="148">
        <v>0</v>
      </c>
      <c r="N6" s="148">
        <v>0</v>
      </c>
      <c r="O6" s="148">
        <v>0</v>
      </c>
      <c r="Q6" s="148">
        <v>0</v>
      </c>
      <c r="R6" s="148">
        <v>0</v>
      </c>
      <c r="S6" s="148">
        <v>0</v>
      </c>
      <c r="T6" s="148">
        <v>0</v>
      </c>
      <c r="U6" s="148">
        <v>0</v>
      </c>
      <c r="V6" s="148">
        <v>0</v>
      </c>
      <c r="W6" s="148" t="s">
        <v>306</v>
      </c>
      <c r="X6" s="148" t="s">
        <v>307</v>
      </c>
      <c r="Y6" s="148" t="s">
        <v>308</v>
      </c>
      <c r="Z6" s="148" t="s">
        <v>309</v>
      </c>
      <c r="AA6" s="148" t="s">
        <v>290</v>
      </c>
      <c r="AB6" s="148" t="s">
        <v>290</v>
      </c>
      <c r="AC6" s="148" t="s">
        <v>310</v>
      </c>
      <c r="AD6" s="148" t="s">
        <v>311</v>
      </c>
      <c r="AE6" s="148" t="s">
        <v>290</v>
      </c>
      <c r="AF6" s="148" t="s">
        <v>290</v>
      </c>
      <c r="AG6" s="148" t="s">
        <v>290</v>
      </c>
      <c r="AH6" s="148" t="s">
        <v>290</v>
      </c>
      <c r="AI6" s="148">
        <v>30.824999999999999</v>
      </c>
      <c r="AJ6" s="148">
        <v>32.274999999999999</v>
      </c>
      <c r="AK6" s="148">
        <v>289</v>
      </c>
    </row>
    <row r="7" spans="1:37" x14ac:dyDescent="0.25">
      <c r="A7" s="148" t="s">
        <v>312</v>
      </c>
      <c r="B7" s="198">
        <v>44894</v>
      </c>
      <c r="C7" s="148" t="s">
        <v>87</v>
      </c>
      <c r="D7" s="148">
        <v>480</v>
      </c>
      <c r="E7" s="148">
        <v>30</v>
      </c>
      <c r="F7" s="148">
        <v>9095</v>
      </c>
      <c r="G7" s="148">
        <v>0</v>
      </c>
      <c r="H7" s="148">
        <v>24</v>
      </c>
      <c r="I7" s="148">
        <v>0</v>
      </c>
      <c r="J7" s="186">
        <v>80</v>
      </c>
      <c r="K7" s="148">
        <v>0</v>
      </c>
      <c r="L7" s="148">
        <v>0</v>
      </c>
      <c r="M7" s="148">
        <v>0</v>
      </c>
      <c r="N7" s="148">
        <v>0</v>
      </c>
      <c r="O7" s="148">
        <v>0</v>
      </c>
      <c r="Q7" s="148">
        <v>0</v>
      </c>
      <c r="R7" s="148">
        <v>0</v>
      </c>
      <c r="S7" s="148">
        <v>0</v>
      </c>
      <c r="T7" s="148">
        <v>0</v>
      </c>
      <c r="U7" s="148">
        <v>0</v>
      </c>
      <c r="V7" s="148">
        <v>0</v>
      </c>
      <c r="W7" s="148" t="s">
        <v>313</v>
      </c>
      <c r="X7" s="148" t="s">
        <v>290</v>
      </c>
      <c r="Y7" s="148" t="s">
        <v>290</v>
      </c>
      <c r="Z7" s="148" t="s">
        <v>290</v>
      </c>
      <c r="AA7" s="148" t="s">
        <v>290</v>
      </c>
      <c r="AB7" s="148" t="s">
        <v>290</v>
      </c>
      <c r="AC7" s="148" t="s">
        <v>290</v>
      </c>
      <c r="AD7" s="148" t="s">
        <v>290</v>
      </c>
      <c r="AE7" s="148" t="s">
        <v>290</v>
      </c>
      <c r="AF7" s="148" t="s">
        <v>290</v>
      </c>
      <c r="AG7" s="148" t="s">
        <v>290</v>
      </c>
      <c r="AH7" s="148" t="s">
        <v>290</v>
      </c>
      <c r="AI7" s="148">
        <v>38.6</v>
      </c>
      <c r="AJ7" s="148">
        <v>36.200000000000003</v>
      </c>
      <c r="AK7" s="148" t="e">
        <v>#DIV/0!</v>
      </c>
    </row>
    <row r="8" spans="1:37" x14ac:dyDescent="0.25">
      <c r="A8" s="148" t="s">
        <v>314</v>
      </c>
      <c r="B8" s="198">
        <v>44895</v>
      </c>
      <c r="C8" s="148" t="s">
        <v>87</v>
      </c>
      <c r="D8" s="148">
        <v>480</v>
      </c>
      <c r="E8" s="148">
        <v>30</v>
      </c>
      <c r="F8" s="148">
        <v>9800</v>
      </c>
      <c r="G8" s="148">
        <v>403</v>
      </c>
      <c r="H8" s="148">
        <v>24</v>
      </c>
      <c r="I8" s="148">
        <v>1</v>
      </c>
      <c r="J8" s="186">
        <v>80</v>
      </c>
      <c r="K8" s="148">
        <v>0</v>
      </c>
      <c r="L8" s="148">
        <v>0</v>
      </c>
      <c r="M8" s="148">
        <v>0</v>
      </c>
      <c r="N8" s="148">
        <v>0</v>
      </c>
      <c r="O8" s="148">
        <v>0</v>
      </c>
      <c r="Q8" s="148">
        <v>0</v>
      </c>
      <c r="R8" s="148">
        <v>0</v>
      </c>
      <c r="S8" s="148">
        <v>0</v>
      </c>
      <c r="T8" s="148">
        <v>0</v>
      </c>
      <c r="U8" s="148">
        <v>0</v>
      </c>
      <c r="V8" s="148">
        <v>1</v>
      </c>
      <c r="W8" s="148" t="s">
        <v>315</v>
      </c>
      <c r="X8" s="148" t="s">
        <v>316</v>
      </c>
      <c r="Y8" s="148" t="s">
        <v>290</v>
      </c>
      <c r="Z8" s="148" t="s">
        <v>290</v>
      </c>
      <c r="AA8" s="148" t="s">
        <v>290</v>
      </c>
      <c r="AB8" s="148" t="s">
        <v>290</v>
      </c>
      <c r="AC8" s="148" t="s">
        <v>317</v>
      </c>
      <c r="AD8" s="148" t="s">
        <v>290</v>
      </c>
      <c r="AE8" s="148" t="s">
        <v>290</v>
      </c>
      <c r="AF8" s="148" t="s">
        <v>290</v>
      </c>
      <c r="AG8" s="148" t="s">
        <v>290</v>
      </c>
      <c r="AH8" s="148" t="s">
        <v>290</v>
      </c>
      <c r="AI8" s="148">
        <v>29</v>
      </c>
      <c r="AJ8" s="148">
        <v>30.95</v>
      </c>
      <c r="AK8" s="148">
        <v>314</v>
      </c>
    </row>
    <row r="9" spans="1:37" x14ac:dyDescent="0.25">
      <c r="A9" s="148" t="s">
        <v>318</v>
      </c>
      <c r="B9" s="198">
        <v>44895</v>
      </c>
      <c r="C9" s="148" t="s">
        <v>298</v>
      </c>
      <c r="D9" s="148">
        <v>480</v>
      </c>
      <c r="E9" s="148">
        <v>30</v>
      </c>
      <c r="F9" s="148">
        <v>11214</v>
      </c>
      <c r="G9" s="148">
        <v>0</v>
      </c>
      <c r="H9" s="148">
        <v>28</v>
      </c>
      <c r="I9" s="148">
        <v>0</v>
      </c>
      <c r="J9" s="186">
        <v>93.33</v>
      </c>
      <c r="K9" s="148">
        <v>0</v>
      </c>
      <c r="L9" s="148">
        <v>0</v>
      </c>
      <c r="M9" s="148">
        <v>0</v>
      </c>
      <c r="N9" s="148">
        <v>0</v>
      </c>
      <c r="O9" s="148">
        <v>0</v>
      </c>
      <c r="Q9" s="148">
        <v>0</v>
      </c>
      <c r="R9" s="148">
        <v>0</v>
      </c>
      <c r="S9" s="148">
        <v>0</v>
      </c>
      <c r="T9" s="148">
        <v>0</v>
      </c>
      <c r="U9" s="148">
        <v>0</v>
      </c>
      <c r="V9" s="148">
        <v>1</v>
      </c>
      <c r="W9" s="148" t="s">
        <v>319</v>
      </c>
      <c r="X9" s="148" t="s">
        <v>320</v>
      </c>
      <c r="Y9" s="148" t="s">
        <v>321</v>
      </c>
      <c r="Z9" s="148" t="s">
        <v>322</v>
      </c>
      <c r="AA9" s="148" t="s">
        <v>290</v>
      </c>
      <c r="AB9" s="148" t="s">
        <v>290</v>
      </c>
      <c r="AC9" s="148" t="s">
        <v>290</v>
      </c>
      <c r="AD9" s="148" t="s">
        <v>290</v>
      </c>
      <c r="AE9" s="148" t="s">
        <v>290</v>
      </c>
      <c r="AF9" s="148" t="s">
        <v>290</v>
      </c>
      <c r="AG9" s="148" t="s">
        <v>290</v>
      </c>
      <c r="AH9" s="148" t="s">
        <v>290</v>
      </c>
      <c r="AI9" s="148">
        <v>32.274999999999999</v>
      </c>
      <c r="AJ9" s="148">
        <v>33</v>
      </c>
      <c r="AK9" s="148" t="e">
        <v>#DIV/0!</v>
      </c>
    </row>
    <row r="10" spans="1:37" x14ac:dyDescent="0.25">
      <c r="A10" s="148" t="s">
        <v>323</v>
      </c>
      <c r="B10" s="198">
        <v>44896</v>
      </c>
      <c r="C10" s="148" t="s">
        <v>87</v>
      </c>
      <c r="D10" s="148">
        <v>480</v>
      </c>
      <c r="E10" s="148">
        <v>30</v>
      </c>
      <c r="F10" s="148">
        <v>10553</v>
      </c>
      <c r="G10" s="148">
        <v>-419</v>
      </c>
      <c r="H10" s="148">
        <v>28</v>
      </c>
      <c r="I10" s="148">
        <v>1</v>
      </c>
      <c r="J10" s="186">
        <v>93.33</v>
      </c>
      <c r="K10" s="148">
        <v>0</v>
      </c>
      <c r="L10" s="148">
        <v>0</v>
      </c>
      <c r="M10" s="148">
        <v>0</v>
      </c>
      <c r="N10" s="148">
        <v>0</v>
      </c>
      <c r="O10" s="148">
        <v>-419</v>
      </c>
      <c r="Q10" s="148">
        <v>0</v>
      </c>
      <c r="R10" s="148">
        <v>0</v>
      </c>
      <c r="S10" s="148">
        <v>0</v>
      </c>
      <c r="T10" s="148">
        <v>0</v>
      </c>
      <c r="U10" s="148">
        <v>1</v>
      </c>
      <c r="V10" s="148">
        <v>0</v>
      </c>
      <c r="W10" s="148" t="s">
        <v>324</v>
      </c>
      <c r="X10" s="148" t="s">
        <v>325</v>
      </c>
      <c r="Y10" s="148" t="s">
        <v>324</v>
      </c>
      <c r="Z10" s="148" t="s">
        <v>325</v>
      </c>
      <c r="AA10" s="148" t="s">
        <v>290</v>
      </c>
      <c r="AB10" s="148" t="s">
        <v>290</v>
      </c>
      <c r="AC10" s="148" t="s">
        <v>326</v>
      </c>
      <c r="AD10" s="148" t="s">
        <v>327</v>
      </c>
      <c r="AE10" s="148" t="s">
        <v>290</v>
      </c>
      <c r="AF10" s="148" t="s">
        <v>290</v>
      </c>
      <c r="AG10" s="148" t="s">
        <v>290</v>
      </c>
      <c r="AH10" s="148" t="s">
        <v>290</v>
      </c>
      <c r="AI10" s="148">
        <v>32</v>
      </c>
      <c r="AJ10" s="148">
        <v>29.05</v>
      </c>
      <c r="AK10" s="148">
        <v>280</v>
      </c>
    </row>
    <row r="11" spans="1:37" x14ac:dyDescent="0.25">
      <c r="A11" s="148" t="s">
        <v>328</v>
      </c>
      <c r="B11" s="198">
        <v>44896</v>
      </c>
      <c r="C11" s="148" t="s">
        <v>89</v>
      </c>
      <c r="D11" s="148">
        <v>480</v>
      </c>
      <c r="E11" s="148">
        <v>30</v>
      </c>
      <c r="F11" s="148">
        <v>9886</v>
      </c>
      <c r="G11" s="148">
        <v>0</v>
      </c>
      <c r="H11" s="148">
        <v>26</v>
      </c>
      <c r="I11" s="148">
        <v>0</v>
      </c>
      <c r="J11" s="186">
        <v>86.67</v>
      </c>
      <c r="K11" s="148">
        <v>0</v>
      </c>
      <c r="L11" s="148">
        <v>0</v>
      </c>
      <c r="M11" s="148">
        <v>0</v>
      </c>
      <c r="N11" s="148">
        <v>0</v>
      </c>
      <c r="O11" s="148">
        <v>0</v>
      </c>
      <c r="Q11" s="148">
        <v>0</v>
      </c>
      <c r="R11" s="148">
        <v>0</v>
      </c>
      <c r="S11" s="148">
        <v>0</v>
      </c>
      <c r="T11" s="148">
        <v>0</v>
      </c>
      <c r="U11" s="148">
        <v>0</v>
      </c>
      <c r="V11" s="148">
        <v>0</v>
      </c>
      <c r="W11" s="148" t="s">
        <v>329</v>
      </c>
      <c r="X11" s="148" t="s">
        <v>330</v>
      </c>
      <c r="Y11" s="148" t="s">
        <v>331</v>
      </c>
      <c r="Z11" s="148" t="s">
        <v>290</v>
      </c>
      <c r="AA11" s="148" t="s">
        <v>290</v>
      </c>
      <c r="AB11" s="148" t="s">
        <v>290</v>
      </c>
      <c r="AC11" s="148" t="s">
        <v>326</v>
      </c>
      <c r="AD11" s="148" t="s">
        <v>327</v>
      </c>
      <c r="AE11" s="148" t="s">
        <v>290</v>
      </c>
      <c r="AF11" s="148" t="s">
        <v>290</v>
      </c>
      <c r="AG11" s="148" t="s">
        <v>290</v>
      </c>
      <c r="AH11" s="148" t="s">
        <v>290</v>
      </c>
      <c r="AI11" s="148">
        <v>28.866666666666664</v>
      </c>
      <c r="AJ11" s="148">
        <v>29.966666666666669</v>
      </c>
      <c r="AK11" s="148">
        <v>280</v>
      </c>
    </row>
    <row r="12" spans="1:37" x14ac:dyDescent="0.25">
      <c r="A12" s="148" t="s">
        <v>332</v>
      </c>
      <c r="B12" s="198">
        <v>44897</v>
      </c>
      <c r="C12" s="148" t="s">
        <v>87</v>
      </c>
      <c r="D12" s="148">
        <v>480</v>
      </c>
      <c r="E12" s="148">
        <v>30</v>
      </c>
      <c r="F12" s="148">
        <v>10351</v>
      </c>
      <c r="G12" s="148">
        <v>0</v>
      </c>
      <c r="H12" s="148">
        <v>27</v>
      </c>
      <c r="I12" s="148">
        <v>0</v>
      </c>
      <c r="J12" s="186">
        <v>90</v>
      </c>
      <c r="K12" s="148">
        <v>0</v>
      </c>
      <c r="L12" s="148">
        <v>0</v>
      </c>
      <c r="M12" s="148">
        <v>0</v>
      </c>
      <c r="N12" s="148">
        <v>0</v>
      </c>
      <c r="O12" s="148">
        <v>0</v>
      </c>
      <c r="Q12" s="148">
        <v>0</v>
      </c>
      <c r="R12" s="148">
        <v>0</v>
      </c>
      <c r="S12" s="148">
        <v>0</v>
      </c>
      <c r="T12" s="148">
        <v>0</v>
      </c>
      <c r="U12" s="148">
        <v>0</v>
      </c>
      <c r="V12" s="148">
        <v>0</v>
      </c>
      <c r="W12" s="148" t="s">
        <v>333</v>
      </c>
      <c r="X12" s="148" t="s">
        <v>334</v>
      </c>
      <c r="Y12" s="148" t="s">
        <v>290</v>
      </c>
      <c r="Z12" s="148" t="s">
        <v>290</v>
      </c>
      <c r="AA12" s="148" t="s">
        <v>290</v>
      </c>
      <c r="AB12" s="148" t="s">
        <v>290</v>
      </c>
      <c r="AC12" s="148" t="s">
        <v>326</v>
      </c>
      <c r="AD12" s="148" t="s">
        <v>327</v>
      </c>
      <c r="AE12" s="148" t="s">
        <v>290</v>
      </c>
      <c r="AF12" s="148" t="s">
        <v>290</v>
      </c>
      <c r="AG12" s="148" t="s">
        <v>290</v>
      </c>
      <c r="AH12" s="148" t="s">
        <v>290</v>
      </c>
      <c r="AI12" s="148">
        <v>32.25</v>
      </c>
      <c r="AJ12" s="148">
        <v>28.65</v>
      </c>
      <c r="AK12" s="148">
        <v>280</v>
      </c>
    </row>
    <row r="13" spans="1:37" x14ac:dyDescent="0.25">
      <c r="A13" s="148" t="s">
        <v>335</v>
      </c>
      <c r="B13" s="198">
        <v>44900</v>
      </c>
      <c r="C13" s="148" t="s">
        <v>54</v>
      </c>
      <c r="D13" s="148">
        <v>480</v>
      </c>
      <c r="E13" s="148">
        <v>30</v>
      </c>
      <c r="F13" s="148">
        <v>10351</v>
      </c>
      <c r="G13" s="148">
        <v>0</v>
      </c>
      <c r="H13" s="148">
        <v>27</v>
      </c>
      <c r="I13" s="148">
        <v>0</v>
      </c>
      <c r="J13" s="186">
        <v>90</v>
      </c>
      <c r="K13" s="148">
        <v>0</v>
      </c>
      <c r="L13" s="148">
        <v>0</v>
      </c>
      <c r="M13" s="148">
        <v>0</v>
      </c>
      <c r="N13" s="148">
        <v>0</v>
      </c>
      <c r="O13" s="148">
        <v>0</v>
      </c>
      <c r="Q13" s="148">
        <v>0</v>
      </c>
      <c r="R13" s="148">
        <v>0</v>
      </c>
      <c r="S13" s="148">
        <v>0</v>
      </c>
      <c r="T13" s="148">
        <v>0</v>
      </c>
      <c r="U13" s="148">
        <v>0</v>
      </c>
      <c r="V13" s="148">
        <v>0</v>
      </c>
      <c r="W13" s="148" t="s">
        <v>336</v>
      </c>
      <c r="X13" s="148" t="s">
        <v>337</v>
      </c>
      <c r="Y13" s="148" t="s">
        <v>290</v>
      </c>
      <c r="Z13" s="148" t="s">
        <v>290</v>
      </c>
      <c r="AA13" s="148" t="s">
        <v>290</v>
      </c>
      <c r="AB13" s="148" t="s">
        <v>290</v>
      </c>
      <c r="AC13" s="148" t="s">
        <v>338</v>
      </c>
      <c r="AD13" s="148" t="s">
        <v>339</v>
      </c>
      <c r="AE13" s="148" t="s">
        <v>290</v>
      </c>
      <c r="AF13" s="148" t="s">
        <v>290</v>
      </c>
      <c r="AG13" s="148" t="s">
        <v>290</v>
      </c>
      <c r="AH13" s="148" t="s">
        <v>290</v>
      </c>
      <c r="AI13" s="148">
        <v>36.599999999999994</v>
      </c>
      <c r="AJ13" s="148">
        <v>37.85</v>
      </c>
      <c r="AK13" s="148">
        <v>275.5</v>
      </c>
    </row>
    <row r="14" spans="1:37" x14ac:dyDescent="0.25">
      <c r="A14" s="148" t="s">
        <v>340</v>
      </c>
      <c r="B14" s="198">
        <v>44900</v>
      </c>
      <c r="C14" s="148" t="s">
        <v>89</v>
      </c>
      <c r="D14" s="148">
        <v>480</v>
      </c>
      <c r="E14" s="148">
        <v>30</v>
      </c>
      <c r="F14" s="148">
        <v>6947</v>
      </c>
      <c r="G14" s="148">
        <v>0</v>
      </c>
      <c r="H14" s="148">
        <v>18</v>
      </c>
      <c r="I14" s="148">
        <v>0</v>
      </c>
      <c r="J14" s="186">
        <v>60</v>
      </c>
      <c r="K14" s="148">
        <v>0</v>
      </c>
      <c r="L14" s="148">
        <v>0</v>
      </c>
      <c r="M14" s="148">
        <v>0</v>
      </c>
      <c r="N14" s="148">
        <v>0</v>
      </c>
      <c r="O14" s="148">
        <v>0</v>
      </c>
      <c r="Q14" s="148">
        <v>0</v>
      </c>
      <c r="R14" s="148">
        <v>0</v>
      </c>
      <c r="S14" s="148">
        <v>0</v>
      </c>
      <c r="T14" s="148">
        <v>0</v>
      </c>
      <c r="U14" s="148">
        <v>0</v>
      </c>
      <c r="V14" s="148">
        <v>1</v>
      </c>
      <c r="W14" s="148" t="s">
        <v>336</v>
      </c>
      <c r="X14" s="148" t="s">
        <v>337</v>
      </c>
      <c r="Y14" s="148" t="s">
        <v>290</v>
      </c>
      <c r="Z14" s="148" t="s">
        <v>290</v>
      </c>
      <c r="AA14" s="148" t="s">
        <v>290</v>
      </c>
      <c r="AB14" s="148" t="s">
        <v>290</v>
      </c>
      <c r="AC14" s="148" t="s">
        <v>338</v>
      </c>
      <c r="AD14" s="148" t="s">
        <v>339</v>
      </c>
      <c r="AE14" s="148" t="s">
        <v>290</v>
      </c>
      <c r="AF14" s="148" t="s">
        <v>290</v>
      </c>
      <c r="AG14" s="148" t="s">
        <v>290</v>
      </c>
      <c r="AH14" s="148" t="s">
        <v>290</v>
      </c>
      <c r="AI14" s="148">
        <v>36.599999999999994</v>
      </c>
      <c r="AJ14" s="148">
        <v>37.85</v>
      </c>
      <c r="AK14" s="148">
        <v>275.5</v>
      </c>
    </row>
    <row r="15" spans="1:37" x14ac:dyDescent="0.25">
      <c r="A15" s="148" t="s">
        <v>341</v>
      </c>
      <c r="B15" s="198">
        <v>44901</v>
      </c>
      <c r="C15" s="148" t="s">
        <v>54</v>
      </c>
      <c r="D15" s="148">
        <v>480</v>
      </c>
      <c r="E15" s="148">
        <v>30</v>
      </c>
      <c r="F15" s="148">
        <v>9369</v>
      </c>
      <c r="G15" s="148">
        <v>699</v>
      </c>
      <c r="H15" s="148">
        <v>24</v>
      </c>
      <c r="I15" s="148">
        <v>5</v>
      </c>
      <c r="J15" s="186">
        <v>80</v>
      </c>
      <c r="K15" s="148">
        <v>0</v>
      </c>
      <c r="L15" s="148">
        <v>0</v>
      </c>
      <c r="M15" s="148">
        <v>0</v>
      </c>
      <c r="N15" s="148">
        <v>0</v>
      </c>
      <c r="O15" s="148">
        <v>63</v>
      </c>
      <c r="Q15" s="148">
        <v>0</v>
      </c>
      <c r="R15" s="148">
        <v>0</v>
      </c>
      <c r="S15" s="148">
        <v>0</v>
      </c>
      <c r="T15" s="148">
        <v>0</v>
      </c>
      <c r="U15" s="148">
        <v>1</v>
      </c>
      <c r="V15" s="148">
        <v>2</v>
      </c>
      <c r="W15" s="148" t="s">
        <v>342</v>
      </c>
      <c r="X15" s="148" t="s">
        <v>343</v>
      </c>
      <c r="Y15" s="148" t="s">
        <v>290</v>
      </c>
      <c r="Z15" s="148" t="s">
        <v>290</v>
      </c>
      <c r="AA15" s="148" t="s">
        <v>290</v>
      </c>
      <c r="AB15" s="148" t="s">
        <v>290</v>
      </c>
      <c r="AC15" s="148" t="s">
        <v>290</v>
      </c>
      <c r="AD15" s="148" t="s">
        <v>290</v>
      </c>
      <c r="AE15" s="148" t="s">
        <v>290</v>
      </c>
      <c r="AF15" s="148" t="s">
        <v>290</v>
      </c>
      <c r="AG15" s="148" t="s">
        <v>290</v>
      </c>
      <c r="AH15" s="148" t="s">
        <v>290</v>
      </c>
      <c r="AI15" s="148">
        <v>28.4</v>
      </c>
      <c r="AJ15" s="148">
        <v>29.85</v>
      </c>
      <c r="AK15" s="148" t="e">
        <v>#DIV/0!</v>
      </c>
    </row>
    <row r="16" spans="1:37" x14ac:dyDescent="0.25">
      <c r="A16" s="148" t="s">
        <v>344</v>
      </c>
      <c r="B16" s="198">
        <v>44908</v>
      </c>
      <c r="C16" s="148" t="s">
        <v>54</v>
      </c>
      <c r="D16" s="148">
        <v>300</v>
      </c>
      <c r="E16" s="148">
        <v>18</v>
      </c>
      <c r="F16" s="148">
        <v>4880</v>
      </c>
      <c r="G16" s="148">
        <v>1552</v>
      </c>
      <c r="H16" s="148">
        <v>13</v>
      </c>
      <c r="I16" s="148">
        <v>4</v>
      </c>
      <c r="J16" s="186">
        <v>72.22</v>
      </c>
      <c r="K16" s="148">
        <v>353</v>
      </c>
      <c r="L16" s="148">
        <v>0</v>
      </c>
      <c r="M16" s="148">
        <v>0</v>
      </c>
      <c r="N16" s="148">
        <v>1199</v>
      </c>
      <c r="O16" s="148">
        <v>0</v>
      </c>
      <c r="Q16" s="148">
        <v>1</v>
      </c>
      <c r="R16" s="148">
        <v>0</v>
      </c>
      <c r="S16" s="148">
        <v>0</v>
      </c>
      <c r="T16" s="148">
        <v>3</v>
      </c>
      <c r="U16" s="148">
        <v>1</v>
      </c>
      <c r="V16" s="148">
        <v>2</v>
      </c>
      <c r="W16" s="148" t="s">
        <v>345</v>
      </c>
      <c r="X16" s="148" t="s">
        <v>290</v>
      </c>
      <c r="Y16" s="148" t="s">
        <v>290</v>
      </c>
      <c r="Z16" s="148" t="s">
        <v>290</v>
      </c>
      <c r="AA16" s="148" t="s">
        <v>290</v>
      </c>
      <c r="AB16" s="148" t="s">
        <v>290</v>
      </c>
      <c r="AC16" s="148" t="s">
        <v>290</v>
      </c>
      <c r="AD16" s="148" t="s">
        <v>290</v>
      </c>
      <c r="AE16" s="148" t="s">
        <v>290</v>
      </c>
      <c r="AF16" s="148" t="s">
        <v>290</v>
      </c>
      <c r="AG16" s="148" t="s">
        <v>290</v>
      </c>
      <c r="AH16" s="148" t="s">
        <v>290</v>
      </c>
      <c r="AI16" s="148">
        <v>32</v>
      </c>
      <c r="AJ16" s="148">
        <v>28.8</v>
      </c>
      <c r="AK16" s="148" t="e">
        <v>#DIV/0!</v>
      </c>
    </row>
    <row r="17" spans="1:37" x14ac:dyDescent="0.25">
      <c r="A17" s="148" t="s">
        <v>346</v>
      </c>
      <c r="B17" s="198">
        <v>44928</v>
      </c>
      <c r="C17" s="148" t="s">
        <v>87</v>
      </c>
      <c r="D17" s="148">
        <v>450</v>
      </c>
      <c r="E17" s="148">
        <v>28</v>
      </c>
      <c r="F17" s="148">
        <v>10351</v>
      </c>
      <c r="G17" s="148">
        <v>0</v>
      </c>
      <c r="H17" s="148">
        <v>27</v>
      </c>
      <c r="I17" s="148">
        <v>0</v>
      </c>
      <c r="J17" s="186">
        <v>96.43</v>
      </c>
      <c r="K17" s="148">
        <v>0</v>
      </c>
      <c r="L17" s="148">
        <v>0</v>
      </c>
      <c r="M17" s="148">
        <v>0</v>
      </c>
      <c r="N17" s="148">
        <v>0</v>
      </c>
      <c r="O17" s="148">
        <v>0</v>
      </c>
      <c r="Q17" s="148">
        <v>0</v>
      </c>
      <c r="R17" s="148">
        <v>0</v>
      </c>
      <c r="S17" s="148">
        <v>0</v>
      </c>
      <c r="T17" s="148">
        <v>0</v>
      </c>
      <c r="U17" s="148">
        <v>0</v>
      </c>
      <c r="V17" s="148">
        <v>0</v>
      </c>
      <c r="W17" s="148" t="s">
        <v>347</v>
      </c>
      <c r="X17" s="148" t="s">
        <v>348</v>
      </c>
      <c r="Y17" s="148" t="s">
        <v>349</v>
      </c>
      <c r="Z17" s="148" t="s">
        <v>290</v>
      </c>
      <c r="AA17" s="148" t="s">
        <v>290</v>
      </c>
      <c r="AB17" s="148" t="s">
        <v>290</v>
      </c>
      <c r="AC17" s="148" t="s">
        <v>290</v>
      </c>
      <c r="AD17" s="148" t="s">
        <v>290</v>
      </c>
      <c r="AE17" s="148" t="s">
        <v>290</v>
      </c>
      <c r="AF17" s="148" t="s">
        <v>290</v>
      </c>
      <c r="AG17" s="148" t="s">
        <v>290</v>
      </c>
      <c r="AH17" s="148" t="s">
        <v>290</v>
      </c>
      <c r="AI17" s="148">
        <v>34.300000000000004</v>
      </c>
      <c r="AJ17" s="148">
        <v>33.066666666666663</v>
      </c>
      <c r="AK17" s="148" t="e">
        <v>#DIV/0!</v>
      </c>
    </row>
    <row r="18" spans="1:37" x14ac:dyDescent="0.25">
      <c r="A18" s="148" t="s">
        <v>351</v>
      </c>
      <c r="B18" s="198">
        <v>44929</v>
      </c>
      <c r="C18" s="148" t="s">
        <v>87</v>
      </c>
      <c r="D18" s="148">
        <v>480</v>
      </c>
      <c r="E18" s="148">
        <v>30</v>
      </c>
      <c r="F18" s="148">
        <v>10356</v>
      </c>
      <c r="G18" s="148">
        <v>0</v>
      </c>
      <c r="H18" s="148">
        <v>27</v>
      </c>
      <c r="I18" s="148">
        <v>0</v>
      </c>
      <c r="J18" s="186">
        <v>90</v>
      </c>
      <c r="K18" s="148">
        <v>0</v>
      </c>
      <c r="L18" s="148">
        <v>0</v>
      </c>
      <c r="M18" s="148">
        <v>0</v>
      </c>
      <c r="N18" s="148">
        <v>0</v>
      </c>
      <c r="O18" s="148">
        <v>0</v>
      </c>
      <c r="Q18" s="148">
        <v>0</v>
      </c>
      <c r="R18" s="148">
        <v>0</v>
      </c>
      <c r="S18" s="148">
        <v>0</v>
      </c>
      <c r="T18" s="148">
        <v>0</v>
      </c>
      <c r="U18" s="148">
        <v>0</v>
      </c>
      <c r="V18" s="148">
        <v>0</v>
      </c>
      <c r="W18" s="148" t="s">
        <v>352</v>
      </c>
      <c r="X18" s="148" t="s">
        <v>353</v>
      </c>
      <c r="Y18" s="148" t="s">
        <v>354</v>
      </c>
      <c r="Z18" s="148" t="s">
        <v>290</v>
      </c>
      <c r="AA18" s="148" t="s">
        <v>290</v>
      </c>
      <c r="AB18" s="148" t="s">
        <v>290</v>
      </c>
      <c r="AC18" s="148" t="s">
        <v>355</v>
      </c>
      <c r="AD18" s="148" t="s">
        <v>356</v>
      </c>
      <c r="AE18" s="148" t="s">
        <v>290</v>
      </c>
      <c r="AF18" s="148" t="s">
        <v>290</v>
      </c>
      <c r="AG18" s="148" t="s">
        <v>290</v>
      </c>
      <c r="AH18" s="148" t="s">
        <v>290</v>
      </c>
      <c r="AI18" s="148">
        <v>31.633333333333336</v>
      </c>
      <c r="AJ18" s="148">
        <v>28.866666666666664</v>
      </c>
      <c r="AK18" s="148">
        <v>296.5</v>
      </c>
    </row>
    <row r="19" spans="1:37" x14ac:dyDescent="0.25">
      <c r="A19" s="148" t="s">
        <v>357</v>
      </c>
      <c r="B19" s="198">
        <v>44935</v>
      </c>
      <c r="C19" s="148" t="s">
        <v>87</v>
      </c>
      <c r="D19" s="148">
        <v>480</v>
      </c>
      <c r="E19" s="148">
        <v>30</v>
      </c>
      <c r="F19" s="148">
        <v>11179</v>
      </c>
      <c r="G19" s="148">
        <v>0</v>
      </c>
      <c r="H19" s="148">
        <v>29</v>
      </c>
      <c r="I19" s="148">
        <v>0</v>
      </c>
      <c r="J19" s="186">
        <v>96.67</v>
      </c>
      <c r="K19" s="148">
        <v>0</v>
      </c>
      <c r="L19" s="148">
        <v>0</v>
      </c>
      <c r="M19" s="148">
        <v>0</v>
      </c>
      <c r="N19" s="148">
        <v>0</v>
      </c>
      <c r="O19" s="148">
        <v>0</v>
      </c>
      <c r="Q19" s="148">
        <v>0</v>
      </c>
      <c r="R19" s="148">
        <v>0</v>
      </c>
      <c r="S19" s="148">
        <v>0</v>
      </c>
      <c r="T19" s="148">
        <v>0</v>
      </c>
      <c r="U19" s="148">
        <v>0</v>
      </c>
      <c r="V19" s="148">
        <v>1</v>
      </c>
      <c r="W19" s="148" t="s">
        <v>358</v>
      </c>
      <c r="X19" s="148" t="s">
        <v>359</v>
      </c>
      <c r="Y19" s="148" t="s">
        <v>360</v>
      </c>
      <c r="Z19" s="148" t="s">
        <v>290</v>
      </c>
      <c r="AA19" s="148" t="s">
        <v>290</v>
      </c>
      <c r="AB19" s="148" t="s">
        <v>290</v>
      </c>
      <c r="AC19" s="148" t="s">
        <v>290</v>
      </c>
      <c r="AD19" s="148" t="s">
        <v>290</v>
      </c>
      <c r="AE19" s="148" t="s">
        <v>290</v>
      </c>
      <c r="AF19" s="148" t="s">
        <v>290</v>
      </c>
      <c r="AG19" s="148" t="s">
        <v>290</v>
      </c>
      <c r="AH19" s="148" t="s">
        <v>290</v>
      </c>
      <c r="AI19" s="148">
        <v>29.25</v>
      </c>
      <c r="AJ19" s="148">
        <v>32.5</v>
      </c>
      <c r="AK19" s="148" t="e">
        <v>#DIV/0!</v>
      </c>
    </row>
    <row r="20" spans="1:37" x14ac:dyDescent="0.25">
      <c r="A20" s="148" t="s">
        <v>361</v>
      </c>
      <c r="B20" s="198">
        <v>44935</v>
      </c>
      <c r="C20" s="148" t="s">
        <v>54</v>
      </c>
      <c r="D20" s="148">
        <v>480</v>
      </c>
      <c r="E20" s="148">
        <v>30</v>
      </c>
      <c r="F20" s="148">
        <v>11507</v>
      </c>
      <c r="G20" s="148">
        <v>656</v>
      </c>
      <c r="H20" s="148">
        <v>30</v>
      </c>
      <c r="I20" s="148">
        <v>2</v>
      </c>
      <c r="J20" s="186">
        <v>100</v>
      </c>
      <c r="K20" s="148">
        <v>398</v>
      </c>
      <c r="L20" s="148">
        <v>0</v>
      </c>
      <c r="M20" s="148">
        <v>0</v>
      </c>
      <c r="N20" s="148">
        <v>258</v>
      </c>
      <c r="O20" s="148">
        <v>0</v>
      </c>
      <c r="Q20" s="148">
        <v>1</v>
      </c>
      <c r="R20" s="148">
        <v>0</v>
      </c>
      <c r="S20" s="148">
        <v>0</v>
      </c>
      <c r="T20" s="148">
        <v>1</v>
      </c>
      <c r="U20" s="148">
        <v>0</v>
      </c>
      <c r="V20" s="148">
        <v>0</v>
      </c>
      <c r="W20" s="148" t="s">
        <v>362</v>
      </c>
      <c r="X20" s="148" t="s">
        <v>363</v>
      </c>
      <c r="Y20" s="148" t="s">
        <v>290</v>
      </c>
      <c r="Z20" s="148" t="s">
        <v>290</v>
      </c>
      <c r="AA20" s="148" t="s">
        <v>290</v>
      </c>
      <c r="AB20" s="148" t="s">
        <v>290</v>
      </c>
      <c r="AC20" s="148" t="s">
        <v>364</v>
      </c>
      <c r="AD20" s="148" t="s">
        <v>290</v>
      </c>
      <c r="AE20" s="148" t="s">
        <v>290</v>
      </c>
      <c r="AF20" s="148" t="s">
        <v>290</v>
      </c>
      <c r="AG20" s="148" t="s">
        <v>290</v>
      </c>
      <c r="AH20" s="148" t="s">
        <v>290</v>
      </c>
      <c r="AI20" s="148">
        <v>31.950000000000003</v>
      </c>
      <c r="AJ20" s="148">
        <v>31.9</v>
      </c>
      <c r="AK20" s="148">
        <v>295</v>
      </c>
    </row>
    <row r="21" spans="1:37" x14ac:dyDescent="0.25">
      <c r="A21" s="148" t="s">
        <v>365</v>
      </c>
      <c r="B21" s="198">
        <v>44935</v>
      </c>
      <c r="C21" s="148" t="s">
        <v>89</v>
      </c>
      <c r="D21" s="148">
        <v>480</v>
      </c>
      <c r="E21" s="148">
        <v>30</v>
      </c>
      <c r="F21" s="148">
        <v>11590</v>
      </c>
      <c r="G21" s="148">
        <v>0</v>
      </c>
      <c r="H21" s="148">
        <v>30</v>
      </c>
      <c r="I21" s="148">
        <v>0</v>
      </c>
      <c r="J21" s="186">
        <v>100</v>
      </c>
      <c r="K21" s="148">
        <v>0</v>
      </c>
      <c r="L21" s="148">
        <v>0</v>
      </c>
      <c r="M21" s="148">
        <v>0</v>
      </c>
      <c r="N21" s="148">
        <v>0</v>
      </c>
      <c r="O21" s="148">
        <v>0</v>
      </c>
      <c r="Q21" s="148">
        <v>0</v>
      </c>
      <c r="R21" s="148">
        <v>0</v>
      </c>
      <c r="S21" s="148">
        <v>0</v>
      </c>
      <c r="T21" s="148">
        <v>0</v>
      </c>
      <c r="U21" s="148">
        <v>0</v>
      </c>
      <c r="V21" s="148">
        <v>0</v>
      </c>
      <c r="W21" s="148" t="s">
        <v>366</v>
      </c>
      <c r="X21" s="148" t="s">
        <v>367</v>
      </c>
      <c r="Y21" s="148" t="s">
        <v>368</v>
      </c>
      <c r="Z21" s="148" t="s">
        <v>290</v>
      </c>
      <c r="AA21" s="148" t="s">
        <v>290</v>
      </c>
      <c r="AB21" s="148" t="s">
        <v>290</v>
      </c>
      <c r="AC21" s="148" t="s">
        <v>369</v>
      </c>
      <c r="AD21" s="148" t="s">
        <v>370</v>
      </c>
      <c r="AE21" s="148" t="s">
        <v>371</v>
      </c>
      <c r="AF21" s="148" t="s">
        <v>372</v>
      </c>
      <c r="AG21" s="148" t="s">
        <v>290</v>
      </c>
      <c r="AH21" s="148" t="s">
        <v>290</v>
      </c>
      <c r="AI21" s="148">
        <v>30.166666666666668</v>
      </c>
      <c r="AJ21" s="148">
        <v>32.033333333333331</v>
      </c>
      <c r="AK21" s="148">
        <v>381.75</v>
      </c>
    </row>
    <row r="22" spans="1:37" x14ac:dyDescent="0.25">
      <c r="A22" s="148" t="s">
        <v>374</v>
      </c>
      <c r="B22" s="198">
        <v>44936</v>
      </c>
      <c r="C22" s="148" t="s">
        <v>87</v>
      </c>
      <c r="D22" s="148">
        <v>320</v>
      </c>
      <c r="E22" s="148">
        <v>20</v>
      </c>
      <c r="F22" s="148">
        <v>6877</v>
      </c>
      <c r="G22" s="148">
        <v>0</v>
      </c>
      <c r="H22" s="148">
        <v>18</v>
      </c>
      <c r="I22" s="148">
        <v>0</v>
      </c>
      <c r="J22" s="186">
        <v>90</v>
      </c>
      <c r="K22" s="148">
        <v>0</v>
      </c>
      <c r="L22" s="148">
        <v>0</v>
      </c>
      <c r="M22" s="148">
        <v>0</v>
      </c>
      <c r="N22" s="148">
        <v>0</v>
      </c>
      <c r="O22" s="148">
        <v>0</v>
      </c>
      <c r="Q22" s="148">
        <v>0</v>
      </c>
      <c r="R22" s="148">
        <v>0</v>
      </c>
      <c r="S22" s="148">
        <v>0</v>
      </c>
      <c r="T22" s="148">
        <v>0</v>
      </c>
      <c r="U22" s="148">
        <v>0</v>
      </c>
      <c r="V22" s="148">
        <v>0</v>
      </c>
      <c r="W22" s="148" t="s">
        <v>290</v>
      </c>
      <c r="X22" s="148" t="s">
        <v>290</v>
      </c>
      <c r="Y22" s="148" t="s">
        <v>290</v>
      </c>
      <c r="Z22" s="148" t="s">
        <v>290</v>
      </c>
      <c r="AA22" s="148" t="s">
        <v>290</v>
      </c>
      <c r="AB22" s="148" t="s">
        <v>290</v>
      </c>
      <c r="AC22" s="148" t="s">
        <v>290</v>
      </c>
      <c r="AD22" s="148" t="s">
        <v>290</v>
      </c>
      <c r="AE22" s="148" t="s">
        <v>290</v>
      </c>
      <c r="AF22" s="148" t="s">
        <v>290</v>
      </c>
      <c r="AG22" s="148" t="s">
        <v>290</v>
      </c>
      <c r="AH22" s="148" t="s">
        <v>290</v>
      </c>
      <c r="AI22" s="148" t="e">
        <v>#DIV/0!</v>
      </c>
      <c r="AJ22" s="148" t="e">
        <v>#DIV/0!</v>
      </c>
      <c r="AK22" s="148" t="e">
        <v>#DIV/0!</v>
      </c>
    </row>
    <row r="23" spans="1:37" x14ac:dyDescent="0.25">
      <c r="A23" s="148" t="s">
        <v>375</v>
      </c>
      <c r="B23" s="198">
        <v>44949</v>
      </c>
      <c r="C23" s="148" t="s">
        <v>90</v>
      </c>
      <c r="D23" s="148">
        <v>360</v>
      </c>
      <c r="E23" s="148">
        <v>22</v>
      </c>
      <c r="F23" s="148">
        <v>7355</v>
      </c>
      <c r="G23" s="148">
        <v>0</v>
      </c>
      <c r="H23" s="148">
        <v>19</v>
      </c>
      <c r="I23" s="148">
        <v>0</v>
      </c>
      <c r="J23" s="186">
        <v>86.36</v>
      </c>
      <c r="K23" s="148">
        <v>0</v>
      </c>
      <c r="L23" s="148">
        <v>0</v>
      </c>
      <c r="M23" s="148">
        <v>0</v>
      </c>
      <c r="N23" s="148">
        <v>0</v>
      </c>
      <c r="O23" s="148">
        <v>0</v>
      </c>
      <c r="Q23" s="148">
        <v>0</v>
      </c>
      <c r="R23" s="148">
        <v>0</v>
      </c>
      <c r="S23" s="148">
        <v>0</v>
      </c>
      <c r="T23" s="148">
        <v>0</v>
      </c>
      <c r="U23" s="148">
        <v>0</v>
      </c>
      <c r="V23" s="148">
        <v>0</v>
      </c>
      <c r="W23" s="148" t="s">
        <v>376</v>
      </c>
      <c r="X23" s="148" t="s">
        <v>290</v>
      </c>
      <c r="Y23" s="148" t="s">
        <v>290</v>
      </c>
      <c r="Z23" s="148" t="s">
        <v>290</v>
      </c>
      <c r="AA23" s="148" t="s">
        <v>290</v>
      </c>
      <c r="AB23" s="148" t="s">
        <v>290</v>
      </c>
      <c r="AC23" s="148" t="s">
        <v>290</v>
      </c>
      <c r="AD23" s="148" t="s">
        <v>290</v>
      </c>
      <c r="AE23" s="148" t="s">
        <v>290</v>
      </c>
      <c r="AF23" s="148" t="s">
        <v>290</v>
      </c>
      <c r="AG23" s="148" t="s">
        <v>290</v>
      </c>
      <c r="AH23" s="148" t="s">
        <v>290</v>
      </c>
      <c r="AI23" s="148">
        <v>29</v>
      </c>
      <c r="AJ23" s="148">
        <v>31.2</v>
      </c>
      <c r="AK23" s="148" t="e">
        <v>#DIV/0!</v>
      </c>
    </row>
    <row r="24" spans="1:37" x14ac:dyDescent="0.25">
      <c r="A24" s="148" t="s">
        <v>377</v>
      </c>
      <c r="B24" s="198">
        <v>44950</v>
      </c>
      <c r="C24" s="148" t="s">
        <v>89</v>
      </c>
      <c r="D24" s="148">
        <v>240</v>
      </c>
      <c r="E24" s="148">
        <v>15</v>
      </c>
      <c r="F24" s="148">
        <v>4657</v>
      </c>
      <c r="G24" s="148">
        <v>1267</v>
      </c>
      <c r="H24" s="148">
        <v>12</v>
      </c>
      <c r="I24" s="148">
        <v>3</v>
      </c>
      <c r="J24" s="186">
        <v>80</v>
      </c>
      <c r="K24" s="148">
        <v>1267</v>
      </c>
      <c r="L24" s="148">
        <v>0</v>
      </c>
      <c r="M24" s="148">
        <v>0</v>
      </c>
      <c r="N24" s="148">
        <v>0</v>
      </c>
      <c r="O24" s="148">
        <v>0</v>
      </c>
      <c r="Q24" s="148">
        <v>3</v>
      </c>
      <c r="R24" s="148">
        <v>0</v>
      </c>
      <c r="S24" s="148">
        <v>0</v>
      </c>
      <c r="T24" s="148">
        <v>0</v>
      </c>
      <c r="U24" s="148">
        <v>0</v>
      </c>
      <c r="V24" s="148">
        <v>0</v>
      </c>
      <c r="W24" s="148" t="s">
        <v>378</v>
      </c>
      <c r="X24" s="148" t="s">
        <v>379</v>
      </c>
      <c r="Y24" s="148" t="s">
        <v>380</v>
      </c>
      <c r="Z24" s="148" t="s">
        <v>290</v>
      </c>
      <c r="AA24" s="148" t="s">
        <v>290</v>
      </c>
      <c r="AB24" s="148" t="s">
        <v>290</v>
      </c>
      <c r="AC24" s="148" t="s">
        <v>290</v>
      </c>
      <c r="AD24" s="148" t="s">
        <v>290</v>
      </c>
      <c r="AE24" s="148" t="s">
        <v>290</v>
      </c>
      <c r="AF24" s="148" t="s">
        <v>290</v>
      </c>
      <c r="AG24" s="148" t="s">
        <v>290</v>
      </c>
      <c r="AH24" s="148" t="s">
        <v>290</v>
      </c>
      <c r="AI24" s="148">
        <v>33.950000000000003</v>
      </c>
      <c r="AJ24" s="148">
        <v>29.05</v>
      </c>
      <c r="AK24" s="148" t="e">
        <v>#DIV/0!</v>
      </c>
    </row>
    <row r="25" spans="1:37" x14ac:dyDescent="0.25">
      <c r="A25" s="148" t="s">
        <v>381</v>
      </c>
      <c r="B25" s="198">
        <v>44950</v>
      </c>
      <c r="C25" s="148" t="s">
        <v>90</v>
      </c>
      <c r="D25" s="148">
        <v>480</v>
      </c>
      <c r="E25" s="148">
        <v>30</v>
      </c>
      <c r="F25" s="148">
        <v>11259</v>
      </c>
      <c r="G25" s="148">
        <v>0</v>
      </c>
      <c r="H25" s="148">
        <v>29</v>
      </c>
      <c r="I25" s="148">
        <v>0</v>
      </c>
      <c r="J25" s="186">
        <v>96.67</v>
      </c>
      <c r="K25" s="148">
        <v>0</v>
      </c>
      <c r="L25" s="148">
        <v>0</v>
      </c>
      <c r="M25" s="148">
        <v>0</v>
      </c>
      <c r="N25" s="148">
        <v>0</v>
      </c>
      <c r="O25" s="148">
        <v>0</v>
      </c>
      <c r="Q25" s="148">
        <v>0</v>
      </c>
      <c r="R25" s="148">
        <v>0</v>
      </c>
      <c r="S25" s="148">
        <v>0</v>
      </c>
      <c r="T25" s="148">
        <v>0</v>
      </c>
      <c r="U25" s="148">
        <v>0</v>
      </c>
      <c r="V25" s="148">
        <v>0</v>
      </c>
      <c r="W25" s="148" t="s">
        <v>382</v>
      </c>
      <c r="X25" s="148" t="s">
        <v>383</v>
      </c>
      <c r="Y25" s="148" t="s">
        <v>290</v>
      </c>
      <c r="Z25" s="148" t="s">
        <v>290</v>
      </c>
      <c r="AA25" s="148" t="s">
        <v>290</v>
      </c>
      <c r="AB25" s="148" t="s">
        <v>290</v>
      </c>
      <c r="AC25" s="148" t="s">
        <v>290</v>
      </c>
      <c r="AD25" s="148" t="s">
        <v>290</v>
      </c>
      <c r="AE25" s="148" t="s">
        <v>290</v>
      </c>
      <c r="AF25" s="148" t="s">
        <v>290</v>
      </c>
      <c r="AG25" s="148" t="s">
        <v>290</v>
      </c>
      <c r="AH25" s="148" t="s">
        <v>290</v>
      </c>
      <c r="AI25" s="148">
        <v>30.85</v>
      </c>
      <c r="AJ25" s="148">
        <v>29.25</v>
      </c>
      <c r="AK25" s="148" t="e">
        <v>#DIV/0!</v>
      </c>
    </row>
    <row r="26" spans="1:37" x14ac:dyDescent="0.25">
      <c r="A26" s="148" t="s">
        <v>384</v>
      </c>
      <c r="B26" s="198">
        <v>44951</v>
      </c>
      <c r="C26" s="148" t="s">
        <v>89</v>
      </c>
      <c r="D26" s="148">
        <v>480</v>
      </c>
      <c r="E26" s="148">
        <v>30</v>
      </c>
      <c r="F26" s="148">
        <v>10058</v>
      </c>
      <c r="G26" s="148">
        <v>0</v>
      </c>
      <c r="H26" s="148">
        <v>26</v>
      </c>
      <c r="I26" s="148">
        <v>0</v>
      </c>
      <c r="J26" s="186">
        <v>86.67</v>
      </c>
      <c r="K26" s="148">
        <v>0</v>
      </c>
      <c r="L26" s="148">
        <v>0</v>
      </c>
      <c r="M26" s="148">
        <v>0</v>
      </c>
      <c r="N26" s="148">
        <v>0</v>
      </c>
      <c r="O26" s="148">
        <v>0</v>
      </c>
      <c r="Q26" s="148">
        <v>0</v>
      </c>
      <c r="R26" s="148">
        <v>0</v>
      </c>
      <c r="S26" s="148">
        <v>0</v>
      </c>
      <c r="T26" s="148">
        <v>0</v>
      </c>
      <c r="U26" s="148">
        <v>0</v>
      </c>
      <c r="V26" s="148">
        <v>1</v>
      </c>
      <c r="W26" s="148" t="s">
        <v>385</v>
      </c>
      <c r="X26" s="148" t="s">
        <v>386</v>
      </c>
      <c r="Y26" s="148" t="s">
        <v>387</v>
      </c>
      <c r="Z26" s="148" t="s">
        <v>290</v>
      </c>
      <c r="AA26" s="148" t="s">
        <v>290</v>
      </c>
      <c r="AB26" s="148" t="s">
        <v>290</v>
      </c>
      <c r="AC26" s="148" t="s">
        <v>290</v>
      </c>
      <c r="AD26" s="148" t="s">
        <v>290</v>
      </c>
      <c r="AE26" s="148" t="s">
        <v>290</v>
      </c>
      <c r="AF26" s="148" t="s">
        <v>290</v>
      </c>
      <c r="AG26" s="148" t="s">
        <v>290</v>
      </c>
      <c r="AH26" s="148" t="s">
        <v>290</v>
      </c>
      <c r="AI26" s="148">
        <v>30.900000000000002</v>
      </c>
      <c r="AJ26" s="148">
        <v>28.3</v>
      </c>
      <c r="AK26" s="148" t="e">
        <v>#DIV/0!</v>
      </c>
    </row>
    <row r="27" spans="1:37" x14ac:dyDescent="0.25">
      <c r="A27" s="148" t="s">
        <v>388</v>
      </c>
      <c r="B27" s="198">
        <v>44998</v>
      </c>
      <c r="C27" s="148" t="s">
        <v>90</v>
      </c>
      <c r="D27" s="148">
        <v>420</v>
      </c>
      <c r="E27" s="148">
        <v>26</v>
      </c>
      <c r="F27" s="148">
        <v>5603</v>
      </c>
      <c r="G27" s="148">
        <v>1600</v>
      </c>
      <c r="H27" s="148">
        <v>14</v>
      </c>
      <c r="I27" s="148">
        <v>1</v>
      </c>
      <c r="J27" s="186">
        <v>53.85</v>
      </c>
      <c r="K27" s="148">
        <v>1600</v>
      </c>
      <c r="L27" s="148">
        <v>0</v>
      </c>
      <c r="M27" s="148">
        <v>0</v>
      </c>
      <c r="N27" s="148">
        <v>0</v>
      </c>
      <c r="O27" s="148">
        <v>0</v>
      </c>
      <c r="Q27" s="148">
        <v>1</v>
      </c>
      <c r="R27" s="148">
        <v>0</v>
      </c>
      <c r="S27" s="148">
        <v>0</v>
      </c>
      <c r="T27" s="148">
        <v>0</v>
      </c>
      <c r="U27" s="148">
        <v>1</v>
      </c>
      <c r="V27" s="148">
        <v>6</v>
      </c>
      <c r="W27" s="148" t="s">
        <v>389</v>
      </c>
      <c r="X27" s="148" t="s">
        <v>290</v>
      </c>
      <c r="Y27" s="148" t="s">
        <v>290</v>
      </c>
      <c r="Z27" s="148" t="s">
        <v>290</v>
      </c>
      <c r="AA27" s="148" t="s">
        <v>290</v>
      </c>
      <c r="AB27" s="148" t="s">
        <v>290</v>
      </c>
      <c r="AC27" s="148" t="s">
        <v>290</v>
      </c>
      <c r="AD27" s="148" t="s">
        <v>290</v>
      </c>
      <c r="AE27" s="148" t="s">
        <v>290</v>
      </c>
      <c r="AF27" s="148" t="s">
        <v>290</v>
      </c>
      <c r="AG27" s="148" t="s">
        <v>290</v>
      </c>
      <c r="AH27" s="148" t="s">
        <v>290</v>
      </c>
      <c r="AI27" s="148">
        <v>34</v>
      </c>
      <c r="AJ27" s="148">
        <v>35</v>
      </c>
      <c r="AK27" s="148" t="e">
        <v>#DIV/0!</v>
      </c>
    </row>
  </sheetData>
  <dataConsolidate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AN1593"/>
  <sheetViews>
    <sheetView topLeftCell="S1" workbookViewId="0">
      <pane ySplit="1" topLeftCell="A2" activePane="bottomLeft" state="frozen"/>
      <selection activeCell="H1" sqref="H1"/>
      <selection pane="bottomLeft" activeCell="AD34" sqref="AD34"/>
    </sheetView>
  </sheetViews>
  <sheetFormatPr baseColWidth="10" defaultColWidth="11.42578125" defaultRowHeight="15" x14ac:dyDescent="0.25"/>
  <cols>
    <col min="1" max="1" width="6" style="76" bestFit="1" customWidth="1"/>
    <col min="2" max="2" width="8.85546875" style="76" bestFit="1" customWidth="1"/>
    <col min="3" max="3" width="5" style="76" bestFit="1" customWidth="1"/>
    <col min="4" max="4" width="10.140625" style="76" bestFit="1" customWidth="1"/>
    <col min="5" max="5" width="6" style="76" bestFit="1" customWidth="1"/>
    <col min="6" max="6" width="10.5703125" style="76" bestFit="1" customWidth="1"/>
    <col min="7" max="7" width="8.140625" style="76" bestFit="1" customWidth="1"/>
    <col min="8" max="8" width="4.28515625" style="76" bestFit="1" customWidth="1"/>
    <col min="9" max="9" width="6.140625" style="76" bestFit="1" customWidth="1"/>
    <col min="10" max="10" width="13.85546875" style="76" bestFit="1" customWidth="1"/>
    <col min="11" max="11" width="9.7109375" style="76" bestFit="1" customWidth="1"/>
    <col min="12" max="12" width="28.5703125" style="76" bestFit="1" customWidth="1"/>
    <col min="13" max="13" width="6.140625" style="76" bestFit="1" customWidth="1"/>
    <col min="14" max="14" width="8.140625" style="76" bestFit="1" customWidth="1"/>
    <col min="15" max="15" width="15.7109375" style="76" bestFit="1" customWidth="1"/>
    <col min="16" max="16" width="17" style="80" bestFit="1" customWidth="1"/>
    <col min="17" max="17" width="28.5703125" style="73" bestFit="1" customWidth="1"/>
    <col min="18" max="18" width="10.7109375" style="80" hidden="1" customWidth="1"/>
    <col min="19" max="19" width="10.42578125" style="74" bestFit="1" customWidth="1"/>
    <col min="20" max="20" width="8.7109375" style="74" customWidth="1"/>
    <col min="21" max="22" width="4" style="74" hidden="1" customWidth="1"/>
    <col min="23" max="23" width="10" style="74" hidden="1" customWidth="1"/>
    <col min="24" max="25" width="4" style="74" bestFit="1" customWidth="1"/>
    <col min="26" max="26" width="10" style="74" bestFit="1" customWidth="1"/>
    <col min="27" max="27" width="13.7109375" style="74" bestFit="1" customWidth="1"/>
    <col min="28" max="28" width="3.28515625" style="74" hidden="1" customWidth="1"/>
    <col min="29" max="30" width="9" style="74" bestFit="1" customWidth="1"/>
    <col min="31" max="31" width="12.7109375" style="74" bestFit="1" customWidth="1"/>
    <col min="32" max="32" width="2" style="91" customWidth="1"/>
    <col min="33" max="33" width="28.5703125" style="74" bestFit="1" customWidth="1"/>
    <col min="34" max="34" width="3" style="80" bestFit="1" customWidth="1"/>
    <col min="35" max="35" width="10.42578125" style="80" bestFit="1" customWidth="1"/>
    <col min="36" max="36" width="4" style="80" bestFit="1" customWidth="1"/>
    <col min="37" max="38" width="4" style="74" bestFit="1" customWidth="1"/>
    <col min="39" max="39" width="6.42578125" style="74" bestFit="1" customWidth="1"/>
    <col min="40" max="40" width="5.7109375" style="74" bestFit="1" customWidth="1"/>
    <col min="41" max="16384" width="11.42578125" style="61"/>
  </cols>
  <sheetData>
    <row r="1" spans="1:40" s="67" customFormat="1" ht="15.75" x14ac:dyDescent="0.25">
      <c r="A1" s="75" t="s">
        <v>1</v>
      </c>
      <c r="B1" s="75" t="s">
        <v>44</v>
      </c>
      <c r="C1" s="75" t="s">
        <v>55</v>
      </c>
      <c r="D1" s="75" t="s">
        <v>45</v>
      </c>
      <c r="E1" s="75" t="s">
        <v>46</v>
      </c>
      <c r="F1" s="75" t="s">
        <v>47</v>
      </c>
      <c r="G1" s="75" t="s">
        <v>48</v>
      </c>
      <c r="H1" s="75" t="s">
        <v>49</v>
      </c>
      <c r="I1" s="75" t="s">
        <v>51</v>
      </c>
      <c r="J1" s="75" t="s">
        <v>3</v>
      </c>
      <c r="K1" s="75" t="s">
        <v>52</v>
      </c>
      <c r="L1" s="75" t="s">
        <v>53</v>
      </c>
      <c r="M1" s="75" t="s">
        <v>2</v>
      </c>
      <c r="N1" s="75" t="s">
        <v>49</v>
      </c>
      <c r="O1" s="75" t="s">
        <v>50</v>
      </c>
      <c r="P1" s="79" t="s">
        <v>193</v>
      </c>
      <c r="Q1" s="69"/>
      <c r="R1" s="79"/>
      <c r="S1" s="70"/>
      <c r="T1" s="71"/>
      <c r="U1" s="71"/>
      <c r="V1" s="71"/>
      <c r="W1" s="71"/>
      <c r="X1" s="71" t="s">
        <v>189</v>
      </c>
      <c r="Y1" s="71" t="s">
        <v>190</v>
      </c>
      <c r="Z1" s="71" t="s">
        <v>191</v>
      </c>
      <c r="AA1" s="71" t="s">
        <v>192</v>
      </c>
      <c r="AB1" s="71"/>
      <c r="AC1" s="71" t="s">
        <v>194</v>
      </c>
      <c r="AD1" s="71" t="s">
        <v>195</v>
      </c>
      <c r="AE1" s="71" t="s">
        <v>227</v>
      </c>
      <c r="AF1" s="90"/>
      <c r="AG1" s="71"/>
      <c r="AH1" s="256"/>
      <c r="AI1" s="256"/>
      <c r="AJ1" s="92"/>
      <c r="AK1" s="69"/>
      <c r="AL1" s="69"/>
      <c r="AM1" s="70"/>
      <c r="AN1" s="70"/>
    </row>
    <row r="2" spans="1:40" x14ac:dyDescent="0.25">
      <c r="A2" s="76" t="s">
        <v>84</v>
      </c>
      <c r="U2" s="74" t="s">
        <v>189</v>
      </c>
      <c r="V2" s="74" t="s">
        <v>190</v>
      </c>
      <c r="W2" s="74" t="s">
        <v>191</v>
      </c>
    </row>
    <row r="3" spans="1:40" x14ac:dyDescent="0.25">
      <c r="A3" s="76">
        <v>44905</v>
      </c>
      <c r="B3" s="76" t="s">
        <v>92</v>
      </c>
      <c r="D3" s="76" t="s">
        <v>156</v>
      </c>
      <c r="E3" s="76">
        <v>384</v>
      </c>
      <c r="F3" s="76" t="s">
        <v>27</v>
      </c>
      <c r="G3" s="76" t="b">
        <v>0</v>
      </c>
      <c r="J3" s="76" t="s">
        <v>54</v>
      </c>
      <c r="K3" s="76">
        <v>344</v>
      </c>
      <c r="L3" s="76" t="s">
        <v>91</v>
      </c>
      <c r="M3" s="76" t="s">
        <v>93</v>
      </c>
      <c r="Q3" s="73" t="str">
        <f>IF(C3&lt;&gt;"",IF(L3&lt;&gt;"",L3,""),"")</f>
        <v/>
      </c>
      <c r="R3" s="80" t="str">
        <f>IF(Q3&lt;&gt;"",COUNTIF(Q$2:Q3,Q3),"")</f>
        <v/>
      </c>
      <c r="S3" s="73" t="str">
        <f>IF(Q3&lt;&gt;"",D3,"")</f>
        <v/>
      </c>
      <c r="T3" s="74" t="str">
        <f>IF(Q3&lt;&gt;"",E3,"")</f>
        <v/>
      </c>
      <c r="U3" s="74" t="str">
        <f>IF(Q3&lt;&gt;"",IFERROR(SUBSTITUTE(LEFT(N3,FIND(";",N3)),";",""),""),"")</f>
        <v/>
      </c>
      <c r="V3" s="74" t="str">
        <f>IF(Q3&lt;&gt;"",IFERROR(SUBSTITUTE(RIGHT(N3,FIND(";",N3)),";",""),""),"")</f>
        <v/>
      </c>
      <c r="W3" s="74" t="str">
        <f>IF(R3&lt;&gt;"",IFERROR(SUBSTITUTE(LEFT(O3,FIND(";",O3)),";",""),""),"")</f>
        <v/>
      </c>
      <c r="X3" s="74" t="str">
        <f>IF(U3&lt;&gt;"",_xlfn.NUMBERVALUE(U3),"")</f>
        <v/>
      </c>
      <c r="Y3" s="74" t="str">
        <f>IF(V3&lt;&gt;"",_xlfn.NUMBERVALUE(V3),"")</f>
        <v/>
      </c>
      <c r="Z3" s="74" t="str">
        <f>IF(W3&lt;&gt;"",_xlfn.NUMBERVALUE(W3),"")</f>
        <v/>
      </c>
      <c r="AA3" s="74" t="str">
        <f>IF(O3&lt;&gt;"",IFERROR(IF(FIND("OK",O3)&gt;0,TRUE),FALSE),"")</f>
        <v/>
      </c>
      <c r="AC3" s="74" t="str">
        <f>IF(X3&lt;&gt;"",IF(AND(X3&lt;39,X3&gt;25),TRUE,FALSE),"")</f>
        <v/>
      </c>
      <c r="AD3" s="74" t="str">
        <f>IF(Y3&lt;&gt;"",IF(AND(Y3&lt;39,Y3&gt;25),TRUE,FALSE),"")</f>
        <v/>
      </c>
      <c r="AE3" s="74" t="str">
        <f>IF(OR(AA3=FALSE,AC3=FALSE,AD3=FALSE),FALSE,"")</f>
        <v/>
      </c>
      <c r="AF3" s="91" t="str">
        <f>IF(AE3&lt;&gt;"",COUNTIF(AE$3:AE3,FALSE),"")</f>
        <v/>
      </c>
      <c r="AG3" s="73" t="str">
        <f>Q3</f>
        <v/>
      </c>
      <c r="AH3" s="80" t="str">
        <f>R3</f>
        <v/>
      </c>
      <c r="AI3" s="80" t="str">
        <f>S3</f>
        <v/>
      </c>
      <c r="AJ3" s="80" t="str">
        <f>T3</f>
        <v/>
      </c>
      <c r="AK3" s="73" t="s">
        <v>189</v>
      </c>
      <c r="AL3" s="73" t="s">
        <v>190</v>
      </c>
      <c r="AM3" s="73" t="s">
        <v>229</v>
      </c>
      <c r="AN3" s="73" t="s">
        <v>228</v>
      </c>
    </row>
    <row r="4" spans="1:40" x14ac:dyDescent="0.25">
      <c r="A4" s="76">
        <v>44905</v>
      </c>
      <c r="B4" s="76" t="s">
        <v>92</v>
      </c>
      <c r="C4" s="76">
        <v>1</v>
      </c>
      <c r="D4" s="76" t="s">
        <v>157</v>
      </c>
      <c r="E4" s="76">
        <v>384</v>
      </c>
      <c r="G4" s="76" t="b">
        <v>1</v>
      </c>
      <c r="J4" s="76" t="s">
        <v>54</v>
      </c>
      <c r="K4" s="76">
        <v>344</v>
      </c>
      <c r="L4" s="76" t="s">
        <v>91</v>
      </c>
      <c r="M4" s="76" t="s">
        <v>93</v>
      </c>
      <c r="Q4" s="73" t="str">
        <f t="shared" ref="Q4:Q67" si="0">IF(C4&lt;&gt;"",IF(L4&lt;&gt;"",L4,""),"")</f>
        <v>44905;Matin;Nicolas B.</v>
      </c>
      <c r="R4" s="80">
        <f>IF(Q4&lt;&gt;"",COUNTIF(Q$2:Q4,Q4),"")</f>
        <v>1</v>
      </c>
      <c r="S4" s="73" t="str">
        <f t="shared" ref="S4:S67" si="1">IF(Q4&lt;&gt;"",D4,"")</f>
        <v>344;F;1;M</v>
      </c>
      <c r="T4" s="74">
        <f t="shared" ref="T4:T67" si="2">IF(Q4&lt;&gt;"",E4,"")</f>
        <v>384</v>
      </c>
      <c r="U4" s="74" t="str">
        <f t="shared" ref="U4:U67" si="3">IF(Q4&lt;&gt;"",IFERROR(SUBSTITUTE(LEFT(N4,FIND(";",N4)),";",""),""),"")</f>
        <v/>
      </c>
      <c r="V4" s="74" t="str">
        <f t="shared" ref="V4:V67" si="4">IF(Q4&lt;&gt;"",IFERROR(SUBSTITUTE(RIGHT(N4,FIND(";",N4)),";",""),""),"")</f>
        <v/>
      </c>
      <c r="W4" s="74" t="str">
        <f t="shared" ref="W4:W67" si="5">IF(R4&lt;&gt;"",IFERROR(SUBSTITUTE(LEFT(O4,FIND(";",O4)),";",""),""),"")</f>
        <v/>
      </c>
      <c r="X4" s="74" t="str">
        <f t="shared" ref="X4:X67" si="6">IF(U4&lt;&gt;"",_xlfn.NUMBERVALUE(U4),"")</f>
        <v/>
      </c>
      <c r="Y4" s="74" t="str">
        <f t="shared" ref="Y4:Y67" si="7">IF(V4&lt;&gt;"",_xlfn.NUMBERVALUE(V4),"")</f>
        <v/>
      </c>
      <c r="Z4" s="74" t="str">
        <f t="shared" ref="Z4:Z67" si="8">IF(W4&lt;&gt;"",_xlfn.NUMBERVALUE(W4),"")</f>
        <v/>
      </c>
      <c r="AA4" s="74" t="str">
        <f t="shared" ref="AA4:AA61" si="9">IF(O4&lt;&gt;"",IFERROR(IF(FIND("OK",O4)&gt;0,TRUE),FALSE),"")</f>
        <v/>
      </c>
      <c r="AC4" s="74" t="str">
        <f t="shared" ref="AC4:AC61" si="10">IF(X4&lt;&gt;"",IF(AND(X4&lt;39,X4&gt;25),TRUE,FALSE),"")</f>
        <v/>
      </c>
      <c r="AD4" s="74" t="str">
        <f t="shared" ref="AD4:AD61" si="11">IF(Y4&lt;&gt;"",IF(AND(Y4&lt;39,Y4&gt;25),TRUE,FALSE),"")</f>
        <v/>
      </c>
      <c r="AE4" s="74" t="str">
        <f>IF(OR(AA4=FALSE,AC4=FALSE,AD4=FALSE),FALSE,"")</f>
        <v/>
      </c>
      <c r="AF4" s="91" t="str">
        <f>IF(AE4&lt;&gt;"",COUNTIF(AE$3:AE4,FALSE),"")</f>
        <v/>
      </c>
      <c r="AG4" s="73" t="str">
        <f t="shared" ref="AG4:AG67" si="12">Q4</f>
        <v>44905;Matin;Nicolas B.</v>
      </c>
      <c r="AH4" s="80">
        <f t="shared" ref="AH4:AM4" si="13">R4</f>
        <v>1</v>
      </c>
      <c r="AI4" s="80" t="str">
        <f t="shared" si="13"/>
        <v>344;F;1;M</v>
      </c>
      <c r="AJ4" s="80">
        <f t="shared" si="13"/>
        <v>384</v>
      </c>
      <c r="AK4" s="80" t="str">
        <f t="shared" si="13"/>
        <v/>
      </c>
      <c r="AL4" s="80" t="str">
        <f t="shared" si="13"/>
        <v/>
      </c>
      <c r="AM4" s="80" t="str">
        <f t="shared" si="13"/>
        <v/>
      </c>
      <c r="AN4" s="73" t="str">
        <f>AA4</f>
        <v/>
      </c>
    </row>
    <row r="5" spans="1:40" x14ac:dyDescent="0.25">
      <c r="A5" s="76">
        <v>44905</v>
      </c>
      <c r="B5" s="76" t="s">
        <v>92</v>
      </c>
      <c r="C5" s="76">
        <v>2</v>
      </c>
      <c r="D5" s="76" t="s">
        <v>158</v>
      </c>
      <c r="E5" s="76">
        <v>384</v>
      </c>
      <c r="G5" s="76" t="b">
        <v>1</v>
      </c>
      <c r="J5" s="76" t="s">
        <v>54</v>
      </c>
      <c r="K5" s="76">
        <v>344</v>
      </c>
      <c r="L5" s="76" t="s">
        <v>91</v>
      </c>
      <c r="M5" s="76" t="s">
        <v>93</v>
      </c>
      <c r="Q5" s="73" t="str">
        <f t="shared" si="0"/>
        <v>44905;Matin;Nicolas B.</v>
      </c>
      <c r="R5" s="80">
        <f>IF(Q5&lt;&gt;"",COUNTIF(Q$2:Q5,Q5),"")</f>
        <v>2</v>
      </c>
      <c r="S5" s="73" t="str">
        <f t="shared" si="1"/>
        <v>344;F;2;M</v>
      </c>
      <c r="T5" s="74">
        <f t="shared" si="2"/>
        <v>384</v>
      </c>
      <c r="U5" s="74" t="str">
        <f t="shared" si="3"/>
        <v/>
      </c>
      <c r="V5" s="74" t="str">
        <f t="shared" si="4"/>
        <v/>
      </c>
      <c r="W5" s="74" t="str">
        <f t="shared" si="5"/>
        <v/>
      </c>
      <c r="X5" s="74" t="str">
        <f t="shared" si="6"/>
        <v/>
      </c>
      <c r="Y5" s="74" t="str">
        <f t="shared" si="7"/>
        <v/>
      </c>
      <c r="Z5" s="74" t="str">
        <f t="shared" si="8"/>
        <v/>
      </c>
      <c r="AA5" s="74" t="str">
        <f t="shared" si="9"/>
        <v/>
      </c>
      <c r="AC5" s="74" t="str">
        <f t="shared" si="10"/>
        <v/>
      </c>
      <c r="AD5" s="74" t="str">
        <f t="shared" si="11"/>
        <v/>
      </c>
      <c r="AE5" s="74" t="str">
        <f t="shared" ref="AE5:AE61" si="14">IF(OR(AA5=FALSE,AC5=FALSE,AD5=FALSE),FALSE,"")</f>
        <v/>
      </c>
      <c r="AF5" s="91" t="str">
        <f>IF(AE5&lt;&gt;"",COUNTIF(AE$3:AE5,FALSE),"")</f>
        <v/>
      </c>
      <c r="AG5" s="73" t="str">
        <f t="shared" si="12"/>
        <v>44905;Matin;Nicolas B.</v>
      </c>
      <c r="AH5" s="80">
        <f t="shared" ref="AH5:AH68" si="15">R5</f>
        <v>2</v>
      </c>
      <c r="AI5" s="80" t="str">
        <f t="shared" ref="AI5:AI68" si="16">S5</f>
        <v>344;F;2;M</v>
      </c>
      <c r="AJ5" s="80">
        <f t="shared" ref="AJ5:AJ68" si="17">T5</f>
        <v>384</v>
      </c>
      <c r="AK5" s="80" t="str">
        <f t="shared" ref="AK5:AK68" si="18">U5</f>
        <v/>
      </c>
      <c r="AL5" s="80" t="str">
        <f t="shared" ref="AL5:AL68" si="19">V5</f>
        <v/>
      </c>
      <c r="AM5" s="80" t="str">
        <f t="shared" ref="AM5:AM68" si="20">W5</f>
        <v/>
      </c>
      <c r="AN5" s="73" t="str">
        <f t="shared" ref="AN5:AN68" si="21">AA5</f>
        <v/>
      </c>
    </row>
    <row r="6" spans="1:40" x14ac:dyDescent="0.25">
      <c r="A6" s="76">
        <v>44905</v>
      </c>
      <c r="B6" s="76" t="s">
        <v>92</v>
      </c>
      <c r="C6" s="76">
        <v>3</v>
      </c>
      <c r="D6" s="76" t="s">
        <v>159</v>
      </c>
      <c r="E6" s="76">
        <v>384</v>
      </c>
      <c r="G6" s="76" t="b">
        <v>1</v>
      </c>
      <c r="J6" s="76" t="s">
        <v>54</v>
      </c>
      <c r="K6" s="76">
        <v>344</v>
      </c>
      <c r="L6" s="76" t="s">
        <v>91</v>
      </c>
      <c r="M6" s="76" t="s">
        <v>93</v>
      </c>
      <c r="O6" s="76" t="s">
        <v>138</v>
      </c>
      <c r="Q6" s="73" t="str">
        <f t="shared" si="0"/>
        <v>44905;Matin;Nicolas B.</v>
      </c>
      <c r="R6" s="80">
        <f>IF(Q6&lt;&gt;"",COUNTIF(Q$2:Q6,Q6),"")</f>
        <v>3</v>
      </c>
      <c r="S6" s="73" t="str">
        <f t="shared" si="1"/>
        <v>344;F;3;M</v>
      </c>
      <c r="T6" s="74">
        <f t="shared" si="2"/>
        <v>384</v>
      </c>
      <c r="U6" s="74" t="str">
        <f t="shared" si="3"/>
        <v/>
      </c>
      <c r="V6" s="74" t="str">
        <f t="shared" si="4"/>
        <v/>
      </c>
      <c r="W6" s="74" t="str">
        <f t="shared" si="5"/>
        <v>298</v>
      </c>
      <c r="X6" s="74" t="str">
        <f t="shared" si="6"/>
        <v/>
      </c>
      <c r="Y6" s="74" t="str">
        <f t="shared" si="7"/>
        <v/>
      </c>
      <c r="Z6" s="74">
        <f t="shared" si="8"/>
        <v>298</v>
      </c>
      <c r="AA6" s="74" t="b">
        <f t="shared" si="9"/>
        <v>0</v>
      </c>
      <c r="AC6" s="74" t="str">
        <f t="shared" si="10"/>
        <v/>
      </c>
      <c r="AD6" s="74" t="str">
        <f t="shared" si="11"/>
        <v/>
      </c>
      <c r="AE6" s="74" t="b">
        <f t="shared" si="14"/>
        <v>0</v>
      </c>
      <c r="AF6" s="91">
        <f>IF(AE6&lt;&gt;"",COUNTIF(AE$3:AE6,FALSE),"")</f>
        <v>1</v>
      </c>
      <c r="AG6" s="73" t="str">
        <f t="shared" si="12"/>
        <v>44905;Matin;Nicolas B.</v>
      </c>
      <c r="AH6" s="80">
        <f t="shared" si="15"/>
        <v>3</v>
      </c>
      <c r="AI6" s="80" t="str">
        <f t="shared" si="16"/>
        <v>344;F;3;M</v>
      </c>
      <c r="AJ6" s="80">
        <f t="shared" si="17"/>
        <v>384</v>
      </c>
      <c r="AK6" s="80" t="str">
        <f t="shared" si="18"/>
        <v/>
      </c>
      <c r="AL6" s="80" t="str">
        <f t="shared" si="19"/>
        <v/>
      </c>
      <c r="AM6" s="80" t="str">
        <f t="shared" si="20"/>
        <v>298</v>
      </c>
      <c r="AN6" s="73" t="b">
        <f t="shared" si="21"/>
        <v>0</v>
      </c>
    </row>
    <row r="7" spans="1:40" x14ac:dyDescent="0.25">
      <c r="A7" s="76">
        <v>44905</v>
      </c>
      <c r="B7" s="76" t="s">
        <v>92</v>
      </c>
      <c r="C7" s="76">
        <v>4</v>
      </c>
      <c r="D7" s="76" t="s">
        <v>160</v>
      </c>
      <c r="E7" s="76">
        <v>384</v>
      </c>
      <c r="G7" s="76" t="b">
        <v>1</v>
      </c>
      <c r="J7" s="76" t="s">
        <v>54</v>
      </c>
      <c r="K7" s="76">
        <v>344</v>
      </c>
      <c r="L7" s="76" t="s">
        <v>91</v>
      </c>
      <c r="M7" s="76" t="s">
        <v>93</v>
      </c>
      <c r="N7" s="76" t="s">
        <v>154</v>
      </c>
      <c r="O7" s="76" t="s">
        <v>139</v>
      </c>
      <c r="Q7" s="73" t="str">
        <f t="shared" si="0"/>
        <v>44905;Matin;Nicolas B.</v>
      </c>
      <c r="R7" s="80">
        <f>IF(Q7&lt;&gt;"",COUNTIF(Q$2:Q7,Q7),"")</f>
        <v>4</v>
      </c>
      <c r="S7" s="73" t="str">
        <f t="shared" si="1"/>
        <v>344;F;4;M</v>
      </c>
      <c r="T7" s="74">
        <f t="shared" si="2"/>
        <v>384</v>
      </c>
      <c r="U7" s="74" t="str">
        <f t="shared" si="3"/>
        <v>32</v>
      </c>
      <c r="V7" s="74" t="str">
        <f t="shared" si="4"/>
        <v>31</v>
      </c>
      <c r="W7" s="74" t="str">
        <f t="shared" si="5"/>
        <v>301</v>
      </c>
      <c r="X7" s="74">
        <f t="shared" si="6"/>
        <v>32</v>
      </c>
      <c r="Y7" s="74">
        <f t="shared" si="7"/>
        <v>31</v>
      </c>
      <c r="Z7" s="74">
        <f t="shared" si="8"/>
        <v>301</v>
      </c>
      <c r="AA7" s="74" t="b">
        <f t="shared" si="9"/>
        <v>0</v>
      </c>
      <c r="AC7" s="74" t="b">
        <f t="shared" si="10"/>
        <v>1</v>
      </c>
      <c r="AD7" s="74" t="b">
        <f t="shared" si="11"/>
        <v>1</v>
      </c>
      <c r="AE7" s="74" t="b">
        <f t="shared" si="14"/>
        <v>0</v>
      </c>
      <c r="AF7" s="91">
        <f>IF(AE7&lt;&gt;"",COUNTIF(AE$3:AE7,FALSE),"")</f>
        <v>2</v>
      </c>
      <c r="AG7" s="73" t="str">
        <f t="shared" si="12"/>
        <v>44905;Matin;Nicolas B.</v>
      </c>
      <c r="AH7" s="80">
        <f t="shared" si="15"/>
        <v>4</v>
      </c>
      <c r="AI7" s="80" t="str">
        <f t="shared" si="16"/>
        <v>344;F;4;M</v>
      </c>
      <c r="AJ7" s="80">
        <f t="shared" si="17"/>
        <v>384</v>
      </c>
      <c r="AK7" s="80" t="str">
        <f t="shared" si="18"/>
        <v>32</v>
      </c>
      <c r="AL7" s="80" t="str">
        <f t="shared" si="19"/>
        <v>31</v>
      </c>
      <c r="AM7" s="80" t="str">
        <f t="shared" si="20"/>
        <v>301</v>
      </c>
      <c r="AN7" s="73" t="b">
        <f t="shared" si="21"/>
        <v>0</v>
      </c>
    </row>
    <row r="8" spans="1:40" x14ac:dyDescent="0.25">
      <c r="A8" s="76">
        <v>44905</v>
      </c>
      <c r="B8" s="76" t="s">
        <v>92</v>
      </c>
      <c r="D8" s="76" t="s">
        <v>156</v>
      </c>
      <c r="E8" s="76">
        <v>258</v>
      </c>
      <c r="F8" s="76" t="s">
        <v>14</v>
      </c>
      <c r="G8" s="76" t="b">
        <v>0</v>
      </c>
      <c r="J8" s="76" t="s">
        <v>54</v>
      </c>
      <c r="K8" s="76">
        <v>344</v>
      </c>
      <c r="L8" s="76" t="s">
        <v>91</v>
      </c>
      <c r="M8" s="76" t="s">
        <v>93</v>
      </c>
      <c r="Q8" s="73" t="str">
        <f t="shared" si="0"/>
        <v/>
      </c>
      <c r="R8" s="80" t="str">
        <f>IF(Q8&lt;&gt;"",COUNTIF(Q$2:Q8,Q8),"")</f>
        <v/>
      </c>
      <c r="S8" s="73" t="str">
        <f t="shared" si="1"/>
        <v/>
      </c>
      <c r="T8" s="74" t="str">
        <f t="shared" si="2"/>
        <v/>
      </c>
      <c r="U8" s="74" t="str">
        <f t="shared" si="3"/>
        <v/>
      </c>
      <c r="V8" s="74" t="str">
        <f t="shared" si="4"/>
        <v/>
      </c>
      <c r="W8" s="74" t="str">
        <f t="shared" si="5"/>
        <v/>
      </c>
      <c r="X8" s="74" t="str">
        <f t="shared" si="6"/>
        <v/>
      </c>
      <c r="Y8" s="74" t="str">
        <f t="shared" si="7"/>
        <v/>
      </c>
      <c r="Z8" s="74" t="str">
        <f t="shared" si="8"/>
        <v/>
      </c>
      <c r="AA8" s="74" t="str">
        <f t="shared" si="9"/>
        <v/>
      </c>
      <c r="AC8" s="74" t="str">
        <f t="shared" si="10"/>
        <v/>
      </c>
      <c r="AD8" s="74" t="str">
        <f t="shared" si="11"/>
        <v/>
      </c>
      <c r="AE8" s="74" t="str">
        <f t="shared" si="14"/>
        <v/>
      </c>
      <c r="AF8" s="91" t="str">
        <f>IF(AE8&lt;&gt;"",COUNTIF(AE$3:AE8,FALSE),"")</f>
        <v/>
      </c>
      <c r="AG8" s="73" t="str">
        <f t="shared" si="12"/>
        <v/>
      </c>
      <c r="AH8" s="80" t="str">
        <f t="shared" si="15"/>
        <v/>
      </c>
      <c r="AI8" s="80" t="str">
        <f t="shared" si="16"/>
        <v/>
      </c>
      <c r="AJ8" s="80" t="str">
        <f t="shared" si="17"/>
        <v/>
      </c>
      <c r="AK8" s="80" t="str">
        <f t="shared" si="18"/>
        <v/>
      </c>
      <c r="AL8" s="80" t="str">
        <f t="shared" si="19"/>
        <v/>
      </c>
      <c r="AM8" s="80" t="str">
        <f t="shared" si="20"/>
        <v/>
      </c>
      <c r="AN8" s="73" t="str">
        <f t="shared" si="21"/>
        <v/>
      </c>
    </row>
    <row r="9" spans="1:40" x14ac:dyDescent="0.25">
      <c r="A9" s="76">
        <v>44905</v>
      </c>
      <c r="B9" s="76" t="s">
        <v>92</v>
      </c>
      <c r="C9" s="76">
        <v>5</v>
      </c>
      <c r="D9" s="76" t="s">
        <v>161</v>
      </c>
      <c r="E9" s="76">
        <v>384</v>
      </c>
      <c r="G9" s="76" t="b">
        <v>1</v>
      </c>
      <c r="J9" s="76" t="s">
        <v>54</v>
      </c>
      <c r="K9" s="76">
        <v>344</v>
      </c>
      <c r="L9" s="76" t="s">
        <v>91</v>
      </c>
      <c r="M9" s="76" t="s">
        <v>93</v>
      </c>
      <c r="Q9" s="73" t="str">
        <f t="shared" si="0"/>
        <v>44905;Matin;Nicolas B.</v>
      </c>
      <c r="R9" s="80">
        <f>IF(Q9&lt;&gt;"",COUNTIF(Q$2:Q9,Q9),"")</f>
        <v>5</v>
      </c>
      <c r="S9" s="73" t="str">
        <f t="shared" si="1"/>
        <v>344;F;5;M</v>
      </c>
      <c r="T9" s="74">
        <f t="shared" si="2"/>
        <v>384</v>
      </c>
      <c r="U9" s="74" t="str">
        <f t="shared" si="3"/>
        <v/>
      </c>
      <c r="V9" s="74" t="str">
        <f t="shared" si="4"/>
        <v/>
      </c>
      <c r="W9" s="74" t="str">
        <f t="shared" si="5"/>
        <v/>
      </c>
      <c r="X9" s="74" t="str">
        <f t="shared" si="6"/>
        <v/>
      </c>
      <c r="Y9" s="74" t="str">
        <f t="shared" si="7"/>
        <v/>
      </c>
      <c r="Z9" s="74" t="str">
        <f t="shared" si="8"/>
        <v/>
      </c>
      <c r="AA9" s="74" t="str">
        <f t="shared" si="9"/>
        <v/>
      </c>
      <c r="AC9" s="74" t="str">
        <f t="shared" si="10"/>
        <v/>
      </c>
      <c r="AD9" s="74" t="str">
        <f t="shared" si="11"/>
        <v/>
      </c>
      <c r="AE9" s="74" t="str">
        <f t="shared" si="14"/>
        <v/>
      </c>
      <c r="AF9" s="91" t="str">
        <f>IF(AE9&lt;&gt;"",COUNTIF(AE$3:AE9,FALSE),"")</f>
        <v/>
      </c>
      <c r="AG9" s="73" t="str">
        <f t="shared" si="12"/>
        <v>44905;Matin;Nicolas B.</v>
      </c>
      <c r="AH9" s="80">
        <f t="shared" si="15"/>
        <v>5</v>
      </c>
      <c r="AI9" s="80" t="str">
        <f t="shared" si="16"/>
        <v>344;F;5;M</v>
      </c>
      <c r="AJ9" s="80">
        <f t="shared" si="17"/>
        <v>384</v>
      </c>
      <c r="AK9" s="80" t="str">
        <f t="shared" si="18"/>
        <v/>
      </c>
      <c r="AL9" s="80" t="str">
        <f t="shared" si="19"/>
        <v/>
      </c>
      <c r="AM9" s="80" t="str">
        <f t="shared" si="20"/>
        <v/>
      </c>
      <c r="AN9" s="73" t="str">
        <f t="shared" si="21"/>
        <v/>
      </c>
    </row>
    <row r="10" spans="1:40" x14ac:dyDescent="0.25">
      <c r="A10" s="76">
        <v>44905</v>
      </c>
      <c r="B10" s="76" t="s">
        <v>92</v>
      </c>
      <c r="C10" s="76">
        <v>6</v>
      </c>
      <c r="D10" s="76" t="s">
        <v>162</v>
      </c>
      <c r="E10" s="76">
        <v>384</v>
      </c>
      <c r="G10" s="76" t="b">
        <v>1</v>
      </c>
      <c r="J10" s="76" t="s">
        <v>54</v>
      </c>
      <c r="K10" s="76">
        <v>344</v>
      </c>
      <c r="L10" s="76" t="s">
        <v>91</v>
      </c>
      <c r="M10" s="76" t="s">
        <v>93</v>
      </c>
      <c r="Q10" s="73" t="str">
        <f t="shared" si="0"/>
        <v>44905;Matin;Nicolas B.</v>
      </c>
      <c r="R10" s="80">
        <f>IF(Q10&lt;&gt;"",COUNTIF(Q$2:Q10,Q10),"")</f>
        <v>6</v>
      </c>
      <c r="S10" s="73" t="str">
        <f t="shared" si="1"/>
        <v>344;F;6;M</v>
      </c>
      <c r="T10" s="74">
        <f t="shared" si="2"/>
        <v>384</v>
      </c>
      <c r="U10" s="74" t="str">
        <f t="shared" si="3"/>
        <v/>
      </c>
      <c r="V10" s="74" t="str">
        <f t="shared" si="4"/>
        <v/>
      </c>
      <c r="W10" s="74" t="str">
        <f t="shared" si="5"/>
        <v/>
      </c>
      <c r="X10" s="74" t="str">
        <f t="shared" si="6"/>
        <v/>
      </c>
      <c r="Y10" s="74" t="str">
        <f t="shared" si="7"/>
        <v/>
      </c>
      <c r="Z10" s="74" t="str">
        <f t="shared" si="8"/>
        <v/>
      </c>
      <c r="AA10" s="74" t="str">
        <f t="shared" si="9"/>
        <v/>
      </c>
      <c r="AC10" s="74" t="str">
        <f t="shared" si="10"/>
        <v/>
      </c>
      <c r="AD10" s="74" t="str">
        <f t="shared" si="11"/>
        <v/>
      </c>
      <c r="AE10" s="74" t="str">
        <f t="shared" si="14"/>
        <v/>
      </c>
      <c r="AF10" s="91" t="str">
        <f>IF(AE10&lt;&gt;"",COUNTIF(AE$3:AE10,FALSE),"")</f>
        <v/>
      </c>
      <c r="AG10" s="73" t="str">
        <f t="shared" si="12"/>
        <v>44905;Matin;Nicolas B.</v>
      </c>
      <c r="AH10" s="80">
        <f t="shared" si="15"/>
        <v>6</v>
      </c>
      <c r="AI10" s="80" t="str">
        <f t="shared" si="16"/>
        <v>344;F;6;M</v>
      </c>
      <c r="AJ10" s="80">
        <f t="shared" si="17"/>
        <v>384</v>
      </c>
      <c r="AK10" s="80" t="str">
        <f t="shared" si="18"/>
        <v/>
      </c>
      <c r="AL10" s="80" t="str">
        <f t="shared" si="19"/>
        <v/>
      </c>
      <c r="AM10" s="80" t="str">
        <f t="shared" si="20"/>
        <v/>
      </c>
      <c r="AN10" s="73" t="str">
        <f t="shared" si="21"/>
        <v/>
      </c>
    </row>
    <row r="11" spans="1:40" x14ac:dyDescent="0.25">
      <c r="A11" s="76">
        <v>44905</v>
      </c>
      <c r="B11" s="76" t="s">
        <v>92</v>
      </c>
      <c r="C11" s="76">
        <v>7</v>
      </c>
      <c r="D11" s="76" t="s">
        <v>163</v>
      </c>
      <c r="E11" s="76">
        <v>384</v>
      </c>
      <c r="G11" s="76" t="b">
        <v>1</v>
      </c>
      <c r="J11" s="76" t="s">
        <v>54</v>
      </c>
      <c r="K11" s="76">
        <v>344</v>
      </c>
      <c r="L11" s="76" t="s">
        <v>91</v>
      </c>
      <c r="M11" s="76" t="s">
        <v>93</v>
      </c>
      <c r="Q11" s="73" t="str">
        <f t="shared" si="0"/>
        <v>44905;Matin;Nicolas B.</v>
      </c>
      <c r="R11" s="80">
        <f>IF(Q11&lt;&gt;"",COUNTIF(Q$2:Q11,Q11),"")</f>
        <v>7</v>
      </c>
      <c r="S11" s="73" t="str">
        <f t="shared" si="1"/>
        <v>344;F;7;M</v>
      </c>
      <c r="T11" s="74">
        <f t="shared" si="2"/>
        <v>384</v>
      </c>
      <c r="U11" s="74" t="str">
        <f t="shared" si="3"/>
        <v/>
      </c>
      <c r="V11" s="74" t="str">
        <f t="shared" si="4"/>
        <v/>
      </c>
      <c r="W11" s="74" t="str">
        <f t="shared" si="5"/>
        <v/>
      </c>
      <c r="X11" s="74" t="str">
        <f t="shared" si="6"/>
        <v/>
      </c>
      <c r="Y11" s="74" t="str">
        <f t="shared" si="7"/>
        <v/>
      </c>
      <c r="Z11" s="74" t="str">
        <f t="shared" si="8"/>
        <v/>
      </c>
      <c r="AA11" s="74" t="str">
        <f t="shared" si="9"/>
        <v/>
      </c>
      <c r="AC11" s="74" t="str">
        <f t="shared" si="10"/>
        <v/>
      </c>
      <c r="AD11" s="74" t="str">
        <f t="shared" si="11"/>
        <v/>
      </c>
      <c r="AE11" s="74" t="str">
        <f t="shared" si="14"/>
        <v/>
      </c>
      <c r="AF11" s="91" t="str">
        <f>IF(AE11&lt;&gt;"",COUNTIF(AE$3:AE11,FALSE),"")</f>
        <v/>
      </c>
      <c r="AG11" s="73" t="str">
        <f t="shared" si="12"/>
        <v>44905;Matin;Nicolas B.</v>
      </c>
      <c r="AH11" s="80">
        <f t="shared" si="15"/>
        <v>7</v>
      </c>
      <c r="AI11" s="80" t="str">
        <f t="shared" si="16"/>
        <v>344;F;7;M</v>
      </c>
      <c r="AJ11" s="80">
        <f t="shared" si="17"/>
        <v>384</v>
      </c>
      <c r="AK11" s="80" t="str">
        <f t="shared" si="18"/>
        <v/>
      </c>
      <c r="AL11" s="80" t="str">
        <f t="shared" si="19"/>
        <v/>
      </c>
      <c r="AM11" s="80" t="str">
        <f t="shared" si="20"/>
        <v/>
      </c>
      <c r="AN11" s="73" t="str">
        <f t="shared" si="21"/>
        <v/>
      </c>
    </row>
    <row r="12" spans="1:40" x14ac:dyDescent="0.25">
      <c r="A12" s="76">
        <v>44905</v>
      </c>
      <c r="B12" s="76" t="s">
        <v>92</v>
      </c>
      <c r="C12" s="76">
        <v>8</v>
      </c>
      <c r="D12" s="76" t="s">
        <v>164</v>
      </c>
      <c r="E12" s="76">
        <v>384</v>
      </c>
      <c r="G12" s="76" t="b">
        <v>1</v>
      </c>
      <c r="J12" s="76" t="s">
        <v>54</v>
      </c>
      <c r="K12" s="76">
        <v>344</v>
      </c>
      <c r="L12" s="76" t="s">
        <v>91</v>
      </c>
      <c r="M12" s="76" t="s">
        <v>93</v>
      </c>
      <c r="Q12" s="73" t="str">
        <f t="shared" si="0"/>
        <v>44905;Matin;Nicolas B.</v>
      </c>
      <c r="R12" s="80">
        <f>IF(Q12&lt;&gt;"",COUNTIF(Q$2:Q12,Q12),"")</f>
        <v>8</v>
      </c>
      <c r="S12" s="73" t="str">
        <f t="shared" si="1"/>
        <v>344;F;8;M</v>
      </c>
      <c r="T12" s="74">
        <f t="shared" si="2"/>
        <v>384</v>
      </c>
      <c r="U12" s="74" t="str">
        <f t="shared" si="3"/>
        <v/>
      </c>
      <c r="V12" s="74" t="str">
        <f t="shared" si="4"/>
        <v/>
      </c>
      <c r="W12" s="74" t="str">
        <f t="shared" si="5"/>
        <v/>
      </c>
      <c r="X12" s="74" t="str">
        <f t="shared" si="6"/>
        <v/>
      </c>
      <c r="Y12" s="74" t="str">
        <f t="shared" si="7"/>
        <v/>
      </c>
      <c r="Z12" s="74" t="str">
        <f t="shared" si="8"/>
        <v/>
      </c>
      <c r="AA12" s="74" t="str">
        <f t="shared" si="9"/>
        <v/>
      </c>
      <c r="AC12" s="74" t="str">
        <f t="shared" si="10"/>
        <v/>
      </c>
      <c r="AD12" s="74" t="str">
        <f t="shared" si="11"/>
        <v/>
      </c>
      <c r="AE12" s="74" t="str">
        <f t="shared" si="14"/>
        <v/>
      </c>
      <c r="AF12" s="91" t="str">
        <f>IF(AE12&lt;&gt;"",COUNTIF(AE$3:AE12,FALSE),"")</f>
        <v/>
      </c>
      <c r="AG12" s="73" t="str">
        <f t="shared" si="12"/>
        <v>44905;Matin;Nicolas B.</v>
      </c>
      <c r="AH12" s="80">
        <f t="shared" si="15"/>
        <v>8</v>
      </c>
      <c r="AI12" s="80" t="str">
        <f t="shared" si="16"/>
        <v>344;F;8;M</v>
      </c>
      <c r="AJ12" s="80">
        <f t="shared" si="17"/>
        <v>384</v>
      </c>
      <c r="AK12" s="80" t="str">
        <f t="shared" si="18"/>
        <v/>
      </c>
      <c r="AL12" s="80" t="str">
        <f t="shared" si="19"/>
        <v/>
      </c>
      <c r="AM12" s="80" t="str">
        <f t="shared" si="20"/>
        <v/>
      </c>
      <c r="AN12" s="73" t="str">
        <f t="shared" si="21"/>
        <v/>
      </c>
    </row>
    <row r="13" spans="1:40" x14ac:dyDescent="0.25">
      <c r="A13" s="76">
        <v>44905</v>
      </c>
      <c r="B13" s="76" t="s">
        <v>92</v>
      </c>
      <c r="C13" s="76">
        <v>9</v>
      </c>
      <c r="D13" s="76" t="s">
        <v>165</v>
      </c>
      <c r="E13" s="76">
        <v>384</v>
      </c>
      <c r="G13" s="76" t="b">
        <v>1</v>
      </c>
      <c r="J13" s="76" t="s">
        <v>54</v>
      </c>
      <c r="K13" s="76">
        <v>344</v>
      </c>
      <c r="L13" s="76" t="s">
        <v>91</v>
      </c>
      <c r="M13" s="76" t="s">
        <v>93</v>
      </c>
      <c r="Q13" s="73" t="str">
        <f t="shared" si="0"/>
        <v>44905;Matin;Nicolas B.</v>
      </c>
      <c r="R13" s="80">
        <f>IF(Q13&lt;&gt;"",COUNTIF(Q$2:Q13,Q13),"")</f>
        <v>9</v>
      </c>
      <c r="S13" s="73" t="str">
        <f t="shared" si="1"/>
        <v>344;F;9;M</v>
      </c>
      <c r="T13" s="74">
        <f t="shared" si="2"/>
        <v>384</v>
      </c>
      <c r="U13" s="74" t="str">
        <f t="shared" si="3"/>
        <v/>
      </c>
      <c r="V13" s="74" t="str">
        <f t="shared" si="4"/>
        <v/>
      </c>
      <c r="W13" s="74" t="str">
        <f t="shared" si="5"/>
        <v/>
      </c>
      <c r="X13" s="74" t="str">
        <f t="shared" si="6"/>
        <v/>
      </c>
      <c r="Y13" s="74" t="str">
        <f t="shared" si="7"/>
        <v/>
      </c>
      <c r="Z13" s="74" t="str">
        <f t="shared" si="8"/>
        <v/>
      </c>
      <c r="AA13" s="74" t="str">
        <f t="shared" si="9"/>
        <v/>
      </c>
      <c r="AC13" s="74" t="str">
        <f t="shared" si="10"/>
        <v/>
      </c>
      <c r="AD13" s="74" t="str">
        <f t="shared" si="11"/>
        <v/>
      </c>
      <c r="AE13" s="74" t="str">
        <f t="shared" si="14"/>
        <v/>
      </c>
      <c r="AF13" s="91" t="str">
        <f>IF(AE13&lt;&gt;"",COUNTIF(AE$3:AE13,FALSE),"")</f>
        <v/>
      </c>
      <c r="AG13" s="73" t="str">
        <f t="shared" si="12"/>
        <v>44905;Matin;Nicolas B.</v>
      </c>
      <c r="AH13" s="80">
        <f t="shared" si="15"/>
        <v>9</v>
      </c>
      <c r="AI13" s="80" t="str">
        <f t="shared" si="16"/>
        <v>344;F;9;M</v>
      </c>
      <c r="AJ13" s="80">
        <f t="shared" si="17"/>
        <v>384</v>
      </c>
      <c r="AK13" s="80" t="str">
        <f t="shared" si="18"/>
        <v/>
      </c>
      <c r="AL13" s="80" t="str">
        <f t="shared" si="19"/>
        <v/>
      </c>
      <c r="AM13" s="80" t="str">
        <f t="shared" si="20"/>
        <v/>
      </c>
      <c r="AN13" s="73" t="str">
        <f t="shared" si="21"/>
        <v/>
      </c>
    </row>
    <row r="14" spans="1:40" x14ac:dyDescent="0.25">
      <c r="A14" s="76">
        <v>44905</v>
      </c>
      <c r="B14" s="76" t="s">
        <v>92</v>
      </c>
      <c r="C14" s="76">
        <v>10</v>
      </c>
      <c r="D14" s="76" t="s">
        <v>166</v>
      </c>
      <c r="E14" s="76">
        <v>384</v>
      </c>
      <c r="G14" s="76" t="b">
        <v>1</v>
      </c>
      <c r="J14" s="76" t="s">
        <v>54</v>
      </c>
      <c r="K14" s="76">
        <v>344</v>
      </c>
      <c r="L14" s="76" t="s">
        <v>91</v>
      </c>
      <c r="M14" s="76" t="s">
        <v>93</v>
      </c>
      <c r="Q14" s="73" t="str">
        <f t="shared" si="0"/>
        <v>44905;Matin;Nicolas B.</v>
      </c>
      <c r="R14" s="80">
        <f>IF(Q14&lt;&gt;"",COUNTIF(Q$2:Q14,Q14),"")</f>
        <v>10</v>
      </c>
      <c r="S14" s="73" t="str">
        <f t="shared" si="1"/>
        <v>344;F;10;M</v>
      </c>
      <c r="T14" s="74">
        <f t="shared" si="2"/>
        <v>384</v>
      </c>
      <c r="U14" s="74" t="str">
        <f t="shared" si="3"/>
        <v/>
      </c>
      <c r="V14" s="74" t="str">
        <f t="shared" si="4"/>
        <v/>
      </c>
      <c r="W14" s="74" t="str">
        <f t="shared" si="5"/>
        <v/>
      </c>
      <c r="X14" s="74" t="str">
        <f t="shared" si="6"/>
        <v/>
      </c>
      <c r="Y14" s="74" t="str">
        <f t="shared" si="7"/>
        <v/>
      </c>
      <c r="AA14" s="74" t="str">
        <f t="shared" si="9"/>
        <v/>
      </c>
      <c r="AC14" s="74" t="str">
        <f t="shared" si="10"/>
        <v/>
      </c>
      <c r="AD14" s="74" t="str">
        <f t="shared" si="11"/>
        <v/>
      </c>
      <c r="AE14" s="74" t="str">
        <f t="shared" si="14"/>
        <v/>
      </c>
      <c r="AF14" s="91" t="str">
        <f>IF(AE14&lt;&gt;"",COUNTIF(AE$3:AE14,FALSE),"")</f>
        <v/>
      </c>
      <c r="AG14" s="73" t="str">
        <f t="shared" si="12"/>
        <v>44905;Matin;Nicolas B.</v>
      </c>
      <c r="AH14" s="80">
        <f t="shared" si="15"/>
        <v>10</v>
      </c>
      <c r="AI14" s="80" t="str">
        <f t="shared" si="16"/>
        <v>344;F;10;M</v>
      </c>
      <c r="AJ14" s="80">
        <f t="shared" si="17"/>
        <v>384</v>
      </c>
      <c r="AK14" s="80" t="str">
        <f t="shared" si="18"/>
        <v/>
      </c>
      <c r="AL14" s="80" t="str">
        <f t="shared" si="19"/>
        <v/>
      </c>
      <c r="AM14" s="80" t="str">
        <f t="shared" si="20"/>
        <v/>
      </c>
      <c r="AN14" s="73" t="str">
        <f t="shared" si="21"/>
        <v/>
      </c>
    </row>
    <row r="15" spans="1:40" x14ac:dyDescent="0.25">
      <c r="A15" s="76">
        <v>44905</v>
      </c>
      <c r="B15" s="76" t="s">
        <v>92</v>
      </c>
      <c r="C15" s="76">
        <v>11</v>
      </c>
      <c r="D15" s="76" t="s">
        <v>167</v>
      </c>
      <c r="E15" s="76">
        <v>384</v>
      </c>
      <c r="G15" s="76" t="b">
        <v>1</v>
      </c>
      <c r="J15" s="76" t="s">
        <v>54</v>
      </c>
      <c r="K15" s="76">
        <v>344</v>
      </c>
      <c r="L15" s="76" t="s">
        <v>91</v>
      </c>
      <c r="M15" s="76" t="s">
        <v>93</v>
      </c>
      <c r="Q15" s="73" t="str">
        <f t="shared" si="0"/>
        <v>44905;Matin;Nicolas B.</v>
      </c>
      <c r="R15" s="80">
        <f>IF(Q15&lt;&gt;"",COUNTIF(Q$2:Q15,Q15),"")</f>
        <v>11</v>
      </c>
      <c r="S15" s="73" t="str">
        <f t="shared" si="1"/>
        <v>344;F;11;M</v>
      </c>
      <c r="T15" s="74">
        <f t="shared" si="2"/>
        <v>384</v>
      </c>
      <c r="U15" s="74" t="str">
        <f t="shared" si="3"/>
        <v/>
      </c>
      <c r="V15" s="74" t="str">
        <f t="shared" si="4"/>
        <v/>
      </c>
      <c r="W15" s="74" t="str">
        <f t="shared" si="5"/>
        <v/>
      </c>
      <c r="X15" s="74" t="str">
        <f t="shared" si="6"/>
        <v/>
      </c>
      <c r="Y15" s="74" t="str">
        <f t="shared" si="7"/>
        <v/>
      </c>
      <c r="Z15" s="74" t="str">
        <f t="shared" si="8"/>
        <v/>
      </c>
      <c r="AA15" s="74" t="str">
        <f t="shared" si="9"/>
        <v/>
      </c>
      <c r="AC15" s="74" t="str">
        <f t="shared" si="10"/>
        <v/>
      </c>
      <c r="AD15" s="74" t="str">
        <f t="shared" si="11"/>
        <v/>
      </c>
      <c r="AE15" s="74" t="str">
        <f t="shared" si="14"/>
        <v/>
      </c>
      <c r="AF15" s="91" t="str">
        <f>IF(AE15&lt;&gt;"",COUNTIF(AE$3:AE15,FALSE),"")</f>
        <v/>
      </c>
      <c r="AG15" s="73" t="str">
        <f t="shared" si="12"/>
        <v>44905;Matin;Nicolas B.</v>
      </c>
      <c r="AH15" s="80">
        <f t="shared" si="15"/>
        <v>11</v>
      </c>
      <c r="AI15" s="80" t="str">
        <f t="shared" si="16"/>
        <v>344;F;11;M</v>
      </c>
      <c r="AJ15" s="80">
        <f t="shared" si="17"/>
        <v>384</v>
      </c>
      <c r="AK15" s="80" t="str">
        <f t="shared" si="18"/>
        <v/>
      </c>
      <c r="AL15" s="80" t="str">
        <f t="shared" si="19"/>
        <v/>
      </c>
      <c r="AM15" s="80" t="str">
        <f t="shared" si="20"/>
        <v/>
      </c>
      <c r="AN15" s="73" t="str">
        <f t="shared" si="21"/>
        <v/>
      </c>
    </row>
    <row r="16" spans="1:40" x14ac:dyDescent="0.25">
      <c r="A16" s="76">
        <v>44905</v>
      </c>
      <c r="B16" s="76" t="s">
        <v>92</v>
      </c>
      <c r="C16" s="76">
        <v>12</v>
      </c>
      <c r="D16" s="76" t="s">
        <v>168</v>
      </c>
      <c r="E16" s="76">
        <v>384</v>
      </c>
      <c r="G16" s="76" t="b">
        <v>1</v>
      </c>
      <c r="J16" s="76" t="s">
        <v>54</v>
      </c>
      <c r="K16" s="76">
        <v>344</v>
      </c>
      <c r="L16" s="76" t="s">
        <v>91</v>
      </c>
      <c r="M16" s="76" t="s">
        <v>93</v>
      </c>
      <c r="Q16" s="73" t="str">
        <f t="shared" si="0"/>
        <v>44905;Matin;Nicolas B.</v>
      </c>
      <c r="R16" s="80">
        <f>IF(Q16&lt;&gt;"",COUNTIF(Q$2:Q16,Q16),"")</f>
        <v>12</v>
      </c>
      <c r="S16" s="73" t="str">
        <f t="shared" si="1"/>
        <v>344;F;12;M</v>
      </c>
      <c r="T16" s="74">
        <f t="shared" si="2"/>
        <v>384</v>
      </c>
      <c r="U16" s="74" t="str">
        <f t="shared" si="3"/>
        <v/>
      </c>
      <c r="V16" s="74" t="str">
        <f t="shared" si="4"/>
        <v/>
      </c>
      <c r="W16" s="74" t="str">
        <f t="shared" si="5"/>
        <v/>
      </c>
      <c r="X16" s="74" t="str">
        <f t="shared" si="6"/>
        <v/>
      </c>
      <c r="Y16" s="74" t="str">
        <f t="shared" si="7"/>
        <v/>
      </c>
      <c r="Z16" s="74" t="str">
        <f t="shared" si="8"/>
        <v/>
      </c>
      <c r="AA16" s="74" t="str">
        <f t="shared" si="9"/>
        <v/>
      </c>
      <c r="AC16" s="74" t="str">
        <f t="shared" si="10"/>
        <v/>
      </c>
      <c r="AD16" s="74" t="str">
        <f t="shared" si="11"/>
        <v/>
      </c>
      <c r="AE16" s="74" t="str">
        <f t="shared" si="14"/>
        <v/>
      </c>
      <c r="AF16" s="91" t="str">
        <f>IF(AE16&lt;&gt;"",COUNTIF(AE$3:AE16,FALSE),"")</f>
        <v/>
      </c>
      <c r="AG16" s="73" t="str">
        <f t="shared" si="12"/>
        <v>44905;Matin;Nicolas B.</v>
      </c>
      <c r="AH16" s="80">
        <f t="shared" si="15"/>
        <v>12</v>
      </c>
      <c r="AI16" s="80" t="str">
        <f t="shared" si="16"/>
        <v>344;F;12;M</v>
      </c>
      <c r="AJ16" s="80">
        <f t="shared" si="17"/>
        <v>384</v>
      </c>
      <c r="AK16" s="80" t="str">
        <f t="shared" si="18"/>
        <v/>
      </c>
      <c r="AL16" s="80" t="str">
        <f t="shared" si="19"/>
        <v/>
      </c>
      <c r="AM16" s="80" t="str">
        <f t="shared" si="20"/>
        <v/>
      </c>
      <c r="AN16" s="73" t="str">
        <f t="shared" si="21"/>
        <v/>
      </c>
    </row>
    <row r="17" spans="1:40" x14ac:dyDescent="0.25">
      <c r="A17" s="76">
        <v>44905</v>
      </c>
      <c r="B17" s="76" t="s">
        <v>92</v>
      </c>
      <c r="D17" s="76" t="s">
        <v>156</v>
      </c>
      <c r="E17" s="76">
        <v>384</v>
      </c>
      <c r="F17" s="76" t="s">
        <v>14</v>
      </c>
      <c r="G17" s="76" t="b">
        <v>0</v>
      </c>
      <c r="J17" s="76" t="s">
        <v>54</v>
      </c>
      <c r="K17" s="76">
        <v>344</v>
      </c>
      <c r="L17" s="76" t="s">
        <v>91</v>
      </c>
      <c r="M17" s="76" t="s">
        <v>93</v>
      </c>
      <c r="Q17" s="73" t="str">
        <f t="shared" si="0"/>
        <v/>
      </c>
      <c r="R17" s="80" t="str">
        <f>IF(Q17&lt;&gt;"",COUNTIF(Q$2:Q17,Q17),"")</f>
        <v/>
      </c>
      <c r="S17" s="73" t="str">
        <f t="shared" si="1"/>
        <v/>
      </c>
      <c r="T17" s="74" t="str">
        <f t="shared" si="2"/>
        <v/>
      </c>
      <c r="U17" s="74" t="str">
        <f t="shared" si="3"/>
        <v/>
      </c>
      <c r="V17" s="74" t="str">
        <f t="shared" si="4"/>
        <v/>
      </c>
      <c r="W17" s="74" t="str">
        <f t="shared" si="5"/>
        <v/>
      </c>
      <c r="X17" s="74" t="str">
        <f t="shared" si="6"/>
        <v/>
      </c>
      <c r="Y17" s="74" t="str">
        <f t="shared" si="7"/>
        <v/>
      </c>
      <c r="Z17" s="74" t="str">
        <f t="shared" si="8"/>
        <v/>
      </c>
      <c r="AA17" s="74" t="str">
        <f t="shared" si="9"/>
        <v/>
      </c>
      <c r="AC17" s="74" t="str">
        <f t="shared" si="10"/>
        <v/>
      </c>
      <c r="AD17" s="74" t="str">
        <f t="shared" si="11"/>
        <v/>
      </c>
      <c r="AE17" s="74" t="str">
        <f t="shared" si="14"/>
        <v/>
      </c>
      <c r="AF17" s="91" t="str">
        <f>IF(AE17&lt;&gt;"",COUNTIF(AE$3:AE17,FALSE),"")</f>
        <v/>
      </c>
      <c r="AG17" s="73" t="str">
        <f t="shared" si="12"/>
        <v/>
      </c>
      <c r="AH17" s="80" t="str">
        <f t="shared" si="15"/>
        <v/>
      </c>
      <c r="AI17" s="80" t="str">
        <f t="shared" si="16"/>
        <v/>
      </c>
      <c r="AJ17" s="80" t="str">
        <f t="shared" si="17"/>
        <v/>
      </c>
      <c r="AK17" s="80" t="str">
        <f t="shared" si="18"/>
        <v/>
      </c>
      <c r="AL17" s="80" t="str">
        <f t="shared" si="19"/>
        <v/>
      </c>
      <c r="AM17" s="80" t="str">
        <f t="shared" si="20"/>
        <v/>
      </c>
      <c r="AN17" s="73" t="str">
        <f t="shared" si="21"/>
        <v/>
      </c>
    </row>
    <row r="18" spans="1:40" x14ac:dyDescent="0.25">
      <c r="A18" s="76">
        <v>44905</v>
      </c>
      <c r="B18" s="76" t="s">
        <v>92</v>
      </c>
      <c r="C18" s="76">
        <v>13</v>
      </c>
      <c r="D18" s="76" t="s">
        <v>169</v>
      </c>
      <c r="E18" s="76">
        <v>384</v>
      </c>
      <c r="G18" s="76" t="b">
        <v>1</v>
      </c>
      <c r="J18" s="76" t="s">
        <v>54</v>
      </c>
      <c r="K18" s="76">
        <v>344</v>
      </c>
      <c r="L18" s="76" t="s">
        <v>91</v>
      </c>
      <c r="M18" s="76" t="s">
        <v>93</v>
      </c>
      <c r="Q18" s="73" t="str">
        <f t="shared" si="0"/>
        <v>44905;Matin;Nicolas B.</v>
      </c>
      <c r="R18" s="80">
        <f>IF(Q18&lt;&gt;"",COUNTIF(Q$2:Q18,Q18),"")</f>
        <v>13</v>
      </c>
      <c r="S18" s="73" t="str">
        <f t="shared" si="1"/>
        <v>344;F;13;M</v>
      </c>
      <c r="T18" s="74">
        <f t="shared" si="2"/>
        <v>384</v>
      </c>
      <c r="U18" s="74" t="str">
        <f t="shared" si="3"/>
        <v/>
      </c>
      <c r="V18" s="74" t="str">
        <f t="shared" si="4"/>
        <v/>
      </c>
      <c r="W18" s="74" t="str">
        <f t="shared" si="5"/>
        <v/>
      </c>
      <c r="X18" s="74" t="str">
        <f t="shared" si="6"/>
        <v/>
      </c>
      <c r="Y18" s="74" t="str">
        <f t="shared" si="7"/>
        <v/>
      </c>
      <c r="Z18" s="74" t="str">
        <f t="shared" si="8"/>
        <v/>
      </c>
      <c r="AA18" s="74" t="str">
        <f t="shared" si="9"/>
        <v/>
      </c>
      <c r="AC18" s="74" t="str">
        <f t="shared" si="10"/>
        <v/>
      </c>
      <c r="AD18" s="74" t="str">
        <f t="shared" si="11"/>
        <v/>
      </c>
      <c r="AE18" s="74" t="str">
        <f t="shared" si="14"/>
        <v/>
      </c>
      <c r="AF18" s="91" t="str">
        <f>IF(AE18&lt;&gt;"",COUNTIF(AE$3:AE18,FALSE),"")</f>
        <v/>
      </c>
      <c r="AG18" s="73" t="str">
        <f t="shared" si="12"/>
        <v>44905;Matin;Nicolas B.</v>
      </c>
      <c r="AH18" s="80">
        <f t="shared" si="15"/>
        <v>13</v>
      </c>
      <c r="AI18" s="80" t="str">
        <f t="shared" si="16"/>
        <v>344;F;13;M</v>
      </c>
      <c r="AJ18" s="80">
        <f t="shared" si="17"/>
        <v>384</v>
      </c>
      <c r="AK18" s="80" t="str">
        <f t="shared" si="18"/>
        <v/>
      </c>
      <c r="AL18" s="80" t="str">
        <f t="shared" si="19"/>
        <v/>
      </c>
      <c r="AM18" s="80" t="str">
        <f t="shared" si="20"/>
        <v/>
      </c>
      <c r="AN18" s="73" t="str">
        <f t="shared" si="21"/>
        <v/>
      </c>
    </row>
    <row r="19" spans="1:40" x14ac:dyDescent="0.25">
      <c r="A19" s="76">
        <v>44905</v>
      </c>
      <c r="B19" s="76" t="s">
        <v>92</v>
      </c>
      <c r="D19" s="76" t="s">
        <v>156</v>
      </c>
      <c r="E19" s="76">
        <v>384</v>
      </c>
      <c r="F19" s="76" t="s">
        <v>14</v>
      </c>
      <c r="G19" s="76" t="b">
        <v>0</v>
      </c>
      <c r="J19" s="76" t="s">
        <v>54</v>
      </c>
      <c r="K19" s="76">
        <v>344</v>
      </c>
      <c r="L19" s="76" t="s">
        <v>91</v>
      </c>
      <c r="M19" s="76" t="s">
        <v>93</v>
      </c>
      <c r="Q19" s="73" t="str">
        <f t="shared" si="0"/>
        <v/>
      </c>
      <c r="R19" s="80" t="str">
        <f>IF(Q19&lt;&gt;"",COUNTIF(Q$2:Q19,Q19),"")</f>
        <v/>
      </c>
      <c r="S19" s="73" t="str">
        <f t="shared" si="1"/>
        <v/>
      </c>
      <c r="T19" s="74" t="str">
        <f t="shared" si="2"/>
        <v/>
      </c>
      <c r="U19" s="74" t="str">
        <f t="shared" si="3"/>
        <v/>
      </c>
      <c r="V19" s="74" t="str">
        <f t="shared" si="4"/>
        <v/>
      </c>
      <c r="W19" s="74" t="str">
        <f t="shared" si="5"/>
        <v/>
      </c>
      <c r="X19" s="74" t="str">
        <f t="shared" si="6"/>
        <v/>
      </c>
      <c r="Y19" s="74" t="str">
        <f t="shared" si="7"/>
        <v/>
      </c>
      <c r="Z19" s="74" t="str">
        <f t="shared" si="8"/>
        <v/>
      </c>
      <c r="AA19" s="74" t="str">
        <f t="shared" si="9"/>
        <v/>
      </c>
      <c r="AC19" s="74" t="str">
        <f t="shared" si="10"/>
        <v/>
      </c>
      <c r="AD19" s="74" t="str">
        <f t="shared" si="11"/>
        <v/>
      </c>
      <c r="AE19" s="74" t="str">
        <f t="shared" si="14"/>
        <v/>
      </c>
      <c r="AF19" s="91" t="str">
        <f>IF(AE19&lt;&gt;"",COUNTIF(AE$3:AE19,FALSE),"")</f>
        <v/>
      </c>
      <c r="AG19" s="73" t="str">
        <f t="shared" si="12"/>
        <v/>
      </c>
      <c r="AH19" s="80" t="str">
        <f t="shared" si="15"/>
        <v/>
      </c>
      <c r="AI19" s="80" t="str">
        <f t="shared" si="16"/>
        <v/>
      </c>
      <c r="AJ19" s="80" t="str">
        <f t="shared" si="17"/>
        <v/>
      </c>
      <c r="AK19" s="80" t="str">
        <f t="shared" si="18"/>
        <v/>
      </c>
      <c r="AL19" s="80" t="str">
        <f t="shared" si="19"/>
        <v/>
      </c>
      <c r="AM19" s="80" t="str">
        <f t="shared" si="20"/>
        <v/>
      </c>
      <c r="AN19" s="73" t="str">
        <f t="shared" si="21"/>
        <v/>
      </c>
    </row>
    <row r="20" spans="1:40" x14ac:dyDescent="0.25">
      <c r="A20" s="76">
        <v>44905</v>
      </c>
      <c r="B20" s="76" t="s">
        <v>92</v>
      </c>
      <c r="D20" s="76" t="s">
        <v>156</v>
      </c>
      <c r="E20" s="76">
        <v>384</v>
      </c>
      <c r="F20" s="76" t="s">
        <v>14</v>
      </c>
      <c r="G20" s="76" t="b">
        <v>0</v>
      </c>
      <c r="J20" s="76" t="s">
        <v>54</v>
      </c>
      <c r="K20" s="76">
        <v>344</v>
      </c>
      <c r="L20" s="76" t="s">
        <v>91</v>
      </c>
      <c r="M20" s="76" t="s">
        <v>93</v>
      </c>
      <c r="Q20" s="73" t="str">
        <f t="shared" si="0"/>
        <v/>
      </c>
      <c r="R20" s="80" t="str">
        <f>IF(Q20&lt;&gt;"",COUNTIF(Q$2:Q20,Q20),"")</f>
        <v/>
      </c>
      <c r="S20" s="73" t="str">
        <f t="shared" si="1"/>
        <v/>
      </c>
      <c r="T20" s="74" t="str">
        <f t="shared" si="2"/>
        <v/>
      </c>
      <c r="U20" s="74" t="str">
        <f t="shared" si="3"/>
        <v/>
      </c>
      <c r="V20" s="74" t="str">
        <f t="shared" si="4"/>
        <v/>
      </c>
      <c r="W20" s="74" t="str">
        <f t="shared" si="5"/>
        <v/>
      </c>
      <c r="X20" s="74" t="str">
        <f t="shared" si="6"/>
        <v/>
      </c>
      <c r="Y20" s="74" t="str">
        <f t="shared" si="7"/>
        <v/>
      </c>
      <c r="Z20" s="74" t="str">
        <f t="shared" si="8"/>
        <v/>
      </c>
      <c r="AA20" s="74" t="str">
        <f t="shared" si="9"/>
        <v/>
      </c>
      <c r="AC20" s="74" t="str">
        <f t="shared" si="10"/>
        <v/>
      </c>
      <c r="AD20" s="74" t="str">
        <f t="shared" si="11"/>
        <v/>
      </c>
      <c r="AE20" s="74" t="str">
        <f t="shared" si="14"/>
        <v/>
      </c>
      <c r="AF20" s="91" t="str">
        <f>IF(AE20&lt;&gt;"",COUNTIF(AE$3:AE20,FALSE),"")</f>
        <v/>
      </c>
      <c r="AG20" s="73" t="str">
        <f t="shared" si="12"/>
        <v/>
      </c>
      <c r="AH20" s="80" t="str">
        <f t="shared" si="15"/>
        <v/>
      </c>
      <c r="AI20" s="80" t="str">
        <f t="shared" si="16"/>
        <v/>
      </c>
      <c r="AJ20" s="80" t="str">
        <f t="shared" si="17"/>
        <v/>
      </c>
      <c r="AK20" s="80" t="str">
        <f t="shared" si="18"/>
        <v/>
      </c>
      <c r="AL20" s="80" t="str">
        <f t="shared" si="19"/>
        <v/>
      </c>
      <c r="AM20" s="80" t="str">
        <f t="shared" si="20"/>
        <v/>
      </c>
      <c r="AN20" s="73" t="str">
        <f t="shared" si="21"/>
        <v/>
      </c>
    </row>
    <row r="21" spans="1:40" x14ac:dyDescent="0.25">
      <c r="A21" s="76">
        <v>44905</v>
      </c>
      <c r="B21" s="76" t="s">
        <v>92</v>
      </c>
      <c r="C21" s="76">
        <v>14</v>
      </c>
      <c r="D21" s="76" t="s">
        <v>170</v>
      </c>
      <c r="E21" s="76">
        <v>384</v>
      </c>
      <c r="G21" s="76" t="b">
        <v>1</v>
      </c>
      <c r="J21" s="76" t="s">
        <v>54</v>
      </c>
      <c r="K21" s="76">
        <v>344</v>
      </c>
      <c r="L21" s="76" t="s">
        <v>91</v>
      </c>
      <c r="M21" s="76" t="s">
        <v>93</v>
      </c>
      <c r="Q21" s="73" t="str">
        <f t="shared" si="0"/>
        <v>44905;Matin;Nicolas B.</v>
      </c>
      <c r="R21" s="80">
        <f>IF(Q21&lt;&gt;"",COUNTIF(Q$2:Q21,Q21),"")</f>
        <v>14</v>
      </c>
      <c r="S21" s="73" t="str">
        <f t="shared" si="1"/>
        <v>344;F;14;M</v>
      </c>
      <c r="T21" s="74">
        <f t="shared" si="2"/>
        <v>384</v>
      </c>
      <c r="U21" s="74" t="str">
        <f t="shared" si="3"/>
        <v/>
      </c>
      <c r="V21" s="74" t="str">
        <f t="shared" si="4"/>
        <v/>
      </c>
      <c r="W21" s="74" t="str">
        <f t="shared" si="5"/>
        <v/>
      </c>
      <c r="X21" s="74" t="str">
        <f t="shared" si="6"/>
        <v/>
      </c>
      <c r="Y21" s="74" t="str">
        <f t="shared" si="7"/>
        <v/>
      </c>
      <c r="Z21" s="74" t="str">
        <f t="shared" si="8"/>
        <v/>
      </c>
      <c r="AA21" s="74" t="str">
        <f t="shared" si="9"/>
        <v/>
      </c>
      <c r="AC21" s="74" t="str">
        <f t="shared" si="10"/>
        <v/>
      </c>
      <c r="AD21" s="74" t="str">
        <f t="shared" si="11"/>
        <v/>
      </c>
      <c r="AE21" s="74" t="str">
        <f t="shared" si="14"/>
        <v/>
      </c>
      <c r="AF21" s="91" t="str">
        <f>IF(AE21&lt;&gt;"",COUNTIF(AE$3:AE21,FALSE),"")</f>
        <v/>
      </c>
      <c r="AG21" s="73" t="str">
        <f t="shared" si="12"/>
        <v>44905;Matin;Nicolas B.</v>
      </c>
      <c r="AH21" s="80">
        <f t="shared" si="15"/>
        <v>14</v>
      </c>
      <c r="AI21" s="80" t="str">
        <f t="shared" si="16"/>
        <v>344;F;14;M</v>
      </c>
      <c r="AJ21" s="80">
        <f t="shared" si="17"/>
        <v>384</v>
      </c>
      <c r="AK21" s="80" t="str">
        <f t="shared" si="18"/>
        <v/>
      </c>
      <c r="AL21" s="80" t="str">
        <f t="shared" si="19"/>
        <v/>
      </c>
      <c r="AM21" s="80" t="str">
        <f t="shared" si="20"/>
        <v/>
      </c>
      <c r="AN21" s="73" t="str">
        <f t="shared" si="21"/>
        <v/>
      </c>
    </row>
    <row r="22" spans="1:40" x14ac:dyDescent="0.25">
      <c r="A22" s="76">
        <v>44905</v>
      </c>
      <c r="B22" s="76" t="s">
        <v>92</v>
      </c>
      <c r="C22" s="76">
        <v>15</v>
      </c>
      <c r="D22" s="76" t="s">
        <v>171</v>
      </c>
      <c r="E22" s="76">
        <v>384</v>
      </c>
      <c r="G22" s="76" t="b">
        <v>1</v>
      </c>
      <c r="J22" s="76" t="s">
        <v>54</v>
      </c>
      <c r="K22" s="76">
        <v>344</v>
      </c>
      <c r="L22" s="76" t="s">
        <v>91</v>
      </c>
      <c r="M22" s="76" t="s">
        <v>93</v>
      </c>
      <c r="N22" s="76" t="s">
        <v>132</v>
      </c>
      <c r="Q22" s="73" t="str">
        <f t="shared" si="0"/>
        <v>44905;Matin;Nicolas B.</v>
      </c>
      <c r="R22" s="80">
        <f>IF(Q22&lt;&gt;"",COUNTIF(Q$2:Q22,Q22),"")</f>
        <v>15</v>
      </c>
      <c r="S22" s="73" t="str">
        <f t="shared" si="1"/>
        <v>344;F;15;M</v>
      </c>
      <c r="T22" s="74">
        <f t="shared" si="2"/>
        <v>384</v>
      </c>
      <c r="U22" s="74" t="str">
        <f t="shared" si="3"/>
        <v>29</v>
      </c>
      <c r="V22" s="74" t="str">
        <f t="shared" si="4"/>
        <v>31</v>
      </c>
      <c r="W22" s="74" t="str">
        <f t="shared" si="5"/>
        <v/>
      </c>
      <c r="X22" s="74">
        <f t="shared" si="6"/>
        <v>29</v>
      </c>
      <c r="Y22" s="74">
        <f t="shared" si="7"/>
        <v>31</v>
      </c>
      <c r="Z22" s="74" t="str">
        <f t="shared" si="8"/>
        <v/>
      </c>
      <c r="AA22" s="74" t="str">
        <f t="shared" si="9"/>
        <v/>
      </c>
      <c r="AC22" s="74" t="b">
        <f t="shared" si="10"/>
        <v>1</v>
      </c>
      <c r="AD22" s="74" t="b">
        <f t="shared" si="11"/>
        <v>1</v>
      </c>
      <c r="AE22" s="74" t="str">
        <f t="shared" si="14"/>
        <v/>
      </c>
      <c r="AF22" s="91" t="str">
        <f>IF(AE22&lt;&gt;"",COUNTIF(AE$3:AE22,FALSE),"")</f>
        <v/>
      </c>
      <c r="AG22" s="73" t="str">
        <f t="shared" si="12"/>
        <v>44905;Matin;Nicolas B.</v>
      </c>
      <c r="AH22" s="80">
        <f t="shared" si="15"/>
        <v>15</v>
      </c>
      <c r="AI22" s="80" t="str">
        <f t="shared" si="16"/>
        <v>344;F;15;M</v>
      </c>
      <c r="AJ22" s="80">
        <f t="shared" si="17"/>
        <v>384</v>
      </c>
      <c r="AK22" s="80" t="str">
        <f t="shared" si="18"/>
        <v>29</v>
      </c>
      <c r="AL22" s="80" t="str">
        <f t="shared" si="19"/>
        <v>31</v>
      </c>
      <c r="AM22" s="80" t="str">
        <f t="shared" si="20"/>
        <v/>
      </c>
      <c r="AN22" s="73" t="str">
        <f t="shared" si="21"/>
        <v/>
      </c>
    </row>
    <row r="23" spans="1:40" x14ac:dyDescent="0.25">
      <c r="A23" s="76">
        <v>44905</v>
      </c>
      <c r="B23" s="76" t="s">
        <v>92</v>
      </c>
      <c r="C23" s="76">
        <v>16</v>
      </c>
      <c r="D23" s="76" t="s">
        <v>172</v>
      </c>
      <c r="E23" s="76">
        <v>384</v>
      </c>
      <c r="G23" s="76" t="b">
        <v>1</v>
      </c>
      <c r="J23" s="76" t="s">
        <v>54</v>
      </c>
      <c r="K23" s="76">
        <v>344</v>
      </c>
      <c r="L23" s="76" t="s">
        <v>91</v>
      </c>
      <c r="M23" s="76" t="s">
        <v>93</v>
      </c>
      <c r="Q23" s="73" t="str">
        <f t="shared" si="0"/>
        <v>44905;Matin;Nicolas B.</v>
      </c>
      <c r="R23" s="80">
        <f>IF(Q23&lt;&gt;"",COUNTIF(Q$2:Q23,Q23),"")</f>
        <v>16</v>
      </c>
      <c r="S23" s="73" t="str">
        <f t="shared" si="1"/>
        <v>344;F;16;M</v>
      </c>
      <c r="T23" s="74">
        <f t="shared" si="2"/>
        <v>384</v>
      </c>
      <c r="U23" s="74" t="str">
        <f t="shared" si="3"/>
        <v/>
      </c>
      <c r="V23" s="74" t="str">
        <f t="shared" si="4"/>
        <v/>
      </c>
      <c r="W23" s="74" t="str">
        <f t="shared" si="5"/>
        <v/>
      </c>
      <c r="X23" s="74" t="str">
        <f t="shared" si="6"/>
        <v/>
      </c>
      <c r="Y23" s="74" t="str">
        <f t="shared" si="7"/>
        <v/>
      </c>
      <c r="Z23" s="74" t="str">
        <f t="shared" si="8"/>
        <v/>
      </c>
      <c r="AA23" s="74" t="str">
        <f t="shared" si="9"/>
        <v/>
      </c>
      <c r="AC23" s="74" t="str">
        <f t="shared" si="10"/>
        <v/>
      </c>
      <c r="AD23" s="74" t="str">
        <f t="shared" si="11"/>
        <v/>
      </c>
      <c r="AE23" s="74" t="str">
        <f t="shared" si="14"/>
        <v/>
      </c>
      <c r="AF23" s="91" t="str">
        <f>IF(AE23&lt;&gt;"",COUNTIF(AE$3:AE23,FALSE),"")</f>
        <v/>
      </c>
      <c r="AG23" s="73" t="str">
        <f t="shared" si="12"/>
        <v>44905;Matin;Nicolas B.</v>
      </c>
      <c r="AH23" s="80">
        <f t="shared" si="15"/>
        <v>16</v>
      </c>
      <c r="AI23" s="80" t="str">
        <f t="shared" si="16"/>
        <v>344;F;16;M</v>
      </c>
      <c r="AJ23" s="80">
        <f t="shared" si="17"/>
        <v>384</v>
      </c>
      <c r="AK23" s="80" t="str">
        <f t="shared" si="18"/>
        <v/>
      </c>
      <c r="AL23" s="80" t="str">
        <f t="shared" si="19"/>
        <v/>
      </c>
      <c r="AM23" s="80" t="str">
        <f t="shared" si="20"/>
        <v/>
      </c>
      <c r="AN23" s="73" t="str">
        <f t="shared" si="21"/>
        <v/>
      </c>
    </row>
    <row r="24" spans="1:40" x14ac:dyDescent="0.25">
      <c r="A24" s="76">
        <v>44905</v>
      </c>
      <c r="B24" s="76" t="s">
        <v>92</v>
      </c>
      <c r="C24" s="76">
        <v>17</v>
      </c>
      <c r="D24" s="76" t="s">
        <v>173</v>
      </c>
      <c r="E24" s="76">
        <v>384</v>
      </c>
      <c r="G24" s="76" t="b">
        <v>1</v>
      </c>
      <c r="J24" s="76" t="s">
        <v>54</v>
      </c>
      <c r="K24" s="76">
        <v>344</v>
      </c>
      <c r="L24" s="76" t="s">
        <v>91</v>
      </c>
      <c r="M24" s="76" t="s">
        <v>93</v>
      </c>
      <c r="Q24" s="73" t="str">
        <f t="shared" si="0"/>
        <v>44905;Matin;Nicolas B.</v>
      </c>
      <c r="R24" s="80">
        <f>IF(Q24&lt;&gt;"",COUNTIF(Q$2:Q24,Q24),"")</f>
        <v>17</v>
      </c>
      <c r="S24" s="73" t="str">
        <f t="shared" si="1"/>
        <v>344;F;17;M</v>
      </c>
      <c r="T24" s="74">
        <f t="shared" si="2"/>
        <v>384</v>
      </c>
      <c r="U24" s="74" t="str">
        <f t="shared" si="3"/>
        <v/>
      </c>
      <c r="V24" s="74" t="str">
        <f t="shared" si="4"/>
        <v/>
      </c>
      <c r="W24" s="74" t="str">
        <f t="shared" si="5"/>
        <v/>
      </c>
      <c r="X24" s="74" t="str">
        <f t="shared" si="6"/>
        <v/>
      </c>
      <c r="Y24" s="74" t="str">
        <f t="shared" si="7"/>
        <v/>
      </c>
      <c r="Z24" s="74" t="str">
        <f t="shared" si="8"/>
        <v/>
      </c>
      <c r="AA24" s="74" t="str">
        <f t="shared" si="9"/>
        <v/>
      </c>
      <c r="AC24" s="74" t="str">
        <f t="shared" si="10"/>
        <v/>
      </c>
      <c r="AD24" s="74" t="str">
        <f t="shared" si="11"/>
        <v/>
      </c>
      <c r="AE24" s="74" t="str">
        <f t="shared" si="14"/>
        <v/>
      </c>
      <c r="AF24" s="91" t="str">
        <f>IF(AE24&lt;&gt;"",COUNTIF(AE$3:AE24,FALSE),"")</f>
        <v/>
      </c>
      <c r="AG24" s="73" t="str">
        <f t="shared" si="12"/>
        <v>44905;Matin;Nicolas B.</v>
      </c>
      <c r="AH24" s="80">
        <f t="shared" si="15"/>
        <v>17</v>
      </c>
      <c r="AI24" s="80" t="str">
        <f t="shared" si="16"/>
        <v>344;F;17;M</v>
      </c>
      <c r="AJ24" s="80">
        <f t="shared" si="17"/>
        <v>384</v>
      </c>
      <c r="AK24" s="80" t="str">
        <f t="shared" si="18"/>
        <v/>
      </c>
      <c r="AL24" s="80" t="str">
        <f t="shared" si="19"/>
        <v/>
      </c>
      <c r="AM24" s="80" t="str">
        <f t="shared" si="20"/>
        <v/>
      </c>
      <c r="AN24" s="73" t="str">
        <f t="shared" si="21"/>
        <v/>
      </c>
    </row>
    <row r="25" spans="1:40" x14ac:dyDescent="0.25">
      <c r="A25" s="76">
        <v>44905</v>
      </c>
      <c r="B25" s="76" t="s">
        <v>92</v>
      </c>
      <c r="C25" s="76">
        <v>18</v>
      </c>
      <c r="D25" s="76" t="s">
        <v>174</v>
      </c>
      <c r="E25" s="76">
        <v>384</v>
      </c>
      <c r="G25" s="76" t="b">
        <v>1</v>
      </c>
      <c r="J25" s="76" t="s">
        <v>54</v>
      </c>
      <c r="K25" s="76">
        <v>344</v>
      </c>
      <c r="L25" s="76" t="s">
        <v>91</v>
      </c>
      <c r="M25" s="76" t="s">
        <v>93</v>
      </c>
      <c r="Q25" s="73" t="str">
        <f t="shared" si="0"/>
        <v>44905;Matin;Nicolas B.</v>
      </c>
      <c r="R25" s="80">
        <f>IF(Q25&lt;&gt;"",COUNTIF(Q$2:Q25,Q25),"")</f>
        <v>18</v>
      </c>
      <c r="S25" s="73" t="str">
        <f t="shared" si="1"/>
        <v>344;F;18;M</v>
      </c>
      <c r="T25" s="74">
        <f t="shared" si="2"/>
        <v>384</v>
      </c>
      <c r="U25" s="74" t="str">
        <f t="shared" si="3"/>
        <v/>
      </c>
      <c r="V25" s="74" t="str">
        <f t="shared" si="4"/>
        <v/>
      </c>
      <c r="W25" s="74" t="str">
        <f t="shared" si="5"/>
        <v/>
      </c>
      <c r="X25" s="74" t="str">
        <f t="shared" si="6"/>
        <v/>
      </c>
      <c r="Y25" s="74" t="str">
        <f t="shared" si="7"/>
        <v/>
      </c>
      <c r="Z25" s="74" t="str">
        <f t="shared" si="8"/>
        <v/>
      </c>
      <c r="AA25" s="74" t="str">
        <f t="shared" si="9"/>
        <v/>
      </c>
      <c r="AC25" s="74" t="str">
        <f t="shared" si="10"/>
        <v/>
      </c>
      <c r="AD25" s="74" t="str">
        <f t="shared" si="11"/>
        <v/>
      </c>
      <c r="AE25" s="74" t="str">
        <f t="shared" si="14"/>
        <v/>
      </c>
      <c r="AF25" s="91" t="str">
        <f>IF(AE25&lt;&gt;"",COUNTIF(AE$3:AE25,FALSE),"")</f>
        <v/>
      </c>
      <c r="AG25" s="73" t="str">
        <f t="shared" si="12"/>
        <v>44905;Matin;Nicolas B.</v>
      </c>
      <c r="AH25" s="80">
        <f t="shared" si="15"/>
        <v>18</v>
      </c>
      <c r="AI25" s="80" t="str">
        <f t="shared" si="16"/>
        <v>344;F;18;M</v>
      </c>
      <c r="AJ25" s="80">
        <f t="shared" si="17"/>
        <v>384</v>
      </c>
      <c r="AK25" s="80" t="str">
        <f t="shared" si="18"/>
        <v/>
      </c>
      <c r="AL25" s="80" t="str">
        <f t="shared" si="19"/>
        <v/>
      </c>
      <c r="AM25" s="80" t="str">
        <f t="shared" si="20"/>
        <v/>
      </c>
      <c r="AN25" s="73" t="str">
        <f t="shared" si="21"/>
        <v/>
      </c>
    </row>
    <row r="26" spans="1:40" x14ac:dyDescent="0.25">
      <c r="A26" s="76">
        <v>44905</v>
      </c>
      <c r="B26" s="76" t="s">
        <v>92</v>
      </c>
      <c r="C26" s="76">
        <v>19</v>
      </c>
      <c r="D26" s="76" t="s">
        <v>175</v>
      </c>
      <c r="E26" s="76">
        <v>384</v>
      </c>
      <c r="G26" s="76" t="b">
        <v>1</v>
      </c>
      <c r="J26" s="76" t="s">
        <v>54</v>
      </c>
      <c r="K26" s="76">
        <v>344</v>
      </c>
      <c r="L26" s="76" t="s">
        <v>91</v>
      </c>
      <c r="M26" s="76" t="s">
        <v>93</v>
      </c>
      <c r="Q26" s="73" t="str">
        <f t="shared" si="0"/>
        <v>44905;Matin;Nicolas B.</v>
      </c>
      <c r="R26" s="80">
        <f>IF(Q26&lt;&gt;"",COUNTIF(Q$2:Q26,Q26),"")</f>
        <v>19</v>
      </c>
      <c r="S26" s="73" t="str">
        <f t="shared" si="1"/>
        <v>344;F;19;M</v>
      </c>
      <c r="T26" s="74">
        <f t="shared" si="2"/>
        <v>384</v>
      </c>
      <c r="U26" s="74" t="str">
        <f t="shared" si="3"/>
        <v/>
      </c>
      <c r="V26" s="74" t="str">
        <f t="shared" si="4"/>
        <v/>
      </c>
      <c r="W26" s="74" t="str">
        <f t="shared" si="5"/>
        <v/>
      </c>
      <c r="X26" s="74" t="str">
        <f t="shared" si="6"/>
        <v/>
      </c>
      <c r="Y26" s="74" t="str">
        <f t="shared" si="7"/>
        <v/>
      </c>
      <c r="Z26" s="74" t="str">
        <f t="shared" si="8"/>
        <v/>
      </c>
      <c r="AA26" s="74" t="str">
        <f t="shared" si="9"/>
        <v/>
      </c>
      <c r="AC26" s="74" t="str">
        <f t="shared" si="10"/>
        <v/>
      </c>
      <c r="AD26" s="74" t="str">
        <f t="shared" si="11"/>
        <v/>
      </c>
      <c r="AE26" s="74" t="str">
        <f t="shared" si="14"/>
        <v/>
      </c>
      <c r="AF26" s="91" t="str">
        <f>IF(AE26&lt;&gt;"",COUNTIF(AE$3:AE26,FALSE),"")</f>
        <v/>
      </c>
      <c r="AG26" s="73" t="str">
        <f t="shared" si="12"/>
        <v>44905;Matin;Nicolas B.</v>
      </c>
      <c r="AH26" s="80">
        <f t="shared" si="15"/>
        <v>19</v>
      </c>
      <c r="AI26" s="80" t="str">
        <f t="shared" si="16"/>
        <v>344;F;19;M</v>
      </c>
      <c r="AJ26" s="80">
        <f t="shared" si="17"/>
        <v>384</v>
      </c>
      <c r="AK26" s="80" t="str">
        <f t="shared" si="18"/>
        <v/>
      </c>
      <c r="AL26" s="80" t="str">
        <f t="shared" si="19"/>
        <v/>
      </c>
      <c r="AM26" s="80" t="str">
        <f t="shared" si="20"/>
        <v/>
      </c>
      <c r="AN26" s="73" t="str">
        <f t="shared" si="21"/>
        <v/>
      </c>
    </row>
    <row r="27" spans="1:40" x14ac:dyDescent="0.25">
      <c r="A27" s="76">
        <v>44905</v>
      </c>
      <c r="B27" s="76" t="s">
        <v>92</v>
      </c>
      <c r="C27" s="76">
        <v>20</v>
      </c>
      <c r="D27" s="76" t="s">
        <v>176</v>
      </c>
      <c r="E27" s="76">
        <v>384</v>
      </c>
      <c r="G27" s="76" t="b">
        <v>1</v>
      </c>
      <c r="J27" s="76" t="s">
        <v>54</v>
      </c>
      <c r="K27" s="76">
        <v>344</v>
      </c>
      <c r="L27" s="76" t="s">
        <v>91</v>
      </c>
      <c r="M27" s="76" t="s">
        <v>93</v>
      </c>
      <c r="Q27" s="73" t="str">
        <f t="shared" si="0"/>
        <v>44905;Matin;Nicolas B.</v>
      </c>
      <c r="R27" s="80">
        <f>IF(Q27&lt;&gt;"",COUNTIF(Q$2:Q27,Q27),"")</f>
        <v>20</v>
      </c>
      <c r="S27" s="73" t="str">
        <f t="shared" si="1"/>
        <v>344;F;20;M</v>
      </c>
      <c r="T27" s="74">
        <f t="shared" si="2"/>
        <v>384</v>
      </c>
      <c r="U27" s="74" t="str">
        <f t="shared" si="3"/>
        <v/>
      </c>
      <c r="V27" s="74" t="str">
        <f t="shared" si="4"/>
        <v/>
      </c>
      <c r="W27" s="74" t="str">
        <f t="shared" si="5"/>
        <v/>
      </c>
      <c r="X27" s="74" t="str">
        <f t="shared" si="6"/>
        <v/>
      </c>
      <c r="Y27" s="74" t="str">
        <f t="shared" si="7"/>
        <v/>
      </c>
      <c r="Z27" s="74" t="str">
        <f t="shared" si="8"/>
        <v/>
      </c>
      <c r="AA27" s="74" t="str">
        <f t="shared" si="9"/>
        <v/>
      </c>
      <c r="AC27" s="74" t="str">
        <f t="shared" si="10"/>
        <v/>
      </c>
      <c r="AD27" s="74" t="str">
        <f t="shared" si="11"/>
        <v/>
      </c>
      <c r="AE27" s="74" t="str">
        <f t="shared" si="14"/>
        <v/>
      </c>
      <c r="AF27" s="91" t="str">
        <f>IF(AE27&lt;&gt;"",COUNTIF(AE$3:AE27,FALSE),"")</f>
        <v/>
      </c>
      <c r="AG27" s="73" t="str">
        <f t="shared" si="12"/>
        <v>44905;Matin;Nicolas B.</v>
      </c>
      <c r="AH27" s="80">
        <f t="shared" si="15"/>
        <v>20</v>
      </c>
      <c r="AI27" s="80" t="str">
        <f t="shared" si="16"/>
        <v>344;F;20;M</v>
      </c>
      <c r="AJ27" s="80">
        <f t="shared" si="17"/>
        <v>384</v>
      </c>
      <c r="AK27" s="80" t="str">
        <f t="shared" si="18"/>
        <v/>
      </c>
      <c r="AL27" s="80" t="str">
        <f t="shared" si="19"/>
        <v/>
      </c>
      <c r="AM27" s="80" t="str">
        <f t="shared" si="20"/>
        <v/>
      </c>
      <c r="AN27" s="73" t="str">
        <f t="shared" si="21"/>
        <v/>
      </c>
    </row>
    <row r="28" spans="1:40" x14ac:dyDescent="0.25">
      <c r="A28" s="76">
        <v>44905</v>
      </c>
      <c r="B28" s="76" t="s">
        <v>92</v>
      </c>
      <c r="C28" s="76">
        <v>21</v>
      </c>
      <c r="D28" s="76" t="s">
        <v>177</v>
      </c>
      <c r="E28" s="76">
        <v>384</v>
      </c>
      <c r="G28" s="76" t="b">
        <v>1</v>
      </c>
      <c r="J28" s="76" t="s">
        <v>54</v>
      </c>
      <c r="K28" s="76">
        <v>344</v>
      </c>
      <c r="L28" s="76" t="s">
        <v>91</v>
      </c>
      <c r="M28" s="76" t="s">
        <v>93</v>
      </c>
      <c r="Q28" s="73" t="str">
        <f t="shared" si="0"/>
        <v>44905;Matin;Nicolas B.</v>
      </c>
      <c r="R28" s="80">
        <f>IF(Q28&lt;&gt;"",COUNTIF(Q$2:Q28,Q28),"")</f>
        <v>21</v>
      </c>
      <c r="S28" s="73" t="str">
        <f t="shared" si="1"/>
        <v>344;F;21;M</v>
      </c>
      <c r="T28" s="74">
        <f t="shared" si="2"/>
        <v>384</v>
      </c>
      <c r="U28" s="74" t="str">
        <f t="shared" si="3"/>
        <v/>
      </c>
      <c r="V28" s="74" t="str">
        <f t="shared" si="4"/>
        <v/>
      </c>
      <c r="W28" s="74" t="str">
        <f t="shared" si="5"/>
        <v/>
      </c>
      <c r="X28" s="74" t="str">
        <f t="shared" si="6"/>
        <v/>
      </c>
      <c r="Y28" s="74" t="str">
        <f t="shared" si="7"/>
        <v/>
      </c>
      <c r="Z28" s="74" t="str">
        <f t="shared" si="8"/>
        <v/>
      </c>
      <c r="AA28" s="74" t="str">
        <f t="shared" si="9"/>
        <v/>
      </c>
      <c r="AC28" s="74" t="str">
        <f t="shared" si="10"/>
        <v/>
      </c>
      <c r="AD28" s="74" t="str">
        <f t="shared" si="11"/>
        <v/>
      </c>
      <c r="AE28" s="74" t="str">
        <f t="shared" si="14"/>
        <v/>
      </c>
      <c r="AF28" s="91" t="str">
        <f>IF(AE28&lt;&gt;"",COUNTIF(AE$3:AE28,FALSE),"")</f>
        <v/>
      </c>
      <c r="AG28" s="73" t="str">
        <f t="shared" si="12"/>
        <v>44905;Matin;Nicolas B.</v>
      </c>
      <c r="AH28" s="80">
        <f t="shared" si="15"/>
        <v>21</v>
      </c>
      <c r="AI28" s="80" t="str">
        <f t="shared" si="16"/>
        <v>344;F;21;M</v>
      </c>
      <c r="AJ28" s="80">
        <f t="shared" si="17"/>
        <v>384</v>
      </c>
      <c r="AK28" s="80" t="str">
        <f t="shared" si="18"/>
        <v/>
      </c>
      <c r="AL28" s="80" t="str">
        <f t="shared" si="19"/>
        <v/>
      </c>
      <c r="AM28" s="80" t="str">
        <f t="shared" si="20"/>
        <v/>
      </c>
      <c r="AN28" s="73" t="str">
        <f t="shared" si="21"/>
        <v/>
      </c>
    </row>
    <row r="29" spans="1:40" x14ac:dyDescent="0.25">
      <c r="A29" s="76">
        <v>44905</v>
      </c>
      <c r="B29" s="76" t="s">
        <v>92</v>
      </c>
      <c r="C29" s="76">
        <v>22</v>
      </c>
      <c r="D29" s="76" t="s">
        <v>178</v>
      </c>
      <c r="E29" s="76">
        <v>384</v>
      </c>
      <c r="G29" s="76" t="b">
        <v>1</v>
      </c>
      <c r="J29" s="76" t="s">
        <v>54</v>
      </c>
      <c r="K29" s="76">
        <v>344</v>
      </c>
      <c r="L29" s="76" t="s">
        <v>91</v>
      </c>
      <c r="M29" s="76" t="s">
        <v>93</v>
      </c>
      <c r="N29" s="76" t="s">
        <v>137</v>
      </c>
      <c r="Q29" s="73" t="str">
        <f t="shared" si="0"/>
        <v>44905;Matin;Nicolas B.</v>
      </c>
      <c r="R29" s="80">
        <f>IF(Q29&lt;&gt;"",COUNTIF(Q$2:Q29,Q29),"")</f>
        <v>22</v>
      </c>
      <c r="S29" s="73" t="str">
        <f t="shared" si="1"/>
        <v>344;F;22;M</v>
      </c>
      <c r="T29" s="74">
        <f t="shared" si="2"/>
        <v>384</v>
      </c>
      <c r="U29" s="74" t="str">
        <f t="shared" si="3"/>
        <v>32</v>
      </c>
      <c r="V29" s="74" t="str">
        <f t="shared" si="4"/>
        <v>31</v>
      </c>
      <c r="W29" s="74" t="str">
        <f t="shared" si="5"/>
        <v/>
      </c>
      <c r="X29" s="74">
        <f t="shared" si="6"/>
        <v>32</v>
      </c>
      <c r="Y29" s="74">
        <f t="shared" si="7"/>
        <v>31</v>
      </c>
      <c r="Z29" s="74" t="str">
        <f t="shared" si="8"/>
        <v/>
      </c>
      <c r="AA29" s="74" t="str">
        <f t="shared" si="9"/>
        <v/>
      </c>
      <c r="AC29" s="74" t="b">
        <f t="shared" si="10"/>
        <v>1</v>
      </c>
      <c r="AD29" s="74" t="b">
        <f t="shared" si="11"/>
        <v>1</v>
      </c>
      <c r="AE29" s="74" t="str">
        <f t="shared" si="14"/>
        <v/>
      </c>
      <c r="AF29" s="91" t="str">
        <f>IF(AE29&lt;&gt;"",COUNTIF(AE$3:AE29,FALSE),"")</f>
        <v/>
      </c>
      <c r="AG29" s="73" t="str">
        <f t="shared" si="12"/>
        <v>44905;Matin;Nicolas B.</v>
      </c>
      <c r="AH29" s="80">
        <f t="shared" si="15"/>
        <v>22</v>
      </c>
      <c r="AI29" s="80" t="str">
        <f t="shared" si="16"/>
        <v>344;F;22;M</v>
      </c>
      <c r="AJ29" s="80">
        <f t="shared" si="17"/>
        <v>384</v>
      </c>
      <c r="AK29" s="80" t="str">
        <f t="shared" si="18"/>
        <v>32</v>
      </c>
      <c r="AL29" s="80" t="str">
        <f t="shared" si="19"/>
        <v>31</v>
      </c>
      <c r="AM29" s="80" t="str">
        <f t="shared" si="20"/>
        <v/>
      </c>
      <c r="AN29" s="73" t="str">
        <f t="shared" si="21"/>
        <v/>
      </c>
    </row>
    <row r="30" spans="1:40" x14ac:dyDescent="0.25">
      <c r="A30" s="76">
        <v>44905</v>
      </c>
      <c r="B30" s="76" t="s">
        <v>92</v>
      </c>
      <c r="C30" s="76">
        <v>23</v>
      </c>
      <c r="D30" s="76" t="s">
        <v>179</v>
      </c>
      <c r="E30" s="76">
        <v>384</v>
      </c>
      <c r="G30" s="76" t="b">
        <v>1</v>
      </c>
      <c r="J30" s="76" t="s">
        <v>54</v>
      </c>
      <c r="K30" s="76">
        <v>344</v>
      </c>
      <c r="L30" s="76" t="s">
        <v>91</v>
      </c>
      <c r="M30" s="76" t="s">
        <v>93</v>
      </c>
      <c r="O30" s="76" t="s">
        <v>155</v>
      </c>
      <c r="Q30" s="73" t="str">
        <f t="shared" si="0"/>
        <v>44905;Matin;Nicolas B.</v>
      </c>
      <c r="R30" s="80">
        <f>IF(Q30&lt;&gt;"",COUNTIF(Q$2:Q30,Q30),"")</f>
        <v>23</v>
      </c>
      <c r="S30" s="73" t="str">
        <f t="shared" si="1"/>
        <v>344;F;23;M</v>
      </c>
      <c r="T30" s="74">
        <f t="shared" si="2"/>
        <v>384</v>
      </c>
      <c r="U30" s="74" t="str">
        <f t="shared" si="3"/>
        <v/>
      </c>
      <c r="V30" s="74" t="str">
        <f t="shared" si="4"/>
        <v/>
      </c>
      <c r="W30" s="74" t="str">
        <f t="shared" si="5"/>
        <v>302</v>
      </c>
      <c r="X30" s="74" t="str">
        <f t="shared" si="6"/>
        <v/>
      </c>
      <c r="Y30" s="74" t="str">
        <f t="shared" si="7"/>
        <v/>
      </c>
      <c r="Z30" s="74">
        <f t="shared" si="8"/>
        <v>302</v>
      </c>
      <c r="AA30" s="74" t="b">
        <f t="shared" si="9"/>
        <v>1</v>
      </c>
      <c r="AC30" s="74" t="str">
        <f t="shared" si="10"/>
        <v/>
      </c>
      <c r="AD30" s="74" t="str">
        <f t="shared" si="11"/>
        <v/>
      </c>
      <c r="AE30" s="74" t="str">
        <f t="shared" si="14"/>
        <v/>
      </c>
      <c r="AF30" s="91" t="str">
        <f>IF(AE30&lt;&gt;"",COUNTIF(AE$3:AE30,FALSE),"")</f>
        <v/>
      </c>
      <c r="AG30" s="73" t="str">
        <f t="shared" si="12"/>
        <v>44905;Matin;Nicolas B.</v>
      </c>
      <c r="AH30" s="80">
        <f t="shared" si="15"/>
        <v>23</v>
      </c>
      <c r="AI30" s="80" t="str">
        <f t="shared" si="16"/>
        <v>344;F;23;M</v>
      </c>
      <c r="AJ30" s="80">
        <f t="shared" si="17"/>
        <v>384</v>
      </c>
      <c r="AK30" s="80" t="str">
        <f t="shared" si="18"/>
        <v/>
      </c>
      <c r="AL30" s="80" t="str">
        <f t="shared" si="19"/>
        <v/>
      </c>
      <c r="AM30" s="80" t="str">
        <f t="shared" si="20"/>
        <v>302</v>
      </c>
      <c r="AN30" s="73" t="b">
        <f t="shared" si="21"/>
        <v>1</v>
      </c>
    </row>
    <row r="31" spans="1:40" x14ac:dyDescent="0.25">
      <c r="A31" s="76">
        <v>44905</v>
      </c>
      <c r="B31" s="76" t="s">
        <v>92</v>
      </c>
      <c r="C31" s="76">
        <v>24</v>
      </c>
      <c r="D31" s="76" t="s">
        <v>180</v>
      </c>
      <c r="E31" s="76">
        <v>384</v>
      </c>
      <c r="G31" s="76" t="b">
        <v>1</v>
      </c>
      <c r="J31" s="76" t="s">
        <v>54</v>
      </c>
      <c r="K31" s="76">
        <v>344</v>
      </c>
      <c r="L31" s="76" t="s">
        <v>91</v>
      </c>
      <c r="M31" s="76" t="s">
        <v>93</v>
      </c>
      <c r="Q31" s="73" t="str">
        <f t="shared" si="0"/>
        <v>44905;Matin;Nicolas B.</v>
      </c>
      <c r="R31" s="80">
        <f>IF(Q31&lt;&gt;"",COUNTIF(Q$2:Q31,Q31),"")</f>
        <v>24</v>
      </c>
      <c r="S31" s="73" t="str">
        <f t="shared" si="1"/>
        <v>344;F;24;M</v>
      </c>
      <c r="T31" s="74">
        <f t="shared" si="2"/>
        <v>384</v>
      </c>
      <c r="U31" s="74" t="str">
        <f t="shared" si="3"/>
        <v/>
      </c>
      <c r="V31" s="74" t="str">
        <f t="shared" si="4"/>
        <v/>
      </c>
      <c r="W31" s="74" t="str">
        <f t="shared" si="5"/>
        <v/>
      </c>
      <c r="X31" s="74" t="str">
        <f t="shared" si="6"/>
        <v/>
      </c>
      <c r="Y31" s="74" t="str">
        <f t="shared" si="7"/>
        <v/>
      </c>
      <c r="Z31" s="74" t="str">
        <f t="shared" si="8"/>
        <v/>
      </c>
      <c r="AA31" s="74" t="str">
        <f t="shared" si="9"/>
        <v/>
      </c>
      <c r="AC31" s="74" t="str">
        <f t="shared" si="10"/>
        <v/>
      </c>
      <c r="AD31" s="74" t="str">
        <f t="shared" si="11"/>
        <v/>
      </c>
      <c r="AE31" s="74" t="str">
        <f t="shared" si="14"/>
        <v/>
      </c>
      <c r="AF31" s="91" t="str">
        <f>IF(AE31&lt;&gt;"",COUNTIF(AE$3:AE31,FALSE),"")</f>
        <v/>
      </c>
      <c r="AG31" s="73" t="str">
        <f t="shared" si="12"/>
        <v>44905;Matin;Nicolas B.</v>
      </c>
      <c r="AH31" s="80">
        <f t="shared" si="15"/>
        <v>24</v>
      </c>
      <c r="AI31" s="80" t="str">
        <f t="shared" si="16"/>
        <v>344;F;24;M</v>
      </c>
      <c r="AJ31" s="80">
        <f t="shared" si="17"/>
        <v>384</v>
      </c>
      <c r="AK31" s="80" t="str">
        <f t="shared" si="18"/>
        <v/>
      </c>
      <c r="AL31" s="80" t="str">
        <f t="shared" si="19"/>
        <v/>
      </c>
      <c r="AM31" s="80" t="str">
        <f t="shared" si="20"/>
        <v/>
      </c>
      <c r="AN31" s="73" t="str">
        <f t="shared" si="21"/>
        <v/>
      </c>
    </row>
    <row r="32" spans="1:40" x14ac:dyDescent="0.25">
      <c r="A32" s="76">
        <v>44905</v>
      </c>
      <c r="B32" s="76" t="s">
        <v>92</v>
      </c>
      <c r="C32" s="76">
        <v>25</v>
      </c>
      <c r="D32" s="76" t="s">
        <v>181</v>
      </c>
      <c r="E32" s="76">
        <v>384</v>
      </c>
      <c r="G32" s="76" t="b">
        <v>1</v>
      </c>
      <c r="J32" s="76" t="s">
        <v>54</v>
      </c>
      <c r="K32" s="76">
        <v>344</v>
      </c>
      <c r="L32" s="76" t="s">
        <v>91</v>
      </c>
      <c r="M32" s="76" t="s">
        <v>93</v>
      </c>
      <c r="Q32" s="73" t="str">
        <f t="shared" si="0"/>
        <v>44905;Matin;Nicolas B.</v>
      </c>
      <c r="R32" s="80">
        <f>IF(Q32&lt;&gt;"",COUNTIF(Q$2:Q32,Q32),"")</f>
        <v>25</v>
      </c>
      <c r="S32" s="73" t="str">
        <f t="shared" si="1"/>
        <v>344;F;25;M</v>
      </c>
      <c r="T32" s="74">
        <f t="shared" si="2"/>
        <v>384</v>
      </c>
      <c r="U32" s="74" t="str">
        <f t="shared" si="3"/>
        <v/>
      </c>
      <c r="V32" s="74" t="str">
        <f t="shared" si="4"/>
        <v/>
      </c>
      <c r="W32" s="74" t="str">
        <f t="shared" si="5"/>
        <v/>
      </c>
      <c r="X32" s="74" t="str">
        <f t="shared" si="6"/>
        <v/>
      </c>
      <c r="Y32" s="74" t="str">
        <f t="shared" si="7"/>
        <v/>
      </c>
      <c r="Z32" s="74" t="str">
        <f t="shared" si="8"/>
        <v/>
      </c>
      <c r="AA32" s="74" t="str">
        <f t="shared" si="9"/>
        <v/>
      </c>
      <c r="AC32" s="74" t="str">
        <f t="shared" si="10"/>
        <v/>
      </c>
      <c r="AD32" s="74" t="str">
        <f t="shared" si="11"/>
        <v/>
      </c>
      <c r="AE32" s="74" t="str">
        <f t="shared" si="14"/>
        <v/>
      </c>
      <c r="AF32" s="91" t="str">
        <f>IF(AE32&lt;&gt;"",COUNTIF(AE$3:AE32,FALSE),"")</f>
        <v/>
      </c>
      <c r="AG32" s="73" t="str">
        <f t="shared" si="12"/>
        <v>44905;Matin;Nicolas B.</v>
      </c>
      <c r="AH32" s="80">
        <f t="shared" si="15"/>
        <v>25</v>
      </c>
      <c r="AI32" s="80" t="str">
        <f t="shared" si="16"/>
        <v>344;F;25;M</v>
      </c>
      <c r="AJ32" s="80">
        <f t="shared" si="17"/>
        <v>384</v>
      </c>
      <c r="AK32" s="80" t="str">
        <f t="shared" si="18"/>
        <v/>
      </c>
      <c r="AL32" s="80" t="str">
        <f t="shared" si="19"/>
        <v/>
      </c>
      <c r="AM32" s="80" t="str">
        <f t="shared" si="20"/>
        <v/>
      </c>
      <c r="AN32" s="73" t="str">
        <f t="shared" si="21"/>
        <v/>
      </c>
    </row>
    <row r="33" spans="1:40" x14ac:dyDescent="0.25">
      <c r="A33" s="76">
        <v>44905</v>
      </c>
      <c r="B33" s="76" t="s">
        <v>92</v>
      </c>
      <c r="C33" s="76">
        <v>26</v>
      </c>
      <c r="D33" s="76" t="s">
        <v>182</v>
      </c>
      <c r="E33" s="76">
        <v>384</v>
      </c>
      <c r="G33" s="76" t="b">
        <v>1</v>
      </c>
      <c r="J33" s="76" t="s">
        <v>54</v>
      </c>
      <c r="K33" s="76">
        <v>344</v>
      </c>
      <c r="L33" s="76" t="s">
        <v>91</v>
      </c>
      <c r="M33" s="76" t="s">
        <v>93</v>
      </c>
      <c r="Q33" s="73" t="str">
        <f t="shared" si="0"/>
        <v>44905;Matin;Nicolas B.</v>
      </c>
      <c r="R33" s="80">
        <f>IF(Q33&lt;&gt;"",COUNTIF(Q$2:Q33,Q33),"")</f>
        <v>26</v>
      </c>
      <c r="S33" s="73" t="str">
        <f t="shared" si="1"/>
        <v>344;F;26;M</v>
      </c>
      <c r="T33" s="74">
        <f t="shared" si="2"/>
        <v>384</v>
      </c>
      <c r="U33" s="74" t="str">
        <f t="shared" si="3"/>
        <v/>
      </c>
      <c r="V33" s="74" t="str">
        <f t="shared" si="4"/>
        <v/>
      </c>
      <c r="W33" s="74" t="str">
        <f t="shared" si="5"/>
        <v/>
      </c>
      <c r="X33" s="74" t="str">
        <f t="shared" si="6"/>
        <v/>
      </c>
      <c r="Y33" s="74" t="str">
        <f t="shared" si="7"/>
        <v/>
      </c>
      <c r="Z33" s="74" t="str">
        <f t="shared" si="8"/>
        <v/>
      </c>
      <c r="AA33" s="74" t="str">
        <f t="shared" si="9"/>
        <v/>
      </c>
      <c r="AC33" s="74" t="str">
        <f t="shared" si="10"/>
        <v/>
      </c>
      <c r="AD33" s="74" t="str">
        <f t="shared" si="11"/>
        <v/>
      </c>
      <c r="AE33" s="74" t="str">
        <f t="shared" si="14"/>
        <v/>
      </c>
      <c r="AF33" s="91" t="str">
        <f>IF(AE33&lt;&gt;"",COUNTIF(AE$3:AE33,FALSE),"")</f>
        <v/>
      </c>
      <c r="AG33" s="73" t="str">
        <f t="shared" si="12"/>
        <v>44905;Matin;Nicolas B.</v>
      </c>
      <c r="AH33" s="80">
        <f t="shared" si="15"/>
        <v>26</v>
      </c>
      <c r="AI33" s="80" t="str">
        <f t="shared" si="16"/>
        <v>344;F;26;M</v>
      </c>
      <c r="AJ33" s="80">
        <f t="shared" si="17"/>
        <v>384</v>
      </c>
      <c r="AK33" s="80" t="str">
        <f t="shared" si="18"/>
        <v/>
      </c>
      <c r="AL33" s="80" t="str">
        <f t="shared" si="19"/>
        <v/>
      </c>
      <c r="AM33" s="80" t="str">
        <f t="shared" si="20"/>
        <v/>
      </c>
      <c r="AN33" s="73" t="str">
        <f t="shared" si="21"/>
        <v/>
      </c>
    </row>
    <row r="34" spans="1:40" x14ac:dyDescent="0.25">
      <c r="A34" s="76">
        <v>44905</v>
      </c>
      <c r="B34" s="76" t="s">
        <v>92</v>
      </c>
      <c r="D34" s="76" t="s">
        <v>95</v>
      </c>
      <c r="E34" s="76">
        <v>384</v>
      </c>
      <c r="F34" s="76" t="s">
        <v>27</v>
      </c>
      <c r="G34" s="76" t="b">
        <v>0</v>
      </c>
      <c r="J34" s="76" t="s">
        <v>88</v>
      </c>
      <c r="K34" s="76">
        <v>344</v>
      </c>
      <c r="L34" s="76" t="s">
        <v>183</v>
      </c>
      <c r="M34" s="76" t="s">
        <v>94</v>
      </c>
      <c r="Q34" s="73" t="str">
        <f t="shared" si="0"/>
        <v/>
      </c>
      <c r="R34" s="80" t="str">
        <f>IF(Q34&lt;&gt;"",COUNTIF(Q$2:Q34,Q34),"")</f>
        <v/>
      </c>
      <c r="S34" s="73" t="str">
        <f t="shared" si="1"/>
        <v/>
      </c>
      <c r="T34" s="74" t="str">
        <f t="shared" si="2"/>
        <v/>
      </c>
      <c r="U34" s="74" t="str">
        <f t="shared" si="3"/>
        <v/>
      </c>
      <c r="V34" s="74" t="str">
        <f t="shared" si="4"/>
        <v/>
      </c>
      <c r="W34" s="74" t="str">
        <f t="shared" si="5"/>
        <v/>
      </c>
      <c r="X34" s="74" t="str">
        <f t="shared" si="6"/>
        <v/>
      </c>
      <c r="Y34" s="74" t="str">
        <f t="shared" si="7"/>
        <v/>
      </c>
      <c r="Z34" s="74" t="str">
        <f t="shared" si="8"/>
        <v/>
      </c>
      <c r="AA34" s="74" t="str">
        <f t="shared" si="9"/>
        <v/>
      </c>
      <c r="AC34" s="74" t="str">
        <f t="shared" si="10"/>
        <v/>
      </c>
      <c r="AD34" s="74" t="str">
        <f t="shared" si="11"/>
        <v/>
      </c>
      <c r="AE34" s="74" t="str">
        <f t="shared" si="14"/>
        <v/>
      </c>
      <c r="AF34" s="91" t="str">
        <f>IF(AE34&lt;&gt;"",COUNTIF(AE$3:AE34,FALSE),"")</f>
        <v/>
      </c>
      <c r="AG34" s="73" t="str">
        <f t="shared" si="12"/>
        <v/>
      </c>
      <c r="AH34" s="80" t="str">
        <f t="shared" si="15"/>
        <v/>
      </c>
      <c r="AI34" s="80" t="str">
        <f t="shared" si="16"/>
        <v/>
      </c>
      <c r="AJ34" s="80" t="str">
        <f t="shared" si="17"/>
        <v/>
      </c>
      <c r="AK34" s="80" t="str">
        <f t="shared" si="18"/>
        <v/>
      </c>
      <c r="AL34" s="80" t="str">
        <f t="shared" si="19"/>
        <v/>
      </c>
      <c r="AM34" s="80" t="str">
        <f t="shared" si="20"/>
        <v/>
      </c>
      <c r="AN34" s="73" t="str">
        <f t="shared" si="21"/>
        <v/>
      </c>
    </row>
    <row r="35" spans="1:40" x14ac:dyDescent="0.25">
      <c r="A35" s="76">
        <v>44905</v>
      </c>
      <c r="B35" s="76" t="s">
        <v>92</v>
      </c>
      <c r="C35" s="76">
        <v>1</v>
      </c>
      <c r="D35" s="76" t="s">
        <v>96</v>
      </c>
      <c r="E35" s="76">
        <v>384</v>
      </c>
      <c r="G35" s="76" t="b">
        <v>1</v>
      </c>
      <c r="J35" s="76" t="s">
        <v>88</v>
      </c>
      <c r="K35" s="76">
        <v>344</v>
      </c>
      <c r="L35" s="76" t="s">
        <v>183</v>
      </c>
      <c r="M35" s="76" t="s">
        <v>94</v>
      </c>
      <c r="Q35" s="73" t="str">
        <f t="shared" si="0"/>
        <v>44905;Après-Midi;Stéphane M.</v>
      </c>
      <c r="R35" s="80">
        <f>IF(Q35&lt;&gt;"",COUNTIF(Q$2:Q35,Q35),"")</f>
        <v>1</v>
      </c>
      <c r="S35" s="73" t="str">
        <f t="shared" si="1"/>
        <v>344;F;1;A</v>
      </c>
      <c r="T35" s="74">
        <f t="shared" si="2"/>
        <v>384</v>
      </c>
      <c r="U35" s="74" t="str">
        <f t="shared" si="3"/>
        <v/>
      </c>
      <c r="V35" s="74" t="str">
        <f t="shared" si="4"/>
        <v/>
      </c>
      <c r="W35" s="74" t="str">
        <f t="shared" si="5"/>
        <v/>
      </c>
      <c r="X35" s="74" t="str">
        <f t="shared" si="6"/>
        <v/>
      </c>
      <c r="Y35" s="74" t="str">
        <f t="shared" si="7"/>
        <v/>
      </c>
      <c r="Z35" s="74" t="str">
        <f t="shared" si="8"/>
        <v/>
      </c>
      <c r="AA35" s="74" t="str">
        <f t="shared" si="9"/>
        <v/>
      </c>
      <c r="AC35" s="74" t="str">
        <f t="shared" si="10"/>
        <v/>
      </c>
      <c r="AD35" s="74" t="str">
        <f t="shared" si="11"/>
        <v/>
      </c>
      <c r="AE35" s="74" t="str">
        <f t="shared" si="14"/>
        <v/>
      </c>
      <c r="AF35" s="91" t="str">
        <f>IF(AE35&lt;&gt;"",COUNTIF(AE$3:AE35,FALSE),"")</f>
        <v/>
      </c>
      <c r="AG35" s="73" t="str">
        <f t="shared" si="12"/>
        <v>44905;Après-Midi;Stéphane M.</v>
      </c>
      <c r="AH35" s="80">
        <f t="shared" si="15"/>
        <v>1</v>
      </c>
      <c r="AI35" s="80" t="str">
        <f t="shared" si="16"/>
        <v>344;F;1;A</v>
      </c>
      <c r="AJ35" s="80">
        <f t="shared" si="17"/>
        <v>384</v>
      </c>
      <c r="AK35" s="80" t="str">
        <f t="shared" si="18"/>
        <v/>
      </c>
      <c r="AL35" s="80" t="str">
        <f t="shared" si="19"/>
        <v/>
      </c>
      <c r="AM35" s="80" t="str">
        <f t="shared" si="20"/>
        <v/>
      </c>
      <c r="AN35" s="73" t="str">
        <f t="shared" si="21"/>
        <v/>
      </c>
    </row>
    <row r="36" spans="1:40" x14ac:dyDescent="0.25">
      <c r="A36" s="76">
        <v>44905</v>
      </c>
      <c r="B36" s="76" t="s">
        <v>92</v>
      </c>
      <c r="C36" s="76">
        <v>2</v>
      </c>
      <c r="D36" s="76" t="s">
        <v>97</v>
      </c>
      <c r="E36" s="76">
        <v>384</v>
      </c>
      <c r="G36" s="76" t="b">
        <v>1</v>
      </c>
      <c r="J36" s="76" t="s">
        <v>88</v>
      </c>
      <c r="K36" s="76">
        <v>344</v>
      </c>
      <c r="L36" s="76" t="s">
        <v>183</v>
      </c>
      <c r="M36" s="76" t="s">
        <v>94</v>
      </c>
      <c r="Q36" s="73" t="str">
        <f t="shared" si="0"/>
        <v>44905;Après-Midi;Stéphane M.</v>
      </c>
      <c r="R36" s="80">
        <f>IF(Q36&lt;&gt;"",COUNTIF(Q$2:Q36,Q36),"")</f>
        <v>2</v>
      </c>
      <c r="S36" s="73" t="str">
        <f t="shared" si="1"/>
        <v>344;F;2;A</v>
      </c>
      <c r="T36" s="74">
        <f t="shared" si="2"/>
        <v>384</v>
      </c>
      <c r="U36" s="74" t="str">
        <f t="shared" si="3"/>
        <v/>
      </c>
      <c r="V36" s="74" t="str">
        <f t="shared" si="4"/>
        <v/>
      </c>
      <c r="W36" s="74" t="str">
        <f t="shared" si="5"/>
        <v/>
      </c>
      <c r="X36" s="74" t="str">
        <f t="shared" si="6"/>
        <v/>
      </c>
      <c r="Y36" s="74" t="str">
        <f t="shared" si="7"/>
        <v/>
      </c>
      <c r="Z36" s="74" t="str">
        <f t="shared" si="8"/>
        <v/>
      </c>
      <c r="AA36" s="74" t="str">
        <f t="shared" si="9"/>
        <v/>
      </c>
      <c r="AC36" s="74" t="str">
        <f t="shared" si="10"/>
        <v/>
      </c>
      <c r="AD36" s="74" t="str">
        <f t="shared" si="11"/>
        <v/>
      </c>
      <c r="AE36" s="74" t="str">
        <f t="shared" si="14"/>
        <v/>
      </c>
      <c r="AF36" s="91" t="str">
        <f>IF(AE36&lt;&gt;"",COUNTIF(AE$3:AE36,FALSE),"")</f>
        <v/>
      </c>
      <c r="AG36" s="73" t="str">
        <f t="shared" si="12"/>
        <v>44905;Après-Midi;Stéphane M.</v>
      </c>
      <c r="AH36" s="80">
        <f t="shared" si="15"/>
        <v>2</v>
      </c>
      <c r="AI36" s="80" t="str">
        <f t="shared" si="16"/>
        <v>344;F;2;A</v>
      </c>
      <c r="AJ36" s="80">
        <f t="shared" si="17"/>
        <v>384</v>
      </c>
      <c r="AK36" s="80" t="str">
        <f t="shared" si="18"/>
        <v/>
      </c>
      <c r="AL36" s="80" t="str">
        <f t="shared" si="19"/>
        <v/>
      </c>
      <c r="AM36" s="80" t="str">
        <f t="shared" si="20"/>
        <v/>
      </c>
      <c r="AN36" s="73" t="str">
        <f t="shared" si="21"/>
        <v/>
      </c>
    </row>
    <row r="37" spans="1:40" x14ac:dyDescent="0.25">
      <c r="A37" s="76">
        <v>44905</v>
      </c>
      <c r="B37" s="76" t="s">
        <v>92</v>
      </c>
      <c r="C37" s="76">
        <v>3</v>
      </c>
      <c r="D37" s="76" t="s">
        <v>98</v>
      </c>
      <c r="E37" s="76">
        <v>384</v>
      </c>
      <c r="G37" s="76" t="b">
        <v>1</v>
      </c>
      <c r="J37" s="76" t="s">
        <v>88</v>
      </c>
      <c r="K37" s="76">
        <v>344</v>
      </c>
      <c r="L37" s="76" t="s">
        <v>183</v>
      </c>
      <c r="M37" s="76" t="s">
        <v>94</v>
      </c>
      <c r="O37" s="76" t="s">
        <v>133</v>
      </c>
      <c r="Q37" s="73" t="str">
        <f t="shared" si="0"/>
        <v>44905;Après-Midi;Stéphane M.</v>
      </c>
      <c r="R37" s="80">
        <f>IF(Q37&lt;&gt;"",COUNTIF(Q$2:Q37,Q37),"")</f>
        <v>3</v>
      </c>
      <c r="S37" s="73" t="str">
        <f t="shared" si="1"/>
        <v>344;F;3;A</v>
      </c>
      <c r="T37" s="74">
        <f t="shared" si="2"/>
        <v>384</v>
      </c>
      <c r="U37" s="74" t="str">
        <f t="shared" si="3"/>
        <v/>
      </c>
      <c r="V37" s="74" t="str">
        <f t="shared" si="4"/>
        <v/>
      </c>
      <c r="W37" s="74" t="str">
        <f t="shared" si="5"/>
        <v>298</v>
      </c>
      <c r="X37" s="74" t="str">
        <f t="shared" si="6"/>
        <v/>
      </c>
      <c r="Y37" s="74" t="str">
        <f t="shared" si="7"/>
        <v/>
      </c>
      <c r="Z37" s="74">
        <f t="shared" si="8"/>
        <v>298</v>
      </c>
      <c r="AA37" s="74" t="b">
        <f t="shared" si="9"/>
        <v>1</v>
      </c>
      <c r="AC37" s="74" t="str">
        <f t="shared" si="10"/>
        <v/>
      </c>
      <c r="AD37" s="74" t="str">
        <f t="shared" si="11"/>
        <v/>
      </c>
      <c r="AE37" s="74" t="str">
        <f t="shared" si="14"/>
        <v/>
      </c>
      <c r="AF37" s="91" t="str">
        <f>IF(AE37&lt;&gt;"",COUNTIF(AE$3:AE37,FALSE),"")</f>
        <v/>
      </c>
      <c r="AG37" s="73" t="str">
        <f t="shared" si="12"/>
        <v>44905;Après-Midi;Stéphane M.</v>
      </c>
      <c r="AH37" s="80">
        <f t="shared" si="15"/>
        <v>3</v>
      </c>
      <c r="AI37" s="80" t="str">
        <f t="shared" si="16"/>
        <v>344;F;3;A</v>
      </c>
      <c r="AJ37" s="80">
        <f t="shared" si="17"/>
        <v>384</v>
      </c>
      <c r="AK37" s="80" t="str">
        <f t="shared" si="18"/>
        <v/>
      </c>
      <c r="AL37" s="80" t="str">
        <f t="shared" si="19"/>
        <v/>
      </c>
      <c r="AM37" s="80" t="str">
        <f t="shared" si="20"/>
        <v>298</v>
      </c>
      <c r="AN37" s="73" t="b">
        <f t="shared" si="21"/>
        <v>1</v>
      </c>
    </row>
    <row r="38" spans="1:40" x14ac:dyDescent="0.25">
      <c r="A38" s="76">
        <v>44905</v>
      </c>
      <c r="B38" s="76" t="s">
        <v>92</v>
      </c>
      <c r="C38" s="76">
        <v>4</v>
      </c>
      <c r="D38" s="76" t="s">
        <v>99</v>
      </c>
      <c r="E38" s="76">
        <v>384</v>
      </c>
      <c r="G38" s="76" t="b">
        <v>1</v>
      </c>
      <c r="J38" s="76" t="s">
        <v>88</v>
      </c>
      <c r="K38" s="76">
        <v>344</v>
      </c>
      <c r="L38" s="76" t="s">
        <v>183</v>
      </c>
      <c r="M38" s="76" t="s">
        <v>94</v>
      </c>
      <c r="N38" s="76" t="s">
        <v>154</v>
      </c>
      <c r="O38" s="76" t="s">
        <v>134</v>
      </c>
      <c r="Q38" s="73" t="str">
        <f t="shared" si="0"/>
        <v>44905;Après-Midi;Stéphane M.</v>
      </c>
      <c r="R38" s="80">
        <f>IF(Q38&lt;&gt;"",COUNTIF(Q$2:Q38,Q38),"")</f>
        <v>4</v>
      </c>
      <c r="S38" s="73" t="str">
        <f t="shared" si="1"/>
        <v>344;F;4;A</v>
      </c>
      <c r="T38" s="74">
        <f t="shared" si="2"/>
        <v>384</v>
      </c>
      <c r="U38" s="74" t="str">
        <f t="shared" si="3"/>
        <v>32</v>
      </c>
      <c r="V38" s="74" t="str">
        <f t="shared" si="4"/>
        <v>31</v>
      </c>
      <c r="W38" s="74" t="str">
        <f t="shared" si="5"/>
        <v>301</v>
      </c>
      <c r="X38" s="74">
        <f t="shared" si="6"/>
        <v>32</v>
      </c>
      <c r="Y38" s="74">
        <f t="shared" si="7"/>
        <v>31</v>
      </c>
      <c r="Z38" s="74">
        <f t="shared" si="8"/>
        <v>301</v>
      </c>
      <c r="AA38" s="74" t="b">
        <f t="shared" si="9"/>
        <v>1</v>
      </c>
      <c r="AC38" s="74" t="b">
        <f t="shared" si="10"/>
        <v>1</v>
      </c>
      <c r="AD38" s="74" t="b">
        <f t="shared" si="11"/>
        <v>1</v>
      </c>
      <c r="AE38" s="74" t="str">
        <f t="shared" si="14"/>
        <v/>
      </c>
      <c r="AF38" s="91" t="str">
        <f>IF(AE38&lt;&gt;"",COUNTIF(AE$3:AE38,FALSE),"")</f>
        <v/>
      </c>
      <c r="AG38" s="73" t="str">
        <f t="shared" si="12"/>
        <v>44905;Après-Midi;Stéphane M.</v>
      </c>
      <c r="AH38" s="80">
        <f t="shared" si="15"/>
        <v>4</v>
      </c>
      <c r="AI38" s="80" t="str">
        <f t="shared" si="16"/>
        <v>344;F;4;A</v>
      </c>
      <c r="AJ38" s="80">
        <f t="shared" si="17"/>
        <v>384</v>
      </c>
      <c r="AK38" s="80" t="str">
        <f t="shared" si="18"/>
        <v>32</v>
      </c>
      <c r="AL38" s="80" t="str">
        <f t="shared" si="19"/>
        <v>31</v>
      </c>
      <c r="AM38" s="80" t="str">
        <f t="shared" si="20"/>
        <v>301</v>
      </c>
      <c r="AN38" s="73" t="b">
        <f t="shared" si="21"/>
        <v>1</v>
      </c>
    </row>
    <row r="39" spans="1:40" x14ac:dyDescent="0.25">
      <c r="A39" s="76">
        <v>44905</v>
      </c>
      <c r="B39" s="76" t="s">
        <v>92</v>
      </c>
      <c r="D39" s="76" t="s">
        <v>95</v>
      </c>
      <c r="E39" s="76">
        <v>258</v>
      </c>
      <c r="F39" s="76" t="s">
        <v>14</v>
      </c>
      <c r="G39" s="76" t="b">
        <v>0</v>
      </c>
      <c r="J39" s="76" t="s">
        <v>88</v>
      </c>
      <c r="K39" s="76">
        <v>344</v>
      </c>
      <c r="L39" s="76" t="s">
        <v>183</v>
      </c>
      <c r="M39" s="76" t="s">
        <v>94</v>
      </c>
      <c r="Q39" s="73" t="str">
        <f t="shared" si="0"/>
        <v/>
      </c>
      <c r="R39" s="80" t="str">
        <f>IF(Q39&lt;&gt;"",COUNTIF(Q$2:Q39,Q39),"")</f>
        <v/>
      </c>
      <c r="S39" s="73" t="str">
        <f t="shared" si="1"/>
        <v/>
      </c>
      <c r="T39" s="74" t="str">
        <f t="shared" si="2"/>
        <v/>
      </c>
      <c r="U39" s="74" t="str">
        <f t="shared" si="3"/>
        <v/>
      </c>
      <c r="V39" s="74" t="str">
        <f t="shared" si="4"/>
        <v/>
      </c>
      <c r="W39" s="74" t="str">
        <f t="shared" si="5"/>
        <v/>
      </c>
      <c r="X39" s="74" t="str">
        <f t="shared" si="6"/>
        <v/>
      </c>
      <c r="Y39" s="74" t="str">
        <f t="shared" si="7"/>
        <v/>
      </c>
      <c r="Z39" s="74" t="str">
        <f t="shared" si="8"/>
        <v/>
      </c>
      <c r="AA39" s="74" t="str">
        <f t="shared" si="9"/>
        <v/>
      </c>
      <c r="AC39" s="74" t="str">
        <f t="shared" si="10"/>
        <v/>
      </c>
      <c r="AD39" s="74" t="str">
        <f t="shared" si="11"/>
        <v/>
      </c>
      <c r="AE39" s="74" t="str">
        <f t="shared" si="14"/>
        <v/>
      </c>
      <c r="AF39" s="91" t="str">
        <f>IF(AE39&lt;&gt;"",COUNTIF(AE$3:AE39,FALSE),"")</f>
        <v/>
      </c>
      <c r="AG39" s="73" t="str">
        <f t="shared" si="12"/>
        <v/>
      </c>
      <c r="AH39" s="80" t="str">
        <f t="shared" si="15"/>
        <v/>
      </c>
      <c r="AI39" s="80" t="str">
        <f t="shared" si="16"/>
        <v/>
      </c>
      <c r="AJ39" s="80" t="str">
        <f t="shared" si="17"/>
        <v/>
      </c>
      <c r="AK39" s="80" t="str">
        <f t="shared" si="18"/>
        <v/>
      </c>
      <c r="AL39" s="80" t="str">
        <f t="shared" si="19"/>
        <v/>
      </c>
      <c r="AM39" s="80" t="str">
        <f t="shared" si="20"/>
        <v/>
      </c>
      <c r="AN39" s="73" t="str">
        <f t="shared" si="21"/>
        <v/>
      </c>
    </row>
    <row r="40" spans="1:40" x14ac:dyDescent="0.25">
      <c r="A40" s="76">
        <v>44905</v>
      </c>
      <c r="B40" s="76" t="s">
        <v>92</v>
      </c>
      <c r="C40" s="76">
        <v>5</v>
      </c>
      <c r="D40" s="76" t="s">
        <v>100</v>
      </c>
      <c r="E40" s="76">
        <v>384</v>
      </c>
      <c r="G40" s="76" t="b">
        <v>1</v>
      </c>
      <c r="J40" s="76" t="s">
        <v>88</v>
      </c>
      <c r="K40" s="76">
        <v>344</v>
      </c>
      <c r="L40" s="76" t="s">
        <v>183</v>
      </c>
      <c r="M40" s="76" t="s">
        <v>94</v>
      </c>
      <c r="Q40" s="73" t="str">
        <f t="shared" si="0"/>
        <v>44905;Après-Midi;Stéphane M.</v>
      </c>
      <c r="R40" s="80">
        <f>IF(Q40&lt;&gt;"",COUNTIF(Q$2:Q40,Q40),"")</f>
        <v>5</v>
      </c>
      <c r="S40" s="73" t="str">
        <f t="shared" si="1"/>
        <v>344;F;5;A</v>
      </c>
      <c r="T40" s="74">
        <f t="shared" si="2"/>
        <v>384</v>
      </c>
      <c r="U40" s="74" t="str">
        <f t="shared" si="3"/>
        <v/>
      </c>
      <c r="V40" s="74" t="str">
        <f t="shared" si="4"/>
        <v/>
      </c>
      <c r="W40" s="74" t="str">
        <f t="shared" si="5"/>
        <v/>
      </c>
      <c r="X40" s="74" t="str">
        <f t="shared" si="6"/>
        <v/>
      </c>
      <c r="Y40" s="74" t="str">
        <f t="shared" si="7"/>
        <v/>
      </c>
      <c r="Z40" s="74" t="str">
        <f t="shared" si="8"/>
        <v/>
      </c>
      <c r="AA40" s="74" t="str">
        <f t="shared" si="9"/>
        <v/>
      </c>
      <c r="AC40" s="74" t="str">
        <f t="shared" si="10"/>
        <v/>
      </c>
      <c r="AD40" s="74" t="str">
        <f t="shared" si="11"/>
        <v/>
      </c>
      <c r="AE40" s="74" t="str">
        <f t="shared" si="14"/>
        <v/>
      </c>
      <c r="AF40" s="91" t="str">
        <f>IF(AE40&lt;&gt;"",COUNTIF(AE$3:AE40,FALSE),"")</f>
        <v/>
      </c>
      <c r="AG40" s="73" t="str">
        <f t="shared" si="12"/>
        <v>44905;Après-Midi;Stéphane M.</v>
      </c>
      <c r="AH40" s="80">
        <f t="shared" si="15"/>
        <v>5</v>
      </c>
      <c r="AI40" s="80" t="str">
        <f t="shared" si="16"/>
        <v>344;F;5;A</v>
      </c>
      <c r="AJ40" s="80">
        <f t="shared" si="17"/>
        <v>384</v>
      </c>
      <c r="AK40" s="80" t="str">
        <f t="shared" si="18"/>
        <v/>
      </c>
      <c r="AL40" s="80" t="str">
        <f t="shared" si="19"/>
        <v/>
      </c>
      <c r="AM40" s="80" t="str">
        <f t="shared" si="20"/>
        <v/>
      </c>
      <c r="AN40" s="73" t="str">
        <f t="shared" si="21"/>
        <v/>
      </c>
    </row>
    <row r="41" spans="1:40" x14ac:dyDescent="0.25">
      <c r="A41" s="76">
        <v>44905</v>
      </c>
      <c r="B41" s="76" t="s">
        <v>92</v>
      </c>
      <c r="C41" s="76">
        <v>6</v>
      </c>
      <c r="D41" s="76" t="s">
        <v>101</v>
      </c>
      <c r="E41" s="76">
        <v>384</v>
      </c>
      <c r="G41" s="76" t="b">
        <v>1</v>
      </c>
      <c r="J41" s="76" t="s">
        <v>88</v>
      </c>
      <c r="K41" s="76">
        <v>344</v>
      </c>
      <c r="L41" s="76" t="s">
        <v>183</v>
      </c>
      <c r="M41" s="76" t="s">
        <v>94</v>
      </c>
      <c r="Q41" s="73" t="str">
        <f t="shared" si="0"/>
        <v>44905;Après-Midi;Stéphane M.</v>
      </c>
      <c r="R41" s="80">
        <f>IF(Q41&lt;&gt;"",COUNTIF(Q$2:Q41,Q41),"")</f>
        <v>6</v>
      </c>
      <c r="S41" s="73" t="str">
        <f t="shared" si="1"/>
        <v>344;F;6;A</v>
      </c>
      <c r="T41" s="74">
        <f t="shared" si="2"/>
        <v>384</v>
      </c>
      <c r="U41" s="74" t="str">
        <f t="shared" si="3"/>
        <v/>
      </c>
      <c r="V41" s="74" t="str">
        <f t="shared" si="4"/>
        <v/>
      </c>
      <c r="W41" s="74" t="str">
        <f t="shared" si="5"/>
        <v/>
      </c>
      <c r="X41" s="74" t="str">
        <f t="shared" si="6"/>
        <v/>
      </c>
      <c r="Y41" s="74" t="str">
        <f t="shared" si="7"/>
        <v/>
      </c>
      <c r="Z41" s="74" t="str">
        <f t="shared" si="8"/>
        <v/>
      </c>
      <c r="AA41" s="74" t="str">
        <f t="shared" si="9"/>
        <v/>
      </c>
      <c r="AC41" s="74" t="str">
        <f t="shared" si="10"/>
        <v/>
      </c>
      <c r="AD41" s="74" t="str">
        <f t="shared" si="11"/>
        <v/>
      </c>
      <c r="AE41" s="74" t="str">
        <f t="shared" si="14"/>
        <v/>
      </c>
      <c r="AF41" s="91" t="str">
        <f>IF(AE41&lt;&gt;"",COUNTIF(AE$3:AE41,FALSE),"")</f>
        <v/>
      </c>
      <c r="AG41" s="73" t="str">
        <f t="shared" si="12"/>
        <v>44905;Après-Midi;Stéphane M.</v>
      </c>
      <c r="AH41" s="80">
        <f t="shared" si="15"/>
        <v>6</v>
      </c>
      <c r="AI41" s="80" t="str">
        <f t="shared" si="16"/>
        <v>344;F;6;A</v>
      </c>
      <c r="AJ41" s="80">
        <f t="shared" si="17"/>
        <v>384</v>
      </c>
      <c r="AK41" s="80" t="str">
        <f t="shared" si="18"/>
        <v/>
      </c>
      <c r="AL41" s="80" t="str">
        <f t="shared" si="19"/>
        <v/>
      </c>
      <c r="AM41" s="80" t="str">
        <f t="shared" si="20"/>
        <v/>
      </c>
      <c r="AN41" s="73" t="str">
        <f t="shared" si="21"/>
        <v/>
      </c>
    </row>
    <row r="42" spans="1:40" x14ac:dyDescent="0.25">
      <c r="A42" s="76">
        <v>44905</v>
      </c>
      <c r="B42" s="76" t="s">
        <v>92</v>
      </c>
      <c r="C42" s="76">
        <v>7</v>
      </c>
      <c r="D42" s="76" t="s">
        <v>102</v>
      </c>
      <c r="E42" s="76">
        <v>384</v>
      </c>
      <c r="G42" s="76" t="b">
        <v>1</v>
      </c>
      <c r="J42" s="76" t="s">
        <v>88</v>
      </c>
      <c r="K42" s="76">
        <v>344</v>
      </c>
      <c r="L42" s="76" t="s">
        <v>183</v>
      </c>
      <c r="M42" s="76" t="s">
        <v>94</v>
      </c>
      <c r="Q42" s="73" t="str">
        <f t="shared" si="0"/>
        <v>44905;Après-Midi;Stéphane M.</v>
      </c>
      <c r="R42" s="80">
        <f>IF(Q42&lt;&gt;"",COUNTIF(Q$2:Q42,Q42),"")</f>
        <v>7</v>
      </c>
      <c r="S42" s="73" t="str">
        <f t="shared" si="1"/>
        <v>344;F;7;A</v>
      </c>
      <c r="T42" s="74">
        <f t="shared" si="2"/>
        <v>384</v>
      </c>
      <c r="U42" s="74" t="str">
        <f t="shared" si="3"/>
        <v/>
      </c>
      <c r="V42" s="74" t="str">
        <f t="shared" si="4"/>
        <v/>
      </c>
      <c r="W42" s="74" t="str">
        <f t="shared" si="5"/>
        <v/>
      </c>
      <c r="X42" s="74" t="str">
        <f t="shared" si="6"/>
        <v/>
      </c>
      <c r="Y42" s="74" t="str">
        <f t="shared" si="7"/>
        <v/>
      </c>
      <c r="Z42" s="74" t="str">
        <f t="shared" si="8"/>
        <v/>
      </c>
      <c r="AA42" s="74" t="str">
        <f t="shared" si="9"/>
        <v/>
      </c>
      <c r="AC42" s="74" t="str">
        <f t="shared" si="10"/>
        <v/>
      </c>
      <c r="AD42" s="74" t="str">
        <f t="shared" si="11"/>
        <v/>
      </c>
      <c r="AE42" s="74" t="str">
        <f t="shared" si="14"/>
        <v/>
      </c>
      <c r="AF42" s="91" t="str">
        <f>IF(AE42&lt;&gt;"",COUNTIF(AE$3:AE42,FALSE),"")</f>
        <v/>
      </c>
      <c r="AG42" s="73" t="str">
        <f t="shared" si="12"/>
        <v>44905;Après-Midi;Stéphane M.</v>
      </c>
      <c r="AH42" s="80">
        <f t="shared" si="15"/>
        <v>7</v>
      </c>
      <c r="AI42" s="80" t="str">
        <f t="shared" si="16"/>
        <v>344;F;7;A</v>
      </c>
      <c r="AJ42" s="80">
        <f t="shared" si="17"/>
        <v>384</v>
      </c>
      <c r="AK42" s="80" t="str">
        <f t="shared" si="18"/>
        <v/>
      </c>
      <c r="AL42" s="80" t="str">
        <f t="shared" si="19"/>
        <v/>
      </c>
      <c r="AM42" s="80" t="str">
        <f t="shared" si="20"/>
        <v/>
      </c>
      <c r="AN42" s="73" t="str">
        <f t="shared" si="21"/>
        <v/>
      </c>
    </row>
    <row r="43" spans="1:40" x14ac:dyDescent="0.25">
      <c r="A43" s="76">
        <v>44905</v>
      </c>
      <c r="B43" s="76" t="s">
        <v>92</v>
      </c>
      <c r="C43" s="76">
        <v>8</v>
      </c>
      <c r="D43" s="76" t="s">
        <v>103</v>
      </c>
      <c r="E43" s="76">
        <v>384</v>
      </c>
      <c r="G43" s="76" t="b">
        <v>1</v>
      </c>
      <c r="J43" s="76" t="s">
        <v>88</v>
      </c>
      <c r="K43" s="76">
        <v>344</v>
      </c>
      <c r="L43" s="76" t="s">
        <v>183</v>
      </c>
      <c r="M43" s="76" t="s">
        <v>94</v>
      </c>
      <c r="Q43" s="73" t="str">
        <f t="shared" si="0"/>
        <v>44905;Après-Midi;Stéphane M.</v>
      </c>
      <c r="R43" s="80">
        <f>IF(Q43&lt;&gt;"",COUNTIF(Q$2:Q43,Q43),"")</f>
        <v>8</v>
      </c>
      <c r="S43" s="73" t="str">
        <f t="shared" si="1"/>
        <v>344;F;8;A</v>
      </c>
      <c r="T43" s="74">
        <f t="shared" si="2"/>
        <v>384</v>
      </c>
      <c r="U43" s="74" t="str">
        <f t="shared" si="3"/>
        <v/>
      </c>
      <c r="V43" s="74" t="str">
        <f t="shared" si="4"/>
        <v/>
      </c>
      <c r="W43" s="74" t="str">
        <f t="shared" si="5"/>
        <v/>
      </c>
      <c r="X43" s="74" t="str">
        <f t="shared" si="6"/>
        <v/>
      </c>
      <c r="Y43" s="74" t="str">
        <f t="shared" si="7"/>
        <v/>
      </c>
      <c r="Z43" s="74" t="str">
        <f t="shared" si="8"/>
        <v/>
      </c>
      <c r="AA43" s="74" t="str">
        <f t="shared" si="9"/>
        <v/>
      </c>
      <c r="AC43" s="74" t="str">
        <f t="shared" si="10"/>
        <v/>
      </c>
      <c r="AD43" s="74" t="str">
        <f t="shared" si="11"/>
        <v/>
      </c>
      <c r="AE43" s="74" t="str">
        <f t="shared" si="14"/>
        <v/>
      </c>
      <c r="AF43" s="91" t="str">
        <f>IF(AE43&lt;&gt;"",COUNTIF(AE$3:AE43,FALSE),"")</f>
        <v/>
      </c>
      <c r="AG43" s="73" t="str">
        <f t="shared" si="12"/>
        <v>44905;Après-Midi;Stéphane M.</v>
      </c>
      <c r="AH43" s="80">
        <f t="shared" si="15"/>
        <v>8</v>
      </c>
      <c r="AI43" s="80" t="str">
        <f t="shared" si="16"/>
        <v>344;F;8;A</v>
      </c>
      <c r="AJ43" s="80">
        <f t="shared" si="17"/>
        <v>384</v>
      </c>
      <c r="AK43" s="80" t="str">
        <f t="shared" si="18"/>
        <v/>
      </c>
      <c r="AL43" s="80" t="str">
        <f t="shared" si="19"/>
        <v/>
      </c>
      <c r="AM43" s="80" t="str">
        <f t="shared" si="20"/>
        <v/>
      </c>
      <c r="AN43" s="73" t="str">
        <f t="shared" si="21"/>
        <v/>
      </c>
    </row>
    <row r="44" spans="1:40" x14ac:dyDescent="0.25">
      <c r="A44" s="76">
        <v>44905</v>
      </c>
      <c r="B44" s="76" t="s">
        <v>92</v>
      </c>
      <c r="C44" s="76">
        <v>9</v>
      </c>
      <c r="D44" s="76" t="s">
        <v>104</v>
      </c>
      <c r="E44" s="76">
        <v>384</v>
      </c>
      <c r="G44" s="76" t="b">
        <v>1</v>
      </c>
      <c r="J44" s="76" t="s">
        <v>88</v>
      </c>
      <c r="K44" s="76">
        <v>344</v>
      </c>
      <c r="L44" s="76" t="s">
        <v>183</v>
      </c>
      <c r="M44" s="76" t="s">
        <v>94</v>
      </c>
      <c r="Q44" s="73" t="str">
        <f t="shared" si="0"/>
        <v>44905;Après-Midi;Stéphane M.</v>
      </c>
      <c r="R44" s="80">
        <f>IF(Q44&lt;&gt;"",COUNTIF(Q$2:Q44,Q44),"")</f>
        <v>9</v>
      </c>
      <c r="S44" s="73" t="str">
        <f t="shared" si="1"/>
        <v>344;F;9;A</v>
      </c>
      <c r="T44" s="74">
        <f t="shared" si="2"/>
        <v>384</v>
      </c>
      <c r="U44" s="74" t="str">
        <f t="shared" si="3"/>
        <v/>
      </c>
      <c r="V44" s="74" t="str">
        <f t="shared" si="4"/>
        <v/>
      </c>
      <c r="W44" s="74" t="str">
        <f t="shared" si="5"/>
        <v/>
      </c>
      <c r="X44" s="74" t="str">
        <f t="shared" si="6"/>
        <v/>
      </c>
      <c r="Y44" s="74" t="str">
        <f t="shared" si="7"/>
        <v/>
      </c>
      <c r="Z44" s="74" t="str">
        <f t="shared" si="8"/>
        <v/>
      </c>
      <c r="AA44" s="74" t="str">
        <f t="shared" si="9"/>
        <v/>
      </c>
      <c r="AC44" s="74" t="str">
        <f t="shared" si="10"/>
        <v/>
      </c>
      <c r="AD44" s="74" t="str">
        <f t="shared" si="11"/>
        <v/>
      </c>
      <c r="AE44" s="74" t="str">
        <f t="shared" si="14"/>
        <v/>
      </c>
      <c r="AF44" s="91" t="str">
        <f>IF(AE44&lt;&gt;"",COUNTIF(AE$3:AE44,FALSE),"")</f>
        <v/>
      </c>
      <c r="AG44" s="73" t="str">
        <f t="shared" si="12"/>
        <v>44905;Après-Midi;Stéphane M.</v>
      </c>
      <c r="AH44" s="80">
        <f t="shared" si="15"/>
        <v>9</v>
      </c>
      <c r="AI44" s="80" t="str">
        <f t="shared" si="16"/>
        <v>344;F;9;A</v>
      </c>
      <c r="AJ44" s="80">
        <f t="shared" si="17"/>
        <v>384</v>
      </c>
      <c r="AK44" s="80" t="str">
        <f t="shared" si="18"/>
        <v/>
      </c>
      <c r="AL44" s="80" t="str">
        <f t="shared" si="19"/>
        <v/>
      </c>
      <c r="AM44" s="80" t="str">
        <f t="shared" si="20"/>
        <v/>
      </c>
      <c r="AN44" s="73" t="str">
        <f t="shared" si="21"/>
        <v/>
      </c>
    </row>
    <row r="45" spans="1:40" x14ac:dyDescent="0.25">
      <c r="A45" s="76">
        <v>44905</v>
      </c>
      <c r="B45" s="76" t="s">
        <v>92</v>
      </c>
      <c r="C45" s="76">
        <v>10</v>
      </c>
      <c r="D45" s="76" t="s">
        <v>105</v>
      </c>
      <c r="E45" s="76">
        <v>384</v>
      </c>
      <c r="G45" s="76" t="b">
        <v>1</v>
      </c>
      <c r="J45" s="76" t="s">
        <v>88</v>
      </c>
      <c r="K45" s="76">
        <v>344</v>
      </c>
      <c r="L45" s="76" t="s">
        <v>183</v>
      </c>
      <c r="M45" s="76" t="s">
        <v>94</v>
      </c>
      <c r="Q45" s="73" t="str">
        <f t="shared" si="0"/>
        <v>44905;Après-Midi;Stéphane M.</v>
      </c>
      <c r="R45" s="80">
        <f>IF(Q45&lt;&gt;"",COUNTIF(Q$2:Q45,Q45),"")</f>
        <v>10</v>
      </c>
      <c r="S45" s="73" t="str">
        <f t="shared" si="1"/>
        <v>344;F;10;A</v>
      </c>
      <c r="T45" s="74">
        <f t="shared" si="2"/>
        <v>384</v>
      </c>
      <c r="U45" s="74" t="str">
        <f t="shared" si="3"/>
        <v/>
      </c>
      <c r="V45" s="74" t="str">
        <f t="shared" si="4"/>
        <v/>
      </c>
      <c r="W45" s="74" t="str">
        <f t="shared" si="5"/>
        <v/>
      </c>
      <c r="X45" s="74" t="str">
        <f t="shared" si="6"/>
        <v/>
      </c>
      <c r="Y45" s="74" t="str">
        <f t="shared" si="7"/>
        <v/>
      </c>
      <c r="Z45" s="74" t="str">
        <f t="shared" si="8"/>
        <v/>
      </c>
      <c r="AA45" s="74" t="str">
        <f t="shared" si="9"/>
        <v/>
      </c>
      <c r="AC45" s="74" t="str">
        <f t="shared" si="10"/>
        <v/>
      </c>
      <c r="AD45" s="74" t="str">
        <f t="shared" si="11"/>
        <v/>
      </c>
      <c r="AE45" s="74" t="str">
        <f t="shared" si="14"/>
        <v/>
      </c>
      <c r="AF45" s="91" t="str">
        <f>IF(AE45&lt;&gt;"",COUNTIF(AE$3:AE45,FALSE),"")</f>
        <v/>
      </c>
      <c r="AG45" s="73" t="str">
        <f t="shared" si="12"/>
        <v>44905;Après-Midi;Stéphane M.</v>
      </c>
      <c r="AH45" s="80">
        <f t="shared" si="15"/>
        <v>10</v>
      </c>
      <c r="AI45" s="80" t="str">
        <f t="shared" si="16"/>
        <v>344;F;10;A</v>
      </c>
      <c r="AJ45" s="80">
        <f t="shared" si="17"/>
        <v>384</v>
      </c>
      <c r="AK45" s="80" t="str">
        <f t="shared" si="18"/>
        <v/>
      </c>
      <c r="AL45" s="80" t="str">
        <f t="shared" si="19"/>
        <v/>
      </c>
      <c r="AM45" s="80" t="str">
        <f t="shared" si="20"/>
        <v/>
      </c>
      <c r="AN45" s="73" t="str">
        <f t="shared" si="21"/>
        <v/>
      </c>
    </row>
    <row r="46" spans="1:40" x14ac:dyDescent="0.25">
      <c r="A46" s="76">
        <v>44905</v>
      </c>
      <c r="B46" s="76" t="s">
        <v>92</v>
      </c>
      <c r="C46" s="76">
        <v>11</v>
      </c>
      <c r="D46" s="76" t="s">
        <v>106</v>
      </c>
      <c r="E46" s="76">
        <v>384</v>
      </c>
      <c r="G46" s="76" t="b">
        <v>1</v>
      </c>
      <c r="J46" s="76" t="s">
        <v>88</v>
      </c>
      <c r="K46" s="76">
        <v>344</v>
      </c>
      <c r="L46" s="76" t="s">
        <v>183</v>
      </c>
      <c r="M46" s="76" t="s">
        <v>94</v>
      </c>
      <c r="Q46" s="73" t="str">
        <f t="shared" si="0"/>
        <v>44905;Après-Midi;Stéphane M.</v>
      </c>
      <c r="R46" s="80">
        <f>IF(Q46&lt;&gt;"",COUNTIF(Q$2:Q46,Q46),"")</f>
        <v>11</v>
      </c>
      <c r="S46" s="73" t="str">
        <f t="shared" si="1"/>
        <v>344;F;11;A</v>
      </c>
      <c r="T46" s="74">
        <f t="shared" si="2"/>
        <v>384</v>
      </c>
      <c r="U46" s="74" t="str">
        <f t="shared" si="3"/>
        <v/>
      </c>
      <c r="V46" s="74" t="str">
        <f t="shared" si="4"/>
        <v/>
      </c>
      <c r="W46" s="74" t="str">
        <f t="shared" si="5"/>
        <v/>
      </c>
      <c r="X46" s="74" t="str">
        <f t="shared" si="6"/>
        <v/>
      </c>
      <c r="Y46" s="74" t="str">
        <f t="shared" si="7"/>
        <v/>
      </c>
      <c r="Z46" s="74" t="str">
        <f t="shared" si="8"/>
        <v/>
      </c>
      <c r="AA46" s="74" t="str">
        <f t="shared" si="9"/>
        <v/>
      </c>
      <c r="AC46" s="74" t="str">
        <f t="shared" si="10"/>
        <v/>
      </c>
      <c r="AD46" s="74" t="str">
        <f t="shared" si="11"/>
        <v/>
      </c>
      <c r="AE46" s="74" t="str">
        <f t="shared" si="14"/>
        <v/>
      </c>
      <c r="AF46" s="91" t="str">
        <f>IF(AE46&lt;&gt;"",COUNTIF(AE$3:AE46,FALSE),"")</f>
        <v/>
      </c>
      <c r="AG46" s="73" t="str">
        <f t="shared" si="12"/>
        <v>44905;Après-Midi;Stéphane M.</v>
      </c>
      <c r="AH46" s="80">
        <f t="shared" si="15"/>
        <v>11</v>
      </c>
      <c r="AI46" s="80" t="str">
        <f t="shared" si="16"/>
        <v>344;F;11;A</v>
      </c>
      <c r="AJ46" s="80">
        <f t="shared" si="17"/>
        <v>384</v>
      </c>
      <c r="AK46" s="80" t="str">
        <f t="shared" si="18"/>
        <v/>
      </c>
      <c r="AL46" s="80" t="str">
        <f t="shared" si="19"/>
        <v/>
      </c>
      <c r="AM46" s="80" t="str">
        <f t="shared" si="20"/>
        <v/>
      </c>
      <c r="AN46" s="73" t="str">
        <f t="shared" si="21"/>
        <v/>
      </c>
    </row>
    <row r="47" spans="1:40" x14ac:dyDescent="0.25">
      <c r="A47" s="76">
        <v>44905</v>
      </c>
      <c r="B47" s="76" t="s">
        <v>92</v>
      </c>
      <c r="C47" s="76">
        <v>12</v>
      </c>
      <c r="D47" s="76" t="s">
        <v>107</v>
      </c>
      <c r="E47" s="76">
        <v>384</v>
      </c>
      <c r="G47" s="76" t="b">
        <v>1</v>
      </c>
      <c r="J47" s="76" t="s">
        <v>88</v>
      </c>
      <c r="K47" s="76">
        <v>344</v>
      </c>
      <c r="L47" s="76" t="s">
        <v>183</v>
      </c>
      <c r="M47" s="76" t="s">
        <v>94</v>
      </c>
      <c r="Q47" s="73" t="str">
        <f t="shared" si="0"/>
        <v>44905;Après-Midi;Stéphane M.</v>
      </c>
      <c r="R47" s="80">
        <f>IF(Q47&lt;&gt;"",COUNTIF(Q$2:Q47,Q47),"")</f>
        <v>12</v>
      </c>
      <c r="S47" s="73" t="str">
        <f t="shared" si="1"/>
        <v>344;F;12;A</v>
      </c>
      <c r="T47" s="74">
        <f t="shared" si="2"/>
        <v>384</v>
      </c>
      <c r="U47" s="74" t="str">
        <f t="shared" si="3"/>
        <v/>
      </c>
      <c r="V47" s="74" t="str">
        <f t="shared" si="4"/>
        <v/>
      </c>
      <c r="W47" s="74" t="str">
        <f t="shared" si="5"/>
        <v/>
      </c>
      <c r="X47" s="74" t="str">
        <f t="shared" si="6"/>
        <v/>
      </c>
      <c r="Y47" s="74" t="str">
        <f t="shared" si="7"/>
        <v/>
      </c>
      <c r="Z47" s="74" t="str">
        <f t="shared" si="8"/>
        <v/>
      </c>
      <c r="AA47" s="74" t="str">
        <f t="shared" si="9"/>
        <v/>
      </c>
      <c r="AC47" s="74" t="str">
        <f t="shared" si="10"/>
        <v/>
      </c>
      <c r="AD47" s="74" t="str">
        <f t="shared" si="11"/>
        <v/>
      </c>
      <c r="AE47" s="74" t="str">
        <f t="shared" si="14"/>
        <v/>
      </c>
      <c r="AF47" s="91" t="str">
        <f>IF(AE47&lt;&gt;"",COUNTIF(AE$3:AE47,FALSE),"")</f>
        <v/>
      </c>
      <c r="AG47" s="73" t="str">
        <f t="shared" si="12"/>
        <v>44905;Après-Midi;Stéphane M.</v>
      </c>
      <c r="AH47" s="80">
        <f t="shared" si="15"/>
        <v>12</v>
      </c>
      <c r="AI47" s="80" t="str">
        <f t="shared" si="16"/>
        <v>344;F;12;A</v>
      </c>
      <c r="AJ47" s="80">
        <f t="shared" si="17"/>
        <v>384</v>
      </c>
      <c r="AK47" s="80" t="str">
        <f t="shared" si="18"/>
        <v/>
      </c>
      <c r="AL47" s="80" t="str">
        <f t="shared" si="19"/>
        <v/>
      </c>
      <c r="AM47" s="80" t="str">
        <f t="shared" si="20"/>
        <v/>
      </c>
      <c r="AN47" s="73" t="str">
        <f t="shared" si="21"/>
        <v/>
      </c>
    </row>
    <row r="48" spans="1:40" x14ac:dyDescent="0.25">
      <c r="A48" s="76">
        <v>44905</v>
      </c>
      <c r="B48" s="76" t="s">
        <v>92</v>
      </c>
      <c r="D48" s="76" t="s">
        <v>95</v>
      </c>
      <c r="E48" s="76">
        <v>384</v>
      </c>
      <c r="F48" s="76" t="s">
        <v>14</v>
      </c>
      <c r="G48" s="76" t="b">
        <v>0</v>
      </c>
      <c r="J48" s="76" t="s">
        <v>88</v>
      </c>
      <c r="K48" s="76">
        <v>344</v>
      </c>
      <c r="L48" s="76" t="s">
        <v>183</v>
      </c>
      <c r="M48" s="76" t="s">
        <v>94</v>
      </c>
      <c r="Q48" s="73" t="str">
        <f t="shared" si="0"/>
        <v/>
      </c>
      <c r="R48" s="80" t="str">
        <f>IF(Q48&lt;&gt;"",COUNTIF(Q$2:Q48,Q48),"")</f>
        <v/>
      </c>
      <c r="S48" s="73" t="str">
        <f t="shared" si="1"/>
        <v/>
      </c>
      <c r="T48" s="74" t="str">
        <f t="shared" si="2"/>
        <v/>
      </c>
      <c r="U48" s="74" t="str">
        <f t="shared" si="3"/>
        <v/>
      </c>
      <c r="V48" s="74" t="str">
        <f t="shared" si="4"/>
        <v/>
      </c>
      <c r="W48" s="74" t="str">
        <f t="shared" si="5"/>
        <v/>
      </c>
      <c r="X48" s="74" t="str">
        <f t="shared" si="6"/>
        <v/>
      </c>
      <c r="Y48" s="74" t="str">
        <f t="shared" si="7"/>
        <v/>
      </c>
      <c r="Z48" s="74" t="str">
        <f t="shared" si="8"/>
        <v/>
      </c>
      <c r="AA48" s="74" t="str">
        <f t="shared" si="9"/>
        <v/>
      </c>
      <c r="AC48" s="74" t="str">
        <f t="shared" si="10"/>
        <v/>
      </c>
      <c r="AD48" s="74" t="str">
        <f t="shared" si="11"/>
        <v/>
      </c>
      <c r="AE48" s="74" t="str">
        <f t="shared" si="14"/>
        <v/>
      </c>
      <c r="AF48" s="91" t="str">
        <f>IF(AE48&lt;&gt;"",COUNTIF(AE$3:AE48,FALSE),"")</f>
        <v/>
      </c>
      <c r="AG48" s="73" t="str">
        <f t="shared" si="12"/>
        <v/>
      </c>
      <c r="AH48" s="80" t="str">
        <f t="shared" si="15"/>
        <v/>
      </c>
      <c r="AI48" s="80" t="str">
        <f t="shared" si="16"/>
        <v/>
      </c>
      <c r="AJ48" s="80" t="str">
        <f t="shared" si="17"/>
        <v/>
      </c>
      <c r="AK48" s="80" t="str">
        <f t="shared" si="18"/>
        <v/>
      </c>
      <c r="AL48" s="80" t="str">
        <f t="shared" si="19"/>
        <v/>
      </c>
      <c r="AM48" s="80" t="str">
        <f t="shared" si="20"/>
        <v/>
      </c>
      <c r="AN48" s="73" t="str">
        <f t="shared" si="21"/>
        <v/>
      </c>
    </row>
    <row r="49" spans="1:40" x14ac:dyDescent="0.25">
      <c r="A49" s="76">
        <v>44905</v>
      </c>
      <c r="B49" s="76" t="s">
        <v>92</v>
      </c>
      <c r="C49" s="76">
        <v>13</v>
      </c>
      <c r="D49" s="76" t="s">
        <v>108</v>
      </c>
      <c r="E49" s="76">
        <v>384</v>
      </c>
      <c r="G49" s="76" t="b">
        <v>1</v>
      </c>
      <c r="J49" s="76" t="s">
        <v>88</v>
      </c>
      <c r="K49" s="76">
        <v>344</v>
      </c>
      <c r="L49" s="76" t="s">
        <v>183</v>
      </c>
      <c r="M49" s="76" t="s">
        <v>94</v>
      </c>
      <c r="Q49" s="73" t="str">
        <f t="shared" si="0"/>
        <v>44905;Après-Midi;Stéphane M.</v>
      </c>
      <c r="R49" s="80">
        <f>IF(Q49&lt;&gt;"",COUNTIF(Q$2:Q49,Q49),"")</f>
        <v>13</v>
      </c>
      <c r="S49" s="73" t="str">
        <f t="shared" si="1"/>
        <v>344;F;13;A</v>
      </c>
      <c r="T49" s="74">
        <f t="shared" si="2"/>
        <v>384</v>
      </c>
      <c r="U49" s="74" t="str">
        <f t="shared" si="3"/>
        <v/>
      </c>
      <c r="V49" s="74" t="str">
        <f t="shared" si="4"/>
        <v/>
      </c>
      <c r="W49" s="74" t="str">
        <f t="shared" si="5"/>
        <v/>
      </c>
      <c r="X49" s="74" t="str">
        <f t="shared" si="6"/>
        <v/>
      </c>
      <c r="Y49" s="74" t="str">
        <f t="shared" si="7"/>
        <v/>
      </c>
      <c r="Z49" s="74" t="str">
        <f t="shared" si="8"/>
        <v/>
      </c>
      <c r="AA49" s="74" t="str">
        <f t="shared" si="9"/>
        <v/>
      </c>
      <c r="AC49" s="74" t="str">
        <f t="shared" si="10"/>
        <v/>
      </c>
      <c r="AD49" s="74" t="str">
        <f t="shared" si="11"/>
        <v/>
      </c>
      <c r="AE49" s="74" t="str">
        <f t="shared" si="14"/>
        <v/>
      </c>
      <c r="AF49" s="91" t="str">
        <f>IF(AE49&lt;&gt;"",COUNTIF(AE$3:AE49,FALSE),"")</f>
        <v/>
      </c>
      <c r="AG49" s="73" t="str">
        <f t="shared" si="12"/>
        <v>44905;Après-Midi;Stéphane M.</v>
      </c>
      <c r="AH49" s="80">
        <f t="shared" si="15"/>
        <v>13</v>
      </c>
      <c r="AI49" s="80" t="str">
        <f t="shared" si="16"/>
        <v>344;F;13;A</v>
      </c>
      <c r="AJ49" s="80">
        <f t="shared" si="17"/>
        <v>384</v>
      </c>
      <c r="AK49" s="80" t="str">
        <f t="shared" si="18"/>
        <v/>
      </c>
      <c r="AL49" s="80" t="str">
        <f t="shared" si="19"/>
        <v/>
      </c>
      <c r="AM49" s="80" t="str">
        <f t="shared" si="20"/>
        <v/>
      </c>
      <c r="AN49" s="73" t="str">
        <f t="shared" si="21"/>
        <v/>
      </c>
    </row>
    <row r="50" spans="1:40" x14ac:dyDescent="0.25">
      <c r="A50" s="76">
        <v>44905</v>
      </c>
      <c r="B50" s="76" t="s">
        <v>92</v>
      </c>
      <c r="D50" s="76" t="s">
        <v>95</v>
      </c>
      <c r="E50" s="76">
        <v>384</v>
      </c>
      <c r="F50" s="76" t="s">
        <v>14</v>
      </c>
      <c r="G50" s="76" t="b">
        <v>0</v>
      </c>
      <c r="J50" s="76" t="s">
        <v>88</v>
      </c>
      <c r="K50" s="76">
        <v>344</v>
      </c>
      <c r="L50" s="76" t="s">
        <v>183</v>
      </c>
      <c r="M50" s="76" t="s">
        <v>94</v>
      </c>
      <c r="Q50" s="73" t="str">
        <f t="shared" si="0"/>
        <v/>
      </c>
      <c r="R50" s="80" t="str">
        <f>IF(Q50&lt;&gt;"",COUNTIF(Q$2:Q50,Q50),"")</f>
        <v/>
      </c>
      <c r="S50" s="73" t="str">
        <f t="shared" si="1"/>
        <v/>
      </c>
      <c r="T50" s="74" t="str">
        <f t="shared" si="2"/>
        <v/>
      </c>
      <c r="U50" s="74" t="str">
        <f t="shared" si="3"/>
        <v/>
      </c>
      <c r="V50" s="74" t="str">
        <f t="shared" si="4"/>
        <v/>
      </c>
      <c r="W50" s="74" t="str">
        <f t="shared" si="5"/>
        <v/>
      </c>
      <c r="X50" s="74" t="str">
        <f t="shared" si="6"/>
        <v/>
      </c>
      <c r="Y50" s="74" t="str">
        <f t="shared" si="7"/>
        <v/>
      </c>
      <c r="Z50" s="74" t="str">
        <f t="shared" si="8"/>
        <v/>
      </c>
      <c r="AA50" s="74" t="str">
        <f t="shared" si="9"/>
        <v/>
      </c>
      <c r="AC50" s="74" t="str">
        <f t="shared" si="10"/>
        <v/>
      </c>
      <c r="AD50" s="74" t="str">
        <f t="shared" si="11"/>
        <v/>
      </c>
      <c r="AE50" s="74" t="str">
        <f t="shared" si="14"/>
        <v/>
      </c>
      <c r="AF50" s="91" t="str">
        <f>IF(AE50&lt;&gt;"",COUNTIF(AE$3:AE50,FALSE),"")</f>
        <v/>
      </c>
      <c r="AG50" s="73" t="str">
        <f t="shared" si="12"/>
        <v/>
      </c>
      <c r="AH50" s="80" t="str">
        <f t="shared" si="15"/>
        <v/>
      </c>
      <c r="AI50" s="80" t="str">
        <f t="shared" si="16"/>
        <v/>
      </c>
      <c r="AJ50" s="80" t="str">
        <f t="shared" si="17"/>
        <v/>
      </c>
      <c r="AK50" s="80" t="str">
        <f t="shared" si="18"/>
        <v/>
      </c>
      <c r="AL50" s="80" t="str">
        <f t="shared" si="19"/>
        <v/>
      </c>
      <c r="AM50" s="80" t="str">
        <f t="shared" si="20"/>
        <v/>
      </c>
      <c r="AN50" s="73" t="str">
        <f t="shared" si="21"/>
        <v/>
      </c>
    </row>
    <row r="51" spans="1:40" x14ac:dyDescent="0.25">
      <c r="A51" s="76">
        <v>44905</v>
      </c>
      <c r="B51" s="76" t="s">
        <v>92</v>
      </c>
      <c r="D51" s="76" t="s">
        <v>95</v>
      </c>
      <c r="E51" s="76">
        <v>384</v>
      </c>
      <c r="F51" s="76" t="s">
        <v>14</v>
      </c>
      <c r="G51" s="76" t="b">
        <v>0</v>
      </c>
      <c r="J51" s="76" t="s">
        <v>88</v>
      </c>
      <c r="K51" s="76">
        <v>344</v>
      </c>
      <c r="L51" s="76" t="s">
        <v>183</v>
      </c>
      <c r="M51" s="76" t="s">
        <v>94</v>
      </c>
      <c r="Q51" s="73" t="str">
        <f t="shared" si="0"/>
        <v/>
      </c>
      <c r="R51" s="80" t="str">
        <f>IF(Q51&lt;&gt;"",COUNTIF(Q$2:Q51,Q51),"")</f>
        <v/>
      </c>
      <c r="S51" s="73" t="str">
        <f t="shared" si="1"/>
        <v/>
      </c>
      <c r="T51" s="74" t="str">
        <f t="shared" si="2"/>
        <v/>
      </c>
      <c r="U51" s="74" t="str">
        <f t="shared" si="3"/>
        <v/>
      </c>
      <c r="V51" s="74" t="str">
        <f t="shared" si="4"/>
        <v/>
      </c>
      <c r="W51" s="74" t="str">
        <f t="shared" si="5"/>
        <v/>
      </c>
      <c r="X51" s="74" t="str">
        <f t="shared" si="6"/>
        <v/>
      </c>
      <c r="Y51" s="74" t="str">
        <f t="shared" si="7"/>
        <v/>
      </c>
      <c r="Z51" s="74" t="str">
        <f t="shared" si="8"/>
        <v/>
      </c>
      <c r="AA51" s="74" t="str">
        <f t="shared" si="9"/>
        <v/>
      </c>
      <c r="AC51" s="74" t="str">
        <f t="shared" si="10"/>
        <v/>
      </c>
      <c r="AD51" s="74" t="str">
        <f t="shared" si="11"/>
        <v/>
      </c>
      <c r="AE51" s="74" t="str">
        <f t="shared" si="14"/>
        <v/>
      </c>
      <c r="AF51" s="91" t="str">
        <f>IF(AE51&lt;&gt;"",COUNTIF(AE$3:AE51,FALSE),"")</f>
        <v/>
      </c>
      <c r="AG51" s="73" t="str">
        <f t="shared" si="12"/>
        <v/>
      </c>
      <c r="AH51" s="80" t="str">
        <f t="shared" si="15"/>
        <v/>
      </c>
      <c r="AI51" s="80" t="str">
        <f t="shared" si="16"/>
        <v/>
      </c>
      <c r="AJ51" s="80" t="str">
        <f t="shared" si="17"/>
        <v/>
      </c>
      <c r="AK51" s="80" t="str">
        <f t="shared" si="18"/>
        <v/>
      </c>
      <c r="AL51" s="80" t="str">
        <f t="shared" si="19"/>
        <v/>
      </c>
      <c r="AM51" s="80" t="str">
        <f t="shared" si="20"/>
        <v/>
      </c>
      <c r="AN51" s="73" t="str">
        <f t="shared" si="21"/>
        <v/>
      </c>
    </row>
    <row r="52" spans="1:40" x14ac:dyDescent="0.25">
      <c r="A52" s="76">
        <v>44905</v>
      </c>
      <c r="B52" s="76" t="s">
        <v>92</v>
      </c>
      <c r="C52" s="76">
        <v>14</v>
      </c>
      <c r="D52" s="76" t="s">
        <v>109</v>
      </c>
      <c r="E52" s="76">
        <v>384</v>
      </c>
      <c r="G52" s="76" t="b">
        <v>1</v>
      </c>
      <c r="J52" s="76" t="s">
        <v>88</v>
      </c>
      <c r="K52" s="76">
        <v>344</v>
      </c>
      <c r="L52" s="76" t="s">
        <v>183</v>
      </c>
      <c r="M52" s="76" t="s">
        <v>94</v>
      </c>
      <c r="Q52" s="73" t="str">
        <f t="shared" si="0"/>
        <v>44905;Après-Midi;Stéphane M.</v>
      </c>
      <c r="R52" s="80">
        <f>IF(Q52&lt;&gt;"",COUNTIF(Q$2:Q52,Q52),"")</f>
        <v>14</v>
      </c>
      <c r="S52" s="73" t="str">
        <f t="shared" si="1"/>
        <v>344;F;14;A</v>
      </c>
      <c r="T52" s="74">
        <f t="shared" si="2"/>
        <v>384</v>
      </c>
      <c r="U52" s="74" t="str">
        <f t="shared" si="3"/>
        <v/>
      </c>
      <c r="V52" s="74" t="str">
        <f t="shared" si="4"/>
        <v/>
      </c>
      <c r="W52" s="74" t="str">
        <f t="shared" si="5"/>
        <v/>
      </c>
      <c r="X52" s="74" t="str">
        <f t="shared" si="6"/>
        <v/>
      </c>
      <c r="Y52" s="74" t="str">
        <f t="shared" si="7"/>
        <v/>
      </c>
      <c r="Z52" s="74" t="str">
        <f t="shared" si="8"/>
        <v/>
      </c>
      <c r="AA52" s="74" t="str">
        <f t="shared" si="9"/>
        <v/>
      </c>
      <c r="AC52" s="74" t="str">
        <f t="shared" si="10"/>
        <v/>
      </c>
      <c r="AD52" s="74" t="str">
        <f t="shared" si="11"/>
        <v/>
      </c>
      <c r="AE52" s="74" t="str">
        <f t="shared" si="14"/>
        <v/>
      </c>
      <c r="AF52" s="91" t="str">
        <f>IF(AE52&lt;&gt;"",COUNTIF(AE$3:AE52,FALSE),"")</f>
        <v/>
      </c>
      <c r="AG52" s="73" t="str">
        <f t="shared" si="12"/>
        <v>44905;Après-Midi;Stéphane M.</v>
      </c>
      <c r="AH52" s="80">
        <f t="shared" si="15"/>
        <v>14</v>
      </c>
      <c r="AI52" s="80" t="str">
        <f t="shared" si="16"/>
        <v>344;F;14;A</v>
      </c>
      <c r="AJ52" s="80">
        <f t="shared" si="17"/>
        <v>384</v>
      </c>
      <c r="AK52" s="80" t="str">
        <f t="shared" si="18"/>
        <v/>
      </c>
      <c r="AL52" s="80" t="str">
        <f t="shared" si="19"/>
        <v/>
      </c>
      <c r="AM52" s="80" t="str">
        <f t="shared" si="20"/>
        <v/>
      </c>
      <c r="AN52" s="73" t="str">
        <f t="shared" si="21"/>
        <v/>
      </c>
    </row>
    <row r="53" spans="1:40" x14ac:dyDescent="0.25">
      <c r="A53" s="76">
        <v>44905</v>
      </c>
      <c r="B53" s="76" t="s">
        <v>92</v>
      </c>
      <c r="C53" s="76">
        <v>15</v>
      </c>
      <c r="D53" s="76" t="s">
        <v>110</v>
      </c>
      <c r="E53" s="76">
        <v>384</v>
      </c>
      <c r="G53" s="76" t="b">
        <v>1</v>
      </c>
      <c r="J53" s="76" t="s">
        <v>88</v>
      </c>
      <c r="K53" s="76">
        <v>344</v>
      </c>
      <c r="L53" s="76" t="s">
        <v>183</v>
      </c>
      <c r="M53" s="76" t="s">
        <v>94</v>
      </c>
      <c r="N53" s="76" t="s">
        <v>132</v>
      </c>
      <c r="Q53" s="73" t="str">
        <f t="shared" si="0"/>
        <v>44905;Après-Midi;Stéphane M.</v>
      </c>
      <c r="R53" s="80">
        <f>IF(Q53&lt;&gt;"",COUNTIF(Q$2:Q53,Q53),"")</f>
        <v>15</v>
      </c>
      <c r="S53" s="73" t="str">
        <f t="shared" si="1"/>
        <v>344;F;15;A</v>
      </c>
      <c r="T53" s="74">
        <f t="shared" si="2"/>
        <v>384</v>
      </c>
      <c r="U53" s="74" t="str">
        <f t="shared" si="3"/>
        <v>29</v>
      </c>
      <c r="V53" s="74" t="str">
        <f t="shared" si="4"/>
        <v>31</v>
      </c>
      <c r="W53" s="74" t="str">
        <f t="shared" si="5"/>
        <v/>
      </c>
      <c r="X53" s="74">
        <f t="shared" si="6"/>
        <v>29</v>
      </c>
      <c r="Y53" s="74">
        <f t="shared" si="7"/>
        <v>31</v>
      </c>
      <c r="Z53" s="74" t="str">
        <f t="shared" si="8"/>
        <v/>
      </c>
      <c r="AA53" s="74" t="str">
        <f t="shared" si="9"/>
        <v/>
      </c>
      <c r="AC53" s="74" t="b">
        <f t="shared" si="10"/>
        <v>1</v>
      </c>
      <c r="AD53" s="74" t="b">
        <f t="shared" si="11"/>
        <v>1</v>
      </c>
      <c r="AE53" s="74" t="str">
        <f t="shared" si="14"/>
        <v/>
      </c>
      <c r="AF53" s="91" t="str">
        <f>IF(AE53&lt;&gt;"",COUNTIF(AE$3:AE53,FALSE),"")</f>
        <v/>
      </c>
      <c r="AG53" s="73" t="str">
        <f t="shared" si="12"/>
        <v>44905;Après-Midi;Stéphane M.</v>
      </c>
      <c r="AH53" s="80">
        <f t="shared" si="15"/>
        <v>15</v>
      </c>
      <c r="AI53" s="80" t="str">
        <f t="shared" si="16"/>
        <v>344;F;15;A</v>
      </c>
      <c r="AJ53" s="80">
        <f t="shared" si="17"/>
        <v>384</v>
      </c>
      <c r="AK53" s="80" t="str">
        <f t="shared" si="18"/>
        <v>29</v>
      </c>
      <c r="AL53" s="80" t="str">
        <f t="shared" si="19"/>
        <v>31</v>
      </c>
      <c r="AM53" s="80" t="str">
        <f t="shared" si="20"/>
        <v/>
      </c>
      <c r="AN53" s="73" t="str">
        <f t="shared" si="21"/>
        <v/>
      </c>
    </row>
    <row r="54" spans="1:40" x14ac:dyDescent="0.25">
      <c r="A54" s="76">
        <v>44905</v>
      </c>
      <c r="B54" s="76" t="s">
        <v>92</v>
      </c>
      <c r="C54" s="76">
        <v>16</v>
      </c>
      <c r="D54" s="76" t="s">
        <v>111</v>
      </c>
      <c r="E54" s="76">
        <v>384</v>
      </c>
      <c r="G54" s="76" t="b">
        <v>1</v>
      </c>
      <c r="J54" s="76" t="s">
        <v>88</v>
      </c>
      <c r="K54" s="76">
        <v>344</v>
      </c>
      <c r="L54" s="76" t="s">
        <v>183</v>
      </c>
      <c r="M54" s="76" t="s">
        <v>94</v>
      </c>
      <c r="Q54" s="73" t="str">
        <f t="shared" si="0"/>
        <v>44905;Après-Midi;Stéphane M.</v>
      </c>
      <c r="R54" s="80">
        <f>IF(Q54&lt;&gt;"",COUNTIF(Q$2:Q54,Q54),"")</f>
        <v>16</v>
      </c>
      <c r="S54" s="73" t="str">
        <f t="shared" si="1"/>
        <v>344;F;16;A</v>
      </c>
      <c r="T54" s="74">
        <f t="shared" si="2"/>
        <v>384</v>
      </c>
      <c r="U54" s="74" t="str">
        <f t="shared" si="3"/>
        <v/>
      </c>
      <c r="V54" s="74" t="str">
        <f t="shared" si="4"/>
        <v/>
      </c>
      <c r="W54" s="74" t="str">
        <f t="shared" si="5"/>
        <v/>
      </c>
      <c r="X54" s="74" t="str">
        <f t="shared" si="6"/>
        <v/>
      </c>
      <c r="Y54" s="74" t="str">
        <f t="shared" si="7"/>
        <v/>
      </c>
      <c r="Z54" s="74" t="str">
        <f t="shared" si="8"/>
        <v/>
      </c>
      <c r="AA54" s="74" t="str">
        <f t="shared" si="9"/>
        <v/>
      </c>
      <c r="AC54" s="74" t="str">
        <f t="shared" si="10"/>
        <v/>
      </c>
      <c r="AD54" s="74" t="str">
        <f t="shared" si="11"/>
        <v/>
      </c>
      <c r="AE54" s="74" t="str">
        <f t="shared" si="14"/>
        <v/>
      </c>
      <c r="AF54" s="91" t="str">
        <f>IF(AE54&lt;&gt;"",COUNTIF(AE$3:AE54,FALSE),"")</f>
        <v/>
      </c>
      <c r="AG54" s="73" t="str">
        <f t="shared" si="12"/>
        <v>44905;Après-Midi;Stéphane M.</v>
      </c>
      <c r="AH54" s="80">
        <f t="shared" si="15"/>
        <v>16</v>
      </c>
      <c r="AI54" s="80" t="str">
        <f t="shared" si="16"/>
        <v>344;F;16;A</v>
      </c>
      <c r="AJ54" s="80">
        <f t="shared" si="17"/>
        <v>384</v>
      </c>
      <c r="AK54" s="80" t="str">
        <f t="shared" si="18"/>
        <v/>
      </c>
      <c r="AL54" s="80" t="str">
        <f t="shared" si="19"/>
        <v/>
      </c>
      <c r="AM54" s="80" t="str">
        <f t="shared" si="20"/>
        <v/>
      </c>
      <c r="AN54" s="73" t="str">
        <f t="shared" si="21"/>
        <v/>
      </c>
    </row>
    <row r="55" spans="1:40" x14ac:dyDescent="0.25">
      <c r="A55" s="76">
        <v>44905</v>
      </c>
      <c r="B55" s="76" t="s">
        <v>92</v>
      </c>
      <c r="C55" s="76">
        <v>17</v>
      </c>
      <c r="D55" s="76" t="s">
        <v>112</v>
      </c>
      <c r="E55" s="76">
        <v>384</v>
      </c>
      <c r="G55" s="76" t="b">
        <v>1</v>
      </c>
      <c r="J55" s="76" t="s">
        <v>88</v>
      </c>
      <c r="K55" s="76">
        <v>344</v>
      </c>
      <c r="L55" s="76" t="s">
        <v>183</v>
      </c>
      <c r="M55" s="76" t="s">
        <v>94</v>
      </c>
      <c r="Q55" s="73" t="str">
        <f t="shared" si="0"/>
        <v>44905;Après-Midi;Stéphane M.</v>
      </c>
      <c r="R55" s="80">
        <f>IF(Q55&lt;&gt;"",COUNTIF(Q$2:Q55,Q55),"")</f>
        <v>17</v>
      </c>
      <c r="S55" s="73" t="str">
        <f t="shared" si="1"/>
        <v>344;F;17;A</v>
      </c>
      <c r="T55" s="74">
        <f t="shared" si="2"/>
        <v>384</v>
      </c>
      <c r="U55" s="74" t="str">
        <f t="shared" si="3"/>
        <v/>
      </c>
      <c r="V55" s="74" t="str">
        <f t="shared" si="4"/>
        <v/>
      </c>
      <c r="W55" s="74" t="str">
        <f t="shared" si="5"/>
        <v/>
      </c>
      <c r="X55" s="74" t="str">
        <f t="shared" si="6"/>
        <v/>
      </c>
      <c r="Y55" s="74" t="str">
        <f t="shared" si="7"/>
        <v/>
      </c>
      <c r="Z55" s="74" t="str">
        <f t="shared" si="8"/>
        <v/>
      </c>
      <c r="AA55" s="74" t="str">
        <f t="shared" si="9"/>
        <v/>
      </c>
      <c r="AC55" s="74" t="str">
        <f t="shared" si="10"/>
        <v/>
      </c>
      <c r="AD55" s="74" t="str">
        <f t="shared" si="11"/>
        <v/>
      </c>
      <c r="AE55" s="74" t="str">
        <f t="shared" si="14"/>
        <v/>
      </c>
      <c r="AF55" s="91" t="str">
        <f>IF(AE55&lt;&gt;"",COUNTIF(AE$3:AE55,FALSE),"")</f>
        <v/>
      </c>
      <c r="AG55" s="73" t="str">
        <f t="shared" si="12"/>
        <v>44905;Après-Midi;Stéphane M.</v>
      </c>
      <c r="AH55" s="80">
        <f t="shared" si="15"/>
        <v>17</v>
      </c>
      <c r="AI55" s="80" t="str">
        <f t="shared" si="16"/>
        <v>344;F;17;A</v>
      </c>
      <c r="AJ55" s="80">
        <f t="shared" si="17"/>
        <v>384</v>
      </c>
      <c r="AK55" s="80" t="str">
        <f t="shared" si="18"/>
        <v/>
      </c>
      <c r="AL55" s="80" t="str">
        <f t="shared" si="19"/>
        <v/>
      </c>
      <c r="AM55" s="80" t="str">
        <f t="shared" si="20"/>
        <v/>
      </c>
      <c r="AN55" s="73" t="str">
        <f t="shared" si="21"/>
        <v/>
      </c>
    </row>
    <row r="56" spans="1:40" x14ac:dyDescent="0.25">
      <c r="A56" s="76">
        <v>44905</v>
      </c>
      <c r="B56" s="76" t="s">
        <v>92</v>
      </c>
      <c r="C56" s="76">
        <v>18</v>
      </c>
      <c r="D56" s="76" t="s">
        <v>113</v>
      </c>
      <c r="E56" s="76">
        <v>384</v>
      </c>
      <c r="G56" s="76" t="b">
        <v>1</v>
      </c>
      <c r="J56" s="76" t="s">
        <v>88</v>
      </c>
      <c r="K56" s="76">
        <v>344</v>
      </c>
      <c r="L56" s="76" t="s">
        <v>183</v>
      </c>
      <c r="M56" s="76" t="s">
        <v>94</v>
      </c>
      <c r="Q56" s="73" t="str">
        <f t="shared" si="0"/>
        <v>44905;Après-Midi;Stéphane M.</v>
      </c>
      <c r="R56" s="80">
        <f>IF(Q56&lt;&gt;"",COUNTIF(Q$2:Q56,Q56),"")</f>
        <v>18</v>
      </c>
      <c r="S56" s="73" t="str">
        <f t="shared" si="1"/>
        <v>344;F;18;A</v>
      </c>
      <c r="T56" s="74">
        <f t="shared" si="2"/>
        <v>384</v>
      </c>
      <c r="U56" s="74" t="str">
        <f t="shared" si="3"/>
        <v/>
      </c>
      <c r="V56" s="74" t="str">
        <f t="shared" si="4"/>
        <v/>
      </c>
      <c r="W56" s="74" t="str">
        <f t="shared" si="5"/>
        <v/>
      </c>
      <c r="X56" s="74" t="str">
        <f t="shared" si="6"/>
        <v/>
      </c>
      <c r="Y56" s="74" t="str">
        <f t="shared" si="7"/>
        <v/>
      </c>
      <c r="Z56" s="74" t="str">
        <f t="shared" si="8"/>
        <v/>
      </c>
      <c r="AA56" s="74" t="str">
        <f t="shared" si="9"/>
        <v/>
      </c>
      <c r="AC56" s="74" t="str">
        <f t="shared" si="10"/>
        <v/>
      </c>
      <c r="AD56" s="74" t="str">
        <f t="shared" si="11"/>
        <v/>
      </c>
      <c r="AE56" s="74" t="str">
        <f t="shared" si="14"/>
        <v/>
      </c>
      <c r="AF56" s="91" t="str">
        <f>IF(AE56&lt;&gt;"",COUNTIF(AE$3:AE56,FALSE),"")</f>
        <v/>
      </c>
      <c r="AG56" s="73" t="str">
        <f t="shared" si="12"/>
        <v>44905;Après-Midi;Stéphane M.</v>
      </c>
      <c r="AH56" s="80">
        <f t="shared" si="15"/>
        <v>18</v>
      </c>
      <c r="AI56" s="80" t="str">
        <f t="shared" si="16"/>
        <v>344;F;18;A</v>
      </c>
      <c r="AJ56" s="80">
        <f t="shared" si="17"/>
        <v>384</v>
      </c>
      <c r="AK56" s="80" t="str">
        <f t="shared" si="18"/>
        <v/>
      </c>
      <c r="AL56" s="80" t="str">
        <f t="shared" si="19"/>
        <v/>
      </c>
      <c r="AM56" s="80" t="str">
        <f t="shared" si="20"/>
        <v/>
      </c>
      <c r="AN56" s="73" t="str">
        <f t="shared" si="21"/>
        <v/>
      </c>
    </row>
    <row r="57" spans="1:40" x14ac:dyDescent="0.25">
      <c r="A57" s="76">
        <v>44905</v>
      </c>
      <c r="B57" s="76" t="s">
        <v>92</v>
      </c>
      <c r="C57" s="76">
        <v>19</v>
      </c>
      <c r="D57" s="76" t="s">
        <v>114</v>
      </c>
      <c r="E57" s="76">
        <v>384</v>
      </c>
      <c r="G57" s="76" t="b">
        <v>1</v>
      </c>
      <c r="J57" s="76" t="s">
        <v>88</v>
      </c>
      <c r="K57" s="76">
        <v>344</v>
      </c>
      <c r="L57" s="76" t="s">
        <v>183</v>
      </c>
      <c r="M57" s="76" t="s">
        <v>94</v>
      </c>
      <c r="Q57" s="73" t="str">
        <f t="shared" si="0"/>
        <v>44905;Après-Midi;Stéphane M.</v>
      </c>
      <c r="R57" s="80">
        <f>IF(Q57&lt;&gt;"",COUNTIF(Q$2:Q57,Q57),"")</f>
        <v>19</v>
      </c>
      <c r="S57" s="73" t="str">
        <f t="shared" si="1"/>
        <v>344;F;19;A</v>
      </c>
      <c r="T57" s="74">
        <f t="shared" si="2"/>
        <v>384</v>
      </c>
      <c r="U57" s="74" t="str">
        <f t="shared" si="3"/>
        <v/>
      </c>
      <c r="V57" s="74" t="str">
        <f t="shared" si="4"/>
        <v/>
      </c>
      <c r="W57" s="74" t="str">
        <f t="shared" si="5"/>
        <v/>
      </c>
      <c r="X57" s="74" t="str">
        <f t="shared" si="6"/>
        <v/>
      </c>
      <c r="Y57" s="74" t="str">
        <f t="shared" si="7"/>
        <v/>
      </c>
      <c r="Z57" s="74" t="str">
        <f t="shared" si="8"/>
        <v/>
      </c>
      <c r="AA57" s="74" t="str">
        <f t="shared" si="9"/>
        <v/>
      </c>
      <c r="AC57" s="74" t="str">
        <f t="shared" si="10"/>
        <v/>
      </c>
      <c r="AD57" s="74" t="str">
        <f t="shared" si="11"/>
        <v/>
      </c>
      <c r="AE57" s="74" t="str">
        <f t="shared" si="14"/>
        <v/>
      </c>
      <c r="AF57" s="91" t="str">
        <f>IF(AE57&lt;&gt;"",COUNTIF(AE$3:AE57,FALSE),"")</f>
        <v/>
      </c>
      <c r="AG57" s="73" t="str">
        <f t="shared" si="12"/>
        <v>44905;Après-Midi;Stéphane M.</v>
      </c>
      <c r="AH57" s="80">
        <f t="shared" si="15"/>
        <v>19</v>
      </c>
      <c r="AI57" s="80" t="str">
        <f t="shared" si="16"/>
        <v>344;F;19;A</v>
      </c>
      <c r="AJ57" s="80">
        <f t="shared" si="17"/>
        <v>384</v>
      </c>
      <c r="AK57" s="80" t="str">
        <f t="shared" si="18"/>
        <v/>
      </c>
      <c r="AL57" s="80" t="str">
        <f t="shared" si="19"/>
        <v/>
      </c>
      <c r="AM57" s="80" t="str">
        <f t="shared" si="20"/>
        <v/>
      </c>
      <c r="AN57" s="73" t="str">
        <f t="shared" si="21"/>
        <v/>
      </c>
    </row>
    <row r="58" spans="1:40" x14ac:dyDescent="0.25">
      <c r="A58" s="76">
        <v>44905</v>
      </c>
      <c r="B58" s="76" t="s">
        <v>92</v>
      </c>
      <c r="C58" s="76">
        <v>20</v>
      </c>
      <c r="D58" s="76" t="s">
        <v>115</v>
      </c>
      <c r="E58" s="76">
        <v>384</v>
      </c>
      <c r="G58" s="76" t="b">
        <v>1</v>
      </c>
      <c r="J58" s="76" t="s">
        <v>88</v>
      </c>
      <c r="K58" s="76">
        <v>344</v>
      </c>
      <c r="L58" s="76" t="s">
        <v>183</v>
      </c>
      <c r="M58" s="76" t="s">
        <v>94</v>
      </c>
      <c r="Q58" s="73" t="str">
        <f t="shared" si="0"/>
        <v>44905;Après-Midi;Stéphane M.</v>
      </c>
      <c r="R58" s="80">
        <f>IF(Q58&lt;&gt;"",COUNTIF(Q$2:Q58,Q58),"")</f>
        <v>20</v>
      </c>
      <c r="S58" s="73" t="str">
        <f t="shared" si="1"/>
        <v>344;F;20;A</v>
      </c>
      <c r="T58" s="74">
        <f t="shared" si="2"/>
        <v>384</v>
      </c>
      <c r="U58" s="74" t="str">
        <f t="shared" si="3"/>
        <v/>
      </c>
      <c r="V58" s="74" t="str">
        <f t="shared" si="4"/>
        <v/>
      </c>
      <c r="W58" s="74" t="str">
        <f t="shared" si="5"/>
        <v/>
      </c>
      <c r="X58" s="74" t="str">
        <f t="shared" si="6"/>
        <v/>
      </c>
      <c r="Y58" s="74" t="str">
        <f t="shared" si="7"/>
        <v/>
      </c>
      <c r="Z58" s="74" t="str">
        <f t="shared" si="8"/>
        <v/>
      </c>
      <c r="AA58" s="74" t="str">
        <f t="shared" si="9"/>
        <v/>
      </c>
      <c r="AC58" s="74" t="str">
        <f t="shared" si="10"/>
        <v/>
      </c>
      <c r="AD58" s="74" t="str">
        <f t="shared" si="11"/>
        <v/>
      </c>
      <c r="AE58" s="74" t="str">
        <f t="shared" si="14"/>
        <v/>
      </c>
      <c r="AF58" s="91" t="str">
        <f>IF(AE58&lt;&gt;"",COUNTIF(AE$3:AE58,FALSE),"")</f>
        <v/>
      </c>
      <c r="AG58" s="73" t="str">
        <f t="shared" si="12"/>
        <v>44905;Après-Midi;Stéphane M.</v>
      </c>
      <c r="AH58" s="80">
        <f t="shared" si="15"/>
        <v>20</v>
      </c>
      <c r="AI58" s="80" t="str">
        <f t="shared" si="16"/>
        <v>344;F;20;A</v>
      </c>
      <c r="AJ58" s="80">
        <f t="shared" si="17"/>
        <v>384</v>
      </c>
      <c r="AK58" s="80" t="str">
        <f t="shared" si="18"/>
        <v/>
      </c>
      <c r="AL58" s="80" t="str">
        <f t="shared" si="19"/>
        <v/>
      </c>
      <c r="AM58" s="80" t="str">
        <f t="shared" si="20"/>
        <v/>
      </c>
      <c r="AN58" s="73" t="str">
        <f t="shared" si="21"/>
        <v/>
      </c>
    </row>
    <row r="59" spans="1:40" x14ac:dyDescent="0.25">
      <c r="A59" s="76">
        <v>44905</v>
      </c>
      <c r="B59" s="76" t="s">
        <v>92</v>
      </c>
      <c r="C59" s="76">
        <v>21</v>
      </c>
      <c r="D59" s="76" t="s">
        <v>116</v>
      </c>
      <c r="E59" s="76">
        <v>384</v>
      </c>
      <c r="G59" s="76" t="b">
        <v>1</v>
      </c>
      <c r="J59" s="76" t="s">
        <v>88</v>
      </c>
      <c r="K59" s="76">
        <v>344</v>
      </c>
      <c r="L59" s="76" t="s">
        <v>183</v>
      </c>
      <c r="M59" s="76" t="s">
        <v>94</v>
      </c>
      <c r="Q59" s="73" t="str">
        <f t="shared" si="0"/>
        <v>44905;Après-Midi;Stéphane M.</v>
      </c>
      <c r="R59" s="80">
        <f>IF(Q59&lt;&gt;"",COUNTIF(Q$2:Q59,Q59),"")</f>
        <v>21</v>
      </c>
      <c r="S59" s="73" t="str">
        <f t="shared" si="1"/>
        <v>344;F;21;A</v>
      </c>
      <c r="T59" s="74">
        <f t="shared" si="2"/>
        <v>384</v>
      </c>
      <c r="U59" s="74" t="str">
        <f t="shared" si="3"/>
        <v/>
      </c>
      <c r="V59" s="74" t="str">
        <f t="shared" si="4"/>
        <v/>
      </c>
      <c r="W59" s="74" t="str">
        <f t="shared" si="5"/>
        <v/>
      </c>
      <c r="X59" s="74" t="str">
        <f t="shared" si="6"/>
        <v/>
      </c>
      <c r="Y59" s="74" t="str">
        <f t="shared" si="7"/>
        <v/>
      </c>
      <c r="Z59" s="74" t="str">
        <f t="shared" si="8"/>
        <v/>
      </c>
      <c r="AA59" s="74" t="str">
        <f t="shared" si="9"/>
        <v/>
      </c>
      <c r="AC59" s="74" t="str">
        <f t="shared" si="10"/>
        <v/>
      </c>
      <c r="AD59" s="74" t="str">
        <f t="shared" si="11"/>
        <v/>
      </c>
      <c r="AE59" s="74" t="str">
        <f t="shared" si="14"/>
        <v/>
      </c>
      <c r="AF59" s="91" t="str">
        <f>IF(AE59&lt;&gt;"",COUNTIF(AE$3:AE59,FALSE),"")</f>
        <v/>
      </c>
      <c r="AG59" s="73" t="str">
        <f t="shared" si="12"/>
        <v>44905;Après-Midi;Stéphane M.</v>
      </c>
      <c r="AH59" s="80">
        <f t="shared" si="15"/>
        <v>21</v>
      </c>
      <c r="AI59" s="80" t="str">
        <f t="shared" si="16"/>
        <v>344;F;21;A</v>
      </c>
      <c r="AJ59" s="80">
        <f t="shared" si="17"/>
        <v>384</v>
      </c>
      <c r="AK59" s="80" t="str">
        <f t="shared" si="18"/>
        <v/>
      </c>
      <c r="AL59" s="80" t="str">
        <f t="shared" si="19"/>
        <v/>
      </c>
      <c r="AM59" s="80" t="str">
        <f t="shared" si="20"/>
        <v/>
      </c>
      <c r="AN59" s="73" t="str">
        <f t="shared" si="21"/>
        <v/>
      </c>
    </row>
    <row r="60" spans="1:40" x14ac:dyDescent="0.25">
      <c r="A60" s="76">
        <v>44905</v>
      </c>
      <c r="B60" s="76" t="s">
        <v>92</v>
      </c>
      <c r="C60" s="76">
        <v>22</v>
      </c>
      <c r="D60" s="76" t="s">
        <v>117</v>
      </c>
      <c r="E60" s="76">
        <v>384</v>
      </c>
      <c r="G60" s="76" t="b">
        <v>1</v>
      </c>
      <c r="J60" s="76" t="s">
        <v>88</v>
      </c>
      <c r="K60" s="76">
        <v>344</v>
      </c>
      <c r="L60" s="76" t="s">
        <v>183</v>
      </c>
      <c r="M60" s="76" t="s">
        <v>94</v>
      </c>
      <c r="N60" s="76" t="s">
        <v>137</v>
      </c>
      <c r="Q60" s="73" t="str">
        <f t="shared" si="0"/>
        <v>44905;Après-Midi;Stéphane M.</v>
      </c>
      <c r="R60" s="80">
        <f>IF(Q60&lt;&gt;"",COUNTIF(Q$2:Q60,Q60),"")</f>
        <v>22</v>
      </c>
      <c r="S60" s="73" t="str">
        <f t="shared" si="1"/>
        <v>344;F;22;A</v>
      </c>
      <c r="T60" s="74">
        <f t="shared" si="2"/>
        <v>384</v>
      </c>
      <c r="U60" s="74" t="str">
        <f t="shared" si="3"/>
        <v>32</v>
      </c>
      <c r="V60" s="74" t="str">
        <f t="shared" si="4"/>
        <v>31</v>
      </c>
      <c r="W60" s="74" t="str">
        <f t="shared" si="5"/>
        <v/>
      </c>
      <c r="X60" s="74">
        <f t="shared" si="6"/>
        <v>32</v>
      </c>
      <c r="Y60" s="74">
        <f t="shared" si="7"/>
        <v>31</v>
      </c>
      <c r="Z60" s="74" t="str">
        <f t="shared" si="8"/>
        <v/>
      </c>
      <c r="AA60" s="74" t="str">
        <f t="shared" si="9"/>
        <v/>
      </c>
      <c r="AC60" s="74" t="b">
        <f t="shared" si="10"/>
        <v>1</v>
      </c>
      <c r="AD60" s="74" t="b">
        <f t="shared" si="11"/>
        <v>1</v>
      </c>
      <c r="AE60" s="74" t="str">
        <f t="shared" si="14"/>
        <v/>
      </c>
      <c r="AF60" s="91" t="str">
        <f>IF(AE60&lt;&gt;"",COUNTIF(AE$3:AE60,FALSE),"")</f>
        <v/>
      </c>
      <c r="AG60" s="73" t="str">
        <f t="shared" si="12"/>
        <v>44905;Après-Midi;Stéphane M.</v>
      </c>
      <c r="AH60" s="80">
        <f t="shared" si="15"/>
        <v>22</v>
      </c>
      <c r="AI60" s="80" t="str">
        <f t="shared" si="16"/>
        <v>344;F;22;A</v>
      </c>
      <c r="AJ60" s="80">
        <f t="shared" si="17"/>
        <v>384</v>
      </c>
      <c r="AK60" s="80" t="str">
        <f t="shared" si="18"/>
        <v>32</v>
      </c>
      <c r="AL60" s="80" t="str">
        <f t="shared" si="19"/>
        <v>31</v>
      </c>
      <c r="AM60" s="80" t="str">
        <f t="shared" si="20"/>
        <v/>
      </c>
      <c r="AN60" s="73" t="str">
        <f t="shared" si="21"/>
        <v/>
      </c>
    </row>
    <row r="61" spans="1:40" x14ac:dyDescent="0.25">
      <c r="A61" s="76">
        <v>44905</v>
      </c>
      <c r="B61" s="76" t="s">
        <v>92</v>
      </c>
      <c r="C61" s="76">
        <v>23</v>
      </c>
      <c r="D61" s="76" t="s">
        <v>118</v>
      </c>
      <c r="E61" s="76">
        <v>384</v>
      </c>
      <c r="G61" s="76" t="b">
        <v>1</v>
      </c>
      <c r="J61" s="76" t="s">
        <v>88</v>
      </c>
      <c r="K61" s="76">
        <v>344</v>
      </c>
      <c r="L61" s="76" t="s">
        <v>183</v>
      </c>
      <c r="M61" s="76" t="s">
        <v>94</v>
      </c>
      <c r="O61" s="76" t="s">
        <v>155</v>
      </c>
      <c r="Q61" s="73" t="str">
        <f t="shared" si="0"/>
        <v>44905;Après-Midi;Stéphane M.</v>
      </c>
      <c r="R61" s="80">
        <f>IF(Q61&lt;&gt;"",COUNTIF(Q$2:Q61,Q61),"")</f>
        <v>23</v>
      </c>
      <c r="S61" s="73" t="str">
        <f t="shared" si="1"/>
        <v>344;F;23;A</v>
      </c>
      <c r="T61" s="74">
        <f t="shared" si="2"/>
        <v>384</v>
      </c>
      <c r="U61" s="74" t="str">
        <f t="shared" si="3"/>
        <v/>
      </c>
      <c r="V61" s="74" t="str">
        <f t="shared" si="4"/>
        <v/>
      </c>
      <c r="W61" s="74" t="str">
        <f t="shared" si="5"/>
        <v>302</v>
      </c>
      <c r="X61" s="74" t="str">
        <f t="shared" si="6"/>
        <v/>
      </c>
      <c r="Y61" s="74" t="str">
        <f t="shared" si="7"/>
        <v/>
      </c>
      <c r="Z61" s="74">
        <f t="shared" si="8"/>
        <v>302</v>
      </c>
      <c r="AA61" s="74" t="b">
        <f t="shared" si="9"/>
        <v>1</v>
      </c>
      <c r="AC61" s="74" t="str">
        <f t="shared" si="10"/>
        <v/>
      </c>
      <c r="AD61" s="74" t="str">
        <f t="shared" si="11"/>
        <v/>
      </c>
      <c r="AE61" s="74" t="str">
        <f t="shared" si="14"/>
        <v/>
      </c>
      <c r="AF61" s="91" t="str">
        <f>IF(AE61&lt;&gt;"",COUNTIF(AE$3:AE61,FALSE),"")</f>
        <v/>
      </c>
      <c r="AG61" s="73" t="str">
        <f t="shared" si="12"/>
        <v>44905;Après-Midi;Stéphane M.</v>
      </c>
      <c r="AH61" s="80">
        <f t="shared" si="15"/>
        <v>23</v>
      </c>
      <c r="AI61" s="80" t="str">
        <f t="shared" si="16"/>
        <v>344;F;23;A</v>
      </c>
      <c r="AJ61" s="80">
        <f t="shared" si="17"/>
        <v>384</v>
      </c>
      <c r="AK61" s="80" t="str">
        <f t="shared" si="18"/>
        <v/>
      </c>
      <c r="AL61" s="80" t="str">
        <f t="shared" si="19"/>
        <v/>
      </c>
      <c r="AM61" s="80" t="str">
        <f t="shared" si="20"/>
        <v>302</v>
      </c>
      <c r="AN61" s="73" t="b">
        <f t="shared" si="21"/>
        <v>1</v>
      </c>
    </row>
    <row r="62" spans="1:40" x14ac:dyDescent="0.25">
      <c r="A62" s="76">
        <v>44905</v>
      </c>
      <c r="B62" s="76" t="s">
        <v>92</v>
      </c>
      <c r="C62" s="76">
        <v>24</v>
      </c>
      <c r="D62" s="76" t="s">
        <v>119</v>
      </c>
      <c r="E62" s="76">
        <v>384</v>
      </c>
      <c r="G62" s="76" t="b">
        <v>1</v>
      </c>
      <c r="J62" s="76" t="s">
        <v>88</v>
      </c>
      <c r="K62" s="76">
        <v>344</v>
      </c>
      <c r="L62" s="76" t="s">
        <v>183</v>
      </c>
      <c r="M62" s="76" t="s">
        <v>94</v>
      </c>
      <c r="Q62" s="73" t="str">
        <f t="shared" si="0"/>
        <v>44905;Après-Midi;Stéphane M.</v>
      </c>
      <c r="R62" s="80">
        <f>IF(Q62&lt;&gt;"",COUNTIF(Q$2:Q62,Q62),"")</f>
        <v>24</v>
      </c>
      <c r="S62" s="73" t="str">
        <f t="shared" si="1"/>
        <v>344;F;24;A</v>
      </c>
      <c r="T62" s="74">
        <f t="shared" si="2"/>
        <v>384</v>
      </c>
      <c r="U62" s="74" t="str">
        <f t="shared" si="3"/>
        <v/>
      </c>
      <c r="V62" s="74" t="str">
        <f t="shared" si="4"/>
        <v/>
      </c>
      <c r="W62" s="74" t="str">
        <f t="shared" si="5"/>
        <v/>
      </c>
      <c r="X62" s="74" t="str">
        <f t="shared" si="6"/>
        <v/>
      </c>
      <c r="Y62" s="74" t="str">
        <f t="shared" si="7"/>
        <v/>
      </c>
      <c r="Z62" s="74" t="str">
        <f t="shared" si="8"/>
        <v/>
      </c>
      <c r="AA62" s="74" t="str">
        <f t="shared" ref="AA62:AA95" si="22">IF(O62&lt;&gt;"",IFERROR(IF(FIND("OK",O62)&gt;0,TRUE),FALSE),"")</f>
        <v/>
      </c>
      <c r="AC62" s="74" t="str">
        <f t="shared" ref="AC62:AC95" si="23">IF(X62&lt;&gt;"",IF(AND(X62&lt;39,X62&gt;25),TRUE,FALSE),"")</f>
        <v/>
      </c>
      <c r="AD62" s="74" t="str">
        <f t="shared" ref="AD62:AD95" si="24">IF(Y62&lt;&gt;"",IF(AND(Y62&lt;39,Y62&gt;25),TRUE,FALSE),"")</f>
        <v/>
      </c>
      <c r="AE62" s="74" t="str">
        <f t="shared" ref="AE62:AE95" si="25">IF(OR(AA62=FALSE,AC62=FALSE,AD62=FALSE),FALSE,"")</f>
        <v/>
      </c>
      <c r="AF62" s="91" t="str">
        <f>IF(AE62&lt;&gt;"",COUNTIF(AE$3:AE62,FALSE),"")</f>
        <v/>
      </c>
      <c r="AG62" s="73" t="str">
        <f t="shared" si="12"/>
        <v>44905;Après-Midi;Stéphane M.</v>
      </c>
      <c r="AH62" s="80">
        <f t="shared" si="15"/>
        <v>24</v>
      </c>
      <c r="AI62" s="80" t="str">
        <f t="shared" si="16"/>
        <v>344;F;24;A</v>
      </c>
      <c r="AJ62" s="80">
        <f t="shared" si="17"/>
        <v>384</v>
      </c>
      <c r="AK62" s="80" t="str">
        <f t="shared" si="18"/>
        <v/>
      </c>
      <c r="AL62" s="80" t="str">
        <f t="shared" si="19"/>
        <v/>
      </c>
      <c r="AM62" s="80" t="str">
        <f t="shared" si="20"/>
        <v/>
      </c>
      <c r="AN62" s="73" t="str">
        <f t="shared" si="21"/>
        <v/>
      </c>
    </row>
    <row r="63" spans="1:40" x14ac:dyDescent="0.25">
      <c r="A63" s="76">
        <v>44905</v>
      </c>
      <c r="B63" s="76" t="s">
        <v>92</v>
      </c>
      <c r="C63" s="76">
        <v>25</v>
      </c>
      <c r="D63" s="76" t="s">
        <v>120</v>
      </c>
      <c r="E63" s="76">
        <v>384</v>
      </c>
      <c r="G63" s="76" t="b">
        <v>1</v>
      </c>
      <c r="J63" s="76" t="s">
        <v>88</v>
      </c>
      <c r="K63" s="76">
        <v>344</v>
      </c>
      <c r="L63" s="76" t="s">
        <v>183</v>
      </c>
      <c r="M63" s="76" t="s">
        <v>94</v>
      </c>
      <c r="Q63" s="73" t="str">
        <f t="shared" si="0"/>
        <v>44905;Après-Midi;Stéphane M.</v>
      </c>
      <c r="R63" s="80">
        <f>IF(Q63&lt;&gt;"",COUNTIF(Q$2:Q63,Q63),"")</f>
        <v>25</v>
      </c>
      <c r="S63" s="73" t="str">
        <f t="shared" si="1"/>
        <v>344;F;25;A</v>
      </c>
      <c r="T63" s="74">
        <f t="shared" si="2"/>
        <v>384</v>
      </c>
      <c r="U63" s="74" t="str">
        <f t="shared" si="3"/>
        <v/>
      </c>
      <c r="V63" s="74" t="str">
        <f t="shared" si="4"/>
        <v/>
      </c>
      <c r="W63" s="74" t="str">
        <f t="shared" si="5"/>
        <v/>
      </c>
      <c r="X63" s="74" t="str">
        <f t="shared" si="6"/>
        <v/>
      </c>
      <c r="Y63" s="74" t="str">
        <f t="shared" si="7"/>
        <v/>
      </c>
      <c r="Z63" s="74" t="str">
        <f t="shared" si="8"/>
        <v/>
      </c>
      <c r="AA63" s="74" t="str">
        <f t="shared" si="22"/>
        <v/>
      </c>
      <c r="AC63" s="74" t="str">
        <f t="shared" si="23"/>
        <v/>
      </c>
      <c r="AD63" s="74" t="str">
        <f t="shared" si="24"/>
        <v/>
      </c>
      <c r="AE63" s="74" t="str">
        <f t="shared" si="25"/>
        <v/>
      </c>
      <c r="AF63" s="91" t="str">
        <f>IF(AE63&lt;&gt;"",COUNTIF(AE$3:AE63,FALSE),"")</f>
        <v/>
      </c>
      <c r="AG63" s="73" t="str">
        <f t="shared" si="12"/>
        <v>44905;Après-Midi;Stéphane M.</v>
      </c>
      <c r="AH63" s="80">
        <f t="shared" si="15"/>
        <v>25</v>
      </c>
      <c r="AI63" s="80" t="str">
        <f t="shared" si="16"/>
        <v>344;F;25;A</v>
      </c>
      <c r="AJ63" s="80">
        <f t="shared" si="17"/>
        <v>384</v>
      </c>
      <c r="AK63" s="80" t="str">
        <f t="shared" si="18"/>
        <v/>
      </c>
      <c r="AL63" s="80" t="str">
        <f t="shared" si="19"/>
        <v/>
      </c>
      <c r="AM63" s="80" t="str">
        <f t="shared" si="20"/>
        <v/>
      </c>
      <c r="AN63" s="73" t="str">
        <f t="shared" si="21"/>
        <v/>
      </c>
    </row>
    <row r="64" spans="1:40" x14ac:dyDescent="0.25">
      <c r="A64" s="76">
        <v>44905</v>
      </c>
      <c r="B64" s="76" t="s">
        <v>92</v>
      </c>
      <c r="C64" s="76">
        <v>26</v>
      </c>
      <c r="D64" s="76" t="s">
        <v>121</v>
      </c>
      <c r="E64" s="76">
        <v>384</v>
      </c>
      <c r="G64" s="76" t="b">
        <v>1</v>
      </c>
      <c r="J64" s="76" t="s">
        <v>88</v>
      </c>
      <c r="K64" s="76">
        <v>344</v>
      </c>
      <c r="L64" s="76" t="s">
        <v>183</v>
      </c>
      <c r="M64" s="76" t="s">
        <v>94</v>
      </c>
      <c r="Q64" s="73" t="str">
        <f t="shared" si="0"/>
        <v>44905;Après-Midi;Stéphane M.</v>
      </c>
      <c r="R64" s="80">
        <f>IF(Q64&lt;&gt;"",COUNTIF(Q$2:Q64,Q64),"")</f>
        <v>26</v>
      </c>
      <c r="S64" s="73" t="str">
        <f t="shared" si="1"/>
        <v>344;F;26;A</v>
      </c>
      <c r="T64" s="74">
        <f t="shared" si="2"/>
        <v>384</v>
      </c>
      <c r="U64" s="74" t="str">
        <f t="shared" si="3"/>
        <v/>
      </c>
      <c r="V64" s="74" t="str">
        <f t="shared" si="4"/>
        <v/>
      </c>
      <c r="W64" s="74" t="str">
        <f t="shared" si="5"/>
        <v/>
      </c>
      <c r="X64" s="74" t="str">
        <f t="shared" si="6"/>
        <v/>
      </c>
      <c r="Y64" s="74" t="str">
        <f t="shared" si="7"/>
        <v/>
      </c>
      <c r="Z64" s="74" t="str">
        <f t="shared" si="8"/>
        <v/>
      </c>
      <c r="AA64" s="74" t="str">
        <f t="shared" si="22"/>
        <v/>
      </c>
      <c r="AC64" s="74" t="str">
        <f t="shared" si="23"/>
        <v/>
      </c>
      <c r="AD64" s="74" t="str">
        <f t="shared" si="24"/>
        <v/>
      </c>
      <c r="AE64" s="74" t="str">
        <f t="shared" si="25"/>
        <v/>
      </c>
      <c r="AF64" s="91" t="str">
        <f>IF(AE64&lt;&gt;"",COUNTIF(AE$3:AE64,FALSE),"")</f>
        <v/>
      </c>
      <c r="AG64" s="73" t="str">
        <f t="shared" si="12"/>
        <v>44905;Après-Midi;Stéphane M.</v>
      </c>
      <c r="AH64" s="80">
        <f t="shared" si="15"/>
        <v>26</v>
      </c>
      <c r="AI64" s="80" t="str">
        <f t="shared" si="16"/>
        <v>344;F;26;A</v>
      </c>
      <c r="AJ64" s="80">
        <f t="shared" si="17"/>
        <v>384</v>
      </c>
      <c r="AK64" s="80" t="str">
        <f t="shared" si="18"/>
        <v/>
      </c>
      <c r="AL64" s="80" t="str">
        <f t="shared" si="19"/>
        <v/>
      </c>
      <c r="AM64" s="80" t="str">
        <f t="shared" si="20"/>
        <v/>
      </c>
      <c r="AN64" s="73" t="str">
        <f t="shared" si="21"/>
        <v/>
      </c>
    </row>
    <row r="65" spans="1:40" x14ac:dyDescent="0.25">
      <c r="A65" s="76">
        <v>44905</v>
      </c>
      <c r="B65" s="76" t="s">
        <v>92</v>
      </c>
      <c r="D65" s="76" t="s">
        <v>199</v>
      </c>
      <c r="E65" s="76">
        <v>384</v>
      </c>
      <c r="F65" s="76" t="s">
        <v>27</v>
      </c>
      <c r="G65" s="76" t="b">
        <v>0</v>
      </c>
      <c r="J65" s="76" t="s">
        <v>89</v>
      </c>
      <c r="K65" s="76">
        <v>344</v>
      </c>
      <c r="L65" s="76" t="s">
        <v>196</v>
      </c>
      <c r="M65" s="76" t="s">
        <v>200</v>
      </c>
      <c r="Q65" s="73" t="str">
        <f t="shared" si="0"/>
        <v/>
      </c>
      <c r="R65" s="80" t="str">
        <f>IF(Q65&lt;&gt;"",COUNTIF(Q$2:Q65,Q65),"")</f>
        <v/>
      </c>
      <c r="S65" s="73" t="str">
        <f t="shared" si="1"/>
        <v/>
      </c>
      <c r="T65" s="74" t="str">
        <f t="shared" si="2"/>
        <v/>
      </c>
      <c r="U65" s="74" t="str">
        <f t="shared" si="3"/>
        <v/>
      </c>
      <c r="V65" s="74" t="str">
        <f t="shared" si="4"/>
        <v/>
      </c>
      <c r="W65" s="74" t="str">
        <f t="shared" si="5"/>
        <v/>
      </c>
      <c r="X65" s="74" t="str">
        <f t="shared" si="6"/>
        <v/>
      </c>
      <c r="Y65" s="74" t="str">
        <f t="shared" si="7"/>
        <v/>
      </c>
      <c r="Z65" s="74" t="str">
        <f t="shared" si="8"/>
        <v/>
      </c>
      <c r="AA65" s="74" t="str">
        <f t="shared" si="22"/>
        <v/>
      </c>
      <c r="AC65" s="74" t="str">
        <f t="shared" si="23"/>
        <v/>
      </c>
      <c r="AD65" s="74" t="str">
        <f t="shared" si="24"/>
        <v/>
      </c>
      <c r="AE65" s="74" t="str">
        <f t="shared" si="25"/>
        <v/>
      </c>
      <c r="AF65" s="91" t="str">
        <f>IF(AE65&lt;&gt;"",COUNTIF(AE$3:AE65,FALSE),"")</f>
        <v/>
      </c>
      <c r="AG65" s="73" t="str">
        <f t="shared" si="12"/>
        <v/>
      </c>
      <c r="AH65" s="80" t="str">
        <f t="shared" si="15"/>
        <v/>
      </c>
      <c r="AI65" s="80" t="str">
        <f t="shared" si="16"/>
        <v/>
      </c>
      <c r="AJ65" s="80" t="str">
        <f t="shared" si="17"/>
        <v/>
      </c>
      <c r="AK65" s="80" t="str">
        <f t="shared" si="18"/>
        <v/>
      </c>
      <c r="AL65" s="80" t="str">
        <f t="shared" si="19"/>
        <v/>
      </c>
      <c r="AM65" s="80" t="str">
        <f t="shared" si="20"/>
        <v/>
      </c>
      <c r="AN65" s="73" t="str">
        <f t="shared" si="21"/>
        <v/>
      </c>
    </row>
    <row r="66" spans="1:40" x14ac:dyDescent="0.25">
      <c r="A66" s="76">
        <v>44905</v>
      </c>
      <c r="B66" s="76" t="s">
        <v>92</v>
      </c>
      <c r="C66" s="76">
        <v>1</v>
      </c>
      <c r="D66" s="76" t="s">
        <v>201</v>
      </c>
      <c r="E66" s="76">
        <v>384</v>
      </c>
      <c r="G66" s="76" t="b">
        <v>1</v>
      </c>
      <c r="J66" s="76" t="s">
        <v>89</v>
      </c>
      <c r="K66" s="76">
        <v>344</v>
      </c>
      <c r="L66" s="76" t="s">
        <v>196</v>
      </c>
      <c r="M66" s="76" t="s">
        <v>200</v>
      </c>
      <c r="Q66" s="73" t="str">
        <f t="shared" si="0"/>
        <v>44905;Nuit;ThomasNau N.</v>
      </c>
      <c r="R66" s="80">
        <f>IF(Q66&lt;&gt;"",COUNTIF(Q$2:Q66,Q66),"")</f>
        <v>1</v>
      </c>
      <c r="S66" s="73" t="str">
        <f t="shared" si="1"/>
        <v>344;F;1;N</v>
      </c>
      <c r="T66" s="74">
        <f t="shared" si="2"/>
        <v>384</v>
      </c>
      <c r="U66" s="74" t="str">
        <f t="shared" si="3"/>
        <v/>
      </c>
      <c r="V66" s="74" t="str">
        <f t="shared" si="4"/>
        <v/>
      </c>
      <c r="W66" s="74" t="str">
        <f t="shared" si="5"/>
        <v/>
      </c>
      <c r="X66" s="74" t="str">
        <f t="shared" si="6"/>
        <v/>
      </c>
      <c r="Y66" s="74" t="str">
        <f t="shared" si="7"/>
        <v/>
      </c>
      <c r="Z66" s="74" t="str">
        <f t="shared" si="8"/>
        <v/>
      </c>
      <c r="AA66" s="74" t="str">
        <f t="shared" si="22"/>
        <v/>
      </c>
      <c r="AC66" s="74" t="str">
        <f t="shared" si="23"/>
        <v/>
      </c>
      <c r="AD66" s="74" t="str">
        <f t="shared" si="24"/>
        <v/>
      </c>
      <c r="AE66" s="74" t="str">
        <f t="shared" si="25"/>
        <v/>
      </c>
      <c r="AF66" s="91" t="str">
        <f>IF(AE66&lt;&gt;"",COUNTIF(AE$3:AE66,FALSE),"")</f>
        <v/>
      </c>
      <c r="AG66" s="73" t="str">
        <f t="shared" si="12"/>
        <v>44905;Nuit;ThomasNau N.</v>
      </c>
      <c r="AH66" s="80">
        <f t="shared" si="15"/>
        <v>1</v>
      </c>
      <c r="AI66" s="80" t="str">
        <f t="shared" si="16"/>
        <v>344;F;1;N</v>
      </c>
      <c r="AJ66" s="80">
        <f t="shared" si="17"/>
        <v>384</v>
      </c>
      <c r="AK66" s="80" t="str">
        <f t="shared" si="18"/>
        <v/>
      </c>
      <c r="AL66" s="80" t="str">
        <f t="shared" si="19"/>
        <v/>
      </c>
      <c r="AM66" s="80" t="str">
        <f t="shared" si="20"/>
        <v/>
      </c>
      <c r="AN66" s="73" t="str">
        <f t="shared" si="21"/>
        <v/>
      </c>
    </row>
    <row r="67" spans="1:40" x14ac:dyDescent="0.25">
      <c r="A67" s="76">
        <v>44905</v>
      </c>
      <c r="B67" s="76" t="s">
        <v>92</v>
      </c>
      <c r="C67" s="76">
        <v>2</v>
      </c>
      <c r="D67" s="76" t="s">
        <v>202</v>
      </c>
      <c r="E67" s="76">
        <v>384</v>
      </c>
      <c r="G67" s="76" t="b">
        <v>1</v>
      </c>
      <c r="J67" s="76" t="s">
        <v>89</v>
      </c>
      <c r="K67" s="76">
        <v>344</v>
      </c>
      <c r="L67" s="76" t="s">
        <v>196</v>
      </c>
      <c r="M67" s="76" t="s">
        <v>200</v>
      </c>
      <c r="Q67" s="73" t="str">
        <f t="shared" si="0"/>
        <v>44905;Nuit;ThomasNau N.</v>
      </c>
      <c r="R67" s="80">
        <f>IF(Q67&lt;&gt;"",COUNTIF(Q$2:Q67,Q67),"")</f>
        <v>2</v>
      </c>
      <c r="S67" s="73" t="str">
        <f t="shared" si="1"/>
        <v>344;F;2;N</v>
      </c>
      <c r="T67" s="74">
        <f t="shared" si="2"/>
        <v>384</v>
      </c>
      <c r="U67" s="74" t="str">
        <f t="shared" si="3"/>
        <v/>
      </c>
      <c r="V67" s="74" t="str">
        <f t="shared" si="4"/>
        <v/>
      </c>
      <c r="W67" s="74" t="str">
        <f t="shared" si="5"/>
        <v/>
      </c>
      <c r="X67" s="74" t="str">
        <f t="shared" si="6"/>
        <v/>
      </c>
      <c r="Y67" s="74" t="str">
        <f t="shared" si="7"/>
        <v/>
      </c>
      <c r="Z67" s="74" t="str">
        <f t="shared" si="8"/>
        <v/>
      </c>
      <c r="AA67" s="74" t="str">
        <f t="shared" si="22"/>
        <v/>
      </c>
      <c r="AC67" s="74" t="str">
        <f t="shared" si="23"/>
        <v/>
      </c>
      <c r="AD67" s="74" t="str">
        <f t="shared" si="24"/>
        <v/>
      </c>
      <c r="AE67" s="74" t="str">
        <f t="shared" si="25"/>
        <v/>
      </c>
      <c r="AF67" s="91" t="str">
        <f>IF(AE67&lt;&gt;"",COUNTIF(AE$3:AE67,FALSE),"")</f>
        <v/>
      </c>
      <c r="AG67" s="73" t="str">
        <f t="shared" si="12"/>
        <v>44905;Nuit;ThomasNau N.</v>
      </c>
      <c r="AH67" s="80">
        <f t="shared" si="15"/>
        <v>2</v>
      </c>
      <c r="AI67" s="80" t="str">
        <f t="shared" si="16"/>
        <v>344;F;2;N</v>
      </c>
      <c r="AJ67" s="80">
        <f t="shared" si="17"/>
        <v>384</v>
      </c>
      <c r="AK67" s="80" t="str">
        <f t="shared" si="18"/>
        <v/>
      </c>
      <c r="AL67" s="80" t="str">
        <f t="shared" si="19"/>
        <v/>
      </c>
      <c r="AM67" s="80" t="str">
        <f t="shared" si="20"/>
        <v/>
      </c>
      <c r="AN67" s="73" t="str">
        <f t="shared" si="21"/>
        <v/>
      </c>
    </row>
    <row r="68" spans="1:40" x14ac:dyDescent="0.25">
      <c r="A68" s="76">
        <v>44905</v>
      </c>
      <c r="B68" s="76" t="s">
        <v>92</v>
      </c>
      <c r="C68" s="76">
        <v>3</v>
      </c>
      <c r="D68" s="76" t="s">
        <v>203</v>
      </c>
      <c r="E68" s="76">
        <v>384</v>
      </c>
      <c r="G68" s="76" t="b">
        <v>1</v>
      </c>
      <c r="J68" s="76" t="s">
        <v>89</v>
      </c>
      <c r="K68" s="76">
        <v>344</v>
      </c>
      <c r="L68" s="76" t="s">
        <v>196</v>
      </c>
      <c r="M68" s="76" t="s">
        <v>200</v>
      </c>
      <c r="O68" s="76" t="s">
        <v>198</v>
      </c>
      <c r="Q68" s="73" t="str">
        <f t="shared" ref="Q68:Q131" si="26">IF(C68&lt;&gt;"",IF(L68&lt;&gt;"",L68,""),"")</f>
        <v>44905;Nuit;ThomasNau N.</v>
      </c>
      <c r="R68" s="80">
        <f>IF(Q68&lt;&gt;"",COUNTIF(Q$2:Q68,Q68),"")</f>
        <v>3</v>
      </c>
      <c r="S68" s="73" t="str">
        <f t="shared" ref="S68:S131" si="27">IF(Q68&lt;&gt;"",D68,"")</f>
        <v>344;F;3;N</v>
      </c>
      <c r="T68" s="74">
        <f t="shared" ref="T68:T131" si="28">IF(Q68&lt;&gt;"",E68,"")</f>
        <v>384</v>
      </c>
      <c r="U68" s="74" t="str">
        <f t="shared" ref="U68:U131" si="29">IF(Q68&lt;&gt;"",IFERROR(SUBSTITUTE(LEFT(N68,FIND(";",N68)),";",""),""),"")</f>
        <v/>
      </c>
      <c r="V68" s="74" t="str">
        <f t="shared" ref="V68:V131" si="30">IF(Q68&lt;&gt;"",IFERROR(SUBSTITUTE(RIGHT(N68,FIND(";",N68)),";",""),""),"")</f>
        <v/>
      </c>
      <c r="W68" s="74" t="str">
        <f t="shared" ref="W68:W131" si="31">IF(R68&lt;&gt;"",IFERROR(SUBSTITUTE(LEFT(O68,FIND(";",O68)),";",""),""),"")</f>
        <v>122</v>
      </c>
      <c r="X68" s="74" t="str">
        <f t="shared" ref="X68:X131" si="32">IF(U68&lt;&gt;"",_xlfn.NUMBERVALUE(U68),"")</f>
        <v/>
      </c>
      <c r="Y68" s="74" t="str">
        <f t="shared" ref="Y68:Y131" si="33">IF(V68&lt;&gt;"",_xlfn.NUMBERVALUE(V68),"")</f>
        <v/>
      </c>
      <c r="Z68" s="74">
        <f t="shared" ref="Z68:Z131" si="34">IF(W68&lt;&gt;"",_xlfn.NUMBERVALUE(W68),"")</f>
        <v>122</v>
      </c>
      <c r="AA68" s="74" t="b">
        <f t="shared" si="22"/>
        <v>0</v>
      </c>
      <c r="AC68" s="74" t="str">
        <f t="shared" si="23"/>
        <v/>
      </c>
      <c r="AD68" s="74" t="str">
        <f t="shared" si="24"/>
        <v/>
      </c>
      <c r="AE68" s="74" t="b">
        <f t="shared" si="25"/>
        <v>0</v>
      </c>
      <c r="AF68" s="91">
        <f>IF(AE68&lt;&gt;"",COUNTIF(AE$3:AE68,FALSE),"")</f>
        <v>3</v>
      </c>
      <c r="AG68" s="73" t="str">
        <f t="shared" ref="AG68:AG95" si="35">Q68</f>
        <v>44905;Nuit;ThomasNau N.</v>
      </c>
      <c r="AH68" s="80">
        <f t="shared" si="15"/>
        <v>3</v>
      </c>
      <c r="AI68" s="80" t="str">
        <f t="shared" si="16"/>
        <v>344;F;3;N</v>
      </c>
      <c r="AJ68" s="80">
        <f t="shared" si="17"/>
        <v>384</v>
      </c>
      <c r="AK68" s="80" t="str">
        <f t="shared" si="18"/>
        <v/>
      </c>
      <c r="AL68" s="80" t="str">
        <f t="shared" si="19"/>
        <v/>
      </c>
      <c r="AM68" s="80" t="str">
        <f t="shared" si="20"/>
        <v>122</v>
      </c>
      <c r="AN68" s="73" t="b">
        <f t="shared" si="21"/>
        <v>0</v>
      </c>
    </row>
    <row r="69" spans="1:40" x14ac:dyDescent="0.25">
      <c r="A69" s="76">
        <v>44905</v>
      </c>
      <c r="B69" s="76" t="s">
        <v>92</v>
      </c>
      <c r="C69" s="76">
        <v>4</v>
      </c>
      <c r="D69" s="76" t="s">
        <v>204</v>
      </c>
      <c r="E69" s="76">
        <v>384</v>
      </c>
      <c r="G69" s="76" t="b">
        <v>1</v>
      </c>
      <c r="J69" s="76" t="s">
        <v>89</v>
      </c>
      <c r="K69" s="76">
        <v>344</v>
      </c>
      <c r="L69" s="76" t="s">
        <v>196</v>
      </c>
      <c r="M69" s="76" t="s">
        <v>200</v>
      </c>
      <c r="N69" s="76" t="s">
        <v>197</v>
      </c>
      <c r="O69" s="76" t="s">
        <v>134</v>
      </c>
      <c r="Q69" s="73" t="str">
        <f t="shared" si="26"/>
        <v>44905;Nuit;ThomasNau N.</v>
      </c>
      <c r="R69" s="80">
        <f>IF(Q69&lt;&gt;"",COUNTIF(Q$2:Q69,Q69),"")</f>
        <v>4</v>
      </c>
      <c r="S69" s="73" t="str">
        <f t="shared" si="27"/>
        <v>344;F;4;N</v>
      </c>
      <c r="T69" s="74">
        <f t="shared" si="28"/>
        <v>384</v>
      </c>
      <c r="U69" s="74" t="str">
        <f t="shared" si="29"/>
        <v>23</v>
      </c>
      <c r="V69" s="74" t="str">
        <f t="shared" si="30"/>
        <v>21</v>
      </c>
      <c r="W69" s="74" t="str">
        <f t="shared" si="31"/>
        <v>301</v>
      </c>
      <c r="X69" s="74">
        <f t="shared" si="32"/>
        <v>23</v>
      </c>
      <c r="Y69" s="74">
        <f t="shared" si="33"/>
        <v>21</v>
      </c>
      <c r="Z69" s="74">
        <f t="shared" si="34"/>
        <v>301</v>
      </c>
      <c r="AA69" s="74" t="b">
        <f t="shared" si="22"/>
        <v>1</v>
      </c>
      <c r="AC69" s="74" t="b">
        <f t="shared" si="23"/>
        <v>0</v>
      </c>
      <c r="AD69" s="74" t="b">
        <f t="shared" si="24"/>
        <v>0</v>
      </c>
      <c r="AE69" s="74" t="b">
        <f t="shared" si="25"/>
        <v>0</v>
      </c>
      <c r="AF69" s="91">
        <f>IF(AE69&lt;&gt;"",COUNTIF(AE$3:AE69,FALSE),"")</f>
        <v>4</v>
      </c>
      <c r="AG69" s="73" t="str">
        <f t="shared" si="35"/>
        <v>44905;Nuit;ThomasNau N.</v>
      </c>
      <c r="AH69" s="80">
        <f t="shared" ref="AH69:AH95" si="36">R69</f>
        <v>4</v>
      </c>
      <c r="AI69" s="80" t="str">
        <f t="shared" ref="AI69:AI95" si="37">S69</f>
        <v>344;F;4;N</v>
      </c>
      <c r="AJ69" s="80">
        <f t="shared" ref="AJ69:AJ95" si="38">T69</f>
        <v>384</v>
      </c>
      <c r="AK69" s="80" t="str">
        <f t="shared" ref="AK69:AK95" si="39">U69</f>
        <v>23</v>
      </c>
      <c r="AL69" s="80" t="str">
        <f t="shared" ref="AL69:AL95" si="40">V69</f>
        <v>21</v>
      </c>
      <c r="AM69" s="80" t="str">
        <f t="shared" ref="AM69:AM95" si="41">W69</f>
        <v>301</v>
      </c>
      <c r="AN69" s="73" t="b">
        <f t="shared" ref="AN69:AN95" si="42">AA69</f>
        <v>1</v>
      </c>
    </row>
    <row r="70" spans="1:40" x14ac:dyDescent="0.25">
      <c r="A70" s="76">
        <v>44905</v>
      </c>
      <c r="B70" s="76" t="s">
        <v>92</v>
      </c>
      <c r="D70" s="76" t="s">
        <v>199</v>
      </c>
      <c r="E70" s="76">
        <v>258</v>
      </c>
      <c r="F70" s="76" t="s">
        <v>14</v>
      </c>
      <c r="G70" s="76" t="b">
        <v>0</v>
      </c>
      <c r="J70" s="76" t="s">
        <v>89</v>
      </c>
      <c r="K70" s="76">
        <v>344</v>
      </c>
      <c r="L70" s="76" t="s">
        <v>196</v>
      </c>
      <c r="M70" s="76" t="s">
        <v>200</v>
      </c>
      <c r="Q70" s="73" t="str">
        <f t="shared" si="26"/>
        <v/>
      </c>
      <c r="R70" s="80" t="str">
        <f>IF(Q70&lt;&gt;"",COUNTIF(Q$2:Q70,Q70),"")</f>
        <v/>
      </c>
      <c r="S70" s="73" t="str">
        <f t="shared" si="27"/>
        <v/>
      </c>
      <c r="T70" s="74" t="str">
        <f t="shared" si="28"/>
        <v/>
      </c>
      <c r="U70" s="74" t="str">
        <f t="shared" si="29"/>
        <v/>
      </c>
      <c r="V70" s="74" t="str">
        <f t="shared" si="30"/>
        <v/>
      </c>
      <c r="W70" s="74" t="str">
        <f t="shared" si="31"/>
        <v/>
      </c>
      <c r="X70" s="74" t="str">
        <f t="shared" si="32"/>
        <v/>
      </c>
      <c r="Y70" s="74" t="str">
        <f t="shared" si="33"/>
        <v/>
      </c>
      <c r="Z70" s="74" t="str">
        <f t="shared" si="34"/>
        <v/>
      </c>
      <c r="AA70" s="74" t="str">
        <f t="shared" si="22"/>
        <v/>
      </c>
      <c r="AC70" s="74" t="str">
        <f t="shared" si="23"/>
        <v/>
      </c>
      <c r="AD70" s="74" t="str">
        <f t="shared" si="24"/>
        <v/>
      </c>
      <c r="AE70" s="74" t="str">
        <f t="shared" si="25"/>
        <v/>
      </c>
      <c r="AF70" s="91" t="str">
        <f>IF(AE70&lt;&gt;"",COUNTIF(AE$3:AE70,FALSE),"")</f>
        <v/>
      </c>
      <c r="AG70" s="73" t="str">
        <f t="shared" si="35"/>
        <v/>
      </c>
      <c r="AH70" s="80" t="str">
        <f t="shared" si="36"/>
        <v/>
      </c>
      <c r="AI70" s="80" t="str">
        <f t="shared" si="37"/>
        <v/>
      </c>
      <c r="AJ70" s="80" t="str">
        <f t="shared" si="38"/>
        <v/>
      </c>
      <c r="AK70" s="80" t="str">
        <f t="shared" si="39"/>
        <v/>
      </c>
      <c r="AL70" s="80" t="str">
        <f t="shared" si="40"/>
        <v/>
      </c>
      <c r="AM70" s="80" t="str">
        <f t="shared" si="41"/>
        <v/>
      </c>
      <c r="AN70" s="73" t="str">
        <f t="shared" si="42"/>
        <v/>
      </c>
    </row>
    <row r="71" spans="1:40" x14ac:dyDescent="0.25">
      <c r="A71" s="76">
        <v>44905</v>
      </c>
      <c r="B71" s="76" t="s">
        <v>92</v>
      </c>
      <c r="C71" s="76">
        <v>5</v>
      </c>
      <c r="D71" s="76" t="s">
        <v>205</v>
      </c>
      <c r="E71" s="76">
        <v>384</v>
      </c>
      <c r="G71" s="76" t="b">
        <v>1</v>
      </c>
      <c r="J71" s="76" t="s">
        <v>89</v>
      </c>
      <c r="K71" s="76">
        <v>344</v>
      </c>
      <c r="L71" s="76" t="s">
        <v>196</v>
      </c>
      <c r="M71" s="76" t="s">
        <v>200</v>
      </c>
      <c r="Q71" s="73" t="str">
        <f t="shared" si="26"/>
        <v>44905;Nuit;ThomasNau N.</v>
      </c>
      <c r="R71" s="80">
        <f>IF(Q71&lt;&gt;"",COUNTIF(Q$2:Q71,Q71),"")</f>
        <v>5</v>
      </c>
      <c r="S71" s="73" t="str">
        <f t="shared" si="27"/>
        <v>344;F;5;N</v>
      </c>
      <c r="T71" s="74">
        <f t="shared" si="28"/>
        <v>384</v>
      </c>
      <c r="U71" s="74" t="str">
        <f t="shared" si="29"/>
        <v/>
      </c>
      <c r="V71" s="74" t="str">
        <f t="shared" si="30"/>
        <v/>
      </c>
      <c r="W71" s="74" t="str">
        <f t="shared" si="31"/>
        <v/>
      </c>
      <c r="X71" s="74" t="str">
        <f t="shared" si="32"/>
        <v/>
      </c>
      <c r="Y71" s="74" t="str">
        <f t="shared" si="33"/>
        <v/>
      </c>
      <c r="Z71" s="74" t="str">
        <f t="shared" si="34"/>
        <v/>
      </c>
      <c r="AA71" s="74" t="str">
        <f t="shared" si="22"/>
        <v/>
      </c>
      <c r="AC71" s="74" t="str">
        <f t="shared" si="23"/>
        <v/>
      </c>
      <c r="AD71" s="74" t="str">
        <f t="shared" si="24"/>
        <v/>
      </c>
      <c r="AE71" s="74" t="str">
        <f t="shared" si="25"/>
        <v/>
      </c>
      <c r="AF71" s="91" t="str">
        <f>IF(AE71&lt;&gt;"",COUNTIF(AE$3:AE71,FALSE),"")</f>
        <v/>
      </c>
      <c r="AG71" s="73" t="str">
        <f t="shared" si="35"/>
        <v>44905;Nuit;ThomasNau N.</v>
      </c>
      <c r="AH71" s="80">
        <f t="shared" si="36"/>
        <v>5</v>
      </c>
      <c r="AI71" s="80" t="str">
        <f t="shared" si="37"/>
        <v>344;F;5;N</v>
      </c>
      <c r="AJ71" s="80">
        <f t="shared" si="38"/>
        <v>384</v>
      </c>
      <c r="AK71" s="80" t="str">
        <f t="shared" si="39"/>
        <v/>
      </c>
      <c r="AL71" s="80" t="str">
        <f t="shared" si="40"/>
        <v/>
      </c>
      <c r="AM71" s="80" t="str">
        <f t="shared" si="41"/>
        <v/>
      </c>
      <c r="AN71" s="73" t="str">
        <f t="shared" si="42"/>
        <v/>
      </c>
    </row>
    <row r="72" spans="1:40" x14ac:dyDescent="0.25">
      <c r="A72" s="76">
        <v>44905</v>
      </c>
      <c r="B72" s="76" t="s">
        <v>92</v>
      </c>
      <c r="C72" s="76">
        <v>6</v>
      </c>
      <c r="D72" s="76" t="s">
        <v>206</v>
      </c>
      <c r="E72" s="76">
        <v>384</v>
      </c>
      <c r="G72" s="76" t="b">
        <v>1</v>
      </c>
      <c r="J72" s="76" t="s">
        <v>89</v>
      </c>
      <c r="K72" s="76">
        <v>344</v>
      </c>
      <c r="L72" s="76" t="s">
        <v>196</v>
      </c>
      <c r="M72" s="76" t="s">
        <v>200</v>
      </c>
      <c r="Q72" s="73" t="str">
        <f t="shared" si="26"/>
        <v>44905;Nuit;ThomasNau N.</v>
      </c>
      <c r="R72" s="80">
        <f>IF(Q72&lt;&gt;"",COUNTIF(Q$2:Q72,Q72),"")</f>
        <v>6</v>
      </c>
      <c r="S72" s="73" t="str">
        <f t="shared" si="27"/>
        <v>344;F;6;N</v>
      </c>
      <c r="T72" s="74">
        <f t="shared" si="28"/>
        <v>384</v>
      </c>
      <c r="U72" s="74" t="str">
        <f t="shared" si="29"/>
        <v/>
      </c>
      <c r="V72" s="74" t="str">
        <f t="shared" si="30"/>
        <v/>
      </c>
      <c r="W72" s="74" t="str">
        <f t="shared" si="31"/>
        <v/>
      </c>
      <c r="X72" s="74" t="str">
        <f t="shared" si="32"/>
        <v/>
      </c>
      <c r="Y72" s="74" t="str">
        <f t="shared" si="33"/>
        <v/>
      </c>
      <c r="Z72" s="74" t="str">
        <f t="shared" si="34"/>
        <v/>
      </c>
      <c r="AA72" s="74" t="str">
        <f t="shared" si="22"/>
        <v/>
      </c>
      <c r="AC72" s="74" t="str">
        <f t="shared" si="23"/>
        <v/>
      </c>
      <c r="AD72" s="74" t="str">
        <f t="shared" si="24"/>
        <v/>
      </c>
      <c r="AE72" s="74" t="str">
        <f t="shared" si="25"/>
        <v/>
      </c>
      <c r="AF72" s="91" t="str">
        <f>IF(AE72&lt;&gt;"",COUNTIF(AE$3:AE72,FALSE),"")</f>
        <v/>
      </c>
      <c r="AG72" s="73" t="str">
        <f t="shared" si="35"/>
        <v>44905;Nuit;ThomasNau N.</v>
      </c>
      <c r="AH72" s="80">
        <f t="shared" si="36"/>
        <v>6</v>
      </c>
      <c r="AI72" s="80" t="str">
        <f t="shared" si="37"/>
        <v>344;F;6;N</v>
      </c>
      <c r="AJ72" s="80">
        <f t="shared" si="38"/>
        <v>384</v>
      </c>
      <c r="AK72" s="80" t="str">
        <f t="shared" si="39"/>
        <v/>
      </c>
      <c r="AL72" s="80" t="str">
        <f t="shared" si="40"/>
        <v/>
      </c>
      <c r="AM72" s="80" t="str">
        <f t="shared" si="41"/>
        <v/>
      </c>
      <c r="AN72" s="73" t="str">
        <f t="shared" si="42"/>
        <v/>
      </c>
    </row>
    <row r="73" spans="1:40" x14ac:dyDescent="0.25">
      <c r="A73" s="76">
        <v>44905</v>
      </c>
      <c r="B73" s="76" t="s">
        <v>92</v>
      </c>
      <c r="C73" s="76">
        <v>7</v>
      </c>
      <c r="D73" s="76" t="s">
        <v>207</v>
      </c>
      <c r="E73" s="76">
        <v>384</v>
      </c>
      <c r="G73" s="76" t="b">
        <v>1</v>
      </c>
      <c r="J73" s="76" t="s">
        <v>89</v>
      </c>
      <c r="K73" s="76">
        <v>344</v>
      </c>
      <c r="L73" s="76" t="s">
        <v>196</v>
      </c>
      <c r="M73" s="76" t="s">
        <v>200</v>
      </c>
      <c r="Q73" s="73" t="str">
        <f t="shared" si="26"/>
        <v>44905;Nuit;ThomasNau N.</v>
      </c>
      <c r="R73" s="80">
        <f>IF(Q73&lt;&gt;"",COUNTIF(Q$2:Q73,Q73),"")</f>
        <v>7</v>
      </c>
      <c r="S73" s="73" t="str">
        <f t="shared" si="27"/>
        <v>344;F;7;N</v>
      </c>
      <c r="T73" s="74">
        <f t="shared" si="28"/>
        <v>384</v>
      </c>
      <c r="U73" s="74" t="str">
        <f t="shared" si="29"/>
        <v/>
      </c>
      <c r="V73" s="74" t="str">
        <f t="shared" si="30"/>
        <v/>
      </c>
      <c r="W73" s="74" t="str">
        <f t="shared" si="31"/>
        <v/>
      </c>
      <c r="X73" s="74" t="str">
        <f t="shared" si="32"/>
        <v/>
      </c>
      <c r="Y73" s="74" t="str">
        <f t="shared" si="33"/>
        <v/>
      </c>
      <c r="Z73" s="74" t="str">
        <f t="shared" si="34"/>
        <v/>
      </c>
      <c r="AA73" s="74" t="str">
        <f t="shared" si="22"/>
        <v/>
      </c>
      <c r="AC73" s="74" t="str">
        <f t="shared" si="23"/>
        <v/>
      </c>
      <c r="AD73" s="74" t="str">
        <f t="shared" si="24"/>
        <v/>
      </c>
      <c r="AE73" s="74" t="str">
        <f t="shared" si="25"/>
        <v/>
      </c>
      <c r="AF73" s="91" t="str">
        <f>IF(AE73&lt;&gt;"",COUNTIF(AE$3:AE73,FALSE),"")</f>
        <v/>
      </c>
      <c r="AG73" s="73" t="str">
        <f t="shared" si="35"/>
        <v>44905;Nuit;ThomasNau N.</v>
      </c>
      <c r="AH73" s="80">
        <f t="shared" si="36"/>
        <v>7</v>
      </c>
      <c r="AI73" s="80" t="str">
        <f t="shared" si="37"/>
        <v>344;F;7;N</v>
      </c>
      <c r="AJ73" s="80">
        <f t="shared" si="38"/>
        <v>384</v>
      </c>
      <c r="AK73" s="80" t="str">
        <f t="shared" si="39"/>
        <v/>
      </c>
      <c r="AL73" s="80" t="str">
        <f t="shared" si="40"/>
        <v/>
      </c>
      <c r="AM73" s="80" t="str">
        <f t="shared" si="41"/>
        <v/>
      </c>
      <c r="AN73" s="73" t="str">
        <f t="shared" si="42"/>
        <v/>
      </c>
    </row>
    <row r="74" spans="1:40" x14ac:dyDescent="0.25">
      <c r="A74" s="76">
        <v>44905</v>
      </c>
      <c r="B74" s="76" t="s">
        <v>92</v>
      </c>
      <c r="C74" s="76">
        <v>8</v>
      </c>
      <c r="D74" s="76" t="s">
        <v>208</v>
      </c>
      <c r="E74" s="76">
        <v>384</v>
      </c>
      <c r="G74" s="76" t="b">
        <v>1</v>
      </c>
      <c r="J74" s="76" t="s">
        <v>89</v>
      </c>
      <c r="K74" s="76">
        <v>344</v>
      </c>
      <c r="L74" s="76" t="s">
        <v>196</v>
      </c>
      <c r="M74" s="76" t="s">
        <v>200</v>
      </c>
      <c r="Q74" s="73" t="str">
        <f t="shared" si="26"/>
        <v>44905;Nuit;ThomasNau N.</v>
      </c>
      <c r="R74" s="80">
        <f>IF(Q74&lt;&gt;"",COUNTIF(Q$2:Q74,Q74),"")</f>
        <v>8</v>
      </c>
      <c r="S74" s="73" t="str">
        <f t="shared" si="27"/>
        <v>344;F;8;N</v>
      </c>
      <c r="T74" s="74">
        <f t="shared" si="28"/>
        <v>384</v>
      </c>
      <c r="U74" s="74" t="str">
        <f t="shared" si="29"/>
        <v/>
      </c>
      <c r="V74" s="74" t="str">
        <f t="shared" si="30"/>
        <v/>
      </c>
      <c r="W74" s="74" t="str">
        <f t="shared" si="31"/>
        <v/>
      </c>
      <c r="X74" s="74" t="str">
        <f t="shared" si="32"/>
        <v/>
      </c>
      <c r="Y74" s="74" t="str">
        <f t="shared" si="33"/>
        <v/>
      </c>
      <c r="Z74" s="74" t="str">
        <f t="shared" si="34"/>
        <v/>
      </c>
      <c r="AA74" s="74" t="str">
        <f t="shared" si="22"/>
        <v/>
      </c>
      <c r="AC74" s="74" t="str">
        <f t="shared" si="23"/>
        <v/>
      </c>
      <c r="AD74" s="74" t="str">
        <f t="shared" si="24"/>
        <v/>
      </c>
      <c r="AE74" s="74" t="str">
        <f t="shared" si="25"/>
        <v/>
      </c>
      <c r="AF74" s="91" t="str">
        <f>IF(AE74&lt;&gt;"",COUNTIF(AE$3:AE74,FALSE),"")</f>
        <v/>
      </c>
      <c r="AG74" s="73" t="str">
        <f t="shared" si="35"/>
        <v>44905;Nuit;ThomasNau N.</v>
      </c>
      <c r="AH74" s="80">
        <f t="shared" si="36"/>
        <v>8</v>
      </c>
      <c r="AI74" s="80" t="str">
        <f t="shared" si="37"/>
        <v>344;F;8;N</v>
      </c>
      <c r="AJ74" s="80">
        <f t="shared" si="38"/>
        <v>384</v>
      </c>
      <c r="AK74" s="80" t="str">
        <f t="shared" si="39"/>
        <v/>
      </c>
      <c r="AL74" s="80" t="str">
        <f t="shared" si="40"/>
        <v/>
      </c>
      <c r="AM74" s="80" t="str">
        <f t="shared" si="41"/>
        <v/>
      </c>
      <c r="AN74" s="73" t="str">
        <f t="shared" si="42"/>
        <v/>
      </c>
    </row>
    <row r="75" spans="1:40" x14ac:dyDescent="0.25">
      <c r="A75" s="76">
        <v>44905</v>
      </c>
      <c r="B75" s="76" t="s">
        <v>92</v>
      </c>
      <c r="C75" s="76">
        <v>9</v>
      </c>
      <c r="D75" s="76" t="s">
        <v>209</v>
      </c>
      <c r="E75" s="76">
        <v>384</v>
      </c>
      <c r="G75" s="76" t="b">
        <v>1</v>
      </c>
      <c r="J75" s="76" t="s">
        <v>89</v>
      </c>
      <c r="K75" s="76">
        <v>344</v>
      </c>
      <c r="L75" s="76" t="s">
        <v>196</v>
      </c>
      <c r="M75" s="76" t="s">
        <v>200</v>
      </c>
      <c r="Q75" s="73" t="str">
        <f t="shared" si="26"/>
        <v>44905;Nuit;ThomasNau N.</v>
      </c>
      <c r="R75" s="80">
        <f>IF(Q75&lt;&gt;"",COUNTIF(Q$2:Q75,Q75),"")</f>
        <v>9</v>
      </c>
      <c r="S75" s="73" t="str">
        <f t="shared" si="27"/>
        <v>344;F;9;N</v>
      </c>
      <c r="T75" s="74">
        <f t="shared" si="28"/>
        <v>384</v>
      </c>
      <c r="U75" s="74" t="str">
        <f t="shared" si="29"/>
        <v/>
      </c>
      <c r="V75" s="74" t="str">
        <f t="shared" si="30"/>
        <v/>
      </c>
      <c r="W75" s="74" t="str">
        <f t="shared" si="31"/>
        <v/>
      </c>
      <c r="X75" s="74" t="str">
        <f t="shared" si="32"/>
        <v/>
      </c>
      <c r="Y75" s="74" t="str">
        <f t="shared" si="33"/>
        <v/>
      </c>
      <c r="Z75" s="74" t="str">
        <f t="shared" si="34"/>
        <v/>
      </c>
      <c r="AA75" s="74" t="str">
        <f t="shared" si="22"/>
        <v/>
      </c>
      <c r="AC75" s="74" t="str">
        <f t="shared" si="23"/>
        <v/>
      </c>
      <c r="AD75" s="74" t="str">
        <f t="shared" si="24"/>
        <v/>
      </c>
      <c r="AE75" s="74" t="str">
        <f t="shared" si="25"/>
        <v/>
      </c>
      <c r="AF75" s="91" t="str">
        <f>IF(AE75&lt;&gt;"",COUNTIF(AE$3:AE75,FALSE),"")</f>
        <v/>
      </c>
      <c r="AG75" s="73" t="str">
        <f t="shared" si="35"/>
        <v>44905;Nuit;ThomasNau N.</v>
      </c>
      <c r="AH75" s="80">
        <f t="shared" si="36"/>
        <v>9</v>
      </c>
      <c r="AI75" s="80" t="str">
        <f t="shared" si="37"/>
        <v>344;F;9;N</v>
      </c>
      <c r="AJ75" s="80">
        <f t="shared" si="38"/>
        <v>384</v>
      </c>
      <c r="AK75" s="80" t="str">
        <f t="shared" si="39"/>
        <v/>
      </c>
      <c r="AL75" s="80" t="str">
        <f t="shared" si="40"/>
        <v/>
      </c>
      <c r="AM75" s="80" t="str">
        <f t="shared" si="41"/>
        <v/>
      </c>
      <c r="AN75" s="73" t="str">
        <f t="shared" si="42"/>
        <v/>
      </c>
    </row>
    <row r="76" spans="1:40" x14ac:dyDescent="0.25">
      <c r="A76" s="76">
        <v>44905</v>
      </c>
      <c r="B76" s="76" t="s">
        <v>92</v>
      </c>
      <c r="C76" s="76">
        <v>10</v>
      </c>
      <c r="D76" s="76" t="s">
        <v>210</v>
      </c>
      <c r="E76" s="76">
        <v>384</v>
      </c>
      <c r="G76" s="76" t="b">
        <v>1</v>
      </c>
      <c r="J76" s="76" t="s">
        <v>89</v>
      </c>
      <c r="K76" s="76">
        <v>344</v>
      </c>
      <c r="L76" s="76" t="s">
        <v>196</v>
      </c>
      <c r="M76" s="76" t="s">
        <v>200</v>
      </c>
      <c r="Q76" s="73" t="str">
        <f t="shared" si="26"/>
        <v>44905;Nuit;ThomasNau N.</v>
      </c>
      <c r="R76" s="80">
        <f>IF(Q76&lt;&gt;"",COUNTIF(Q$2:Q76,Q76),"")</f>
        <v>10</v>
      </c>
      <c r="S76" s="73" t="str">
        <f t="shared" si="27"/>
        <v>344;F;10;N</v>
      </c>
      <c r="T76" s="74">
        <f t="shared" si="28"/>
        <v>384</v>
      </c>
      <c r="U76" s="74" t="str">
        <f t="shared" si="29"/>
        <v/>
      </c>
      <c r="V76" s="74" t="str">
        <f t="shared" si="30"/>
        <v/>
      </c>
      <c r="W76" s="74" t="str">
        <f t="shared" si="31"/>
        <v/>
      </c>
      <c r="X76" s="74" t="str">
        <f t="shared" si="32"/>
        <v/>
      </c>
      <c r="Y76" s="74" t="str">
        <f t="shared" si="33"/>
        <v/>
      </c>
      <c r="Z76" s="74" t="str">
        <f t="shared" si="34"/>
        <v/>
      </c>
      <c r="AA76" s="74" t="str">
        <f t="shared" si="22"/>
        <v/>
      </c>
      <c r="AC76" s="74" t="str">
        <f t="shared" si="23"/>
        <v/>
      </c>
      <c r="AD76" s="74" t="str">
        <f t="shared" si="24"/>
        <v/>
      </c>
      <c r="AE76" s="74" t="str">
        <f t="shared" si="25"/>
        <v/>
      </c>
      <c r="AF76" s="91" t="str">
        <f>IF(AE76&lt;&gt;"",COUNTIF(AE$3:AE76,FALSE),"")</f>
        <v/>
      </c>
      <c r="AG76" s="73" t="str">
        <f t="shared" si="35"/>
        <v>44905;Nuit;ThomasNau N.</v>
      </c>
      <c r="AH76" s="80">
        <f t="shared" si="36"/>
        <v>10</v>
      </c>
      <c r="AI76" s="80" t="str">
        <f t="shared" si="37"/>
        <v>344;F;10;N</v>
      </c>
      <c r="AJ76" s="80">
        <f t="shared" si="38"/>
        <v>384</v>
      </c>
      <c r="AK76" s="80" t="str">
        <f t="shared" si="39"/>
        <v/>
      </c>
      <c r="AL76" s="80" t="str">
        <f t="shared" si="40"/>
        <v/>
      </c>
      <c r="AM76" s="80" t="str">
        <f t="shared" si="41"/>
        <v/>
      </c>
      <c r="AN76" s="73" t="str">
        <f t="shared" si="42"/>
        <v/>
      </c>
    </row>
    <row r="77" spans="1:40" x14ac:dyDescent="0.25">
      <c r="A77" s="76">
        <v>44905</v>
      </c>
      <c r="B77" s="76" t="s">
        <v>92</v>
      </c>
      <c r="C77" s="76">
        <v>11</v>
      </c>
      <c r="D77" s="76" t="s">
        <v>211</v>
      </c>
      <c r="E77" s="76">
        <v>384</v>
      </c>
      <c r="G77" s="76" t="b">
        <v>1</v>
      </c>
      <c r="J77" s="76" t="s">
        <v>89</v>
      </c>
      <c r="K77" s="76">
        <v>344</v>
      </c>
      <c r="L77" s="76" t="s">
        <v>196</v>
      </c>
      <c r="M77" s="76" t="s">
        <v>200</v>
      </c>
      <c r="Q77" s="73" t="str">
        <f t="shared" si="26"/>
        <v>44905;Nuit;ThomasNau N.</v>
      </c>
      <c r="R77" s="80">
        <f>IF(Q77&lt;&gt;"",COUNTIF(Q$2:Q77,Q77),"")</f>
        <v>11</v>
      </c>
      <c r="S77" s="73" t="str">
        <f t="shared" si="27"/>
        <v>344;F;11;N</v>
      </c>
      <c r="T77" s="74">
        <f t="shared" si="28"/>
        <v>384</v>
      </c>
      <c r="U77" s="74" t="str">
        <f t="shared" si="29"/>
        <v/>
      </c>
      <c r="V77" s="74" t="str">
        <f t="shared" si="30"/>
        <v/>
      </c>
      <c r="W77" s="74" t="str">
        <f t="shared" si="31"/>
        <v/>
      </c>
      <c r="X77" s="74" t="str">
        <f t="shared" si="32"/>
        <v/>
      </c>
      <c r="Y77" s="74" t="str">
        <f t="shared" si="33"/>
        <v/>
      </c>
      <c r="Z77" s="74" t="str">
        <f t="shared" si="34"/>
        <v/>
      </c>
      <c r="AA77" s="74" t="str">
        <f t="shared" si="22"/>
        <v/>
      </c>
      <c r="AC77" s="74" t="str">
        <f t="shared" si="23"/>
        <v/>
      </c>
      <c r="AD77" s="74" t="str">
        <f t="shared" si="24"/>
        <v/>
      </c>
      <c r="AE77" s="74" t="str">
        <f t="shared" si="25"/>
        <v/>
      </c>
      <c r="AF77" s="91" t="str">
        <f>IF(AE77&lt;&gt;"",COUNTIF(AE$3:AE77,FALSE),"")</f>
        <v/>
      </c>
      <c r="AG77" s="73" t="str">
        <f t="shared" si="35"/>
        <v>44905;Nuit;ThomasNau N.</v>
      </c>
      <c r="AH77" s="80">
        <f t="shared" si="36"/>
        <v>11</v>
      </c>
      <c r="AI77" s="80" t="str">
        <f t="shared" si="37"/>
        <v>344;F;11;N</v>
      </c>
      <c r="AJ77" s="80">
        <f t="shared" si="38"/>
        <v>384</v>
      </c>
      <c r="AK77" s="80" t="str">
        <f t="shared" si="39"/>
        <v/>
      </c>
      <c r="AL77" s="80" t="str">
        <f t="shared" si="40"/>
        <v/>
      </c>
      <c r="AM77" s="80" t="str">
        <f t="shared" si="41"/>
        <v/>
      </c>
      <c r="AN77" s="73" t="str">
        <f t="shared" si="42"/>
        <v/>
      </c>
    </row>
    <row r="78" spans="1:40" x14ac:dyDescent="0.25">
      <c r="A78" s="76">
        <v>44905</v>
      </c>
      <c r="B78" s="76" t="s">
        <v>92</v>
      </c>
      <c r="C78" s="76">
        <v>12</v>
      </c>
      <c r="D78" s="76" t="s">
        <v>212</v>
      </c>
      <c r="E78" s="76">
        <v>384</v>
      </c>
      <c r="G78" s="76" t="b">
        <v>1</v>
      </c>
      <c r="J78" s="76" t="s">
        <v>89</v>
      </c>
      <c r="K78" s="76">
        <v>344</v>
      </c>
      <c r="L78" s="76" t="s">
        <v>196</v>
      </c>
      <c r="M78" s="76" t="s">
        <v>200</v>
      </c>
      <c r="Q78" s="73" t="str">
        <f t="shared" si="26"/>
        <v>44905;Nuit;ThomasNau N.</v>
      </c>
      <c r="R78" s="80">
        <f>IF(Q78&lt;&gt;"",COUNTIF(Q$2:Q78,Q78),"")</f>
        <v>12</v>
      </c>
      <c r="S78" s="73" t="str">
        <f t="shared" si="27"/>
        <v>344;F;12;N</v>
      </c>
      <c r="T78" s="74">
        <f t="shared" si="28"/>
        <v>384</v>
      </c>
      <c r="U78" s="74" t="str">
        <f t="shared" si="29"/>
        <v/>
      </c>
      <c r="V78" s="74" t="str">
        <f t="shared" si="30"/>
        <v/>
      </c>
      <c r="W78" s="74" t="str">
        <f t="shared" si="31"/>
        <v/>
      </c>
      <c r="X78" s="74" t="str">
        <f t="shared" si="32"/>
        <v/>
      </c>
      <c r="Y78" s="74" t="str">
        <f t="shared" si="33"/>
        <v/>
      </c>
      <c r="Z78" s="74" t="str">
        <f t="shared" si="34"/>
        <v/>
      </c>
      <c r="AA78" s="74" t="str">
        <f t="shared" si="22"/>
        <v/>
      </c>
      <c r="AC78" s="74" t="str">
        <f t="shared" si="23"/>
        <v/>
      </c>
      <c r="AD78" s="74" t="str">
        <f t="shared" si="24"/>
        <v/>
      </c>
      <c r="AE78" s="74" t="str">
        <f t="shared" si="25"/>
        <v/>
      </c>
      <c r="AF78" s="91" t="str">
        <f>IF(AE78&lt;&gt;"",COUNTIF(AE$3:AE78,FALSE),"")</f>
        <v/>
      </c>
      <c r="AG78" s="73" t="str">
        <f t="shared" si="35"/>
        <v>44905;Nuit;ThomasNau N.</v>
      </c>
      <c r="AH78" s="80">
        <f t="shared" si="36"/>
        <v>12</v>
      </c>
      <c r="AI78" s="80" t="str">
        <f t="shared" si="37"/>
        <v>344;F;12;N</v>
      </c>
      <c r="AJ78" s="80">
        <f t="shared" si="38"/>
        <v>384</v>
      </c>
      <c r="AK78" s="80" t="str">
        <f t="shared" si="39"/>
        <v/>
      </c>
      <c r="AL78" s="80" t="str">
        <f t="shared" si="40"/>
        <v/>
      </c>
      <c r="AM78" s="80" t="str">
        <f t="shared" si="41"/>
        <v/>
      </c>
      <c r="AN78" s="73" t="str">
        <f t="shared" si="42"/>
        <v/>
      </c>
    </row>
    <row r="79" spans="1:40" x14ac:dyDescent="0.25">
      <c r="A79" s="76">
        <v>44905</v>
      </c>
      <c r="B79" s="76" t="s">
        <v>92</v>
      </c>
      <c r="D79" s="76" t="s">
        <v>199</v>
      </c>
      <c r="E79" s="76">
        <v>384</v>
      </c>
      <c r="F79" s="76" t="s">
        <v>14</v>
      </c>
      <c r="G79" s="76" t="b">
        <v>0</v>
      </c>
      <c r="J79" s="76" t="s">
        <v>89</v>
      </c>
      <c r="K79" s="76">
        <v>344</v>
      </c>
      <c r="L79" s="76" t="s">
        <v>196</v>
      </c>
      <c r="M79" s="76" t="s">
        <v>200</v>
      </c>
      <c r="Q79" s="73" t="str">
        <f t="shared" si="26"/>
        <v/>
      </c>
      <c r="R79" s="80" t="str">
        <f>IF(Q79&lt;&gt;"",COUNTIF(Q$2:Q79,Q79),"")</f>
        <v/>
      </c>
      <c r="S79" s="73" t="str">
        <f t="shared" si="27"/>
        <v/>
      </c>
      <c r="T79" s="74" t="str">
        <f t="shared" si="28"/>
        <v/>
      </c>
      <c r="U79" s="74" t="str">
        <f t="shared" si="29"/>
        <v/>
      </c>
      <c r="V79" s="74" t="str">
        <f t="shared" si="30"/>
        <v/>
      </c>
      <c r="W79" s="74" t="str">
        <f t="shared" si="31"/>
        <v/>
      </c>
      <c r="X79" s="74" t="str">
        <f t="shared" si="32"/>
        <v/>
      </c>
      <c r="Y79" s="74" t="str">
        <f t="shared" si="33"/>
        <v/>
      </c>
      <c r="Z79" s="74" t="str">
        <f t="shared" si="34"/>
        <v/>
      </c>
      <c r="AA79" s="74" t="str">
        <f t="shared" si="22"/>
        <v/>
      </c>
      <c r="AC79" s="74" t="str">
        <f t="shared" si="23"/>
        <v/>
      </c>
      <c r="AD79" s="74" t="str">
        <f t="shared" si="24"/>
        <v/>
      </c>
      <c r="AE79" s="74" t="str">
        <f t="shared" si="25"/>
        <v/>
      </c>
      <c r="AF79" s="91" t="str">
        <f>IF(AE79&lt;&gt;"",COUNTIF(AE$3:AE79,FALSE),"")</f>
        <v/>
      </c>
      <c r="AG79" s="73" t="str">
        <f t="shared" si="35"/>
        <v/>
      </c>
      <c r="AH79" s="80" t="str">
        <f t="shared" si="36"/>
        <v/>
      </c>
      <c r="AI79" s="80" t="str">
        <f t="shared" si="37"/>
        <v/>
      </c>
      <c r="AJ79" s="80" t="str">
        <f t="shared" si="38"/>
        <v/>
      </c>
      <c r="AK79" s="80" t="str">
        <f t="shared" si="39"/>
        <v/>
      </c>
      <c r="AL79" s="80" t="str">
        <f t="shared" si="40"/>
        <v/>
      </c>
      <c r="AM79" s="80" t="str">
        <f t="shared" si="41"/>
        <v/>
      </c>
      <c r="AN79" s="73" t="str">
        <f t="shared" si="42"/>
        <v/>
      </c>
    </row>
    <row r="80" spans="1:40" x14ac:dyDescent="0.25">
      <c r="A80" s="76">
        <v>44905</v>
      </c>
      <c r="B80" s="76" t="s">
        <v>92</v>
      </c>
      <c r="C80" s="76">
        <v>13</v>
      </c>
      <c r="D80" s="76" t="s">
        <v>213</v>
      </c>
      <c r="E80" s="76">
        <v>384</v>
      </c>
      <c r="G80" s="76" t="b">
        <v>1</v>
      </c>
      <c r="J80" s="76" t="s">
        <v>89</v>
      </c>
      <c r="K80" s="76">
        <v>344</v>
      </c>
      <c r="L80" s="76" t="s">
        <v>196</v>
      </c>
      <c r="M80" s="76" t="s">
        <v>200</v>
      </c>
      <c r="Q80" s="73" t="str">
        <f t="shared" si="26"/>
        <v>44905;Nuit;ThomasNau N.</v>
      </c>
      <c r="R80" s="80">
        <f>IF(Q80&lt;&gt;"",COUNTIF(Q$2:Q80,Q80),"")</f>
        <v>13</v>
      </c>
      <c r="S80" s="73" t="str">
        <f t="shared" si="27"/>
        <v>344;F;13;N</v>
      </c>
      <c r="T80" s="74">
        <f t="shared" si="28"/>
        <v>384</v>
      </c>
      <c r="U80" s="74" t="str">
        <f t="shared" si="29"/>
        <v/>
      </c>
      <c r="V80" s="74" t="str">
        <f t="shared" si="30"/>
        <v/>
      </c>
      <c r="W80" s="74" t="str">
        <f t="shared" si="31"/>
        <v/>
      </c>
      <c r="X80" s="74" t="str">
        <f t="shared" si="32"/>
        <v/>
      </c>
      <c r="Y80" s="74" t="str">
        <f t="shared" si="33"/>
        <v/>
      </c>
      <c r="Z80" s="74" t="str">
        <f t="shared" si="34"/>
        <v/>
      </c>
      <c r="AA80" s="74" t="str">
        <f t="shared" si="22"/>
        <v/>
      </c>
      <c r="AC80" s="74" t="str">
        <f t="shared" si="23"/>
        <v/>
      </c>
      <c r="AD80" s="74" t="str">
        <f t="shared" si="24"/>
        <v/>
      </c>
      <c r="AE80" s="74" t="str">
        <f t="shared" si="25"/>
        <v/>
      </c>
      <c r="AF80" s="91" t="str">
        <f>IF(AE80&lt;&gt;"",COUNTIF(AE$3:AE80,FALSE),"")</f>
        <v/>
      </c>
      <c r="AG80" s="73" t="str">
        <f t="shared" si="35"/>
        <v>44905;Nuit;ThomasNau N.</v>
      </c>
      <c r="AH80" s="80">
        <f t="shared" si="36"/>
        <v>13</v>
      </c>
      <c r="AI80" s="80" t="str">
        <f t="shared" si="37"/>
        <v>344;F;13;N</v>
      </c>
      <c r="AJ80" s="80">
        <f t="shared" si="38"/>
        <v>384</v>
      </c>
      <c r="AK80" s="80" t="str">
        <f t="shared" si="39"/>
        <v/>
      </c>
      <c r="AL80" s="80" t="str">
        <f t="shared" si="40"/>
        <v/>
      </c>
      <c r="AM80" s="80" t="str">
        <f t="shared" si="41"/>
        <v/>
      </c>
      <c r="AN80" s="73" t="str">
        <f t="shared" si="42"/>
        <v/>
      </c>
    </row>
    <row r="81" spans="1:40" x14ac:dyDescent="0.25">
      <c r="A81" s="76">
        <v>44905</v>
      </c>
      <c r="B81" s="76" t="s">
        <v>92</v>
      </c>
      <c r="D81" s="76" t="s">
        <v>199</v>
      </c>
      <c r="E81" s="76">
        <v>384</v>
      </c>
      <c r="F81" s="76" t="s">
        <v>14</v>
      </c>
      <c r="G81" s="76" t="b">
        <v>0</v>
      </c>
      <c r="J81" s="76" t="s">
        <v>89</v>
      </c>
      <c r="K81" s="76">
        <v>344</v>
      </c>
      <c r="L81" s="76" t="s">
        <v>196</v>
      </c>
      <c r="M81" s="76" t="s">
        <v>200</v>
      </c>
      <c r="Q81" s="73" t="str">
        <f t="shared" si="26"/>
        <v/>
      </c>
      <c r="R81" s="80" t="str">
        <f>IF(Q81&lt;&gt;"",COUNTIF(Q$2:Q81,Q81),"")</f>
        <v/>
      </c>
      <c r="S81" s="73" t="str">
        <f t="shared" si="27"/>
        <v/>
      </c>
      <c r="T81" s="74" t="str">
        <f t="shared" si="28"/>
        <v/>
      </c>
      <c r="U81" s="74" t="str">
        <f t="shared" si="29"/>
        <v/>
      </c>
      <c r="V81" s="74" t="str">
        <f t="shared" si="30"/>
        <v/>
      </c>
      <c r="W81" s="74" t="str">
        <f t="shared" si="31"/>
        <v/>
      </c>
      <c r="X81" s="74" t="str">
        <f t="shared" si="32"/>
        <v/>
      </c>
      <c r="Y81" s="74" t="str">
        <f t="shared" si="33"/>
        <v/>
      </c>
      <c r="Z81" s="74" t="str">
        <f t="shared" si="34"/>
        <v/>
      </c>
      <c r="AA81" s="74" t="str">
        <f t="shared" si="22"/>
        <v/>
      </c>
      <c r="AC81" s="74" t="str">
        <f t="shared" si="23"/>
        <v/>
      </c>
      <c r="AD81" s="74" t="str">
        <f t="shared" si="24"/>
        <v/>
      </c>
      <c r="AE81" s="74" t="str">
        <f t="shared" si="25"/>
        <v/>
      </c>
      <c r="AF81" s="91" t="str">
        <f>IF(AE81&lt;&gt;"",COUNTIF(AE$3:AE81,FALSE),"")</f>
        <v/>
      </c>
      <c r="AG81" s="73" t="str">
        <f t="shared" si="35"/>
        <v/>
      </c>
      <c r="AH81" s="80" t="str">
        <f t="shared" si="36"/>
        <v/>
      </c>
      <c r="AI81" s="80" t="str">
        <f t="shared" si="37"/>
        <v/>
      </c>
      <c r="AJ81" s="80" t="str">
        <f t="shared" si="38"/>
        <v/>
      </c>
      <c r="AK81" s="80" t="str">
        <f t="shared" si="39"/>
        <v/>
      </c>
      <c r="AL81" s="80" t="str">
        <f t="shared" si="40"/>
        <v/>
      </c>
      <c r="AM81" s="80" t="str">
        <f t="shared" si="41"/>
        <v/>
      </c>
      <c r="AN81" s="73" t="str">
        <f t="shared" si="42"/>
        <v/>
      </c>
    </row>
    <row r="82" spans="1:40" x14ac:dyDescent="0.25">
      <c r="A82" s="76">
        <v>44905</v>
      </c>
      <c r="B82" s="76" t="s">
        <v>92</v>
      </c>
      <c r="D82" s="76" t="s">
        <v>199</v>
      </c>
      <c r="E82" s="76">
        <v>384</v>
      </c>
      <c r="F82" s="76" t="s">
        <v>14</v>
      </c>
      <c r="G82" s="76" t="b">
        <v>0</v>
      </c>
      <c r="J82" s="76" t="s">
        <v>89</v>
      </c>
      <c r="K82" s="76">
        <v>344</v>
      </c>
      <c r="L82" s="76" t="s">
        <v>196</v>
      </c>
      <c r="M82" s="76" t="s">
        <v>200</v>
      </c>
      <c r="Q82" s="73" t="str">
        <f t="shared" si="26"/>
        <v/>
      </c>
      <c r="R82" s="80" t="str">
        <f>IF(Q82&lt;&gt;"",COUNTIF(Q$2:Q82,Q82),"")</f>
        <v/>
      </c>
      <c r="S82" s="73" t="str">
        <f t="shared" si="27"/>
        <v/>
      </c>
      <c r="T82" s="74" t="str">
        <f t="shared" si="28"/>
        <v/>
      </c>
      <c r="U82" s="74" t="str">
        <f t="shared" si="29"/>
        <v/>
      </c>
      <c r="V82" s="74" t="str">
        <f t="shared" si="30"/>
        <v/>
      </c>
      <c r="W82" s="74" t="str">
        <f t="shared" si="31"/>
        <v/>
      </c>
      <c r="X82" s="74" t="str">
        <f t="shared" si="32"/>
        <v/>
      </c>
      <c r="Y82" s="74" t="str">
        <f t="shared" si="33"/>
        <v/>
      </c>
      <c r="Z82" s="74" t="str">
        <f t="shared" si="34"/>
        <v/>
      </c>
      <c r="AA82" s="74" t="str">
        <f t="shared" si="22"/>
        <v/>
      </c>
      <c r="AC82" s="74" t="str">
        <f t="shared" si="23"/>
        <v/>
      </c>
      <c r="AD82" s="74" t="str">
        <f t="shared" si="24"/>
        <v/>
      </c>
      <c r="AE82" s="74" t="str">
        <f t="shared" si="25"/>
        <v/>
      </c>
      <c r="AF82" s="91" t="str">
        <f>IF(AE82&lt;&gt;"",COUNTIF(AE$3:AE82,FALSE),"")</f>
        <v/>
      </c>
      <c r="AG82" s="73" t="str">
        <f t="shared" si="35"/>
        <v/>
      </c>
      <c r="AH82" s="80" t="str">
        <f t="shared" si="36"/>
        <v/>
      </c>
      <c r="AI82" s="80" t="str">
        <f t="shared" si="37"/>
        <v/>
      </c>
      <c r="AJ82" s="80" t="str">
        <f t="shared" si="38"/>
        <v/>
      </c>
      <c r="AK82" s="80" t="str">
        <f t="shared" si="39"/>
        <v/>
      </c>
      <c r="AL82" s="80" t="str">
        <f t="shared" si="40"/>
        <v/>
      </c>
      <c r="AM82" s="80" t="str">
        <f t="shared" si="41"/>
        <v/>
      </c>
      <c r="AN82" s="73" t="str">
        <f t="shared" si="42"/>
        <v/>
      </c>
    </row>
    <row r="83" spans="1:40" x14ac:dyDescent="0.25">
      <c r="A83" s="76">
        <v>44905</v>
      </c>
      <c r="B83" s="76" t="s">
        <v>92</v>
      </c>
      <c r="C83" s="76">
        <v>14</v>
      </c>
      <c r="D83" s="76" t="s">
        <v>214</v>
      </c>
      <c r="E83" s="76">
        <v>384</v>
      </c>
      <c r="G83" s="76" t="b">
        <v>1</v>
      </c>
      <c r="J83" s="76" t="s">
        <v>89</v>
      </c>
      <c r="K83" s="76">
        <v>344</v>
      </c>
      <c r="L83" s="76" t="s">
        <v>196</v>
      </c>
      <c r="M83" s="76" t="s">
        <v>200</v>
      </c>
      <c r="Q83" s="73" t="str">
        <f t="shared" si="26"/>
        <v>44905;Nuit;ThomasNau N.</v>
      </c>
      <c r="R83" s="80">
        <f>IF(Q83&lt;&gt;"",COUNTIF(Q$2:Q83,Q83),"")</f>
        <v>14</v>
      </c>
      <c r="S83" s="73" t="str">
        <f t="shared" si="27"/>
        <v>344;F;14;N</v>
      </c>
      <c r="T83" s="74">
        <f t="shared" si="28"/>
        <v>384</v>
      </c>
      <c r="U83" s="74" t="str">
        <f t="shared" si="29"/>
        <v/>
      </c>
      <c r="V83" s="74" t="str">
        <f t="shared" si="30"/>
        <v/>
      </c>
      <c r="W83" s="74" t="str">
        <f t="shared" si="31"/>
        <v/>
      </c>
      <c r="X83" s="74" t="str">
        <f t="shared" si="32"/>
        <v/>
      </c>
      <c r="Y83" s="74" t="str">
        <f t="shared" si="33"/>
        <v/>
      </c>
      <c r="Z83" s="74" t="str">
        <f t="shared" si="34"/>
        <v/>
      </c>
      <c r="AA83" s="74" t="str">
        <f t="shared" si="22"/>
        <v/>
      </c>
      <c r="AC83" s="74" t="str">
        <f t="shared" si="23"/>
        <v/>
      </c>
      <c r="AD83" s="74" t="str">
        <f t="shared" si="24"/>
        <v/>
      </c>
      <c r="AE83" s="74" t="str">
        <f t="shared" si="25"/>
        <v/>
      </c>
      <c r="AF83" s="91" t="str">
        <f>IF(AE83&lt;&gt;"",COUNTIF(AE$3:AE83,FALSE),"")</f>
        <v/>
      </c>
      <c r="AG83" s="73" t="str">
        <f t="shared" si="35"/>
        <v>44905;Nuit;ThomasNau N.</v>
      </c>
      <c r="AH83" s="80">
        <f t="shared" si="36"/>
        <v>14</v>
      </c>
      <c r="AI83" s="80" t="str">
        <f t="shared" si="37"/>
        <v>344;F;14;N</v>
      </c>
      <c r="AJ83" s="80">
        <f t="shared" si="38"/>
        <v>384</v>
      </c>
      <c r="AK83" s="80" t="str">
        <f t="shared" si="39"/>
        <v/>
      </c>
      <c r="AL83" s="80" t="str">
        <f t="shared" si="40"/>
        <v/>
      </c>
      <c r="AM83" s="80" t="str">
        <f t="shared" si="41"/>
        <v/>
      </c>
      <c r="AN83" s="73" t="str">
        <f t="shared" si="42"/>
        <v/>
      </c>
    </row>
    <row r="84" spans="1:40" x14ac:dyDescent="0.25">
      <c r="A84" s="76">
        <v>44905</v>
      </c>
      <c r="B84" s="76" t="s">
        <v>92</v>
      </c>
      <c r="C84" s="76">
        <v>15</v>
      </c>
      <c r="D84" s="76" t="s">
        <v>215</v>
      </c>
      <c r="E84" s="76">
        <v>384</v>
      </c>
      <c r="G84" s="76" t="b">
        <v>1</v>
      </c>
      <c r="J84" s="76" t="s">
        <v>89</v>
      </c>
      <c r="K84" s="76">
        <v>344</v>
      </c>
      <c r="L84" s="76" t="s">
        <v>196</v>
      </c>
      <c r="M84" s="76" t="s">
        <v>200</v>
      </c>
      <c r="N84" s="76" t="s">
        <v>132</v>
      </c>
      <c r="Q84" s="73" t="str">
        <f t="shared" si="26"/>
        <v>44905;Nuit;ThomasNau N.</v>
      </c>
      <c r="R84" s="80">
        <f>IF(Q84&lt;&gt;"",COUNTIF(Q$2:Q84,Q84),"")</f>
        <v>15</v>
      </c>
      <c r="S84" s="73" t="str">
        <f t="shared" si="27"/>
        <v>344;F;15;N</v>
      </c>
      <c r="T84" s="74">
        <f t="shared" si="28"/>
        <v>384</v>
      </c>
      <c r="U84" s="74" t="str">
        <f t="shared" si="29"/>
        <v>29</v>
      </c>
      <c r="V84" s="74" t="str">
        <f t="shared" si="30"/>
        <v>31</v>
      </c>
      <c r="W84" s="74" t="str">
        <f t="shared" si="31"/>
        <v/>
      </c>
      <c r="X84" s="74">
        <f t="shared" si="32"/>
        <v>29</v>
      </c>
      <c r="Y84" s="74">
        <f t="shared" si="33"/>
        <v>31</v>
      </c>
      <c r="Z84" s="74" t="str">
        <f t="shared" si="34"/>
        <v/>
      </c>
      <c r="AA84" s="74" t="str">
        <f t="shared" si="22"/>
        <v/>
      </c>
      <c r="AC84" s="74" t="b">
        <f t="shared" si="23"/>
        <v>1</v>
      </c>
      <c r="AD84" s="74" t="b">
        <f t="shared" si="24"/>
        <v>1</v>
      </c>
      <c r="AE84" s="74" t="str">
        <f t="shared" si="25"/>
        <v/>
      </c>
      <c r="AF84" s="91" t="str">
        <f>IF(AE84&lt;&gt;"",COUNTIF(AE$3:AE84,FALSE),"")</f>
        <v/>
      </c>
      <c r="AG84" s="73" t="str">
        <f t="shared" si="35"/>
        <v>44905;Nuit;ThomasNau N.</v>
      </c>
      <c r="AH84" s="80">
        <f t="shared" si="36"/>
        <v>15</v>
      </c>
      <c r="AI84" s="80" t="str">
        <f t="shared" si="37"/>
        <v>344;F;15;N</v>
      </c>
      <c r="AJ84" s="80">
        <f t="shared" si="38"/>
        <v>384</v>
      </c>
      <c r="AK84" s="80" t="str">
        <f t="shared" si="39"/>
        <v>29</v>
      </c>
      <c r="AL84" s="80" t="str">
        <f t="shared" si="40"/>
        <v>31</v>
      </c>
      <c r="AM84" s="80" t="str">
        <f t="shared" si="41"/>
        <v/>
      </c>
      <c r="AN84" s="73" t="str">
        <f t="shared" si="42"/>
        <v/>
      </c>
    </row>
    <row r="85" spans="1:40" x14ac:dyDescent="0.25">
      <c r="A85" s="76">
        <v>44905</v>
      </c>
      <c r="B85" s="76" t="s">
        <v>92</v>
      </c>
      <c r="C85" s="76">
        <v>16</v>
      </c>
      <c r="D85" s="76" t="s">
        <v>216</v>
      </c>
      <c r="E85" s="76">
        <v>384</v>
      </c>
      <c r="G85" s="76" t="b">
        <v>1</v>
      </c>
      <c r="J85" s="76" t="s">
        <v>89</v>
      </c>
      <c r="K85" s="76">
        <v>344</v>
      </c>
      <c r="L85" s="76" t="s">
        <v>196</v>
      </c>
      <c r="M85" s="76" t="s">
        <v>200</v>
      </c>
      <c r="Q85" s="73" t="str">
        <f t="shared" si="26"/>
        <v>44905;Nuit;ThomasNau N.</v>
      </c>
      <c r="R85" s="80">
        <f>IF(Q85&lt;&gt;"",COUNTIF(Q$2:Q85,Q85),"")</f>
        <v>16</v>
      </c>
      <c r="S85" s="73" t="str">
        <f t="shared" si="27"/>
        <v>344;F;16;N</v>
      </c>
      <c r="T85" s="74">
        <f t="shared" si="28"/>
        <v>384</v>
      </c>
      <c r="U85" s="74" t="str">
        <f t="shared" si="29"/>
        <v/>
      </c>
      <c r="V85" s="74" t="str">
        <f t="shared" si="30"/>
        <v/>
      </c>
      <c r="W85" s="74" t="str">
        <f t="shared" si="31"/>
        <v/>
      </c>
      <c r="X85" s="74" t="str">
        <f t="shared" si="32"/>
        <v/>
      </c>
      <c r="Y85" s="74" t="str">
        <f t="shared" si="33"/>
        <v/>
      </c>
      <c r="Z85" s="74" t="str">
        <f t="shared" si="34"/>
        <v/>
      </c>
      <c r="AA85" s="74" t="str">
        <f t="shared" si="22"/>
        <v/>
      </c>
      <c r="AC85" s="74" t="str">
        <f t="shared" si="23"/>
        <v/>
      </c>
      <c r="AD85" s="74" t="str">
        <f t="shared" si="24"/>
        <v/>
      </c>
      <c r="AE85" s="74" t="str">
        <f t="shared" si="25"/>
        <v/>
      </c>
      <c r="AF85" s="91" t="str">
        <f>IF(AE85&lt;&gt;"",COUNTIF(AE$3:AE85,FALSE),"")</f>
        <v/>
      </c>
      <c r="AG85" s="73" t="str">
        <f t="shared" si="35"/>
        <v>44905;Nuit;ThomasNau N.</v>
      </c>
      <c r="AH85" s="80">
        <f t="shared" si="36"/>
        <v>16</v>
      </c>
      <c r="AI85" s="80" t="str">
        <f t="shared" si="37"/>
        <v>344;F;16;N</v>
      </c>
      <c r="AJ85" s="80">
        <f t="shared" si="38"/>
        <v>384</v>
      </c>
      <c r="AK85" s="80" t="str">
        <f t="shared" si="39"/>
        <v/>
      </c>
      <c r="AL85" s="80" t="str">
        <f t="shared" si="40"/>
        <v/>
      </c>
      <c r="AM85" s="80" t="str">
        <f t="shared" si="41"/>
        <v/>
      </c>
      <c r="AN85" s="73" t="str">
        <f t="shared" si="42"/>
        <v/>
      </c>
    </row>
    <row r="86" spans="1:40" x14ac:dyDescent="0.25">
      <c r="A86" s="76">
        <v>44905</v>
      </c>
      <c r="B86" s="76" t="s">
        <v>92</v>
      </c>
      <c r="C86" s="76">
        <v>17</v>
      </c>
      <c r="D86" s="76" t="s">
        <v>217</v>
      </c>
      <c r="E86" s="76">
        <v>384</v>
      </c>
      <c r="G86" s="76" t="b">
        <v>1</v>
      </c>
      <c r="J86" s="76" t="s">
        <v>89</v>
      </c>
      <c r="K86" s="76">
        <v>344</v>
      </c>
      <c r="L86" s="76" t="s">
        <v>196</v>
      </c>
      <c r="M86" s="76" t="s">
        <v>200</v>
      </c>
      <c r="Q86" s="73" t="str">
        <f t="shared" si="26"/>
        <v>44905;Nuit;ThomasNau N.</v>
      </c>
      <c r="R86" s="80">
        <f>IF(Q86&lt;&gt;"",COUNTIF(Q$2:Q86,Q86),"")</f>
        <v>17</v>
      </c>
      <c r="S86" s="73" t="str">
        <f t="shared" si="27"/>
        <v>344;F;17;N</v>
      </c>
      <c r="T86" s="74">
        <f t="shared" si="28"/>
        <v>384</v>
      </c>
      <c r="U86" s="74" t="str">
        <f t="shared" si="29"/>
        <v/>
      </c>
      <c r="V86" s="74" t="str">
        <f t="shared" si="30"/>
        <v/>
      </c>
      <c r="W86" s="74" t="str">
        <f t="shared" si="31"/>
        <v/>
      </c>
      <c r="X86" s="74" t="str">
        <f t="shared" si="32"/>
        <v/>
      </c>
      <c r="Y86" s="74" t="str">
        <f t="shared" si="33"/>
        <v/>
      </c>
      <c r="Z86" s="74" t="str">
        <f t="shared" si="34"/>
        <v/>
      </c>
      <c r="AA86" s="74" t="str">
        <f t="shared" si="22"/>
        <v/>
      </c>
      <c r="AC86" s="74" t="str">
        <f t="shared" si="23"/>
        <v/>
      </c>
      <c r="AD86" s="74" t="str">
        <f t="shared" si="24"/>
        <v/>
      </c>
      <c r="AE86" s="74" t="str">
        <f t="shared" si="25"/>
        <v/>
      </c>
      <c r="AF86" s="91" t="str">
        <f>IF(AE86&lt;&gt;"",COUNTIF(AE$3:AE86,FALSE),"")</f>
        <v/>
      </c>
      <c r="AG86" s="73" t="str">
        <f t="shared" si="35"/>
        <v>44905;Nuit;ThomasNau N.</v>
      </c>
      <c r="AH86" s="80">
        <f t="shared" si="36"/>
        <v>17</v>
      </c>
      <c r="AI86" s="80" t="str">
        <f t="shared" si="37"/>
        <v>344;F;17;N</v>
      </c>
      <c r="AJ86" s="80">
        <f t="shared" si="38"/>
        <v>384</v>
      </c>
      <c r="AK86" s="80" t="str">
        <f t="shared" si="39"/>
        <v/>
      </c>
      <c r="AL86" s="80" t="str">
        <f t="shared" si="40"/>
        <v/>
      </c>
      <c r="AM86" s="80" t="str">
        <f t="shared" si="41"/>
        <v/>
      </c>
      <c r="AN86" s="73" t="str">
        <f t="shared" si="42"/>
        <v/>
      </c>
    </row>
    <row r="87" spans="1:40" x14ac:dyDescent="0.25">
      <c r="A87" s="76">
        <v>44905</v>
      </c>
      <c r="B87" s="76" t="s">
        <v>92</v>
      </c>
      <c r="C87" s="76">
        <v>18</v>
      </c>
      <c r="D87" s="76" t="s">
        <v>218</v>
      </c>
      <c r="E87" s="76">
        <v>384</v>
      </c>
      <c r="G87" s="76" t="b">
        <v>1</v>
      </c>
      <c r="J87" s="76" t="s">
        <v>89</v>
      </c>
      <c r="K87" s="76">
        <v>344</v>
      </c>
      <c r="L87" s="76" t="s">
        <v>196</v>
      </c>
      <c r="M87" s="76" t="s">
        <v>200</v>
      </c>
      <c r="Q87" s="73" t="str">
        <f t="shared" si="26"/>
        <v>44905;Nuit;ThomasNau N.</v>
      </c>
      <c r="R87" s="80">
        <f>IF(Q87&lt;&gt;"",COUNTIF(Q$2:Q87,Q87),"")</f>
        <v>18</v>
      </c>
      <c r="S87" s="73" t="str">
        <f t="shared" si="27"/>
        <v>344;F;18;N</v>
      </c>
      <c r="T87" s="74">
        <f t="shared" si="28"/>
        <v>384</v>
      </c>
      <c r="U87" s="74" t="str">
        <f t="shared" si="29"/>
        <v/>
      </c>
      <c r="V87" s="74" t="str">
        <f t="shared" si="30"/>
        <v/>
      </c>
      <c r="W87" s="74" t="str">
        <f t="shared" si="31"/>
        <v/>
      </c>
      <c r="X87" s="74" t="str">
        <f t="shared" si="32"/>
        <v/>
      </c>
      <c r="Y87" s="74" t="str">
        <f t="shared" si="33"/>
        <v/>
      </c>
      <c r="Z87" s="74" t="str">
        <f t="shared" si="34"/>
        <v/>
      </c>
      <c r="AA87" s="74" t="str">
        <f t="shared" si="22"/>
        <v/>
      </c>
      <c r="AC87" s="74" t="str">
        <f t="shared" si="23"/>
        <v/>
      </c>
      <c r="AD87" s="74" t="str">
        <f t="shared" si="24"/>
        <v/>
      </c>
      <c r="AE87" s="74" t="str">
        <f t="shared" si="25"/>
        <v/>
      </c>
      <c r="AF87" s="91" t="str">
        <f>IF(AE87&lt;&gt;"",COUNTIF(AE$3:AE87,FALSE),"")</f>
        <v/>
      </c>
      <c r="AG87" s="73" t="str">
        <f t="shared" si="35"/>
        <v>44905;Nuit;ThomasNau N.</v>
      </c>
      <c r="AH87" s="80">
        <f t="shared" si="36"/>
        <v>18</v>
      </c>
      <c r="AI87" s="80" t="str">
        <f t="shared" si="37"/>
        <v>344;F;18;N</v>
      </c>
      <c r="AJ87" s="80">
        <f t="shared" si="38"/>
        <v>384</v>
      </c>
      <c r="AK87" s="80" t="str">
        <f t="shared" si="39"/>
        <v/>
      </c>
      <c r="AL87" s="80" t="str">
        <f t="shared" si="40"/>
        <v/>
      </c>
      <c r="AM87" s="80" t="str">
        <f t="shared" si="41"/>
        <v/>
      </c>
      <c r="AN87" s="73" t="str">
        <f t="shared" si="42"/>
        <v/>
      </c>
    </row>
    <row r="88" spans="1:40" x14ac:dyDescent="0.25">
      <c r="A88" s="76">
        <v>44905</v>
      </c>
      <c r="B88" s="76" t="s">
        <v>92</v>
      </c>
      <c r="C88" s="76">
        <v>19</v>
      </c>
      <c r="D88" s="76" t="s">
        <v>219</v>
      </c>
      <c r="E88" s="76">
        <v>384</v>
      </c>
      <c r="G88" s="76" t="b">
        <v>1</v>
      </c>
      <c r="J88" s="76" t="s">
        <v>89</v>
      </c>
      <c r="K88" s="76">
        <v>344</v>
      </c>
      <c r="L88" s="76" t="s">
        <v>196</v>
      </c>
      <c r="M88" s="76" t="s">
        <v>200</v>
      </c>
      <c r="Q88" s="73" t="str">
        <f t="shared" si="26"/>
        <v>44905;Nuit;ThomasNau N.</v>
      </c>
      <c r="R88" s="80">
        <f>IF(Q88&lt;&gt;"",COUNTIF(Q$2:Q88,Q88),"")</f>
        <v>19</v>
      </c>
      <c r="S88" s="73" t="str">
        <f t="shared" si="27"/>
        <v>344;F;19;N</v>
      </c>
      <c r="T88" s="74">
        <f t="shared" si="28"/>
        <v>384</v>
      </c>
      <c r="U88" s="74" t="str">
        <f t="shared" si="29"/>
        <v/>
      </c>
      <c r="V88" s="74" t="str">
        <f t="shared" si="30"/>
        <v/>
      </c>
      <c r="W88" s="74" t="str">
        <f t="shared" si="31"/>
        <v/>
      </c>
      <c r="X88" s="74" t="str">
        <f t="shared" si="32"/>
        <v/>
      </c>
      <c r="Y88" s="74" t="str">
        <f t="shared" si="33"/>
        <v/>
      </c>
      <c r="Z88" s="74" t="str">
        <f t="shared" si="34"/>
        <v/>
      </c>
      <c r="AA88" s="74" t="str">
        <f t="shared" si="22"/>
        <v/>
      </c>
      <c r="AC88" s="74" t="str">
        <f t="shared" si="23"/>
        <v/>
      </c>
      <c r="AD88" s="74" t="str">
        <f t="shared" si="24"/>
        <v/>
      </c>
      <c r="AE88" s="74" t="str">
        <f t="shared" si="25"/>
        <v/>
      </c>
      <c r="AF88" s="91" t="str">
        <f>IF(AE88&lt;&gt;"",COUNTIF(AE$3:AE88,FALSE),"")</f>
        <v/>
      </c>
      <c r="AG88" s="73" t="str">
        <f t="shared" si="35"/>
        <v>44905;Nuit;ThomasNau N.</v>
      </c>
      <c r="AH88" s="80">
        <f t="shared" si="36"/>
        <v>19</v>
      </c>
      <c r="AI88" s="80" t="str">
        <f t="shared" si="37"/>
        <v>344;F;19;N</v>
      </c>
      <c r="AJ88" s="80">
        <f t="shared" si="38"/>
        <v>384</v>
      </c>
      <c r="AK88" s="80" t="str">
        <f t="shared" si="39"/>
        <v/>
      </c>
      <c r="AL88" s="80" t="str">
        <f t="shared" si="40"/>
        <v/>
      </c>
      <c r="AM88" s="80" t="str">
        <f t="shared" si="41"/>
        <v/>
      </c>
      <c r="AN88" s="73" t="str">
        <f t="shared" si="42"/>
        <v/>
      </c>
    </row>
    <row r="89" spans="1:40" x14ac:dyDescent="0.25">
      <c r="A89" s="76">
        <v>44905</v>
      </c>
      <c r="B89" s="76" t="s">
        <v>92</v>
      </c>
      <c r="C89" s="76">
        <v>20</v>
      </c>
      <c r="D89" s="76" t="s">
        <v>220</v>
      </c>
      <c r="E89" s="76">
        <v>384</v>
      </c>
      <c r="G89" s="76" t="b">
        <v>1</v>
      </c>
      <c r="J89" s="76" t="s">
        <v>89</v>
      </c>
      <c r="K89" s="76">
        <v>344</v>
      </c>
      <c r="L89" s="76" t="s">
        <v>196</v>
      </c>
      <c r="M89" s="76" t="s">
        <v>200</v>
      </c>
      <c r="Q89" s="73" t="str">
        <f t="shared" si="26"/>
        <v>44905;Nuit;ThomasNau N.</v>
      </c>
      <c r="R89" s="80">
        <f>IF(Q89&lt;&gt;"",COUNTIF(Q$2:Q89,Q89),"")</f>
        <v>20</v>
      </c>
      <c r="S89" s="73" t="str">
        <f t="shared" si="27"/>
        <v>344;F;20;N</v>
      </c>
      <c r="T89" s="74">
        <f t="shared" si="28"/>
        <v>384</v>
      </c>
      <c r="U89" s="74" t="str">
        <f t="shared" si="29"/>
        <v/>
      </c>
      <c r="V89" s="74" t="str">
        <f t="shared" si="30"/>
        <v/>
      </c>
      <c r="W89" s="74" t="str">
        <f t="shared" si="31"/>
        <v/>
      </c>
      <c r="X89" s="74" t="str">
        <f t="shared" si="32"/>
        <v/>
      </c>
      <c r="Y89" s="74" t="str">
        <f t="shared" si="33"/>
        <v/>
      </c>
      <c r="Z89" s="74" t="str">
        <f t="shared" si="34"/>
        <v/>
      </c>
      <c r="AA89" s="74" t="str">
        <f t="shared" si="22"/>
        <v/>
      </c>
      <c r="AC89" s="74" t="str">
        <f t="shared" si="23"/>
        <v/>
      </c>
      <c r="AD89" s="74" t="str">
        <f t="shared" si="24"/>
        <v/>
      </c>
      <c r="AE89" s="74" t="str">
        <f t="shared" si="25"/>
        <v/>
      </c>
      <c r="AF89" s="91" t="str">
        <f>IF(AE89&lt;&gt;"",COUNTIF(AE$3:AE89,FALSE),"")</f>
        <v/>
      </c>
      <c r="AG89" s="73" t="str">
        <f t="shared" si="35"/>
        <v>44905;Nuit;ThomasNau N.</v>
      </c>
      <c r="AH89" s="80">
        <f t="shared" si="36"/>
        <v>20</v>
      </c>
      <c r="AI89" s="80" t="str">
        <f t="shared" si="37"/>
        <v>344;F;20;N</v>
      </c>
      <c r="AJ89" s="80">
        <f t="shared" si="38"/>
        <v>384</v>
      </c>
      <c r="AK89" s="80" t="str">
        <f t="shared" si="39"/>
        <v/>
      </c>
      <c r="AL89" s="80" t="str">
        <f t="shared" si="40"/>
        <v/>
      </c>
      <c r="AM89" s="80" t="str">
        <f t="shared" si="41"/>
        <v/>
      </c>
      <c r="AN89" s="73" t="str">
        <f t="shared" si="42"/>
        <v/>
      </c>
    </row>
    <row r="90" spans="1:40" x14ac:dyDescent="0.25">
      <c r="A90" s="76">
        <v>44905</v>
      </c>
      <c r="B90" s="76" t="s">
        <v>92</v>
      </c>
      <c r="C90" s="76">
        <v>21</v>
      </c>
      <c r="D90" s="76" t="s">
        <v>221</v>
      </c>
      <c r="E90" s="76">
        <v>384</v>
      </c>
      <c r="G90" s="76" t="b">
        <v>1</v>
      </c>
      <c r="J90" s="76" t="s">
        <v>89</v>
      </c>
      <c r="K90" s="76">
        <v>344</v>
      </c>
      <c r="L90" s="76" t="s">
        <v>196</v>
      </c>
      <c r="M90" s="76" t="s">
        <v>200</v>
      </c>
      <c r="Q90" s="73" t="str">
        <f t="shared" si="26"/>
        <v>44905;Nuit;ThomasNau N.</v>
      </c>
      <c r="R90" s="80">
        <f>IF(Q90&lt;&gt;"",COUNTIF(Q$2:Q90,Q90),"")</f>
        <v>21</v>
      </c>
      <c r="S90" s="73" t="str">
        <f t="shared" si="27"/>
        <v>344;F;21;N</v>
      </c>
      <c r="T90" s="74">
        <f t="shared" si="28"/>
        <v>384</v>
      </c>
      <c r="U90" s="74" t="str">
        <f t="shared" si="29"/>
        <v/>
      </c>
      <c r="V90" s="74" t="str">
        <f t="shared" si="30"/>
        <v/>
      </c>
      <c r="W90" s="74" t="str">
        <f t="shared" si="31"/>
        <v/>
      </c>
      <c r="X90" s="74" t="str">
        <f t="shared" si="32"/>
        <v/>
      </c>
      <c r="Y90" s="74" t="str">
        <f t="shared" si="33"/>
        <v/>
      </c>
      <c r="Z90" s="74" t="str">
        <f t="shared" si="34"/>
        <v/>
      </c>
      <c r="AA90" s="74" t="str">
        <f t="shared" si="22"/>
        <v/>
      </c>
      <c r="AC90" s="74" t="str">
        <f t="shared" si="23"/>
        <v/>
      </c>
      <c r="AD90" s="74" t="str">
        <f t="shared" si="24"/>
        <v/>
      </c>
      <c r="AE90" s="74" t="str">
        <f t="shared" si="25"/>
        <v/>
      </c>
      <c r="AF90" s="91" t="str">
        <f>IF(AE90&lt;&gt;"",COUNTIF(AE$3:AE90,FALSE),"")</f>
        <v/>
      </c>
      <c r="AG90" s="73" t="str">
        <f t="shared" si="35"/>
        <v>44905;Nuit;ThomasNau N.</v>
      </c>
      <c r="AH90" s="80">
        <f t="shared" si="36"/>
        <v>21</v>
      </c>
      <c r="AI90" s="80" t="str">
        <f t="shared" si="37"/>
        <v>344;F;21;N</v>
      </c>
      <c r="AJ90" s="80">
        <f t="shared" si="38"/>
        <v>384</v>
      </c>
      <c r="AK90" s="80" t="str">
        <f t="shared" si="39"/>
        <v/>
      </c>
      <c r="AL90" s="80" t="str">
        <f t="shared" si="40"/>
        <v/>
      </c>
      <c r="AM90" s="80" t="str">
        <f t="shared" si="41"/>
        <v/>
      </c>
      <c r="AN90" s="73" t="str">
        <f t="shared" si="42"/>
        <v/>
      </c>
    </row>
    <row r="91" spans="1:40" x14ac:dyDescent="0.25">
      <c r="A91" s="76">
        <v>44905</v>
      </c>
      <c r="B91" s="76" t="s">
        <v>92</v>
      </c>
      <c r="C91" s="76">
        <v>22</v>
      </c>
      <c r="D91" s="76" t="s">
        <v>222</v>
      </c>
      <c r="E91" s="76">
        <v>384</v>
      </c>
      <c r="G91" s="76" t="b">
        <v>1</v>
      </c>
      <c r="J91" s="76" t="s">
        <v>89</v>
      </c>
      <c r="K91" s="76">
        <v>344</v>
      </c>
      <c r="L91" s="76" t="s">
        <v>196</v>
      </c>
      <c r="M91" s="76" t="s">
        <v>200</v>
      </c>
      <c r="N91" s="76" t="s">
        <v>137</v>
      </c>
      <c r="Q91" s="73" t="str">
        <f t="shared" si="26"/>
        <v>44905;Nuit;ThomasNau N.</v>
      </c>
      <c r="R91" s="80">
        <f>IF(Q91&lt;&gt;"",COUNTIF(Q$2:Q91,Q91),"")</f>
        <v>22</v>
      </c>
      <c r="S91" s="73" t="str">
        <f t="shared" si="27"/>
        <v>344;F;22;N</v>
      </c>
      <c r="T91" s="74">
        <f t="shared" si="28"/>
        <v>384</v>
      </c>
      <c r="U91" s="74" t="str">
        <f t="shared" si="29"/>
        <v>32</v>
      </c>
      <c r="V91" s="74" t="str">
        <f t="shared" si="30"/>
        <v>31</v>
      </c>
      <c r="W91" s="74" t="str">
        <f t="shared" si="31"/>
        <v/>
      </c>
      <c r="X91" s="74">
        <f t="shared" si="32"/>
        <v>32</v>
      </c>
      <c r="Y91" s="74">
        <f t="shared" si="33"/>
        <v>31</v>
      </c>
      <c r="Z91" s="74" t="str">
        <f t="shared" si="34"/>
        <v/>
      </c>
      <c r="AA91" s="74" t="str">
        <f t="shared" si="22"/>
        <v/>
      </c>
      <c r="AC91" s="74" t="b">
        <f t="shared" si="23"/>
        <v>1</v>
      </c>
      <c r="AD91" s="74" t="b">
        <f t="shared" si="24"/>
        <v>1</v>
      </c>
      <c r="AE91" s="74" t="str">
        <f t="shared" si="25"/>
        <v/>
      </c>
      <c r="AF91" s="91" t="str">
        <f>IF(AE91&lt;&gt;"",COUNTIF(AE$3:AE91,FALSE),"")</f>
        <v/>
      </c>
      <c r="AG91" s="73" t="str">
        <f t="shared" si="35"/>
        <v>44905;Nuit;ThomasNau N.</v>
      </c>
      <c r="AH91" s="80">
        <f t="shared" si="36"/>
        <v>22</v>
      </c>
      <c r="AI91" s="80" t="str">
        <f t="shared" si="37"/>
        <v>344;F;22;N</v>
      </c>
      <c r="AJ91" s="80">
        <f t="shared" si="38"/>
        <v>384</v>
      </c>
      <c r="AK91" s="80" t="str">
        <f t="shared" si="39"/>
        <v>32</v>
      </c>
      <c r="AL91" s="80" t="str">
        <f t="shared" si="40"/>
        <v>31</v>
      </c>
      <c r="AM91" s="80" t="str">
        <f t="shared" si="41"/>
        <v/>
      </c>
      <c r="AN91" s="73" t="str">
        <f t="shared" si="42"/>
        <v/>
      </c>
    </row>
    <row r="92" spans="1:40" x14ac:dyDescent="0.25">
      <c r="A92" s="76">
        <v>44905</v>
      </c>
      <c r="B92" s="76" t="s">
        <v>92</v>
      </c>
      <c r="C92" s="76">
        <v>23</v>
      </c>
      <c r="D92" s="76" t="s">
        <v>223</v>
      </c>
      <c r="E92" s="76">
        <v>384</v>
      </c>
      <c r="G92" s="76" t="b">
        <v>1</v>
      </c>
      <c r="J92" s="76" t="s">
        <v>89</v>
      </c>
      <c r="K92" s="76">
        <v>344</v>
      </c>
      <c r="L92" s="76" t="s">
        <v>196</v>
      </c>
      <c r="M92" s="76" t="s">
        <v>200</v>
      </c>
      <c r="O92" s="76" t="s">
        <v>155</v>
      </c>
      <c r="Q92" s="73" t="str">
        <f t="shared" si="26"/>
        <v>44905;Nuit;ThomasNau N.</v>
      </c>
      <c r="R92" s="80">
        <f>IF(Q92&lt;&gt;"",COUNTIF(Q$2:Q92,Q92),"")</f>
        <v>23</v>
      </c>
      <c r="S92" s="73" t="str">
        <f t="shared" si="27"/>
        <v>344;F;23;N</v>
      </c>
      <c r="T92" s="74">
        <f t="shared" si="28"/>
        <v>384</v>
      </c>
      <c r="U92" s="74" t="str">
        <f t="shared" si="29"/>
        <v/>
      </c>
      <c r="V92" s="74" t="str">
        <f t="shared" si="30"/>
        <v/>
      </c>
      <c r="W92" s="74" t="str">
        <f t="shared" si="31"/>
        <v>302</v>
      </c>
      <c r="X92" s="74" t="str">
        <f t="shared" si="32"/>
        <v/>
      </c>
      <c r="Y92" s="74" t="str">
        <f t="shared" si="33"/>
        <v/>
      </c>
      <c r="Z92" s="74">
        <f t="shared" si="34"/>
        <v>302</v>
      </c>
      <c r="AA92" s="74" t="b">
        <f t="shared" si="22"/>
        <v>1</v>
      </c>
      <c r="AC92" s="74" t="str">
        <f t="shared" si="23"/>
        <v/>
      </c>
      <c r="AD92" s="74" t="str">
        <f t="shared" si="24"/>
        <v/>
      </c>
      <c r="AE92" s="74" t="str">
        <f t="shared" si="25"/>
        <v/>
      </c>
      <c r="AF92" s="91" t="str">
        <f>IF(AE92&lt;&gt;"",COUNTIF(AE$3:AE92,FALSE),"")</f>
        <v/>
      </c>
      <c r="AG92" s="73" t="str">
        <f t="shared" si="35"/>
        <v>44905;Nuit;ThomasNau N.</v>
      </c>
      <c r="AH92" s="80">
        <f t="shared" si="36"/>
        <v>23</v>
      </c>
      <c r="AI92" s="80" t="str">
        <f t="shared" si="37"/>
        <v>344;F;23;N</v>
      </c>
      <c r="AJ92" s="80">
        <f t="shared" si="38"/>
        <v>384</v>
      </c>
      <c r="AK92" s="80" t="str">
        <f t="shared" si="39"/>
        <v/>
      </c>
      <c r="AL92" s="80" t="str">
        <f t="shared" si="40"/>
        <v/>
      </c>
      <c r="AM92" s="80" t="str">
        <f t="shared" si="41"/>
        <v>302</v>
      </c>
      <c r="AN92" s="73" t="b">
        <f t="shared" si="42"/>
        <v>1</v>
      </c>
    </row>
    <row r="93" spans="1:40" x14ac:dyDescent="0.25">
      <c r="A93" s="76">
        <v>44905</v>
      </c>
      <c r="B93" s="76" t="s">
        <v>92</v>
      </c>
      <c r="C93" s="76">
        <v>24</v>
      </c>
      <c r="D93" s="76" t="s">
        <v>224</v>
      </c>
      <c r="E93" s="76">
        <v>384</v>
      </c>
      <c r="G93" s="76" t="b">
        <v>1</v>
      </c>
      <c r="J93" s="76" t="s">
        <v>89</v>
      </c>
      <c r="K93" s="76">
        <v>344</v>
      </c>
      <c r="L93" s="76" t="s">
        <v>196</v>
      </c>
      <c r="M93" s="76" t="s">
        <v>200</v>
      </c>
      <c r="Q93" s="73" t="str">
        <f t="shared" si="26"/>
        <v>44905;Nuit;ThomasNau N.</v>
      </c>
      <c r="R93" s="80">
        <f>IF(Q93&lt;&gt;"",COUNTIF(Q$2:Q93,Q93),"")</f>
        <v>24</v>
      </c>
      <c r="S93" s="73" t="str">
        <f t="shared" si="27"/>
        <v>344;F;24;N</v>
      </c>
      <c r="T93" s="74">
        <f t="shared" si="28"/>
        <v>384</v>
      </c>
      <c r="U93" s="74" t="str">
        <f t="shared" si="29"/>
        <v/>
      </c>
      <c r="V93" s="74" t="str">
        <f t="shared" si="30"/>
        <v/>
      </c>
      <c r="W93" s="74" t="str">
        <f t="shared" si="31"/>
        <v/>
      </c>
      <c r="X93" s="74" t="str">
        <f t="shared" si="32"/>
        <v/>
      </c>
      <c r="Y93" s="74" t="str">
        <f t="shared" si="33"/>
        <v/>
      </c>
      <c r="Z93" s="74" t="str">
        <f t="shared" si="34"/>
        <v/>
      </c>
      <c r="AA93" s="74" t="str">
        <f t="shared" si="22"/>
        <v/>
      </c>
      <c r="AC93" s="74" t="str">
        <f t="shared" si="23"/>
        <v/>
      </c>
      <c r="AD93" s="74" t="str">
        <f t="shared" si="24"/>
        <v/>
      </c>
      <c r="AE93" s="74" t="str">
        <f t="shared" si="25"/>
        <v/>
      </c>
      <c r="AF93" s="91" t="str">
        <f>IF(AE93&lt;&gt;"",COUNTIF(AE$3:AE93,FALSE),"")</f>
        <v/>
      </c>
      <c r="AG93" s="73" t="str">
        <f t="shared" si="35"/>
        <v>44905;Nuit;ThomasNau N.</v>
      </c>
      <c r="AH93" s="80">
        <f t="shared" si="36"/>
        <v>24</v>
      </c>
      <c r="AI93" s="80" t="str">
        <f t="shared" si="37"/>
        <v>344;F;24;N</v>
      </c>
      <c r="AJ93" s="80">
        <f t="shared" si="38"/>
        <v>384</v>
      </c>
      <c r="AK93" s="80" t="str">
        <f t="shared" si="39"/>
        <v/>
      </c>
      <c r="AL93" s="80" t="str">
        <f t="shared" si="40"/>
        <v/>
      </c>
      <c r="AM93" s="80" t="str">
        <f t="shared" si="41"/>
        <v/>
      </c>
      <c r="AN93" s="73" t="str">
        <f t="shared" si="42"/>
        <v/>
      </c>
    </row>
    <row r="94" spans="1:40" x14ac:dyDescent="0.25">
      <c r="A94" s="76">
        <v>44905</v>
      </c>
      <c r="B94" s="76" t="s">
        <v>92</v>
      </c>
      <c r="C94" s="76">
        <v>25</v>
      </c>
      <c r="D94" s="76" t="s">
        <v>225</v>
      </c>
      <c r="E94" s="76">
        <v>384</v>
      </c>
      <c r="G94" s="76" t="b">
        <v>1</v>
      </c>
      <c r="J94" s="76" t="s">
        <v>89</v>
      </c>
      <c r="K94" s="76">
        <v>344</v>
      </c>
      <c r="L94" s="76" t="s">
        <v>196</v>
      </c>
      <c r="M94" s="76" t="s">
        <v>200</v>
      </c>
      <c r="Q94" s="73" t="str">
        <f t="shared" si="26"/>
        <v>44905;Nuit;ThomasNau N.</v>
      </c>
      <c r="R94" s="80">
        <f>IF(Q94&lt;&gt;"",COUNTIF(Q$2:Q94,Q94),"")</f>
        <v>25</v>
      </c>
      <c r="S94" s="73" t="str">
        <f t="shared" si="27"/>
        <v>344;F;25;N</v>
      </c>
      <c r="T94" s="74">
        <f t="shared" si="28"/>
        <v>384</v>
      </c>
      <c r="U94" s="74" t="str">
        <f t="shared" si="29"/>
        <v/>
      </c>
      <c r="V94" s="74" t="str">
        <f t="shared" si="30"/>
        <v/>
      </c>
      <c r="W94" s="74" t="str">
        <f t="shared" si="31"/>
        <v/>
      </c>
      <c r="X94" s="74" t="str">
        <f t="shared" si="32"/>
        <v/>
      </c>
      <c r="Y94" s="74" t="str">
        <f t="shared" si="33"/>
        <v/>
      </c>
      <c r="Z94" s="74" t="str">
        <f t="shared" si="34"/>
        <v/>
      </c>
      <c r="AA94" s="74" t="str">
        <f t="shared" si="22"/>
        <v/>
      </c>
      <c r="AC94" s="74" t="str">
        <f t="shared" si="23"/>
        <v/>
      </c>
      <c r="AD94" s="74" t="str">
        <f t="shared" si="24"/>
        <v/>
      </c>
      <c r="AE94" s="74" t="str">
        <f t="shared" si="25"/>
        <v/>
      </c>
      <c r="AF94" s="91" t="str">
        <f>IF(AE94&lt;&gt;"",COUNTIF(AE$3:AE94,FALSE),"")</f>
        <v/>
      </c>
      <c r="AG94" s="73" t="str">
        <f t="shared" si="35"/>
        <v>44905;Nuit;ThomasNau N.</v>
      </c>
      <c r="AH94" s="80">
        <f t="shared" si="36"/>
        <v>25</v>
      </c>
      <c r="AI94" s="80" t="str">
        <f t="shared" si="37"/>
        <v>344;F;25;N</v>
      </c>
      <c r="AJ94" s="80">
        <f t="shared" si="38"/>
        <v>384</v>
      </c>
      <c r="AK94" s="80" t="str">
        <f t="shared" si="39"/>
        <v/>
      </c>
      <c r="AL94" s="80" t="str">
        <f t="shared" si="40"/>
        <v/>
      </c>
      <c r="AM94" s="80" t="str">
        <f t="shared" si="41"/>
        <v/>
      </c>
      <c r="AN94" s="73" t="str">
        <f t="shared" si="42"/>
        <v/>
      </c>
    </row>
    <row r="95" spans="1:40" x14ac:dyDescent="0.25">
      <c r="A95" s="76">
        <v>44905</v>
      </c>
      <c r="B95" s="76" t="s">
        <v>92</v>
      </c>
      <c r="C95" s="76">
        <v>26</v>
      </c>
      <c r="D95" s="76" t="s">
        <v>226</v>
      </c>
      <c r="E95" s="76">
        <v>384</v>
      </c>
      <c r="G95" s="76" t="b">
        <v>1</v>
      </c>
      <c r="J95" s="76" t="s">
        <v>89</v>
      </c>
      <c r="K95" s="76">
        <v>344</v>
      </c>
      <c r="L95" s="76" t="s">
        <v>196</v>
      </c>
      <c r="M95" s="76" t="s">
        <v>200</v>
      </c>
      <c r="Q95" s="73" t="str">
        <f t="shared" si="26"/>
        <v>44905;Nuit;ThomasNau N.</v>
      </c>
      <c r="R95" s="80">
        <f>IF(Q95&lt;&gt;"",COUNTIF(Q$2:Q95,Q95),"")</f>
        <v>26</v>
      </c>
      <c r="S95" s="73" t="str">
        <f t="shared" si="27"/>
        <v>344;F;26;N</v>
      </c>
      <c r="T95" s="74">
        <f t="shared" si="28"/>
        <v>384</v>
      </c>
      <c r="U95" s="74" t="str">
        <f t="shared" si="29"/>
        <v/>
      </c>
      <c r="V95" s="74" t="str">
        <f t="shared" si="30"/>
        <v/>
      </c>
      <c r="W95" s="74" t="str">
        <f t="shared" si="31"/>
        <v/>
      </c>
      <c r="X95" s="74" t="str">
        <f t="shared" si="32"/>
        <v/>
      </c>
      <c r="Y95" s="74" t="str">
        <f t="shared" si="33"/>
        <v/>
      </c>
      <c r="Z95" s="74" t="str">
        <f t="shared" si="34"/>
        <v/>
      </c>
      <c r="AA95" s="74" t="str">
        <f t="shared" si="22"/>
        <v/>
      </c>
      <c r="AC95" s="74" t="str">
        <f t="shared" si="23"/>
        <v/>
      </c>
      <c r="AD95" s="74" t="str">
        <f t="shared" si="24"/>
        <v/>
      </c>
      <c r="AE95" s="74" t="str">
        <f t="shared" si="25"/>
        <v/>
      </c>
      <c r="AF95" s="91" t="str">
        <f>IF(AE95&lt;&gt;"",COUNTIF(AE$3:AE95,FALSE),"")</f>
        <v/>
      </c>
      <c r="AG95" s="73" t="str">
        <f t="shared" si="35"/>
        <v>44905;Nuit;ThomasNau N.</v>
      </c>
      <c r="AH95" s="80">
        <f t="shared" si="36"/>
        <v>26</v>
      </c>
      <c r="AI95" s="80" t="str">
        <f t="shared" si="37"/>
        <v>344;F;26;N</v>
      </c>
      <c r="AJ95" s="80">
        <f t="shared" si="38"/>
        <v>384</v>
      </c>
      <c r="AK95" s="80" t="str">
        <f t="shared" si="39"/>
        <v/>
      </c>
      <c r="AL95" s="80" t="str">
        <f t="shared" si="40"/>
        <v/>
      </c>
      <c r="AM95" s="80" t="str">
        <f t="shared" si="41"/>
        <v/>
      </c>
      <c r="AN95" s="73" t="str">
        <f t="shared" si="42"/>
        <v/>
      </c>
    </row>
    <row r="96" spans="1:40" x14ac:dyDescent="0.25">
      <c r="Q96" s="73" t="str">
        <f t="shared" si="26"/>
        <v/>
      </c>
      <c r="R96" s="80" t="str">
        <f>IF(Q96&lt;&gt;"",COUNTIF(Q$2:Q96,Q96),"")</f>
        <v/>
      </c>
      <c r="S96" s="73" t="str">
        <f t="shared" si="27"/>
        <v/>
      </c>
      <c r="T96" s="74" t="str">
        <f t="shared" si="28"/>
        <v/>
      </c>
      <c r="U96" s="74" t="str">
        <f t="shared" si="29"/>
        <v/>
      </c>
      <c r="V96" s="74" t="str">
        <f t="shared" si="30"/>
        <v/>
      </c>
      <c r="W96" s="74" t="str">
        <f t="shared" si="31"/>
        <v/>
      </c>
      <c r="X96" s="74" t="str">
        <f t="shared" si="32"/>
        <v/>
      </c>
      <c r="Y96" s="74" t="str">
        <f t="shared" si="33"/>
        <v/>
      </c>
      <c r="Z96" s="74" t="str">
        <f t="shared" si="34"/>
        <v/>
      </c>
      <c r="AA96" s="74" t="str">
        <f t="shared" ref="AA96:AA131" si="43">IF(O96&lt;&gt;"",IFERROR(IF(FIND("OK",O96)&gt;0,TRUE),FALSE),"")</f>
        <v/>
      </c>
      <c r="AK96" s="73"/>
      <c r="AL96" s="73"/>
      <c r="AM96" s="73"/>
      <c r="AN96" s="73"/>
    </row>
    <row r="97" spans="17:40" x14ac:dyDescent="0.25">
      <c r="Q97" s="73" t="str">
        <f t="shared" si="26"/>
        <v/>
      </c>
      <c r="R97" s="80" t="str">
        <f>IF(Q97&lt;&gt;"",COUNTIF(Q$2:Q97,Q97),"")</f>
        <v/>
      </c>
      <c r="S97" s="73" t="str">
        <f t="shared" si="27"/>
        <v/>
      </c>
      <c r="T97" s="74" t="str">
        <f t="shared" si="28"/>
        <v/>
      </c>
      <c r="U97" s="74" t="str">
        <f t="shared" si="29"/>
        <v/>
      </c>
      <c r="V97" s="74" t="str">
        <f t="shared" si="30"/>
        <v/>
      </c>
      <c r="W97" s="74" t="str">
        <f t="shared" si="31"/>
        <v/>
      </c>
      <c r="X97" s="74" t="str">
        <f t="shared" si="32"/>
        <v/>
      </c>
      <c r="Y97" s="74" t="str">
        <f t="shared" si="33"/>
        <v/>
      </c>
      <c r="Z97" s="74" t="str">
        <f t="shared" si="34"/>
        <v/>
      </c>
      <c r="AA97" s="74" t="str">
        <f t="shared" si="43"/>
        <v/>
      </c>
      <c r="AK97" s="73"/>
      <c r="AL97" s="73"/>
      <c r="AM97" s="73"/>
      <c r="AN97" s="73"/>
    </row>
    <row r="98" spans="17:40" x14ac:dyDescent="0.25">
      <c r="Q98" s="73" t="str">
        <f t="shared" si="26"/>
        <v/>
      </c>
      <c r="R98" s="80" t="str">
        <f>IF(Q98&lt;&gt;"",COUNTIF(Q$2:Q98,Q98),"")</f>
        <v/>
      </c>
      <c r="S98" s="73" t="str">
        <f t="shared" si="27"/>
        <v/>
      </c>
      <c r="T98" s="74" t="str">
        <f t="shared" si="28"/>
        <v/>
      </c>
      <c r="U98" s="74" t="str">
        <f t="shared" si="29"/>
        <v/>
      </c>
      <c r="V98" s="74" t="str">
        <f t="shared" si="30"/>
        <v/>
      </c>
      <c r="W98" s="74" t="str">
        <f t="shared" si="31"/>
        <v/>
      </c>
      <c r="X98" s="74" t="str">
        <f t="shared" si="32"/>
        <v/>
      </c>
      <c r="Y98" s="74" t="str">
        <f t="shared" si="33"/>
        <v/>
      </c>
      <c r="Z98" s="74" t="str">
        <f t="shared" si="34"/>
        <v/>
      </c>
      <c r="AA98" s="74" t="str">
        <f t="shared" si="43"/>
        <v/>
      </c>
      <c r="AK98" s="73"/>
      <c r="AL98" s="73"/>
      <c r="AM98" s="73"/>
      <c r="AN98" s="73"/>
    </row>
    <row r="99" spans="17:40" x14ac:dyDescent="0.25">
      <c r="Q99" s="73" t="str">
        <f t="shared" si="26"/>
        <v/>
      </c>
      <c r="R99" s="80" t="str">
        <f>IF(Q99&lt;&gt;"",COUNTIF(Q$2:Q99,Q99),"")</f>
        <v/>
      </c>
      <c r="S99" s="73" t="str">
        <f t="shared" si="27"/>
        <v/>
      </c>
      <c r="T99" s="74" t="str">
        <f t="shared" si="28"/>
        <v/>
      </c>
      <c r="U99" s="74" t="str">
        <f t="shared" si="29"/>
        <v/>
      </c>
      <c r="V99" s="74" t="str">
        <f t="shared" si="30"/>
        <v/>
      </c>
      <c r="W99" s="74" t="str">
        <f t="shared" si="31"/>
        <v/>
      </c>
      <c r="X99" s="74" t="str">
        <f t="shared" si="32"/>
        <v/>
      </c>
      <c r="Y99" s="74" t="str">
        <f t="shared" si="33"/>
        <v/>
      </c>
      <c r="Z99" s="74" t="str">
        <f t="shared" si="34"/>
        <v/>
      </c>
      <c r="AA99" s="74" t="str">
        <f t="shared" si="43"/>
        <v/>
      </c>
      <c r="AK99" s="73"/>
      <c r="AL99" s="73"/>
      <c r="AM99" s="73"/>
      <c r="AN99" s="73"/>
    </row>
    <row r="100" spans="17:40" x14ac:dyDescent="0.25">
      <c r="Q100" s="73" t="str">
        <f t="shared" si="26"/>
        <v/>
      </c>
      <c r="R100" s="80" t="str">
        <f>IF(Q100&lt;&gt;"",COUNTIF(Q$2:Q100,Q100),"")</f>
        <v/>
      </c>
      <c r="S100" s="73" t="str">
        <f t="shared" si="27"/>
        <v/>
      </c>
      <c r="T100" s="74" t="str">
        <f t="shared" si="28"/>
        <v/>
      </c>
      <c r="U100" s="74" t="str">
        <f t="shared" si="29"/>
        <v/>
      </c>
      <c r="V100" s="74" t="str">
        <f t="shared" si="30"/>
        <v/>
      </c>
      <c r="W100" s="74" t="str">
        <f t="shared" si="31"/>
        <v/>
      </c>
      <c r="X100" s="74" t="str">
        <f t="shared" si="32"/>
        <v/>
      </c>
      <c r="Y100" s="74" t="str">
        <f t="shared" si="33"/>
        <v/>
      </c>
      <c r="Z100" s="74" t="str">
        <f t="shared" si="34"/>
        <v/>
      </c>
      <c r="AA100" s="74" t="str">
        <f t="shared" si="43"/>
        <v/>
      </c>
      <c r="AK100" s="73"/>
      <c r="AL100" s="73"/>
      <c r="AM100" s="73"/>
      <c r="AN100" s="73"/>
    </row>
    <row r="101" spans="17:40" x14ac:dyDescent="0.25">
      <c r="Q101" s="73" t="str">
        <f t="shared" si="26"/>
        <v/>
      </c>
      <c r="R101" s="80" t="str">
        <f>IF(Q101&lt;&gt;"",COUNTIF(Q$2:Q101,Q101),"")</f>
        <v/>
      </c>
      <c r="S101" s="73" t="str">
        <f t="shared" si="27"/>
        <v/>
      </c>
      <c r="T101" s="74" t="str">
        <f t="shared" si="28"/>
        <v/>
      </c>
      <c r="U101" s="74" t="str">
        <f t="shared" si="29"/>
        <v/>
      </c>
      <c r="V101" s="74" t="str">
        <f t="shared" si="30"/>
        <v/>
      </c>
      <c r="W101" s="74" t="str">
        <f t="shared" si="31"/>
        <v/>
      </c>
      <c r="X101" s="74" t="str">
        <f t="shared" si="32"/>
        <v/>
      </c>
      <c r="Y101" s="74" t="str">
        <f t="shared" si="33"/>
        <v/>
      </c>
      <c r="Z101" s="74" t="str">
        <f t="shared" si="34"/>
        <v/>
      </c>
      <c r="AA101" s="74" t="str">
        <f t="shared" si="43"/>
        <v/>
      </c>
      <c r="AK101" s="73"/>
      <c r="AL101" s="73"/>
      <c r="AM101" s="73"/>
      <c r="AN101" s="73"/>
    </row>
    <row r="102" spans="17:40" x14ac:dyDescent="0.25">
      <c r="Q102" s="73" t="str">
        <f t="shared" si="26"/>
        <v/>
      </c>
      <c r="R102" s="80" t="str">
        <f>IF(Q102&lt;&gt;"",COUNTIF(Q$2:Q102,Q102),"")</f>
        <v/>
      </c>
      <c r="S102" s="73" t="str">
        <f t="shared" si="27"/>
        <v/>
      </c>
      <c r="T102" s="74" t="str">
        <f t="shared" si="28"/>
        <v/>
      </c>
      <c r="U102" s="74" t="str">
        <f t="shared" si="29"/>
        <v/>
      </c>
      <c r="V102" s="74" t="str">
        <f t="shared" si="30"/>
        <v/>
      </c>
      <c r="W102" s="74" t="str">
        <f t="shared" si="31"/>
        <v/>
      </c>
      <c r="X102" s="74" t="str">
        <f t="shared" si="32"/>
        <v/>
      </c>
      <c r="Y102" s="74" t="str">
        <f t="shared" si="33"/>
        <v/>
      </c>
      <c r="Z102" s="74" t="str">
        <f t="shared" si="34"/>
        <v/>
      </c>
      <c r="AA102" s="74" t="str">
        <f t="shared" si="43"/>
        <v/>
      </c>
      <c r="AK102" s="73"/>
      <c r="AL102" s="73"/>
      <c r="AM102" s="73"/>
      <c r="AN102" s="73"/>
    </row>
    <row r="103" spans="17:40" x14ac:dyDescent="0.25">
      <c r="Q103" s="73" t="str">
        <f t="shared" si="26"/>
        <v/>
      </c>
      <c r="R103" s="80" t="str">
        <f>IF(Q103&lt;&gt;"",COUNTIF(Q$2:Q103,Q103),"")</f>
        <v/>
      </c>
      <c r="S103" s="73" t="str">
        <f t="shared" si="27"/>
        <v/>
      </c>
      <c r="T103" s="74" t="str">
        <f t="shared" si="28"/>
        <v/>
      </c>
      <c r="U103" s="74" t="str">
        <f t="shared" si="29"/>
        <v/>
      </c>
      <c r="V103" s="74" t="str">
        <f t="shared" si="30"/>
        <v/>
      </c>
      <c r="W103" s="74" t="str">
        <f t="shared" si="31"/>
        <v/>
      </c>
      <c r="X103" s="74" t="str">
        <f t="shared" si="32"/>
        <v/>
      </c>
      <c r="Y103" s="74" t="str">
        <f t="shared" si="33"/>
        <v/>
      </c>
      <c r="Z103" s="74" t="str">
        <f t="shared" si="34"/>
        <v/>
      </c>
      <c r="AA103" s="74" t="str">
        <f t="shared" si="43"/>
        <v/>
      </c>
      <c r="AK103" s="73"/>
      <c r="AL103" s="73"/>
      <c r="AM103" s="73"/>
      <c r="AN103" s="73"/>
    </row>
    <row r="104" spans="17:40" x14ac:dyDescent="0.25">
      <c r="Q104" s="73" t="str">
        <f t="shared" si="26"/>
        <v/>
      </c>
      <c r="R104" s="80" t="str">
        <f>IF(Q104&lt;&gt;"",COUNTIF(Q$2:Q104,Q104),"")</f>
        <v/>
      </c>
      <c r="S104" s="73" t="str">
        <f t="shared" si="27"/>
        <v/>
      </c>
      <c r="T104" s="74" t="str">
        <f t="shared" si="28"/>
        <v/>
      </c>
      <c r="U104" s="74" t="str">
        <f t="shared" si="29"/>
        <v/>
      </c>
      <c r="V104" s="74" t="str">
        <f t="shared" si="30"/>
        <v/>
      </c>
      <c r="W104" s="74" t="str">
        <f t="shared" si="31"/>
        <v/>
      </c>
      <c r="X104" s="74" t="str">
        <f t="shared" si="32"/>
        <v/>
      </c>
      <c r="Y104" s="74" t="str">
        <f t="shared" si="33"/>
        <v/>
      </c>
      <c r="Z104" s="74" t="str">
        <f t="shared" si="34"/>
        <v/>
      </c>
      <c r="AA104" s="74" t="str">
        <f t="shared" si="43"/>
        <v/>
      </c>
      <c r="AK104" s="73"/>
      <c r="AL104" s="73"/>
      <c r="AM104" s="73"/>
      <c r="AN104" s="73"/>
    </row>
    <row r="105" spans="17:40" x14ac:dyDescent="0.25">
      <c r="Q105" s="73" t="str">
        <f t="shared" si="26"/>
        <v/>
      </c>
      <c r="R105" s="80" t="str">
        <f>IF(Q105&lt;&gt;"",COUNTIF(Q$2:Q105,Q105),"")</f>
        <v/>
      </c>
      <c r="S105" s="73" t="str">
        <f t="shared" si="27"/>
        <v/>
      </c>
      <c r="T105" s="74" t="str">
        <f t="shared" si="28"/>
        <v/>
      </c>
      <c r="U105" s="74" t="str">
        <f t="shared" si="29"/>
        <v/>
      </c>
      <c r="V105" s="74" t="str">
        <f t="shared" si="30"/>
        <v/>
      </c>
      <c r="W105" s="74" t="str">
        <f t="shared" si="31"/>
        <v/>
      </c>
      <c r="X105" s="74" t="str">
        <f t="shared" si="32"/>
        <v/>
      </c>
      <c r="Y105" s="74" t="str">
        <f t="shared" si="33"/>
        <v/>
      </c>
      <c r="Z105" s="74" t="str">
        <f t="shared" si="34"/>
        <v/>
      </c>
      <c r="AA105" s="74" t="str">
        <f t="shared" si="43"/>
        <v/>
      </c>
      <c r="AK105" s="73"/>
      <c r="AL105" s="73"/>
      <c r="AM105" s="73"/>
      <c r="AN105" s="73"/>
    </row>
    <row r="106" spans="17:40" x14ac:dyDescent="0.25">
      <c r="Q106" s="73" t="str">
        <f t="shared" si="26"/>
        <v/>
      </c>
      <c r="R106" s="80" t="str">
        <f>IF(Q106&lt;&gt;"",COUNTIF(Q$2:Q106,Q106),"")</f>
        <v/>
      </c>
      <c r="S106" s="73" t="str">
        <f t="shared" si="27"/>
        <v/>
      </c>
      <c r="T106" s="74" t="str">
        <f t="shared" si="28"/>
        <v/>
      </c>
      <c r="U106" s="74" t="str">
        <f t="shared" si="29"/>
        <v/>
      </c>
      <c r="V106" s="74" t="str">
        <f t="shared" si="30"/>
        <v/>
      </c>
      <c r="W106" s="74" t="str">
        <f t="shared" si="31"/>
        <v/>
      </c>
      <c r="X106" s="74" t="str">
        <f t="shared" si="32"/>
        <v/>
      </c>
      <c r="Y106" s="74" t="str">
        <f t="shared" si="33"/>
        <v/>
      </c>
      <c r="Z106" s="74" t="str">
        <f t="shared" si="34"/>
        <v/>
      </c>
      <c r="AA106" s="74" t="str">
        <f t="shared" si="43"/>
        <v/>
      </c>
      <c r="AK106" s="73"/>
      <c r="AL106" s="73"/>
      <c r="AM106" s="73"/>
      <c r="AN106" s="73"/>
    </row>
    <row r="107" spans="17:40" x14ac:dyDescent="0.25">
      <c r="Q107" s="73" t="str">
        <f t="shared" si="26"/>
        <v/>
      </c>
      <c r="R107" s="80" t="str">
        <f>IF(Q107&lt;&gt;"",COUNTIF(Q$2:Q107,Q107),"")</f>
        <v/>
      </c>
      <c r="S107" s="73" t="str">
        <f t="shared" si="27"/>
        <v/>
      </c>
      <c r="T107" s="74" t="str">
        <f t="shared" si="28"/>
        <v/>
      </c>
      <c r="U107" s="74" t="str">
        <f t="shared" si="29"/>
        <v/>
      </c>
      <c r="V107" s="74" t="str">
        <f t="shared" si="30"/>
        <v/>
      </c>
      <c r="W107" s="74" t="str">
        <f t="shared" si="31"/>
        <v/>
      </c>
      <c r="X107" s="74" t="str">
        <f t="shared" si="32"/>
        <v/>
      </c>
      <c r="Y107" s="74" t="str">
        <f t="shared" si="33"/>
        <v/>
      </c>
      <c r="Z107" s="74" t="str">
        <f t="shared" si="34"/>
        <v/>
      </c>
      <c r="AA107" s="74" t="str">
        <f t="shared" si="43"/>
        <v/>
      </c>
      <c r="AK107" s="73"/>
      <c r="AL107" s="73"/>
      <c r="AM107" s="73"/>
      <c r="AN107" s="73"/>
    </row>
    <row r="108" spans="17:40" x14ac:dyDescent="0.25">
      <c r="Q108" s="73" t="str">
        <f t="shared" si="26"/>
        <v/>
      </c>
      <c r="R108" s="80" t="str">
        <f>IF(Q108&lt;&gt;"",COUNTIF(Q$2:Q108,Q108),"")</f>
        <v/>
      </c>
      <c r="S108" s="73" t="str">
        <f t="shared" si="27"/>
        <v/>
      </c>
      <c r="T108" s="74" t="str">
        <f t="shared" si="28"/>
        <v/>
      </c>
      <c r="U108" s="74" t="str">
        <f t="shared" si="29"/>
        <v/>
      </c>
      <c r="V108" s="74" t="str">
        <f t="shared" si="30"/>
        <v/>
      </c>
      <c r="W108" s="74" t="str">
        <f t="shared" si="31"/>
        <v/>
      </c>
      <c r="X108" s="74" t="str">
        <f t="shared" si="32"/>
        <v/>
      </c>
      <c r="Y108" s="74" t="str">
        <f t="shared" si="33"/>
        <v/>
      </c>
      <c r="Z108" s="74" t="str">
        <f t="shared" si="34"/>
        <v/>
      </c>
      <c r="AA108" s="74" t="str">
        <f t="shared" si="43"/>
        <v/>
      </c>
      <c r="AK108" s="73"/>
      <c r="AL108" s="73"/>
      <c r="AM108" s="73"/>
      <c r="AN108" s="73"/>
    </row>
    <row r="109" spans="17:40" x14ac:dyDescent="0.25">
      <c r="Q109" s="73" t="str">
        <f t="shared" si="26"/>
        <v/>
      </c>
      <c r="R109" s="80" t="str">
        <f>IF(Q109&lt;&gt;"",COUNTIF(Q$2:Q109,Q109),"")</f>
        <v/>
      </c>
      <c r="S109" s="73" t="str">
        <f t="shared" si="27"/>
        <v/>
      </c>
      <c r="T109" s="74" t="str">
        <f t="shared" si="28"/>
        <v/>
      </c>
      <c r="U109" s="74" t="str">
        <f t="shared" si="29"/>
        <v/>
      </c>
      <c r="V109" s="74" t="str">
        <f t="shared" si="30"/>
        <v/>
      </c>
      <c r="W109" s="74" t="str">
        <f t="shared" si="31"/>
        <v/>
      </c>
      <c r="X109" s="74" t="str">
        <f t="shared" si="32"/>
        <v/>
      </c>
      <c r="Y109" s="74" t="str">
        <f t="shared" si="33"/>
        <v/>
      </c>
      <c r="Z109" s="74" t="str">
        <f t="shared" si="34"/>
        <v/>
      </c>
      <c r="AA109" s="74" t="str">
        <f t="shared" si="43"/>
        <v/>
      </c>
      <c r="AK109" s="73"/>
      <c r="AL109" s="73"/>
      <c r="AM109" s="73"/>
      <c r="AN109" s="73"/>
    </row>
    <row r="110" spans="17:40" x14ac:dyDescent="0.25">
      <c r="Q110" s="73" t="str">
        <f t="shared" si="26"/>
        <v/>
      </c>
      <c r="R110" s="80" t="str">
        <f>IF(Q110&lt;&gt;"",COUNTIF(Q$2:Q110,Q110),"")</f>
        <v/>
      </c>
      <c r="S110" s="73" t="str">
        <f t="shared" si="27"/>
        <v/>
      </c>
      <c r="T110" s="74" t="str">
        <f t="shared" si="28"/>
        <v/>
      </c>
      <c r="U110" s="74" t="str">
        <f t="shared" si="29"/>
        <v/>
      </c>
      <c r="V110" s="74" t="str">
        <f t="shared" si="30"/>
        <v/>
      </c>
      <c r="W110" s="74" t="str">
        <f t="shared" si="31"/>
        <v/>
      </c>
      <c r="X110" s="74" t="str">
        <f t="shared" si="32"/>
        <v/>
      </c>
      <c r="Y110" s="74" t="str">
        <f t="shared" si="33"/>
        <v/>
      </c>
      <c r="Z110" s="74" t="str">
        <f t="shared" si="34"/>
        <v/>
      </c>
      <c r="AA110" s="74" t="str">
        <f t="shared" si="43"/>
        <v/>
      </c>
      <c r="AK110" s="73"/>
      <c r="AL110" s="73"/>
      <c r="AM110" s="73"/>
      <c r="AN110" s="73"/>
    </row>
    <row r="111" spans="17:40" x14ac:dyDescent="0.25">
      <c r="Q111" s="73" t="str">
        <f t="shared" si="26"/>
        <v/>
      </c>
      <c r="R111" s="80" t="str">
        <f>IF(Q111&lt;&gt;"",COUNTIF(Q$2:Q111,Q111),"")</f>
        <v/>
      </c>
      <c r="S111" s="73" t="str">
        <f t="shared" si="27"/>
        <v/>
      </c>
      <c r="T111" s="74" t="str">
        <f t="shared" si="28"/>
        <v/>
      </c>
      <c r="U111" s="74" t="str">
        <f t="shared" si="29"/>
        <v/>
      </c>
      <c r="V111" s="74" t="str">
        <f t="shared" si="30"/>
        <v/>
      </c>
      <c r="W111" s="74" t="str">
        <f t="shared" si="31"/>
        <v/>
      </c>
      <c r="X111" s="74" t="str">
        <f t="shared" si="32"/>
        <v/>
      </c>
      <c r="Y111" s="74" t="str">
        <f t="shared" si="33"/>
        <v/>
      </c>
      <c r="Z111" s="74" t="str">
        <f t="shared" si="34"/>
        <v/>
      </c>
      <c r="AA111" s="74" t="str">
        <f t="shared" si="43"/>
        <v/>
      </c>
      <c r="AK111" s="73"/>
      <c r="AL111" s="73"/>
      <c r="AM111" s="73"/>
      <c r="AN111" s="73"/>
    </row>
    <row r="112" spans="17:40" x14ac:dyDescent="0.25">
      <c r="Q112" s="73" t="str">
        <f t="shared" si="26"/>
        <v/>
      </c>
      <c r="R112" s="80" t="str">
        <f>IF(Q112&lt;&gt;"",COUNTIF(Q$2:Q112,Q112),"")</f>
        <v/>
      </c>
      <c r="S112" s="73" t="str">
        <f t="shared" si="27"/>
        <v/>
      </c>
      <c r="T112" s="74" t="str">
        <f t="shared" si="28"/>
        <v/>
      </c>
      <c r="U112" s="74" t="str">
        <f t="shared" si="29"/>
        <v/>
      </c>
      <c r="V112" s="74" t="str">
        <f t="shared" si="30"/>
        <v/>
      </c>
      <c r="W112" s="74" t="str">
        <f t="shared" si="31"/>
        <v/>
      </c>
      <c r="X112" s="74" t="str">
        <f t="shared" si="32"/>
        <v/>
      </c>
      <c r="Y112" s="74" t="str">
        <f t="shared" si="33"/>
        <v/>
      </c>
      <c r="Z112" s="74" t="str">
        <f t="shared" si="34"/>
        <v/>
      </c>
      <c r="AA112" s="74" t="str">
        <f t="shared" si="43"/>
        <v/>
      </c>
      <c r="AK112" s="73"/>
      <c r="AL112" s="73"/>
      <c r="AM112" s="73"/>
      <c r="AN112" s="73"/>
    </row>
    <row r="113" spans="17:40" x14ac:dyDescent="0.25">
      <c r="Q113" s="73" t="str">
        <f t="shared" si="26"/>
        <v/>
      </c>
      <c r="R113" s="80" t="str">
        <f>IF(Q113&lt;&gt;"",COUNTIF(Q$2:Q113,Q113),"")</f>
        <v/>
      </c>
      <c r="S113" s="73" t="str">
        <f t="shared" si="27"/>
        <v/>
      </c>
      <c r="T113" s="74" t="str">
        <f t="shared" si="28"/>
        <v/>
      </c>
      <c r="U113" s="74" t="str">
        <f t="shared" si="29"/>
        <v/>
      </c>
      <c r="V113" s="74" t="str">
        <f t="shared" si="30"/>
        <v/>
      </c>
      <c r="W113" s="74" t="str">
        <f t="shared" si="31"/>
        <v/>
      </c>
      <c r="X113" s="74" t="str">
        <f t="shared" si="32"/>
        <v/>
      </c>
      <c r="Y113" s="74" t="str">
        <f t="shared" si="33"/>
        <v/>
      </c>
      <c r="Z113" s="74" t="str">
        <f t="shared" si="34"/>
        <v/>
      </c>
      <c r="AA113" s="74" t="str">
        <f t="shared" si="43"/>
        <v/>
      </c>
      <c r="AK113" s="73"/>
      <c r="AL113" s="73"/>
      <c r="AM113" s="73"/>
      <c r="AN113" s="73"/>
    </row>
    <row r="114" spans="17:40" x14ac:dyDescent="0.25">
      <c r="Q114" s="73" t="str">
        <f t="shared" si="26"/>
        <v/>
      </c>
      <c r="R114" s="80" t="str">
        <f>IF(Q114&lt;&gt;"",COUNTIF(Q$2:Q114,Q114),"")</f>
        <v/>
      </c>
      <c r="S114" s="73" t="str">
        <f t="shared" si="27"/>
        <v/>
      </c>
      <c r="T114" s="74" t="str">
        <f t="shared" si="28"/>
        <v/>
      </c>
      <c r="U114" s="74" t="str">
        <f t="shared" si="29"/>
        <v/>
      </c>
      <c r="V114" s="74" t="str">
        <f t="shared" si="30"/>
        <v/>
      </c>
      <c r="W114" s="74" t="str">
        <f t="shared" si="31"/>
        <v/>
      </c>
      <c r="X114" s="74" t="str">
        <f t="shared" si="32"/>
        <v/>
      </c>
      <c r="Y114" s="74" t="str">
        <f t="shared" si="33"/>
        <v/>
      </c>
      <c r="Z114" s="74" t="str">
        <f t="shared" si="34"/>
        <v/>
      </c>
      <c r="AA114" s="74" t="str">
        <f t="shared" si="43"/>
        <v/>
      </c>
      <c r="AK114" s="73"/>
      <c r="AL114" s="73"/>
      <c r="AM114" s="73"/>
      <c r="AN114" s="73"/>
    </row>
    <row r="115" spans="17:40" x14ac:dyDescent="0.25">
      <c r="Q115" s="73" t="str">
        <f t="shared" si="26"/>
        <v/>
      </c>
      <c r="R115" s="80" t="str">
        <f>IF(Q115&lt;&gt;"",COUNTIF(Q$2:Q115,Q115),"")</f>
        <v/>
      </c>
      <c r="S115" s="73" t="str">
        <f t="shared" si="27"/>
        <v/>
      </c>
      <c r="T115" s="74" t="str">
        <f t="shared" si="28"/>
        <v/>
      </c>
      <c r="U115" s="74" t="str">
        <f t="shared" si="29"/>
        <v/>
      </c>
      <c r="V115" s="74" t="str">
        <f t="shared" si="30"/>
        <v/>
      </c>
      <c r="W115" s="74" t="str">
        <f t="shared" si="31"/>
        <v/>
      </c>
      <c r="X115" s="74" t="str">
        <f t="shared" si="32"/>
        <v/>
      </c>
      <c r="Y115" s="74" t="str">
        <f t="shared" si="33"/>
        <v/>
      </c>
      <c r="Z115" s="74" t="str">
        <f t="shared" si="34"/>
        <v/>
      </c>
      <c r="AA115" s="74" t="str">
        <f t="shared" si="43"/>
        <v/>
      </c>
      <c r="AK115" s="73"/>
      <c r="AL115" s="73"/>
      <c r="AM115" s="73"/>
      <c r="AN115" s="73"/>
    </row>
    <row r="116" spans="17:40" x14ac:dyDescent="0.25">
      <c r="Q116" s="73" t="str">
        <f t="shared" si="26"/>
        <v/>
      </c>
      <c r="R116" s="80" t="str">
        <f>IF(Q116&lt;&gt;"",COUNTIF(Q$2:Q116,Q116),"")</f>
        <v/>
      </c>
      <c r="S116" s="73" t="str">
        <f t="shared" si="27"/>
        <v/>
      </c>
      <c r="T116" s="74" t="str">
        <f t="shared" si="28"/>
        <v/>
      </c>
      <c r="U116" s="74" t="str">
        <f t="shared" si="29"/>
        <v/>
      </c>
      <c r="V116" s="74" t="str">
        <f t="shared" si="30"/>
        <v/>
      </c>
      <c r="W116" s="74" t="str">
        <f t="shared" si="31"/>
        <v/>
      </c>
      <c r="X116" s="74" t="str">
        <f t="shared" si="32"/>
        <v/>
      </c>
      <c r="Y116" s="74" t="str">
        <f t="shared" si="33"/>
        <v/>
      </c>
      <c r="Z116" s="74" t="str">
        <f t="shared" si="34"/>
        <v/>
      </c>
      <c r="AA116" s="74" t="str">
        <f t="shared" si="43"/>
        <v/>
      </c>
      <c r="AK116" s="73"/>
      <c r="AL116" s="73"/>
      <c r="AM116" s="73"/>
      <c r="AN116" s="73"/>
    </row>
    <row r="117" spans="17:40" x14ac:dyDescent="0.25">
      <c r="Q117" s="73" t="str">
        <f t="shared" si="26"/>
        <v/>
      </c>
      <c r="R117" s="80" t="str">
        <f>IF(Q117&lt;&gt;"",COUNTIF(Q$2:Q117,Q117),"")</f>
        <v/>
      </c>
      <c r="S117" s="73" t="str">
        <f t="shared" si="27"/>
        <v/>
      </c>
      <c r="T117" s="74" t="str">
        <f t="shared" si="28"/>
        <v/>
      </c>
      <c r="U117" s="74" t="str">
        <f t="shared" si="29"/>
        <v/>
      </c>
      <c r="V117" s="74" t="str">
        <f t="shared" si="30"/>
        <v/>
      </c>
      <c r="W117" s="74" t="str">
        <f t="shared" si="31"/>
        <v/>
      </c>
      <c r="X117" s="74" t="str">
        <f t="shared" si="32"/>
        <v/>
      </c>
      <c r="Y117" s="74" t="str">
        <f t="shared" si="33"/>
        <v/>
      </c>
      <c r="Z117" s="74" t="str">
        <f t="shared" si="34"/>
        <v/>
      </c>
      <c r="AA117" s="74" t="str">
        <f t="shared" si="43"/>
        <v/>
      </c>
      <c r="AK117" s="73"/>
      <c r="AL117" s="73"/>
      <c r="AM117" s="73"/>
      <c r="AN117" s="73"/>
    </row>
    <row r="118" spans="17:40" x14ac:dyDescent="0.25">
      <c r="Q118" s="73" t="str">
        <f t="shared" si="26"/>
        <v/>
      </c>
      <c r="R118" s="80" t="str">
        <f>IF(Q118&lt;&gt;"",COUNTIF(Q$2:Q118,Q118),"")</f>
        <v/>
      </c>
      <c r="S118" s="73" t="str">
        <f t="shared" si="27"/>
        <v/>
      </c>
      <c r="T118" s="74" t="str">
        <f t="shared" si="28"/>
        <v/>
      </c>
      <c r="U118" s="74" t="str">
        <f t="shared" si="29"/>
        <v/>
      </c>
      <c r="V118" s="74" t="str">
        <f t="shared" si="30"/>
        <v/>
      </c>
      <c r="W118" s="74" t="str">
        <f t="shared" si="31"/>
        <v/>
      </c>
      <c r="X118" s="74" t="str">
        <f t="shared" si="32"/>
        <v/>
      </c>
      <c r="Y118" s="74" t="str">
        <f t="shared" si="33"/>
        <v/>
      </c>
      <c r="Z118" s="74" t="str">
        <f t="shared" si="34"/>
        <v/>
      </c>
      <c r="AA118" s="74" t="str">
        <f t="shared" si="43"/>
        <v/>
      </c>
      <c r="AK118" s="73"/>
      <c r="AL118" s="73"/>
      <c r="AM118" s="73"/>
      <c r="AN118" s="73"/>
    </row>
    <row r="119" spans="17:40" x14ac:dyDescent="0.25">
      <c r="Q119" s="73" t="str">
        <f t="shared" si="26"/>
        <v/>
      </c>
      <c r="R119" s="80" t="str">
        <f>IF(Q119&lt;&gt;"",COUNTIF(Q$2:Q119,Q119),"")</f>
        <v/>
      </c>
      <c r="S119" s="73" t="str">
        <f t="shared" si="27"/>
        <v/>
      </c>
      <c r="T119" s="74" t="str">
        <f t="shared" si="28"/>
        <v/>
      </c>
      <c r="U119" s="74" t="str">
        <f t="shared" si="29"/>
        <v/>
      </c>
      <c r="V119" s="74" t="str">
        <f t="shared" si="30"/>
        <v/>
      </c>
      <c r="W119" s="74" t="str">
        <f t="shared" si="31"/>
        <v/>
      </c>
      <c r="X119" s="74" t="str">
        <f t="shared" si="32"/>
        <v/>
      </c>
      <c r="Y119" s="74" t="str">
        <f t="shared" si="33"/>
        <v/>
      </c>
      <c r="Z119" s="74" t="str">
        <f t="shared" si="34"/>
        <v/>
      </c>
      <c r="AA119" s="74" t="str">
        <f t="shared" si="43"/>
        <v/>
      </c>
      <c r="AK119" s="73"/>
      <c r="AL119" s="73"/>
      <c r="AM119" s="73"/>
      <c r="AN119" s="73"/>
    </row>
    <row r="120" spans="17:40" x14ac:dyDescent="0.25">
      <c r="Q120" s="73" t="str">
        <f t="shared" si="26"/>
        <v/>
      </c>
      <c r="R120" s="80" t="str">
        <f>IF(Q120&lt;&gt;"",COUNTIF(Q$2:Q120,Q120),"")</f>
        <v/>
      </c>
      <c r="S120" s="73" t="str">
        <f t="shared" si="27"/>
        <v/>
      </c>
      <c r="T120" s="74" t="str">
        <f t="shared" si="28"/>
        <v/>
      </c>
      <c r="U120" s="74" t="str">
        <f t="shared" si="29"/>
        <v/>
      </c>
      <c r="V120" s="74" t="str">
        <f t="shared" si="30"/>
        <v/>
      </c>
      <c r="W120" s="74" t="str">
        <f t="shared" si="31"/>
        <v/>
      </c>
      <c r="X120" s="74" t="str">
        <f t="shared" si="32"/>
        <v/>
      </c>
      <c r="Y120" s="74" t="str">
        <f t="shared" si="33"/>
        <v/>
      </c>
      <c r="Z120" s="74" t="str">
        <f t="shared" si="34"/>
        <v/>
      </c>
      <c r="AA120" s="74" t="str">
        <f t="shared" si="43"/>
        <v/>
      </c>
      <c r="AK120" s="73"/>
      <c r="AL120" s="73"/>
      <c r="AM120" s="73"/>
      <c r="AN120" s="73"/>
    </row>
    <row r="121" spans="17:40" x14ac:dyDescent="0.25">
      <c r="Q121" s="73" t="str">
        <f t="shared" si="26"/>
        <v/>
      </c>
      <c r="R121" s="80" t="str">
        <f>IF(Q121&lt;&gt;"",COUNTIF(Q$2:Q121,Q121),"")</f>
        <v/>
      </c>
      <c r="S121" s="73" t="str">
        <f t="shared" si="27"/>
        <v/>
      </c>
      <c r="T121" s="74" t="str">
        <f t="shared" si="28"/>
        <v/>
      </c>
      <c r="U121" s="74" t="str">
        <f t="shared" si="29"/>
        <v/>
      </c>
      <c r="V121" s="74" t="str">
        <f t="shared" si="30"/>
        <v/>
      </c>
      <c r="W121" s="74" t="str">
        <f t="shared" si="31"/>
        <v/>
      </c>
      <c r="X121" s="74" t="str">
        <f t="shared" si="32"/>
        <v/>
      </c>
      <c r="Y121" s="74" t="str">
        <f t="shared" si="33"/>
        <v/>
      </c>
      <c r="Z121" s="74" t="str">
        <f t="shared" si="34"/>
        <v/>
      </c>
      <c r="AA121" s="74" t="str">
        <f t="shared" si="43"/>
        <v/>
      </c>
      <c r="AK121" s="73"/>
      <c r="AL121" s="73"/>
      <c r="AM121" s="73"/>
      <c r="AN121" s="73"/>
    </row>
    <row r="122" spans="17:40" x14ac:dyDescent="0.25">
      <c r="Q122" s="73" t="str">
        <f t="shared" si="26"/>
        <v/>
      </c>
      <c r="R122" s="80" t="str">
        <f>IF(Q122&lt;&gt;"",COUNTIF(Q$2:Q122,Q122),"")</f>
        <v/>
      </c>
      <c r="S122" s="73" t="str">
        <f t="shared" si="27"/>
        <v/>
      </c>
      <c r="T122" s="74" t="str">
        <f t="shared" si="28"/>
        <v/>
      </c>
      <c r="U122" s="74" t="str">
        <f t="shared" si="29"/>
        <v/>
      </c>
      <c r="V122" s="74" t="str">
        <f t="shared" si="30"/>
        <v/>
      </c>
      <c r="W122" s="74" t="str">
        <f t="shared" si="31"/>
        <v/>
      </c>
      <c r="X122" s="74" t="str">
        <f t="shared" si="32"/>
        <v/>
      </c>
      <c r="Y122" s="74" t="str">
        <f t="shared" si="33"/>
        <v/>
      </c>
      <c r="Z122" s="74" t="str">
        <f t="shared" si="34"/>
        <v/>
      </c>
      <c r="AA122" s="74" t="str">
        <f t="shared" si="43"/>
        <v/>
      </c>
      <c r="AK122" s="73"/>
      <c r="AL122" s="73"/>
      <c r="AM122" s="73"/>
      <c r="AN122" s="73"/>
    </row>
    <row r="123" spans="17:40" x14ac:dyDescent="0.25">
      <c r="Q123" s="73" t="str">
        <f t="shared" si="26"/>
        <v/>
      </c>
      <c r="R123" s="80" t="str">
        <f>IF(Q123&lt;&gt;"",COUNTIF(Q$2:Q123,Q123),"")</f>
        <v/>
      </c>
      <c r="S123" s="73" t="str">
        <f t="shared" si="27"/>
        <v/>
      </c>
      <c r="T123" s="74" t="str">
        <f t="shared" si="28"/>
        <v/>
      </c>
      <c r="U123" s="74" t="str">
        <f t="shared" si="29"/>
        <v/>
      </c>
      <c r="V123" s="74" t="str">
        <f t="shared" si="30"/>
        <v/>
      </c>
      <c r="W123" s="74" t="str">
        <f t="shared" si="31"/>
        <v/>
      </c>
      <c r="X123" s="74" t="str">
        <f t="shared" si="32"/>
        <v/>
      </c>
      <c r="Y123" s="74" t="str">
        <f t="shared" si="33"/>
        <v/>
      </c>
      <c r="Z123" s="74" t="str">
        <f t="shared" si="34"/>
        <v/>
      </c>
      <c r="AA123" s="74" t="str">
        <f t="shared" si="43"/>
        <v/>
      </c>
      <c r="AK123" s="73"/>
      <c r="AL123" s="73"/>
      <c r="AM123" s="73"/>
      <c r="AN123" s="73"/>
    </row>
    <row r="124" spans="17:40" x14ac:dyDescent="0.25">
      <c r="Q124" s="73" t="str">
        <f t="shared" si="26"/>
        <v/>
      </c>
      <c r="R124" s="80" t="str">
        <f>IF(Q124&lt;&gt;"",COUNTIF(Q$2:Q124,Q124),"")</f>
        <v/>
      </c>
      <c r="S124" s="73" t="str">
        <f t="shared" si="27"/>
        <v/>
      </c>
      <c r="T124" s="74" t="str">
        <f t="shared" si="28"/>
        <v/>
      </c>
      <c r="U124" s="74" t="str">
        <f t="shared" si="29"/>
        <v/>
      </c>
      <c r="V124" s="74" t="str">
        <f t="shared" si="30"/>
        <v/>
      </c>
      <c r="W124" s="74" t="str">
        <f t="shared" si="31"/>
        <v/>
      </c>
      <c r="X124" s="74" t="str">
        <f t="shared" si="32"/>
        <v/>
      </c>
      <c r="Y124" s="74" t="str">
        <f t="shared" si="33"/>
        <v/>
      </c>
      <c r="Z124" s="74" t="str">
        <f t="shared" si="34"/>
        <v/>
      </c>
      <c r="AA124" s="74" t="str">
        <f t="shared" si="43"/>
        <v/>
      </c>
      <c r="AK124" s="73"/>
      <c r="AL124" s="73"/>
      <c r="AM124" s="73"/>
      <c r="AN124" s="73"/>
    </row>
    <row r="125" spans="17:40" x14ac:dyDescent="0.25">
      <c r="Q125" s="73" t="str">
        <f t="shared" si="26"/>
        <v/>
      </c>
      <c r="R125" s="80" t="str">
        <f>IF(Q125&lt;&gt;"",COUNTIF(Q$2:Q125,Q125),"")</f>
        <v/>
      </c>
      <c r="S125" s="73" t="str">
        <f t="shared" si="27"/>
        <v/>
      </c>
      <c r="T125" s="74" t="str">
        <f t="shared" si="28"/>
        <v/>
      </c>
      <c r="U125" s="74" t="str">
        <f t="shared" si="29"/>
        <v/>
      </c>
      <c r="V125" s="74" t="str">
        <f t="shared" si="30"/>
        <v/>
      </c>
      <c r="W125" s="74" t="str">
        <f t="shared" si="31"/>
        <v/>
      </c>
      <c r="X125" s="74" t="str">
        <f t="shared" si="32"/>
        <v/>
      </c>
      <c r="Y125" s="74" t="str">
        <f t="shared" si="33"/>
        <v/>
      </c>
      <c r="Z125" s="74" t="str">
        <f t="shared" si="34"/>
        <v/>
      </c>
      <c r="AA125" s="74" t="str">
        <f t="shared" si="43"/>
        <v/>
      </c>
      <c r="AK125" s="73"/>
      <c r="AL125" s="73"/>
      <c r="AM125" s="73"/>
      <c r="AN125" s="73"/>
    </row>
    <row r="126" spans="17:40" x14ac:dyDescent="0.25">
      <c r="Q126" s="73" t="str">
        <f t="shared" si="26"/>
        <v/>
      </c>
      <c r="R126" s="80" t="str">
        <f>IF(Q126&lt;&gt;"",COUNTIF(Q$2:Q126,Q126),"")</f>
        <v/>
      </c>
      <c r="S126" s="73" t="str">
        <f t="shared" si="27"/>
        <v/>
      </c>
      <c r="T126" s="74" t="str">
        <f t="shared" si="28"/>
        <v/>
      </c>
      <c r="U126" s="74" t="str">
        <f t="shared" si="29"/>
        <v/>
      </c>
      <c r="V126" s="74" t="str">
        <f t="shared" si="30"/>
        <v/>
      </c>
      <c r="W126" s="74" t="str">
        <f t="shared" si="31"/>
        <v/>
      </c>
      <c r="X126" s="74" t="str">
        <f t="shared" si="32"/>
        <v/>
      </c>
      <c r="Y126" s="74" t="str">
        <f t="shared" si="33"/>
        <v/>
      </c>
      <c r="Z126" s="74" t="str">
        <f t="shared" si="34"/>
        <v/>
      </c>
      <c r="AA126" s="74" t="str">
        <f t="shared" si="43"/>
        <v/>
      </c>
      <c r="AK126" s="73"/>
      <c r="AL126" s="73"/>
      <c r="AM126" s="73"/>
      <c r="AN126" s="73"/>
    </row>
    <row r="127" spans="17:40" x14ac:dyDescent="0.25">
      <c r="Q127" s="73" t="str">
        <f t="shared" si="26"/>
        <v/>
      </c>
      <c r="R127" s="80" t="str">
        <f>IF(Q127&lt;&gt;"",COUNTIF(Q$2:Q127,Q127),"")</f>
        <v/>
      </c>
      <c r="S127" s="73" t="str">
        <f t="shared" si="27"/>
        <v/>
      </c>
      <c r="T127" s="74" t="str">
        <f t="shared" si="28"/>
        <v/>
      </c>
      <c r="U127" s="74" t="str">
        <f t="shared" si="29"/>
        <v/>
      </c>
      <c r="V127" s="74" t="str">
        <f t="shared" si="30"/>
        <v/>
      </c>
      <c r="W127" s="74" t="str">
        <f t="shared" si="31"/>
        <v/>
      </c>
      <c r="X127" s="74" t="str">
        <f t="shared" si="32"/>
        <v/>
      </c>
      <c r="Y127" s="74" t="str">
        <f t="shared" si="33"/>
        <v/>
      </c>
      <c r="Z127" s="74" t="str">
        <f t="shared" si="34"/>
        <v/>
      </c>
      <c r="AA127" s="74" t="str">
        <f t="shared" si="43"/>
        <v/>
      </c>
      <c r="AK127" s="73"/>
      <c r="AL127" s="73"/>
      <c r="AM127" s="73"/>
      <c r="AN127" s="73"/>
    </row>
    <row r="128" spans="17:40" x14ac:dyDescent="0.25">
      <c r="Q128" s="73" t="str">
        <f t="shared" si="26"/>
        <v/>
      </c>
      <c r="R128" s="80" t="str">
        <f>IF(Q128&lt;&gt;"",COUNTIF(Q$2:Q128,Q128),"")</f>
        <v/>
      </c>
      <c r="S128" s="73" t="str">
        <f t="shared" si="27"/>
        <v/>
      </c>
      <c r="T128" s="74" t="str">
        <f t="shared" si="28"/>
        <v/>
      </c>
      <c r="U128" s="74" t="str">
        <f t="shared" si="29"/>
        <v/>
      </c>
      <c r="V128" s="74" t="str">
        <f t="shared" si="30"/>
        <v/>
      </c>
      <c r="W128" s="74" t="str">
        <f t="shared" si="31"/>
        <v/>
      </c>
      <c r="X128" s="74" t="str">
        <f t="shared" si="32"/>
        <v/>
      </c>
      <c r="Y128" s="74" t="str">
        <f t="shared" si="33"/>
        <v/>
      </c>
      <c r="Z128" s="74" t="str">
        <f t="shared" si="34"/>
        <v/>
      </c>
      <c r="AA128" s="74" t="str">
        <f t="shared" si="43"/>
        <v/>
      </c>
      <c r="AK128" s="73"/>
      <c r="AL128" s="73"/>
      <c r="AM128" s="73"/>
      <c r="AN128" s="73"/>
    </row>
    <row r="129" spans="17:40" x14ac:dyDescent="0.25">
      <c r="Q129" s="73" t="str">
        <f t="shared" si="26"/>
        <v/>
      </c>
      <c r="R129" s="80" t="str">
        <f>IF(Q129&lt;&gt;"",COUNTIF(Q$2:Q129,Q129),"")</f>
        <v/>
      </c>
      <c r="S129" s="73" t="str">
        <f t="shared" si="27"/>
        <v/>
      </c>
      <c r="T129" s="74" t="str">
        <f t="shared" si="28"/>
        <v/>
      </c>
      <c r="U129" s="74" t="str">
        <f t="shared" si="29"/>
        <v/>
      </c>
      <c r="V129" s="74" t="str">
        <f t="shared" si="30"/>
        <v/>
      </c>
      <c r="W129" s="74" t="str">
        <f t="shared" si="31"/>
        <v/>
      </c>
      <c r="X129" s="74" t="str">
        <f t="shared" si="32"/>
        <v/>
      </c>
      <c r="Y129" s="74" t="str">
        <f t="shared" si="33"/>
        <v/>
      </c>
      <c r="Z129" s="74" t="str">
        <f t="shared" si="34"/>
        <v/>
      </c>
      <c r="AA129" s="74" t="str">
        <f t="shared" si="43"/>
        <v/>
      </c>
      <c r="AK129" s="73"/>
      <c r="AL129" s="73"/>
      <c r="AM129" s="73"/>
      <c r="AN129" s="73"/>
    </row>
    <row r="130" spans="17:40" x14ac:dyDescent="0.25">
      <c r="Q130" s="73" t="str">
        <f t="shared" si="26"/>
        <v/>
      </c>
      <c r="R130" s="80" t="str">
        <f>IF(Q130&lt;&gt;"",COUNTIF(Q$2:Q130,Q130),"")</f>
        <v/>
      </c>
      <c r="S130" s="73" t="str">
        <f t="shared" si="27"/>
        <v/>
      </c>
      <c r="T130" s="74" t="str">
        <f t="shared" si="28"/>
        <v/>
      </c>
      <c r="U130" s="74" t="str">
        <f t="shared" si="29"/>
        <v/>
      </c>
      <c r="V130" s="74" t="str">
        <f t="shared" si="30"/>
        <v/>
      </c>
      <c r="W130" s="74" t="str">
        <f t="shared" si="31"/>
        <v/>
      </c>
      <c r="X130" s="74" t="str">
        <f t="shared" si="32"/>
        <v/>
      </c>
      <c r="Y130" s="74" t="str">
        <f t="shared" si="33"/>
        <v/>
      </c>
      <c r="Z130" s="74" t="str">
        <f t="shared" si="34"/>
        <v/>
      </c>
      <c r="AA130" s="74" t="str">
        <f t="shared" si="43"/>
        <v/>
      </c>
      <c r="AK130" s="73"/>
      <c r="AL130" s="73"/>
      <c r="AM130" s="73"/>
      <c r="AN130" s="73"/>
    </row>
    <row r="131" spans="17:40" x14ac:dyDescent="0.25">
      <c r="Q131" s="73" t="str">
        <f t="shared" si="26"/>
        <v/>
      </c>
      <c r="R131" s="80" t="str">
        <f>IF(Q131&lt;&gt;"",COUNTIF(Q$2:Q131,Q131),"")</f>
        <v/>
      </c>
      <c r="S131" s="73" t="str">
        <f t="shared" si="27"/>
        <v/>
      </c>
      <c r="T131" s="74" t="str">
        <f t="shared" si="28"/>
        <v/>
      </c>
      <c r="U131" s="74" t="str">
        <f t="shared" si="29"/>
        <v/>
      </c>
      <c r="V131" s="74" t="str">
        <f t="shared" si="30"/>
        <v/>
      </c>
      <c r="W131" s="74" t="str">
        <f t="shared" si="31"/>
        <v/>
      </c>
      <c r="X131" s="74" t="str">
        <f t="shared" si="32"/>
        <v/>
      </c>
      <c r="Y131" s="74" t="str">
        <f t="shared" si="33"/>
        <v/>
      </c>
      <c r="Z131" s="74" t="str">
        <f t="shared" si="34"/>
        <v/>
      </c>
      <c r="AA131" s="74" t="str">
        <f t="shared" si="43"/>
        <v/>
      </c>
      <c r="AK131" s="73"/>
      <c r="AL131" s="73"/>
      <c r="AM131" s="73"/>
      <c r="AN131" s="73"/>
    </row>
    <row r="132" spans="17:40" x14ac:dyDescent="0.25">
      <c r="Q132" s="73" t="str">
        <f t="shared" ref="Q132:Q195" si="44">IF(C132&lt;&gt;"",IF(L132&lt;&gt;"",L132,""),"")</f>
        <v/>
      </c>
      <c r="R132" s="80" t="str">
        <f>IF(Q132&lt;&gt;"",COUNTIF(Q$2:Q132,Q132),"")</f>
        <v/>
      </c>
      <c r="S132" s="73" t="str">
        <f t="shared" ref="S132:S195" si="45">IF(Q132&lt;&gt;"",D132,"")</f>
        <v/>
      </c>
      <c r="T132" s="74" t="str">
        <f t="shared" ref="T132:T195" si="46">IF(Q132&lt;&gt;"",E132,"")</f>
        <v/>
      </c>
      <c r="U132" s="74" t="str">
        <f t="shared" ref="U132:U195" si="47">IF(Q132&lt;&gt;"",IFERROR(SUBSTITUTE(LEFT(N132,FIND(";",N132)),";",""),""),"")</f>
        <v/>
      </c>
      <c r="V132" s="74" t="str">
        <f t="shared" ref="V132:V195" si="48">IF(Q132&lt;&gt;"",IFERROR(SUBSTITUTE(RIGHT(N132,FIND(";",N132)),";",""),""),"")</f>
        <v/>
      </c>
      <c r="W132" s="74" t="str">
        <f t="shared" ref="W132:W195" si="49">IF(R132&lt;&gt;"",IFERROR(SUBSTITUTE(LEFT(O132,FIND(";",O132)),";",""),""),"")</f>
        <v/>
      </c>
      <c r="X132" s="74" t="str">
        <f t="shared" ref="X132:X195" si="50">IF(U132&lt;&gt;"",_xlfn.NUMBERVALUE(U132),"")</f>
        <v/>
      </c>
      <c r="Y132" s="74" t="str">
        <f t="shared" ref="Y132:Y195" si="51">IF(V132&lt;&gt;"",_xlfn.NUMBERVALUE(V132),"")</f>
        <v/>
      </c>
      <c r="Z132" s="74" t="str">
        <f t="shared" ref="Z132:Z195" si="52">IF(W132&lt;&gt;"",_xlfn.NUMBERVALUE(W132),"")</f>
        <v/>
      </c>
      <c r="AA132" s="74" t="str">
        <f t="shared" ref="AA132:AA195" si="53">IF(O132&lt;&gt;"",IFERROR(IF(FIND("OK",O132)&gt;0,TRUE),FALSE),"")</f>
        <v/>
      </c>
      <c r="AK132" s="73"/>
      <c r="AL132" s="73"/>
      <c r="AM132" s="73"/>
      <c r="AN132" s="73"/>
    </row>
    <row r="133" spans="17:40" x14ac:dyDescent="0.25">
      <c r="Q133" s="73" t="str">
        <f t="shared" si="44"/>
        <v/>
      </c>
      <c r="R133" s="80" t="str">
        <f>IF(Q133&lt;&gt;"",COUNTIF(Q$2:Q133,Q133),"")</f>
        <v/>
      </c>
      <c r="S133" s="73" t="str">
        <f t="shared" si="45"/>
        <v/>
      </c>
      <c r="T133" s="74" t="str">
        <f t="shared" si="46"/>
        <v/>
      </c>
      <c r="U133" s="74" t="str">
        <f t="shared" si="47"/>
        <v/>
      </c>
      <c r="V133" s="74" t="str">
        <f t="shared" si="48"/>
        <v/>
      </c>
      <c r="W133" s="74" t="str">
        <f t="shared" si="49"/>
        <v/>
      </c>
      <c r="X133" s="74" t="str">
        <f t="shared" si="50"/>
        <v/>
      </c>
      <c r="Y133" s="74" t="str">
        <f t="shared" si="51"/>
        <v/>
      </c>
      <c r="Z133" s="74" t="str">
        <f t="shared" si="52"/>
        <v/>
      </c>
      <c r="AA133" s="74" t="str">
        <f t="shared" si="53"/>
        <v/>
      </c>
      <c r="AK133" s="73"/>
      <c r="AL133" s="73"/>
      <c r="AM133" s="73"/>
      <c r="AN133" s="73"/>
    </row>
    <row r="134" spans="17:40" x14ac:dyDescent="0.25">
      <c r="Q134" s="73" t="str">
        <f t="shared" si="44"/>
        <v/>
      </c>
      <c r="R134" s="80" t="str">
        <f>IF(Q134&lt;&gt;"",COUNTIF(Q$2:Q134,Q134),"")</f>
        <v/>
      </c>
      <c r="S134" s="73" t="str">
        <f t="shared" si="45"/>
        <v/>
      </c>
      <c r="T134" s="74" t="str">
        <f t="shared" si="46"/>
        <v/>
      </c>
      <c r="U134" s="74" t="str">
        <f t="shared" si="47"/>
        <v/>
      </c>
      <c r="V134" s="74" t="str">
        <f t="shared" si="48"/>
        <v/>
      </c>
      <c r="W134" s="74" t="str">
        <f t="shared" si="49"/>
        <v/>
      </c>
      <c r="X134" s="74" t="str">
        <f t="shared" si="50"/>
        <v/>
      </c>
      <c r="Y134" s="74" t="str">
        <f t="shared" si="51"/>
        <v/>
      </c>
      <c r="Z134" s="74" t="str">
        <f t="shared" si="52"/>
        <v/>
      </c>
      <c r="AA134" s="74" t="str">
        <f t="shared" si="53"/>
        <v/>
      </c>
      <c r="AK134" s="73"/>
      <c r="AL134" s="73"/>
      <c r="AM134" s="73"/>
      <c r="AN134" s="73"/>
    </row>
    <row r="135" spans="17:40" x14ac:dyDescent="0.25">
      <c r="Q135" s="73" t="str">
        <f t="shared" si="44"/>
        <v/>
      </c>
      <c r="R135" s="80" t="str">
        <f>IF(Q135&lt;&gt;"",COUNTIF(Q$2:Q135,Q135),"")</f>
        <v/>
      </c>
      <c r="S135" s="73" t="str">
        <f t="shared" si="45"/>
        <v/>
      </c>
      <c r="T135" s="74" t="str">
        <f t="shared" si="46"/>
        <v/>
      </c>
      <c r="U135" s="74" t="str">
        <f t="shared" si="47"/>
        <v/>
      </c>
      <c r="V135" s="74" t="str">
        <f t="shared" si="48"/>
        <v/>
      </c>
      <c r="W135" s="74" t="str">
        <f t="shared" si="49"/>
        <v/>
      </c>
      <c r="X135" s="74" t="str">
        <f t="shared" si="50"/>
        <v/>
      </c>
      <c r="Y135" s="74" t="str">
        <f t="shared" si="51"/>
        <v/>
      </c>
      <c r="Z135" s="74" t="str">
        <f t="shared" si="52"/>
        <v/>
      </c>
      <c r="AA135" s="74" t="str">
        <f t="shared" si="53"/>
        <v/>
      </c>
      <c r="AK135" s="73"/>
      <c r="AL135" s="73"/>
      <c r="AM135" s="73"/>
      <c r="AN135" s="73"/>
    </row>
    <row r="136" spans="17:40" x14ac:dyDescent="0.25">
      <c r="Q136" s="73" t="str">
        <f t="shared" si="44"/>
        <v/>
      </c>
      <c r="R136" s="80" t="str">
        <f>IF(Q136&lt;&gt;"",COUNTIF(Q$2:Q136,Q136),"")</f>
        <v/>
      </c>
      <c r="S136" s="73" t="str">
        <f t="shared" si="45"/>
        <v/>
      </c>
      <c r="T136" s="74" t="str">
        <f t="shared" si="46"/>
        <v/>
      </c>
      <c r="U136" s="74" t="str">
        <f t="shared" si="47"/>
        <v/>
      </c>
      <c r="V136" s="74" t="str">
        <f t="shared" si="48"/>
        <v/>
      </c>
      <c r="W136" s="74" t="str">
        <f t="shared" si="49"/>
        <v/>
      </c>
      <c r="X136" s="74" t="str">
        <f t="shared" si="50"/>
        <v/>
      </c>
      <c r="Y136" s="74" t="str">
        <f t="shared" si="51"/>
        <v/>
      </c>
      <c r="Z136" s="74" t="str">
        <f t="shared" si="52"/>
        <v/>
      </c>
      <c r="AA136" s="74" t="str">
        <f t="shared" si="53"/>
        <v/>
      </c>
      <c r="AK136" s="73"/>
      <c r="AL136" s="73"/>
      <c r="AM136" s="73"/>
      <c r="AN136" s="73"/>
    </row>
    <row r="137" spans="17:40" x14ac:dyDescent="0.25">
      <c r="Q137" s="73" t="str">
        <f t="shared" si="44"/>
        <v/>
      </c>
      <c r="R137" s="80" t="str">
        <f>IF(Q137&lt;&gt;"",COUNTIF(Q$2:Q137,Q137),"")</f>
        <v/>
      </c>
      <c r="S137" s="73" t="str">
        <f t="shared" si="45"/>
        <v/>
      </c>
      <c r="T137" s="74" t="str">
        <f t="shared" si="46"/>
        <v/>
      </c>
      <c r="U137" s="74" t="str">
        <f t="shared" si="47"/>
        <v/>
      </c>
      <c r="V137" s="74" t="str">
        <f t="shared" si="48"/>
        <v/>
      </c>
      <c r="W137" s="74" t="str">
        <f t="shared" si="49"/>
        <v/>
      </c>
      <c r="X137" s="74" t="str">
        <f t="shared" si="50"/>
        <v/>
      </c>
      <c r="Y137" s="74" t="str">
        <f t="shared" si="51"/>
        <v/>
      </c>
      <c r="Z137" s="74" t="str">
        <f t="shared" si="52"/>
        <v/>
      </c>
      <c r="AA137" s="74" t="str">
        <f t="shared" si="53"/>
        <v/>
      </c>
      <c r="AK137" s="73"/>
      <c r="AL137" s="73"/>
      <c r="AM137" s="73"/>
      <c r="AN137" s="73"/>
    </row>
    <row r="138" spans="17:40" x14ac:dyDescent="0.25">
      <c r="Q138" s="73" t="str">
        <f t="shared" si="44"/>
        <v/>
      </c>
      <c r="R138" s="80" t="str">
        <f>IF(Q138&lt;&gt;"",COUNTIF(Q$2:Q138,Q138),"")</f>
        <v/>
      </c>
      <c r="S138" s="73" t="str">
        <f t="shared" si="45"/>
        <v/>
      </c>
      <c r="T138" s="74" t="str">
        <f t="shared" si="46"/>
        <v/>
      </c>
      <c r="U138" s="74" t="str">
        <f t="shared" si="47"/>
        <v/>
      </c>
      <c r="V138" s="74" t="str">
        <f t="shared" si="48"/>
        <v/>
      </c>
      <c r="W138" s="74" t="str">
        <f t="shared" si="49"/>
        <v/>
      </c>
      <c r="X138" s="74" t="str">
        <f t="shared" si="50"/>
        <v/>
      </c>
      <c r="Y138" s="74" t="str">
        <f t="shared" si="51"/>
        <v/>
      </c>
      <c r="Z138" s="74" t="str">
        <f t="shared" si="52"/>
        <v/>
      </c>
      <c r="AA138" s="74" t="str">
        <f t="shared" si="53"/>
        <v/>
      </c>
      <c r="AK138" s="73"/>
      <c r="AL138" s="73"/>
      <c r="AM138" s="73"/>
      <c r="AN138" s="73"/>
    </row>
    <row r="139" spans="17:40" x14ac:dyDescent="0.25">
      <c r="Q139" s="73" t="str">
        <f t="shared" si="44"/>
        <v/>
      </c>
      <c r="R139" s="80" t="str">
        <f>IF(Q139&lt;&gt;"",COUNTIF(Q$2:Q139,Q139),"")</f>
        <v/>
      </c>
      <c r="S139" s="73" t="str">
        <f t="shared" si="45"/>
        <v/>
      </c>
      <c r="T139" s="74" t="str">
        <f t="shared" si="46"/>
        <v/>
      </c>
      <c r="U139" s="74" t="str">
        <f t="shared" si="47"/>
        <v/>
      </c>
      <c r="V139" s="74" t="str">
        <f t="shared" si="48"/>
        <v/>
      </c>
      <c r="W139" s="74" t="str">
        <f t="shared" si="49"/>
        <v/>
      </c>
      <c r="X139" s="74" t="str">
        <f t="shared" si="50"/>
        <v/>
      </c>
      <c r="Y139" s="74" t="str">
        <f t="shared" si="51"/>
        <v/>
      </c>
      <c r="Z139" s="74" t="str">
        <f t="shared" si="52"/>
        <v/>
      </c>
      <c r="AA139" s="74" t="str">
        <f t="shared" si="53"/>
        <v/>
      </c>
      <c r="AK139" s="73"/>
      <c r="AL139" s="73"/>
      <c r="AM139" s="73"/>
      <c r="AN139" s="73"/>
    </row>
    <row r="140" spans="17:40" x14ac:dyDescent="0.25">
      <c r="Q140" s="73" t="str">
        <f t="shared" si="44"/>
        <v/>
      </c>
      <c r="R140" s="80" t="str">
        <f>IF(Q140&lt;&gt;"",COUNTIF(Q$2:Q140,Q140),"")</f>
        <v/>
      </c>
      <c r="S140" s="73" t="str">
        <f t="shared" si="45"/>
        <v/>
      </c>
      <c r="T140" s="74" t="str">
        <f t="shared" si="46"/>
        <v/>
      </c>
      <c r="U140" s="74" t="str">
        <f t="shared" si="47"/>
        <v/>
      </c>
      <c r="V140" s="74" t="str">
        <f t="shared" si="48"/>
        <v/>
      </c>
      <c r="W140" s="74" t="str">
        <f t="shared" si="49"/>
        <v/>
      </c>
      <c r="X140" s="74" t="str">
        <f t="shared" si="50"/>
        <v/>
      </c>
      <c r="Y140" s="74" t="str">
        <f t="shared" si="51"/>
        <v/>
      </c>
      <c r="Z140" s="74" t="str">
        <f t="shared" si="52"/>
        <v/>
      </c>
      <c r="AA140" s="74" t="str">
        <f t="shared" si="53"/>
        <v/>
      </c>
      <c r="AK140" s="73"/>
      <c r="AL140" s="73"/>
      <c r="AM140" s="73"/>
      <c r="AN140" s="73"/>
    </row>
    <row r="141" spans="17:40" x14ac:dyDescent="0.25">
      <c r="Q141" s="73" t="str">
        <f t="shared" si="44"/>
        <v/>
      </c>
      <c r="R141" s="80" t="str">
        <f>IF(Q141&lt;&gt;"",COUNTIF(Q$2:Q141,Q141),"")</f>
        <v/>
      </c>
      <c r="S141" s="73" t="str">
        <f t="shared" si="45"/>
        <v/>
      </c>
      <c r="T141" s="74" t="str">
        <f t="shared" si="46"/>
        <v/>
      </c>
      <c r="U141" s="74" t="str">
        <f t="shared" si="47"/>
        <v/>
      </c>
      <c r="V141" s="74" t="str">
        <f t="shared" si="48"/>
        <v/>
      </c>
      <c r="W141" s="74" t="str">
        <f t="shared" si="49"/>
        <v/>
      </c>
      <c r="X141" s="74" t="str">
        <f t="shared" si="50"/>
        <v/>
      </c>
      <c r="Y141" s="74" t="str">
        <f t="shared" si="51"/>
        <v/>
      </c>
      <c r="Z141" s="74" t="str">
        <f t="shared" si="52"/>
        <v/>
      </c>
      <c r="AA141" s="74" t="str">
        <f t="shared" si="53"/>
        <v/>
      </c>
      <c r="AK141" s="73"/>
      <c r="AL141" s="73"/>
      <c r="AM141" s="73"/>
      <c r="AN141" s="73"/>
    </row>
    <row r="142" spans="17:40" x14ac:dyDescent="0.25">
      <c r="Q142" s="73" t="str">
        <f t="shared" si="44"/>
        <v/>
      </c>
      <c r="R142" s="80" t="str">
        <f>IF(Q142&lt;&gt;"",COUNTIF(Q$2:Q142,Q142),"")</f>
        <v/>
      </c>
      <c r="S142" s="73" t="str">
        <f t="shared" si="45"/>
        <v/>
      </c>
      <c r="T142" s="74" t="str">
        <f t="shared" si="46"/>
        <v/>
      </c>
      <c r="U142" s="74" t="str">
        <f t="shared" si="47"/>
        <v/>
      </c>
      <c r="V142" s="74" t="str">
        <f t="shared" si="48"/>
        <v/>
      </c>
      <c r="W142" s="74" t="str">
        <f t="shared" si="49"/>
        <v/>
      </c>
      <c r="X142" s="74" t="str">
        <f t="shared" si="50"/>
        <v/>
      </c>
      <c r="Y142" s="74" t="str">
        <f t="shared" si="51"/>
        <v/>
      </c>
      <c r="Z142" s="74" t="str">
        <f t="shared" si="52"/>
        <v/>
      </c>
      <c r="AA142" s="74" t="str">
        <f t="shared" si="53"/>
        <v/>
      </c>
      <c r="AK142" s="73"/>
      <c r="AL142" s="73"/>
      <c r="AM142" s="73"/>
      <c r="AN142" s="73"/>
    </row>
    <row r="143" spans="17:40" x14ac:dyDescent="0.25">
      <c r="Q143" s="73" t="str">
        <f t="shared" si="44"/>
        <v/>
      </c>
      <c r="R143" s="80" t="str">
        <f>IF(Q143&lt;&gt;"",COUNTIF(Q$2:Q143,Q143),"")</f>
        <v/>
      </c>
      <c r="S143" s="73" t="str">
        <f t="shared" si="45"/>
        <v/>
      </c>
      <c r="T143" s="74" t="str">
        <f t="shared" si="46"/>
        <v/>
      </c>
      <c r="U143" s="74" t="str">
        <f t="shared" si="47"/>
        <v/>
      </c>
      <c r="V143" s="74" t="str">
        <f t="shared" si="48"/>
        <v/>
      </c>
      <c r="W143" s="74" t="str">
        <f t="shared" si="49"/>
        <v/>
      </c>
      <c r="X143" s="74" t="str">
        <f t="shared" si="50"/>
        <v/>
      </c>
      <c r="Y143" s="74" t="str">
        <f t="shared" si="51"/>
        <v/>
      </c>
      <c r="Z143" s="74" t="str">
        <f t="shared" si="52"/>
        <v/>
      </c>
      <c r="AA143" s="74" t="str">
        <f t="shared" si="53"/>
        <v/>
      </c>
      <c r="AK143" s="73"/>
      <c r="AL143" s="73"/>
      <c r="AM143" s="73"/>
      <c r="AN143" s="73"/>
    </row>
    <row r="144" spans="17:40" x14ac:dyDescent="0.25">
      <c r="Q144" s="73" t="str">
        <f t="shared" si="44"/>
        <v/>
      </c>
      <c r="R144" s="80" t="str">
        <f>IF(Q144&lt;&gt;"",COUNTIF(Q$2:Q144,Q144),"")</f>
        <v/>
      </c>
      <c r="S144" s="73" t="str">
        <f t="shared" si="45"/>
        <v/>
      </c>
      <c r="T144" s="74" t="str">
        <f t="shared" si="46"/>
        <v/>
      </c>
      <c r="U144" s="74" t="str">
        <f t="shared" si="47"/>
        <v/>
      </c>
      <c r="V144" s="74" t="str">
        <f t="shared" si="48"/>
        <v/>
      </c>
      <c r="W144" s="74" t="str">
        <f t="shared" si="49"/>
        <v/>
      </c>
      <c r="X144" s="74" t="str">
        <f t="shared" si="50"/>
        <v/>
      </c>
      <c r="Y144" s="74" t="str">
        <f t="shared" si="51"/>
        <v/>
      </c>
      <c r="Z144" s="74" t="str">
        <f t="shared" si="52"/>
        <v/>
      </c>
      <c r="AA144" s="74" t="str">
        <f t="shared" si="53"/>
        <v/>
      </c>
      <c r="AK144" s="73"/>
      <c r="AL144" s="73"/>
      <c r="AM144" s="73"/>
      <c r="AN144" s="73"/>
    </row>
    <row r="145" spans="17:40" x14ac:dyDescent="0.25">
      <c r="Q145" s="73" t="str">
        <f t="shared" si="44"/>
        <v/>
      </c>
      <c r="R145" s="80" t="str">
        <f>IF(Q145&lt;&gt;"",COUNTIF(Q$2:Q145,Q145),"")</f>
        <v/>
      </c>
      <c r="S145" s="73" t="str">
        <f t="shared" si="45"/>
        <v/>
      </c>
      <c r="T145" s="74" t="str">
        <f t="shared" si="46"/>
        <v/>
      </c>
      <c r="U145" s="74" t="str">
        <f t="shared" si="47"/>
        <v/>
      </c>
      <c r="V145" s="74" t="str">
        <f t="shared" si="48"/>
        <v/>
      </c>
      <c r="W145" s="74" t="str">
        <f t="shared" si="49"/>
        <v/>
      </c>
      <c r="X145" s="74" t="str">
        <f t="shared" si="50"/>
        <v/>
      </c>
      <c r="Y145" s="74" t="str">
        <f t="shared" si="51"/>
        <v/>
      </c>
      <c r="Z145" s="74" t="str">
        <f t="shared" si="52"/>
        <v/>
      </c>
      <c r="AA145" s="74" t="str">
        <f t="shared" si="53"/>
        <v/>
      </c>
      <c r="AK145" s="73"/>
      <c r="AL145" s="73"/>
      <c r="AM145" s="73"/>
      <c r="AN145" s="73"/>
    </row>
    <row r="146" spans="17:40" x14ac:dyDescent="0.25">
      <c r="Q146" s="73" t="str">
        <f t="shared" si="44"/>
        <v/>
      </c>
      <c r="R146" s="80" t="str">
        <f>IF(Q146&lt;&gt;"",COUNTIF(Q$2:Q146,Q146),"")</f>
        <v/>
      </c>
      <c r="S146" s="73" t="str">
        <f t="shared" si="45"/>
        <v/>
      </c>
      <c r="T146" s="74" t="str">
        <f t="shared" si="46"/>
        <v/>
      </c>
      <c r="U146" s="74" t="str">
        <f t="shared" si="47"/>
        <v/>
      </c>
      <c r="V146" s="74" t="str">
        <f t="shared" si="48"/>
        <v/>
      </c>
      <c r="W146" s="74" t="str">
        <f t="shared" si="49"/>
        <v/>
      </c>
      <c r="X146" s="74" t="str">
        <f t="shared" si="50"/>
        <v/>
      </c>
      <c r="Y146" s="74" t="str">
        <f t="shared" si="51"/>
        <v/>
      </c>
      <c r="Z146" s="74" t="str">
        <f t="shared" si="52"/>
        <v/>
      </c>
      <c r="AA146" s="74" t="str">
        <f t="shared" si="53"/>
        <v/>
      </c>
      <c r="AK146" s="73"/>
      <c r="AL146" s="73"/>
      <c r="AM146" s="73"/>
      <c r="AN146" s="73"/>
    </row>
    <row r="147" spans="17:40" x14ac:dyDescent="0.25">
      <c r="Q147" s="73" t="str">
        <f t="shared" si="44"/>
        <v/>
      </c>
      <c r="R147" s="80" t="str">
        <f>IF(Q147&lt;&gt;"",COUNTIF(Q$2:Q147,Q147),"")</f>
        <v/>
      </c>
      <c r="S147" s="73" t="str">
        <f t="shared" si="45"/>
        <v/>
      </c>
      <c r="T147" s="74" t="str">
        <f t="shared" si="46"/>
        <v/>
      </c>
      <c r="U147" s="74" t="str">
        <f t="shared" si="47"/>
        <v/>
      </c>
      <c r="V147" s="74" t="str">
        <f t="shared" si="48"/>
        <v/>
      </c>
      <c r="W147" s="74" t="str">
        <f t="shared" si="49"/>
        <v/>
      </c>
      <c r="X147" s="74" t="str">
        <f t="shared" si="50"/>
        <v/>
      </c>
      <c r="Y147" s="74" t="str">
        <f t="shared" si="51"/>
        <v/>
      </c>
      <c r="Z147" s="74" t="str">
        <f t="shared" si="52"/>
        <v/>
      </c>
      <c r="AA147" s="74" t="str">
        <f t="shared" si="53"/>
        <v/>
      </c>
      <c r="AK147" s="73"/>
      <c r="AL147" s="73"/>
      <c r="AM147" s="73"/>
      <c r="AN147" s="73"/>
    </row>
    <row r="148" spans="17:40" x14ac:dyDescent="0.25">
      <c r="Q148" s="73" t="str">
        <f t="shared" si="44"/>
        <v/>
      </c>
      <c r="R148" s="80" t="str">
        <f>IF(Q148&lt;&gt;"",COUNTIF(Q$2:Q148,Q148),"")</f>
        <v/>
      </c>
      <c r="S148" s="73" t="str">
        <f t="shared" si="45"/>
        <v/>
      </c>
      <c r="T148" s="74" t="str">
        <f t="shared" si="46"/>
        <v/>
      </c>
      <c r="U148" s="74" t="str">
        <f t="shared" si="47"/>
        <v/>
      </c>
      <c r="V148" s="74" t="str">
        <f t="shared" si="48"/>
        <v/>
      </c>
      <c r="W148" s="74" t="str">
        <f t="shared" si="49"/>
        <v/>
      </c>
      <c r="X148" s="74" t="str">
        <f t="shared" si="50"/>
        <v/>
      </c>
      <c r="Y148" s="74" t="str">
        <f t="shared" si="51"/>
        <v/>
      </c>
      <c r="Z148" s="74" t="str">
        <f t="shared" si="52"/>
        <v/>
      </c>
      <c r="AA148" s="74" t="str">
        <f t="shared" si="53"/>
        <v/>
      </c>
      <c r="AK148" s="73"/>
      <c r="AL148" s="73"/>
      <c r="AM148" s="73"/>
      <c r="AN148" s="73"/>
    </row>
    <row r="149" spans="17:40" x14ac:dyDescent="0.25">
      <c r="Q149" s="73" t="str">
        <f t="shared" si="44"/>
        <v/>
      </c>
      <c r="R149" s="80" t="str">
        <f>IF(Q149&lt;&gt;"",COUNTIF(Q$2:Q149,Q149),"")</f>
        <v/>
      </c>
      <c r="S149" s="73" t="str">
        <f t="shared" si="45"/>
        <v/>
      </c>
      <c r="T149" s="74" t="str">
        <f t="shared" si="46"/>
        <v/>
      </c>
      <c r="U149" s="74" t="str">
        <f t="shared" si="47"/>
        <v/>
      </c>
      <c r="V149" s="74" t="str">
        <f t="shared" si="48"/>
        <v/>
      </c>
      <c r="W149" s="74" t="str">
        <f t="shared" si="49"/>
        <v/>
      </c>
      <c r="X149" s="74" t="str">
        <f t="shared" si="50"/>
        <v/>
      </c>
      <c r="Y149" s="74" t="str">
        <f t="shared" si="51"/>
        <v/>
      </c>
      <c r="Z149" s="74" t="str">
        <f t="shared" si="52"/>
        <v/>
      </c>
      <c r="AA149" s="74" t="str">
        <f t="shared" si="53"/>
        <v/>
      </c>
      <c r="AK149" s="73"/>
      <c r="AL149" s="73"/>
      <c r="AM149" s="73"/>
      <c r="AN149" s="73"/>
    </row>
    <row r="150" spans="17:40" x14ac:dyDescent="0.25">
      <c r="Q150" s="73" t="str">
        <f t="shared" si="44"/>
        <v/>
      </c>
      <c r="R150" s="80" t="str">
        <f>IF(Q150&lt;&gt;"",COUNTIF(Q$2:Q150,Q150),"")</f>
        <v/>
      </c>
      <c r="S150" s="73" t="str">
        <f t="shared" si="45"/>
        <v/>
      </c>
      <c r="T150" s="74" t="str">
        <f t="shared" si="46"/>
        <v/>
      </c>
      <c r="U150" s="74" t="str">
        <f t="shared" si="47"/>
        <v/>
      </c>
      <c r="V150" s="74" t="str">
        <f t="shared" si="48"/>
        <v/>
      </c>
      <c r="W150" s="74" t="str">
        <f t="shared" si="49"/>
        <v/>
      </c>
      <c r="X150" s="74" t="str">
        <f t="shared" si="50"/>
        <v/>
      </c>
      <c r="Y150" s="74" t="str">
        <f t="shared" si="51"/>
        <v/>
      </c>
      <c r="Z150" s="74" t="str">
        <f t="shared" si="52"/>
        <v/>
      </c>
      <c r="AA150" s="74" t="str">
        <f t="shared" si="53"/>
        <v/>
      </c>
      <c r="AK150" s="73"/>
      <c r="AL150" s="73"/>
      <c r="AM150" s="73"/>
      <c r="AN150" s="73"/>
    </row>
    <row r="151" spans="17:40" x14ac:dyDescent="0.25">
      <c r="Q151" s="73" t="str">
        <f t="shared" si="44"/>
        <v/>
      </c>
      <c r="R151" s="80" t="str">
        <f>IF(Q151&lt;&gt;"",COUNTIF(Q$2:Q151,Q151),"")</f>
        <v/>
      </c>
      <c r="S151" s="73" t="str">
        <f t="shared" si="45"/>
        <v/>
      </c>
      <c r="T151" s="74" t="str">
        <f t="shared" si="46"/>
        <v/>
      </c>
      <c r="U151" s="74" t="str">
        <f t="shared" si="47"/>
        <v/>
      </c>
      <c r="V151" s="74" t="str">
        <f t="shared" si="48"/>
        <v/>
      </c>
      <c r="W151" s="74" t="str">
        <f t="shared" si="49"/>
        <v/>
      </c>
      <c r="X151" s="74" t="str">
        <f t="shared" si="50"/>
        <v/>
      </c>
      <c r="Y151" s="74" t="str">
        <f t="shared" si="51"/>
        <v/>
      </c>
      <c r="Z151" s="74" t="str">
        <f t="shared" si="52"/>
        <v/>
      </c>
      <c r="AA151" s="74" t="str">
        <f t="shared" si="53"/>
        <v/>
      </c>
      <c r="AK151" s="73"/>
      <c r="AL151" s="73"/>
      <c r="AM151" s="73"/>
      <c r="AN151" s="73"/>
    </row>
    <row r="152" spans="17:40" x14ac:dyDescent="0.25">
      <c r="Q152" s="73" t="str">
        <f t="shared" si="44"/>
        <v/>
      </c>
      <c r="R152" s="80" t="str">
        <f>IF(Q152&lt;&gt;"",COUNTIF(Q$2:Q152,Q152),"")</f>
        <v/>
      </c>
      <c r="S152" s="73" t="str">
        <f t="shared" si="45"/>
        <v/>
      </c>
      <c r="T152" s="74" t="str">
        <f t="shared" si="46"/>
        <v/>
      </c>
      <c r="U152" s="74" t="str">
        <f t="shared" si="47"/>
        <v/>
      </c>
      <c r="V152" s="74" t="str">
        <f t="shared" si="48"/>
        <v/>
      </c>
      <c r="W152" s="74" t="str">
        <f t="shared" si="49"/>
        <v/>
      </c>
      <c r="X152" s="74" t="str">
        <f t="shared" si="50"/>
        <v/>
      </c>
      <c r="Y152" s="74" t="str">
        <f t="shared" si="51"/>
        <v/>
      </c>
      <c r="Z152" s="74" t="str">
        <f t="shared" si="52"/>
        <v/>
      </c>
      <c r="AA152" s="74" t="str">
        <f t="shared" si="53"/>
        <v/>
      </c>
      <c r="AK152" s="73"/>
      <c r="AL152" s="73"/>
      <c r="AM152" s="73"/>
      <c r="AN152" s="73"/>
    </row>
    <row r="153" spans="17:40" x14ac:dyDescent="0.25">
      <c r="Q153" s="73" t="str">
        <f t="shared" si="44"/>
        <v/>
      </c>
      <c r="R153" s="80" t="str">
        <f>IF(Q153&lt;&gt;"",COUNTIF(Q$2:Q153,Q153),"")</f>
        <v/>
      </c>
      <c r="S153" s="73" t="str">
        <f t="shared" si="45"/>
        <v/>
      </c>
      <c r="T153" s="74" t="str">
        <f t="shared" si="46"/>
        <v/>
      </c>
      <c r="U153" s="74" t="str">
        <f t="shared" si="47"/>
        <v/>
      </c>
      <c r="V153" s="74" t="str">
        <f t="shared" si="48"/>
        <v/>
      </c>
      <c r="W153" s="74" t="str">
        <f t="shared" si="49"/>
        <v/>
      </c>
      <c r="X153" s="74" t="str">
        <f t="shared" si="50"/>
        <v/>
      </c>
      <c r="Y153" s="74" t="str">
        <f t="shared" si="51"/>
        <v/>
      </c>
      <c r="Z153" s="74" t="str">
        <f t="shared" si="52"/>
        <v/>
      </c>
      <c r="AA153" s="74" t="str">
        <f t="shared" si="53"/>
        <v/>
      </c>
      <c r="AK153" s="73"/>
      <c r="AL153" s="73"/>
      <c r="AM153" s="73"/>
      <c r="AN153" s="73"/>
    </row>
    <row r="154" spans="17:40" x14ac:dyDescent="0.25">
      <c r="Q154" s="73" t="str">
        <f t="shared" si="44"/>
        <v/>
      </c>
      <c r="R154" s="80" t="str">
        <f>IF(Q154&lt;&gt;"",COUNTIF(Q$2:Q154,Q154),"")</f>
        <v/>
      </c>
      <c r="S154" s="73" t="str">
        <f t="shared" si="45"/>
        <v/>
      </c>
      <c r="T154" s="74" t="str">
        <f t="shared" si="46"/>
        <v/>
      </c>
      <c r="U154" s="74" t="str">
        <f t="shared" si="47"/>
        <v/>
      </c>
      <c r="V154" s="74" t="str">
        <f t="shared" si="48"/>
        <v/>
      </c>
      <c r="W154" s="74" t="str">
        <f t="shared" si="49"/>
        <v/>
      </c>
      <c r="X154" s="74" t="str">
        <f t="shared" si="50"/>
        <v/>
      </c>
      <c r="Y154" s="74" t="str">
        <f t="shared" si="51"/>
        <v/>
      </c>
      <c r="Z154" s="74" t="str">
        <f t="shared" si="52"/>
        <v/>
      </c>
      <c r="AA154" s="74" t="str">
        <f t="shared" si="53"/>
        <v/>
      </c>
      <c r="AK154" s="73"/>
      <c r="AL154" s="73"/>
      <c r="AM154" s="73"/>
      <c r="AN154" s="73"/>
    </row>
    <row r="155" spans="17:40" x14ac:dyDescent="0.25">
      <c r="Q155" s="73" t="str">
        <f t="shared" si="44"/>
        <v/>
      </c>
      <c r="R155" s="80" t="str">
        <f>IF(Q155&lt;&gt;"",COUNTIF(Q$2:Q155,Q155),"")</f>
        <v/>
      </c>
      <c r="S155" s="73" t="str">
        <f t="shared" si="45"/>
        <v/>
      </c>
      <c r="T155" s="74" t="str">
        <f t="shared" si="46"/>
        <v/>
      </c>
      <c r="U155" s="74" t="str">
        <f t="shared" si="47"/>
        <v/>
      </c>
      <c r="V155" s="74" t="str">
        <f t="shared" si="48"/>
        <v/>
      </c>
      <c r="W155" s="74" t="str">
        <f t="shared" si="49"/>
        <v/>
      </c>
      <c r="X155" s="74" t="str">
        <f t="shared" si="50"/>
        <v/>
      </c>
      <c r="Y155" s="74" t="str">
        <f t="shared" si="51"/>
        <v/>
      </c>
      <c r="Z155" s="74" t="str">
        <f t="shared" si="52"/>
        <v/>
      </c>
      <c r="AA155" s="74" t="str">
        <f t="shared" si="53"/>
        <v/>
      </c>
      <c r="AK155" s="73"/>
      <c r="AL155" s="73"/>
      <c r="AM155" s="73"/>
      <c r="AN155" s="73"/>
    </row>
    <row r="156" spans="17:40" x14ac:dyDescent="0.25">
      <c r="Q156" s="73" t="str">
        <f t="shared" si="44"/>
        <v/>
      </c>
      <c r="R156" s="80" t="str">
        <f>IF(Q156&lt;&gt;"",COUNTIF(Q$2:Q156,Q156),"")</f>
        <v/>
      </c>
      <c r="S156" s="73" t="str">
        <f t="shared" si="45"/>
        <v/>
      </c>
      <c r="T156" s="74" t="str">
        <f t="shared" si="46"/>
        <v/>
      </c>
      <c r="U156" s="74" t="str">
        <f t="shared" si="47"/>
        <v/>
      </c>
      <c r="V156" s="74" t="str">
        <f t="shared" si="48"/>
        <v/>
      </c>
      <c r="W156" s="74" t="str">
        <f t="shared" si="49"/>
        <v/>
      </c>
      <c r="X156" s="74" t="str">
        <f t="shared" si="50"/>
        <v/>
      </c>
      <c r="Y156" s="74" t="str">
        <f t="shared" si="51"/>
        <v/>
      </c>
      <c r="Z156" s="74" t="str">
        <f t="shared" si="52"/>
        <v/>
      </c>
      <c r="AA156" s="74" t="str">
        <f t="shared" si="53"/>
        <v/>
      </c>
      <c r="AK156" s="73"/>
      <c r="AL156" s="73"/>
      <c r="AM156" s="73"/>
      <c r="AN156" s="73"/>
    </row>
    <row r="157" spans="17:40" x14ac:dyDescent="0.25">
      <c r="Q157" s="73" t="str">
        <f t="shared" si="44"/>
        <v/>
      </c>
      <c r="R157" s="80" t="str">
        <f>IF(Q157&lt;&gt;"",COUNTIF(Q$2:Q157,Q157),"")</f>
        <v/>
      </c>
      <c r="S157" s="73" t="str">
        <f t="shared" si="45"/>
        <v/>
      </c>
      <c r="T157" s="74" t="str">
        <f t="shared" si="46"/>
        <v/>
      </c>
      <c r="U157" s="74" t="str">
        <f t="shared" si="47"/>
        <v/>
      </c>
      <c r="V157" s="74" t="str">
        <f t="shared" si="48"/>
        <v/>
      </c>
      <c r="W157" s="74" t="str">
        <f t="shared" si="49"/>
        <v/>
      </c>
      <c r="X157" s="74" t="str">
        <f t="shared" si="50"/>
        <v/>
      </c>
      <c r="Y157" s="74" t="str">
        <f t="shared" si="51"/>
        <v/>
      </c>
      <c r="Z157" s="74" t="str">
        <f t="shared" si="52"/>
        <v/>
      </c>
      <c r="AA157" s="74" t="str">
        <f t="shared" si="53"/>
        <v/>
      </c>
      <c r="AK157" s="73"/>
      <c r="AL157" s="73"/>
      <c r="AM157" s="73"/>
      <c r="AN157" s="73"/>
    </row>
    <row r="158" spans="17:40" x14ac:dyDescent="0.25">
      <c r="Q158" s="73" t="str">
        <f t="shared" si="44"/>
        <v/>
      </c>
      <c r="R158" s="80" t="str">
        <f>IF(Q158&lt;&gt;"",COUNTIF(Q$2:Q158,Q158),"")</f>
        <v/>
      </c>
      <c r="S158" s="73" t="str">
        <f t="shared" si="45"/>
        <v/>
      </c>
      <c r="T158" s="74" t="str">
        <f t="shared" si="46"/>
        <v/>
      </c>
      <c r="U158" s="74" t="str">
        <f t="shared" si="47"/>
        <v/>
      </c>
      <c r="V158" s="74" t="str">
        <f t="shared" si="48"/>
        <v/>
      </c>
      <c r="W158" s="74" t="str">
        <f t="shared" si="49"/>
        <v/>
      </c>
      <c r="X158" s="74" t="str">
        <f t="shared" si="50"/>
        <v/>
      </c>
      <c r="Y158" s="74" t="str">
        <f t="shared" si="51"/>
        <v/>
      </c>
      <c r="Z158" s="74" t="str">
        <f t="shared" si="52"/>
        <v/>
      </c>
      <c r="AA158" s="74" t="str">
        <f t="shared" si="53"/>
        <v/>
      </c>
      <c r="AK158" s="73"/>
      <c r="AL158" s="73"/>
      <c r="AM158" s="73"/>
      <c r="AN158" s="73"/>
    </row>
    <row r="159" spans="17:40" x14ac:dyDescent="0.25">
      <c r="Q159" s="73" t="str">
        <f t="shared" si="44"/>
        <v/>
      </c>
      <c r="R159" s="80" t="str">
        <f>IF(Q159&lt;&gt;"",COUNTIF(Q$2:Q159,Q159),"")</f>
        <v/>
      </c>
      <c r="S159" s="73" t="str">
        <f t="shared" si="45"/>
        <v/>
      </c>
      <c r="T159" s="74" t="str">
        <f t="shared" si="46"/>
        <v/>
      </c>
      <c r="U159" s="74" t="str">
        <f t="shared" si="47"/>
        <v/>
      </c>
      <c r="V159" s="74" t="str">
        <f t="shared" si="48"/>
        <v/>
      </c>
      <c r="W159" s="74" t="str">
        <f t="shared" si="49"/>
        <v/>
      </c>
      <c r="X159" s="74" t="str">
        <f t="shared" si="50"/>
        <v/>
      </c>
      <c r="Y159" s="74" t="str">
        <f t="shared" si="51"/>
        <v/>
      </c>
      <c r="Z159" s="74" t="str">
        <f t="shared" si="52"/>
        <v/>
      </c>
      <c r="AA159" s="74" t="str">
        <f t="shared" si="53"/>
        <v/>
      </c>
      <c r="AK159" s="73"/>
      <c r="AL159" s="73"/>
      <c r="AM159" s="73"/>
      <c r="AN159" s="73"/>
    </row>
    <row r="160" spans="17:40" x14ac:dyDescent="0.25">
      <c r="Q160" s="73" t="str">
        <f t="shared" si="44"/>
        <v/>
      </c>
      <c r="R160" s="80" t="str">
        <f>IF(Q160&lt;&gt;"",COUNTIF(Q$2:Q160,Q160),"")</f>
        <v/>
      </c>
      <c r="S160" s="73" t="str">
        <f t="shared" si="45"/>
        <v/>
      </c>
      <c r="T160" s="74" t="str">
        <f t="shared" si="46"/>
        <v/>
      </c>
      <c r="U160" s="74" t="str">
        <f t="shared" si="47"/>
        <v/>
      </c>
      <c r="V160" s="74" t="str">
        <f t="shared" si="48"/>
        <v/>
      </c>
      <c r="W160" s="74" t="str">
        <f t="shared" si="49"/>
        <v/>
      </c>
      <c r="X160" s="74" t="str">
        <f t="shared" si="50"/>
        <v/>
      </c>
      <c r="Y160" s="74" t="str">
        <f t="shared" si="51"/>
        <v/>
      </c>
      <c r="Z160" s="74" t="str">
        <f t="shared" si="52"/>
        <v/>
      </c>
      <c r="AA160" s="74" t="str">
        <f t="shared" si="53"/>
        <v/>
      </c>
      <c r="AK160" s="73"/>
      <c r="AL160" s="73"/>
      <c r="AM160" s="73"/>
      <c r="AN160" s="73"/>
    </row>
    <row r="161" spans="17:40" x14ac:dyDescent="0.25">
      <c r="Q161" s="73" t="str">
        <f t="shared" si="44"/>
        <v/>
      </c>
      <c r="R161" s="80" t="str">
        <f>IF(Q161&lt;&gt;"",COUNTIF(Q$2:Q161,Q161),"")</f>
        <v/>
      </c>
      <c r="S161" s="73" t="str">
        <f t="shared" si="45"/>
        <v/>
      </c>
      <c r="T161" s="74" t="str">
        <f t="shared" si="46"/>
        <v/>
      </c>
      <c r="U161" s="74" t="str">
        <f t="shared" si="47"/>
        <v/>
      </c>
      <c r="V161" s="74" t="str">
        <f t="shared" si="48"/>
        <v/>
      </c>
      <c r="W161" s="74" t="str">
        <f t="shared" si="49"/>
        <v/>
      </c>
      <c r="X161" s="74" t="str">
        <f t="shared" si="50"/>
        <v/>
      </c>
      <c r="Y161" s="74" t="str">
        <f t="shared" si="51"/>
        <v/>
      </c>
      <c r="Z161" s="74" t="str">
        <f t="shared" si="52"/>
        <v/>
      </c>
      <c r="AA161" s="74" t="str">
        <f t="shared" si="53"/>
        <v/>
      </c>
      <c r="AK161" s="73"/>
      <c r="AL161" s="73"/>
      <c r="AM161" s="73"/>
      <c r="AN161" s="73"/>
    </row>
    <row r="162" spans="17:40" x14ac:dyDescent="0.25">
      <c r="Q162" s="73" t="str">
        <f t="shared" si="44"/>
        <v/>
      </c>
      <c r="R162" s="80" t="str">
        <f>IF(Q162&lt;&gt;"",COUNTIF(Q$2:Q162,Q162),"")</f>
        <v/>
      </c>
      <c r="S162" s="73" t="str">
        <f t="shared" si="45"/>
        <v/>
      </c>
      <c r="T162" s="74" t="str">
        <f t="shared" si="46"/>
        <v/>
      </c>
      <c r="U162" s="74" t="str">
        <f t="shared" si="47"/>
        <v/>
      </c>
      <c r="V162" s="74" t="str">
        <f t="shared" si="48"/>
        <v/>
      </c>
      <c r="W162" s="74" t="str">
        <f t="shared" si="49"/>
        <v/>
      </c>
      <c r="X162" s="74" t="str">
        <f t="shared" si="50"/>
        <v/>
      </c>
      <c r="Y162" s="74" t="str">
        <f t="shared" si="51"/>
        <v/>
      </c>
      <c r="Z162" s="74" t="str">
        <f t="shared" si="52"/>
        <v/>
      </c>
      <c r="AA162" s="74" t="str">
        <f t="shared" si="53"/>
        <v/>
      </c>
      <c r="AK162" s="73"/>
      <c r="AL162" s="73"/>
      <c r="AM162" s="73"/>
      <c r="AN162" s="73"/>
    </row>
    <row r="163" spans="17:40" x14ac:dyDescent="0.25">
      <c r="Q163" s="73" t="str">
        <f t="shared" si="44"/>
        <v/>
      </c>
      <c r="R163" s="80" t="str">
        <f>IF(Q163&lt;&gt;"",COUNTIF(Q$2:Q163,Q163),"")</f>
        <v/>
      </c>
      <c r="S163" s="73" t="str">
        <f t="shared" si="45"/>
        <v/>
      </c>
      <c r="T163" s="74" t="str">
        <f t="shared" si="46"/>
        <v/>
      </c>
      <c r="U163" s="74" t="str">
        <f t="shared" si="47"/>
        <v/>
      </c>
      <c r="V163" s="74" t="str">
        <f t="shared" si="48"/>
        <v/>
      </c>
      <c r="W163" s="74" t="str">
        <f t="shared" si="49"/>
        <v/>
      </c>
      <c r="X163" s="74" t="str">
        <f t="shared" si="50"/>
        <v/>
      </c>
      <c r="Y163" s="74" t="str">
        <f t="shared" si="51"/>
        <v/>
      </c>
      <c r="Z163" s="74" t="str">
        <f t="shared" si="52"/>
        <v/>
      </c>
      <c r="AA163" s="74" t="str">
        <f t="shared" si="53"/>
        <v/>
      </c>
      <c r="AK163" s="73"/>
      <c r="AL163" s="73"/>
      <c r="AM163" s="73"/>
      <c r="AN163" s="73"/>
    </row>
    <row r="164" spans="17:40" x14ac:dyDescent="0.25">
      <c r="Q164" s="73" t="str">
        <f t="shared" si="44"/>
        <v/>
      </c>
      <c r="R164" s="80" t="str">
        <f>IF(Q164&lt;&gt;"",COUNTIF(Q$2:Q164,Q164),"")</f>
        <v/>
      </c>
      <c r="S164" s="73" t="str">
        <f t="shared" si="45"/>
        <v/>
      </c>
      <c r="T164" s="74" t="str">
        <f t="shared" si="46"/>
        <v/>
      </c>
      <c r="U164" s="74" t="str">
        <f t="shared" si="47"/>
        <v/>
      </c>
      <c r="V164" s="74" t="str">
        <f t="shared" si="48"/>
        <v/>
      </c>
      <c r="W164" s="74" t="str">
        <f t="shared" si="49"/>
        <v/>
      </c>
      <c r="X164" s="74" t="str">
        <f t="shared" si="50"/>
        <v/>
      </c>
      <c r="Y164" s="74" t="str">
        <f t="shared" si="51"/>
        <v/>
      </c>
      <c r="Z164" s="74" t="str">
        <f t="shared" si="52"/>
        <v/>
      </c>
      <c r="AA164" s="74" t="str">
        <f t="shared" si="53"/>
        <v/>
      </c>
      <c r="AK164" s="73"/>
      <c r="AL164" s="73"/>
      <c r="AM164" s="73"/>
      <c r="AN164" s="73"/>
    </row>
    <row r="165" spans="17:40" x14ac:dyDescent="0.25">
      <c r="Q165" s="73" t="str">
        <f t="shared" si="44"/>
        <v/>
      </c>
      <c r="R165" s="80" t="str">
        <f>IF(Q165&lt;&gt;"",COUNTIF(Q$2:Q165,Q165),"")</f>
        <v/>
      </c>
      <c r="S165" s="73" t="str">
        <f t="shared" si="45"/>
        <v/>
      </c>
      <c r="T165" s="74" t="str">
        <f t="shared" si="46"/>
        <v/>
      </c>
      <c r="U165" s="74" t="str">
        <f t="shared" si="47"/>
        <v/>
      </c>
      <c r="V165" s="74" t="str">
        <f t="shared" si="48"/>
        <v/>
      </c>
      <c r="W165" s="74" t="str">
        <f t="shared" si="49"/>
        <v/>
      </c>
      <c r="X165" s="74" t="str">
        <f t="shared" si="50"/>
        <v/>
      </c>
      <c r="Y165" s="74" t="str">
        <f t="shared" si="51"/>
        <v/>
      </c>
      <c r="Z165" s="74" t="str">
        <f t="shared" si="52"/>
        <v/>
      </c>
      <c r="AA165" s="74" t="str">
        <f t="shared" si="53"/>
        <v/>
      </c>
      <c r="AK165" s="73"/>
      <c r="AL165" s="73"/>
      <c r="AM165" s="73"/>
      <c r="AN165" s="73"/>
    </row>
    <row r="166" spans="17:40" x14ac:dyDescent="0.25">
      <c r="Q166" s="73" t="str">
        <f t="shared" si="44"/>
        <v/>
      </c>
      <c r="R166" s="80" t="str">
        <f>IF(Q166&lt;&gt;"",COUNTIF(Q$2:Q166,Q166),"")</f>
        <v/>
      </c>
      <c r="S166" s="73" t="str">
        <f t="shared" si="45"/>
        <v/>
      </c>
      <c r="T166" s="74" t="str">
        <f t="shared" si="46"/>
        <v/>
      </c>
      <c r="U166" s="74" t="str">
        <f t="shared" si="47"/>
        <v/>
      </c>
      <c r="V166" s="74" t="str">
        <f t="shared" si="48"/>
        <v/>
      </c>
      <c r="W166" s="74" t="str">
        <f t="shared" si="49"/>
        <v/>
      </c>
      <c r="X166" s="74" t="str">
        <f t="shared" si="50"/>
        <v/>
      </c>
      <c r="Y166" s="74" t="str">
        <f t="shared" si="51"/>
        <v/>
      </c>
      <c r="Z166" s="74" t="str">
        <f t="shared" si="52"/>
        <v/>
      </c>
      <c r="AA166" s="74" t="str">
        <f t="shared" si="53"/>
        <v/>
      </c>
      <c r="AK166" s="73"/>
      <c r="AL166" s="73"/>
      <c r="AM166" s="73"/>
      <c r="AN166" s="73"/>
    </row>
    <row r="167" spans="17:40" x14ac:dyDescent="0.25">
      <c r="Q167" s="73" t="str">
        <f t="shared" si="44"/>
        <v/>
      </c>
      <c r="R167" s="80" t="str">
        <f>IF(Q167&lt;&gt;"",COUNTIF(Q$2:Q167,Q167),"")</f>
        <v/>
      </c>
      <c r="S167" s="73" t="str">
        <f t="shared" si="45"/>
        <v/>
      </c>
      <c r="T167" s="74" t="str">
        <f t="shared" si="46"/>
        <v/>
      </c>
      <c r="U167" s="74" t="str">
        <f t="shared" si="47"/>
        <v/>
      </c>
      <c r="V167" s="74" t="str">
        <f t="shared" si="48"/>
        <v/>
      </c>
      <c r="W167" s="74" t="str">
        <f t="shared" si="49"/>
        <v/>
      </c>
      <c r="X167" s="74" t="str">
        <f t="shared" si="50"/>
        <v/>
      </c>
      <c r="Y167" s="74" t="str">
        <f t="shared" si="51"/>
        <v/>
      </c>
      <c r="Z167" s="74" t="str">
        <f t="shared" si="52"/>
        <v/>
      </c>
      <c r="AA167" s="74" t="str">
        <f t="shared" si="53"/>
        <v/>
      </c>
      <c r="AK167" s="73"/>
      <c r="AL167" s="73"/>
      <c r="AM167" s="73"/>
      <c r="AN167" s="73"/>
    </row>
    <row r="168" spans="17:40" x14ac:dyDescent="0.25">
      <c r="Q168" s="73" t="str">
        <f t="shared" si="44"/>
        <v/>
      </c>
      <c r="R168" s="80" t="str">
        <f>IF(Q168&lt;&gt;"",COUNTIF(Q$2:Q168,Q168),"")</f>
        <v/>
      </c>
      <c r="S168" s="73" t="str">
        <f t="shared" si="45"/>
        <v/>
      </c>
      <c r="T168" s="74" t="str">
        <f t="shared" si="46"/>
        <v/>
      </c>
      <c r="U168" s="74" t="str">
        <f t="shared" si="47"/>
        <v/>
      </c>
      <c r="V168" s="74" t="str">
        <f t="shared" si="48"/>
        <v/>
      </c>
      <c r="W168" s="74" t="str">
        <f t="shared" si="49"/>
        <v/>
      </c>
      <c r="X168" s="74" t="str">
        <f t="shared" si="50"/>
        <v/>
      </c>
      <c r="Y168" s="74" t="str">
        <f t="shared" si="51"/>
        <v/>
      </c>
      <c r="Z168" s="74" t="str">
        <f t="shared" si="52"/>
        <v/>
      </c>
      <c r="AA168" s="74" t="str">
        <f t="shared" si="53"/>
        <v/>
      </c>
      <c r="AK168" s="73"/>
      <c r="AL168" s="73"/>
      <c r="AM168" s="73"/>
      <c r="AN168" s="73"/>
    </row>
    <row r="169" spans="17:40" x14ac:dyDescent="0.25">
      <c r="Q169" s="73" t="str">
        <f t="shared" si="44"/>
        <v/>
      </c>
      <c r="R169" s="80" t="str">
        <f>IF(Q169&lt;&gt;"",COUNTIF(Q$2:Q169,Q169),"")</f>
        <v/>
      </c>
      <c r="S169" s="73" t="str">
        <f t="shared" si="45"/>
        <v/>
      </c>
      <c r="T169" s="74" t="str">
        <f t="shared" si="46"/>
        <v/>
      </c>
      <c r="U169" s="74" t="str">
        <f t="shared" si="47"/>
        <v/>
      </c>
      <c r="V169" s="74" t="str">
        <f t="shared" si="48"/>
        <v/>
      </c>
      <c r="W169" s="74" t="str">
        <f t="shared" si="49"/>
        <v/>
      </c>
      <c r="X169" s="74" t="str">
        <f t="shared" si="50"/>
        <v/>
      </c>
      <c r="Y169" s="74" t="str">
        <f t="shared" si="51"/>
        <v/>
      </c>
      <c r="Z169" s="74" t="str">
        <f t="shared" si="52"/>
        <v/>
      </c>
      <c r="AA169" s="74" t="str">
        <f t="shared" si="53"/>
        <v/>
      </c>
      <c r="AK169" s="73"/>
      <c r="AL169" s="73"/>
      <c r="AM169" s="73"/>
      <c r="AN169" s="73"/>
    </row>
    <row r="170" spans="17:40" x14ac:dyDescent="0.25">
      <c r="Q170" s="73" t="str">
        <f t="shared" si="44"/>
        <v/>
      </c>
      <c r="R170" s="80" t="str">
        <f>IF(Q170&lt;&gt;"",COUNTIF(Q$2:Q170,Q170),"")</f>
        <v/>
      </c>
      <c r="S170" s="73" t="str">
        <f t="shared" si="45"/>
        <v/>
      </c>
      <c r="T170" s="74" t="str">
        <f t="shared" si="46"/>
        <v/>
      </c>
      <c r="U170" s="74" t="str">
        <f t="shared" si="47"/>
        <v/>
      </c>
      <c r="V170" s="74" t="str">
        <f t="shared" si="48"/>
        <v/>
      </c>
      <c r="W170" s="74" t="str">
        <f t="shared" si="49"/>
        <v/>
      </c>
      <c r="X170" s="74" t="str">
        <f t="shared" si="50"/>
        <v/>
      </c>
      <c r="Y170" s="74" t="str">
        <f t="shared" si="51"/>
        <v/>
      </c>
      <c r="Z170" s="74" t="str">
        <f t="shared" si="52"/>
        <v/>
      </c>
      <c r="AA170" s="74" t="str">
        <f t="shared" si="53"/>
        <v/>
      </c>
      <c r="AK170" s="73"/>
      <c r="AL170" s="73"/>
      <c r="AM170" s="73"/>
      <c r="AN170" s="73"/>
    </row>
    <row r="171" spans="17:40" x14ac:dyDescent="0.25">
      <c r="Q171" s="73" t="str">
        <f t="shared" si="44"/>
        <v/>
      </c>
      <c r="R171" s="80" t="str">
        <f>IF(Q171&lt;&gt;"",COUNTIF(Q$2:Q171,Q171),"")</f>
        <v/>
      </c>
      <c r="S171" s="73" t="str">
        <f t="shared" si="45"/>
        <v/>
      </c>
      <c r="T171" s="74" t="str">
        <f t="shared" si="46"/>
        <v/>
      </c>
      <c r="U171" s="74" t="str">
        <f t="shared" si="47"/>
        <v/>
      </c>
      <c r="V171" s="74" t="str">
        <f t="shared" si="48"/>
        <v/>
      </c>
      <c r="W171" s="74" t="str">
        <f t="shared" si="49"/>
        <v/>
      </c>
      <c r="X171" s="74" t="str">
        <f t="shared" si="50"/>
        <v/>
      </c>
      <c r="Y171" s="74" t="str">
        <f t="shared" si="51"/>
        <v/>
      </c>
      <c r="Z171" s="74" t="str">
        <f t="shared" si="52"/>
        <v/>
      </c>
      <c r="AA171" s="74" t="str">
        <f t="shared" si="53"/>
        <v/>
      </c>
      <c r="AK171" s="73"/>
      <c r="AL171" s="73"/>
      <c r="AM171" s="73"/>
      <c r="AN171" s="73"/>
    </row>
    <row r="172" spans="17:40" x14ac:dyDescent="0.25">
      <c r="Q172" s="73" t="str">
        <f t="shared" si="44"/>
        <v/>
      </c>
      <c r="R172" s="80" t="str">
        <f>IF(Q172&lt;&gt;"",COUNTIF(Q$2:Q172,Q172),"")</f>
        <v/>
      </c>
      <c r="S172" s="73" t="str">
        <f t="shared" si="45"/>
        <v/>
      </c>
      <c r="T172" s="74" t="str">
        <f t="shared" si="46"/>
        <v/>
      </c>
      <c r="U172" s="74" t="str">
        <f t="shared" si="47"/>
        <v/>
      </c>
      <c r="V172" s="74" t="str">
        <f t="shared" si="48"/>
        <v/>
      </c>
      <c r="W172" s="74" t="str">
        <f t="shared" si="49"/>
        <v/>
      </c>
      <c r="X172" s="74" t="str">
        <f t="shared" si="50"/>
        <v/>
      </c>
      <c r="Y172" s="74" t="str">
        <f t="shared" si="51"/>
        <v/>
      </c>
      <c r="Z172" s="74" t="str">
        <f t="shared" si="52"/>
        <v/>
      </c>
      <c r="AA172" s="74" t="str">
        <f t="shared" si="53"/>
        <v/>
      </c>
      <c r="AK172" s="73"/>
      <c r="AL172" s="73"/>
      <c r="AM172" s="73"/>
      <c r="AN172" s="73"/>
    </row>
    <row r="173" spans="17:40" x14ac:dyDescent="0.25">
      <c r="Q173" s="73" t="str">
        <f t="shared" si="44"/>
        <v/>
      </c>
      <c r="R173" s="80" t="str">
        <f>IF(Q173&lt;&gt;"",COUNTIF(Q$2:Q173,Q173),"")</f>
        <v/>
      </c>
      <c r="S173" s="73" t="str">
        <f t="shared" si="45"/>
        <v/>
      </c>
      <c r="T173" s="74" t="str">
        <f t="shared" si="46"/>
        <v/>
      </c>
      <c r="U173" s="74" t="str">
        <f t="shared" si="47"/>
        <v/>
      </c>
      <c r="V173" s="74" t="str">
        <f t="shared" si="48"/>
        <v/>
      </c>
      <c r="W173" s="74" t="str">
        <f t="shared" si="49"/>
        <v/>
      </c>
      <c r="X173" s="74" t="str">
        <f t="shared" si="50"/>
        <v/>
      </c>
      <c r="Y173" s="74" t="str">
        <f t="shared" si="51"/>
        <v/>
      </c>
      <c r="Z173" s="74" t="str">
        <f t="shared" si="52"/>
        <v/>
      </c>
      <c r="AA173" s="74" t="str">
        <f t="shared" si="53"/>
        <v/>
      </c>
      <c r="AK173" s="73"/>
      <c r="AL173" s="73"/>
      <c r="AM173" s="73"/>
      <c r="AN173" s="73"/>
    </row>
    <row r="174" spans="17:40" x14ac:dyDescent="0.25">
      <c r="Q174" s="73" t="str">
        <f t="shared" si="44"/>
        <v/>
      </c>
      <c r="R174" s="80" t="str">
        <f>IF(Q174&lt;&gt;"",COUNTIF(Q$2:Q174,Q174),"")</f>
        <v/>
      </c>
      <c r="S174" s="73" t="str">
        <f t="shared" si="45"/>
        <v/>
      </c>
      <c r="T174" s="74" t="str">
        <f t="shared" si="46"/>
        <v/>
      </c>
      <c r="U174" s="74" t="str">
        <f t="shared" si="47"/>
        <v/>
      </c>
      <c r="V174" s="74" t="str">
        <f t="shared" si="48"/>
        <v/>
      </c>
      <c r="W174" s="74" t="str">
        <f t="shared" si="49"/>
        <v/>
      </c>
      <c r="X174" s="74" t="str">
        <f t="shared" si="50"/>
        <v/>
      </c>
      <c r="Y174" s="74" t="str">
        <f t="shared" si="51"/>
        <v/>
      </c>
      <c r="Z174" s="74" t="str">
        <f t="shared" si="52"/>
        <v/>
      </c>
      <c r="AA174" s="74" t="str">
        <f t="shared" si="53"/>
        <v/>
      </c>
      <c r="AK174" s="73"/>
      <c r="AL174" s="73"/>
      <c r="AM174" s="73"/>
      <c r="AN174" s="73"/>
    </row>
    <row r="175" spans="17:40" x14ac:dyDescent="0.25">
      <c r="Q175" s="73" t="str">
        <f t="shared" si="44"/>
        <v/>
      </c>
      <c r="R175" s="80" t="str">
        <f>IF(Q175&lt;&gt;"",COUNTIF(Q$2:Q175,Q175),"")</f>
        <v/>
      </c>
      <c r="S175" s="73" t="str">
        <f t="shared" si="45"/>
        <v/>
      </c>
      <c r="T175" s="74" t="str">
        <f t="shared" si="46"/>
        <v/>
      </c>
      <c r="U175" s="74" t="str">
        <f t="shared" si="47"/>
        <v/>
      </c>
      <c r="V175" s="74" t="str">
        <f t="shared" si="48"/>
        <v/>
      </c>
      <c r="W175" s="74" t="str">
        <f t="shared" si="49"/>
        <v/>
      </c>
      <c r="X175" s="74" t="str">
        <f t="shared" si="50"/>
        <v/>
      </c>
      <c r="Y175" s="74" t="str">
        <f t="shared" si="51"/>
        <v/>
      </c>
      <c r="Z175" s="74" t="str">
        <f t="shared" si="52"/>
        <v/>
      </c>
      <c r="AA175" s="74" t="str">
        <f t="shared" si="53"/>
        <v/>
      </c>
      <c r="AK175" s="73"/>
      <c r="AL175" s="73"/>
      <c r="AM175" s="73"/>
      <c r="AN175" s="73"/>
    </row>
    <row r="176" spans="17:40" x14ac:dyDescent="0.25">
      <c r="Q176" s="73" t="str">
        <f t="shared" si="44"/>
        <v/>
      </c>
      <c r="R176" s="80" t="str">
        <f>IF(Q176&lt;&gt;"",COUNTIF(Q$2:Q176,Q176),"")</f>
        <v/>
      </c>
      <c r="S176" s="73" t="str">
        <f t="shared" si="45"/>
        <v/>
      </c>
      <c r="T176" s="74" t="str">
        <f t="shared" si="46"/>
        <v/>
      </c>
      <c r="U176" s="74" t="str">
        <f t="shared" si="47"/>
        <v/>
      </c>
      <c r="V176" s="74" t="str">
        <f t="shared" si="48"/>
        <v/>
      </c>
      <c r="W176" s="74" t="str">
        <f t="shared" si="49"/>
        <v/>
      </c>
      <c r="X176" s="74" t="str">
        <f t="shared" si="50"/>
        <v/>
      </c>
      <c r="Y176" s="74" t="str">
        <f t="shared" si="51"/>
        <v/>
      </c>
      <c r="Z176" s="74" t="str">
        <f t="shared" si="52"/>
        <v/>
      </c>
      <c r="AA176" s="74" t="str">
        <f t="shared" si="53"/>
        <v/>
      </c>
      <c r="AK176" s="73"/>
      <c r="AL176" s="73"/>
      <c r="AM176" s="73"/>
      <c r="AN176" s="73"/>
    </row>
    <row r="177" spans="17:40" x14ac:dyDescent="0.25">
      <c r="Q177" s="73" t="str">
        <f t="shared" si="44"/>
        <v/>
      </c>
      <c r="R177" s="80" t="str">
        <f>IF(Q177&lt;&gt;"",COUNTIF(Q$2:Q177,Q177),"")</f>
        <v/>
      </c>
      <c r="S177" s="73" t="str">
        <f t="shared" si="45"/>
        <v/>
      </c>
      <c r="T177" s="74" t="str">
        <f t="shared" si="46"/>
        <v/>
      </c>
      <c r="U177" s="74" t="str">
        <f t="shared" si="47"/>
        <v/>
      </c>
      <c r="V177" s="74" t="str">
        <f t="shared" si="48"/>
        <v/>
      </c>
      <c r="W177" s="74" t="str">
        <f t="shared" si="49"/>
        <v/>
      </c>
      <c r="X177" s="74" t="str">
        <f t="shared" si="50"/>
        <v/>
      </c>
      <c r="Y177" s="74" t="str">
        <f t="shared" si="51"/>
        <v/>
      </c>
      <c r="Z177" s="74" t="str">
        <f t="shared" si="52"/>
        <v/>
      </c>
      <c r="AA177" s="74" t="str">
        <f t="shared" si="53"/>
        <v/>
      </c>
      <c r="AK177" s="73"/>
      <c r="AL177" s="73"/>
      <c r="AM177" s="73"/>
      <c r="AN177" s="73"/>
    </row>
    <row r="178" spans="17:40" x14ac:dyDescent="0.25">
      <c r="Q178" s="73" t="str">
        <f t="shared" si="44"/>
        <v/>
      </c>
      <c r="R178" s="80" t="str">
        <f>IF(Q178&lt;&gt;"",COUNTIF(Q$2:Q178,Q178),"")</f>
        <v/>
      </c>
      <c r="S178" s="73" t="str">
        <f t="shared" si="45"/>
        <v/>
      </c>
      <c r="T178" s="74" t="str">
        <f t="shared" si="46"/>
        <v/>
      </c>
      <c r="U178" s="74" t="str">
        <f t="shared" si="47"/>
        <v/>
      </c>
      <c r="V178" s="74" t="str">
        <f t="shared" si="48"/>
        <v/>
      </c>
      <c r="W178" s="74" t="str">
        <f t="shared" si="49"/>
        <v/>
      </c>
      <c r="X178" s="74" t="str">
        <f t="shared" si="50"/>
        <v/>
      </c>
      <c r="Y178" s="74" t="str">
        <f t="shared" si="51"/>
        <v/>
      </c>
      <c r="Z178" s="74" t="str">
        <f t="shared" si="52"/>
        <v/>
      </c>
      <c r="AA178" s="74" t="str">
        <f t="shared" si="53"/>
        <v/>
      </c>
      <c r="AK178" s="73"/>
      <c r="AL178" s="73"/>
      <c r="AM178" s="73"/>
      <c r="AN178" s="73"/>
    </row>
    <row r="179" spans="17:40" x14ac:dyDescent="0.25">
      <c r="Q179" s="73" t="str">
        <f t="shared" si="44"/>
        <v/>
      </c>
      <c r="R179" s="80" t="str">
        <f>IF(Q179&lt;&gt;"",COUNTIF(Q$2:Q179,Q179),"")</f>
        <v/>
      </c>
      <c r="S179" s="73" t="str">
        <f t="shared" si="45"/>
        <v/>
      </c>
      <c r="T179" s="74" t="str">
        <f t="shared" si="46"/>
        <v/>
      </c>
      <c r="U179" s="74" t="str">
        <f t="shared" si="47"/>
        <v/>
      </c>
      <c r="V179" s="74" t="str">
        <f t="shared" si="48"/>
        <v/>
      </c>
      <c r="W179" s="74" t="str">
        <f t="shared" si="49"/>
        <v/>
      </c>
      <c r="X179" s="74" t="str">
        <f t="shared" si="50"/>
        <v/>
      </c>
      <c r="Y179" s="74" t="str">
        <f t="shared" si="51"/>
        <v/>
      </c>
      <c r="Z179" s="74" t="str">
        <f t="shared" si="52"/>
        <v/>
      </c>
      <c r="AA179" s="74" t="str">
        <f t="shared" si="53"/>
        <v/>
      </c>
      <c r="AK179" s="73"/>
      <c r="AL179" s="73"/>
      <c r="AM179" s="73"/>
      <c r="AN179" s="73"/>
    </row>
    <row r="180" spans="17:40" x14ac:dyDescent="0.25">
      <c r="Q180" s="73" t="str">
        <f t="shared" si="44"/>
        <v/>
      </c>
      <c r="R180" s="80" t="str">
        <f>IF(Q180&lt;&gt;"",COUNTIF(Q$2:Q180,Q180),"")</f>
        <v/>
      </c>
      <c r="S180" s="73" t="str">
        <f t="shared" si="45"/>
        <v/>
      </c>
      <c r="T180" s="74" t="str">
        <f t="shared" si="46"/>
        <v/>
      </c>
      <c r="U180" s="74" t="str">
        <f t="shared" si="47"/>
        <v/>
      </c>
      <c r="V180" s="74" t="str">
        <f t="shared" si="48"/>
        <v/>
      </c>
      <c r="W180" s="74" t="str">
        <f t="shared" si="49"/>
        <v/>
      </c>
      <c r="X180" s="74" t="str">
        <f t="shared" si="50"/>
        <v/>
      </c>
      <c r="Y180" s="74" t="str">
        <f t="shared" si="51"/>
        <v/>
      </c>
      <c r="Z180" s="74" t="str">
        <f t="shared" si="52"/>
        <v/>
      </c>
      <c r="AA180" s="74" t="str">
        <f t="shared" si="53"/>
        <v/>
      </c>
      <c r="AK180" s="73"/>
      <c r="AL180" s="73"/>
      <c r="AM180" s="73"/>
      <c r="AN180" s="73"/>
    </row>
    <row r="181" spans="17:40" x14ac:dyDescent="0.25">
      <c r="Q181" s="73" t="str">
        <f t="shared" si="44"/>
        <v/>
      </c>
      <c r="R181" s="80" t="str">
        <f>IF(Q181&lt;&gt;"",COUNTIF(Q$2:Q181,Q181),"")</f>
        <v/>
      </c>
      <c r="S181" s="73" t="str">
        <f t="shared" si="45"/>
        <v/>
      </c>
      <c r="T181" s="74" t="str">
        <f t="shared" si="46"/>
        <v/>
      </c>
      <c r="U181" s="74" t="str">
        <f t="shared" si="47"/>
        <v/>
      </c>
      <c r="V181" s="74" t="str">
        <f t="shared" si="48"/>
        <v/>
      </c>
      <c r="W181" s="74" t="str">
        <f t="shared" si="49"/>
        <v/>
      </c>
      <c r="X181" s="74" t="str">
        <f t="shared" si="50"/>
        <v/>
      </c>
      <c r="Y181" s="74" t="str">
        <f t="shared" si="51"/>
        <v/>
      </c>
      <c r="Z181" s="74" t="str">
        <f t="shared" si="52"/>
        <v/>
      </c>
      <c r="AA181" s="74" t="str">
        <f t="shared" si="53"/>
        <v/>
      </c>
      <c r="AK181" s="73"/>
      <c r="AL181" s="73"/>
      <c r="AM181" s="73"/>
      <c r="AN181" s="73"/>
    </row>
    <row r="182" spans="17:40" x14ac:dyDescent="0.25">
      <c r="Q182" s="73" t="str">
        <f t="shared" si="44"/>
        <v/>
      </c>
      <c r="R182" s="80" t="str">
        <f>IF(Q182&lt;&gt;"",COUNTIF(Q$2:Q182,Q182),"")</f>
        <v/>
      </c>
      <c r="S182" s="73" t="str">
        <f t="shared" si="45"/>
        <v/>
      </c>
      <c r="T182" s="74" t="str">
        <f t="shared" si="46"/>
        <v/>
      </c>
      <c r="U182" s="74" t="str">
        <f t="shared" si="47"/>
        <v/>
      </c>
      <c r="V182" s="74" t="str">
        <f t="shared" si="48"/>
        <v/>
      </c>
      <c r="W182" s="74" t="str">
        <f t="shared" si="49"/>
        <v/>
      </c>
      <c r="X182" s="74" t="str">
        <f t="shared" si="50"/>
        <v/>
      </c>
      <c r="Y182" s="74" t="str">
        <f t="shared" si="51"/>
        <v/>
      </c>
      <c r="Z182" s="74" t="str">
        <f t="shared" si="52"/>
        <v/>
      </c>
      <c r="AA182" s="74" t="str">
        <f t="shared" si="53"/>
        <v/>
      </c>
      <c r="AK182" s="73"/>
      <c r="AL182" s="73"/>
      <c r="AM182" s="73"/>
      <c r="AN182" s="73"/>
    </row>
    <row r="183" spans="17:40" x14ac:dyDescent="0.25">
      <c r="Q183" s="73" t="str">
        <f t="shared" si="44"/>
        <v/>
      </c>
      <c r="R183" s="80" t="str">
        <f>IF(Q183&lt;&gt;"",COUNTIF(Q$2:Q183,Q183),"")</f>
        <v/>
      </c>
      <c r="S183" s="73" t="str">
        <f t="shared" si="45"/>
        <v/>
      </c>
      <c r="T183" s="74" t="str">
        <f t="shared" si="46"/>
        <v/>
      </c>
      <c r="U183" s="74" t="str">
        <f t="shared" si="47"/>
        <v/>
      </c>
      <c r="V183" s="74" t="str">
        <f t="shared" si="48"/>
        <v/>
      </c>
      <c r="W183" s="74" t="str">
        <f t="shared" si="49"/>
        <v/>
      </c>
      <c r="X183" s="74" t="str">
        <f t="shared" si="50"/>
        <v/>
      </c>
      <c r="Y183" s="74" t="str">
        <f t="shared" si="51"/>
        <v/>
      </c>
      <c r="Z183" s="74" t="str">
        <f t="shared" si="52"/>
        <v/>
      </c>
      <c r="AA183" s="74" t="str">
        <f t="shared" si="53"/>
        <v/>
      </c>
      <c r="AK183" s="73"/>
      <c r="AL183" s="73"/>
      <c r="AM183" s="73"/>
      <c r="AN183" s="73"/>
    </row>
    <row r="184" spans="17:40" x14ac:dyDescent="0.25">
      <c r="Q184" s="73" t="str">
        <f t="shared" si="44"/>
        <v/>
      </c>
      <c r="R184" s="80" t="str">
        <f>IF(Q184&lt;&gt;"",COUNTIF(Q$2:Q184,Q184),"")</f>
        <v/>
      </c>
      <c r="S184" s="73" t="str">
        <f t="shared" si="45"/>
        <v/>
      </c>
      <c r="T184" s="74" t="str">
        <f t="shared" si="46"/>
        <v/>
      </c>
      <c r="U184" s="74" t="str">
        <f t="shared" si="47"/>
        <v/>
      </c>
      <c r="V184" s="74" t="str">
        <f t="shared" si="48"/>
        <v/>
      </c>
      <c r="W184" s="74" t="str">
        <f t="shared" si="49"/>
        <v/>
      </c>
      <c r="X184" s="74" t="str">
        <f t="shared" si="50"/>
        <v/>
      </c>
      <c r="Y184" s="74" t="str">
        <f t="shared" si="51"/>
        <v/>
      </c>
      <c r="Z184" s="74" t="str">
        <f t="shared" si="52"/>
        <v/>
      </c>
      <c r="AA184" s="74" t="str">
        <f t="shared" si="53"/>
        <v/>
      </c>
      <c r="AK184" s="73"/>
      <c r="AL184" s="73"/>
      <c r="AM184" s="73"/>
      <c r="AN184" s="73"/>
    </row>
    <row r="185" spans="17:40" x14ac:dyDescent="0.25">
      <c r="Q185" s="73" t="str">
        <f t="shared" si="44"/>
        <v/>
      </c>
      <c r="R185" s="80" t="str">
        <f>IF(Q185&lt;&gt;"",COUNTIF(Q$2:Q185,Q185),"")</f>
        <v/>
      </c>
      <c r="S185" s="73" t="str">
        <f t="shared" si="45"/>
        <v/>
      </c>
      <c r="T185" s="74" t="str">
        <f t="shared" si="46"/>
        <v/>
      </c>
      <c r="U185" s="74" t="str">
        <f t="shared" si="47"/>
        <v/>
      </c>
      <c r="V185" s="74" t="str">
        <f t="shared" si="48"/>
        <v/>
      </c>
      <c r="W185" s="74" t="str">
        <f t="shared" si="49"/>
        <v/>
      </c>
      <c r="X185" s="74" t="str">
        <f t="shared" si="50"/>
        <v/>
      </c>
      <c r="Y185" s="74" t="str">
        <f t="shared" si="51"/>
        <v/>
      </c>
      <c r="Z185" s="74" t="str">
        <f t="shared" si="52"/>
        <v/>
      </c>
      <c r="AA185" s="74" t="str">
        <f t="shared" si="53"/>
        <v/>
      </c>
      <c r="AK185" s="73"/>
      <c r="AL185" s="73"/>
      <c r="AM185" s="73"/>
      <c r="AN185" s="73"/>
    </row>
    <row r="186" spans="17:40" x14ac:dyDescent="0.25">
      <c r="Q186" s="73" t="str">
        <f t="shared" si="44"/>
        <v/>
      </c>
      <c r="R186" s="80" t="str">
        <f>IF(Q186&lt;&gt;"",COUNTIF(Q$2:Q186,Q186),"")</f>
        <v/>
      </c>
      <c r="S186" s="73" t="str">
        <f t="shared" si="45"/>
        <v/>
      </c>
      <c r="T186" s="74" t="str">
        <f t="shared" si="46"/>
        <v/>
      </c>
      <c r="U186" s="74" t="str">
        <f t="shared" si="47"/>
        <v/>
      </c>
      <c r="V186" s="74" t="str">
        <f t="shared" si="48"/>
        <v/>
      </c>
      <c r="W186" s="74" t="str">
        <f t="shared" si="49"/>
        <v/>
      </c>
      <c r="X186" s="74" t="str">
        <f t="shared" si="50"/>
        <v/>
      </c>
      <c r="Y186" s="74" t="str">
        <f t="shared" si="51"/>
        <v/>
      </c>
      <c r="Z186" s="74" t="str">
        <f t="shared" si="52"/>
        <v/>
      </c>
      <c r="AA186" s="74" t="str">
        <f t="shared" si="53"/>
        <v/>
      </c>
      <c r="AK186" s="73"/>
      <c r="AL186" s="73"/>
      <c r="AM186" s="73"/>
      <c r="AN186" s="73"/>
    </row>
    <row r="187" spans="17:40" x14ac:dyDescent="0.25">
      <c r="Q187" s="73" t="str">
        <f t="shared" si="44"/>
        <v/>
      </c>
      <c r="R187" s="80" t="str">
        <f>IF(Q187&lt;&gt;"",COUNTIF(Q$2:Q187,Q187),"")</f>
        <v/>
      </c>
      <c r="S187" s="73" t="str">
        <f t="shared" si="45"/>
        <v/>
      </c>
      <c r="T187" s="74" t="str">
        <f t="shared" si="46"/>
        <v/>
      </c>
      <c r="U187" s="74" t="str">
        <f t="shared" si="47"/>
        <v/>
      </c>
      <c r="V187" s="74" t="str">
        <f t="shared" si="48"/>
        <v/>
      </c>
      <c r="W187" s="74" t="str">
        <f t="shared" si="49"/>
        <v/>
      </c>
      <c r="X187" s="74" t="str">
        <f t="shared" si="50"/>
        <v/>
      </c>
      <c r="Y187" s="74" t="str">
        <f t="shared" si="51"/>
        <v/>
      </c>
      <c r="Z187" s="74" t="str">
        <f t="shared" si="52"/>
        <v/>
      </c>
      <c r="AA187" s="74" t="str">
        <f t="shared" si="53"/>
        <v/>
      </c>
      <c r="AK187" s="73"/>
      <c r="AL187" s="73"/>
      <c r="AM187" s="73"/>
      <c r="AN187" s="73"/>
    </row>
    <row r="188" spans="17:40" x14ac:dyDescent="0.25">
      <c r="Q188" s="73" t="str">
        <f t="shared" si="44"/>
        <v/>
      </c>
      <c r="R188" s="80" t="str">
        <f>IF(Q188&lt;&gt;"",COUNTIF(Q$2:Q188,Q188),"")</f>
        <v/>
      </c>
      <c r="S188" s="73" t="str">
        <f t="shared" si="45"/>
        <v/>
      </c>
      <c r="T188" s="74" t="str">
        <f t="shared" si="46"/>
        <v/>
      </c>
      <c r="U188" s="74" t="str">
        <f t="shared" si="47"/>
        <v/>
      </c>
      <c r="V188" s="74" t="str">
        <f t="shared" si="48"/>
        <v/>
      </c>
      <c r="W188" s="74" t="str">
        <f t="shared" si="49"/>
        <v/>
      </c>
      <c r="X188" s="74" t="str">
        <f t="shared" si="50"/>
        <v/>
      </c>
      <c r="Y188" s="74" t="str">
        <f t="shared" si="51"/>
        <v/>
      </c>
      <c r="Z188" s="74" t="str">
        <f t="shared" si="52"/>
        <v/>
      </c>
      <c r="AA188" s="74" t="str">
        <f t="shared" si="53"/>
        <v/>
      </c>
      <c r="AK188" s="73"/>
      <c r="AL188" s="73"/>
      <c r="AM188" s="73"/>
      <c r="AN188" s="73"/>
    </row>
    <row r="189" spans="17:40" x14ac:dyDescent="0.25">
      <c r="Q189" s="73" t="str">
        <f t="shared" si="44"/>
        <v/>
      </c>
      <c r="R189" s="80" t="str">
        <f>IF(Q189&lt;&gt;"",COUNTIF(Q$2:Q189,Q189),"")</f>
        <v/>
      </c>
      <c r="S189" s="73" t="str">
        <f t="shared" si="45"/>
        <v/>
      </c>
      <c r="T189" s="74" t="str">
        <f t="shared" si="46"/>
        <v/>
      </c>
      <c r="U189" s="74" t="str">
        <f t="shared" si="47"/>
        <v/>
      </c>
      <c r="V189" s="74" t="str">
        <f t="shared" si="48"/>
        <v/>
      </c>
      <c r="W189" s="74" t="str">
        <f t="shared" si="49"/>
        <v/>
      </c>
      <c r="X189" s="74" t="str">
        <f t="shared" si="50"/>
        <v/>
      </c>
      <c r="Y189" s="74" t="str">
        <f t="shared" si="51"/>
        <v/>
      </c>
      <c r="Z189" s="74" t="str">
        <f t="shared" si="52"/>
        <v/>
      </c>
      <c r="AA189" s="74" t="str">
        <f t="shared" si="53"/>
        <v/>
      </c>
      <c r="AK189" s="73"/>
      <c r="AL189" s="73"/>
      <c r="AM189" s="73"/>
      <c r="AN189" s="73"/>
    </row>
    <row r="190" spans="17:40" x14ac:dyDescent="0.25">
      <c r="Q190" s="73" t="str">
        <f t="shared" si="44"/>
        <v/>
      </c>
      <c r="R190" s="80" t="str">
        <f>IF(Q190&lt;&gt;"",COUNTIF(Q$2:Q190,Q190),"")</f>
        <v/>
      </c>
      <c r="S190" s="73" t="str">
        <f t="shared" si="45"/>
        <v/>
      </c>
      <c r="T190" s="74" t="str">
        <f t="shared" si="46"/>
        <v/>
      </c>
      <c r="U190" s="74" t="str">
        <f t="shared" si="47"/>
        <v/>
      </c>
      <c r="V190" s="74" t="str">
        <f t="shared" si="48"/>
        <v/>
      </c>
      <c r="W190" s="74" t="str">
        <f t="shared" si="49"/>
        <v/>
      </c>
      <c r="X190" s="74" t="str">
        <f t="shared" si="50"/>
        <v/>
      </c>
      <c r="Y190" s="74" t="str">
        <f t="shared" si="51"/>
        <v/>
      </c>
      <c r="Z190" s="74" t="str">
        <f t="shared" si="52"/>
        <v/>
      </c>
      <c r="AA190" s="74" t="str">
        <f t="shared" si="53"/>
        <v/>
      </c>
      <c r="AK190" s="73"/>
      <c r="AL190" s="73"/>
      <c r="AM190" s="73"/>
      <c r="AN190" s="73"/>
    </row>
    <row r="191" spans="17:40" x14ac:dyDescent="0.25">
      <c r="Q191" s="73" t="str">
        <f t="shared" si="44"/>
        <v/>
      </c>
      <c r="R191" s="80" t="str">
        <f>IF(Q191&lt;&gt;"",COUNTIF(Q$2:Q191,Q191),"")</f>
        <v/>
      </c>
      <c r="S191" s="73" t="str">
        <f t="shared" si="45"/>
        <v/>
      </c>
      <c r="T191" s="74" t="str">
        <f t="shared" si="46"/>
        <v/>
      </c>
      <c r="U191" s="74" t="str">
        <f t="shared" si="47"/>
        <v/>
      </c>
      <c r="V191" s="74" t="str">
        <f t="shared" si="48"/>
        <v/>
      </c>
      <c r="W191" s="74" t="str">
        <f t="shared" si="49"/>
        <v/>
      </c>
      <c r="X191" s="74" t="str">
        <f t="shared" si="50"/>
        <v/>
      </c>
      <c r="Y191" s="74" t="str">
        <f t="shared" si="51"/>
        <v/>
      </c>
      <c r="Z191" s="74" t="str">
        <f t="shared" si="52"/>
        <v/>
      </c>
      <c r="AA191" s="74" t="str">
        <f t="shared" si="53"/>
        <v/>
      </c>
      <c r="AK191" s="73"/>
      <c r="AL191" s="73"/>
      <c r="AM191" s="73"/>
      <c r="AN191" s="73"/>
    </row>
    <row r="192" spans="17:40" x14ac:dyDescent="0.25">
      <c r="Q192" s="73" t="str">
        <f t="shared" si="44"/>
        <v/>
      </c>
      <c r="R192" s="80" t="str">
        <f>IF(Q192&lt;&gt;"",COUNTIF(Q$2:Q192,Q192),"")</f>
        <v/>
      </c>
      <c r="S192" s="73" t="str">
        <f t="shared" si="45"/>
        <v/>
      </c>
      <c r="T192" s="74" t="str">
        <f t="shared" si="46"/>
        <v/>
      </c>
      <c r="U192" s="74" t="str">
        <f t="shared" si="47"/>
        <v/>
      </c>
      <c r="V192" s="74" t="str">
        <f t="shared" si="48"/>
        <v/>
      </c>
      <c r="W192" s="74" t="str">
        <f t="shared" si="49"/>
        <v/>
      </c>
      <c r="X192" s="74" t="str">
        <f t="shared" si="50"/>
        <v/>
      </c>
      <c r="Y192" s="74" t="str">
        <f t="shared" si="51"/>
        <v/>
      </c>
      <c r="Z192" s="74" t="str">
        <f t="shared" si="52"/>
        <v/>
      </c>
      <c r="AA192" s="74" t="str">
        <f t="shared" si="53"/>
        <v/>
      </c>
      <c r="AK192" s="73"/>
      <c r="AL192" s="73"/>
      <c r="AM192" s="73"/>
      <c r="AN192" s="73"/>
    </row>
    <row r="193" spans="17:40" x14ac:dyDescent="0.25">
      <c r="Q193" s="73" t="str">
        <f t="shared" si="44"/>
        <v/>
      </c>
      <c r="R193" s="80" t="str">
        <f>IF(Q193&lt;&gt;"",COUNTIF(Q$2:Q193,Q193),"")</f>
        <v/>
      </c>
      <c r="S193" s="73" t="str">
        <f t="shared" si="45"/>
        <v/>
      </c>
      <c r="T193" s="74" t="str">
        <f t="shared" si="46"/>
        <v/>
      </c>
      <c r="U193" s="74" t="str">
        <f t="shared" si="47"/>
        <v/>
      </c>
      <c r="V193" s="74" t="str">
        <f t="shared" si="48"/>
        <v/>
      </c>
      <c r="W193" s="74" t="str">
        <f t="shared" si="49"/>
        <v/>
      </c>
      <c r="X193" s="74" t="str">
        <f t="shared" si="50"/>
        <v/>
      </c>
      <c r="Y193" s="74" t="str">
        <f t="shared" si="51"/>
        <v/>
      </c>
      <c r="Z193" s="74" t="str">
        <f t="shared" si="52"/>
        <v/>
      </c>
      <c r="AA193" s="74" t="str">
        <f t="shared" si="53"/>
        <v/>
      </c>
      <c r="AK193" s="73"/>
      <c r="AL193" s="73"/>
      <c r="AM193" s="73"/>
      <c r="AN193" s="73"/>
    </row>
    <row r="194" spans="17:40" x14ac:dyDescent="0.25">
      <c r="Q194" s="73" t="str">
        <f t="shared" si="44"/>
        <v/>
      </c>
      <c r="R194" s="80" t="str">
        <f>IF(Q194&lt;&gt;"",COUNTIF(Q$2:Q194,Q194),"")</f>
        <v/>
      </c>
      <c r="S194" s="73" t="str">
        <f t="shared" si="45"/>
        <v/>
      </c>
      <c r="T194" s="74" t="str">
        <f t="shared" si="46"/>
        <v/>
      </c>
      <c r="U194" s="74" t="str">
        <f t="shared" si="47"/>
        <v/>
      </c>
      <c r="V194" s="74" t="str">
        <f t="shared" si="48"/>
        <v/>
      </c>
      <c r="W194" s="74" t="str">
        <f t="shared" si="49"/>
        <v/>
      </c>
      <c r="X194" s="74" t="str">
        <f t="shared" si="50"/>
        <v/>
      </c>
      <c r="Y194" s="74" t="str">
        <f t="shared" si="51"/>
        <v/>
      </c>
      <c r="Z194" s="74" t="str">
        <f t="shared" si="52"/>
        <v/>
      </c>
      <c r="AA194" s="74" t="str">
        <f t="shared" si="53"/>
        <v/>
      </c>
      <c r="AK194" s="73"/>
      <c r="AL194" s="73"/>
      <c r="AM194" s="73"/>
      <c r="AN194" s="73"/>
    </row>
    <row r="195" spans="17:40" x14ac:dyDescent="0.25">
      <c r="Q195" s="73" t="str">
        <f t="shared" si="44"/>
        <v/>
      </c>
      <c r="R195" s="80" t="str">
        <f>IF(Q195&lt;&gt;"",COUNTIF(Q$2:Q195,Q195),"")</f>
        <v/>
      </c>
      <c r="S195" s="73" t="str">
        <f t="shared" si="45"/>
        <v/>
      </c>
      <c r="T195" s="74" t="str">
        <f t="shared" si="46"/>
        <v/>
      </c>
      <c r="U195" s="74" t="str">
        <f t="shared" si="47"/>
        <v/>
      </c>
      <c r="V195" s="74" t="str">
        <f t="shared" si="48"/>
        <v/>
      </c>
      <c r="W195" s="74" t="str">
        <f t="shared" si="49"/>
        <v/>
      </c>
      <c r="X195" s="74" t="str">
        <f t="shared" si="50"/>
        <v/>
      </c>
      <c r="Y195" s="74" t="str">
        <f t="shared" si="51"/>
        <v/>
      </c>
      <c r="Z195" s="74" t="str">
        <f t="shared" si="52"/>
        <v/>
      </c>
      <c r="AA195" s="74" t="str">
        <f t="shared" si="53"/>
        <v/>
      </c>
      <c r="AK195" s="73"/>
      <c r="AL195" s="73"/>
      <c r="AM195" s="73"/>
      <c r="AN195" s="73"/>
    </row>
    <row r="196" spans="17:40" x14ac:dyDescent="0.25">
      <c r="Q196" s="73" t="str">
        <f t="shared" ref="Q196:Q259" si="54">IF(C196&lt;&gt;"",IF(L196&lt;&gt;"",L196,""),"")</f>
        <v/>
      </c>
      <c r="R196" s="80" t="str">
        <f>IF(Q196&lt;&gt;"",COUNTIF(Q$2:Q196,Q196),"")</f>
        <v/>
      </c>
      <c r="S196" s="73" t="str">
        <f t="shared" ref="S196:S259" si="55">IF(Q196&lt;&gt;"",D196,"")</f>
        <v/>
      </c>
      <c r="T196" s="74" t="str">
        <f t="shared" ref="T196:T259" si="56">IF(Q196&lt;&gt;"",E196,"")</f>
        <v/>
      </c>
      <c r="U196" s="74" t="str">
        <f t="shared" ref="U196:U259" si="57">IF(Q196&lt;&gt;"",IFERROR(SUBSTITUTE(LEFT(N196,FIND(";",N196)),";",""),""),"")</f>
        <v/>
      </c>
      <c r="V196" s="74" t="str">
        <f t="shared" ref="V196:V259" si="58">IF(Q196&lt;&gt;"",IFERROR(SUBSTITUTE(RIGHT(N196,FIND(";",N196)),";",""),""),"")</f>
        <v/>
      </c>
      <c r="W196" s="74" t="str">
        <f t="shared" ref="W196:W259" si="59">IF(R196&lt;&gt;"",IFERROR(SUBSTITUTE(LEFT(O196,FIND(";",O196)),";",""),""),"")</f>
        <v/>
      </c>
      <c r="X196" s="74" t="str">
        <f t="shared" ref="X196:X259" si="60">IF(U196&lt;&gt;"",_xlfn.NUMBERVALUE(U196),"")</f>
        <v/>
      </c>
      <c r="Y196" s="74" t="str">
        <f t="shared" ref="Y196:Y259" si="61">IF(V196&lt;&gt;"",_xlfn.NUMBERVALUE(V196),"")</f>
        <v/>
      </c>
      <c r="Z196" s="74" t="str">
        <f t="shared" ref="Z196:Z259" si="62">IF(W196&lt;&gt;"",_xlfn.NUMBERVALUE(W196),"")</f>
        <v/>
      </c>
      <c r="AA196" s="74" t="str">
        <f t="shared" ref="AA196:AA259" si="63">IF(O196&lt;&gt;"",IFERROR(IF(FIND("OK",O196)&gt;0,TRUE),FALSE),"")</f>
        <v/>
      </c>
      <c r="AK196" s="73"/>
      <c r="AL196" s="73"/>
      <c r="AM196" s="73"/>
      <c r="AN196" s="73"/>
    </row>
    <row r="197" spans="17:40" x14ac:dyDescent="0.25">
      <c r="Q197" s="73" t="str">
        <f t="shared" si="54"/>
        <v/>
      </c>
      <c r="R197" s="80" t="str">
        <f>IF(Q197&lt;&gt;"",COUNTIF(Q$2:Q197,Q197),"")</f>
        <v/>
      </c>
      <c r="S197" s="73" t="str">
        <f t="shared" si="55"/>
        <v/>
      </c>
      <c r="T197" s="74" t="str">
        <f t="shared" si="56"/>
        <v/>
      </c>
      <c r="U197" s="74" t="str">
        <f t="shared" si="57"/>
        <v/>
      </c>
      <c r="V197" s="74" t="str">
        <f t="shared" si="58"/>
        <v/>
      </c>
      <c r="W197" s="74" t="str">
        <f t="shared" si="59"/>
        <v/>
      </c>
      <c r="X197" s="74" t="str">
        <f t="shared" si="60"/>
        <v/>
      </c>
      <c r="Y197" s="74" t="str">
        <f t="shared" si="61"/>
        <v/>
      </c>
      <c r="Z197" s="74" t="str">
        <f t="shared" si="62"/>
        <v/>
      </c>
      <c r="AA197" s="74" t="str">
        <f t="shared" si="63"/>
        <v/>
      </c>
      <c r="AK197" s="73"/>
      <c r="AL197" s="73"/>
      <c r="AM197" s="73"/>
      <c r="AN197" s="73"/>
    </row>
    <row r="198" spans="17:40" x14ac:dyDescent="0.25">
      <c r="Q198" s="73" t="str">
        <f t="shared" si="54"/>
        <v/>
      </c>
      <c r="R198" s="80" t="str">
        <f>IF(Q198&lt;&gt;"",COUNTIF(Q$2:Q198,Q198),"")</f>
        <v/>
      </c>
      <c r="S198" s="73" t="str">
        <f t="shared" si="55"/>
        <v/>
      </c>
      <c r="T198" s="74" t="str">
        <f t="shared" si="56"/>
        <v/>
      </c>
      <c r="U198" s="74" t="str">
        <f t="shared" si="57"/>
        <v/>
      </c>
      <c r="V198" s="74" t="str">
        <f t="shared" si="58"/>
        <v/>
      </c>
      <c r="W198" s="74" t="str">
        <f t="shared" si="59"/>
        <v/>
      </c>
      <c r="X198" s="74" t="str">
        <f t="shared" si="60"/>
        <v/>
      </c>
      <c r="Y198" s="74" t="str">
        <f t="shared" si="61"/>
        <v/>
      </c>
      <c r="Z198" s="74" t="str">
        <f t="shared" si="62"/>
        <v/>
      </c>
      <c r="AA198" s="74" t="str">
        <f t="shared" si="63"/>
        <v/>
      </c>
      <c r="AK198" s="73"/>
      <c r="AL198" s="73"/>
      <c r="AM198" s="73"/>
      <c r="AN198" s="73"/>
    </row>
    <row r="199" spans="17:40" x14ac:dyDescent="0.25">
      <c r="Q199" s="73" t="str">
        <f t="shared" si="54"/>
        <v/>
      </c>
      <c r="R199" s="80" t="str">
        <f>IF(Q199&lt;&gt;"",COUNTIF(Q$2:Q199,Q199),"")</f>
        <v/>
      </c>
      <c r="S199" s="73" t="str">
        <f t="shared" si="55"/>
        <v/>
      </c>
      <c r="T199" s="74" t="str">
        <f t="shared" si="56"/>
        <v/>
      </c>
      <c r="U199" s="74" t="str">
        <f t="shared" si="57"/>
        <v/>
      </c>
      <c r="V199" s="74" t="str">
        <f t="shared" si="58"/>
        <v/>
      </c>
      <c r="W199" s="74" t="str">
        <f t="shared" si="59"/>
        <v/>
      </c>
      <c r="X199" s="74" t="str">
        <f t="shared" si="60"/>
        <v/>
      </c>
      <c r="Y199" s="74" t="str">
        <f t="shared" si="61"/>
        <v/>
      </c>
      <c r="Z199" s="74" t="str">
        <f t="shared" si="62"/>
        <v/>
      </c>
      <c r="AA199" s="74" t="str">
        <f t="shared" si="63"/>
        <v/>
      </c>
      <c r="AK199" s="73"/>
      <c r="AL199" s="73"/>
      <c r="AM199" s="73"/>
      <c r="AN199" s="73"/>
    </row>
    <row r="200" spans="17:40" x14ac:dyDescent="0.25">
      <c r="Q200" s="73" t="str">
        <f t="shared" si="54"/>
        <v/>
      </c>
      <c r="R200" s="80" t="str">
        <f>IF(Q200&lt;&gt;"",COUNTIF(Q$2:Q200,Q200),"")</f>
        <v/>
      </c>
      <c r="S200" s="73" t="str">
        <f t="shared" si="55"/>
        <v/>
      </c>
      <c r="T200" s="74" t="str">
        <f t="shared" si="56"/>
        <v/>
      </c>
      <c r="U200" s="74" t="str">
        <f t="shared" si="57"/>
        <v/>
      </c>
      <c r="V200" s="74" t="str">
        <f t="shared" si="58"/>
        <v/>
      </c>
      <c r="W200" s="74" t="str">
        <f t="shared" si="59"/>
        <v/>
      </c>
      <c r="X200" s="74" t="str">
        <f t="shared" si="60"/>
        <v/>
      </c>
      <c r="Y200" s="74" t="str">
        <f t="shared" si="61"/>
        <v/>
      </c>
      <c r="Z200" s="74" t="str">
        <f t="shared" si="62"/>
        <v/>
      </c>
      <c r="AA200" s="74" t="str">
        <f t="shared" si="63"/>
        <v/>
      </c>
      <c r="AK200" s="73"/>
      <c r="AL200" s="73"/>
      <c r="AM200" s="73"/>
      <c r="AN200" s="73"/>
    </row>
    <row r="201" spans="17:40" x14ac:dyDescent="0.25">
      <c r="Q201" s="73" t="str">
        <f t="shared" si="54"/>
        <v/>
      </c>
      <c r="R201" s="80" t="str">
        <f>IF(Q201&lt;&gt;"",COUNTIF(Q$2:Q201,Q201),"")</f>
        <v/>
      </c>
      <c r="S201" s="73" t="str">
        <f t="shared" si="55"/>
        <v/>
      </c>
      <c r="T201" s="74" t="str">
        <f t="shared" si="56"/>
        <v/>
      </c>
      <c r="U201" s="74" t="str">
        <f t="shared" si="57"/>
        <v/>
      </c>
      <c r="V201" s="74" t="str">
        <f t="shared" si="58"/>
        <v/>
      </c>
      <c r="W201" s="74" t="str">
        <f t="shared" si="59"/>
        <v/>
      </c>
      <c r="X201" s="74" t="str">
        <f t="shared" si="60"/>
        <v/>
      </c>
      <c r="Y201" s="74" t="str">
        <f t="shared" si="61"/>
        <v/>
      </c>
      <c r="Z201" s="74" t="str">
        <f t="shared" si="62"/>
        <v/>
      </c>
      <c r="AA201" s="74" t="str">
        <f t="shared" si="63"/>
        <v/>
      </c>
      <c r="AK201" s="73"/>
      <c r="AL201" s="73"/>
      <c r="AM201" s="73"/>
      <c r="AN201" s="73"/>
    </row>
    <row r="202" spans="17:40" x14ac:dyDescent="0.25">
      <c r="Q202" s="73" t="str">
        <f t="shared" si="54"/>
        <v/>
      </c>
      <c r="R202" s="80" t="str">
        <f>IF(Q202&lt;&gt;"",COUNTIF(Q$2:Q202,Q202),"")</f>
        <v/>
      </c>
      <c r="S202" s="73" t="str">
        <f t="shared" si="55"/>
        <v/>
      </c>
      <c r="T202" s="74" t="str">
        <f t="shared" si="56"/>
        <v/>
      </c>
      <c r="U202" s="74" t="str">
        <f t="shared" si="57"/>
        <v/>
      </c>
      <c r="V202" s="74" t="str">
        <f t="shared" si="58"/>
        <v/>
      </c>
      <c r="W202" s="74" t="str">
        <f t="shared" si="59"/>
        <v/>
      </c>
      <c r="X202" s="74" t="str">
        <f t="shared" si="60"/>
        <v/>
      </c>
      <c r="Y202" s="74" t="str">
        <f t="shared" si="61"/>
        <v/>
      </c>
      <c r="Z202" s="74" t="str">
        <f t="shared" si="62"/>
        <v/>
      </c>
      <c r="AA202" s="74" t="str">
        <f t="shared" si="63"/>
        <v/>
      </c>
      <c r="AK202" s="73"/>
      <c r="AL202" s="73"/>
      <c r="AM202" s="73"/>
      <c r="AN202" s="73"/>
    </row>
    <row r="203" spans="17:40" x14ac:dyDescent="0.25">
      <c r="Q203" s="73" t="str">
        <f t="shared" si="54"/>
        <v/>
      </c>
      <c r="R203" s="80" t="str">
        <f>IF(Q203&lt;&gt;"",COUNTIF(Q$2:Q203,Q203),"")</f>
        <v/>
      </c>
      <c r="S203" s="73" t="str">
        <f t="shared" si="55"/>
        <v/>
      </c>
      <c r="T203" s="74" t="str">
        <f t="shared" si="56"/>
        <v/>
      </c>
      <c r="U203" s="74" t="str">
        <f t="shared" si="57"/>
        <v/>
      </c>
      <c r="V203" s="74" t="str">
        <f t="shared" si="58"/>
        <v/>
      </c>
      <c r="W203" s="74" t="str">
        <f t="shared" si="59"/>
        <v/>
      </c>
      <c r="X203" s="74" t="str">
        <f t="shared" si="60"/>
        <v/>
      </c>
      <c r="Y203" s="74" t="str">
        <f t="shared" si="61"/>
        <v/>
      </c>
      <c r="Z203" s="74" t="str">
        <f t="shared" si="62"/>
        <v/>
      </c>
      <c r="AA203" s="74" t="str">
        <f t="shared" si="63"/>
        <v/>
      </c>
      <c r="AK203" s="73"/>
      <c r="AL203" s="73"/>
      <c r="AM203" s="73"/>
      <c r="AN203" s="73"/>
    </row>
    <row r="204" spans="17:40" x14ac:dyDescent="0.25">
      <c r="Q204" s="73" t="str">
        <f t="shared" si="54"/>
        <v/>
      </c>
      <c r="R204" s="80" t="str">
        <f>IF(Q204&lt;&gt;"",COUNTIF(Q$2:Q204,Q204),"")</f>
        <v/>
      </c>
      <c r="S204" s="73" t="str">
        <f t="shared" si="55"/>
        <v/>
      </c>
      <c r="T204" s="74" t="str">
        <f t="shared" si="56"/>
        <v/>
      </c>
      <c r="U204" s="74" t="str">
        <f t="shared" si="57"/>
        <v/>
      </c>
      <c r="V204" s="74" t="str">
        <f t="shared" si="58"/>
        <v/>
      </c>
      <c r="W204" s="74" t="str">
        <f t="shared" si="59"/>
        <v/>
      </c>
      <c r="X204" s="74" t="str">
        <f t="shared" si="60"/>
        <v/>
      </c>
      <c r="Y204" s="74" t="str">
        <f t="shared" si="61"/>
        <v/>
      </c>
      <c r="Z204" s="74" t="str">
        <f t="shared" si="62"/>
        <v/>
      </c>
      <c r="AA204" s="74" t="str">
        <f t="shared" si="63"/>
        <v/>
      </c>
      <c r="AK204" s="73"/>
      <c r="AL204" s="73"/>
      <c r="AM204" s="73"/>
      <c r="AN204" s="73"/>
    </row>
    <row r="205" spans="17:40" x14ac:dyDescent="0.25">
      <c r="Q205" s="73" t="str">
        <f t="shared" si="54"/>
        <v/>
      </c>
      <c r="R205" s="80" t="str">
        <f>IF(Q205&lt;&gt;"",COUNTIF(Q$2:Q205,Q205),"")</f>
        <v/>
      </c>
      <c r="S205" s="73" t="str">
        <f t="shared" si="55"/>
        <v/>
      </c>
      <c r="T205" s="74" t="str">
        <f t="shared" si="56"/>
        <v/>
      </c>
      <c r="U205" s="74" t="str">
        <f t="shared" si="57"/>
        <v/>
      </c>
      <c r="V205" s="74" t="str">
        <f t="shared" si="58"/>
        <v/>
      </c>
      <c r="W205" s="74" t="str">
        <f t="shared" si="59"/>
        <v/>
      </c>
      <c r="X205" s="74" t="str">
        <f t="shared" si="60"/>
        <v/>
      </c>
      <c r="Y205" s="74" t="str">
        <f t="shared" si="61"/>
        <v/>
      </c>
      <c r="Z205" s="74" t="str">
        <f t="shared" si="62"/>
        <v/>
      </c>
      <c r="AA205" s="74" t="str">
        <f t="shared" si="63"/>
        <v/>
      </c>
      <c r="AK205" s="73"/>
      <c r="AL205" s="73"/>
      <c r="AM205" s="73"/>
      <c r="AN205" s="73"/>
    </row>
    <row r="206" spans="17:40" x14ac:dyDescent="0.25">
      <c r="Q206" s="73" t="str">
        <f t="shared" si="54"/>
        <v/>
      </c>
      <c r="R206" s="80" t="str">
        <f>IF(Q206&lt;&gt;"",COUNTIF(Q$2:Q206,Q206),"")</f>
        <v/>
      </c>
      <c r="S206" s="73" t="str">
        <f t="shared" si="55"/>
        <v/>
      </c>
      <c r="T206" s="74" t="str">
        <f t="shared" si="56"/>
        <v/>
      </c>
      <c r="U206" s="74" t="str">
        <f t="shared" si="57"/>
        <v/>
      </c>
      <c r="V206" s="74" t="str">
        <f t="shared" si="58"/>
        <v/>
      </c>
      <c r="W206" s="74" t="str">
        <f t="shared" si="59"/>
        <v/>
      </c>
      <c r="X206" s="74" t="str">
        <f t="shared" si="60"/>
        <v/>
      </c>
      <c r="Y206" s="74" t="str">
        <f t="shared" si="61"/>
        <v/>
      </c>
      <c r="Z206" s="74" t="str">
        <f t="shared" si="62"/>
        <v/>
      </c>
      <c r="AA206" s="74" t="str">
        <f t="shared" si="63"/>
        <v/>
      </c>
      <c r="AK206" s="73"/>
      <c r="AL206" s="73"/>
      <c r="AM206" s="73"/>
      <c r="AN206" s="73"/>
    </row>
    <row r="207" spans="17:40" x14ac:dyDescent="0.25">
      <c r="Q207" s="73" t="str">
        <f t="shared" si="54"/>
        <v/>
      </c>
      <c r="R207" s="80" t="str">
        <f>IF(Q207&lt;&gt;"",COUNTIF(Q$2:Q207,Q207),"")</f>
        <v/>
      </c>
      <c r="S207" s="73" t="str">
        <f t="shared" si="55"/>
        <v/>
      </c>
      <c r="T207" s="74" t="str">
        <f t="shared" si="56"/>
        <v/>
      </c>
      <c r="U207" s="74" t="str">
        <f t="shared" si="57"/>
        <v/>
      </c>
      <c r="V207" s="74" t="str">
        <f t="shared" si="58"/>
        <v/>
      </c>
      <c r="W207" s="74" t="str">
        <f t="shared" si="59"/>
        <v/>
      </c>
      <c r="X207" s="74" t="str">
        <f t="shared" si="60"/>
        <v/>
      </c>
      <c r="Y207" s="74" t="str">
        <f t="shared" si="61"/>
        <v/>
      </c>
      <c r="Z207" s="74" t="str">
        <f t="shared" si="62"/>
        <v/>
      </c>
      <c r="AA207" s="74" t="str">
        <f t="shared" si="63"/>
        <v/>
      </c>
      <c r="AK207" s="73"/>
      <c r="AL207" s="73"/>
      <c r="AM207" s="73"/>
      <c r="AN207" s="73"/>
    </row>
    <row r="208" spans="17:40" x14ac:dyDescent="0.25">
      <c r="Q208" s="73" t="str">
        <f t="shared" si="54"/>
        <v/>
      </c>
      <c r="R208" s="80" t="str">
        <f>IF(Q208&lt;&gt;"",COUNTIF(Q$2:Q208,Q208),"")</f>
        <v/>
      </c>
      <c r="S208" s="73" t="str">
        <f t="shared" si="55"/>
        <v/>
      </c>
      <c r="T208" s="74" t="str">
        <f t="shared" si="56"/>
        <v/>
      </c>
      <c r="U208" s="74" t="str">
        <f t="shared" si="57"/>
        <v/>
      </c>
      <c r="V208" s="74" t="str">
        <f t="shared" si="58"/>
        <v/>
      </c>
      <c r="W208" s="74" t="str">
        <f t="shared" si="59"/>
        <v/>
      </c>
      <c r="X208" s="74" t="str">
        <f t="shared" si="60"/>
        <v/>
      </c>
      <c r="Y208" s="74" t="str">
        <f t="shared" si="61"/>
        <v/>
      </c>
      <c r="Z208" s="74" t="str">
        <f t="shared" si="62"/>
        <v/>
      </c>
      <c r="AA208" s="74" t="str">
        <f t="shared" si="63"/>
        <v/>
      </c>
      <c r="AK208" s="73"/>
      <c r="AL208" s="73"/>
      <c r="AM208" s="73"/>
      <c r="AN208" s="73"/>
    </row>
    <row r="209" spans="17:40" x14ac:dyDescent="0.25">
      <c r="Q209" s="73" t="str">
        <f t="shared" si="54"/>
        <v/>
      </c>
      <c r="R209" s="80" t="str">
        <f>IF(Q209&lt;&gt;"",COUNTIF(Q$2:Q209,Q209),"")</f>
        <v/>
      </c>
      <c r="S209" s="73" t="str">
        <f t="shared" si="55"/>
        <v/>
      </c>
      <c r="T209" s="74" t="str">
        <f t="shared" si="56"/>
        <v/>
      </c>
      <c r="U209" s="74" t="str">
        <f t="shared" si="57"/>
        <v/>
      </c>
      <c r="V209" s="74" t="str">
        <f t="shared" si="58"/>
        <v/>
      </c>
      <c r="W209" s="74" t="str">
        <f t="shared" si="59"/>
        <v/>
      </c>
      <c r="X209" s="74" t="str">
        <f t="shared" si="60"/>
        <v/>
      </c>
      <c r="Y209" s="74" t="str">
        <f t="shared" si="61"/>
        <v/>
      </c>
      <c r="Z209" s="74" t="str">
        <f t="shared" si="62"/>
        <v/>
      </c>
      <c r="AA209" s="74" t="str">
        <f t="shared" si="63"/>
        <v/>
      </c>
      <c r="AK209" s="73"/>
      <c r="AL209" s="73"/>
      <c r="AM209" s="73"/>
      <c r="AN209" s="73"/>
    </row>
    <row r="210" spans="17:40" x14ac:dyDescent="0.25">
      <c r="Q210" s="73" t="str">
        <f t="shared" si="54"/>
        <v/>
      </c>
      <c r="R210" s="80" t="str">
        <f>IF(Q210&lt;&gt;"",COUNTIF(Q$2:Q210,Q210),"")</f>
        <v/>
      </c>
      <c r="S210" s="73" t="str">
        <f t="shared" si="55"/>
        <v/>
      </c>
      <c r="T210" s="74" t="str">
        <f t="shared" si="56"/>
        <v/>
      </c>
      <c r="U210" s="74" t="str">
        <f t="shared" si="57"/>
        <v/>
      </c>
      <c r="V210" s="74" t="str">
        <f t="shared" si="58"/>
        <v/>
      </c>
      <c r="W210" s="74" t="str">
        <f t="shared" si="59"/>
        <v/>
      </c>
      <c r="X210" s="74" t="str">
        <f t="shared" si="60"/>
        <v/>
      </c>
      <c r="Y210" s="74" t="str">
        <f t="shared" si="61"/>
        <v/>
      </c>
      <c r="Z210" s="74" t="str">
        <f t="shared" si="62"/>
        <v/>
      </c>
      <c r="AA210" s="74" t="str">
        <f t="shared" si="63"/>
        <v/>
      </c>
      <c r="AK210" s="73"/>
      <c r="AL210" s="73"/>
      <c r="AM210" s="73"/>
      <c r="AN210" s="73"/>
    </row>
    <row r="211" spans="17:40" x14ac:dyDescent="0.25">
      <c r="Q211" s="73" t="str">
        <f t="shared" si="54"/>
        <v/>
      </c>
      <c r="R211" s="80" t="str">
        <f>IF(Q211&lt;&gt;"",COUNTIF(Q$2:Q211,Q211),"")</f>
        <v/>
      </c>
      <c r="S211" s="73" t="str">
        <f t="shared" si="55"/>
        <v/>
      </c>
      <c r="T211" s="74" t="str">
        <f t="shared" si="56"/>
        <v/>
      </c>
      <c r="U211" s="74" t="str">
        <f t="shared" si="57"/>
        <v/>
      </c>
      <c r="V211" s="74" t="str">
        <f t="shared" si="58"/>
        <v/>
      </c>
      <c r="W211" s="74" t="str">
        <f t="shared" si="59"/>
        <v/>
      </c>
      <c r="X211" s="74" t="str">
        <f t="shared" si="60"/>
        <v/>
      </c>
      <c r="Y211" s="74" t="str">
        <f t="shared" si="61"/>
        <v/>
      </c>
      <c r="Z211" s="74" t="str">
        <f t="shared" si="62"/>
        <v/>
      </c>
      <c r="AA211" s="74" t="str">
        <f t="shared" si="63"/>
        <v/>
      </c>
      <c r="AK211" s="73"/>
      <c r="AL211" s="73"/>
      <c r="AM211" s="73"/>
      <c r="AN211" s="73"/>
    </row>
    <row r="212" spans="17:40" x14ac:dyDescent="0.25">
      <c r="Q212" s="73" t="str">
        <f t="shared" si="54"/>
        <v/>
      </c>
      <c r="R212" s="80" t="str">
        <f>IF(Q212&lt;&gt;"",COUNTIF(Q$2:Q212,Q212),"")</f>
        <v/>
      </c>
      <c r="S212" s="73" t="str">
        <f t="shared" si="55"/>
        <v/>
      </c>
      <c r="T212" s="74" t="str">
        <f t="shared" si="56"/>
        <v/>
      </c>
      <c r="U212" s="74" t="str">
        <f t="shared" si="57"/>
        <v/>
      </c>
      <c r="V212" s="74" t="str">
        <f t="shared" si="58"/>
        <v/>
      </c>
      <c r="W212" s="74" t="str">
        <f t="shared" si="59"/>
        <v/>
      </c>
      <c r="X212" s="74" t="str">
        <f t="shared" si="60"/>
        <v/>
      </c>
      <c r="Y212" s="74" t="str">
        <f t="shared" si="61"/>
        <v/>
      </c>
      <c r="Z212" s="74" t="str">
        <f t="shared" si="62"/>
        <v/>
      </c>
      <c r="AA212" s="74" t="str">
        <f t="shared" si="63"/>
        <v/>
      </c>
      <c r="AK212" s="73"/>
      <c r="AL212" s="73"/>
      <c r="AM212" s="73"/>
      <c r="AN212" s="73"/>
    </row>
    <row r="213" spans="17:40" x14ac:dyDescent="0.25">
      <c r="Q213" s="73" t="str">
        <f t="shared" si="54"/>
        <v/>
      </c>
      <c r="R213" s="80" t="str">
        <f>IF(Q213&lt;&gt;"",COUNTIF(Q$2:Q213,Q213),"")</f>
        <v/>
      </c>
      <c r="S213" s="73" t="str">
        <f t="shared" si="55"/>
        <v/>
      </c>
      <c r="T213" s="74" t="str">
        <f t="shared" si="56"/>
        <v/>
      </c>
      <c r="U213" s="74" t="str">
        <f t="shared" si="57"/>
        <v/>
      </c>
      <c r="V213" s="74" t="str">
        <f t="shared" si="58"/>
        <v/>
      </c>
      <c r="W213" s="74" t="str">
        <f t="shared" si="59"/>
        <v/>
      </c>
      <c r="X213" s="74" t="str">
        <f t="shared" si="60"/>
        <v/>
      </c>
      <c r="Y213" s="74" t="str">
        <f t="shared" si="61"/>
        <v/>
      </c>
      <c r="Z213" s="74" t="str">
        <f t="shared" si="62"/>
        <v/>
      </c>
      <c r="AA213" s="74" t="str">
        <f t="shared" si="63"/>
        <v/>
      </c>
      <c r="AK213" s="73"/>
      <c r="AL213" s="73"/>
      <c r="AM213" s="73"/>
      <c r="AN213" s="73"/>
    </row>
    <row r="214" spans="17:40" x14ac:dyDescent="0.25">
      <c r="Q214" s="73" t="str">
        <f t="shared" si="54"/>
        <v/>
      </c>
      <c r="R214" s="80" t="str">
        <f>IF(Q214&lt;&gt;"",COUNTIF(Q$2:Q214,Q214),"")</f>
        <v/>
      </c>
      <c r="S214" s="73" t="str">
        <f t="shared" si="55"/>
        <v/>
      </c>
      <c r="T214" s="74" t="str">
        <f t="shared" si="56"/>
        <v/>
      </c>
      <c r="U214" s="74" t="str">
        <f t="shared" si="57"/>
        <v/>
      </c>
      <c r="V214" s="74" t="str">
        <f t="shared" si="58"/>
        <v/>
      </c>
      <c r="W214" s="74" t="str">
        <f t="shared" si="59"/>
        <v/>
      </c>
      <c r="X214" s="74" t="str">
        <f t="shared" si="60"/>
        <v/>
      </c>
      <c r="Y214" s="74" t="str">
        <f t="shared" si="61"/>
        <v/>
      </c>
      <c r="Z214" s="74" t="str">
        <f t="shared" si="62"/>
        <v/>
      </c>
      <c r="AA214" s="74" t="str">
        <f t="shared" si="63"/>
        <v/>
      </c>
      <c r="AK214" s="73"/>
      <c r="AL214" s="73"/>
      <c r="AM214" s="73"/>
      <c r="AN214" s="73"/>
    </row>
    <row r="215" spans="17:40" x14ac:dyDescent="0.25">
      <c r="Q215" s="73" t="str">
        <f t="shared" si="54"/>
        <v/>
      </c>
      <c r="R215" s="80" t="str">
        <f>IF(Q215&lt;&gt;"",COUNTIF(Q$2:Q215,Q215),"")</f>
        <v/>
      </c>
      <c r="S215" s="73" t="str">
        <f t="shared" si="55"/>
        <v/>
      </c>
      <c r="T215" s="74" t="str">
        <f t="shared" si="56"/>
        <v/>
      </c>
      <c r="U215" s="74" t="str">
        <f t="shared" si="57"/>
        <v/>
      </c>
      <c r="V215" s="74" t="str">
        <f t="shared" si="58"/>
        <v/>
      </c>
      <c r="W215" s="74" t="str">
        <f t="shared" si="59"/>
        <v/>
      </c>
      <c r="X215" s="74" t="str">
        <f t="shared" si="60"/>
        <v/>
      </c>
      <c r="Y215" s="74" t="str">
        <f t="shared" si="61"/>
        <v/>
      </c>
      <c r="Z215" s="74" t="str">
        <f t="shared" si="62"/>
        <v/>
      </c>
      <c r="AA215" s="74" t="str">
        <f t="shared" si="63"/>
        <v/>
      </c>
      <c r="AK215" s="73"/>
      <c r="AL215" s="73"/>
      <c r="AM215" s="73"/>
      <c r="AN215" s="73"/>
    </row>
    <row r="216" spans="17:40" x14ac:dyDescent="0.25">
      <c r="Q216" s="73" t="str">
        <f t="shared" si="54"/>
        <v/>
      </c>
      <c r="R216" s="80" t="str">
        <f>IF(Q216&lt;&gt;"",COUNTIF(Q$2:Q216,Q216),"")</f>
        <v/>
      </c>
      <c r="S216" s="73" t="str">
        <f t="shared" si="55"/>
        <v/>
      </c>
      <c r="T216" s="74" t="str">
        <f t="shared" si="56"/>
        <v/>
      </c>
      <c r="U216" s="74" t="str">
        <f t="shared" si="57"/>
        <v/>
      </c>
      <c r="V216" s="74" t="str">
        <f t="shared" si="58"/>
        <v/>
      </c>
      <c r="W216" s="74" t="str">
        <f t="shared" si="59"/>
        <v/>
      </c>
      <c r="X216" s="74" t="str">
        <f t="shared" si="60"/>
        <v/>
      </c>
      <c r="Y216" s="74" t="str">
        <f t="shared" si="61"/>
        <v/>
      </c>
      <c r="Z216" s="74" t="str">
        <f t="shared" si="62"/>
        <v/>
      </c>
      <c r="AA216" s="74" t="str">
        <f t="shared" si="63"/>
        <v/>
      </c>
      <c r="AK216" s="73"/>
      <c r="AL216" s="73"/>
      <c r="AM216" s="73"/>
      <c r="AN216" s="73"/>
    </row>
    <row r="217" spans="17:40" x14ac:dyDescent="0.25">
      <c r="Q217" s="73" t="str">
        <f t="shared" si="54"/>
        <v/>
      </c>
      <c r="R217" s="80" t="str">
        <f>IF(Q217&lt;&gt;"",COUNTIF(Q$2:Q217,Q217),"")</f>
        <v/>
      </c>
      <c r="S217" s="73" t="str">
        <f t="shared" si="55"/>
        <v/>
      </c>
      <c r="T217" s="74" t="str">
        <f t="shared" si="56"/>
        <v/>
      </c>
      <c r="U217" s="74" t="str">
        <f t="shared" si="57"/>
        <v/>
      </c>
      <c r="V217" s="74" t="str">
        <f t="shared" si="58"/>
        <v/>
      </c>
      <c r="W217" s="74" t="str">
        <f t="shared" si="59"/>
        <v/>
      </c>
      <c r="X217" s="74" t="str">
        <f t="shared" si="60"/>
        <v/>
      </c>
      <c r="Y217" s="74" t="str">
        <f t="shared" si="61"/>
        <v/>
      </c>
      <c r="Z217" s="74" t="str">
        <f t="shared" si="62"/>
        <v/>
      </c>
      <c r="AA217" s="74" t="str">
        <f t="shared" si="63"/>
        <v/>
      </c>
      <c r="AK217" s="73"/>
      <c r="AL217" s="73"/>
      <c r="AM217" s="73"/>
      <c r="AN217" s="73"/>
    </row>
    <row r="218" spans="17:40" x14ac:dyDescent="0.25">
      <c r="Q218" s="73" t="str">
        <f t="shared" si="54"/>
        <v/>
      </c>
      <c r="R218" s="80" t="str">
        <f>IF(Q218&lt;&gt;"",COUNTIF(Q$2:Q218,Q218),"")</f>
        <v/>
      </c>
      <c r="S218" s="73" t="str">
        <f t="shared" si="55"/>
        <v/>
      </c>
      <c r="T218" s="74" t="str">
        <f t="shared" si="56"/>
        <v/>
      </c>
      <c r="U218" s="74" t="str">
        <f t="shared" si="57"/>
        <v/>
      </c>
      <c r="V218" s="74" t="str">
        <f t="shared" si="58"/>
        <v/>
      </c>
      <c r="W218" s="74" t="str">
        <f t="shared" si="59"/>
        <v/>
      </c>
      <c r="X218" s="74" t="str">
        <f t="shared" si="60"/>
        <v/>
      </c>
      <c r="Y218" s="74" t="str">
        <f t="shared" si="61"/>
        <v/>
      </c>
      <c r="Z218" s="74" t="str">
        <f t="shared" si="62"/>
        <v/>
      </c>
      <c r="AA218" s="74" t="str">
        <f t="shared" si="63"/>
        <v/>
      </c>
      <c r="AK218" s="73"/>
      <c r="AL218" s="73"/>
      <c r="AM218" s="73"/>
      <c r="AN218" s="73"/>
    </row>
    <row r="219" spans="17:40" x14ac:dyDescent="0.25">
      <c r="Q219" s="73" t="str">
        <f t="shared" si="54"/>
        <v/>
      </c>
      <c r="R219" s="80" t="str">
        <f>IF(Q219&lt;&gt;"",COUNTIF(Q$2:Q219,Q219),"")</f>
        <v/>
      </c>
      <c r="S219" s="73" t="str">
        <f t="shared" si="55"/>
        <v/>
      </c>
      <c r="T219" s="74" t="str">
        <f t="shared" si="56"/>
        <v/>
      </c>
      <c r="U219" s="74" t="str">
        <f t="shared" si="57"/>
        <v/>
      </c>
      <c r="V219" s="74" t="str">
        <f t="shared" si="58"/>
        <v/>
      </c>
      <c r="W219" s="74" t="str">
        <f t="shared" si="59"/>
        <v/>
      </c>
      <c r="X219" s="74" t="str">
        <f t="shared" si="60"/>
        <v/>
      </c>
      <c r="Y219" s="74" t="str">
        <f t="shared" si="61"/>
        <v/>
      </c>
      <c r="Z219" s="74" t="str">
        <f t="shared" si="62"/>
        <v/>
      </c>
      <c r="AA219" s="74" t="str">
        <f t="shared" si="63"/>
        <v/>
      </c>
      <c r="AK219" s="73"/>
      <c r="AL219" s="73"/>
      <c r="AM219" s="73"/>
      <c r="AN219" s="73"/>
    </row>
    <row r="220" spans="17:40" x14ac:dyDescent="0.25">
      <c r="Q220" s="73" t="str">
        <f t="shared" si="54"/>
        <v/>
      </c>
      <c r="R220" s="80" t="str">
        <f>IF(Q220&lt;&gt;"",COUNTIF(Q$2:Q220,Q220),"")</f>
        <v/>
      </c>
      <c r="S220" s="73" t="str">
        <f t="shared" si="55"/>
        <v/>
      </c>
      <c r="T220" s="74" t="str">
        <f t="shared" si="56"/>
        <v/>
      </c>
      <c r="U220" s="74" t="str">
        <f t="shared" si="57"/>
        <v/>
      </c>
      <c r="V220" s="74" t="str">
        <f t="shared" si="58"/>
        <v/>
      </c>
      <c r="W220" s="74" t="str">
        <f t="shared" si="59"/>
        <v/>
      </c>
      <c r="X220" s="74" t="str">
        <f t="shared" si="60"/>
        <v/>
      </c>
      <c r="Y220" s="74" t="str">
        <f t="shared" si="61"/>
        <v/>
      </c>
      <c r="Z220" s="74" t="str">
        <f t="shared" si="62"/>
        <v/>
      </c>
      <c r="AA220" s="74" t="str">
        <f t="shared" si="63"/>
        <v/>
      </c>
      <c r="AK220" s="73"/>
      <c r="AL220" s="73"/>
      <c r="AM220" s="73"/>
      <c r="AN220" s="73"/>
    </row>
    <row r="221" spans="17:40" x14ac:dyDescent="0.25">
      <c r="Q221" s="73" t="str">
        <f t="shared" si="54"/>
        <v/>
      </c>
      <c r="R221" s="80" t="str">
        <f>IF(Q221&lt;&gt;"",COUNTIF(Q$2:Q221,Q221),"")</f>
        <v/>
      </c>
      <c r="S221" s="73" t="str">
        <f t="shared" si="55"/>
        <v/>
      </c>
      <c r="T221" s="74" t="str">
        <f t="shared" si="56"/>
        <v/>
      </c>
      <c r="U221" s="74" t="str">
        <f t="shared" si="57"/>
        <v/>
      </c>
      <c r="V221" s="74" t="str">
        <f t="shared" si="58"/>
        <v/>
      </c>
      <c r="W221" s="74" t="str">
        <f t="shared" si="59"/>
        <v/>
      </c>
      <c r="X221" s="74" t="str">
        <f t="shared" si="60"/>
        <v/>
      </c>
      <c r="Y221" s="74" t="str">
        <f t="shared" si="61"/>
        <v/>
      </c>
      <c r="Z221" s="74" t="str">
        <f t="shared" si="62"/>
        <v/>
      </c>
      <c r="AA221" s="74" t="str">
        <f t="shared" si="63"/>
        <v/>
      </c>
      <c r="AK221" s="73"/>
      <c r="AL221" s="73"/>
      <c r="AM221" s="73"/>
      <c r="AN221" s="73"/>
    </row>
    <row r="222" spans="17:40" x14ac:dyDescent="0.25">
      <c r="Q222" s="73" t="str">
        <f t="shared" si="54"/>
        <v/>
      </c>
      <c r="R222" s="80" t="str">
        <f>IF(Q222&lt;&gt;"",COUNTIF(Q$2:Q222,Q222),"")</f>
        <v/>
      </c>
      <c r="S222" s="73" t="str">
        <f t="shared" si="55"/>
        <v/>
      </c>
      <c r="T222" s="74" t="str">
        <f t="shared" si="56"/>
        <v/>
      </c>
      <c r="U222" s="74" t="str">
        <f t="shared" si="57"/>
        <v/>
      </c>
      <c r="V222" s="74" t="str">
        <f t="shared" si="58"/>
        <v/>
      </c>
      <c r="W222" s="74" t="str">
        <f t="shared" si="59"/>
        <v/>
      </c>
      <c r="X222" s="74" t="str">
        <f t="shared" si="60"/>
        <v/>
      </c>
      <c r="Y222" s="74" t="str">
        <f t="shared" si="61"/>
        <v/>
      </c>
      <c r="Z222" s="74" t="str">
        <f t="shared" si="62"/>
        <v/>
      </c>
      <c r="AA222" s="74" t="str">
        <f t="shared" si="63"/>
        <v/>
      </c>
      <c r="AK222" s="73"/>
      <c r="AL222" s="73"/>
      <c r="AM222" s="73"/>
      <c r="AN222" s="73"/>
    </row>
    <row r="223" spans="17:40" x14ac:dyDescent="0.25">
      <c r="Q223" s="73" t="str">
        <f t="shared" si="54"/>
        <v/>
      </c>
      <c r="R223" s="80" t="str">
        <f>IF(Q223&lt;&gt;"",COUNTIF(Q$2:Q223,Q223),"")</f>
        <v/>
      </c>
      <c r="S223" s="73" t="str">
        <f t="shared" si="55"/>
        <v/>
      </c>
      <c r="T223" s="74" t="str">
        <f t="shared" si="56"/>
        <v/>
      </c>
      <c r="U223" s="74" t="str">
        <f t="shared" si="57"/>
        <v/>
      </c>
      <c r="V223" s="74" t="str">
        <f t="shared" si="58"/>
        <v/>
      </c>
      <c r="W223" s="74" t="str">
        <f t="shared" si="59"/>
        <v/>
      </c>
      <c r="X223" s="74" t="str">
        <f t="shared" si="60"/>
        <v/>
      </c>
      <c r="Y223" s="74" t="str">
        <f t="shared" si="61"/>
        <v/>
      </c>
      <c r="Z223" s="74" t="str">
        <f t="shared" si="62"/>
        <v/>
      </c>
      <c r="AA223" s="74" t="str">
        <f t="shared" si="63"/>
        <v/>
      </c>
      <c r="AK223" s="73"/>
      <c r="AL223" s="73"/>
      <c r="AM223" s="73"/>
      <c r="AN223" s="73"/>
    </row>
    <row r="224" spans="17:40" x14ac:dyDescent="0.25">
      <c r="Q224" s="73" t="str">
        <f t="shared" si="54"/>
        <v/>
      </c>
      <c r="R224" s="80" t="str">
        <f>IF(Q224&lt;&gt;"",COUNTIF(Q$2:Q224,Q224),"")</f>
        <v/>
      </c>
      <c r="S224" s="73" t="str">
        <f t="shared" si="55"/>
        <v/>
      </c>
      <c r="T224" s="74" t="str">
        <f t="shared" si="56"/>
        <v/>
      </c>
      <c r="U224" s="74" t="str">
        <f t="shared" si="57"/>
        <v/>
      </c>
      <c r="V224" s="74" t="str">
        <f t="shared" si="58"/>
        <v/>
      </c>
      <c r="W224" s="74" t="str">
        <f t="shared" si="59"/>
        <v/>
      </c>
      <c r="X224" s="74" t="str">
        <f t="shared" si="60"/>
        <v/>
      </c>
      <c r="Y224" s="74" t="str">
        <f t="shared" si="61"/>
        <v/>
      </c>
      <c r="Z224" s="74" t="str">
        <f t="shared" si="62"/>
        <v/>
      </c>
      <c r="AA224" s="74" t="str">
        <f t="shared" si="63"/>
        <v/>
      </c>
      <c r="AK224" s="73"/>
      <c r="AL224" s="73"/>
      <c r="AM224" s="73"/>
      <c r="AN224" s="73"/>
    </row>
    <row r="225" spans="17:40" x14ac:dyDescent="0.25">
      <c r="Q225" s="73" t="str">
        <f t="shared" si="54"/>
        <v/>
      </c>
      <c r="R225" s="80" t="str">
        <f>IF(Q225&lt;&gt;"",COUNTIF(Q$2:Q225,Q225),"")</f>
        <v/>
      </c>
      <c r="S225" s="73" t="str">
        <f t="shared" si="55"/>
        <v/>
      </c>
      <c r="T225" s="74" t="str">
        <f t="shared" si="56"/>
        <v/>
      </c>
      <c r="U225" s="74" t="str">
        <f t="shared" si="57"/>
        <v/>
      </c>
      <c r="V225" s="74" t="str">
        <f t="shared" si="58"/>
        <v/>
      </c>
      <c r="W225" s="74" t="str">
        <f t="shared" si="59"/>
        <v/>
      </c>
      <c r="X225" s="74" t="str">
        <f t="shared" si="60"/>
        <v/>
      </c>
      <c r="Y225" s="74" t="str">
        <f t="shared" si="61"/>
        <v/>
      </c>
      <c r="Z225" s="74" t="str">
        <f t="shared" si="62"/>
        <v/>
      </c>
      <c r="AA225" s="74" t="str">
        <f t="shared" si="63"/>
        <v/>
      </c>
      <c r="AK225" s="73"/>
      <c r="AL225" s="73"/>
      <c r="AM225" s="73"/>
      <c r="AN225" s="73"/>
    </row>
    <row r="226" spans="17:40" x14ac:dyDescent="0.25">
      <c r="Q226" s="73" t="str">
        <f t="shared" si="54"/>
        <v/>
      </c>
      <c r="R226" s="80" t="str">
        <f>IF(Q226&lt;&gt;"",COUNTIF(Q$2:Q226,Q226),"")</f>
        <v/>
      </c>
      <c r="S226" s="73" t="str">
        <f t="shared" si="55"/>
        <v/>
      </c>
      <c r="T226" s="74" t="str">
        <f t="shared" si="56"/>
        <v/>
      </c>
      <c r="U226" s="74" t="str">
        <f t="shared" si="57"/>
        <v/>
      </c>
      <c r="V226" s="74" t="str">
        <f t="shared" si="58"/>
        <v/>
      </c>
      <c r="W226" s="74" t="str">
        <f t="shared" si="59"/>
        <v/>
      </c>
      <c r="X226" s="74" t="str">
        <f t="shared" si="60"/>
        <v/>
      </c>
      <c r="Y226" s="74" t="str">
        <f t="shared" si="61"/>
        <v/>
      </c>
      <c r="Z226" s="74" t="str">
        <f t="shared" si="62"/>
        <v/>
      </c>
      <c r="AA226" s="74" t="str">
        <f t="shared" si="63"/>
        <v/>
      </c>
      <c r="AK226" s="73"/>
      <c r="AL226" s="73"/>
      <c r="AM226" s="73"/>
      <c r="AN226" s="73"/>
    </row>
    <row r="227" spans="17:40" x14ac:dyDescent="0.25">
      <c r="Q227" s="73" t="str">
        <f t="shared" si="54"/>
        <v/>
      </c>
      <c r="R227" s="80" t="str">
        <f>IF(Q227&lt;&gt;"",COUNTIF(Q$2:Q227,Q227),"")</f>
        <v/>
      </c>
      <c r="S227" s="73" t="str">
        <f t="shared" si="55"/>
        <v/>
      </c>
      <c r="T227" s="74" t="str">
        <f t="shared" si="56"/>
        <v/>
      </c>
      <c r="U227" s="74" t="str">
        <f t="shared" si="57"/>
        <v/>
      </c>
      <c r="V227" s="74" t="str">
        <f t="shared" si="58"/>
        <v/>
      </c>
      <c r="W227" s="74" t="str">
        <f t="shared" si="59"/>
        <v/>
      </c>
      <c r="X227" s="74" t="str">
        <f t="shared" si="60"/>
        <v/>
      </c>
      <c r="Y227" s="74" t="str">
        <f t="shared" si="61"/>
        <v/>
      </c>
      <c r="Z227" s="74" t="str">
        <f t="shared" si="62"/>
        <v/>
      </c>
      <c r="AA227" s="74" t="str">
        <f t="shared" si="63"/>
        <v/>
      </c>
      <c r="AK227" s="73"/>
      <c r="AL227" s="73"/>
      <c r="AM227" s="73"/>
      <c r="AN227" s="73"/>
    </row>
    <row r="228" spans="17:40" x14ac:dyDescent="0.25">
      <c r="Q228" s="73" t="str">
        <f t="shared" si="54"/>
        <v/>
      </c>
      <c r="R228" s="80" t="str">
        <f>IF(Q228&lt;&gt;"",COUNTIF(Q$2:Q228,Q228),"")</f>
        <v/>
      </c>
      <c r="S228" s="73" t="str">
        <f t="shared" si="55"/>
        <v/>
      </c>
      <c r="T228" s="74" t="str">
        <f t="shared" si="56"/>
        <v/>
      </c>
      <c r="U228" s="74" t="str">
        <f t="shared" si="57"/>
        <v/>
      </c>
      <c r="V228" s="74" t="str">
        <f t="shared" si="58"/>
        <v/>
      </c>
      <c r="W228" s="74" t="str">
        <f t="shared" si="59"/>
        <v/>
      </c>
      <c r="X228" s="74" t="str">
        <f t="shared" si="60"/>
        <v/>
      </c>
      <c r="Y228" s="74" t="str">
        <f t="shared" si="61"/>
        <v/>
      </c>
      <c r="Z228" s="74" t="str">
        <f t="shared" si="62"/>
        <v/>
      </c>
      <c r="AA228" s="74" t="str">
        <f t="shared" si="63"/>
        <v/>
      </c>
      <c r="AK228" s="73"/>
      <c r="AL228" s="73"/>
      <c r="AM228" s="73"/>
      <c r="AN228" s="73"/>
    </row>
    <row r="229" spans="17:40" x14ac:dyDescent="0.25">
      <c r="Q229" s="73" t="str">
        <f t="shared" si="54"/>
        <v/>
      </c>
      <c r="R229" s="80" t="str">
        <f>IF(Q229&lt;&gt;"",COUNTIF(Q$2:Q229,Q229),"")</f>
        <v/>
      </c>
      <c r="S229" s="73" t="str">
        <f t="shared" si="55"/>
        <v/>
      </c>
      <c r="T229" s="74" t="str">
        <f t="shared" si="56"/>
        <v/>
      </c>
      <c r="U229" s="74" t="str">
        <f t="shared" si="57"/>
        <v/>
      </c>
      <c r="V229" s="74" t="str">
        <f t="shared" si="58"/>
        <v/>
      </c>
      <c r="W229" s="74" t="str">
        <f t="shared" si="59"/>
        <v/>
      </c>
      <c r="X229" s="74" t="str">
        <f t="shared" si="60"/>
        <v/>
      </c>
      <c r="Y229" s="74" t="str">
        <f t="shared" si="61"/>
        <v/>
      </c>
      <c r="Z229" s="74" t="str">
        <f t="shared" si="62"/>
        <v/>
      </c>
      <c r="AA229" s="74" t="str">
        <f t="shared" si="63"/>
        <v/>
      </c>
      <c r="AK229" s="73"/>
      <c r="AL229" s="73"/>
      <c r="AM229" s="73"/>
      <c r="AN229" s="73"/>
    </row>
    <row r="230" spans="17:40" x14ac:dyDescent="0.25">
      <c r="Q230" s="73" t="str">
        <f t="shared" si="54"/>
        <v/>
      </c>
      <c r="R230" s="80" t="str">
        <f>IF(Q230&lt;&gt;"",COUNTIF(Q$2:Q230,Q230),"")</f>
        <v/>
      </c>
      <c r="S230" s="73" t="str">
        <f t="shared" si="55"/>
        <v/>
      </c>
      <c r="T230" s="74" t="str">
        <f t="shared" si="56"/>
        <v/>
      </c>
      <c r="U230" s="74" t="str">
        <f t="shared" si="57"/>
        <v/>
      </c>
      <c r="V230" s="74" t="str">
        <f t="shared" si="58"/>
        <v/>
      </c>
      <c r="W230" s="74" t="str">
        <f t="shared" si="59"/>
        <v/>
      </c>
      <c r="X230" s="74" t="str">
        <f t="shared" si="60"/>
        <v/>
      </c>
      <c r="Y230" s="74" t="str">
        <f t="shared" si="61"/>
        <v/>
      </c>
      <c r="Z230" s="74" t="str">
        <f t="shared" si="62"/>
        <v/>
      </c>
      <c r="AA230" s="74" t="str">
        <f t="shared" si="63"/>
        <v/>
      </c>
      <c r="AK230" s="73"/>
      <c r="AL230" s="73"/>
      <c r="AM230" s="73"/>
      <c r="AN230" s="73"/>
    </row>
    <row r="231" spans="17:40" x14ac:dyDescent="0.25">
      <c r="Q231" s="73" t="str">
        <f t="shared" si="54"/>
        <v/>
      </c>
      <c r="R231" s="80" t="str">
        <f>IF(Q231&lt;&gt;"",COUNTIF(Q$2:Q231,Q231),"")</f>
        <v/>
      </c>
      <c r="S231" s="73" t="str">
        <f t="shared" si="55"/>
        <v/>
      </c>
      <c r="T231" s="74" t="str">
        <f t="shared" si="56"/>
        <v/>
      </c>
      <c r="U231" s="74" t="str">
        <f t="shared" si="57"/>
        <v/>
      </c>
      <c r="V231" s="74" t="str">
        <f t="shared" si="58"/>
        <v/>
      </c>
      <c r="W231" s="74" t="str">
        <f t="shared" si="59"/>
        <v/>
      </c>
      <c r="X231" s="74" t="str">
        <f t="shared" si="60"/>
        <v/>
      </c>
      <c r="Y231" s="74" t="str">
        <f t="shared" si="61"/>
        <v/>
      </c>
      <c r="Z231" s="74" t="str">
        <f t="shared" si="62"/>
        <v/>
      </c>
      <c r="AA231" s="74" t="str">
        <f t="shared" si="63"/>
        <v/>
      </c>
      <c r="AK231" s="73"/>
      <c r="AL231" s="73"/>
      <c r="AM231" s="73"/>
      <c r="AN231" s="73"/>
    </row>
    <row r="232" spans="17:40" x14ac:dyDescent="0.25">
      <c r="Q232" s="73" t="str">
        <f t="shared" si="54"/>
        <v/>
      </c>
      <c r="R232" s="80" t="str">
        <f>IF(Q232&lt;&gt;"",COUNTIF(Q$2:Q232,Q232),"")</f>
        <v/>
      </c>
      <c r="S232" s="73" t="str">
        <f t="shared" si="55"/>
        <v/>
      </c>
      <c r="T232" s="74" t="str">
        <f t="shared" si="56"/>
        <v/>
      </c>
      <c r="U232" s="74" t="str">
        <f t="shared" si="57"/>
        <v/>
      </c>
      <c r="V232" s="74" t="str">
        <f t="shared" si="58"/>
        <v/>
      </c>
      <c r="W232" s="74" t="str">
        <f t="shared" si="59"/>
        <v/>
      </c>
      <c r="X232" s="74" t="str">
        <f t="shared" si="60"/>
        <v/>
      </c>
      <c r="Y232" s="74" t="str">
        <f t="shared" si="61"/>
        <v/>
      </c>
      <c r="Z232" s="74" t="str">
        <f t="shared" si="62"/>
        <v/>
      </c>
      <c r="AA232" s="74" t="str">
        <f t="shared" si="63"/>
        <v/>
      </c>
      <c r="AK232" s="73"/>
      <c r="AL232" s="73"/>
      <c r="AM232" s="73"/>
      <c r="AN232" s="73"/>
    </row>
    <row r="233" spans="17:40" x14ac:dyDescent="0.25">
      <c r="Q233" s="73" t="str">
        <f t="shared" si="54"/>
        <v/>
      </c>
      <c r="R233" s="80" t="str">
        <f>IF(Q233&lt;&gt;"",COUNTIF(Q$2:Q233,Q233),"")</f>
        <v/>
      </c>
      <c r="S233" s="73" t="str">
        <f t="shared" si="55"/>
        <v/>
      </c>
      <c r="T233" s="74" t="str">
        <f t="shared" si="56"/>
        <v/>
      </c>
      <c r="U233" s="74" t="str">
        <f t="shared" si="57"/>
        <v/>
      </c>
      <c r="V233" s="74" t="str">
        <f t="shared" si="58"/>
        <v/>
      </c>
      <c r="W233" s="74" t="str">
        <f t="shared" si="59"/>
        <v/>
      </c>
      <c r="X233" s="74" t="str">
        <f t="shared" si="60"/>
        <v/>
      </c>
      <c r="Y233" s="74" t="str">
        <f t="shared" si="61"/>
        <v/>
      </c>
      <c r="Z233" s="74" t="str">
        <f t="shared" si="62"/>
        <v/>
      </c>
      <c r="AA233" s="74" t="str">
        <f t="shared" si="63"/>
        <v/>
      </c>
      <c r="AK233" s="73"/>
      <c r="AL233" s="73"/>
      <c r="AM233" s="73"/>
      <c r="AN233" s="73"/>
    </row>
    <row r="234" spans="17:40" x14ac:dyDescent="0.25">
      <c r="Q234" s="73" t="str">
        <f t="shared" si="54"/>
        <v/>
      </c>
      <c r="R234" s="80" t="str">
        <f>IF(Q234&lt;&gt;"",COUNTIF(Q$2:Q234,Q234),"")</f>
        <v/>
      </c>
      <c r="S234" s="73" t="str">
        <f t="shared" si="55"/>
        <v/>
      </c>
      <c r="T234" s="74" t="str">
        <f t="shared" si="56"/>
        <v/>
      </c>
      <c r="U234" s="74" t="str">
        <f t="shared" si="57"/>
        <v/>
      </c>
      <c r="V234" s="74" t="str">
        <f t="shared" si="58"/>
        <v/>
      </c>
      <c r="W234" s="74" t="str">
        <f t="shared" si="59"/>
        <v/>
      </c>
      <c r="X234" s="74" t="str">
        <f t="shared" si="60"/>
        <v/>
      </c>
      <c r="Y234" s="74" t="str">
        <f t="shared" si="61"/>
        <v/>
      </c>
      <c r="Z234" s="74" t="str">
        <f t="shared" si="62"/>
        <v/>
      </c>
      <c r="AA234" s="74" t="str">
        <f t="shared" si="63"/>
        <v/>
      </c>
      <c r="AK234" s="73"/>
      <c r="AL234" s="73"/>
      <c r="AM234" s="73"/>
      <c r="AN234" s="73"/>
    </row>
    <row r="235" spans="17:40" x14ac:dyDescent="0.25">
      <c r="Q235" s="73" t="str">
        <f t="shared" si="54"/>
        <v/>
      </c>
      <c r="R235" s="80" t="str">
        <f>IF(Q235&lt;&gt;"",COUNTIF(Q$2:Q235,Q235),"")</f>
        <v/>
      </c>
      <c r="S235" s="73" t="str">
        <f t="shared" si="55"/>
        <v/>
      </c>
      <c r="T235" s="74" t="str">
        <f t="shared" si="56"/>
        <v/>
      </c>
      <c r="U235" s="74" t="str">
        <f t="shared" si="57"/>
        <v/>
      </c>
      <c r="V235" s="74" t="str">
        <f t="shared" si="58"/>
        <v/>
      </c>
      <c r="W235" s="74" t="str">
        <f t="shared" si="59"/>
        <v/>
      </c>
      <c r="X235" s="74" t="str">
        <f t="shared" si="60"/>
        <v/>
      </c>
      <c r="Y235" s="74" t="str">
        <f t="shared" si="61"/>
        <v/>
      </c>
      <c r="Z235" s="74" t="str">
        <f t="shared" si="62"/>
        <v/>
      </c>
      <c r="AA235" s="74" t="str">
        <f t="shared" si="63"/>
        <v/>
      </c>
      <c r="AK235" s="73"/>
      <c r="AL235" s="73"/>
      <c r="AM235" s="73"/>
      <c r="AN235" s="73"/>
    </row>
    <row r="236" spans="17:40" x14ac:dyDescent="0.25">
      <c r="Q236" s="73" t="str">
        <f t="shared" si="54"/>
        <v/>
      </c>
      <c r="R236" s="80" t="str">
        <f>IF(Q236&lt;&gt;"",COUNTIF(Q$2:Q236,Q236),"")</f>
        <v/>
      </c>
      <c r="S236" s="73" t="str">
        <f t="shared" si="55"/>
        <v/>
      </c>
      <c r="T236" s="74" t="str">
        <f t="shared" si="56"/>
        <v/>
      </c>
      <c r="U236" s="74" t="str">
        <f t="shared" si="57"/>
        <v/>
      </c>
      <c r="V236" s="74" t="str">
        <f t="shared" si="58"/>
        <v/>
      </c>
      <c r="W236" s="74" t="str">
        <f t="shared" si="59"/>
        <v/>
      </c>
      <c r="X236" s="74" t="str">
        <f t="shared" si="60"/>
        <v/>
      </c>
      <c r="Y236" s="74" t="str">
        <f t="shared" si="61"/>
        <v/>
      </c>
      <c r="Z236" s="74" t="str">
        <f t="shared" si="62"/>
        <v/>
      </c>
      <c r="AA236" s="74" t="str">
        <f t="shared" si="63"/>
        <v/>
      </c>
      <c r="AK236" s="73"/>
      <c r="AL236" s="73"/>
      <c r="AM236" s="73"/>
      <c r="AN236" s="73"/>
    </row>
    <row r="237" spans="17:40" x14ac:dyDescent="0.25">
      <c r="Q237" s="73" t="str">
        <f t="shared" si="54"/>
        <v/>
      </c>
      <c r="R237" s="80" t="str">
        <f>IF(Q237&lt;&gt;"",COUNTIF(Q$2:Q237,Q237),"")</f>
        <v/>
      </c>
      <c r="S237" s="73" t="str">
        <f t="shared" si="55"/>
        <v/>
      </c>
      <c r="T237" s="74" t="str">
        <f t="shared" si="56"/>
        <v/>
      </c>
      <c r="U237" s="74" t="str">
        <f t="shared" si="57"/>
        <v/>
      </c>
      <c r="V237" s="74" t="str">
        <f t="shared" si="58"/>
        <v/>
      </c>
      <c r="W237" s="74" t="str">
        <f t="shared" si="59"/>
        <v/>
      </c>
      <c r="X237" s="74" t="str">
        <f t="shared" si="60"/>
        <v/>
      </c>
      <c r="Y237" s="74" t="str">
        <f t="shared" si="61"/>
        <v/>
      </c>
      <c r="Z237" s="74" t="str">
        <f t="shared" si="62"/>
        <v/>
      </c>
      <c r="AA237" s="74" t="str">
        <f t="shared" si="63"/>
        <v/>
      </c>
      <c r="AK237" s="73"/>
      <c r="AL237" s="73"/>
      <c r="AM237" s="73"/>
      <c r="AN237" s="73"/>
    </row>
    <row r="238" spans="17:40" x14ac:dyDescent="0.25">
      <c r="Q238" s="73" t="str">
        <f t="shared" si="54"/>
        <v/>
      </c>
      <c r="R238" s="80" t="str">
        <f>IF(Q238&lt;&gt;"",COUNTIF(Q$2:Q238,Q238),"")</f>
        <v/>
      </c>
      <c r="S238" s="73" t="str">
        <f t="shared" si="55"/>
        <v/>
      </c>
      <c r="T238" s="74" t="str">
        <f t="shared" si="56"/>
        <v/>
      </c>
      <c r="U238" s="74" t="str">
        <f t="shared" si="57"/>
        <v/>
      </c>
      <c r="V238" s="74" t="str">
        <f t="shared" si="58"/>
        <v/>
      </c>
      <c r="W238" s="74" t="str">
        <f t="shared" si="59"/>
        <v/>
      </c>
      <c r="X238" s="74" t="str">
        <f t="shared" si="60"/>
        <v/>
      </c>
      <c r="Y238" s="74" t="str">
        <f t="shared" si="61"/>
        <v/>
      </c>
      <c r="Z238" s="74" t="str">
        <f t="shared" si="62"/>
        <v/>
      </c>
      <c r="AA238" s="74" t="str">
        <f t="shared" si="63"/>
        <v/>
      </c>
      <c r="AK238" s="73"/>
      <c r="AL238" s="73"/>
      <c r="AM238" s="73"/>
      <c r="AN238" s="73"/>
    </row>
    <row r="239" spans="17:40" x14ac:dyDescent="0.25">
      <c r="Q239" s="73" t="str">
        <f t="shared" si="54"/>
        <v/>
      </c>
      <c r="R239" s="80" t="str">
        <f>IF(Q239&lt;&gt;"",COUNTIF(Q$2:Q239,Q239),"")</f>
        <v/>
      </c>
      <c r="S239" s="73" t="str">
        <f t="shared" si="55"/>
        <v/>
      </c>
      <c r="T239" s="74" t="str">
        <f t="shared" si="56"/>
        <v/>
      </c>
      <c r="U239" s="74" t="str">
        <f t="shared" si="57"/>
        <v/>
      </c>
      <c r="V239" s="74" t="str">
        <f t="shared" si="58"/>
        <v/>
      </c>
      <c r="W239" s="74" t="str">
        <f t="shared" si="59"/>
        <v/>
      </c>
      <c r="X239" s="74" t="str">
        <f t="shared" si="60"/>
        <v/>
      </c>
      <c r="Y239" s="74" t="str">
        <f t="shared" si="61"/>
        <v/>
      </c>
      <c r="Z239" s="74" t="str">
        <f t="shared" si="62"/>
        <v/>
      </c>
      <c r="AA239" s="74" t="str">
        <f t="shared" si="63"/>
        <v/>
      </c>
      <c r="AK239" s="73"/>
      <c r="AL239" s="73"/>
      <c r="AM239" s="73"/>
      <c r="AN239" s="73"/>
    </row>
    <row r="240" spans="17:40" x14ac:dyDescent="0.25">
      <c r="Q240" s="73" t="str">
        <f t="shared" si="54"/>
        <v/>
      </c>
      <c r="R240" s="80" t="str">
        <f>IF(Q240&lt;&gt;"",COUNTIF(Q$2:Q240,Q240),"")</f>
        <v/>
      </c>
      <c r="S240" s="73" t="str">
        <f t="shared" si="55"/>
        <v/>
      </c>
      <c r="T240" s="74" t="str">
        <f t="shared" si="56"/>
        <v/>
      </c>
      <c r="U240" s="74" t="str">
        <f t="shared" si="57"/>
        <v/>
      </c>
      <c r="V240" s="74" t="str">
        <f t="shared" si="58"/>
        <v/>
      </c>
      <c r="W240" s="74" t="str">
        <f t="shared" si="59"/>
        <v/>
      </c>
      <c r="X240" s="74" t="str">
        <f t="shared" si="60"/>
        <v/>
      </c>
      <c r="Y240" s="74" t="str">
        <f t="shared" si="61"/>
        <v/>
      </c>
      <c r="Z240" s="74" t="str">
        <f t="shared" si="62"/>
        <v/>
      </c>
      <c r="AA240" s="74" t="str">
        <f t="shared" si="63"/>
        <v/>
      </c>
      <c r="AK240" s="73"/>
      <c r="AL240" s="73"/>
      <c r="AM240" s="73"/>
      <c r="AN240" s="73"/>
    </row>
    <row r="241" spans="17:40" x14ac:dyDescent="0.25">
      <c r="Q241" s="73" t="str">
        <f t="shared" si="54"/>
        <v/>
      </c>
      <c r="R241" s="80" t="str">
        <f>IF(Q241&lt;&gt;"",COUNTIF(Q$2:Q241,Q241),"")</f>
        <v/>
      </c>
      <c r="S241" s="73" t="str">
        <f t="shared" si="55"/>
        <v/>
      </c>
      <c r="T241" s="74" t="str">
        <f t="shared" si="56"/>
        <v/>
      </c>
      <c r="U241" s="74" t="str">
        <f t="shared" si="57"/>
        <v/>
      </c>
      <c r="V241" s="74" t="str">
        <f t="shared" si="58"/>
        <v/>
      </c>
      <c r="W241" s="74" t="str">
        <f t="shared" si="59"/>
        <v/>
      </c>
      <c r="X241" s="74" t="str">
        <f t="shared" si="60"/>
        <v/>
      </c>
      <c r="Y241" s="74" t="str">
        <f t="shared" si="61"/>
        <v/>
      </c>
      <c r="Z241" s="74" t="str">
        <f t="shared" si="62"/>
        <v/>
      </c>
      <c r="AA241" s="74" t="str">
        <f t="shared" si="63"/>
        <v/>
      </c>
      <c r="AK241" s="73"/>
      <c r="AL241" s="73"/>
      <c r="AM241" s="73"/>
      <c r="AN241" s="73"/>
    </row>
    <row r="242" spans="17:40" x14ac:dyDescent="0.25">
      <c r="Q242" s="73" t="str">
        <f t="shared" si="54"/>
        <v/>
      </c>
      <c r="R242" s="80" t="str">
        <f>IF(Q242&lt;&gt;"",COUNTIF(Q$2:Q242,Q242),"")</f>
        <v/>
      </c>
      <c r="S242" s="73" t="str">
        <f t="shared" si="55"/>
        <v/>
      </c>
      <c r="T242" s="74" t="str">
        <f t="shared" si="56"/>
        <v/>
      </c>
      <c r="U242" s="74" t="str">
        <f t="shared" si="57"/>
        <v/>
      </c>
      <c r="V242" s="74" t="str">
        <f t="shared" si="58"/>
        <v/>
      </c>
      <c r="W242" s="74" t="str">
        <f t="shared" si="59"/>
        <v/>
      </c>
      <c r="X242" s="74" t="str">
        <f t="shared" si="60"/>
        <v/>
      </c>
      <c r="Y242" s="74" t="str">
        <f t="shared" si="61"/>
        <v/>
      </c>
      <c r="Z242" s="74" t="str">
        <f t="shared" si="62"/>
        <v/>
      </c>
      <c r="AA242" s="74" t="str">
        <f t="shared" si="63"/>
        <v/>
      </c>
      <c r="AK242" s="73"/>
      <c r="AL242" s="73"/>
      <c r="AM242" s="73"/>
      <c r="AN242" s="73"/>
    </row>
    <row r="243" spans="17:40" x14ac:dyDescent="0.25">
      <c r="Q243" s="73" t="str">
        <f t="shared" si="54"/>
        <v/>
      </c>
      <c r="R243" s="80" t="str">
        <f>IF(Q243&lt;&gt;"",COUNTIF(Q$2:Q243,Q243),"")</f>
        <v/>
      </c>
      <c r="S243" s="73" t="str">
        <f t="shared" si="55"/>
        <v/>
      </c>
      <c r="T243" s="74" t="str">
        <f t="shared" si="56"/>
        <v/>
      </c>
      <c r="U243" s="74" t="str">
        <f t="shared" si="57"/>
        <v/>
      </c>
      <c r="V243" s="74" t="str">
        <f t="shared" si="58"/>
        <v/>
      </c>
      <c r="W243" s="74" t="str">
        <f t="shared" si="59"/>
        <v/>
      </c>
      <c r="X243" s="74" t="str">
        <f t="shared" si="60"/>
        <v/>
      </c>
      <c r="Y243" s="74" t="str">
        <f t="shared" si="61"/>
        <v/>
      </c>
      <c r="Z243" s="74" t="str">
        <f t="shared" si="62"/>
        <v/>
      </c>
      <c r="AA243" s="74" t="str">
        <f t="shared" si="63"/>
        <v/>
      </c>
      <c r="AK243" s="73"/>
      <c r="AL243" s="73"/>
      <c r="AM243" s="73"/>
      <c r="AN243" s="73"/>
    </row>
    <row r="244" spans="17:40" x14ac:dyDescent="0.25">
      <c r="Q244" s="73" t="str">
        <f t="shared" si="54"/>
        <v/>
      </c>
      <c r="R244" s="80" t="str">
        <f>IF(Q244&lt;&gt;"",COUNTIF(Q$2:Q244,Q244),"")</f>
        <v/>
      </c>
      <c r="S244" s="73" t="str">
        <f t="shared" si="55"/>
        <v/>
      </c>
      <c r="T244" s="74" t="str">
        <f t="shared" si="56"/>
        <v/>
      </c>
      <c r="U244" s="74" t="str">
        <f t="shared" si="57"/>
        <v/>
      </c>
      <c r="V244" s="74" t="str">
        <f t="shared" si="58"/>
        <v/>
      </c>
      <c r="W244" s="74" t="str">
        <f t="shared" si="59"/>
        <v/>
      </c>
      <c r="X244" s="74" t="str">
        <f t="shared" si="60"/>
        <v/>
      </c>
      <c r="Y244" s="74" t="str">
        <f t="shared" si="61"/>
        <v/>
      </c>
      <c r="Z244" s="74" t="str">
        <f t="shared" si="62"/>
        <v/>
      </c>
      <c r="AA244" s="74" t="str">
        <f t="shared" si="63"/>
        <v/>
      </c>
      <c r="AK244" s="73"/>
      <c r="AL244" s="73"/>
      <c r="AM244" s="73"/>
      <c r="AN244" s="73"/>
    </row>
    <row r="245" spans="17:40" x14ac:dyDescent="0.25">
      <c r="Q245" s="73" t="str">
        <f t="shared" si="54"/>
        <v/>
      </c>
      <c r="R245" s="80" t="str">
        <f>IF(Q245&lt;&gt;"",COUNTIF(Q$2:Q245,Q245),"")</f>
        <v/>
      </c>
      <c r="S245" s="73" t="str">
        <f t="shared" si="55"/>
        <v/>
      </c>
      <c r="T245" s="74" t="str">
        <f t="shared" si="56"/>
        <v/>
      </c>
      <c r="U245" s="74" t="str">
        <f t="shared" si="57"/>
        <v/>
      </c>
      <c r="V245" s="74" t="str">
        <f t="shared" si="58"/>
        <v/>
      </c>
      <c r="W245" s="74" t="str">
        <f t="shared" si="59"/>
        <v/>
      </c>
      <c r="X245" s="74" t="str">
        <f t="shared" si="60"/>
        <v/>
      </c>
      <c r="Y245" s="74" t="str">
        <f t="shared" si="61"/>
        <v/>
      </c>
      <c r="Z245" s="74" t="str">
        <f t="shared" si="62"/>
        <v/>
      </c>
      <c r="AA245" s="74" t="str">
        <f t="shared" si="63"/>
        <v/>
      </c>
      <c r="AK245" s="73"/>
      <c r="AL245" s="73"/>
      <c r="AM245" s="73"/>
      <c r="AN245" s="73"/>
    </row>
    <row r="246" spans="17:40" x14ac:dyDescent="0.25">
      <c r="Q246" s="73" t="str">
        <f t="shared" si="54"/>
        <v/>
      </c>
      <c r="R246" s="80" t="str">
        <f>IF(Q246&lt;&gt;"",COUNTIF(Q$2:Q246,Q246),"")</f>
        <v/>
      </c>
      <c r="S246" s="73" t="str">
        <f t="shared" si="55"/>
        <v/>
      </c>
      <c r="T246" s="74" t="str">
        <f t="shared" si="56"/>
        <v/>
      </c>
      <c r="U246" s="74" t="str">
        <f t="shared" si="57"/>
        <v/>
      </c>
      <c r="V246" s="74" t="str">
        <f t="shared" si="58"/>
        <v/>
      </c>
      <c r="W246" s="74" t="str">
        <f t="shared" si="59"/>
        <v/>
      </c>
      <c r="X246" s="74" t="str">
        <f t="shared" si="60"/>
        <v/>
      </c>
      <c r="Y246" s="74" t="str">
        <f t="shared" si="61"/>
        <v/>
      </c>
      <c r="Z246" s="74" t="str">
        <f t="shared" si="62"/>
        <v/>
      </c>
      <c r="AA246" s="74" t="str">
        <f t="shared" si="63"/>
        <v/>
      </c>
      <c r="AK246" s="73"/>
      <c r="AL246" s="73"/>
      <c r="AM246" s="73"/>
      <c r="AN246" s="73"/>
    </row>
    <row r="247" spans="17:40" x14ac:dyDescent="0.25">
      <c r="Q247" s="73" t="str">
        <f t="shared" si="54"/>
        <v/>
      </c>
      <c r="R247" s="80" t="str">
        <f>IF(Q247&lt;&gt;"",COUNTIF(Q$2:Q247,Q247),"")</f>
        <v/>
      </c>
      <c r="S247" s="73" t="str">
        <f t="shared" si="55"/>
        <v/>
      </c>
      <c r="T247" s="74" t="str">
        <f t="shared" si="56"/>
        <v/>
      </c>
      <c r="U247" s="74" t="str">
        <f t="shared" si="57"/>
        <v/>
      </c>
      <c r="V247" s="74" t="str">
        <f t="shared" si="58"/>
        <v/>
      </c>
      <c r="W247" s="74" t="str">
        <f t="shared" si="59"/>
        <v/>
      </c>
      <c r="X247" s="74" t="str">
        <f t="shared" si="60"/>
        <v/>
      </c>
      <c r="Y247" s="74" t="str">
        <f t="shared" si="61"/>
        <v/>
      </c>
      <c r="Z247" s="74" t="str">
        <f t="shared" si="62"/>
        <v/>
      </c>
      <c r="AA247" s="74" t="str">
        <f t="shared" si="63"/>
        <v/>
      </c>
      <c r="AK247" s="73"/>
      <c r="AL247" s="73"/>
      <c r="AM247" s="73"/>
      <c r="AN247" s="73"/>
    </row>
    <row r="248" spans="17:40" x14ac:dyDescent="0.25">
      <c r="Q248" s="73" t="str">
        <f t="shared" si="54"/>
        <v/>
      </c>
      <c r="R248" s="80" t="str">
        <f>IF(Q248&lt;&gt;"",COUNTIF(Q$2:Q248,Q248),"")</f>
        <v/>
      </c>
      <c r="S248" s="73" t="str">
        <f t="shared" si="55"/>
        <v/>
      </c>
      <c r="T248" s="74" t="str">
        <f t="shared" si="56"/>
        <v/>
      </c>
      <c r="U248" s="74" t="str">
        <f t="shared" si="57"/>
        <v/>
      </c>
      <c r="V248" s="74" t="str">
        <f t="shared" si="58"/>
        <v/>
      </c>
      <c r="W248" s="74" t="str">
        <f t="shared" si="59"/>
        <v/>
      </c>
      <c r="X248" s="74" t="str">
        <f t="shared" si="60"/>
        <v/>
      </c>
      <c r="Y248" s="74" t="str">
        <f t="shared" si="61"/>
        <v/>
      </c>
      <c r="Z248" s="74" t="str">
        <f t="shared" si="62"/>
        <v/>
      </c>
      <c r="AA248" s="74" t="str">
        <f t="shared" si="63"/>
        <v/>
      </c>
      <c r="AK248" s="73"/>
      <c r="AL248" s="73"/>
      <c r="AM248" s="73"/>
      <c r="AN248" s="73"/>
    </row>
    <row r="249" spans="17:40" x14ac:dyDescent="0.25">
      <c r="Q249" s="73" t="str">
        <f t="shared" si="54"/>
        <v/>
      </c>
      <c r="R249" s="80" t="str">
        <f>IF(Q249&lt;&gt;"",COUNTIF(Q$2:Q249,Q249),"")</f>
        <v/>
      </c>
      <c r="S249" s="73" t="str">
        <f t="shared" si="55"/>
        <v/>
      </c>
      <c r="T249" s="74" t="str">
        <f t="shared" si="56"/>
        <v/>
      </c>
      <c r="U249" s="74" t="str">
        <f t="shared" si="57"/>
        <v/>
      </c>
      <c r="V249" s="74" t="str">
        <f t="shared" si="58"/>
        <v/>
      </c>
      <c r="W249" s="74" t="str">
        <f t="shared" si="59"/>
        <v/>
      </c>
      <c r="X249" s="74" t="str">
        <f t="shared" si="60"/>
        <v/>
      </c>
      <c r="Y249" s="74" t="str">
        <f t="shared" si="61"/>
        <v/>
      </c>
      <c r="Z249" s="74" t="str">
        <f t="shared" si="62"/>
        <v/>
      </c>
      <c r="AA249" s="74" t="str">
        <f t="shared" si="63"/>
        <v/>
      </c>
      <c r="AK249" s="73"/>
      <c r="AL249" s="73"/>
      <c r="AM249" s="73"/>
      <c r="AN249" s="73"/>
    </row>
    <row r="250" spans="17:40" x14ac:dyDescent="0.25">
      <c r="Q250" s="73" t="str">
        <f t="shared" si="54"/>
        <v/>
      </c>
      <c r="R250" s="80" t="str">
        <f>IF(Q250&lt;&gt;"",COUNTIF(Q$2:Q250,Q250),"")</f>
        <v/>
      </c>
      <c r="S250" s="73" t="str">
        <f t="shared" si="55"/>
        <v/>
      </c>
      <c r="T250" s="74" t="str">
        <f t="shared" si="56"/>
        <v/>
      </c>
      <c r="U250" s="74" t="str">
        <f t="shared" si="57"/>
        <v/>
      </c>
      <c r="V250" s="74" t="str">
        <f t="shared" si="58"/>
        <v/>
      </c>
      <c r="W250" s="74" t="str">
        <f t="shared" si="59"/>
        <v/>
      </c>
      <c r="X250" s="74" t="str">
        <f t="shared" si="60"/>
        <v/>
      </c>
      <c r="Y250" s="74" t="str">
        <f t="shared" si="61"/>
        <v/>
      </c>
      <c r="Z250" s="74" t="str">
        <f t="shared" si="62"/>
        <v/>
      </c>
      <c r="AA250" s="74" t="str">
        <f t="shared" si="63"/>
        <v/>
      </c>
      <c r="AK250" s="73"/>
      <c r="AL250" s="73"/>
      <c r="AM250" s="73"/>
      <c r="AN250" s="73"/>
    </row>
    <row r="251" spans="17:40" x14ac:dyDescent="0.25">
      <c r="Q251" s="73" t="str">
        <f t="shared" si="54"/>
        <v/>
      </c>
      <c r="R251" s="80" t="str">
        <f>IF(Q251&lt;&gt;"",COUNTIF(Q$2:Q251,Q251),"")</f>
        <v/>
      </c>
      <c r="S251" s="73" t="str">
        <f t="shared" si="55"/>
        <v/>
      </c>
      <c r="T251" s="74" t="str">
        <f t="shared" si="56"/>
        <v/>
      </c>
      <c r="U251" s="74" t="str">
        <f t="shared" si="57"/>
        <v/>
      </c>
      <c r="V251" s="74" t="str">
        <f t="shared" si="58"/>
        <v/>
      </c>
      <c r="W251" s="74" t="str">
        <f t="shared" si="59"/>
        <v/>
      </c>
      <c r="X251" s="74" t="str">
        <f t="shared" si="60"/>
        <v/>
      </c>
      <c r="Y251" s="74" t="str">
        <f t="shared" si="61"/>
        <v/>
      </c>
      <c r="Z251" s="74" t="str">
        <f t="shared" si="62"/>
        <v/>
      </c>
      <c r="AA251" s="74" t="str">
        <f t="shared" si="63"/>
        <v/>
      </c>
      <c r="AK251" s="73"/>
      <c r="AL251" s="73"/>
      <c r="AM251" s="73"/>
      <c r="AN251" s="73"/>
    </row>
    <row r="252" spans="17:40" x14ac:dyDescent="0.25">
      <c r="Q252" s="73" t="str">
        <f t="shared" si="54"/>
        <v/>
      </c>
      <c r="R252" s="80" t="str">
        <f>IF(Q252&lt;&gt;"",COUNTIF(Q$2:Q252,Q252),"")</f>
        <v/>
      </c>
      <c r="S252" s="73" t="str">
        <f t="shared" si="55"/>
        <v/>
      </c>
      <c r="T252" s="74" t="str">
        <f t="shared" si="56"/>
        <v/>
      </c>
      <c r="U252" s="74" t="str">
        <f t="shared" si="57"/>
        <v/>
      </c>
      <c r="V252" s="74" t="str">
        <f t="shared" si="58"/>
        <v/>
      </c>
      <c r="W252" s="74" t="str">
        <f t="shared" si="59"/>
        <v/>
      </c>
      <c r="X252" s="74" t="str">
        <f t="shared" si="60"/>
        <v/>
      </c>
      <c r="Y252" s="74" t="str">
        <f t="shared" si="61"/>
        <v/>
      </c>
      <c r="Z252" s="74" t="str">
        <f t="shared" si="62"/>
        <v/>
      </c>
      <c r="AA252" s="74" t="str">
        <f t="shared" si="63"/>
        <v/>
      </c>
      <c r="AK252" s="73"/>
      <c r="AL252" s="73"/>
      <c r="AM252" s="73"/>
      <c r="AN252" s="73"/>
    </row>
    <row r="253" spans="17:40" x14ac:dyDescent="0.25">
      <c r="Q253" s="73" t="str">
        <f t="shared" si="54"/>
        <v/>
      </c>
      <c r="R253" s="80" t="str">
        <f>IF(Q253&lt;&gt;"",COUNTIF(Q$2:Q253,Q253),"")</f>
        <v/>
      </c>
      <c r="S253" s="73" t="str">
        <f t="shared" si="55"/>
        <v/>
      </c>
      <c r="T253" s="74" t="str">
        <f t="shared" si="56"/>
        <v/>
      </c>
      <c r="U253" s="74" t="str">
        <f t="shared" si="57"/>
        <v/>
      </c>
      <c r="V253" s="74" t="str">
        <f t="shared" si="58"/>
        <v/>
      </c>
      <c r="W253" s="74" t="str">
        <f t="shared" si="59"/>
        <v/>
      </c>
      <c r="X253" s="74" t="str">
        <f t="shared" si="60"/>
        <v/>
      </c>
      <c r="Y253" s="74" t="str">
        <f t="shared" si="61"/>
        <v/>
      </c>
      <c r="Z253" s="74" t="str">
        <f t="shared" si="62"/>
        <v/>
      </c>
      <c r="AA253" s="74" t="str">
        <f t="shared" si="63"/>
        <v/>
      </c>
      <c r="AK253" s="73"/>
      <c r="AL253" s="73"/>
      <c r="AM253" s="73"/>
      <c r="AN253" s="73"/>
    </row>
    <row r="254" spans="17:40" x14ac:dyDescent="0.25">
      <c r="Q254" s="73" t="str">
        <f t="shared" si="54"/>
        <v/>
      </c>
      <c r="R254" s="80" t="str">
        <f>IF(Q254&lt;&gt;"",COUNTIF(Q$2:Q254,Q254),"")</f>
        <v/>
      </c>
      <c r="S254" s="73" t="str">
        <f t="shared" si="55"/>
        <v/>
      </c>
      <c r="T254" s="74" t="str">
        <f t="shared" si="56"/>
        <v/>
      </c>
      <c r="U254" s="74" t="str">
        <f t="shared" si="57"/>
        <v/>
      </c>
      <c r="V254" s="74" t="str">
        <f t="shared" si="58"/>
        <v/>
      </c>
      <c r="W254" s="74" t="str">
        <f t="shared" si="59"/>
        <v/>
      </c>
      <c r="X254" s="74" t="str">
        <f t="shared" si="60"/>
        <v/>
      </c>
      <c r="Y254" s="74" t="str">
        <f t="shared" si="61"/>
        <v/>
      </c>
      <c r="Z254" s="74" t="str">
        <f t="shared" si="62"/>
        <v/>
      </c>
      <c r="AA254" s="74" t="str">
        <f t="shared" si="63"/>
        <v/>
      </c>
      <c r="AK254" s="73"/>
      <c r="AL254" s="73"/>
      <c r="AM254" s="73"/>
      <c r="AN254" s="73"/>
    </row>
    <row r="255" spans="17:40" x14ac:dyDescent="0.25">
      <c r="Q255" s="73" t="str">
        <f t="shared" si="54"/>
        <v/>
      </c>
      <c r="R255" s="80" t="str">
        <f>IF(Q255&lt;&gt;"",COUNTIF(Q$2:Q255,Q255),"")</f>
        <v/>
      </c>
      <c r="S255" s="73" t="str">
        <f t="shared" si="55"/>
        <v/>
      </c>
      <c r="T255" s="74" t="str">
        <f t="shared" si="56"/>
        <v/>
      </c>
      <c r="U255" s="74" t="str">
        <f t="shared" si="57"/>
        <v/>
      </c>
      <c r="V255" s="74" t="str">
        <f t="shared" si="58"/>
        <v/>
      </c>
      <c r="W255" s="74" t="str">
        <f t="shared" si="59"/>
        <v/>
      </c>
      <c r="X255" s="74" t="str">
        <f t="shared" si="60"/>
        <v/>
      </c>
      <c r="Y255" s="74" t="str">
        <f t="shared" si="61"/>
        <v/>
      </c>
      <c r="Z255" s="74" t="str">
        <f t="shared" si="62"/>
        <v/>
      </c>
      <c r="AA255" s="74" t="str">
        <f t="shared" si="63"/>
        <v/>
      </c>
      <c r="AK255" s="73"/>
      <c r="AL255" s="73"/>
      <c r="AM255" s="73"/>
      <c r="AN255" s="73"/>
    </row>
    <row r="256" spans="17:40" x14ac:dyDescent="0.25">
      <c r="Q256" s="73" t="str">
        <f t="shared" si="54"/>
        <v/>
      </c>
      <c r="R256" s="80" t="str">
        <f>IF(Q256&lt;&gt;"",COUNTIF(Q$2:Q256,Q256),"")</f>
        <v/>
      </c>
      <c r="S256" s="73" t="str">
        <f t="shared" si="55"/>
        <v/>
      </c>
      <c r="T256" s="74" t="str">
        <f t="shared" si="56"/>
        <v/>
      </c>
      <c r="U256" s="74" t="str">
        <f t="shared" si="57"/>
        <v/>
      </c>
      <c r="V256" s="74" t="str">
        <f t="shared" si="58"/>
        <v/>
      </c>
      <c r="W256" s="74" t="str">
        <f t="shared" si="59"/>
        <v/>
      </c>
      <c r="X256" s="74" t="str">
        <f t="shared" si="60"/>
        <v/>
      </c>
      <c r="Y256" s="74" t="str">
        <f t="shared" si="61"/>
        <v/>
      </c>
      <c r="Z256" s="74" t="str">
        <f t="shared" si="62"/>
        <v/>
      </c>
      <c r="AA256" s="74" t="str">
        <f t="shared" si="63"/>
        <v/>
      </c>
      <c r="AK256" s="73"/>
      <c r="AL256" s="73"/>
      <c r="AM256" s="73"/>
      <c r="AN256" s="73"/>
    </row>
    <row r="257" spans="17:40" x14ac:dyDescent="0.25">
      <c r="Q257" s="73" t="str">
        <f t="shared" si="54"/>
        <v/>
      </c>
      <c r="R257" s="80" t="str">
        <f>IF(Q257&lt;&gt;"",COUNTIF(Q$2:Q257,Q257),"")</f>
        <v/>
      </c>
      <c r="S257" s="73" t="str">
        <f t="shared" si="55"/>
        <v/>
      </c>
      <c r="T257" s="74" t="str">
        <f t="shared" si="56"/>
        <v/>
      </c>
      <c r="U257" s="74" t="str">
        <f t="shared" si="57"/>
        <v/>
      </c>
      <c r="V257" s="74" t="str">
        <f t="shared" si="58"/>
        <v/>
      </c>
      <c r="W257" s="74" t="str">
        <f t="shared" si="59"/>
        <v/>
      </c>
      <c r="X257" s="74" t="str">
        <f t="shared" si="60"/>
        <v/>
      </c>
      <c r="Y257" s="74" t="str">
        <f t="shared" si="61"/>
        <v/>
      </c>
      <c r="Z257" s="74" t="str">
        <f t="shared" si="62"/>
        <v/>
      </c>
      <c r="AA257" s="74" t="str">
        <f t="shared" si="63"/>
        <v/>
      </c>
      <c r="AK257" s="73"/>
      <c r="AL257" s="73"/>
      <c r="AM257" s="73"/>
      <c r="AN257" s="73"/>
    </row>
    <row r="258" spans="17:40" x14ac:dyDescent="0.25">
      <c r="Q258" s="73" t="str">
        <f t="shared" si="54"/>
        <v/>
      </c>
      <c r="R258" s="80" t="str">
        <f>IF(Q258&lt;&gt;"",COUNTIF(Q$2:Q258,Q258),"")</f>
        <v/>
      </c>
      <c r="S258" s="73" t="str">
        <f t="shared" si="55"/>
        <v/>
      </c>
      <c r="T258" s="74" t="str">
        <f t="shared" si="56"/>
        <v/>
      </c>
      <c r="U258" s="74" t="str">
        <f t="shared" si="57"/>
        <v/>
      </c>
      <c r="V258" s="74" t="str">
        <f t="shared" si="58"/>
        <v/>
      </c>
      <c r="W258" s="74" t="str">
        <f t="shared" si="59"/>
        <v/>
      </c>
      <c r="X258" s="74" t="str">
        <f t="shared" si="60"/>
        <v/>
      </c>
      <c r="Y258" s="74" t="str">
        <f t="shared" si="61"/>
        <v/>
      </c>
      <c r="Z258" s="74" t="str">
        <f t="shared" si="62"/>
        <v/>
      </c>
      <c r="AA258" s="74" t="str">
        <f t="shared" si="63"/>
        <v/>
      </c>
      <c r="AK258" s="73"/>
      <c r="AL258" s="73"/>
      <c r="AM258" s="73"/>
      <c r="AN258" s="73"/>
    </row>
    <row r="259" spans="17:40" x14ac:dyDescent="0.25">
      <c r="Q259" s="73" t="str">
        <f t="shared" si="54"/>
        <v/>
      </c>
      <c r="R259" s="80" t="str">
        <f>IF(Q259&lt;&gt;"",COUNTIF(Q$2:Q259,Q259),"")</f>
        <v/>
      </c>
      <c r="S259" s="73" t="str">
        <f t="shared" si="55"/>
        <v/>
      </c>
      <c r="T259" s="74" t="str">
        <f t="shared" si="56"/>
        <v/>
      </c>
      <c r="U259" s="74" t="str">
        <f t="shared" si="57"/>
        <v/>
      </c>
      <c r="V259" s="74" t="str">
        <f t="shared" si="58"/>
        <v/>
      </c>
      <c r="W259" s="74" t="str">
        <f t="shared" si="59"/>
        <v/>
      </c>
      <c r="X259" s="74" t="str">
        <f t="shared" si="60"/>
        <v/>
      </c>
      <c r="Y259" s="74" t="str">
        <f t="shared" si="61"/>
        <v/>
      </c>
      <c r="Z259" s="74" t="str">
        <f t="shared" si="62"/>
        <v/>
      </c>
      <c r="AA259" s="74" t="str">
        <f t="shared" si="63"/>
        <v/>
      </c>
      <c r="AK259" s="73"/>
      <c r="AL259" s="73"/>
      <c r="AM259" s="73"/>
      <c r="AN259" s="73"/>
    </row>
    <row r="260" spans="17:40" x14ac:dyDescent="0.25">
      <c r="Q260" s="73" t="str">
        <f t="shared" ref="Q260:Q323" si="64">IF(C260&lt;&gt;"",IF(L260&lt;&gt;"",L260,""),"")</f>
        <v/>
      </c>
      <c r="R260" s="80" t="str">
        <f>IF(Q260&lt;&gt;"",COUNTIF(Q$2:Q260,Q260),"")</f>
        <v/>
      </c>
      <c r="S260" s="73" t="str">
        <f t="shared" ref="S260:S323" si="65">IF(Q260&lt;&gt;"",D260,"")</f>
        <v/>
      </c>
      <c r="T260" s="74" t="str">
        <f t="shared" ref="T260:T323" si="66">IF(Q260&lt;&gt;"",E260,"")</f>
        <v/>
      </c>
      <c r="U260" s="74" t="str">
        <f t="shared" ref="U260:U323" si="67">IF(Q260&lt;&gt;"",IFERROR(SUBSTITUTE(LEFT(N260,FIND(";",N260)),";",""),""),"")</f>
        <v/>
      </c>
      <c r="V260" s="74" t="str">
        <f t="shared" ref="V260:V323" si="68">IF(Q260&lt;&gt;"",IFERROR(SUBSTITUTE(RIGHT(N260,FIND(";",N260)),";",""),""),"")</f>
        <v/>
      </c>
      <c r="W260" s="74" t="str">
        <f t="shared" ref="W260:W323" si="69">IF(R260&lt;&gt;"",IFERROR(SUBSTITUTE(LEFT(O260,FIND(";",O260)),";",""),""),"")</f>
        <v/>
      </c>
      <c r="X260" s="74" t="str">
        <f t="shared" ref="X260:X323" si="70">IF(U260&lt;&gt;"",_xlfn.NUMBERVALUE(U260),"")</f>
        <v/>
      </c>
      <c r="Y260" s="74" t="str">
        <f t="shared" ref="Y260:Y323" si="71">IF(V260&lt;&gt;"",_xlfn.NUMBERVALUE(V260),"")</f>
        <v/>
      </c>
      <c r="Z260" s="74" t="str">
        <f t="shared" ref="Z260:Z323" si="72">IF(W260&lt;&gt;"",_xlfn.NUMBERVALUE(W260),"")</f>
        <v/>
      </c>
      <c r="AA260" s="74" t="str">
        <f t="shared" ref="AA260:AA323" si="73">IF(O260&lt;&gt;"",IFERROR(IF(FIND("OK",O260)&gt;0,TRUE),FALSE),"")</f>
        <v/>
      </c>
      <c r="AK260" s="73"/>
      <c r="AL260" s="73"/>
      <c r="AM260" s="73"/>
      <c r="AN260" s="73"/>
    </row>
    <row r="261" spans="17:40" x14ac:dyDescent="0.25">
      <c r="Q261" s="73" t="str">
        <f t="shared" si="64"/>
        <v/>
      </c>
      <c r="R261" s="80" t="str">
        <f>IF(Q261&lt;&gt;"",COUNTIF(Q$2:Q261,Q261),"")</f>
        <v/>
      </c>
      <c r="S261" s="73" t="str">
        <f t="shared" si="65"/>
        <v/>
      </c>
      <c r="T261" s="74" t="str">
        <f t="shared" si="66"/>
        <v/>
      </c>
      <c r="U261" s="74" t="str">
        <f t="shared" si="67"/>
        <v/>
      </c>
      <c r="V261" s="74" t="str">
        <f t="shared" si="68"/>
        <v/>
      </c>
      <c r="W261" s="74" t="str">
        <f t="shared" si="69"/>
        <v/>
      </c>
      <c r="X261" s="74" t="str">
        <f t="shared" si="70"/>
        <v/>
      </c>
      <c r="Y261" s="74" t="str">
        <f t="shared" si="71"/>
        <v/>
      </c>
      <c r="Z261" s="74" t="str">
        <f t="shared" si="72"/>
        <v/>
      </c>
      <c r="AA261" s="74" t="str">
        <f t="shared" si="73"/>
        <v/>
      </c>
      <c r="AK261" s="73"/>
      <c r="AL261" s="73"/>
      <c r="AM261" s="73"/>
      <c r="AN261" s="73"/>
    </row>
    <row r="262" spans="17:40" x14ac:dyDescent="0.25">
      <c r="Q262" s="73" t="str">
        <f t="shared" si="64"/>
        <v/>
      </c>
      <c r="R262" s="80" t="str">
        <f>IF(Q262&lt;&gt;"",COUNTIF(Q$2:Q262,Q262),"")</f>
        <v/>
      </c>
      <c r="S262" s="73" t="str">
        <f t="shared" si="65"/>
        <v/>
      </c>
      <c r="T262" s="74" t="str">
        <f t="shared" si="66"/>
        <v/>
      </c>
      <c r="U262" s="74" t="str">
        <f t="shared" si="67"/>
        <v/>
      </c>
      <c r="V262" s="74" t="str">
        <f t="shared" si="68"/>
        <v/>
      </c>
      <c r="W262" s="74" t="str">
        <f t="shared" si="69"/>
        <v/>
      </c>
      <c r="X262" s="74" t="str">
        <f t="shared" si="70"/>
        <v/>
      </c>
      <c r="Y262" s="74" t="str">
        <f t="shared" si="71"/>
        <v/>
      </c>
      <c r="Z262" s="74" t="str">
        <f t="shared" si="72"/>
        <v/>
      </c>
      <c r="AA262" s="74" t="str">
        <f t="shared" si="73"/>
        <v/>
      </c>
      <c r="AK262" s="73"/>
      <c r="AL262" s="73"/>
      <c r="AM262" s="73"/>
      <c r="AN262" s="73"/>
    </row>
    <row r="263" spans="17:40" x14ac:dyDescent="0.25">
      <c r="Q263" s="73" t="str">
        <f t="shared" si="64"/>
        <v/>
      </c>
      <c r="R263" s="80" t="str">
        <f>IF(Q263&lt;&gt;"",COUNTIF(Q$2:Q263,Q263),"")</f>
        <v/>
      </c>
      <c r="S263" s="73" t="str">
        <f t="shared" si="65"/>
        <v/>
      </c>
      <c r="T263" s="74" t="str">
        <f t="shared" si="66"/>
        <v/>
      </c>
      <c r="U263" s="74" t="str">
        <f t="shared" si="67"/>
        <v/>
      </c>
      <c r="V263" s="74" t="str">
        <f t="shared" si="68"/>
        <v/>
      </c>
      <c r="W263" s="74" t="str">
        <f t="shared" si="69"/>
        <v/>
      </c>
      <c r="X263" s="74" t="str">
        <f t="shared" si="70"/>
        <v/>
      </c>
      <c r="Y263" s="74" t="str">
        <f t="shared" si="71"/>
        <v/>
      </c>
      <c r="Z263" s="74" t="str">
        <f t="shared" si="72"/>
        <v/>
      </c>
      <c r="AA263" s="74" t="str">
        <f t="shared" si="73"/>
        <v/>
      </c>
      <c r="AK263" s="73"/>
      <c r="AL263" s="73"/>
      <c r="AM263" s="73"/>
      <c r="AN263" s="73"/>
    </row>
    <row r="264" spans="17:40" x14ac:dyDescent="0.25">
      <c r="Q264" s="73" t="str">
        <f t="shared" si="64"/>
        <v/>
      </c>
      <c r="R264" s="80" t="str">
        <f>IF(Q264&lt;&gt;"",COUNTIF(Q$2:Q264,Q264),"")</f>
        <v/>
      </c>
      <c r="S264" s="73" t="str">
        <f t="shared" si="65"/>
        <v/>
      </c>
      <c r="T264" s="74" t="str">
        <f t="shared" si="66"/>
        <v/>
      </c>
      <c r="U264" s="74" t="str">
        <f t="shared" si="67"/>
        <v/>
      </c>
      <c r="V264" s="74" t="str">
        <f t="shared" si="68"/>
        <v/>
      </c>
      <c r="W264" s="74" t="str">
        <f t="shared" si="69"/>
        <v/>
      </c>
      <c r="X264" s="74" t="str">
        <f t="shared" si="70"/>
        <v/>
      </c>
      <c r="Y264" s="74" t="str">
        <f t="shared" si="71"/>
        <v/>
      </c>
      <c r="Z264" s="74" t="str">
        <f t="shared" si="72"/>
        <v/>
      </c>
      <c r="AA264" s="74" t="str">
        <f t="shared" si="73"/>
        <v/>
      </c>
      <c r="AK264" s="73"/>
      <c r="AL264" s="73"/>
      <c r="AM264" s="73"/>
      <c r="AN264" s="73"/>
    </row>
    <row r="265" spans="17:40" x14ac:dyDescent="0.25">
      <c r="Q265" s="73" t="str">
        <f t="shared" si="64"/>
        <v/>
      </c>
      <c r="R265" s="80" t="str">
        <f>IF(Q265&lt;&gt;"",COUNTIF(Q$2:Q265,Q265),"")</f>
        <v/>
      </c>
      <c r="S265" s="73" t="str">
        <f t="shared" si="65"/>
        <v/>
      </c>
      <c r="T265" s="74" t="str">
        <f t="shared" si="66"/>
        <v/>
      </c>
      <c r="U265" s="74" t="str">
        <f t="shared" si="67"/>
        <v/>
      </c>
      <c r="V265" s="74" t="str">
        <f t="shared" si="68"/>
        <v/>
      </c>
      <c r="W265" s="74" t="str">
        <f t="shared" si="69"/>
        <v/>
      </c>
      <c r="X265" s="74" t="str">
        <f t="shared" si="70"/>
        <v/>
      </c>
      <c r="Y265" s="74" t="str">
        <f t="shared" si="71"/>
        <v/>
      </c>
      <c r="Z265" s="74" t="str">
        <f t="shared" si="72"/>
        <v/>
      </c>
      <c r="AA265" s="74" t="str">
        <f t="shared" si="73"/>
        <v/>
      </c>
      <c r="AK265" s="73"/>
      <c r="AL265" s="73"/>
      <c r="AM265" s="73"/>
      <c r="AN265" s="73"/>
    </row>
    <row r="266" spans="17:40" x14ac:dyDescent="0.25">
      <c r="Q266" s="73" t="str">
        <f t="shared" si="64"/>
        <v/>
      </c>
      <c r="R266" s="80" t="str">
        <f>IF(Q266&lt;&gt;"",COUNTIF(Q$2:Q266,Q266),"")</f>
        <v/>
      </c>
      <c r="S266" s="73" t="str">
        <f t="shared" si="65"/>
        <v/>
      </c>
      <c r="T266" s="74" t="str">
        <f t="shared" si="66"/>
        <v/>
      </c>
      <c r="U266" s="74" t="str">
        <f t="shared" si="67"/>
        <v/>
      </c>
      <c r="V266" s="74" t="str">
        <f t="shared" si="68"/>
        <v/>
      </c>
      <c r="W266" s="74" t="str">
        <f t="shared" si="69"/>
        <v/>
      </c>
      <c r="X266" s="74" t="str">
        <f t="shared" si="70"/>
        <v/>
      </c>
      <c r="Y266" s="74" t="str">
        <f t="shared" si="71"/>
        <v/>
      </c>
      <c r="Z266" s="74" t="str">
        <f t="shared" si="72"/>
        <v/>
      </c>
      <c r="AA266" s="74" t="str">
        <f t="shared" si="73"/>
        <v/>
      </c>
      <c r="AK266" s="73"/>
      <c r="AL266" s="73"/>
      <c r="AM266" s="73"/>
      <c r="AN266" s="73"/>
    </row>
    <row r="267" spans="17:40" x14ac:dyDescent="0.25">
      <c r="Q267" s="73" t="str">
        <f t="shared" si="64"/>
        <v/>
      </c>
      <c r="R267" s="80" t="str">
        <f>IF(Q267&lt;&gt;"",COUNTIF(Q$2:Q267,Q267),"")</f>
        <v/>
      </c>
      <c r="S267" s="73" t="str">
        <f t="shared" si="65"/>
        <v/>
      </c>
      <c r="T267" s="74" t="str">
        <f t="shared" si="66"/>
        <v/>
      </c>
      <c r="U267" s="74" t="str">
        <f t="shared" si="67"/>
        <v/>
      </c>
      <c r="V267" s="74" t="str">
        <f t="shared" si="68"/>
        <v/>
      </c>
      <c r="W267" s="74" t="str">
        <f t="shared" si="69"/>
        <v/>
      </c>
      <c r="X267" s="74" t="str">
        <f t="shared" si="70"/>
        <v/>
      </c>
      <c r="Y267" s="74" t="str">
        <f t="shared" si="71"/>
        <v/>
      </c>
      <c r="Z267" s="74" t="str">
        <f t="shared" si="72"/>
        <v/>
      </c>
      <c r="AA267" s="74" t="str">
        <f t="shared" si="73"/>
        <v/>
      </c>
      <c r="AK267" s="73"/>
      <c r="AL267" s="73"/>
      <c r="AM267" s="73"/>
      <c r="AN267" s="73"/>
    </row>
    <row r="268" spans="17:40" x14ac:dyDescent="0.25">
      <c r="Q268" s="73" t="str">
        <f t="shared" si="64"/>
        <v/>
      </c>
      <c r="R268" s="80" t="str">
        <f>IF(Q268&lt;&gt;"",COUNTIF(Q$2:Q268,Q268),"")</f>
        <v/>
      </c>
      <c r="S268" s="73" t="str">
        <f t="shared" si="65"/>
        <v/>
      </c>
      <c r="T268" s="74" t="str">
        <f t="shared" si="66"/>
        <v/>
      </c>
      <c r="U268" s="74" t="str">
        <f t="shared" si="67"/>
        <v/>
      </c>
      <c r="V268" s="74" t="str">
        <f t="shared" si="68"/>
        <v/>
      </c>
      <c r="W268" s="74" t="str">
        <f t="shared" si="69"/>
        <v/>
      </c>
      <c r="X268" s="74" t="str">
        <f t="shared" si="70"/>
        <v/>
      </c>
      <c r="Y268" s="74" t="str">
        <f t="shared" si="71"/>
        <v/>
      </c>
      <c r="Z268" s="74" t="str">
        <f t="shared" si="72"/>
        <v/>
      </c>
      <c r="AA268" s="74" t="str">
        <f t="shared" si="73"/>
        <v/>
      </c>
      <c r="AK268" s="73"/>
      <c r="AL268" s="73"/>
      <c r="AM268" s="73"/>
      <c r="AN268" s="73"/>
    </row>
    <row r="269" spans="17:40" x14ac:dyDescent="0.25">
      <c r="Q269" s="73" t="str">
        <f t="shared" si="64"/>
        <v/>
      </c>
      <c r="R269" s="80" t="str">
        <f>IF(Q269&lt;&gt;"",COUNTIF(Q$2:Q269,Q269),"")</f>
        <v/>
      </c>
      <c r="S269" s="73" t="str">
        <f t="shared" si="65"/>
        <v/>
      </c>
      <c r="T269" s="74" t="str">
        <f t="shared" si="66"/>
        <v/>
      </c>
      <c r="U269" s="74" t="str">
        <f t="shared" si="67"/>
        <v/>
      </c>
      <c r="V269" s="74" t="str">
        <f t="shared" si="68"/>
        <v/>
      </c>
      <c r="W269" s="74" t="str">
        <f t="shared" si="69"/>
        <v/>
      </c>
      <c r="X269" s="74" t="str">
        <f t="shared" si="70"/>
        <v/>
      </c>
      <c r="Y269" s="74" t="str">
        <f t="shared" si="71"/>
        <v/>
      </c>
      <c r="Z269" s="74" t="str">
        <f t="shared" si="72"/>
        <v/>
      </c>
      <c r="AA269" s="74" t="str">
        <f t="shared" si="73"/>
        <v/>
      </c>
      <c r="AK269" s="73"/>
      <c r="AL269" s="73"/>
      <c r="AM269" s="73"/>
      <c r="AN269" s="73"/>
    </row>
    <row r="270" spans="17:40" x14ac:dyDescent="0.25">
      <c r="Q270" s="73" t="str">
        <f t="shared" si="64"/>
        <v/>
      </c>
      <c r="R270" s="80" t="str">
        <f>IF(Q270&lt;&gt;"",COUNTIF(Q$2:Q270,Q270),"")</f>
        <v/>
      </c>
      <c r="S270" s="73" t="str">
        <f t="shared" si="65"/>
        <v/>
      </c>
      <c r="T270" s="74" t="str">
        <f t="shared" si="66"/>
        <v/>
      </c>
      <c r="U270" s="74" t="str">
        <f t="shared" si="67"/>
        <v/>
      </c>
      <c r="V270" s="74" t="str">
        <f t="shared" si="68"/>
        <v/>
      </c>
      <c r="W270" s="74" t="str">
        <f t="shared" si="69"/>
        <v/>
      </c>
      <c r="X270" s="74" t="str">
        <f t="shared" si="70"/>
        <v/>
      </c>
      <c r="Y270" s="74" t="str">
        <f t="shared" si="71"/>
        <v/>
      </c>
      <c r="Z270" s="74" t="str">
        <f t="shared" si="72"/>
        <v/>
      </c>
      <c r="AA270" s="74" t="str">
        <f t="shared" si="73"/>
        <v/>
      </c>
      <c r="AK270" s="73"/>
      <c r="AL270" s="73"/>
      <c r="AM270" s="73"/>
      <c r="AN270" s="73"/>
    </row>
    <row r="271" spans="17:40" x14ac:dyDescent="0.25">
      <c r="Q271" s="73" t="str">
        <f t="shared" si="64"/>
        <v/>
      </c>
      <c r="R271" s="80" t="str">
        <f>IF(Q271&lt;&gt;"",COUNTIF(Q$2:Q271,Q271),"")</f>
        <v/>
      </c>
      <c r="S271" s="73" t="str">
        <f t="shared" si="65"/>
        <v/>
      </c>
      <c r="T271" s="74" t="str">
        <f t="shared" si="66"/>
        <v/>
      </c>
      <c r="U271" s="74" t="str">
        <f t="shared" si="67"/>
        <v/>
      </c>
      <c r="V271" s="74" t="str">
        <f t="shared" si="68"/>
        <v/>
      </c>
      <c r="W271" s="74" t="str">
        <f t="shared" si="69"/>
        <v/>
      </c>
      <c r="X271" s="74" t="str">
        <f t="shared" si="70"/>
        <v/>
      </c>
      <c r="Y271" s="74" t="str">
        <f t="shared" si="71"/>
        <v/>
      </c>
      <c r="Z271" s="74" t="str">
        <f t="shared" si="72"/>
        <v/>
      </c>
      <c r="AA271" s="74" t="str">
        <f t="shared" si="73"/>
        <v/>
      </c>
      <c r="AK271" s="73"/>
      <c r="AL271" s="73"/>
      <c r="AM271" s="73"/>
      <c r="AN271" s="73"/>
    </row>
    <row r="272" spans="17:40" x14ac:dyDescent="0.25">
      <c r="Q272" s="73" t="str">
        <f t="shared" si="64"/>
        <v/>
      </c>
      <c r="R272" s="80" t="str">
        <f>IF(Q272&lt;&gt;"",COUNTIF(Q$2:Q272,Q272),"")</f>
        <v/>
      </c>
      <c r="S272" s="73" t="str">
        <f t="shared" si="65"/>
        <v/>
      </c>
      <c r="T272" s="74" t="str">
        <f t="shared" si="66"/>
        <v/>
      </c>
      <c r="U272" s="74" t="str">
        <f t="shared" si="67"/>
        <v/>
      </c>
      <c r="V272" s="74" t="str">
        <f t="shared" si="68"/>
        <v/>
      </c>
      <c r="W272" s="74" t="str">
        <f t="shared" si="69"/>
        <v/>
      </c>
      <c r="X272" s="74" t="str">
        <f t="shared" si="70"/>
        <v/>
      </c>
      <c r="Y272" s="74" t="str">
        <f t="shared" si="71"/>
        <v/>
      </c>
      <c r="Z272" s="74" t="str">
        <f t="shared" si="72"/>
        <v/>
      </c>
      <c r="AA272" s="74" t="str">
        <f t="shared" si="73"/>
        <v/>
      </c>
      <c r="AK272" s="73"/>
      <c r="AL272" s="73"/>
      <c r="AM272" s="73"/>
      <c r="AN272" s="73"/>
    </row>
    <row r="273" spans="17:40" x14ac:dyDescent="0.25">
      <c r="Q273" s="73" t="str">
        <f t="shared" si="64"/>
        <v/>
      </c>
      <c r="R273" s="80" t="str">
        <f>IF(Q273&lt;&gt;"",COUNTIF(Q$2:Q273,Q273),"")</f>
        <v/>
      </c>
      <c r="S273" s="73" t="str">
        <f t="shared" si="65"/>
        <v/>
      </c>
      <c r="T273" s="74" t="str">
        <f t="shared" si="66"/>
        <v/>
      </c>
      <c r="U273" s="74" t="str">
        <f t="shared" si="67"/>
        <v/>
      </c>
      <c r="V273" s="74" t="str">
        <f t="shared" si="68"/>
        <v/>
      </c>
      <c r="W273" s="74" t="str">
        <f t="shared" si="69"/>
        <v/>
      </c>
      <c r="X273" s="74" t="str">
        <f t="shared" si="70"/>
        <v/>
      </c>
      <c r="Y273" s="74" t="str">
        <f t="shared" si="71"/>
        <v/>
      </c>
      <c r="Z273" s="74" t="str">
        <f t="shared" si="72"/>
        <v/>
      </c>
      <c r="AA273" s="74" t="str">
        <f t="shared" si="73"/>
        <v/>
      </c>
      <c r="AK273" s="73"/>
      <c r="AL273" s="73"/>
      <c r="AM273" s="73"/>
      <c r="AN273" s="73"/>
    </row>
    <row r="274" spans="17:40" x14ac:dyDescent="0.25">
      <c r="Q274" s="73" t="str">
        <f t="shared" si="64"/>
        <v/>
      </c>
      <c r="R274" s="80" t="str">
        <f>IF(Q274&lt;&gt;"",COUNTIF(Q$2:Q274,Q274),"")</f>
        <v/>
      </c>
      <c r="S274" s="73" t="str">
        <f t="shared" si="65"/>
        <v/>
      </c>
      <c r="T274" s="74" t="str">
        <f t="shared" si="66"/>
        <v/>
      </c>
      <c r="U274" s="74" t="str">
        <f t="shared" si="67"/>
        <v/>
      </c>
      <c r="V274" s="74" t="str">
        <f t="shared" si="68"/>
        <v/>
      </c>
      <c r="W274" s="74" t="str">
        <f t="shared" si="69"/>
        <v/>
      </c>
      <c r="X274" s="74" t="str">
        <f t="shared" si="70"/>
        <v/>
      </c>
      <c r="Y274" s="74" t="str">
        <f t="shared" si="71"/>
        <v/>
      </c>
      <c r="Z274" s="74" t="str">
        <f t="shared" si="72"/>
        <v/>
      </c>
      <c r="AA274" s="74" t="str">
        <f t="shared" si="73"/>
        <v/>
      </c>
      <c r="AK274" s="73"/>
      <c r="AL274" s="73"/>
      <c r="AM274" s="73"/>
      <c r="AN274" s="73"/>
    </row>
    <row r="275" spans="17:40" x14ac:dyDescent="0.25">
      <c r="Q275" s="73" t="str">
        <f t="shared" si="64"/>
        <v/>
      </c>
      <c r="R275" s="80" t="str">
        <f>IF(Q275&lt;&gt;"",COUNTIF(Q$2:Q275,Q275),"")</f>
        <v/>
      </c>
      <c r="S275" s="73" t="str">
        <f t="shared" si="65"/>
        <v/>
      </c>
      <c r="T275" s="74" t="str">
        <f t="shared" si="66"/>
        <v/>
      </c>
      <c r="U275" s="74" t="str">
        <f t="shared" si="67"/>
        <v/>
      </c>
      <c r="V275" s="74" t="str">
        <f t="shared" si="68"/>
        <v/>
      </c>
      <c r="W275" s="74" t="str">
        <f t="shared" si="69"/>
        <v/>
      </c>
      <c r="X275" s="74" t="str">
        <f t="shared" si="70"/>
        <v/>
      </c>
      <c r="Y275" s="74" t="str">
        <f t="shared" si="71"/>
        <v/>
      </c>
      <c r="Z275" s="74" t="str">
        <f t="shared" si="72"/>
        <v/>
      </c>
      <c r="AA275" s="74" t="str">
        <f t="shared" si="73"/>
        <v/>
      </c>
      <c r="AK275" s="73"/>
      <c r="AL275" s="73"/>
      <c r="AM275" s="73"/>
      <c r="AN275" s="73"/>
    </row>
    <row r="276" spans="17:40" x14ac:dyDescent="0.25">
      <c r="Q276" s="73" t="str">
        <f t="shared" si="64"/>
        <v/>
      </c>
      <c r="R276" s="80" t="str">
        <f>IF(Q276&lt;&gt;"",COUNTIF(Q$2:Q276,Q276),"")</f>
        <v/>
      </c>
      <c r="S276" s="73" t="str">
        <f t="shared" si="65"/>
        <v/>
      </c>
      <c r="T276" s="74" t="str">
        <f t="shared" si="66"/>
        <v/>
      </c>
      <c r="U276" s="74" t="str">
        <f t="shared" si="67"/>
        <v/>
      </c>
      <c r="V276" s="74" t="str">
        <f t="shared" si="68"/>
        <v/>
      </c>
      <c r="W276" s="74" t="str">
        <f t="shared" si="69"/>
        <v/>
      </c>
      <c r="X276" s="74" t="str">
        <f t="shared" si="70"/>
        <v/>
      </c>
      <c r="Y276" s="74" t="str">
        <f t="shared" si="71"/>
        <v/>
      </c>
      <c r="Z276" s="74" t="str">
        <f t="shared" si="72"/>
        <v/>
      </c>
      <c r="AA276" s="74" t="str">
        <f t="shared" si="73"/>
        <v/>
      </c>
      <c r="AK276" s="73"/>
      <c r="AL276" s="73"/>
      <c r="AM276" s="73"/>
      <c r="AN276" s="73"/>
    </row>
    <row r="277" spans="17:40" x14ac:dyDescent="0.25">
      <c r="Q277" s="73" t="str">
        <f t="shared" si="64"/>
        <v/>
      </c>
      <c r="R277" s="80" t="str">
        <f>IF(Q277&lt;&gt;"",COUNTIF(Q$2:Q277,Q277),"")</f>
        <v/>
      </c>
      <c r="S277" s="73" t="str">
        <f t="shared" si="65"/>
        <v/>
      </c>
      <c r="T277" s="74" t="str">
        <f t="shared" si="66"/>
        <v/>
      </c>
      <c r="U277" s="74" t="str">
        <f t="shared" si="67"/>
        <v/>
      </c>
      <c r="V277" s="74" t="str">
        <f t="shared" si="68"/>
        <v/>
      </c>
      <c r="W277" s="74" t="str">
        <f t="shared" si="69"/>
        <v/>
      </c>
      <c r="X277" s="74" t="str">
        <f t="shared" si="70"/>
        <v/>
      </c>
      <c r="Y277" s="74" t="str">
        <f t="shared" si="71"/>
        <v/>
      </c>
      <c r="Z277" s="74" t="str">
        <f t="shared" si="72"/>
        <v/>
      </c>
      <c r="AA277" s="74" t="str">
        <f t="shared" si="73"/>
        <v/>
      </c>
      <c r="AK277" s="73"/>
      <c r="AL277" s="73"/>
      <c r="AM277" s="73"/>
      <c r="AN277" s="73"/>
    </row>
    <row r="278" spans="17:40" x14ac:dyDescent="0.25">
      <c r="Q278" s="73" t="str">
        <f t="shared" si="64"/>
        <v/>
      </c>
      <c r="R278" s="80" t="str">
        <f>IF(Q278&lt;&gt;"",COUNTIF(Q$2:Q278,Q278),"")</f>
        <v/>
      </c>
      <c r="S278" s="73" t="str">
        <f t="shared" si="65"/>
        <v/>
      </c>
      <c r="T278" s="74" t="str">
        <f t="shared" si="66"/>
        <v/>
      </c>
      <c r="U278" s="74" t="str">
        <f t="shared" si="67"/>
        <v/>
      </c>
      <c r="V278" s="74" t="str">
        <f t="shared" si="68"/>
        <v/>
      </c>
      <c r="W278" s="74" t="str">
        <f t="shared" si="69"/>
        <v/>
      </c>
      <c r="X278" s="74" t="str">
        <f t="shared" si="70"/>
        <v/>
      </c>
      <c r="Y278" s="74" t="str">
        <f t="shared" si="71"/>
        <v/>
      </c>
      <c r="Z278" s="74" t="str">
        <f t="shared" si="72"/>
        <v/>
      </c>
      <c r="AA278" s="74" t="str">
        <f t="shared" si="73"/>
        <v/>
      </c>
      <c r="AK278" s="73"/>
      <c r="AL278" s="73"/>
      <c r="AM278" s="73"/>
      <c r="AN278" s="73"/>
    </row>
    <row r="279" spans="17:40" x14ac:dyDescent="0.25">
      <c r="Q279" s="73" t="str">
        <f t="shared" si="64"/>
        <v/>
      </c>
      <c r="R279" s="80" t="str">
        <f>IF(Q279&lt;&gt;"",COUNTIF(Q$2:Q279,Q279),"")</f>
        <v/>
      </c>
      <c r="S279" s="73" t="str">
        <f t="shared" si="65"/>
        <v/>
      </c>
      <c r="T279" s="74" t="str">
        <f t="shared" si="66"/>
        <v/>
      </c>
      <c r="U279" s="74" t="str">
        <f t="shared" si="67"/>
        <v/>
      </c>
      <c r="V279" s="74" t="str">
        <f t="shared" si="68"/>
        <v/>
      </c>
      <c r="W279" s="74" t="str">
        <f t="shared" si="69"/>
        <v/>
      </c>
      <c r="X279" s="74" t="str">
        <f t="shared" si="70"/>
        <v/>
      </c>
      <c r="Y279" s="74" t="str">
        <f t="shared" si="71"/>
        <v/>
      </c>
      <c r="Z279" s="74" t="str">
        <f t="shared" si="72"/>
        <v/>
      </c>
      <c r="AA279" s="74" t="str">
        <f t="shared" si="73"/>
        <v/>
      </c>
      <c r="AK279" s="73"/>
      <c r="AL279" s="73"/>
      <c r="AM279" s="73"/>
      <c r="AN279" s="73"/>
    </row>
    <row r="280" spans="17:40" x14ac:dyDescent="0.25">
      <c r="Q280" s="73" t="str">
        <f t="shared" si="64"/>
        <v/>
      </c>
      <c r="R280" s="80" t="str">
        <f>IF(Q280&lt;&gt;"",COUNTIF(Q$2:Q280,Q280),"")</f>
        <v/>
      </c>
      <c r="S280" s="73" t="str">
        <f t="shared" si="65"/>
        <v/>
      </c>
      <c r="T280" s="74" t="str">
        <f t="shared" si="66"/>
        <v/>
      </c>
      <c r="U280" s="74" t="str">
        <f t="shared" si="67"/>
        <v/>
      </c>
      <c r="V280" s="74" t="str">
        <f t="shared" si="68"/>
        <v/>
      </c>
      <c r="W280" s="74" t="str">
        <f t="shared" si="69"/>
        <v/>
      </c>
      <c r="X280" s="74" t="str">
        <f t="shared" si="70"/>
        <v/>
      </c>
      <c r="Y280" s="74" t="str">
        <f t="shared" si="71"/>
        <v/>
      </c>
      <c r="Z280" s="74" t="str">
        <f t="shared" si="72"/>
        <v/>
      </c>
      <c r="AA280" s="74" t="str">
        <f t="shared" si="73"/>
        <v/>
      </c>
      <c r="AK280" s="73"/>
      <c r="AL280" s="73"/>
      <c r="AM280" s="73"/>
      <c r="AN280" s="73"/>
    </row>
    <row r="281" spans="17:40" x14ac:dyDescent="0.25">
      <c r="Q281" s="73" t="str">
        <f t="shared" si="64"/>
        <v/>
      </c>
      <c r="R281" s="80" t="str">
        <f>IF(Q281&lt;&gt;"",COUNTIF(Q$2:Q281,Q281),"")</f>
        <v/>
      </c>
      <c r="S281" s="73" t="str">
        <f t="shared" si="65"/>
        <v/>
      </c>
      <c r="T281" s="74" t="str">
        <f t="shared" si="66"/>
        <v/>
      </c>
      <c r="U281" s="74" t="str">
        <f t="shared" si="67"/>
        <v/>
      </c>
      <c r="V281" s="74" t="str">
        <f t="shared" si="68"/>
        <v/>
      </c>
      <c r="W281" s="74" t="str">
        <f t="shared" si="69"/>
        <v/>
      </c>
      <c r="X281" s="74" t="str">
        <f t="shared" si="70"/>
        <v/>
      </c>
      <c r="Y281" s="74" t="str">
        <f t="shared" si="71"/>
        <v/>
      </c>
      <c r="Z281" s="74" t="str">
        <f t="shared" si="72"/>
        <v/>
      </c>
      <c r="AA281" s="74" t="str">
        <f t="shared" si="73"/>
        <v/>
      </c>
      <c r="AK281" s="73"/>
      <c r="AL281" s="73"/>
      <c r="AM281" s="73"/>
      <c r="AN281" s="73"/>
    </row>
    <row r="282" spans="17:40" x14ac:dyDescent="0.25">
      <c r="Q282" s="73" t="str">
        <f t="shared" si="64"/>
        <v/>
      </c>
      <c r="R282" s="80" t="str">
        <f>IF(Q282&lt;&gt;"",COUNTIF(Q$2:Q282,Q282),"")</f>
        <v/>
      </c>
      <c r="S282" s="73" t="str">
        <f t="shared" si="65"/>
        <v/>
      </c>
      <c r="T282" s="74" t="str">
        <f t="shared" si="66"/>
        <v/>
      </c>
      <c r="U282" s="74" t="str">
        <f t="shared" si="67"/>
        <v/>
      </c>
      <c r="V282" s="74" t="str">
        <f t="shared" si="68"/>
        <v/>
      </c>
      <c r="W282" s="74" t="str">
        <f t="shared" si="69"/>
        <v/>
      </c>
      <c r="X282" s="74" t="str">
        <f t="shared" si="70"/>
        <v/>
      </c>
      <c r="Y282" s="74" t="str">
        <f t="shared" si="71"/>
        <v/>
      </c>
      <c r="Z282" s="74" t="str">
        <f t="shared" si="72"/>
        <v/>
      </c>
      <c r="AA282" s="74" t="str">
        <f t="shared" si="73"/>
        <v/>
      </c>
      <c r="AK282" s="73"/>
      <c r="AL282" s="73"/>
      <c r="AM282" s="73"/>
      <c r="AN282" s="73"/>
    </row>
    <row r="283" spans="17:40" x14ac:dyDescent="0.25">
      <c r="Q283" s="73" t="str">
        <f t="shared" si="64"/>
        <v/>
      </c>
      <c r="R283" s="80" t="str">
        <f>IF(Q283&lt;&gt;"",COUNTIF(Q$2:Q283,Q283),"")</f>
        <v/>
      </c>
      <c r="S283" s="73" t="str">
        <f t="shared" si="65"/>
        <v/>
      </c>
      <c r="T283" s="74" t="str">
        <f t="shared" si="66"/>
        <v/>
      </c>
      <c r="U283" s="74" t="str">
        <f t="shared" si="67"/>
        <v/>
      </c>
      <c r="V283" s="74" t="str">
        <f t="shared" si="68"/>
        <v/>
      </c>
      <c r="W283" s="74" t="str">
        <f t="shared" si="69"/>
        <v/>
      </c>
      <c r="X283" s="74" t="str">
        <f t="shared" si="70"/>
        <v/>
      </c>
      <c r="Y283" s="74" t="str">
        <f t="shared" si="71"/>
        <v/>
      </c>
      <c r="Z283" s="74" t="str">
        <f t="shared" si="72"/>
        <v/>
      </c>
      <c r="AA283" s="74" t="str">
        <f t="shared" si="73"/>
        <v/>
      </c>
      <c r="AK283" s="73"/>
      <c r="AL283" s="73"/>
      <c r="AM283" s="73"/>
      <c r="AN283" s="73"/>
    </row>
    <row r="284" spans="17:40" x14ac:dyDescent="0.25">
      <c r="Q284" s="73" t="str">
        <f t="shared" si="64"/>
        <v/>
      </c>
      <c r="R284" s="80" t="str">
        <f>IF(Q284&lt;&gt;"",COUNTIF(Q$2:Q284,Q284),"")</f>
        <v/>
      </c>
      <c r="S284" s="73" t="str">
        <f t="shared" si="65"/>
        <v/>
      </c>
      <c r="T284" s="74" t="str">
        <f t="shared" si="66"/>
        <v/>
      </c>
      <c r="U284" s="74" t="str">
        <f t="shared" si="67"/>
        <v/>
      </c>
      <c r="V284" s="74" t="str">
        <f t="shared" si="68"/>
        <v/>
      </c>
      <c r="W284" s="74" t="str">
        <f t="shared" si="69"/>
        <v/>
      </c>
      <c r="X284" s="74" t="str">
        <f t="shared" si="70"/>
        <v/>
      </c>
      <c r="Y284" s="74" t="str">
        <f t="shared" si="71"/>
        <v/>
      </c>
      <c r="Z284" s="74" t="str">
        <f t="shared" si="72"/>
        <v/>
      </c>
      <c r="AA284" s="74" t="str">
        <f t="shared" si="73"/>
        <v/>
      </c>
      <c r="AK284" s="73"/>
      <c r="AL284" s="73"/>
      <c r="AM284" s="73"/>
      <c r="AN284" s="73"/>
    </row>
    <row r="285" spans="17:40" x14ac:dyDescent="0.25">
      <c r="Q285" s="73" t="str">
        <f t="shared" si="64"/>
        <v/>
      </c>
      <c r="R285" s="80" t="str">
        <f>IF(Q285&lt;&gt;"",COUNTIF(Q$2:Q285,Q285),"")</f>
        <v/>
      </c>
      <c r="S285" s="73" t="str">
        <f t="shared" si="65"/>
        <v/>
      </c>
      <c r="T285" s="74" t="str">
        <f t="shared" si="66"/>
        <v/>
      </c>
      <c r="U285" s="74" t="str">
        <f t="shared" si="67"/>
        <v/>
      </c>
      <c r="V285" s="74" t="str">
        <f t="shared" si="68"/>
        <v/>
      </c>
      <c r="W285" s="74" t="str">
        <f t="shared" si="69"/>
        <v/>
      </c>
      <c r="X285" s="74" t="str">
        <f t="shared" si="70"/>
        <v/>
      </c>
      <c r="Y285" s="74" t="str">
        <f t="shared" si="71"/>
        <v/>
      </c>
      <c r="Z285" s="74" t="str">
        <f t="shared" si="72"/>
        <v/>
      </c>
      <c r="AA285" s="74" t="str">
        <f t="shared" si="73"/>
        <v/>
      </c>
      <c r="AK285" s="73"/>
      <c r="AL285" s="73"/>
      <c r="AM285" s="73"/>
      <c r="AN285" s="73"/>
    </row>
    <row r="286" spans="17:40" x14ac:dyDescent="0.25">
      <c r="Q286" s="73" t="str">
        <f t="shared" si="64"/>
        <v/>
      </c>
      <c r="R286" s="80" t="str">
        <f>IF(Q286&lt;&gt;"",COUNTIF(Q$2:Q286,Q286),"")</f>
        <v/>
      </c>
      <c r="S286" s="73" t="str">
        <f t="shared" si="65"/>
        <v/>
      </c>
      <c r="T286" s="74" t="str">
        <f t="shared" si="66"/>
        <v/>
      </c>
      <c r="U286" s="74" t="str">
        <f t="shared" si="67"/>
        <v/>
      </c>
      <c r="V286" s="74" t="str">
        <f t="shared" si="68"/>
        <v/>
      </c>
      <c r="W286" s="74" t="str">
        <f t="shared" si="69"/>
        <v/>
      </c>
      <c r="X286" s="74" t="str">
        <f t="shared" si="70"/>
        <v/>
      </c>
      <c r="Y286" s="74" t="str">
        <f t="shared" si="71"/>
        <v/>
      </c>
      <c r="Z286" s="74" t="str">
        <f t="shared" si="72"/>
        <v/>
      </c>
      <c r="AA286" s="74" t="str">
        <f t="shared" si="73"/>
        <v/>
      </c>
      <c r="AK286" s="73"/>
      <c r="AL286" s="73"/>
      <c r="AM286" s="73"/>
      <c r="AN286" s="73"/>
    </row>
    <row r="287" spans="17:40" x14ac:dyDescent="0.25">
      <c r="Q287" s="73" t="str">
        <f t="shared" si="64"/>
        <v/>
      </c>
      <c r="R287" s="80" t="str">
        <f>IF(Q287&lt;&gt;"",COUNTIF(Q$2:Q287,Q287),"")</f>
        <v/>
      </c>
      <c r="S287" s="73" t="str">
        <f t="shared" si="65"/>
        <v/>
      </c>
      <c r="T287" s="74" t="str">
        <f t="shared" si="66"/>
        <v/>
      </c>
      <c r="U287" s="74" t="str">
        <f t="shared" si="67"/>
        <v/>
      </c>
      <c r="V287" s="74" t="str">
        <f t="shared" si="68"/>
        <v/>
      </c>
      <c r="W287" s="74" t="str">
        <f t="shared" si="69"/>
        <v/>
      </c>
      <c r="X287" s="74" t="str">
        <f t="shared" si="70"/>
        <v/>
      </c>
      <c r="Y287" s="74" t="str">
        <f t="shared" si="71"/>
        <v/>
      </c>
      <c r="Z287" s="74" t="str">
        <f t="shared" si="72"/>
        <v/>
      </c>
      <c r="AA287" s="74" t="str">
        <f t="shared" si="73"/>
        <v/>
      </c>
      <c r="AK287" s="73"/>
      <c r="AL287" s="73"/>
      <c r="AM287" s="73"/>
      <c r="AN287" s="73"/>
    </row>
    <row r="288" spans="17:40" x14ac:dyDescent="0.25">
      <c r="Q288" s="73" t="str">
        <f t="shared" si="64"/>
        <v/>
      </c>
      <c r="R288" s="80" t="str">
        <f>IF(Q288&lt;&gt;"",COUNTIF(Q$2:Q288,Q288),"")</f>
        <v/>
      </c>
      <c r="S288" s="73" t="str">
        <f t="shared" si="65"/>
        <v/>
      </c>
      <c r="T288" s="74" t="str">
        <f t="shared" si="66"/>
        <v/>
      </c>
      <c r="U288" s="74" t="str">
        <f t="shared" si="67"/>
        <v/>
      </c>
      <c r="V288" s="74" t="str">
        <f t="shared" si="68"/>
        <v/>
      </c>
      <c r="W288" s="74" t="str">
        <f t="shared" si="69"/>
        <v/>
      </c>
      <c r="X288" s="74" t="str">
        <f t="shared" si="70"/>
        <v/>
      </c>
      <c r="Y288" s="74" t="str">
        <f t="shared" si="71"/>
        <v/>
      </c>
      <c r="Z288" s="74" t="str">
        <f t="shared" si="72"/>
        <v/>
      </c>
      <c r="AA288" s="74" t="str">
        <f t="shared" si="73"/>
        <v/>
      </c>
      <c r="AK288" s="73"/>
      <c r="AL288" s="73"/>
      <c r="AM288" s="73"/>
      <c r="AN288" s="73"/>
    </row>
    <row r="289" spans="17:40" x14ac:dyDescent="0.25">
      <c r="Q289" s="73" t="str">
        <f t="shared" si="64"/>
        <v/>
      </c>
      <c r="R289" s="80" t="str">
        <f>IF(Q289&lt;&gt;"",COUNTIF(Q$2:Q289,Q289),"")</f>
        <v/>
      </c>
      <c r="S289" s="73" t="str">
        <f t="shared" si="65"/>
        <v/>
      </c>
      <c r="T289" s="74" t="str">
        <f t="shared" si="66"/>
        <v/>
      </c>
      <c r="U289" s="74" t="str">
        <f t="shared" si="67"/>
        <v/>
      </c>
      <c r="V289" s="74" t="str">
        <f t="shared" si="68"/>
        <v/>
      </c>
      <c r="W289" s="74" t="str">
        <f t="shared" si="69"/>
        <v/>
      </c>
      <c r="X289" s="74" t="str">
        <f t="shared" si="70"/>
        <v/>
      </c>
      <c r="Y289" s="74" t="str">
        <f t="shared" si="71"/>
        <v/>
      </c>
      <c r="Z289" s="74" t="str">
        <f t="shared" si="72"/>
        <v/>
      </c>
      <c r="AA289" s="74" t="str">
        <f t="shared" si="73"/>
        <v/>
      </c>
      <c r="AK289" s="73"/>
      <c r="AL289" s="73"/>
      <c r="AM289" s="73"/>
      <c r="AN289" s="73"/>
    </row>
    <row r="290" spans="17:40" x14ac:dyDescent="0.25">
      <c r="Q290" s="73" t="str">
        <f t="shared" si="64"/>
        <v/>
      </c>
      <c r="R290" s="80" t="str">
        <f>IF(Q290&lt;&gt;"",COUNTIF(Q$2:Q290,Q290),"")</f>
        <v/>
      </c>
      <c r="S290" s="73" t="str">
        <f t="shared" si="65"/>
        <v/>
      </c>
      <c r="T290" s="74" t="str">
        <f t="shared" si="66"/>
        <v/>
      </c>
      <c r="U290" s="74" t="str">
        <f t="shared" si="67"/>
        <v/>
      </c>
      <c r="V290" s="74" t="str">
        <f t="shared" si="68"/>
        <v/>
      </c>
      <c r="W290" s="74" t="str">
        <f t="shared" si="69"/>
        <v/>
      </c>
      <c r="X290" s="74" t="str">
        <f t="shared" si="70"/>
        <v/>
      </c>
      <c r="Y290" s="74" t="str">
        <f t="shared" si="71"/>
        <v/>
      </c>
      <c r="Z290" s="74" t="str">
        <f t="shared" si="72"/>
        <v/>
      </c>
      <c r="AA290" s="74" t="str">
        <f t="shared" si="73"/>
        <v/>
      </c>
      <c r="AK290" s="73"/>
      <c r="AL290" s="73"/>
      <c r="AM290" s="73"/>
      <c r="AN290" s="73"/>
    </row>
    <row r="291" spans="17:40" x14ac:dyDescent="0.25">
      <c r="Q291" s="73" t="str">
        <f t="shared" si="64"/>
        <v/>
      </c>
      <c r="R291" s="80" t="str">
        <f>IF(Q291&lt;&gt;"",COUNTIF(Q$2:Q291,Q291),"")</f>
        <v/>
      </c>
      <c r="S291" s="73" t="str">
        <f t="shared" si="65"/>
        <v/>
      </c>
      <c r="T291" s="74" t="str">
        <f t="shared" si="66"/>
        <v/>
      </c>
      <c r="U291" s="74" t="str">
        <f t="shared" si="67"/>
        <v/>
      </c>
      <c r="V291" s="74" t="str">
        <f t="shared" si="68"/>
        <v/>
      </c>
      <c r="W291" s="74" t="str">
        <f t="shared" si="69"/>
        <v/>
      </c>
      <c r="X291" s="74" t="str">
        <f t="shared" si="70"/>
        <v/>
      </c>
      <c r="Y291" s="74" t="str">
        <f t="shared" si="71"/>
        <v/>
      </c>
      <c r="Z291" s="74" t="str">
        <f t="shared" si="72"/>
        <v/>
      </c>
      <c r="AA291" s="74" t="str">
        <f t="shared" si="73"/>
        <v/>
      </c>
      <c r="AK291" s="73"/>
      <c r="AL291" s="73"/>
      <c r="AM291" s="73"/>
      <c r="AN291" s="73"/>
    </row>
    <row r="292" spans="17:40" x14ac:dyDescent="0.25">
      <c r="Q292" s="73" t="str">
        <f t="shared" si="64"/>
        <v/>
      </c>
      <c r="R292" s="80" t="str">
        <f>IF(Q292&lt;&gt;"",COUNTIF(Q$2:Q292,Q292),"")</f>
        <v/>
      </c>
      <c r="S292" s="73" t="str">
        <f t="shared" si="65"/>
        <v/>
      </c>
      <c r="T292" s="74" t="str">
        <f t="shared" si="66"/>
        <v/>
      </c>
      <c r="U292" s="74" t="str">
        <f t="shared" si="67"/>
        <v/>
      </c>
      <c r="V292" s="74" t="str">
        <f t="shared" si="68"/>
        <v/>
      </c>
      <c r="W292" s="74" t="str">
        <f t="shared" si="69"/>
        <v/>
      </c>
      <c r="X292" s="74" t="str">
        <f t="shared" si="70"/>
        <v/>
      </c>
      <c r="Y292" s="74" t="str">
        <f t="shared" si="71"/>
        <v/>
      </c>
      <c r="Z292" s="74" t="str">
        <f t="shared" si="72"/>
        <v/>
      </c>
      <c r="AA292" s="74" t="str">
        <f t="shared" si="73"/>
        <v/>
      </c>
      <c r="AK292" s="73"/>
      <c r="AL292" s="73"/>
      <c r="AM292" s="73"/>
      <c r="AN292" s="73"/>
    </row>
    <row r="293" spans="17:40" x14ac:dyDescent="0.25">
      <c r="Q293" s="73" t="str">
        <f t="shared" si="64"/>
        <v/>
      </c>
      <c r="R293" s="80" t="str">
        <f>IF(Q293&lt;&gt;"",COUNTIF(Q$2:Q293,Q293),"")</f>
        <v/>
      </c>
      <c r="S293" s="73" t="str">
        <f t="shared" si="65"/>
        <v/>
      </c>
      <c r="T293" s="74" t="str">
        <f t="shared" si="66"/>
        <v/>
      </c>
      <c r="U293" s="74" t="str">
        <f t="shared" si="67"/>
        <v/>
      </c>
      <c r="V293" s="74" t="str">
        <f t="shared" si="68"/>
        <v/>
      </c>
      <c r="W293" s="74" t="str">
        <f t="shared" si="69"/>
        <v/>
      </c>
      <c r="X293" s="74" t="str">
        <f t="shared" si="70"/>
        <v/>
      </c>
      <c r="Y293" s="74" t="str">
        <f t="shared" si="71"/>
        <v/>
      </c>
      <c r="Z293" s="74" t="str">
        <f t="shared" si="72"/>
        <v/>
      </c>
      <c r="AA293" s="74" t="str">
        <f t="shared" si="73"/>
        <v/>
      </c>
      <c r="AK293" s="73"/>
      <c r="AL293" s="73"/>
      <c r="AM293" s="73"/>
      <c r="AN293" s="73"/>
    </row>
    <row r="294" spans="17:40" x14ac:dyDescent="0.25">
      <c r="Q294" s="73" t="str">
        <f t="shared" si="64"/>
        <v/>
      </c>
      <c r="R294" s="80" t="str">
        <f>IF(Q294&lt;&gt;"",COUNTIF(Q$2:Q294,Q294),"")</f>
        <v/>
      </c>
      <c r="S294" s="73" t="str">
        <f t="shared" si="65"/>
        <v/>
      </c>
      <c r="T294" s="74" t="str">
        <f t="shared" si="66"/>
        <v/>
      </c>
      <c r="U294" s="74" t="str">
        <f t="shared" si="67"/>
        <v/>
      </c>
      <c r="V294" s="74" t="str">
        <f t="shared" si="68"/>
        <v/>
      </c>
      <c r="W294" s="74" t="str">
        <f t="shared" si="69"/>
        <v/>
      </c>
      <c r="X294" s="74" t="str">
        <f t="shared" si="70"/>
        <v/>
      </c>
      <c r="Y294" s="74" t="str">
        <f t="shared" si="71"/>
        <v/>
      </c>
      <c r="Z294" s="74" t="str">
        <f t="shared" si="72"/>
        <v/>
      </c>
      <c r="AA294" s="74" t="str">
        <f t="shared" si="73"/>
        <v/>
      </c>
      <c r="AK294" s="73"/>
      <c r="AL294" s="73"/>
      <c r="AM294" s="73"/>
      <c r="AN294" s="73"/>
    </row>
    <row r="295" spans="17:40" x14ac:dyDescent="0.25">
      <c r="Q295" s="73" t="str">
        <f t="shared" si="64"/>
        <v/>
      </c>
      <c r="R295" s="80" t="str">
        <f>IF(Q295&lt;&gt;"",COUNTIF(Q$2:Q295,Q295),"")</f>
        <v/>
      </c>
      <c r="S295" s="73" t="str">
        <f t="shared" si="65"/>
        <v/>
      </c>
      <c r="T295" s="74" t="str">
        <f t="shared" si="66"/>
        <v/>
      </c>
      <c r="U295" s="74" t="str">
        <f t="shared" si="67"/>
        <v/>
      </c>
      <c r="V295" s="74" t="str">
        <f t="shared" si="68"/>
        <v/>
      </c>
      <c r="W295" s="74" t="str">
        <f t="shared" si="69"/>
        <v/>
      </c>
      <c r="X295" s="74" t="str">
        <f t="shared" si="70"/>
        <v/>
      </c>
      <c r="Y295" s="74" t="str">
        <f t="shared" si="71"/>
        <v/>
      </c>
      <c r="Z295" s="74" t="str">
        <f t="shared" si="72"/>
        <v/>
      </c>
      <c r="AA295" s="74" t="str">
        <f t="shared" si="73"/>
        <v/>
      </c>
      <c r="AK295" s="73"/>
      <c r="AL295" s="73"/>
      <c r="AM295" s="73"/>
      <c r="AN295" s="73"/>
    </row>
    <row r="296" spans="17:40" x14ac:dyDescent="0.25">
      <c r="Q296" s="73" t="str">
        <f t="shared" si="64"/>
        <v/>
      </c>
      <c r="R296" s="80" t="str">
        <f>IF(Q296&lt;&gt;"",COUNTIF(Q$2:Q296,Q296),"")</f>
        <v/>
      </c>
      <c r="S296" s="73" t="str">
        <f t="shared" si="65"/>
        <v/>
      </c>
      <c r="T296" s="74" t="str">
        <f t="shared" si="66"/>
        <v/>
      </c>
      <c r="U296" s="74" t="str">
        <f t="shared" si="67"/>
        <v/>
      </c>
      <c r="V296" s="74" t="str">
        <f t="shared" si="68"/>
        <v/>
      </c>
      <c r="W296" s="74" t="str">
        <f t="shared" si="69"/>
        <v/>
      </c>
      <c r="X296" s="74" t="str">
        <f t="shared" si="70"/>
        <v/>
      </c>
      <c r="Y296" s="74" t="str">
        <f t="shared" si="71"/>
        <v/>
      </c>
      <c r="Z296" s="74" t="str">
        <f t="shared" si="72"/>
        <v/>
      </c>
      <c r="AA296" s="74" t="str">
        <f t="shared" si="73"/>
        <v/>
      </c>
      <c r="AK296" s="73"/>
      <c r="AL296" s="73"/>
      <c r="AM296" s="73"/>
      <c r="AN296" s="73"/>
    </row>
    <row r="297" spans="17:40" x14ac:dyDescent="0.25">
      <c r="Q297" s="73" t="str">
        <f t="shared" si="64"/>
        <v/>
      </c>
      <c r="R297" s="80" t="str">
        <f>IF(Q297&lt;&gt;"",COUNTIF(Q$2:Q297,Q297),"")</f>
        <v/>
      </c>
      <c r="S297" s="73" t="str">
        <f t="shared" si="65"/>
        <v/>
      </c>
      <c r="T297" s="74" t="str">
        <f t="shared" si="66"/>
        <v/>
      </c>
      <c r="U297" s="74" t="str">
        <f t="shared" si="67"/>
        <v/>
      </c>
      <c r="V297" s="74" t="str">
        <f t="shared" si="68"/>
        <v/>
      </c>
      <c r="W297" s="74" t="str">
        <f t="shared" si="69"/>
        <v/>
      </c>
      <c r="X297" s="74" t="str">
        <f t="shared" si="70"/>
        <v/>
      </c>
      <c r="Y297" s="74" t="str">
        <f t="shared" si="71"/>
        <v/>
      </c>
      <c r="Z297" s="74" t="str">
        <f t="shared" si="72"/>
        <v/>
      </c>
      <c r="AA297" s="74" t="str">
        <f t="shared" si="73"/>
        <v/>
      </c>
      <c r="AK297" s="73"/>
      <c r="AL297" s="73"/>
      <c r="AM297" s="73"/>
      <c r="AN297" s="73"/>
    </row>
    <row r="298" spans="17:40" x14ac:dyDescent="0.25">
      <c r="Q298" s="73" t="str">
        <f t="shared" si="64"/>
        <v/>
      </c>
      <c r="R298" s="80" t="str">
        <f>IF(Q298&lt;&gt;"",COUNTIF(Q$2:Q298,Q298),"")</f>
        <v/>
      </c>
      <c r="S298" s="73" t="str">
        <f t="shared" si="65"/>
        <v/>
      </c>
      <c r="T298" s="74" t="str">
        <f t="shared" si="66"/>
        <v/>
      </c>
      <c r="U298" s="74" t="str">
        <f t="shared" si="67"/>
        <v/>
      </c>
      <c r="V298" s="74" t="str">
        <f t="shared" si="68"/>
        <v/>
      </c>
      <c r="W298" s="74" t="str">
        <f t="shared" si="69"/>
        <v/>
      </c>
      <c r="X298" s="74" t="str">
        <f t="shared" si="70"/>
        <v/>
      </c>
      <c r="Y298" s="74" t="str">
        <f t="shared" si="71"/>
        <v/>
      </c>
      <c r="Z298" s="74" t="str">
        <f t="shared" si="72"/>
        <v/>
      </c>
      <c r="AA298" s="74" t="str">
        <f t="shared" si="73"/>
        <v/>
      </c>
      <c r="AK298" s="73"/>
      <c r="AL298" s="73"/>
      <c r="AM298" s="73"/>
      <c r="AN298" s="73"/>
    </row>
    <row r="299" spans="17:40" x14ac:dyDescent="0.25">
      <c r="Q299" s="73" t="str">
        <f t="shared" si="64"/>
        <v/>
      </c>
      <c r="R299" s="80" t="str">
        <f>IF(Q299&lt;&gt;"",COUNTIF(Q$2:Q299,Q299),"")</f>
        <v/>
      </c>
      <c r="S299" s="73" t="str">
        <f t="shared" si="65"/>
        <v/>
      </c>
      <c r="T299" s="74" t="str">
        <f t="shared" si="66"/>
        <v/>
      </c>
      <c r="U299" s="74" t="str">
        <f t="shared" si="67"/>
        <v/>
      </c>
      <c r="V299" s="74" t="str">
        <f t="shared" si="68"/>
        <v/>
      </c>
      <c r="W299" s="74" t="str">
        <f t="shared" si="69"/>
        <v/>
      </c>
      <c r="X299" s="74" t="str">
        <f t="shared" si="70"/>
        <v/>
      </c>
      <c r="Y299" s="74" t="str">
        <f t="shared" si="71"/>
        <v/>
      </c>
      <c r="Z299" s="74" t="str">
        <f t="shared" si="72"/>
        <v/>
      </c>
      <c r="AA299" s="74" t="str">
        <f t="shared" si="73"/>
        <v/>
      </c>
      <c r="AK299" s="73"/>
      <c r="AL299" s="73"/>
      <c r="AM299" s="73"/>
      <c r="AN299" s="73"/>
    </row>
    <row r="300" spans="17:40" x14ac:dyDescent="0.25">
      <c r="Q300" s="73" t="str">
        <f t="shared" si="64"/>
        <v/>
      </c>
      <c r="R300" s="80" t="str">
        <f>IF(Q300&lt;&gt;"",COUNTIF(Q$2:Q300,Q300),"")</f>
        <v/>
      </c>
      <c r="S300" s="73" t="str">
        <f t="shared" si="65"/>
        <v/>
      </c>
      <c r="T300" s="74" t="str">
        <f t="shared" si="66"/>
        <v/>
      </c>
      <c r="U300" s="74" t="str">
        <f t="shared" si="67"/>
        <v/>
      </c>
      <c r="V300" s="74" t="str">
        <f t="shared" si="68"/>
        <v/>
      </c>
      <c r="W300" s="74" t="str">
        <f t="shared" si="69"/>
        <v/>
      </c>
      <c r="X300" s="74" t="str">
        <f t="shared" si="70"/>
        <v/>
      </c>
      <c r="Y300" s="74" t="str">
        <f t="shared" si="71"/>
        <v/>
      </c>
      <c r="Z300" s="74" t="str">
        <f t="shared" si="72"/>
        <v/>
      </c>
      <c r="AA300" s="74" t="str">
        <f t="shared" si="73"/>
        <v/>
      </c>
      <c r="AK300" s="73"/>
      <c r="AL300" s="73"/>
      <c r="AM300" s="73"/>
      <c r="AN300" s="73"/>
    </row>
    <row r="301" spans="17:40" x14ac:dyDescent="0.25">
      <c r="Q301" s="73" t="str">
        <f t="shared" si="64"/>
        <v/>
      </c>
      <c r="R301" s="80" t="str">
        <f>IF(Q301&lt;&gt;"",COUNTIF(Q$2:Q301,Q301),"")</f>
        <v/>
      </c>
      <c r="S301" s="73" t="str">
        <f t="shared" si="65"/>
        <v/>
      </c>
      <c r="T301" s="74" t="str">
        <f t="shared" si="66"/>
        <v/>
      </c>
      <c r="U301" s="74" t="str">
        <f t="shared" si="67"/>
        <v/>
      </c>
      <c r="V301" s="74" t="str">
        <f t="shared" si="68"/>
        <v/>
      </c>
      <c r="W301" s="74" t="str">
        <f t="shared" si="69"/>
        <v/>
      </c>
      <c r="X301" s="74" t="str">
        <f t="shared" si="70"/>
        <v/>
      </c>
      <c r="Y301" s="74" t="str">
        <f t="shared" si="71"/>
        <v/>
      </c>
      <c r="Z301" s="74" t="str">
        <f t="shared" si="72"/>
        <v/>
      </c>
      <c r="AA301" s="74" t="str">
        <f t="shared" si="73"/>
        <v/>
      </c>
      <c r="AK301" s="73"/>
      <c r="AL301" s="73"/>
      <c r="AM301" s="73"/>
      <c r="AN301" s="73"/>
    </row>
    <row r="302" spans="17:40" x14ac:dyDescent="0.25">
      <c r="Q302" s="73" t="str">
        <f t="shared" si="64"/>
        <v/>
      </c>
      <c r="R302" s="80" t="str">
        <f>IF(Q302&lt;&gt;"",COUNTIF(Q$2:Q302,Q302),"")</f>
        <v/>
      </c>
      <c r="S302" s="73" t="str">
        <f t="shared" si="65"/>
        <v/>
      </c>
      <c r="T302" s="74" t="str">
        <f t="shared" si="66"/>
        <v/>
      </c>
      <c r="U302" s="74" t="str">
        <f t="shared" si="67"/>
        <v/>
      </c>
      <c r="V302" s="74" t="str">
        <f t="shared" si="68"/>
        <v/>
      </c>
      <c r="W302" s="74" t="str">
        <f t="shared" si="69"/>
        <v/>
      </c>
      <c r="X302" s="74" t="str">
        <f t="shared" si="70"/>
        <v/>
      </c>
      <c r="Y302" s="74" t="str">
        <f t="shared" si="71"/>
        <v/>
      </c>
      <c r="Z302" s="74" t="str">
        <f t="shared" si="72"/>
        <v/>
      </c>
      <c r="AA302" s="74" t="str">
        <f t="shared" si="73"/>
        <v/>
      </c>
      <c r="AK302" s="73"/>
      <c r="AL302" s="73"/>
      <c r="AM302" s="73"/>
      <c r="AN302" s="73"/>
    </row>
    <row r="303" spans="17:40" x14ac:dyDescent="0.25">
      <c r="Q303" s="73" t="str">
        <f t="shared" si="64"/>
        <v/>
      </c>
      <c r="R303" s="80" t="str">
        <f>IF(Q303&lt;&gt;"",COUNTIF(Q$2:Q303,Q303),"")</f>
        <v/>
      </c>
      <c r="S303" s="73" t="str">
        <f t="shared" si="65"/>
        <v/>
      </c>
      <c r="T303" s="74" t="str">
        <f t="shared" si="66"/>
        <v/>
      </c>
      <c r="U303" s="74" t="str">
        <f t="shared" si="67"/>
        <v/>
      </c>
      <c r="V303" s="74" t="str">
        <f t="shared" si="68"/>
        <v/>
      </c>
      <c r="W303" s="74" t="str">
        <f t="shared" si="69"/>
        <v/>
      </c>
      <c r="X303" s="74" t="str">
        <f t="shared" si="70"/>
        <v/>
      </c>
      <c r="Y303" s="74" t="str">
        <f t="shared" si="71"/>
        <v/>
      </c>
      <c r="Z303" s="74" t="str">
        <f t="shared" si="72"/>
        <v/>
      </c>
      <c r="AA303" s="74" t="str">
        <f t="shared" si="73"/>
        <v/>
      </c>
      <c r="AK303" s="73"/>
      <c r="AL303" s="73"/>
      <c r="AM303" s="73"/>
      <c r="AN303" s="73"/>
    </row>
    <row r="304" spans="17:40" x14ac:dyDescent="0.25">
      <c r="Q304" s="73" t="str">
        <f t="shared" si="64"/>
        <v/>
      </c>
      <c r="R304" s="80" t="str">
        <f>IF(Q304&lt;&gt;"",COUNTIF(Q$2:Q304,Q304),"")</f>
        <v/>
      </c>
      <c r="S304" s="73" t="str">
        <f t="shared" si="65"/>
        <v/>
      </c>
      <c r="T304" s="74" t="str">
        <f t="shared" si="66"/>
        <v/>
      </c>
      <c r="U304" s="74" t="str">
        <f t="shared" si="67"/>
        <v/>
      </c>
      <c r="V304" s="74" t="str">
        <f t="shared" si="68"/>
        <v/>
      </c>
      <c r="W304" s="74" t="str">
        <f t="shared" si="69"/>
        <v/>
      </c>
      <c r="X304" s="74" t="str">
        <f t="shared" si="70"/>
        <v/>
      </c>
      <c r="Y304" s="74" t="str">
        <f t="shared" si="71"/>
        <v/>
      </c>
      <c r="Z304" s="74" t="str">
        <f t="shared" si="72"/>
        <v/>
      </c>
      <c r="AA304" s="74" t="str">
        <f t="shared" si="73"/>
        <v/>
      </c>
      <c r="AK304" s="73"/>
      <c r="AL304" s="73"/>
      <c r="AM304" s="73"/>
      <c r="AN304" s="73"/>
    </row>
    <row r="305" spans="17:40" x14ac:dyDescent="0.25">
      <c r="Q305" s="73" t="str">
        <f t="shared" si="64"/>
        <v/>
      </c>
      <c r="R305" s="80" t="str">
        <f>IF(Q305&lt;&gt;"",COUNTIF(Q$2:Q305,Q305),"")</f>
        <v/>
      </c>
      <c r="S305" s="73" t="str">
        <f t="shared" si="65"/>
        <v/>
      </c>
      <c r="T305" s="74" t="str">
        <f t="shared" si="66"/>
        <v/>
      </c>
      <c r="U305" s="74" t="str">
        <f t="shared" si="67"/>
        <v/>
      </c>
      <c r="V305" s="74" t="str">
        <f t="shared" si="68"/>
        <v/>
      </c>
      <c r="W305" s="74" t="str">
        <f t="shared" si="69"/>
        <v/>
      </c>
      <c r="X305" s="74" t="str">
        <f t="shared" si="70"/>
        <v/>
      </c>
      <c r="Y305" s="74" t="str">
        <f t="shared" si="71"/>
        <v/>
      </c>
      <c r="Z305" s="74" t="str">
        <f t="shared" si="72"/>
        <v/>
      </c>
      <c r="AA305" s="74" t="str">
        <f t="shared" si="73"/>
        <v/>
      </c>
      <c r="AK305" s="73"/>
      <c r="AL305" s="73"/>
      <c r="AM305" s="73"/>
      <c r="AN305" s="73"/>
    </row>
    <row r="306" spans="17:40" x14ac:dyDescent="0.25">
      <c r="Q306" s="73" t="str">
        <f t="shared" si="64"/>
        <v/>
      </c>
      <c r="R306" s="80" t="str">
        <f>IF(Q306&lt;&gt;"",COUNTIF(Q$2:Q306,Q306),"")</f>
        <v/>
      </c>
      <c r="S306" s="73" t="str">
        <f t="shared" si="65"/>
        <v/>
      </c>
      <c r="T306" s="74" t="str">
        <f t="shared" si="66"/>
        <v/>
      </c>
      <c r="U306" s="74" t="str">
        <f t="shared" si="67"/>
        <v/>
      </c>
      <c r="V306" s="74" t="str">
        <f t="shared" si="68"/>
        <v/>
      </c>
      <c r="W306" s="74" t="str">
        <f t="shared" si="69"/>
        <v/>
      </c>
      <c r="X306" s="74" t="str">
        <f t="shared" si="70"/>
        <v/>
      </c>
      <c r="Y306" s="74" t="str">
        <f t="shared" si="71"/>
        <v/>
      </c>
      <c r="Z306" s="74" t="str">
        <f t="shared" si="72"/>
        <v/>
      </c>
      <c r="AA306" s="74" t="str">
        <f t="shared" si="73"/>
        <v/>
      </c>
      <c r="AK306" s="73"/>
      <c r="AL306" s="73"/>
      <c r="AM306" s="73"/>
      <c r="AN306" s="73"/>
    </row>
    <row r="307" spans="17:40" x14ac:dyDescent="0.25">
      <c r="Q307" s="73" t="str">
        <f t="shared" si="64"/>
        <v/>
      </c>
      <c r="R307" s="80" t="str">
        <f>IF(Q307&lt;&gt;"",COUNTIF(Q$2:Q307,Q307),"")</f>
        <v/>
      </c>
      <c r="S307" s="73" t="str">
        <f t="shared" si="65"/>
        <v/>
      </c>
      <c r="T307" s="74" t="str">
        <f t="shared" si="66"/>
        <v/>
      </c>
      <c r="U307" s="74" t="str">
        <f t="shared" si="67"/>
        <v/>
      </c>
      <c r="V307" s="74" t="str">
        <f t="shared" si="68"/>
        <v/>
      </c>
      <c r="W307" s="74" t="str">
        <f t="shared" si="69"/>
        <v/>
      </c>
      <c r="X307" s="74" t="str">
        <f t="shared" si="70"/>
        <v/>
      </c>
      <c r="Y307" s="74" t="str">
        <f t="shared" si="71"/>
        <v/>
      </c>
      <c r="Z307" s="74" t="str">
        <f t="shared" si="72"/>
        <v/>
      </c>
      <c r="AA307" s="74" t="str">
        <f t="shared" si="73"/>
        <v/>
      </c>
      <c r="AK307" s="73"/>
      <c r="AL307" s="73"/>
      <c r="AM307" s="73"/>
      <c r="AN307" s="73"/>
    </row>
    <row r="308" spans="17:40" x14ac:dyDescent="0.25">
      <c r="Q308" s="73" t="str">
        <f t="shared" si="64"/>
        <v/>
      </c>
      <c r="R308" s="80" t="str">
        <f>IF(Q308&lt;&gt;"",COUNTIF(Q$2:Q308,Q308),"")</f>
        <v/>
      </c>
      <c r="S308" s="73" t="str">
        <f t="shared" si="65"/>
        <v/>
      </c>
      <c r="T308" s="74" t="str">
        <f t="shared" si="66"/>
        <v/>
      </c>
      <c r="U308" s="74" t="str">
        <f t="shared" si="67"/>
        <v/>
      </c>
      <c r="V308" s="74" t="str">
        <f t="shared" si="68"/>
        <v/>
      </c>
      <c r="W308" s="74" t="str">
        <f t="shared" si="69"/>
        <v/>
      </c>
      <c r="X308" s="74" t="str">
        <f t="shared" si="70"/>
        <v/>
      </c>
      <c r="Y308" s="74" t="str">
        <f t="shared" si="71"/>
        <v/>
      </c>
      <c r="Z308" s="74" t="str">
        <f t="shared" si="72"/>
        <v/>
      </c>
      <c r="AA308" s="74" t="str">
        <f t="shared" si="73"/>
        <v/>
      </c>
      <c r="AK308" s="73"/>
      <c r="AL308" s="73"/>
      <c r="AM308" s="73"/>
      <c r="AN308" s="73"/>
    </row>
    <row r="309" spans="17:40" x14ac:dyDescent="0.25">
      <c r="Q309" s="73" t="str">
        <f t="shared" si="64"/>
        <v/>
      </c>
      <c r="R309" s="80" t="str">
        <f>IF(Q309&lt;&gt;"",COUNTIF(Q$2:Q309,Q309),"")</f>
        <v/>
      </c>
      <c r="S309" s="73" t="str">
        <f t="shared" si="65"/>
        <v/>
      </c>
      <c r="T309" s="74" t="str">
        <f t="shared" si="66"/>
        <v/>
      </c>
      <c r="U309" s="74" t="str">
        <f t="shared" si="67"/>
        <v/>
      </c>
      <c r="V309" s="74" t="str">
        <f t="shared" si="68"/>
        <v/>
      </c>
      <c r="W309" s="74" t="str">
        <f t="shared" si="69"/>
        <v/>
      </c>
      <c r="X309" s="74" t="str">
        <f t="shared" si="70"/>
        <v/>
      </c>
      <c r="Y309" s="74" t="str">
        <f t="shared" si="71"/>
        <v/>
      </c>
      <c r="Z309" s="74" t="str">
        <f t="shared" si="72"/>
        <v/>
      </c>
      <c r="AA309" s="74" t="str">
        <f t="shared" si="73"/>
        <v/>
      </c>
      <c r="AK309" s="73"/>
      <c r="AL309" s="73"/>
      <c r="AM309" s="73"/>
      <c r="AN309" s="73"/>
    </row>
    <row r="310" spans="17:40" x14ac:dyDescent="0.25">
      <c r="Q310" s="73" t="str">
        <f t="shared" si="64"/>
        <v/>
      </c>
      <c r="R310" s="80" t="str">
        <f>IF(Q310&lt;&gt;"",COUNTIF(Q$2:Q310,Q310),"")</f>
        <v/>
      </c>
      <c r="S310" s="73" t="str">
        <f t="shared" si="65"/>
        <v/>
      </c>
      <c r="T310" s="74" t="str">
        <f t="shared" si="66"/>
        <v/>
      </c>
      <c r="U310" s="74" t="str">
        <f t="shared" si="67"/>
        <v/>
      </c>
      <c r="V310" s="74" t="str">
        <f t="shared" si="68"/>
        <v/>
      </c>
      <c r="W310" s="74" t="str">
        <f t="shared" si="69"/>
        <v/>
      </c>
      <c r="X310" s="74" t="str">
        <f t="shared" si="70"/>
        <v/>
      </c>
      <c r="Y310" s="74" t="str">
        <f t="shared" si="71"/>
        <v/>
      </c>
      <c r="Z310" s="74" t="str">
        <f t="shared" si="72"/>
        <v/>
      </c>
      <c r="AA310" s="74" t="str">
        <f t="shared" si="73"/>
        <v/>
      </c>
      <c r="AK310" s="73"/>
      <c r="AL310" s="73"/>
      <c r="AM310" s="73"/>
      <c r="AN310" s="73"/>
    </row>
    <row r="311" spans="17:40" x14ac:dyDescent="0.25">
      <c r="Q311" s="73" t="str">
        <f t="shared" si="64"/>
        <v/>
      </c>
      <c r="R311" s="80" t="str">
        <f>IF(Q311&lt;&gt;"",COUNTIF(Q$2:Q311,Q311),"")</f>
        <v/>
      </c>
      <c r="S311" s="73" t="str">
        <f t="shared" si="65"/>
        <v/>
      </c>
      <c r="T311" s="74" t="str">
        <f t="shared" si="66"/>
        <v/>
      </c>
      <c r="U311" s="74" t="str">
        <f t="shared" si="67"/>
        <v/>
      </c>
      <c r="V311" s="74" t="str">
        <f t="shared" si="68"/>
        <v/>
      </c>
      <c r="W311" s="74" t="str">
        <f t="shared" si="69"/>
        <v/>
      </c>
      <c r="X311" s="74" t="str">
        <f t="shared" si="70"/>
        <v/>
      </c>
      <c r="Y311" s="74" t="str">
        <f t="shared" si="71"/>
        <v/>
      </c>
      <c r="Z311" s="74" t="str">
        <f t="shared" si="72"/>
        <v/>
      </c>
      <c r="AA311" s="74" t="str">
        <f t="shared" si="73"/>
        <v/>
      </c>
      <c r="AK311" s="73"/>
      <c r="AL311" s="73"/>
      <c r="AM311" s="73"/>
      <c r="AN311" s="73"/>
    </row>
    <row r="312" spans="17:40" x14ac:dyDescent="0.25">
      <c r="Q312" s="73" t="str">
        <f t="shared" si="64"/>
        <v/>
      </c>
      <c r="R312" s="80" t="str">
        <f>IF(Q312&lt;&gt;"",COUNTIF(Q$2:Q312,Q312),"")</f>
        <v/>
      </c>
      <c r="S312" s="73" t="str">
        <f t="shared" si="65"/>
        <v/>
      </c>
      <c r="T312" s="74" t="str">
        <f t="shared" si="66"/>
        <v/>
      </c>
      <c r="U312" s="74" t="str">
        <f t="shared" si="67"/>
        <v/>
      </c>
      <c r="V312" s="74" t="str">
        <f t="shared" si="68"/>
        <v/>
      </c>
      <c r="W312" s="74" t="str">
        <f t="shared" si="69"/>
        <v/>
      </c>
      <c r="X312" s="74" t="str">
        <f t="shared" si="70"/>
        <v/>
      </c>
      <c r="Y312" s="74" t="str">
        <f t="shared" si="71"/>
        <v/>
      </c>
      <c r="Z312" s="74" t="str">
        <f t="shared" si="72"/>
        <v/>
      </c>
      <c r="AA312" s="74" t="str">
        <f t="shared" si="73"/>
        <v/>
      </c>
      <c r="AK312" s="73"/>
      <c r="AL312" s="73"/>
      <c r="AM312" s="73"/>
      <c r="AN312" s="73"/>
    </row>
    <row r="313" spans="17:40" x14ac:dyDescent="0.25">
      <c r="Q313" s="73" t="str">
        <f t="shared" si="64"/>
        <v/>
      </c>
      <c r="R313" s="80" t="str">
        <f>IF(Q313&lt;&gt;"",COUNTIF(Q$2:Q313,Q313),"")</f>
        <v/>
      </c>
      <c r="S313" s="73" t="str">
        <f t="shared" si="65"/>
        <v/>
      </c>
      <c r="T313" s="74" t="str">
        <f t="shared" si="66"/>
        <v/>
      </c>
      <c r="U313" s="74" t="str">
        <f t="shared" si="67"/>
        <v/>
      </c>
      <c r="V313" s="74" t="str">
        <f t="shared" si="68"/>
        <v/>
      </c>
      <c r="W313" s="74" t="str">
        <f t="shared" si="69"/>
        <v/>
      </c>
      <c r="X313" s="74" t="str">
        <f t="shared" si="70"/>
        <v/>
      </c>
      <c r="Y313" s="74" t="str">
        <f t="shared" si="71"/>
        <v/>
      </c>
      <c r="Z313" s="74" t="str">
        <f t="shared" si="72"/>
        <v/>
      </c>
      <c r="AA313" s="74" t="str">
        <f t="shared" si="73"/>
        <v/>
      </c>
      <c r="AK313" s="73"/>
      <c r="AL313" s="73"/>
      <c r="AM313" s="73"/>
      <c r="AN313" s="73"/>
    </row>
    <row r="314" spans="17:40" x14ac:dyDescent="0.25">
      <c r="Q314" s="73" t="str">
        <f t="shared" si="64"/>
        <v/>
      </c>
      <c r="R314" s="80" t="str">
        <f>IF(Q314&lt;&gt;"",COUNTIF(Q$2:Q314,Q314),"")</f>
        <v/>
      </c>
      <c r="S314" s="73" t="str">
        <f t="shared" si="65"/>
        <v/>
      </c>
      <c r="T314" s="74" t="str">
        <f t="shared" si="66"/>
        <v/>
      </c>
      <c r="U314" s="74" t="str">
        <f t="shared" si="67"/>
        <v/>
      </c>
      <c r="V314" s="74" t="str">
        <f t="shared" si="68"/>
        <v/>
      </c>
      <c r="W314" s="74" t="str">
        <f t="shared" si="69"/>
        <v/>
      </c>
      <c r="X314" s="74" t="str">
        <f t="shared" si="70"/>
        <v/>
      </c>
      <c r="Y314" s="74" t="str">
        <f t="shared" si="71"/>
        <v/>
      </c>
      <c r="Z314" s="74" t="str">
        <f t="shared" si="72"/>
        <v/>
      </c>
      <c r="AA314" s="74" t="str">
        <f t="shared" si="73"/>
        <v/>
      </c>
      <c r="AK314" s="73"/>
      <c r="AL314" s="73"/>
      <c r="AM314" s="73"/>
      <c r="AN314" s="73"/>
    </row>
    <row r="315" spans="17:40" x14ac:dyDescent="0.25">
      <c r="Q315" s="73" t="str">
        <f t="shared" si="64"/>
        <v/>
      </c>
      <c r="R315" s="80" t="str">
        <f>IF(Q315&lt;&gt;"",COUNTIF(Q$2:Q315,Q315),"")</f>
        <v/>
      </c>
      <c r="S315" s="73" t="str">
        <f t="shared" si="65"/>
        <v/>
      </c>
      <c r="T315" s="74" t="str">
        <f t="shared" si="66"/>
        <v/>
      </c>
      <c r="U315" s="74" t="str">
        <f t="shared" si="67"/>
        <v/>
      </c>
      <c r="V315" s="74" t="str">
        <f t="shared" si="68"/>
        <v/>
      </c>
      <c r="W315" s="74" t="str">
        <f t="shared" si="69"/>
        <v/>
      </c>
      <c r="X315" s="74" t="str">
        <f t="shared" si="70"/>
        <v/>
      </c>
      <c r="Y315" s="74" t="str">
        <f t="shared" si="71"/>
        <v/>
      </c>
      <c r="Z315" s="74" t="str">
        <f t="shared" si="72"/>
        <v/>
      </c>
      <c r="AA315" s="74" t="str">
        <f t="shared" si="73"/>
        <v/>
      </c>
      <c r="AK315" s="73"/>
      <c r="AL315" s="73"/>
      <c r="AM315" s="73"/>
      <c r="AN315" s="73"/>
    </row>
    <row r="316" spans="17:40" x14ac:dyDescent="0.25">
      <c r="Q316" s="73" t="str">
        <f t="shared" si="64"/>
        <v/>
      </c>
      <c r="R316" s="80" t="str">
        <f>IF(Q316&lt;&gt;"",COUNTIF(Q$2:Q316,Q316),"")</f>
        <v/>
      </c>
      <c r="S316" s="73" t="str">
        <f t="shared" si="65"/>
        <v/>
      </c>
      <c r="T316" s="74" t="str">
        <f t="shared" si="66"/>
        <v/>
      </c>
      <c r="U316" s="74" t="str">
        <f t="shared" si="67"/>
        <v/>
      </c>
      <c r="V316" s="74" t="str">
        <f t="shared" si="68"/>
        <v/>
      </c>
      <c r="W316" s="74" t="str">
        <f t="shared" si="69"/>
        <v/>
      </c>
      <c r="X316" s="74" t="str">
        <f t="shared" si="70"/>
        <v/>
      </c>
      <c r="Y316" s="74" t="str">
        <f t="shared" si="71"/>
        <v/>
      </c>
      <c r="Z316" s="74" t="str">
        <f t="shared" si="72"/>
        <v/>
      </c>
      <c r="AA316" s="74" t="str">
        <f t="shared" si="73"/>
        <v/>
      </c>
      <c r="AK316" s="73"/>
      <c r="AL316" s="73"/>
      <c r="AM316" s="73"/>
      <c r="AN316" s="73"/>
    </row>
    <row r="317" spans="17:40" x14ac:dyDescent="0.25">
      <c r="Q317" s="73" t="str">
        <f t="shared" si="64"/>
        <v/>
      </c>
      <c r="R317" s="80" t="str">
        <f>IF(Q317&lt;&gt;"",COUNTIF(Q$2:Q317,Q317),"")</f>
        <v/>
      </c>
      <c r="S317" s="73" t="str">
        <f t="shared" si="65"/>
        <v/>
      </c>
      <c r="T317" s="74" t="str">
        <f t="shared" si="66"/>
        <v/>
      </c>
      <c r="U317" s="74" t="str">
        <f t="shared" si="67"/>
        <v/>
      </c>
      <c r="V317" s="74" t="str">
        <f t="shared" si="68"/>
        <v/>
      </c>
      <c r="W317" s="74" t="str">
        <f t="shared" si="69"/>
        <v/>
      </c>
      <c r="X317" s="74" t="str">
        <f t="shared" si="70"/>
        <v/>
      </c>
      <c r="Y317" s="74" t="str">
        <f t="shared" si="71"/>
        <v/>
      </c>
      <c r="Z317" s="74" t="str">
        <f t="shared" si="72"/>
        <v/>
      </c>
      <c r="AA317" s="74" t="str">
        <f t="shared" si="73"/>
        <v/>
      </c>
      <c r="AK317" s="73"/>
      <c r="AL317" s="73"/>
      <c r="AM317" s="73"/>
      <c r="AN317" s="73"/>
    </row>
    <row r="318" spans="17:40" x14ac:dyDescent="0.25">
      <c r="Q318" s="73" t="str">
        <f t="shared" si="64"/>
        <v/>
      </c>
      <c r="R318" s="80" t="str">
        <f>IF(Q318&lt;&gt;"",COUNTIF(Q$2:Q318,Q318),"")</f>
        <v/>
      </c>
      <c r="S318" s="73" t="str">
        <f t="shared" si="65"/>
        <v/>
      </c>
      <c r="T318" s="74" t="str">
        <f t="shared" si="66"/>
        <v/>
      </c>
      <c r="U318" s="74" t="str">
        <f t="shared" si="67"/>
        <v/>
      </c>
      <c r="V318" s="74" t="str">
        <f t="shared" si="68"/>
        <v/>
      </c>
      <c r="W318" s="74" t="str">
        <f t="shared" si="69"/>
        <v/>
      </c>
      <c r="X318" s="74" t="str">
        <f t="shared" si="70"/>
        <v/>
      </c>
      <c r="Y318" s="74" t="str">
        <f t="shared" si="71"/>
        <v/>
      </c>
      <c r="Z318" s="74" t="str">
        <f t="shared" si="72"/>
        <v/>
      </c>
      <c r="AA318" s="74" t="str">
        <f t="shared" si="73"/>
        <v/>
      </c>
      <c r="AK318" s="73"/>
      <c r="AL318" s="73"/>
      <c r="AM318" s="73"/>
      <c r="AN318" s="73"/>
    </row>
    <row r="319" spans="17:40" x14ac:dyDescent="0.25">
      <c r="Q319" s="73" t="str">
        <f t="shared" si="64"/>
        <v/>
      </c>
      <c r="R319" s="80" t="str">
        <f>IF(Q319&lt;&gt;"",COUNTIF(Q$2:Q319,Q319),"")</f>
        <v/>
      </c>
      <c r="S319" s="73" t="str">
        <f t="shared" si="65"/>
        <v/>
      </c>
      <c r="T319" s="74" t="str">
        <f t="shared" si="66"/>
        <v/>
      </c>
      <c r="U319" s="74" t="str">
        <f t="shared" si="67"/>
        <v/>
      </c>
      <c r="V319" s="74" t="str">
        <f t="shared" si="68"/>
        <v/>
      </c>
      <c r="W319" s="74" t="str">
        <f t="shared" si="69"/>
        <v/>
      </c>
      <c r="X319" s="74" t="str">
        <f t="shared" si="70"/>
        <v/>
      </c>
      <c r="Y319" s="74" t="str">
        <f t="shared" si="71"/>
        <v/>
      </c>
      <c r="Z319" s="74" t="str">
        <f t="shared" si="72"/>
        <v/>
      </c>
      <c r="AA319" s="74" t="str">
        <f t="shared" si="73"/>
        <v/>
      </c>
      <c r="AK319" s="73"/>
      <c r="AL319" s="73"/>
      <c r="AM319" s="73"/>
      <c r="AN319" s="73"/>
    </row>
    <row r="320" spans="17:40" x14ac:dyDescent="0.25">
      <c r="Q320" s="73" t="str">
        <f t="shared" si="64"/>
        <v/>
      </c>
      <c r="R320" s="80" t="str">
        <f>IF(Q320&lt;&gt;"",COUNTIF(Q$2:Q320,Q320),"")</f>
        <v/>
      </c>
      <c r="S320" s="73" t="str">
        <f t="shared" si="65"/>
        <v/>
      </c>
      <c r="T320" s="74" t="str">
        <f t="shared" si="66"/>
        <v/>
      </c>
      <c r="U320" s="74" t="str">
        <f t="shared" si="67"/>
        <v/>
      </c>
      <c r="V320" s="74" t="str">
        <f t="shared" si="68"/>
        <v/>
      </c>
      <c r="W320" s="74" t="str">
        <f t="shared" si="69"/>
        <v/>
      </c>
      <c r="X320" s="74" t="str">
        <f t="shared" si="70"/>
        <v/>
      </c>
      <c r="Y320" s="74" t="str">
        <f t="shared" si="71"/>
        <v/>
      </c>
      <c r="Z320" s="74" t="str">
        <f t="shared" si="72"/>
        <v/>
      </c>
      <c r="AA320" s="74" t="str">
        <f t="shared" si="73"/>
        <v/>
      </c>
      <c r="AK320" s="73"/>
      <c r="AL320" s="73"/>
      <c r="AM320" s="73"/>
      <c r="AN320" s="73"/>
    </row>
    <row r="321" spans="17:40" x14ac:dyDescent="0.25">
      <c r="Q321" s="73" t="str">
        <f t="shared" si="64"/>
        <v/>
      </c>
      <c r="R321" s="80" t="str">
        <f>IF(Q321&lt;&gt;"",COUNTIF(Q$2:Q321,Q321),"")</f>
        <v/>
      </c>
      <c r="S321" s="73" t="str">
        <f t="shared" si="65"/>
        <v/>
      </c>
      <c r="T321" s="74" t="str">
        <f t="shared" si="66"/>
        <v/>
      </c>
      <c r="U321" s="74" t="str">
        <f t="shared" si="67"/>
        <v/>
      </c>
      <c r="V321" s="74" t="str">
        <f t="shared" si="68"/>
        <v/>
      </c>
      <c r="W321" s="74" t="str">
        <f t="shared" si="69"/>
        <v/>
      </c>
      <c r="X321" s="74" t="str">
        <f t="shared" si="70"/>
        <v/>
      </c>
      <c r="Y321" s="74" t="str">
        <f t="shared" si="71"/>
        <v/>
      </c>
      <c r="Z321" s="74" t="str">
        <f t="shared" si="72"/>
        <v/>
      </c>
      <c r="AA321" s="74" t="str">
        <f t="shared" si="73"/>
        <v/>
      </c>
      <c r="AK321" s="73"/>
      <c r="AL321" s="73"/>
      <c r="AM321" s="73"/>
      <c r="AN321" s="73"/>
    </row>
    <row r="322" spans="17:40" x14ac:dyDescent="0.25">
      <c r="Q322" s="73" t="str">
        <f t="shared" si="64"/>
        <v/>
      </c>
      <c r="R322" s="80" t="str">
        <f>IF(Q322&lt;&gt;"",COUNTIF(Q$2:Q322,Q322),"")</f>
        <v/>
      </c>
      <c r="S322" s="73" t="str">
        <f t="shared" si="65"/>
        <v/>
      </c>
      <c r="T322" s="74" t="str">
        <f t="shared" si="66"/>
        <v/>
      </c>
      <c r="U322" s="74" t="str">
        <f t="shared" si="67"/>
        <v/>
      </c>
      <c r="V322" s="74" t="str">
        <f t="shared" si="68"/>
        <v/>
      </c>
      <c r="W322" s="74" t="str">
        <f t="shared" si="69"/>
        <v/>
      </c>
      <c r="X322" s="74" t="str">
        <f t="shared" si="70"/>
        <v/>
      </c>
      <c r="Y322" s="74" t="str">
        <f t="shared" si="71"/>
        <v/>
      </c>
      <c r="Z322" s="74" t="str">
        <f t="shared" si="72"/>
        <v/>
      </c>
      <c r="AA322" s="74" t="str">
        <f t="shared" si="73"/>
        <v/>
      </c>
      <c r="AK322" s="73"/>
      <c r="AL322" s="73"/>
      <c r="AM322" s="73"/>
      <c r="AN322" s="73"/>
    </row>
    <row r="323" spans="17:40" x14ac:dyDescent="0.25">
      <c r="Q323" s="73" t="str">
        <f t="shared" si="64"/>
        <v/>
      </c>
      <c r="R323" s="80" t="str">
        <f>IF(Q323&lt;&gt;"",COUNTIF(Q$2:Q323,Q323),"")</f>
        <v/>
      </c>
      <c r="S323" s="73" t="str">
        <f t="shared" si="65"/>
        <v/>
      </c>
      <c r="T323" s="74" t="str">
        <f t="shared" si="66"/>
        <v/>
      </c>
      <c r="U323" s="74" t="str">
        <f t="shared" si="67"/>
        <v/>
      </c>
      <c r="V323" s="74" t="str">
        <f t="shared" si="68"/>
        <v/>
      </c>
      <c r="W323" s="74" t="str">
        <f t="shared" si="69"/>
        <v/>
      </c>
      <c r="X323" s="74" t="str">
        <f t="shared" si="70"/>
        <v/>
      </c>
      <c r="Y323" s="74" t="str">
        <f t="shared" si="71"/>
        <v/>
      </c>
      <c r="Z323" s="74" t="str">
        <f t="shared" si="72"/>
        <v/>
      </c>
      <c r="AA323" s="74" t="str">
        <f t="shared" si="73"/>
        <v/>
      </c>
      <c r="AK323" s="73"/>
      <c r="AL323" s="73"/>
      <c r="AM323" s="73"/>
      <c r="AN323" s="73"/>
    </row>
    <row r="324" spans="17:40" x14ac:dyDescent="0.25">
      <c r="Q324" s="73" t="str">
        <f t="shared" ref="Q324:Q362" si="74">IF(C324&lt;&gt;"",IF(L324&lt;&gt;"",L324,""),"")</f>
        <v/>
      </c>
      <c r="R324" s="80" t="str">
        <f>IF(Q324&lt;&gt;"",COUNTIF(Q$2:Q324,Q324),"")</f>
        <v/>
      </c>
      <c r="S324" s="73" t="str">
        <f t="shared" ref="S324:S362" si="75">IF(Q324&lt;&gt;"",D324,"")</f>
        <v/>
      </c>
      <c r="T324" s="74" t="str">
        <f t="shared" ref="T324:T362" si="76">IF(Q324&lt;&gt;"",E324,"")</f>
        <v/>
      </c>
      <c r="U324" s="74" t="str">
        <f t="shared" ref="U324:U362" si="77">IF(Q324&lt;&gt;"",IFERROR(SUBSTITUTE(LEFT(N324,FIND(";",N324)),";",""),""),"")</f>
        <v/>
      </c>
      <c r="V324" s="74" t="str">
        <f t="shared" ref="V324:V362" si="78">IF(Q324&lt;&gt;"",IFERROR(SUBSTITUTE(RIGHT(N324,FIND(";",N324)),";",""),""),"")</f>
        <v/>
      </c>
      <c r="W324" s="74" t="str">
        <f t="shared" ref="W324:W362" si="79">IF(R324&lt;&gt;"",IFERROR(SUBSTITUTE(LEFT(O324,FIND(";",O324)),";",""),""),"")</f>
        <v/>
      </c>
      <c r="X324" s="74" t="str">
        <f t="shared" ref="X324:X362" si="80">IF(U324&lt;&gt;"",_xlfn.NUMBERVALUE(U324),"")</f>
        <v/>
      </c>
      <c r="Y324" s="74" t="str">
        <f t="shared" ref="Y324:Y362" si="81">IF(V324&lt;&gt;"",_xlfn.NUMBERVALUE(V324),"")</f>
        <v/>
      </c>
      <c r="Z324" s="74" t="str">
        <f t="shared" ref="Z324:Z362" si="82">IF(W324&lt;&gt;"",_xlfn.NUMBERVALUE(W324),"")</f>
        <v/>
      </c>
      <c r="AA324" s="74" t="str">
        <f t="shared" ref="AA324:AA362" si="83">IF(O324&lt;&gt;"",IFERROR(IF(FIND("OK",O324)&gt;0,TRUE),FALSE),"")</f>
        <v/>
      </c>
      <c r="AK324" s="73"/>
      <c r="AL324" s="73"/>
      <c r="AM324" s="73"/>
      <c r="AN324" s="73"/>
    </row>
    <row r="325" spans="17:40" x14ac:dyDescent="0.25">
      <c r="Q325" s="73" t="str">
        <f t="shared" si="74"/>
        <v/>
      </c>
      <c r="R325" s="80" t="str">
        <f>IF(Q325&lt;&gt;"",COUNTIF(Q$2:Q325,Q325),"")</f>
        <v/>
      </c>
      <c r="S325" s="73" t="str">
        <f t="shared" si="75"/>
        <v/>
      </c>
      <c r="T325" s="74" t="str">
        <f t="shared" si="76"/>
        <v/>
      </c>
      <c r="U325" s="74" t="str">
        <f t="shared" si="77"/>
        <v/>
      </c>
      <c r="V325" s="74" t="str">
        <f t="shared" si="78"/>
        <v/>
      </c>
      <c r="W325" s="74" t="str">
        <f t="shared" si="79"/>
        <v/>
      </c>
      <c r="X325" s="74" t="str">
        <f t="shared" si="80"/>
        <v/>
      </c>
      <c r="Y325" s="74" t="str">
        <f t="shared" si="81"/>
        <v/>
      </c>
      <c r="Z325" s="74" t="str">
        <f t="shared" si="82"/>
        <v/>
      </c>
      <c r="AA325" s="74" t="str">
        <f t="shared" si="83"/>
        <v/>
      </c>
      <c r="AK325" s="73"/>
      <c r="AL325" s="73"/>
      <c r="AM325" s="73"/>
      <c r="AN325" s="73"/>
    </row>
    <row r="326" spans="17:40" x14ac:dyDescent="0.25">
      <c r="Q326" s="73" t="str">
        <f t="shared" si="74"/>
        <v/>
      </c>
      <c r="R326" s="80" t="str">
        <f>IF(Q326&lt;&gt;"",COUNTIF(Q$2:Q326,Q326),"")</f>
        <v/>
      </c>
      <c r="S326" s="73" t="str">
        <f t="shared" si="75"/>
        <v/>
      </c>
      <c r="T326" s="74" t="str">
        <f t="shared" si="76"/>
        <v/>
      </c>
      <c r="U326" s="74" t="str">
        <f t="shared" si="77"/>
        <v/>
      </c>
      <c r="V326" s="74" t="str">
        <f t="shared" si="78"/>
        <v/>
      </c>
      <c r="W326" s="74" t="str">
        <f t="shared" si="79"/>
        <v/>
      </c>
      <c r="X326" s="74" t="str">
        <f t="shared" si="80"/>
        <v/>
      </c>
      <c r="Y326" s="74" t="str">
        <f t="shared" si="81"/>
        <v/>
      </c>
      <c r="Z326" s="74" t="str">
        <f t="shared" si="82"/>
        <v/>
      </c>
      <c r="AA326" s="74" t="str">
        <f t="shared" si="83"/>
        <v/>
      </c>
      <c r="AK326" s="73"/>
      <c r="AL326" s="73"/>
      <c r="AM326" s="73"/>
      <c r="AN326" s="73"/>
    </row>
    <row r="327" spans="17:40" x14ac:dyDescent="0.25">
      <c r="Q327" s="73" t="str">
        <f t="shared" si="74"/>
        <v/>
      </c>
      <c r="R327" s="80" t="str">
        <f>IF(Q327&lt;&gt;"",COUNTIF(Q$2:Q327,Q327),"")</f>
        <v/>
      </c>
      <c r="S327" s="73" t="str">
        <f t="shared" si="75"/>
        <v/>
      </c>
      <c r="T327" s="74" t="str">
        <f t="shared" si="76"/>
        <v/>
      </c>
      <c r="U327" s="74" t="str">
        <f t="shared" si="77"/>
        <v/>
      </c>
      <c r="V327" s="74" t="str">
        <f t="shared" si="78"/>
        <v/>
      </c>
      <c r="W327" s="74" t="str">
        <f t="shared" si="79"/>
        <v/>
      </c>
      <c r="X327" s="74" t="str">
        <f t="shared" si="80"/>
        <v/>
      </c>
      <c r="Y327" s="74" t="str">
        <f t="shared" si="81"/>
        <v/>
      </c>
      <c r="Z327" s="74" t="str">
        <f t="shared" si="82"/>
        <v/>
      </c>
      <c r="AA327" s="74" t="str">
        <f t="shared" si="83"/>
        <v/>
      </c>
      <c r="AK327" s="73"/>
      <c r="AL327" s="73"/>
      <c r="AM327" s="73"/>
      <c r="AN327" s="73"/>
    </row>
    <row r="328" spans="17:40" x14ac:dyDescent="0.25">
      <c r="Q328" s="73" t="str">
        <f t="shared" si="74"/>
        <v/>
      </c>
      <c r="R328" s="80" t="str">
        <f>IF(Q328&lt;&gt;"",COUNTIF(Q$2:Q328,Q328),"")</f>
        <v/>
      </c>
      <c r="S328" s="73" t="str">
        <f t="shared" si="75"/>
        <v/>
      </c>
      <c r="T328" s="74" t="str">
        <f t="shared" si="76"/>
        <v/>
      </c>
      <c r="U328" s="74" t="str">
        <f t="shared" si="77"/>
        <v/>
      </c>
      <c r="V328" s="74" t="str">
        <f t="shared" si="78"/>
        <v/>
      </c>
      <c r="W328" s="74" t="str">
        <f t="shared" si="79"/>
        <v/>
      </c>
      <c r="X328" s="74" t="str">
        <f t="shared" si="80"/>
        <v/>
      </c>
      <c r="Y328" s="74" t="str">
        <f t="shared" si="81"/>
        <v/>
      </c>
      <c r="Z328" s="74" t="str">
        <f t="shared" si="82"/>
        <v/>
      </c>
      <c r="AA328" s="74" t="str">
        <f t="shared" si="83"/>
        <v/>
      </c>
      <c r="AK328" s="73"/>
      <c r="AL328" s="73"/>
      <c r="AM328" s="73"/>
      <c r="AN328" s="73"/>
    </row>
    <row r="329" spans="17:40" x14ac:dyDescent="0.25">
      <c r="Q329" s="73" t="str">
        <f t="shared" si="74"/>
        <v/>
      </c>
      <c r="R329" s="80" t="str">
        <f>IF(Q329&lt;&gt;"",COUNTIF(Q$2:Q329,Q329),"")</f>
        <v/>
      </c>
      <c r="S329" s="73" t="str">
        <f t="shared" si="75"/>
        <v/>
      </c>
      <c r="T329" s="74" t="str">
        <f t="shared" si="76"/>
        <v/>
      </c>
      <c r="U329" s="74" t="str">
        <f t="shared" si="77"/>
        <v/>
      </c>
      <c r="V329" s="74" t="str">
        <f t="shared" si="78"/>
        <v/>
      </c>
      <c r="W329" s="74" t="str">
        <f t="shared" si="79"/>
        <v/>
      </c>
      <c r="X329" s="74" t="str">
        <f t="shared" si="80"/>
        <v/>
      </c>
      <c r="Y329" s="74" t="str">
        <f t="shared" si="81"/>
        <v/>
      </c>
      <c r="Z329" s="74" t="str">
        <f t="shared" si="82"/>
        <v/>
      </c>
      <c r="AA329" s="74" t="str">
        <f t="shared" si="83"/>
        <v/>
      </c>
      <c r="AK329" s="73"/>
      <c r="AL329" s="73"/>
      <c r="AM329" s="73"/>
      <c r="AN329" s="73"/>
    </row>
    <row r="330" spans="17:40" x14ac:dyDescent="0.25">
      <c r="Q330" s="73" t="str">
        <f t="shared" si="74"/>
        <v/>
      </c>
      <c r="R330" s="80" t="str">
        <f>IF(Q330&lt;&gt;"",COUNTIF(Q$2:Q330,Q330),"")</f>
        <v/>
      </c>
      <c r="S330" s="73" t="str">
        <f t="shared" si="75"/>
        <v/>
      </c>
      <c r="T330" s="74" t="str">
        <f t="shared" si="76"/>
        <v/>
      </c>
      <c r="U330" s="74" t="str">
        <f t="shared" si="77"/>
        <v/>
      </c>
      <c r="V330" s="74" t="str">
        <f t="shared" si="78"/>
        <v/>
      </c>
      <c r="W330" s="74" t="str">
        <f t="shared" si="79"/>
        <v/>
      </c>
      <c r="X330" s="74" t="str">
        <f t="shared" si="80"/>
        <v/>
      </c>
      <c r="Y330" s="74" t="str">
        <f t="shared" si="81"/>
        <v/>
      </c>
      <c r="Z330" s="74" t="str">
        <f t="shared" si="82"/>
        <v/>
      </c>
      <c r="AA330" s="74" t="str">
        <f t="shared" si="83"/>
        <v/>
      </c>
      <c r="AK330" s="73"/>
      <c r="AL330" s="73"/>
      <c r="AM330" s="73"/>
      <c r="AN330" s="73"/>
    </row>
    <row r="331" spans="17:40" x14ac:dyDescent="0.25">
      <c r="Q331" s="73" t="str">
        <f t="shared" si="74"/>
        <v/>
      </c>
      <c r="R331" s="80" t="str">
        <f>IF(Q331&lt;&gt;"",COUNTIF(Q$2:Q331,Q331),"")</f>
        <v/>
      </c>
      <c r="S331" s="73" t="str">
        <f t="shared" si="75"/>
        <v/>
      </c>
      <c r="T331" s="74" t="str">
        <f t="shared" si="76"/>
        <v/>
      </c>
      <c r="U331" s="74" t="str">
        <f t="shared" si="77"/>
        <v/>
      </c>
      <c r="V331" s="74" t="str">
        <f t="shared" si="78"/>
        <v/>
      </c>
      <c r="W331" s="74" t="str">
        <f t="shared" si="79"/>
        <v/>
      </c>
      <c r="X331" s="74" t="str">
        <f t="shared" si="80"/>
        <v/>
      </c>
      <c r="Y331" s="74" t="str">
        <f t="shared" si="81"/>
        <v/>
      </c>
      <c r="Z331" s="74" t="str">
        <f t="shared" si="82"/>
        <v/>
      </c>
      <c r="AA331" s="74" t="str">
        <f t="shared" si="83"/>
        <v/>
      </c>
      <c r="AK331" s="73"/>
      <c r="AL331" s="73"/>
      <c r="AM331" s="73"/>
      <c r="AN331" s="73"/>
    </row>
    <row r="332" spans="17:40" x14ac:dyDescent="0.25">
      <c r="Q332" s="73" t="str">
        <f t="shared" si="74"/>
        <v/>
      </c>
      <c r="R332" s="80" t="str">
        <f>IF(Q332&lt;&gt;"",COUNTIF(Q$2:Q332,Q332),"")</f>
        <v/>
      </c>
      <c r="S332" s="73" t="str">
        <f t="shared" si="75"/>
        <v/>
      </c>
      <c r="T332" s="74" t="str">
        <f t="shared" si="76"/>
        <v/>
      </c>
      <c r="U332" s="74" t="str">
        <f t="shared" si="77"/>
        <v/>
      </c>
      <c r="V332" s="74" t="str">
        <f t="shared" si="78"/>
        <v/>
      </c>
      <c r="W332" s="74" t="str">
        <f t="shared" si="79"/>
        <v/>
      </c>
      <c r="X332" s="74" t="str">
        <f t="shared" si="80"/>
        <v/>
      </c>
      <c r="Y332" s="74" t="str">
        <f t="shared" si="81"/>
        <v/>
      </c>
      <c r="Z332" s="74" t="str">
        <f t="shared" si="82"/>
        <v/>
      </c>
      <c r="AA332" s="74" t="str">
        <f t="shared" si="83"/>
        <v/>
      </c>
      <c r="AK332" s="73"/>
      <c r="AL332" s="73"/>
      <c r="AM332" s="73"/>
      <c r="AN332" s="73"/>
    </row>
    <row r="333" spans="17:40" x14ac:dyDescent="0.25">
      <c r="Q333" s="73" t="str">
        <f t="shared" si="74"/>
        <v/>
      </c>
      <c r="R333" s="80" t="str">
        <f>IF(Q333&lt;&gt;"",COUNTIF(Q$2:Q333,Q333),"")</f>
        <v/>
      </c>
      <c r="S333" s="73" t="str">
        <f t="shared" si="75"/>
        <v/>
      </c>
      <c r="T333" s="74" t="str">
        <f t="shared" si="76"/>
        <v/>
      </c>
      <c r="U333" s="74" t="str">
        <f t="shared" si="77"/>
        <v/>
      </c>
      <c r="V333" s="74" t="str">
        <f t="shared" si="78"/>
        <v/>
      </c>
      <c r="W333" s="74" t="str">
        <f t="shared" si="79"/>
        <v/>
      </c>
      <c r="X333" s="74" t="str">
        <f t="shared" si="80"/>
        <v/>
      </c>
      <c r="Y333" s="74" t="str">
        <f t="shared" si="81"/>
        <v/>
      </c>
      <c r="Z333" s="74" t="str">
        <f t="shared" si="82"/>
        <v/>
      </c>
      <c r="AA333" s="74" t="str">
        <f t="shared" si="83"/>
        <v/>
      </c>
      <c r="AK333" s="73"/>
      <c r="AL333" s="73"/>
      <c r="AM333" s="73"/>
      <c r="AN333" s="73"/>
    </row>
    <row r="334" spans="17:40" x14ac:dyDescent="0.25">
      <c r="Q334" s="73" t="str">
        <f t="shared" si="74"/>
        <v/>
      </c>
      <c r="R334" s="80" t="str">
        <f>IF(Q334&lt;&gt;"",COUNTIF(Q$2:Q334,Q334),"")</f>
        <v/>
      </c>
      <c r="S334" s="73" t="str">
        <f t="shared" si="75"/>
        <v/>
      </c>
      <c r="T334" s="74" t="str">
        <f t="shared" si="76"/>
        <v/>
      </c>
      <c r="U334" s="74" t="str">
        <f t="shared" si="77"/>
        <v/>
      </c>
      <c r="V334" s="74" t="str">
        <f t="shared" si="78"/>
        <v/>
      </c>
      <c r="W334" s="74" t="str">
        <f t="shared" si="79"/>
        <v/>
      </c>
      <c r="X334" s="74" t="str">
        <f t="shared" si="80"/>
        <v/>
      </c>
      <c r="Y334" s="74" t="str">
        <f t="shared" si="81"/>
        <v/>
      </c>
      <c r="Z334" s="74" t="str">
        <f t="shared" si="82"/>
        <v/>
      </c>
      <c r="AA334" s="74" t="str">
        <f t="shared" si="83"/>
        <v/>
      </c>
      <c r="AK334" s="73"/>
      <c r="AL334" s="73"/>
      <c r="AM334" s="73"/>
      <c r="AN334" s="73"/>
    </row>
    <row r="335" spans="17:40" x14ac:dyDescent="0.25">
      <c r="Q335" s="73" t="str">
        <f t="shared" si="74"/>
        <v/>
      </c>
      <c r="R335" s="80" t="str">
        <f>IF(Q335&lt;&gt;"",COUNTIF(Q$2:Q335,Q335),"")</f>
        <v/>
      </c>
      <c r="S335" s="73" t="str">
        <f t="shared" si="75"/>
        <v/>
      </c>
      <c r="T335" s="74" t="str">
        <f t="shared" si="76"/>
        <v/>
      </c>
      <c r="U335" s="74" t="str">
        <f t="shared" si="77"/>
        <v/>
      </c>
      <c r="V335" s="74" t="str">
        <f t="shared" si="78"/>
        <v/>
      </c>
      <c r="W335" s="74" t="str">
        <f t="shared" si="79"/>
        <v/>
      </c>
      <c r="X335" s="74" t="str">
        <f t="shared" si="80"/>
        <v/>
      </c>
      <c r="Y335" s="74" t="str">
        <f t="shared" si="81"/>
        <v/>
      </c>
      <c r="Z335" s="74" t="str">
        <f t="shared" si="82"/>
        <v/>
      </c>
      <c r="AA335" s="74" t="str">
        <f t="shared" si="83"/>
        <v/>
      </c>
      <c r="AK335" s="73"/>
      <c r="AL335" s="73"/>
      <c r="AM335" s="73"/>
      <c r="AN335" s="73"/>
    </row>
    <row r="336" spans="17:40" x14ac:dyDescent="0.25">
      <c r="Q336" s="73" t="str">
        <f t="shared" si="74"/>
        <v/>
      </c>
      <c r="R336" s="80" t="str">
        <f>IF(Q336&lt;&gt;"",COUNTIF(Q$2:Q336,Q336),"")</f>
        <v/>
      </c>
      <c r="S336" s="73" t="str">
        <f t="shared" si="75"/>
        <v/>
      </c>
      <c r="T336" s="74" t="str">
        <f t="shared" si="76"/>
        <v/>
      </c>
      <c r="U336" s="74" t="str">
        <f t="shared" si="77"/>
        <v/>
      </c>
      <c r="V336" s="74" t="str">
        <f t="shared" si="78"/>
        <v/>
      </c>
      <c r="W336" s="74" t="str">
        <f t="shared" si="79"/>
        <v/>
      </c>
      <c r="X336" s="74" t="str">
        <f t="shared" si="80"/>
        <v/>
      </c>
      <c r="Y336" s="74" t="str">
        <f t="shared" si="81"/>
        <v/>
      </c>
      <c r="Z336" s="74" t="str">
        <f t="shared" si="82"/>
        <v/>
      </c>
      <c r="AA336" s="74" t="str">
        <f t="shared" si="83"/>
        <v/>
      </c>
      <c r="AK336" s="73"/>
      <c r="AL336" s="73"/>
      <c r="AM336" s="73"/>
      <c r="AN336" s="73"/>
    </row>
    <row r="337" spans="17:40" x14ac:dyDescent="0.25">
      <c r="Q337" s="73" t="str">
        <f t="shared" si="74"/>
        <v/>
      </c>
      <c r="R337" s="80" t="str">
        <f>IF(Q337&lt;&gt;"",COUNTIF(Q$2:Q337,Q337),"")</f>
        <v/>
      </c>
      <c r="S337" s="73" t="str">
        <f t="shared" si="75"/>
        <v/>
      </c>
      <c r="T337" s="74" t="str">
        <f t="shared" si="76"/>
        <v/>
      </c>
      <c r="U337" s="74" t="str">
        <f t="shared" si="77"/>
        <v/>
      </c>
      <c r="V337" s="74" t="str">
        <f t="shared" si="78"/>
        <v/>
      </c>
      <c r="W337" s="74" t="str">
        <f t="shared" si="79"/>
        <v/>
      </c>
      <c r="X337" s="74" t="str">
        <f t="shared" si="80"/>
        <v/>
      </c>
      <c r="Y337" s="74" t="str">
        <f t="shared" si="81"/>
        <v/>
      </c>
      <c r="Z337" s="74" t="str">
        <f t="shared" si="82"/>
        <v/>
      </c>
      <c r="AA337" s="74" t="str">
        <f t="shared" si="83"/>
        <v/>
      </c>
      <c r="AK337" s="73"/>
      <c r="AL337" s="73"/>
      <c r="AM337" s="73"/>
      <c r="AN337" s="73"/>
    </row>
    <row r="338" spans="17:40" x14ac:dyDescent="0.25">
      <c r="Q338" s="73" t="str">
        <f t="shared" si="74"/>
        <v/>
      </c>
      <c r="R338" s="80" t="str">
        <f>IF(Q338&lt;&gt;"",COUNTIF(Q$2:Q338,Q338),"")</f>
        <v/>
      </c>
      <c r="S338" s="73" t="str">
        <f t="shared" si="75"/>
        <v/>
      </c>
      <c r="T338" s="74" t="str">
        <f t="shared" si="76"/>
        <v/>
      </c>
      <c r="U338" s="74" t="str">
        <f t="shared" si="77"/>
        <v/>
      </c>
      <c r="V338" s="74" t="str">
        <f t="shared" si="78"/>
        <v/>
      </c>
      <c r="W338" s="74" t="str">
        <f t="shared" si="79"/>
        <v/>
      </c>
      <c r="X338" s="74" t="str">
        <f t="shared" si="80"/>
        <v/>
      </c>
      <c r="Y338" s="74" t="str">
        <f t="shared" si="81"/>
        <v/>
      </c>
      <c r="Z338" s="74" t="str">
        <f t="shared" si="82"/>
        <v/>
      </c>
      <c r="AA338" s="74" t="str">
        <f t="shared" si="83"/>
        <v/>
      </c>
      <c r="AK338" s="73"/>
      <c r="AL338" s="73"/>
      <c r="AM338" s="73"/>
      <c r="AN338" s="73"/>
    </row>
    <row r="339" spans="17:40" x14ac:dyDescent="0.25">
      <c r="Q339" s="73" t="str">
        <f t="shared" si="74"/>
        <v/>
      </c>
      <c r="R339" s="80" t="str">
        <f>IF(Q339&lt;&gt;"",COUNTIF(Q$2:Q339,Q339),"")</f>
        <v/>
      </c>
      <c r="S339" s="73" t="str">
        <f t="shared" si="75"/>
        <v/>
      </c>
      <c r="T339" s="74" t="str">
        <f t="shared" si="76"/>
        <v/>
      </c>
      <c r="U339" s="74" t="str">
        <f t="shared" si="77"/>
        <v/>
      </c>
      <c r="V339" s="74" t="str">
        <f t="shared" si="78"/>
        <v/>
      </c>
      <c r="W339" s="74" t="str">
        <f t="shared" si="79"/>
        <v/>
      </c>
      <c r="X339" s="74" t="str">
        <f t="shared" si="80"/>
        <v/>
      </c>
      <c r="Y339" s="74" t="str">
        <f t="shared" si="81"/>
        <v/>
      </c>
      <c r="Z339" s="74" t="str">
        <f t="shared" si="82"/>
        <v/>
      </c>
      <c r="AA339" s="74" t="str">
        <f t="shared" si="83"/>
        <v/>
      </c>
      <c r="AK339" s="73"/>
      <c r="AL339" s="73"/>
      <c r="AM339" s="73"/>
      <c r="AN339" s="73"/>
    </row>
    <row r="340" spans="17:40" x14ac:dyDescent="0.25">
      <c r="Q340" s="73" t="str">
        <f t="shared" si="74"/>
        <v/>
      </c>
      <c r="R340" s="80" t="str">
        <f>IF(Q340&lt;&gt;"",COUNTIF(Q$2:Q340,Q340),"")</f>
        <v/>
      </c>
      <c r="S340" s="73" t="str">
        <f t="shared" si="75"/>
        <v/>
      </c>
      <c r="T340" s="74" t="str">
        <f t="shared" si="76"/>
        <v/>
      </c>
      <c r="U340" s="74" t="str">
        <f t="shared" si="77"/>
        <v/>
      </c>
      <c r="V340" s="74" t="str">
        <f t="shared" si="78"/>
        <v/>
      </c>
      <c r="W340" s="74" t="str">
        <f t="shared" si="79"/>
        <v/>
      </c>
      <c r="X340" s="74" t="str">
        <f t="shared" si="80"/>
        <v/>
      </c>
      <c r="Y340" s="74" t="str">
        <f t="shared" si="81"/>
        <v/>
      </c>
      <c r="Z340" s="74" t="str">
        <f t="shared" si="82"/>
        <v/>
      </c>
      <c r="AA340" s="74" t="str">
        <f t="shared" si="83"/>
        <v/>
      </c>
      <c r="AK340" s="73"/>
      <c r="AL340" s="73"/>
      <c r="AM340" s="73"/>
      <c r="AN340" s="73"/>
    </row>
    <row r="341" spans="17:40" x14ac:dyDescent="0.25">
      <c r="Q341" s="73" t="str">
        <f t="shared" si="74"/>
        <v/>
      </c>
      <c r="R341" s="80" t="str">
        <f>IF(Q341&lt;&gt;"",COUNTIF(Q$2:Q341,Q341),"")</f>
        <v/>
      </c>
      <c r="S341" s="73" t="str">
        <f t="shared" si="75"/>
        <v/>
      </c>
      <c r="T341" s="74" t="str">
        <f t="shared" si="76"/>
        <v/>
      </c>
      <c r="U341" s="74" t="str">
        <f t="shared" si="77"/>
        <v/>
      </c>
      <c r="V341" s="74" t="str">
        <f t="shared" si="78"/>
        <v/>
      </c>
      <c r="W341" s="74" t="str">
        <f t="shared" si="79"/>
        <v/>
      </c>
      <c r="X341" s="74" t="str">
        <f t="shared" si="80"/>
        <v/>
      </c>
      <c r="Y341" s="74" t="str">
        <f t="shared" si="81"/>
        <v/>
      </c>
      <c r="Z341" s="74" t="str">
        <f t="shared" si="82"/>
        <v/>
      </c>
      <c r="AA341" s="74" t="str">
        <f t="shared" si="83"/>
        <v/>
      </c>
      <c r="AK341" s="73"/>
      <c r="AL341" s="73"/>
      <c r="AM341" s="73"/>
      <c r="AN341" s="73"/>
    </row>
    <row r="342" spans="17:40" x14ac:dyDescent="0.25">
      <c r="Q342" s="73" t="str">
        <f t="shared" si="74"/>
        <v/>
      </c>
      <c r="R342" s="80" t="str">
        <f>IF(Q342&lt;&gt;"",COUNTIF(Q$2:Q342,Q342),"")</f>
        <v/>
      </c>
      <c r="S342" s="73" t="str">
        <f t="shared" si="75"/>
        <v/>
      </c>
      <c r="T342" s="74" t="str">
        <f t="shared" si="76"/>
        <v/>
      </c>
      <c r="U342" s="74" t="str">
        <f t="shared" si="77"/>
        <v/>
      </c>
      <c r="V342" s="74" t="str">
        <f t="shared" si="78"/>
        <v/>
      </c>
      <c r="W342" s="74" t="str">
        <f t="shared" si="79"/>
        <v/>
      </c>
      <c r="X342" s="74" t="str">
        <f t="shared" si="80"/>
        <v/>
      </c>
      <c r="Y342" s="74" t="str">
        <f t="shared" si="81"/>
        <v/>
      </c>
      <c r="Z342" s="74" t="str">
        <f t="shared" si="82"/>
        <v/>
      </c>
      <c r="AA342" s="74" t="str">
        <f t="shared" si="83"/>
        <v/>
      </c>
      <c r="AK342" s="73"/>
      <c r="AL342" s="73"/>
      <c r="AM342" s="73"/>
      <c r="AN342" s="73"/>
    </row>
    <row r="343" spans="17:40" x14ac:dyDescent="0.25">
      <c r="Q343" s="73" t="str">
        <f t="shared" si="74"/>
        <v/>
      </c>
      <c r="R343" s="80" t="str">
        <f>IF(Q343&lt;&gt;"",COUNTIF(Q$2:Q343,Q343),"")</f>
        <v/>
      </c>
      <c r="S343" s="73" t="str">
        <f t="shared" si="75"/>
        <v/>
      </c>
      <c r="T343" s="74" t="str">
        <f t="shared" si="76"/>
        <v/>
      </c>
      <c r="U343" s="74" t="str">
        <f t="shared" si="77"/>
        <v/>
      </c>
      <c r="V343" s="74" t="str">
        <f t="shared" si="78"/>
        <v/>
      </c>
      <c r="W343" s="74" t="str">
        <f t="shared" si="79"/>
        <v/>
      </c>
      <c r="X343" s="74" t="str">
        <f t="shared" si="80"/>
        <v/>
      </c>
      <c r="Y343" s="74" t="str">
        <f t="shared" si="81"/>
        <v/>
      </c>
      <c r="Z343" s="74" t="str">
        <f t="shared" si="82"/>
        <v/>
      </c>
      <c r="AA343" s="74" t="str">
        <f t="shared" si="83"/>
        <v/>
      </c>
      <c r="AK343" s="73"/>
      <c r="AL343" s="73"/>
      <c r="AM343" s="73"/>
      <c r="AN343" s="73"/>
    </row>
    <row r="344" spans="17:40" x14ac:dyDescent="0.25">
      <c r="Q344" s="73" t="str">
        <f t="shared" si="74"/>
        <v/>
      </c>
      <c r="R344" s="80" t="str">
        <f>IF(Q344&lt;&gt;"",COUNTIF(Q$2:Q344,Q344),"")</f>
        <v/>
      </c>
      <c r="S344" s="73" t="str">
        <f t="shared" si="75"/>
        <v/>
      </c>
      <c r="T344" s="74" t="str">
        <f t="shared" si="76"/>
        <v/>
      </c>
      <c r="U344" s="74" t="str">
        <f t="shared" si="77"/>
        <v/>
      </c>
      <c r="V344" s="74" t="str">
        <f t="shared" si="78"/>
        <v/>
      </c>
      <c r="W344" s="74" t="str">
        <f t="shared" si="79"/>
        <v/>
      </c>
      <c r="X344" s="74" t="str">
        <f t="shared" si="80"/>
        <v/>
      </c>
      <c r="Y344" s="74" t="str">
        <f t="shared" si="81"/>
        <v/>
      </c>
      <c r="Z344" s="74" t="str">
        <f t="shared" si="82"/>
        <v/>
      </c>
      <c r="AA344" s="74" t="str">
        <f t="shared" si="83"/>
        <v/>
      </c>
      <c r="AK344" s="73"/>
      <c r="AL344" s="73"/>
      <c r="AM344" s="73"/>
      <c r="AN344" s="73"/>
    </row>
    <row r="345" spans="17:40" x14ac:dyDescent="0.25">
      <c r="Q345" s="73" t="str">
        <f t="shared" si="74"/>
        <v/>
      </c>
      <c r="R345" s="80" t="str">
        <f>IF(Q345&lt;&gt;"",COUNTIF(Q$2:Q345,Q345),"")</f>
        <v/>
      </c>
      <c r="S345" s="73" t="str">
        <f t="shared" si="75"/>
        <v/>
      </c>
      <c r="T345" s="74" t="str">
        <f t="shared" si="76"/>
        <v/>
      </c>
      <c r="U345" s="74" t="str">
        <f t="shared" si="77"/>
        <v/>
      </c>
      <c r="V345" s="74" t="str">
        <f t="shared" si="78"/>
        <v/>
      </c>
      <c r="W345" s="74" t="str">
        <f t="shared" si="79"/>
        <v/>
      </c>
      <c r="X345" s="74" t="str">
        <f t="shared" si="80"/>
        <v/>
      </c>
      <c r="Y345" s="74" t="str">
        <f t="shared" si="81"/>
        <v/>
      </c>
      <c r="Z345" s="74" t="str">
        <f t="shared" si="82"/>
        <v/>
      </c>
      <c r="AA345" s="74" t="str">
        <f t="shared" si="83"/>
        <v/>
      </c>
      <c r="AK345" s="73"/>
      <c r="AL345" s="73"/>
      <c r="AM345" s="73"/>
      <c r="AN345" s="73"/>
    </row>
    <row r="346" spans="17:40" x14ac:dyDescent="0.25">
      <c r="Q346" s="73" t="str">
        <f t="shared" si="74"/>
        <v/>
      </c>
      <c r="R346" s="80" t="str">
        <f>IF(Q346&lt;&gt;"",COUNTIF(Q$2:Q346,Q346),"")</f>
        <v/>
      </c>
      <c r="S346" s="73" t="str">
        <f t="shared" si="75"/>
        <v/>
      </c>
      <c r="T346" s="74" t="str">
        <f t="shared" si="76"/>
        <v/>
      </c>
      <c r="U346" s="74" t="str">
        <f t="shared" si="77"/>
        <v/>
      </c>
      <c r="V346" s="74" t="str">
        <f t="shared" si="78"/>
        <v/>
      </c>
      <c r="W346" s="74" t="str">
        <f t="shared" si="79"/>
        <v/>
      </c>
      <c r="X346" s="74" t="str">
        <f t="shared" si="80"/>
        <v/>
      </c>
      <c r="Y346" s="74" t="str">
        <f t="shared" si="81"/>
        <v/>
      </c>
      <c r="Z346" s="74" t="str">
        <f t="shared" si="82"/>
        <v/>
      </c>
      <c r="AA346" s="74" t="str">
        <f t="shared" si="83"/>
        <v/>
      </c>
      <c r="AK346" s="73"/>
      <c r="AL346" s="73"/>
      <c r="AM346" s="73"/>
      <c r="AN346" s="73"/>
    </row>
    <row r="347" spans="17:40" x14ac:dyDescent="0.25">
      <c r="Q347" s="73" t="str">
        <f t="shared" si="74"/>
        <v/>
      </c>
      <c r="R347" s="80" t="str">
        <f>IF(Q347&lt;&gt;"",COUNTIF(Q$2:Q347,Q347),"")</f>
        <v/>
      </c>
      <c r="S347" s="73" t="str">
        <f t="shared" si="75"/>
        <v/>
      </c>
      <c r="T347" s="74" t="str">
        <f t="shared" si="76"/>
        <v/>
      </c>
      <c r="U347" s="74" t="str">
        <f t="shared" si="77"/>
        <v/>
      </c>
      <c r="V347" s="74" t="str">
        <f t="shared" si="78"/>
        <v/>
      </c>
      <c r="W347" s="74" t="str">
        <f t="shared" si="79"/>
        <v/>
      </c>
      <c r="X347" s="74" t="str">
        <f t="shared" si="80"/>
        <v/>
      </c>
      <c r="Y347" s="74" t="str">
        <f t="shared" si="81"/>
        <v/>
      </c>
      <c r="Z347" s="74" t="str">
        <f t="shared" si="82"/>
        <v/>
      </c>
      <c r="AA347" s="74" t="str">
        <f t="shared" si="83"/>
        <v/>
      </c>
      <c r="AK347" s="73"/>
      <c r="AL347" s="73"/>
      <c r="AM347" s="73"/>
      <c r="AN347" s="73"/>
    </row>
    <row r="348" spans="17:40" x14ac:dyDescent="0.25">
      <c r="Q348" s="73" t="str">
        <f t="shared" si="74"/>
        <v/>
      </c>
      <c r="R348" s="80" t="str">
        <f>IF(Q348&lt;&gt;"",COUNTIF(Q$2:Q348,Q348),"")</f>
        <v/>
      </c>
      <c r="S348" s="73" t="str">
        <f t="shared" si="75"/>
        <v/>
      </c>
      <c r="T348" s="74" t="str">
        <f t="shared" si="76"/>
        <v/>
      </c>
      <c r="U348" s="74" t="str">
        <f t="shared" si="77"/>
        <v/>
      </c>
      <c r="V348" s="74" t="str">
        <f t="shared" si="78"/>
        <v/>
      </c>
      <c r="W348" s="74" t="str">
        <f t="shared" si="79"/>
        <v/>
      </c>
      <c r="X348" s="74" t="str">
        <f t="shared" si="80"/>
        <v/>
      </c>
      <c r="Y348" s="74" t="str">
        <f t="shared" si="81"/>
        <v/>
      </c>
      <c r="Z348" s="74" t="str">
        <f t="shared" si="82"/>
        <v/>
      </c>
      <c r="AA348" s="74" t="str">
        <f t="shared" si="83"/>
        <v/>
      </c>
      <c r="AK348" s="73"/>
      <c r="AL348" s="73"/>
      <c r="AM348" s="73"/>
      <c r="AN348" s="73"/>
    </row>
    <row r="349" spans="17:40" x14ac:dyDescent="0.25">
      <c r="Q349" s="73" t="str">
        <f t="shared" si="74"/>
        <v/>
      </c>
      <c r="R349" s="80" t="str">
        <f>IF(Q349&lt;&gt;"",COUNTIF(Q$2:Q349,Q349),"")</f>
        <v/>
      </c>
      <c r="S349" s="73" t="str">
        <f t="shared" si="75"/>
        <v/>
      </c>
      <c r="T349" s="74" t="str">
        <f t="shared" si="76"/>
        <v/>
      </c>
      <c r="U349" s="74" t="str">
        <f t="shared" si="77"/>
        <v/>
      </c>
      <c r="V349" s="74" t="str">
        <f t="shared" si="78"/>
        <v/>
      </c>
      <c r="W349" s="74" t="str">
        <f t="shared" si="79"/>
        <v/>
      </c>
      <c r="X349" s="74" t="str">
        <f t="shared" si="80"/>
        <v/>
      </c>
      <c r="Y349" s="74" t="str">
        <f t="shared" si="81"/>
        <v/>
      </c>
      <c r="Z349" s="74" t="str">
        <f t="shared" si="82"/>
        <v/>
      </c>
      <c r="AA349" s="74" t="str">
        <f t="shared" si="83"/>
        <v/>
      </c>
      <c r="AK349" s="73"/>
      <c r="AL349" s="73"/>
      <c r="AM349" s="73"/>
      <c r="AN349" s="73"/>
    </row>
    <row r="350" spans="17:40" x14ac:dyDescent="0.25">
      <c r="Q350" s="73" t="str">
        <f t="shared" si="74"/>
        <v/>
      </c>
      <c r="R350" s="80" t="str">
        <f>IF(Q350&lt;&gt;"",COUNTIF(Q$2:Q350,Q350),"")</f>
        <v/>
      </c>
      <c r="S350" s="73" t="str">
        <f t="shared" si="75"/>
        <v/>
      </c>
      <c r="T350" s="74" t="str">
        <f t="shared" si="76"/>
        <v/>
      </c>
      <c r="U350" s="74" t="str">
        <f t="shared" si="77"/>
        <v/>
      </c>
      <c r="V350" s="74" t="str">
        <f t="shared" si="78"/>
        <v/>
      </c>
      <c r="W350" s="74" t="str">
        <f t="shared" si="79"/>
        <v/>
      </c>
      <c r="X350" s="74" t="str">
        <f t="shared" si="80"/>
        <v/>
      </c>
      <c r="Y350" s="74" t="str">
        <f t="shared" si="81"/>
        <v/>
      </c>
      <c r="Z350" s="74" t="str">
        <f t="shared" si="82"/>
        <v/>
      </c>
      <c r="AA350" s="74" t="str">
        <f t="shared" si="83"/>
        <v/>
      </c>
      <c r="AK350" s="73"/>
      <c r="AL350" s="73"/>
      <c r="AM350" s="73"/>
      <c r="AN350" s="73"/>
    </row>
    <row r="351" spans="17:40" x14ac:dyDescent="0.25">
      <c r="Q351" s="73" t="str">
        <f t="shared" si="74"/>
        <v/>
      </c>
      <c r="R351" s="80" t="str">
        <f>IF(Q351&lt;&gt;"",COUNTIF(Q$2:Q351,Q351),"")</f>
        <v/>
      </c>
      <c r="S351" s="73" t="str">
        <f t="shared" si="75"/>
        <v/>
      </c>
      <c r="T351" s="74" t="str">
        <f t="shared" si="76"/>
        <v/>
      </c>
      <c r="U351" s="74" t="str">
        <f t="shared" si="77"/>
        <v/>
      </c>
      <c r="V351" s="74" t="str">
        <f t="shared" si="78"/>
        <v/>
      </c>
      <c r="W351" s="74" t="str">
        <f t="shared" si="79"/>
        <v/>
      </c>
      <c r="X351" s="74" t="str">
        <f t="shared" si="80"/>
        <v/>
      </c>
      <c r="Y351" s="74" t="str">
        <f t="shared" si="81"/>
        <v/>
      </c>
      <c r="Z351" s="74" t="str">
        <f t="shared" si="82"/>
        <v/>
      </c>
      <c r="AA351" s="74" t="str">
        <f t="shared" si="83"/>
        <v/>
      </c>
      <c r="AK351" s="73"/>
      <c r="AL351" s="73"/>
      <c r="AM351" s="73"/>
      <c r="AN351" s="73"/>
    </row>
    <row r="352" spans="17:40" x14ac:dyDescent="0.25">
      <c r="Q352" s="73" t="str">
        <f t="shared" si="74"/>
        <v/>
      </c>
      <c r="R352" s="80" t="str">
        <f>IF(Q352&lt;&gt;"",COUNTIF(Q$2:Q352,Q352),"")</f>
        <v/>
      </c>
      <c r="S352" s="73" t="str">
        <f t="shared" si="75"/>
        <v/>
      </c>
      <c r="T352" s="74" t="str">
        <f t="shared" si="76"/>
        <v/>
      </c>
      <c r="U352" s="74" t="str">
        <f t="shared" si="77"/>
        <v/>
      </c>
      <c r="V352" s="74" t="str">
        <f t="shared" si="78"/>
        <v/>
      </c>
      <c r="W352" s="74" t="str">
        <f t="shared" si="79"/>
        <v/>
      </c>
      <c r="X352" s="74" t="str">
        <f t="shared" si="80"/>
        <v/>
      </c>
      <c r="Y352" s="74" t="str">
        <f t="shared" si="81"/>
        <v/>
      </c>
      <c r="Z352" s="74" t="str">
        <f t="shared" si="82"/>
        <v/>
      </c>
      <c r="AA352" s="74" t="str">
        <f t="shared" si="83"/>
        <v/>
      </c>
      <c r="AK352" s="73"/>
      <c r="AL352" s="73"/>
      <c r="AM352" s="73"/>
      <c r="AN352" s="73"/>
    </row>
    <row r="353" spans="17:40" x14ac:dyDescent="0.25">
      <c r="Q353" s="73" t="str">
        <f t="shared" si="74"/>
        <v/>
      </c>
      <c r="R353" s="80" t="str">
        <f>IF(Q353&lt;&gt;"",COUNTIF(Q$2:Q353,Q353),"")</f>
        <v/>
      </c>
      <c r="S353" s="73" t="str">
        <f t="shared" si="75"/>
        <v/>
      </c>
      <c r="T353" s="74" t="str">
        <f t="shared" si="76"/>
        <v/>
      </c>
      <c r="U353" s="74" t="str">
        <f t="shared" si="77"/>
        <v/>
      </c>
      <c r="V353" s="74" t="str">
        <f t="shared" si="78"/>
        <v/>
      </c>
      <c r="W353" s="74" t="str">
        <f t="shared" si="79"/>
        <v/>
      </c>
      <c r="X353" s="74" t="str">
        <f t="shared" si="80"/>
        <v/>
      </c>
      <c r="Y353" s="74" t="str">
        <f t="shared" si="81"/>
        <v/>
      </c>
      <c r="Z353" s="74" t="str">
        <f t="shared" si="82"/>
        <v/>
      </c>
      <c r="AA353" s="74" t="str">
        <f t="shared" si="83"/>
        <v/>
      </c>
      <c r="AK353" s="73"/>
      <c r="AL353" s="73"/>
      <c r="AM353" s="73"/>
      <c r="AN353" s="73"/>
    </row>
    <row r="354" spans="17:40" x14ac:dyDescent="0.25">
      <c r="Q354" s="73" t="str">
        <f t="shared" si="74"/>
        <v/>
      </c>
      <c r="R354" s="80" t="str">
        <f>IF(Q354&lt;&gt;"",COUNTIF(Q$2:Q354,Q354),"")</f>
        <v/>
      </c>
      <c r="S354" s="73" t="str">
        <f t="shared" si="75"/>
        <v/>
      </c>
      <c r="T354" s="74" t="str">
        <f t="shared" si="76"/>
        <v/>
      </c>
      <c r="U354" s="74" t="str">
        <f t="shared" si="77"/>
        <v/>
      </c>
      <c r="V354" s="74" t="str">
        <f t="shared" si="78"/>
        <v/>
      </c>
      <c r="W354" s="74" t="str">
        <f t="shared" si="79"/>
        <v/>
      </c>
      <c r="X354" s="74" t="str">
        <f t="shared" si="80"/>
        <v/>
      </c>
      <c r="Y354" s="74" t="str">
        <f t="shared" si="81"/>
        <v/>
      </c>
      <c r="Z354" s="74" t="str">
        <f t="shared" si="82"/>
        <v/>
      </c>
      <c r="AA354" s="74" t="str">
        <f t="shared" si="83"/>
        <v/>
      </c>
      <c r="AK354" s="73"/>
      <c r="AL354" s="73"/>
      <c r="AM354" s="73"/>
      <c r="AN354" s="73"/>
    </row>
    <row r="355" spans="17:40" x14ac:dyDescent="0.25">
      <c r="Q355" s="73" t="str">
        <f t="shared" si="74"/>
        <v/>
      </c>
      <c r="R355" s="80" t="str">
        <f>IF(Q355&lt;&gt;"",COUNTIF(Q$2:Q355,Q355),"")</f>
        <v/>
      </c>
      <c r="S355" s="73" t="str">
        <f t="shared" si="75"/>
        <v/>
      </c>
      <c r="T355" s="74" t="str">
        <f t="shared" si="76"/>
        <v/>
      </c>
      <c r="U355" s="74" t="str">
        <f t="shared" si="77"/>
        <v/>
      </c>
      <c r="V355" s="74" t="str">
        <f t="shared" si="78"/>
        <v/>
      </c>
      <c r="W355" s="74" t="str">
        <f t="shared" si="79"/>
        <v/>
      </c>
      <c r="X355" s="74" t="str">
        <f t="shared" si="80"/>
        <v/>
      </c>
      <c r="Y355" s="74" t="str">
        <f t="shared" si="81"/>
        <v/>
      </c>
      <c r="Z355" s="74" t="str">
        <f t="shared" si="82"/>
        <v/>
      </c>
      <c r="AA355" s="74" t="str">
        <f t="shared" si="83"/>
        <v/>
      </c>
      <c r="AK355" s="73"/>
      <c r="AL355" s="73"/>
      <c r="AM355" s="73"/>
      <c r="AN355" s="73"/>
    </row>
    <row r="356" spans="17:40" x14ac:dyDescent="0.25">
      <c r="Q356" s="73" t="str">
        <f t="shared" si="74"/>
        <v/>
      </c>
      <c r="R356" s="80" t="str">
        <f>IF(Q356&lt;&gt;"",COUNTIF(Q$2:Q356,Q356),"")</f>
        <v/>
      </c>
      <c r="S356" s="73" t="str">
        <f t="shared" si="75"/>
        <v/>
      </c>
      <c r="T356" s="74" t="str">
        <f t="shared" si="76"/>
        <v/>
      </c>
      <c r="U356" s="74" t="str">
        <f t="shared" si="77"/>
        <v/>
      </c>
      <c r="V356" s="74" t="str">
        <f t="shared" si="78"/>
        <v/>
      </c>
      <c r="W356" s="74" t="str">
        <f t="shared" si="79"/>
        <v/>
      </c>
      <c r="X356" s="74" t="str">
        <f t="shared" si="80"/>
        <v/>
      </c>
      <c r="Y356" s="74" t="str">
        <f t="shared" si="81"/>
        <v/>
      </c>
      <c r="Z356" s="74" t="str">
        <f t="shared" si="82"/>
        <v/>
      </c>
      <c r="AA356" s="74" t="str">
        <f t="shared" si="83"/>
        <v/>
      </c>
      <c r="AK356" s="73"/>
      <c r="AL356" s="73"/>
      <c r="AM356" s="73"/>
      <c r="AN356" s="73"/>
    </row>
    <row r="357" spans="17:40" x14ac:dyDescent="0.25">
      <c r="Q357" s="73" t="str">
        <f t="shared" si="74"/>
        <v/>
      </c>
      <c r="R357" s="80" t="str">
        <f>IF(Q357&lt;&gt;"",COUNTIF(Q$2:Q357,Q357),"")</f>
        <v/>
      </c>
      <c r="S357" s="73" t="str">
        <f t="shared" si="75"/>
        <v/>
      </c>
      <c r="T357" s="74" t="str">
        <f t="shared" si="76"/>
        <v/>
      </c>
      <c r="U357" s="74" t="str">
        <f t="shared" si="77"/>
        <v/>
      </c>
      <c r="V357" s="74" t="str">
        <f t="shared" si="78"/>
        <v/>
      </c>
      <c r="W357" s="74" t="str">
        <f t="shared" si="79"/>
        <v/>
      </c>
      <c r="X357" s="74" t="str">
        <f t="shared" si="80"/>
        <v/>
      </c>
      <c r="Y357" s="74" t="str">
        <f t="shared" si="81"/>
        <v/>
      </c>
      <c r="Z357" s="74" t="str">
        <f t="shared" si="82"/>
        <v/>
      </c>
      <c r="AA357" s="74" t="str">
        <f t="shared" si="83"/>
        <v/>
      </c>
      <c r="AK357" s="73"/>
      <c r="AL357" s="73"/>
      <c r="AM357" s="73"/>
      <c r="AN357" s="73"/>
    </row>
    <row r="358" spans="17:40" x14ac:dyDescent="0.25">
      <c r="Q358" s="73" t="str">
        <f t="shared" si="74"/>
        <v/>
      </c>
      <c r="R358" s="80" t="str">
        <f>IF(Q358&lt;&gt;"",COUNTIF(Q$2:Q358,Q358),"")</f>
        <v/>
      </c>
      <c r="S358" s="73" t="str">
        <f t="shared" si="75"/>
        <v/>
      </c>
      <c r="T358" s="74" t="str">
        <f t="shared" si="76"/>
        <v/>
      </c>
      <c r="U358" s="74" t="str">
        <f t="shared" si="77"/>
        <v/>
      </c>
      <c r="V358" s="74" t="str">
        <f t="shared" si="78"/>
        <v/>
      </c>
      <c r="W358" s="74" t="str">
        <f t="shared" si="79"/>
        <v/>
      </c>
      <c r="X358" s="74" t="str">
        <f t="shared" si="80"/>
        <v/>
      </c>
      <c r="Y358" s="74" t="str">
        <f t="shared" si="81"/>
        <v/>
      </c>
      <c r="Z358" s="74" t="str">
        <f t="shared" si="82"/>
        <v/>
      </c>
      <c r="AA358" s="74" t="str">
        <f t="shared" si="83"/>
        <v/>
      </c>
      <c r="AK358" s="73"/>
      <c r="AL358" s="73"/>
      <c r="AM358" s="73"/>
      <c r="AN358" s="73"/>
    </row>
    <row r="359" spans="17:40" x14ac:dyDescent="0.25">
      <c r="Q359" s="73" t="str">
        <f t="shared" si="74"/>
        <v/>
      </c>
      <c r="R359" s="80" t="str">
        <f>IF(Q359&lt;&gt;"",COUNTIF(Q$2:Q359,Q359),"")</f>
        <v/>
      </c>
      <c r="S359" s="73" t="str">
        <f t="shared" si="75"/>
        <v/>
      </c>
      <c r="T359" s="74" t="str">
        <f t="shared" si="76"/>
        <v/>
      </c>
      <c r="U359" s="74" t="str">
        <f t="shared" si="77"/>
        <v/>
      </c>
      <c r="V359" s="74" t="str">
        <f t="shared" si="78"/>
        <v/>
      </c>
      <c r="W359" s="74" t="str">
        <f t="shared" si="79"/>
        <v/>
      </c>
      <c r="X359" s="74" t="str">
        <f t="shared" si="80"/>
        <v/>
      </c>
      <c r="Y359" s="74" t="str">
        <f t="shared" si="81"/>
        <v/>
      </c>
      <c r="Z359" s="74" t="str">
        <f t="shared" si="82"/>
        <v/>
      </c>
      <c r="AA359" s="74" t="str">
        <f t="shared" si="83"/>
        <v/>
      </c>
      <c r="AK359" s="73"/>
      <c r="AL359" s="73"/>
      <c r="AM359" s="73"/>
      <c r="AN359" s="73"/>
    </row>
    <row r="360" spans="17:40" x14ac:dyDescent="0.25">
      <c r="Q360" s="73" t="str">
        <f t="shared" si="74"/>
        <v/>
      </c>
      <c r="R360" s="80" t="str">
        <f>IF(Q360&lt;&gt;"",COUNTIF(Q$2:Q360,Q360),"")</f>
        <v/>
      </c>
      <c r="S360" s="73" t="str">
        <f t="shared" si="75"/>
        <v/>
      </c>
      <c r="T360" s="74" t="str">
        <f t="shared" si="76"/>
        <v/>
      </c>
      <c r="U360" s="74" t="str">
        <f t="shared" si="77"/>
        <v/>
      </c>
      <c r="V360" s="74" t="str">
        <f t="shared" si="78"/>
        <v/>
      </c>
      <c r="W360" s="74" t="str">
        <f t="shared" si="79"/>
        <v/>
      </c>
      <c r="X360" s="74" t="str">
        <f t="shared" si="80"/>
        <v/>
      </c>
      <c r="Y360" s="74" t="str">
        <f t="shared" si="81"/>
        <v/>
      </c>
      <c r="Z360" s="74" t="str">
        <f t="shared" si="82"/>
        <v/>
      </c>
      <c r="AA360" s="74" t="str">
        <f t="shared" si="83"/>
        <v/>
      </c>
      <c r="AK360" s="73"/>
      <c r="AL360" s="73"/>
      <c r="AM360" s="73"/>
      <c r="AN360" s="73"/>
    </row>
    <row r="361" spans="17:40" x14ac:dyDescent="0.25">
      <c r="Q361" s="73" t="str">
        <f t="shared" si="74"/>
        <v/>
      </c>
      <c r="R361" s="80" t="str">
        <f>IF(Q361&lt;&gt;"",COUNTIF(Q$2:Q361,Q361),"")</f>
        <v/>
      </c>
      <c r="S361" s="73" t="str">
        <f t="shared" si="75"/>
        <v/>
      </c>
      <c r="T361" s="74" t="str">
        <f t="shared" si="76"/>
        <v/>
      </c>
      <c r="U361" s="74" t="str">
        <f t="shared" si="77"/>
        <v/>
      </c>
      <c r="V361" s="74" t="str">
        <f t="shared" si="78"/>
        <v/>
      </c>
      <c r="W361" s="74" t="str">
        <f t="shared" si="79"/>
        <v/>
      </c>
      <c r="X361" s="74" t="str">
        <f t="shared" si="80"/>
        <v/>
      </c>
      <c r="Y361" s="74" t="str">
        <f t="shared" si="81"/>
        <v/>
      </c>
      <c r="Z361" s="74" t="str">
        <f t="shared" si="82"/>
        <v/>
      </c>
      <c r="AA361" s="74" t="str">
        <f t="shared" si="83"/>
        <v/>
      </c>
      <c r="AK361" s="73"/>
      <c r="AL361" s="73"/>
      <c r="AM361" s="73"/>
      <c r="AN361" s="73"/>
    </row>
    <row r="362" spans="17:40" x14ac:dyDescent="0.25">
      <c r="Q362" s="73" t="str">
        <f t="shared" si="74"/>
        <v/>
      </c>
      <c r="R362" s="80" t="str">
        <f>IF(Q362&lt;&gt;"",COUNTIF(Q$2:Q362,Q362),"")</f>
        <v/>
      </c>
      <c r="S362" s="73" t="str">
        <f t="shared" si="75"/>
        <v/>
      </c>
      <c r="T362" s="74" t="str">
        <f t="shared" si="76"/>
        <v/>
      </c>
      <c r="U362" s="74" t="str">
        <f t="shared" si="77"/>
        <v/>
      </c>
      <c r="V362" s="74" t="str">
        <f t="shared" si="78"/>
        <v/>
      </c>
      <c r="W362" s="74" t="str">
        <f t="shared" si="79"/>
        <v/>
      </c>
      <c r="X362" s="74" t="str">
        <f t="shared" si="80"/>
        <v/>
      </c>
      <c r="Y362" s="74" t="str">
        <f t="shared" si="81"/>
        <v/>
      </c>
      <c r="Z362" s="74" t="str">
        <f t="shared" si="82"/>
        <v/>
      </c>
      <c r="AA362" s="74" t="str">
        <f t="shared" si="83"/>
        <v/>
      </c>
      <c r="AK362" s="73"/>
      <c r="AL362" s="73"/>
      <c r="AM362" s="73"/>
      <c r="AN362" s="73"/>
    </row>
    <row r="363" spans="17:40" x14ac:dyDescent="0.25">
      <c r="AK363" s="73"/>
      <c r="AL363" s="73"/>
      <c r="AM363" s="73"/>
      <c r="AN363" s="73"/>
    </row>
    <row r="364" spans="17:40" x14ac:dyDescent="0.25">
      <c r="AK364" s="73"/>
      <c r="AL364" s="73"/>
      <c r="AM364" s="73"/>
      <c r="AN364" s="73"/>
    </row>
    <row r="365" spans="17:40" x14ac:dyDescent="0.25">
      <c r="AK365" s="73"/>
      <c r="AL365" s="73"/>
      <c r="AM365" s="73"/>
      <c r="AN365" s="73"/>
    </row>
    <row r="366" spans="17:40" x14ac:dyDescent="0.25">
      <c r="AK366" s="73"/>
      <c r="AL366" s="73"/>
      <c r="AM366" s="73"/>
      <c r="AN366" s="73"/>
    </row>
    <row r="367" spans="17:40" x14ac:dyDescent="0.25">
      <c r="AK367" s="73"/>
      <c r="AL367" s="73"/>
      <c r="AM367" s="73"/>
      <c r="AN367" s="73"/>
    </row>
    <row r="368" spans="17:40" x14ac:dyDescent="0.25">
      <c r="AK368" s="73"/>
      <c r="AL368" s="73"/>
      <c r="AM368" s="73"/>
      <c r="AN368" s="73"/>
    </row>
    <row r="369" spans="37:40" x14ac:dyDescent="0.25">
      <c r="AK369" s="73"/>
      <c r="AL369" s="73"/>
      <c r="AM369" s="73"/>
      <c r="AN369" s="73"/>
    </row>
    <row r="370" spans="37:40" x14ac:dyDescent="0.25">
      <c r="AK370" s="73"/>
      <c r="AL370" s="73"/>
      <c r="AM370" s="73"/>
      <c r="AN370" s="73"/>
    </row>
    <row r="371" spans="37:40" x14ac:dyDescent="0.25">
      <c r="AK371" s="73"/>
      <c r="AL371" s="73"/>
      <c r="AM371" s="73"/>
      <c r="AN371" s="73"/>
    </row>
    <row r="372" spans="37:40" x14ac:dyDescent="0.25">
      <c r="AK372" s="73"/>
      <c r="AL372" s="73"/>
      <c r="AM372" s="73"/>
      <c r="AN372" s="73"/>
    </row>
    <row r="373" spans="37:40" x14ac:dyDescent="0.25">
      <c r="AK373" s="73"/>
      <c r="AL373" s="73"/>
      <c r="AM373" s="73"/>
      <c r="AN373" s="73"/>
    </row>
    <row r="374" spans="37:40" x14ac:dyDescent="0.25">
      <c r="AK374" s="73"/>
      <c r="AL374" s="73"/>
      <c r="AM374" s="73"/>
      <c r="AN374" s="73"/>
    </row>
    <row r="375" spans="37:40" x14ac:dyDescent="0.25">
      <c r="AK375" s="73"/>
      <c r="AL375" s="73"/>
      <c r="AM375" s="73"/>
      <c r="AN375" s="73"/>
    </row>
    <row r="376" spans="37:40" x14ac:dyDescent="0.25">
      <c r="AK376" s="73"/>
      <c r="AL376" s="73"/>
      <c r="AM376" s="73"/>
      <c r="AN376" s="73"/>
    </row>
    <row r="377" spans="37:40" x14ac:dyDescent="0.25">
      <c r="AK377" s="73"/>
      <c r="AL377" s="73"/>
      <c r="AM377" s="73"/>
      <c r="AN377" s="73"/>
    </row>
    <row r="378" spans="37:40" x14ac:dyDescent="0.25">
      <c r="AK378" s="73"/>
      <c r="AL378" s="73"/>
      <c r="AM378" s="73"/>
      <c r="AN378" s="73"/>
    </row>
    <row r="379" spans="37:40" x14ac:dyDescent="0.25">
      <c r="AK379" s="73"/>
      <c r="AL379" s="73"/>
      <c r="AM379" s="73"/>
      <c r="AN379" s="73"/>
    </row>
    <row r="380" spans="37:40" x14ac:dyDescent="0.25">
      <c r="AK380" s="73"/>
      <c r="AL380" s="73"/>
      <c r="AM380" s="73"/>
      <c r="AN380" s="73"/>
    </row>
    <row r="381" spans="37:40" x14ac:dyDescent="0.25">
      <c r="AK381" s="73"/>
      <c r="AL381" s="73"/>
      <c r="AM381" s="73"/>
      <c r="AN381" s="73"/>
    </row>
    <row r="382" spans="37:40" x14ac:dyDescent="0.25">
      <c r="AK382" s="73"/>
      <c r="AL382" s="73"/>
      <c r="AM382" s="73"/>
      <c r="AN382" s="73"/>
    </row>
    <row r="383" spans="37:40" x14ac:dyDescent="0.25">
      <c r="AK383" s="73"/>
      <c r="AL383" s="73"/>
      <c r="AM383" s="73"/>
      <c r="AN383" s="73"/>
    </row>
    <row r="384" spans="37:40" x14ac:dyDescent="0.25">
      <c r="AK384" s="73"/>
      <c r="AL384" s="73"/>
      <c r="AM384" s="73"/>
      <c r="AN384" s="73"/>
    </row>
    <row r="385" spans="37:40" x14ac:dyDescent="0.25">
      <c r="AK385" s="73"/>
      <c r="AL385" s="73"/>
      <c r="AM385" s="73"/>
      <c r="AN385" s="73"/>
    </row>
    <row r="386" spans="37:40" x14ac:dyDescent="0.25">
      <c r="AK386" s="73"/>
      <c r="AL386" s="73"/>
      <c r="AM386" s="73"/>
      <c r="AN386" s="73"/>
    </row>
    <row r="387" spans="37:40" x14ac:dyDescent="0.25">
      <c r="AK387" s="73"/>
      <c r="AL387" s="73"/>
      <c r="AM387" s="73"/>
      <c r="AN387" s="73"/>
    </row>
    <row r="388" spans="37:40" x14ac:dyDescent="0.25">
      <c r="AK388" s="73"/>
      <c r="AL388" s="73"/>
      <c r="AM388" s="73"/>
      <c r="AN388" s="73"/>
    </row>
    <row r="389" spans="37:40" x14ac:dyDescent="0.25">
      <c r="AK389" s="73"/>
      <c r="AL389" s="73"/>
      <c r="AM389" s="73"/>
      <c r="AN389" s="73"/>
    </row>
    <row r="390" spans="37:40" x14ac:dyDescent="0.25">
      <c r="AK390" s="73"/>
      <c r="AL390" s="73"/>
      <c r="AM390" s="73"/>
      <c r="AN390" s="73"/>
    </row>
    <row r="391" spans="37:40" x14ac:dyDescent="0.25">
      <c r="AK391" s="73"/>
      <c r="AL391" s="73"/>
      <c r="AM391" s="73"/>
      <c r="AN391" s="73"/>
    </row>
    <row r="392" spans="37:40" x14ac:dyDescent="0.25">
      <c r="AK392" s="73"/>
      <c r="AL392" s="73"/>
      <c r="AM392" s="73"/>
      <c r="AN392" s="73"/>
    </row>
    <row r="393" spans="37:40" x14ac:dyDescent="0.25">
      <c r="AK393" s="73"/>
      <c r="AL393" s="73"/>
      <c r="AM393" s="73"/>
      <c r="AN393" s="73"/>
    </row>
    <row r="394" spans="37:40" x14ac:dyDescent="0.25">
      <c r="AK394" s="73"/>
      <c r="AL394" s="73"/>
      <c r="AM394" s="73"/>
      <c r="AN394" s="73"/>
    </row>
    <row r="395" spans="37:40" x14ac:dyDescent="0.25">
      <c r="AK395" s="73"/>
      <c r="AL395" s="73"/>
      <c r="AM395" s="73"/>
      <c r="AN395" s="73"/>
    </row>
    <row r="396" spans="37:40" x14ac:dyDescent="0.25">
      <c r="AK396" s="73"/>
      <c r="AL396" s="73"/>
      <c r="AM396" s="73"/>
      <c r="AN396" s="73"/>
    </row>
    <row r="397" spans="37:40" x14ac:dyDescent="0.25">
      <c r="AK397" s="73"/>
      <c r="AL397" s="73"/>
      <c r="AM397" s="73"/>
      <c r="AN397" s="73"/>
    </row>
    <row r="398" spans="37:40" x14ac:dyDescent="0.25">
      <c r="AK398" s="73"/>
      <c r="AL398" s="73"/>
      <c r="AM398" s="73"/>
      <c r="AN398" s="73"/>
    </row>
    <row r="399" spans="37:40" x14ac:dyDescent="0.25">
      <c r="AK399" s="73"/>
      <c r="AL399" s="73"/>
      <c r="AM399" s="73"/>
      <c r="AN399" s="73"/>
    </row>
    <row r="400" spans="37:40" x14ac:dyDescent="0.25">
      <c r="AK400" s="73"/>
      <c r="AL400" s="73"/>
      <c r="AM400" s="73"/>
      <c r="AN400" s="73"/>
    </row>
    <row r="401" spans="37:40" x14ac:dyDescent="0.25">
      <c r="AK401" s="73"/>
      <c r="AL401" s="73"/>
      <c r="AM401" s="73"/>
      <c r="AN401" s="73"/>
    </row>
    <row r="402" spans="37:40" x14ac:dyDescent="0.25">
      <c r="AK402" s="73"/>
      <c r="AL402" s="73"/>
      <c r="AM402" s="73"/>
      <c r="AN402" s="73"/>
    </row>
    <row r="403" spans="37:40" x14ac:dyDescent="0.25">
      <c r="AK403" s="73"/>
      <c r="AL403" s="73"/>
      <c r="AM403" s="73"/>
      <c r="AN403" s="73"/>
    </row>
    <row r="404" spans="37:40" x14ac:dyDescent="0.25">
      <c r="AK404" s="73"/>
      <c r="AL404" s="73"/>
      <c r="AM404" s="73"/>
      <c r="AN404" s="73"/>
    </row>
    <row r="405" spans="37:40" x14ac:dyDescent="0.25">
      <c r="AK405" s="73"/>
      <c r="AL405" s="73"/>
      <c r="AM405" s="73"/>
      <c r="AN405" s="73"/>
    </row>
    <row r="406" spans="37:40" x14ac:dyDescent="0.25">
      <c r="AK406" s="73"/>
      <c r="AL406" s="73"/>
      <c r="AM406" s="73"/>
      <c r="AN406" s="73"/>
    </row>
    <row r="407" spans="37:40" x14ac:dyDescent="0.25">
      <c r="AK407" s="73"/>
      <c r="AL407" s="73"/>
      <c r="AM407" s="73"/>
      <c r="AN407" s="73"/>
    </row>
    <row r="408" spans="37:40" x14ac:dyDescent="0.25">
      <c r="AK408" s="73"/>
      <c r="AL408" s="73"/>
      <c r="AM408" s="73"/>
      <c r="AN408" s="73"/>
    </row>
    <row r="409" spans="37:40" x14ac:dyDescent="0.25">
      <c r="AK409" s="73"/>
      <c r="AL409" s="73"/>
      <c r="AM409" s="73"/>
      <c r="AN409" s="73"/>
    </row>
    <row r="410" spans="37:40" x14ac:dyDescent="0.25">
      <c r="AK410" s="73"/>
      <c r="AL410" s="73"/>
      <c r="AM410" s="73"/>
      <c r="AN410" s="73"/>
    </row>
    <row r="411" spans="37:40" x14ac:dyDescent="0.25">
      <c r="AK411" s="73"/>
      <c r="AL411" s="73"/>
      <c r="AM411" s="73"/>
      <c r="AN411" s="73"/>
    </row>
    <row r="412" spans="37:40" x14ac:dyDescent="0.25">
      <c r="AK412" s="73"/>
      <c r="AL412" s="73"/>
      <c r="AM412" s="73"/>
      <c r="AN412" s="73"/>
    </row>
    <row r="413" spans="37:40" x14ac:dyDescent="0.25">
      <c r="AK413" s="73"/>
      <c r="AL413" s="73"/>
      <c r="AM413" s="73"/>
      <c r="AN413" s="73"/>
    </row>
    <row r="414" spans="37:40" x14ac:dyDescent="0.25">
      <c r="AK414" s="73"/>
      <c r="AL414" s="73"/>
      <c r="AM414" s="73"/>
      <c r="AN414" s="73"/>
    </row>
    <row r="415" spans="37:40" x14ac:dyDescent="0.25">
      <c r="AK415" s="73"/>
      <c r="AL415" s="73"/>
      <c r="AM415" s="73"/>
      <c r="AN415" s="73"/>
    </row>
    <row r="416" spans="37:40" x14ac:dyDescent="0.25">
      <c r="AK416" s="73"/>
      <c r="AL416" s="73"/>
      <c r="AM416" s="73"/>
      <c r="AN416" s="73"/>
    </row>
    <row r="417" spans="37:40" x14ac:dyDescent="0.25">
      <c r="AK417" s="73"/>
      <c r="AL417" s="73"/>
      <c r="AM417" s="73"/>
      <c r="AN417" s="73"/>
    </row>
    <row r="418" spans="37:40" x14ac:dyDescent="0.25">
      <c r="AK418" s="73"/>
      <c r="AL418" s="73"/>
      <c r="AM418" s="73"/>
      <c r="AN418" s="73"/>
    </row>
    <row r="419" spans="37:40" x14ac:dyDescent="0.25">
      <c r="AK419" s="73"/>
      <c r="AL419" s="73"/>
      <c r="AM419" s="73"/>
      <c r="AN419" s="73"/>
    </row>
    <row r="420" spans="37:40" x14ac:dyDescent="0.25">
      <c r="AK420" s="73"/>
      <c r="AL420" s="73"/>
      <c r="AM420" s="73"/>
      <c r="AN420" s="73"/>
    </row>
    <row r="421" spans="37:40" x14ac:dyDescent="0.25">
      <c r="AK421" s="73"/>
      <c r="AL421" s="73"/>
      <c r="AM421" s="73"/>
      <c r="AN421" s="73"/>
    </row>
    <row r="422" spans="37:40" x14ac:dyDescent="0.25">
      <c r="AK422" s="73"/>
      <c r="AL422" s="73"/>
      <c r="AM422" s="73"/>
      <c r="AN422" s="73"/>
    </row>
    <row r="423" spans="37:40" x14ac:dyDescent="0.25">
      <c r="AK423" s="73"/>
      <c r="AL423" s="73"/>
      <c r="AM423" s="73"/>
      <c r="AN423" s="73"/>
    </row>
    <row r="424" spans="37:40" x14ac:dyDescent="0.25">
      <c r="AK424" s="73"/>
      <c r="AL424" s="73"/>
      <c r="AM424" s="73"/>
      <c r="AN424" s="73"/>
    </row>
    <row r="425" spans="37:40" x14ac:dyDescent="0.25">
      <c r="AK425" s="73"/>
      <c r="AL425" s="73"/>
      <c r="AM425" s="73"/>
      <c r="AN425" s="73"/>
    </row>
    <row r="426" spans="37:40" x14ac:dyDescent="0.25">
      <c r="AK426" s="73"/>
      <c r="AL426" s="73"/>
      <c r="AM426" s="73"/>
      <c r="AN426" s="73"/>
    </row>
    <row r="427" spans="37:40" x14ac:dyDescent="0.25">
      <c r="AK427" s="73"/>
      <c r="AL427" s="73"/>
      <c r="AM427" s="73"/>
      <c r="AN427" s="73"/>
    </row>
    <row r="428" spans="37:40" x14ac:dyDescent="0.25">
      <c r="AK428" s="73"/>
      <c r="AL428" s="73"/>
      <c r="AM428" s="73"/>
      <c r="AN428" s="73"/>
    </row>
    <row r="429" spans="37:40" x14ac:dyDescent="0.25">
      <c r="AK429" s="73"/>
      <c r="AL429" s="73"/>
      <c r="AM429" s="73"/>
      <c r="AN429" s="73"/>
    </row>
    <row r="430" spans="37:40" x14ac:dyDescent="0.25">
      <c r="AK430" s="73"/>
      <c r="AL430" s="73"/>
      <c r="AM430" s="73"/>
      <c r="AN430" s="73"/>
    </row>
    <row r="431" spans="37:40" x14ac:dyDescent="0.25">
      <c r="AK431" s="73"/>
      <c r="AL431" s="73"/>
      <c r="AM431" s="73"/>
      <c r="AN431" s="73"/>
    </row>
    <row r="432" spans="37:40" x14ac:dyDescent="0.25">
      <c r="AK432" s="73"/>
      <c r="AL432" s="73"/>
      <c r="AM432" s="73"/>
      <c r="AN432" s="73"/>
    </row>
    <row r="433" spans="37:40" x14ac:dyDescent="0.25">
      <c r="AK433" s="73"/>
      <c r="AL433" s="73"/>
      <c r="AM433" s="73"/>
      <c r="AN433" s="73"/>
    </row>
    <row r="434" spans="37:40" x14ac:dyDescent="0.25">
      <c r="AK434" s="73"/>
      <c r="AL434" s="73"/>
      <c r="AM434" s="73"/>
      <c r="AN434" s="73"/>
    </row>
    <row r="435" spans="37:40" x14ac:dyDescent="0.25">
      <c r="AK435" s="73"/>
      <c r="AL435" s="73"/>
      <c r="AM435" s="73"/>
      <c r="AN435" s="73"/>
    </row>
    <row r="436" spans="37:40" x14ac:dyDescent="0.25">
      <c r="AK436" s="73"/>
      <c r="AL436" s="73"/>
      <c r="AM436" s="73"/>
      <c r="AN436" s="73"/>
    </row>
    <row r="437" spans="37:40" x14ac:dyDescent="0.25">
      <c r="AK437" s="73"/>
      <c r="AL437" s="73"/>
      <c r="AM437" s="73"/>
      <c r="AN437" s="73"/>
    </row>
    <row r="438" spans="37:40" x14ac:dyDescent="0.25">
      <c r="AK438" s="73"/>
      <c r="AL438" s="73"/>
      <c r="AM438" s="73"/>
      <c r="AN438" s="73"/>
    </row>
    <row r="439" spans="37:40" x14ac:dyDescent="0.25">
      <c r="AK439" s="73"/>
      <c r="AL439" s="73"/>
      <c r="AM439" s="73"/>
      <c r="AN439" s="73"/>
    </row>
    <row r="440" spans="37:40" x14ac:dyDescent="0.25">
      <c r="AK440" s="73"/>
      <c r="AL440" s="73"/>
      <c r="AM440" s="73"/>
      <c r="AN440" s="73"/>
    </row>
    <row r="441" spans="37:40" x14ac:dyDescent="0.25">
      <c r="AK441" s="73"/>
      <c r="AL441" s="73"/>
      <c r="AM441" s="73"/>
      <c r="AN441" s="73"/>
    </row>
    <row r="442" spans="37:40" x14ac:dyDescent="0.25">
      <c r="AK442" s="73"/>
      <c r="AL442" s="73"/>
      <c r="AM442" s="73"/>
      <c r="AN442" s="73"/>
    </row>
    <row r="443" spans="37:40" x14ac:dyDescent="0.25">
      <c r="AK443" s="73"/>
      <c r="AL443" s="73"/>
      <c r="AM443" s="73"/>
      <c r="AN443" s="73"/>
    </row>
    <row r="444" spans="37:40" x14ac:dyDescent="0.25">
      <c r="AK444" s="73"/>
      <c r="AL444" s="73"/>
      <c r="AM444" s="73"/>
      <c r="AN444" s="73"/>
    </row>
    <row r="445" spans="37:40" x14ac:dyDescent="0.25">
      <c r="AK445" s="73"/>
      <c r="AL445" s="73"/>
      <c r="AM445" s="73"/>
      <c r="AN445" s="73"/>
    </row>
    <row r="446" spans="37:40" x14ac:dyDescent="0.25">
      <c r="AK446" s="73"/>
      <c r="AL446" s="73"/>
      <c r="AM446" s="73"/>
      <c r="AN446" s="73"/>
    </row>
    <row r="447" spans="37:40" x14ac:dyDescent="0.25">
      <c r="AK447" s="73"/>
      <c r="AL447" s="73"/>
      <c r="AM447" s="73"/>
      <c r="AN447" s="73"/>
    </row>
    <row r="448" spans="37:40" x14ac:dyDescent="0.25">
      <c r="AK448" s="73"/>
      <c r="AL448" s="73"/>
      <c r="AM448" s="73"/>
      <c r="AN448" s="73"/>
    </row>
    <row r="449" spans="37:40" x14ac:dyDescent="0.25">
      <c r="AK449" s="73"/>
      <c r="AL449" s="73"/>
      <c r="AM449" s="73"/>
      <c r="AN449" s="73"/>
    </row>
    <row r="450" spans="37:40" x14ac:dyDescent="0.25">
      <c r="AK450" s="73"/>
      <c r="AL450" s="73"/>
      <c r="AM450" s="73"/>
      <c r="AN450" s="73"/>
    </row>
    <row r="451" spans="37:40" x14ac:dyDescent="0.25">
      <c r="AK451" s="73"/>
      <c r="AL451" s="73"/>
      <c r="AM451" s="73"/>
      <c r="AN451" s="73"/>
    </row>
    <row r="452" spans="37:40" x14ac:dyDescent="0.25">
      <c r="AK452" s="73"/>
      <c r="AL452" s="73"/>
      <c r="AM452" s="73"/>
      <c r="AN452" s="73"/>
    </row>
    <row r="453" spans="37:40" x14ac:dyDescent="0.25">
      <c r="AK453" s="73"/>
      <c r="AL453" s="73"/>
      <c r="AM453" s="73"/>
      <c r="AN453" s="73"/>
    </row>
    <row r="454" spans="37:40" x14ac:dyDescent="0.25">
      <c r="AK454" s="73"/>
      <c r="AL454" s="73"/>
      <c r="AM454" s="73"/>
      <c r="AN454" s="73"/>
    </row>
    <row r="455" spans="37:40" x14ac:dyDescent="0.25">
      <c r="AK455" s="73"/>
      <c r="AL455" s="73"/>
      <c r="AM455" s="73"/>
      <c r="AN455" s="73"/>
    </row>
    <row r="456" spans="37:40" x14ac:dyDescent="0.25">
      <c r="AK456" s="73"/>
      <c r="AL456" s="73"/>
      <c r="AM456" s="73"/>
      <c r="AN456" s="73"/>
    </row>
    <row r="457" spans="37:40" x14ac:dyDescent="0.25">
      <c r="AK457" s="73"/>
      <c r="AL457" s="73"/>
      <c r="AM457" s="73"/>
      <c r="AN457" s="73"/>
    </row>
    <row r="458" spans="37:40" x14ac:dyDescent="0.25">
      <c r="AK458" s="73"/>
      <c r="AL458" s="73"/>
      <c r="AM458" s="73"/>
      <c r="AN458" s="73"/>
    </row>
    <row r="459" spans="37:40" x14ac:dyDescent="0.25">
      <c r="AK459" s="73"/>
      <c r="AL459" s="73"/>
      <c r="AM459" s="73"/>
      <c r="AN459" s="73"/>
    </row>
    <row r="460" spans="37:40" x14ac:dyDescent="0.25">
      <c r="AK460" s="73"/>
      <c r="AL460" s="73"/>
      <c r="AM460" s="73"/>
      <c r="AN460" s="73"/>
    </row>
    <row r="461" spans="37:40" x14ac:dyDescent="0.25">
      <c r="AK461" s="73"/>
      <c r="AL461" s="73"/>
      <c r="AM461" s="73"/>
      <c r="AN461" s="73"/>
    </row>
    <row r="462" spans="37:40" x14ac:dyDescent="0.25">
      <c r="AK462" s="73"/>
      <c r="AL462" s="73"/>
      <c r="AM462" s="73"/>
      <c r="AN462" s="73"/>
    </row>
    <row r="463" spans="37:40" x14ac:dyDescent="0.25">
      <c r="AK463" s="73"/>
      <c r="AL463" s="73"/>
      <c r="AM463" s="73"/>
      <c r="AN463" s="73"/>
    </row>
    <row r="464" spans="37:40" x14ac:dyDescent="0.25">
      <c r="AK464" s="73"/>
      <c r="AL464" s="73"/>
      <c r="AM464" s="73"/>
      <c r="AN464" s="73"/>
    </row>
    <row r="465" spans="37:40" x14ac:dyDescent="0.25">
      <c r="AK465" s="73"/>
      <c r="AL465" s="73"/>
      <c r="AM465" s="73"/>
      <c r="AN465" s="73"/>
    </row>
    <row r="466" spans="37:40" x14ac:dyDescent="0.25">
      <c r="AK466" s="73"/>
      <c r="AL466" s="73"/>
      <c r="AM466" s="73"/>
      <c r="AN466" s="73"/>
    </row>
    <row r="467" spans="37:40" x14ac:dyDescent="0.25">
      <c r="AK467" s="73"/>
      <c r="AL467" s="73"/>
      <c r="AM467" s="73"/>
      <c r="AN467" s="73"/>
    </row>
    <row r="468" spans="37:40" x14ac:dyDescent="0.25">
      <c r="AK468" s="73"/>
      <c r="AL468" s="73"/>
      <c r="AM468" s="73"/>
      <c r="AN468" s="73"/>
    </row>
    <row r="469" spans="37:40" x14ac:dyDescent="0.25">
      <c r="AK469" s="73"/>
      <c r="AL469" s="73"/>
      <c r="AM469" s="73"/>
      <c r="AN469" s="73"/>
    </row>
    <row r="470" spans="37:40" x14ac:dyDescent="0.25">
      <c r="AK470" s="73"/>
      <c r="AL470" s="73"/>
      <c r="AM470" s="73"/>
      <c r="AN470" s="73"/>
    </row>
    <row r="471" spans="37:40" x14ac:dyDescent="0.25">
      <c r="AK471" s="73"/>
      <c r="AL471" s="73"/>
      <c r="AM471" s="73"/>
      <c r="AN471" s="73"/>
    </row>
    <row r="472" spans="37:40" x14ac:dyDescent="0.25">
      <c r="AK472" s="73"/>
      <c r="AL472" s="73"/>
      <c r="AM472" s="73"/>
      <c r="AN472" s="73"/>
    </row>
    <row r="473" spans="37:40" x14ac:dyDescent="0.25">
      <c r="AK473" s="73"/>
      <c r="AL473" s="73"/>
      <c r="AM473" s="73"/>
      <c r="AN473" s="73"/>
    </row>
    <row r="474" spans="37:40" x14ac:dyDescent="0.25">
      <c r="AK474" s="73"/>
      <c r="AL474" s="73"/>
      <c r="AM474" s="73"/>
      <c r="AN474" s="73"/>
    </row>
    <row r="475" spans="37:40" x14ac:dyDescent="0.25">
      <c r="AK475" s="73"/>
      <c r="AL475" s="73"/>
      <c r="AM475" s="73"/>
      <c r="AN475" s="73"/>
    </row>
    <row r="476" spans="37:40" x14ac:dyDescent="0.25">
      <c r="AK476" s="73"/>
      <c r="AL476" s="73"/>
      <c r="AM476" s="73"/>
      <c r="AN476" s="73"/>
    </row>
    <row r="477" spans="37:40" x14ac:dyDescent="0.25">
      <c r="AK477" s="73"/>
      <c r="AL477" s="73"/>
      <c r="AM477" s="73"/>
      <c r="AN477" s="73"/>
    </row>
    <row r="478" spans="37:40" x14ac:dyDescent="0.25">
      <c r="AK478" s="73"/>
      <c r="AL478" s="73"/>
      <c r="AM478" s="73"/>
      <c r="AN478" s="73"/>
    </row>
    <row r="479" spans="37:40" x14ac:dyDescent="0.25">
      <c r="AK479" s="73"/>
      <c r="AL479" s="73"/>
      <c r="AM479" s="73"/>
      <c r="AN479" s="73"/>
    </row>
    <row r="480" spans="37:40" x14ac:dyDescent="0.25">
      <c r="AK480" s="73"/>
      <c r="AL480" s="73"/>
      <c r="AM480" s="73"/>
      <c r="AN480" s="73"/>
    </row>
    <row r="481" spans="37:40" x14ac:dyDescent="0.25">
      <c r="AK481" s="73"/>
      <c r="AL481" s="73"/>
      <c r="AM481" s="73"/>
      <c r="AN481" s="73"/>
    </row>
    <row r="482" spans="37:40" x14ac:dyDescent="0.25">
      <c r="AK482" s="73"/>
      <c r="AL482" s="73"/>
      <c r="AM482" s="73"/>
      <c r="AN482" s="73"/>
    </row>
    <row r="483" spans="37:40" x14ac:dyDescent="0.25">
      <c r="AK483" s="73"/>
      <c r="AL483" s="73"/>
      <c r="AM483" s="73"/>
      <c r="AN483" s="73"/>
    </row>
    <row r="484" spans="37:40" x14ac:dyDescent="0.25">
      <c r="AK484" s="73"/>
      <c r="AL484" s="73"/>
      <c r="AM484" s="73"/>
      <c r="AN484" s="73"/>
    </row>
    <row r="485" spans="37:40" x14ac:dyDescent="0.25">
      <c r="AK485" s="73"/>
      <c r="AL485" s="73"/>
      <c r="AM485" s="73"/>
      <c r="AN485" s="73"/>
    </row>
    <row r="486" spans="37:40" x14ac:dyDescent="0.25">
      <c r="AK486" s="73"/>
      <c r="AL486" s="73"/>
      <c r="AM486" s="73"/>
      <c r="AN486" s="73"/>
    </row>
    <row r="487" spans="37:40" x14ac:dyDescent="0.25">
      <c r="AK487" s="73"/>
      <c r="AL487" s="73"/>
      <c r="AM487" s="73"/>
      <c r="AN487" s="73"/>
    </row>
    <row r="488" spans="37:40" x14ac:dyDescent="0.25">
      <c r="AK488" s="73"/>
      <c r="AL488" s="73"/>
      <c r="AM488" s="73"/>
      <c r="AN488" s="73"/>
    </row>
    <row r="489" spans="37:40" x14ac:dyDescent="0.25">
      <c r="AK489" s="73"/>
      <c r="AL489" s="73"/>
      <c r="AM489" s="73"/>
      <c r="AN489" s="73"/>
    </row>
    <row r="490" spans="37:40" x14ac:dyDescent="0.25">
      <c r="AK490" s="73"/>
      <c r="AL490" s="73"/>
      <c r="AM490" s="73"/>
      <c r="AN490" s="73"/>
    </row>
    <row r="491" spans="37:40" x14ac:dyDescent="0.25">
      <c r="AK491" s="73"/>
      <c r="AL491" s="73"/>
      <c r="AM491" s="73"/>
      <c r="AN491" s="73"/>
    </row>
    <row r="492" spans="37:40" x14ac:dyDescent="0.25">
      <c r="AK492" s="73"/>
      <c r="AL492" s="73"/>
      <c r="AM492" s="73"/>
      <c r="AN492" s="73"/>
    </row>
    <row r="493" spans="37:40" x14ac:dyDescent="0.25">
      <c r="AK493" s="73"/>
      <c r="AL493" s="73"/>
      <c r="AM493" s="73"/>
      <c r="AN493" s="73"/>
    </row>
    <row r="494" spans="37:40" x14ac:dyDescent="0.25">
      <c r="AK494" s="73"/>
      <c r="AL494" s="73"/>
      <c r="AM494" s="73"/>
      <c r="AN494" s="73"/>
    </row>
    <row r="495" spans="37:40" x14ac:dyDescent="0.25">
      <c r="AK495" s="73"/>
      <c r="AL495" s="73"/>
      <c r="AM495" s="73"/>
      <c r="AN495" s="73"/>
    </row>
    <row r="496" spans="37:40" x14ac:dyDescent="0.25">
      <c r="AK496" s="73"/>
      <c r="AL496" s="73"/>
      <c r="AM496" s="73"/>
      <c r="AN496" s="73"/>
    </row>
    <row r="497" spans="37:40" x14ac:dyDescent="0.25">
      <c r="AK497" s="73"/>
      <c r="AL497" s="73"/>
      <c r="AM497" s="73"/>
      <c r="AN497" s="73"/>
    </row>
    <row r="498" spans="37:40" x14ac:dyDescent="0.25">
      <c r="AK498" s="73"/>
      <c r="AL498" s="73"/>
      <c r="AM498" s="73"/>
      <c r="AN498" s="73"/>
    </row>
    <row r="499" spans="37:40" x14ac:dyDescent="0.25">
      <c r="AK499" s="73"/>
      <c r="AL499" s="73"/>
      <c r="AM499" s="73"/>
      <c r="AN499" s="73"/>
    </row>
    <row r="500" spans="37:40" x14ac:dyDescent="0.25">
      <c r="AK500" s="73"/>
      <c r="AL500" s="73"/>
      <c r="AM500" s="73"/>
      <c r="AN500" s="73"/>
    </row>
    <row r="501" spans="37:40" x14ac:dyDescent="0.25">
      <c r="AK501" s="73"/>
      <c r="AL501" s="73"/>
      <c r="AM501" s="73"/>
      <c r="AN501" s="73"/>
    </row>
    <row r="502" spans="37:40" x14ac:dyDescent="0.25">
      <c r="AK502" s="73"/>
      <c r="AL502" s="73"/>
      <c r="AM502" s="73"/>
      <c r="AN502" s="73"/>
    </row>
    <row r="503" spans="37:40" x14ac:dyDescent="0.25">
      <c r="AK503" s="73"/>
      <c r="AL503" s="73"/>
      <c r="AM503" s="73"/>
      <c r="AN503" s="73"/>
    </row>
    <row r="504" spans="37:40" x14ac:dyDescent="0.25">
      <c r="AK504" s="73"/>
      <c r="AL504" s="73"/>
      <c r="AM504" s="73"/>
      <c r="AN504" s="73"/>
    </row>
    <row r="505" spans="37:40" x14ac:dyDescent="0.25">
      <c r="AK505" s="73"/>
      <c r="AL505" s="73"/>
      <c r="AM505" s="73"/>
      <c r="AN505" s="73"/>
    </row>
    <row r="506" spans="37:40" x14ac:dyDescent="0.25">
      <c r="AK506" s="73"/>
      <c r="AL506" s="73"/>
      <c r="AM506" s="73"/>
      <c r="AN506" s="73"/>
    </row>
    <row r="507" spans="37:40" x14ac:dyDescent="0.25">
      <c r="AK507" s="73"/>
      <c r="AL507" s="73"/>
      <c r="AM507" s="73"/>
      <c r="AN507" s="73"/>
    </row>
    <row r="508" spans="37:40" x14ac:dyDescent="0.25">
      <c r="AK508" s="73"/>
      <c r="AL508" s="73"/>
      <c r="AM508" s="73"/>
      <c r="AN508" s="73"/>
    </row>
    <row r="509" spans="37:40" x14ac:dyDescent="0.25">
      <c r="AK509" s="73"/>
      <c r="AL509" s="73"/>
      <c r="AM509" s="73"/>
      <c r="AN509" s="73"/>
    </row>
    <row r="510" spans="37:40" x14ac:dyDescent="0.25">
      <c r="AK510" s="73"/>
      <c r="AL510" s="73"/>
      <c r="AM510" s="73"/>
      <c r="AN510" s="73"/>
    </row>
    <row r="511" spans="37:40" x14ac:dyDescent="0.25">
      <c r="AK511" s="73"/>
      <c r="AL511" s="73"/>
      <c r="AM511" s="73"/>
      <c r="AN511" s="73"/>
    </row>
    <row r="512" spans="37:40" x14ac:dyDescent="0.25">
      <c r="AK512" s="73"/>
      <c r="AL512" s="73"/>
      <c r="AM512" s="73"/>
      <c r="AN512" s="73"/>
    </row>
    <row r="513" spans="37:40" x14ac:dyDescent="0.25">
      <c r="AK513" s="73"/>
      <c r="AL513" s="73"/>
      <c r="AM513" s="73"/>
      <c r="AN513" s="73"/>
    </row>
    <row r="514" spans="37:40" x14ac:dyDescent="0.25">
      <c r="AK514" s="73"/>
      <c r="AL514" s="73"/>
      <c r="AM514" s="73"/>
      <c r="AN514" s="73"/>
    </row>
    <row r="515" spans="37:40" x14ac:dyDescent="0.25">
      <c r="AK515" s="73"/>
      <c r="AL515" s="73"/>
      <c r="AM515" s="73"/>
      <c r="AN515" s="73"/>
    </row>
    <row r="516" spans="37:40" x14ac:dyDescent="0.25">
      <c r="AK516" s="73"/>
      <c r="AL516" s="73"/>
      <c r="AM516" s="73"/>
      <c r="AN516" s="73"/>
    </row>
    <row r="517" spans="37:40" x14ac:dyDescent="0.25">
      <c r="AK517" s="73"/>
      <c r="AL517" s="73"/>
      <c r="AM517" s="73"/>
      <c r="AN517" s="73"/>
    </row>
    <row r="518" spans="37:40" x14ac:dyDescent="0.25">
      <c r="AK518" s="73"/>
      <c r="AL518" s="73"/>
      <c r="AM518" s="73"/>
      <c r="AN518" s="73"/>
    </row>
    <row r="519" spans="37:40" x14ac:dyDescent="0.25">
      <c r="AK519" s="73"/>
      <c r="AL519" s="73"/>
      <c r="AM519" s="73"/>
      <c r="AN519" s="73"/>
    </row>
    <row r="520" spans="37:40" x14ac:dyDescent="0.25">
      <c r="AK520" s="73"/>
      <c r="AL520" s="73"/>
      <c r="AM520" s="73"/>
      <c r="AN520" s="73"/>
    </row>
    <row r="521" spans="37:40" x14ac:dyDescent="0.25">
      <c r="AK521" s="73"/>
      <c r="AL521" s="73"/>
      <c r="AM521" s="73"/>
      <c r="AN521" s="73"/>
    </row>
    <row r="522" spans="37:40" x14ac:dyDescent="0.25">
      <c r="AK522" s="73"/>
      <c r="AL522" s="73"/>
      <c r="AM522" s="73"/>
      <c r="AN522" s="73"/>
    </row>
    <row r="523" spans="37:40" x14ac:dyDescent="0.25">
      <c r="AK523" s="73"/>
      <c r="AL523" s="73"/>
      <c r="AM523" s="73"/>
      <c r="AN523" s="73"/>
    </row>
    <row r="524" spans="37:40" x14ac:dyDescent="0.25">
      <c r="AK524" s="73"/>
      <c r="AL524" s="73"/>
      <c r="AM524" s="73"/>
      <c r="AN524" s="73"/>
    </row>
    <row r="525" spans="37:40" x14ac:dyDescent="0.25">
      <c r="AK525" s="73"/>
      <c r="AL525" s="73"/>
      <c r="AM525" s="73"/>
      <c r="AN525" s="73"/>
    </row>
    <row r="526" spans="37:40" x14ac:dyDescent="0.25">
      <c r="AK526" s="73"/>
      <c r="AL526" s="73"/>
      <c r="AM526" s="73"/>
      <c r="AN526" s="73"/>
    </row>
    <row r="527" spans="37:40" x14ac:dyDescent="0.25">
      <c r="AK527" s="73"/>
      <c r="AL527" s="73"/>
      <c r="AM527" s="73"/>
      <c r="AN527" s="73"/>
    </row>
    <row r="528" spans="37:40" x14ac:dyDescent="0.25">
      <c r="AK528" s="73"/>
      <c r="AL528" s="73"/>
      <c r="AM528" s="73"/>
      <c r="AN528" s="73"/>
    </row>
    <row r="529" spans="37:40" x14ac:dyDescent="0.25">
      <c r="AK529" s="73"/>
      <c r="AL529" s="73"/>
      <c r="AM529" s="73"/>
      <c r="AN529" s="73"/>
    </row>
    <row r="530" spans="37:40" x14ac:dyDescent="0.25">
      <c r="AK530" s="73"/>
      <c r="AL530" s="73"/>
      <c r="AM530" s="73"/>
      <c r="AN530" s="73"/>
    </row>
    <row r="531" spans="37:40" x14ac:dyDescent="0.25">
      <c r="AK531" s="73"/>
      <c r="AL531" s="73"/>
      <c r="AM531" s="73"/>
      <c r="AN531" s="73"/>
    </row>
    <row r="532" spans="37:40" x14ac:dyDescent="0.25">
      <c r="AK532" s="73"/>
      <c r="AL532" s="73"/>
      <c r="AM532" s="73"/>
      <c r="AN532" s="73"/>
    </row>
    <row r="533" spans="37:40" x14ac:dyDescent="0.25">
      <c r="AK533" s="73"/>
      <c r="AL533" s="73"/>
      <c r="AM533" s="73"/>
      <c r="AN533" s="73"/>
    </row>
    <row r="534" spans="37:40" x14ac:dyDescent="0.25">
      <c r="AK534" s="73"/>
      <c r="AL534" s="73"/>
      <c r="AM534" s="73"/>
      <c r="AN534" s="73"/>
    </row>
    <row r="535" spans="37:40" x14ac:dyDescent="0.25">
      <c r="AK535" s="73"/>
      <c r="AL535" s="73"/>
      <c r="AM535" s="73"/>
      <c r="AN535" s="73"/>
    </row>
    <row r="536" spans="37:40" x14ac:dyDescent="0.25">
      <c r="AK536" s="73"/>
      <c r="AL536" s="73"/>
      <c r="AM536" s="73"/>
      <c r="AN536" s="73"/>
    </row>
    <row r="537" spans="37:40" x14ac:dyDescent="0.25">
      <c r="AK537" s="73"/>
      <c r="AL537" s="73"/>
      <c r="AM537" s="73"/>
      <c r="AN537" s="73"/>
    </row>
    <row r="538" spans="37:40" x14ac:dyDescent="0.25">
      <c r="AK538" s="73"/>
      <c r="AL538" s="73"/>
      <c r="AM538" s="73"/>
      <c r="AN538" s="73"/>
    </row>
    <row r="539" spans="37:40" x14ac:dyDescent="0.25">
      <c r="AK539" s="73"/>
      <c r="AL539" s="73"/>
      <c r="AM539" s="73"/>
      <c r="AN539" s="73"/>
    </row>
    <row r="540" spans="37:40" x14ac:dyDescent="0.25">
      <c r="AK540" s="73"/>
      <c r="AL540" s="73"/>
      <c r="AM540" s="73"/>
      <c r="AN540" s="73"/>
    </row>
    <row r="541" spans="37:40" x14ac:dyDescent="0.25">
      <c r="AK541" s="73"/>
      <c r="AL541" s="73"/>
      <c r="AM541" s="73"/>
      <c r="AN541" s="73"/>
    </row>
    <row r="542" spans="37:40" x14ac:dyDescent="0.25">
      <c r="AK542" s="73"/>
      <c r="AL542" s="73"/>
      <c r="AM542" s="73"/>
      <c r="AN542" s="73"/>
    </row>
    <row r="543" spans="37:40" x14ac:dyDescent="0.25">
      <c r="AK543" s="73"/>
      <c r="AL543" s="73"/>
      <c r="AM543" s="73"/>
      <c r="AN543" s="73"/>
    </row>
    <row r="544" spans="37:40" x14ac:dyDescent="0.25">
      <c r="AK544" s="73"/>
      <c r="AL544" s="73"/>
      <c r="AM544" s="73"/>
      <c r="AN544" s="73"/>
    </row>
    <row r="545" spans="37:40" x14ac:dyDescent="0.25">
      <c r="AK545" s="73"/>
      <c r="AL545" s="73"/>
      <c r="AM545" s="73"/>
      <c r="AN545" s="73"/>
    </row>
    <row r="546" spans="37:40" x14ac:dyDescent="0.25">
      <c r="AK546" s="73"/>
      <c r="AL546" s="73"/>
      <c r="AM546" s="73"/>
      <c r="AN546" s="73"/>
    </row>
    <row r="547" spans="37:40" x14ac:dyDescent="0.25">
      <c r="AK547" s="73"/>
      <c r="AL547" s="73"/>
      <c r="AM547" s="73"/>
      <c r="AN547" s="73"/>
    </row>
    <row r="548" spans="37:40" x14ac:dyDescent="0.25">
      <c r="AK548" s="73"/>
      <c r="AL548" s="73"/>
      <c r="AM548" s="73"/>
      <c r="AN548" s="73"/>
    </row>
    <row r="549" spans="37:40" x14ac:dyDescent="0.25">
      <c r="AK549" s="73"/>
      <c r="AL549" s="73"/>
      <c r="AM549" s="73"/>
      <c r="AN549" s="73"/>
    </row>
    <row r="550" spans="37:40" x14ac:dyDescent="0.25">
      <c r="AK550" s="73"/>
      <c r="AL550" s="73"/>
      <c r="AM550" s="73"/>
      <c r="AN550" s="73"/>
    </row>
    <row r="551" spans="37:40" x14ac:dyDescent="0.25">
      <c r="AK551" s="73"/>
      <c r="AL551" s="73"/>
      <c r="AM551" s="73"/>
      <c r="AN551" s="73"/>
    </row>
    <row r="552" spans="37:40" x14ac:dyDescent="0.25">
      <c r="AK552" s="73"/>
      <c r="AL552" s="73"/>
      <c r="AM552" s="73"/>
      <c r="AN552" s="73"/>
    </row>
    <row r="553" spans="37:40" x14ac:dyDescent="0.25">
      <c r="AK553" s="73"/>
      <c r="AL553" s="73"/>
      <c r="AM553" s="73"/>
      <c r="AN553" s="73"/>
    </row>
    <row r="554" spans="37:40" x14ac:dyDescent="0.25">
      <c r="AK554" s="73"/>
      <c r="AL554" s="73"/>
      <c r="AM554" s="73"/>
      <c r="AN554" s="73"/>
    </row>
    <row r="555" spans="37:40" x14ac:dyDescent="0.25">
      <c r="AK555" s="73"/>
      <c r="AL555" s="73"/>
      <c r="AM555" s="73"/>
      <c r="AN555" s="73"/>
    </row>
    <row r="556" spans="37:40" x14ac:dyDescent="0.25">
      <c r="AK556" s="73"/>
      <c r="AL556" s="73"/>
      <c r="AM556" s="73"/>
      <c r="AN556" s="73"/>
    </row>
    <row r="557" spans="37:40" x14ac:dyDescent="0.25">
      <c r="AK557" s="73"/>
      <c r="AL557" s="73"/>
      <c r="AM557" s="73"/>
      <c r="AN557" s="73"/>
    </row>
    <row r="558" spans="37:40" x14ac:dyDescent="0.25">
      <c r="AK558" s="73"/>
      <c r="AL558" s="73"/>
      <c r="AM558" s="73"/>
      <c r="AN558" s="73"/>
    </row>
    <row r="559" spans="37:40" x14ac:dyDescent="0.25">
      <c r="AK559" s="73"/>
      <c r="AL559" s="73"/>
      <c r="AM559" s="73"/>
      <c r="AN559" s="73"/>
    </row>
    <row r="560" spans="37:40" x14ac:dyDescent="0.25">
      <c r="AK560" s="73"/>
      <c r="AL560" s="73"/>
      <c r="AM560" s="73"/>
      <c r="AN560" s="73"/>
    </row>
    <row r="561" spans="37:40" x14ac:dyDescent="0.25">
      <c r="AK561" s="73"/>
      <c r="AL561" s="73"/>
      <c r="AM561" s="73"/>
      <c r="AN561" s="73"/>
    </row>
    <row r="562" spans="37:40" x14ac:dyDescent="0.25">
      <c r="AK562" s="73"/>
      <c r="AL562" s="73"/>
      <c r="AM562" s="73"/>
      <c r="AN562" s="73"/>
    </row>
    <row r="563" spans="37:40" x14ac:dyDescent="0.25">
      <c r="AK563" s="73"/>
      <c r="AL563" s="73"/>
      <c r="AM563" s="73"/>
      <c r="AN563" s="73"/>
    </row>
    <row r="564" spans="37:40" x14ac:dyDescent="0.25">
      <c r="AK564" s="73"/>
      <c r="AL564" s="73"/>
      <c r="AM564" s="73"/>
      <c r="AN564" s="73"/>
    </row>
    <row r="565" spans="37:40" x14ac:dyDescent="0.25">
      <c r="AK565" s="73"/>
      <c r="AL565" s="73"/>
      <c r="AM565" s="73"/>
      <c r="AN565" s="73"/>
    </row>
    <row r="566" spans="37:40" x14ac:dyDescent="0.25">
      <c r="AK566" s="73"/>
      <c r="AL566" s="73"/>
      <c r="AM566" s="73"/>
      <c r="AN566" s="73"/>
    </row>
    <row r="567" spans="37:40" x14ac:dyDescent="0.25">
      <c r="AK567" s="73"/>
      <c r="AL567" s="73"/>
      <c r="AM567" s="73"/>
      <c r="AN567" s="73"/>
    </row>
    <row r="568" spans="37:40" x14ac:dyDescent="0.25">
      <c r="AK568" s="73"/>
      <c r="AL568" s="73"/>
      <c r="AM568" s="73"/>
      <c r="AN568" s="73"/>
    </row>
    <row r="569" spans="37:40" x14ac:dyDescent="0.25">
      <c r="AK569" s="73"/>
      <c r="AL569" s="73"/>
      <c r="AM569" s="73"/>
      <c r="AN569" s="73"/>
    </row>
    <row r="570" spans="37:40" x14ac:dyDescent="0.25">
      <c r="AK570" s="73"/>
      <c r="AL570" s="73"/>
      <c r="AM570" s="73"/>
      <c r="AN570" s="73"/>
    </row>
    <row r="571" spans="37:40" x14ac:dyDescent="0.25">
      <c r="AK571" s="73"/>
      <c r="AL571" s="73"/>
      <c r="AM571" s="73"/>
      <c r="AN571" s="73"/>
    </row>
    <row r="572" spans="37:40" x14ac:dyDescent="0.25">
      <c r="AK572" s="73"/>
      <c r="AL572" s="73"/>
      <c r="AM572" s="73"/>
      <c r="AN572" s="73"/>
    </row>
    <row r="573" spans="37:40" x14ac:dyDescent="0.25">
      <c r="AK573" s="73"/>
      <c r="AL573" s="73"/>
      <c r="AM573" s="73"/>
      <c r="AN573" s="73"/>
    </row>
    <row r="574" spans="37:40" x14ac:dyDescent="0.25">
      <c r="AK574" s="73"/>
      <c r="AL574" s="73"/>
      <c r="AM574" s="73"/>
      <c r="AN574" s="73"/>
    </row>
    <row r="575" spans="37:40" x14ac:dyDescent="0.25">
      <c r="AK575" s="73"/>
      <c r="AL575" s="73"/>
      <c r="AM575" s="73"/>
      <c r="AN575" s="73"/>
    </row>
    <row r="576" spans="37:40" x14ac:dyDescent="0.25">
      <c r="AK576" s="73"/>
      <c r="AL576" s="73"/>
      <c r="AM576" s="73"/>
      <c r="AN576" s="73"/>
    </row>
    <row r="577" spans="37:40" x14ac:dyDescent="0.25">
      <c r="AK577" s="73"/>
      <c r="AL577" s="73"/>
      <c r="AM577" s="73"/>
      <c r="AN577" s="73"/>
    </row>
    <row r="578" spans="37:40" x14ac:dyDescent="0.25">
      <c r="AK578" s="73"/>
      <c r="AL578" s="73"/>
      <c r="AM578" s="73"/>
      <c r="AN578" s="73"/>
    </row>
    <row r="579" spans="37:40" x14ac:dyDescent="0.25">
      <c r="AK579" s="73"/>
      <c r="AL579" s="73"/>
      <c r="AM579" s="73"/>
      <c r="AN579" s="73"/>
    </row>
    <row r="580" spans="37:40" x14ac:dyDescent="0.25">
      <c r="AK580" s="73"/>
      <c r="AL580" s="73"/>
      <c r="AM580" s="73"/>
      <c r="AN580" s="73"/>
    </row>
    <row r="581" spans="37:40" x14ac:dyDescent="0.25">
      <c r="AK581" s="73"/>
      <c r="AL581" s="73"/>
      <c r="AM581" s="73"/>
      <c r="AN581" s="73"/>
    </row>
    <row r="582" spans="37:40" x14ac:dyDescent="0.25">
      <c r="AK582" s="73"/>
      <c r="AL582" s="73"/>
      <c r="AM582" s="73"/>
      <c r="AN582" s="73"/>
    </row>
    <row r="583" spans="37:40" x14ac:dyDescent="0.25">
      <c r="AK583" s="73"/>
      <c r="AL583" s="73"/>
      <c r="AM583" s="73"/>
      <c r="AN583" s="73"/>
    </row>
    <row r="584" spans="37:40" x14ac:dyDescent="0.25">
      <c r="AK584" s="73"/>
      <c r="AL584" s="73"/>
      <c r="AM584" s="73"/>
      <c r="AN584" s="73"/>
    </row>
    <row r="585" spans="37:40" x14ac:dyDescent="0.25">
      <c r="AK585" s="73"/>
      <c r="AL585" s="73"/>
      <c r="AM585" s="73"/>
      <c r="AN585" s="73"/>
    </row>
    <row r="586" spans="37:40" x14ac:dyDescent="0.25">
      <c r="AK586" s="73"/>
      <c r="AL586" s="73"/>
      <c r="AM586" s="73"/>
      <c r="AN586" s="73"/>
    </row>
    <row r="587" spans="37:40" x14ac:dyDescent="0.25">
      <c r="AK587" s="73"/>
      <c r="AL587" s="73"/>
      <c r="AM587" s="73"/>
      <c r="AN587" s="73"/>
    </row>
    <row r="588" spans="37:40" x14ac:dyDescent="0.25">
      <c r="AK588" s="73"/>
      <c r="AL588" s="73"/>
      <c r="AM588" s="73"/>
      <c r="AN588" s="73"/>
    </row>
    <row r="589" spans="37:40" x14ac:dyDescent="0.25">
      <c r="AK589" s="73"/>
      <c r="AL589" s="73"/>
      <c r="AM589" s="73"/>
      <c r="AN589" s="73"/>
    </row>
    <row r="590" spans="37:40" x14ac:dyDescent="0.25">
      <c r="AK590" s="73"/>
      <c r="AL590" s="73"/>
      <c r="AM590" s="73"/>
      <c r="AN590" s="73"/>
    </row>
    <row r="591" spans="37:40" x14ac:dyDescent="0.25">
      <c r="AK591" s="73"/>
      <c r="AL591" s="73"/>
      <c r="AM591" s="73"/>
      <c r="AN591" s="73"/>
    </row>
    <row r="592" spans="37:40" x14ac:dyDescent="0.25">
      <c r="AK592" s="73"/>
      <c r="AL592" s="73"/>
      <c r="AM592" s="73"/>
      <c r="AN592" s="73"/>
    </row>
    <row r="593" spans="37:40" x14ac:dyDescent="0.25">
      <c r="AK593" s="73"/>
      <c r="AL593" s="73"/>
      <c r="AM593" s="73"/>
      <c r="AN593" s="73"/>
    </row>
    <row r="594" spans="37:40" x14ac:dyDescent="0.25">
      <c r="AK594" s="73"/>
      <c r="AL594" s="73"/>
      <c r="AM594" s="73"/>
      <c r="AN594" s="73"/>
    </row>
    <row r="595" spans="37:40" x14ac:dyDescent="0.25">
      <c r="AK595" s="73"/>
      <c r="AL595" s="73"/>
      <c r="AM595" s="73"/>
      <c r="AN595" s="73"/>
    </row>
    <row r="596" spans="37:40" x14ac:dyDescent="0.25">
      <c r="AK596" s="73"/>
      <c r="AL596" s="73"/>
      <c r="AM596" s="73"/>
      <c r="AN596" s="73"/>
    </row>
    <row r="597" spans="37:40" x14ac:dyDescent="0.25">
      <c r="AK597" s="73"/>
      <c r="AL597" s="73"/>
      <c r="AM597" s="73"/>
      <c r="AN597" s="73"/>
    </row>
    <row r="598" spans="37:40" x14ac:dyDescent="0.25">
      <c r="AK598" s="73"/>
      <c r="AL598" s="73"/>
      <c r="AM598" s="73"/>
      <c r="AN598" s="73"/>
    </row>
    <row r="599" spans="37:40" x14ac:dyDescent="0.25">
      <c r="AK599" s="73"/>
      <c r="AL599" s="73"/>
      <c r="AM599" s="73"/>
      <c r="AN599" s="73"/>
    </row>
    <row r="600" spans="37:40" x14ac:dyDescent="0.25">
      <c r="AK600" s="73"/>
      <c r="AL600" s="73"/>
      <c r="AM600" s="73"/>
      <c r="AN600" s="73"/>
    </row>
    <row r="601" spans="37:40" x14ac:dyDescent="0.25">
      <c r="AK601" s="73"/>
      <c r="AL601" s="73"/>
      <c r="AM601" s="73"/>
      <c r="AN601" s="73"/>
    </row>
    <row r="602" spans="37:40" x14ac:dyDescent="0.25">
      <c r="AK602" s="73"/>
      <c r="AL602" s="73"/>
      <c r="AM602" s="73"/>
      <c r="AN602" s="73"/>
    </row>
    <row r="603" spans="37:40" x14ac:dyDescent="0.25">
      <c r="AK603" s="73"/>
      <c r="AL603" s="73"/>
      <c r="AM603" s="73"/>
      <c r="AN603" s="73"/>
    </row>
    <row r="604" spans="37:40" x14ac:dyDescent="0.25">
      <c r="AK604" s="73"/>
      <c r="AL604" s="73"/>
      <c r="AM604" s="73"/>
      <c r="AN604" s="73"/>
    </row>
    <row r="605" spans="37:40" x14ac:dyDescent="0.25">
      <c r="AK605" s="73"/>
      <c r="AL605" s="73"/>
      <c r="AM605" s="73"/>
      <c r="AN605" s="73"/>
    </row>
    <row r="606" spans="37:40" x14ac:dyDescent="0.25">
      <c r="AK606" s="73"/>
      <c r="AL606" s="73"/>
      <c r="AM606" s="73"/>
      <c r="AN606" s="73"/>
    </row>
    <row r="607" spans="37:40" x14ac:dyDescent="0.25">
      <c r="AK607" s="73"/>
      <c r="AL607" s="73"/>
      <c r="AM607" s="73"/>
      <c r="AN607" s="73"/>
    </row>
    <row r="608" spans="37:40" x14ac:dyDescent="0.25">
      <c r="AK608" s="73"/>
      <c r="AL608" s="73"/>
      <c r="AM608" s="73"/>
      <c r="AN608" s="73"/>
    </row>
    <row r="609" spans="37:40" x14ac:dyDescent="0.25">
      <c r="AK609" s="73"/>
      <c r="AL609" s="73"/>
      <c r="AM609" s="73"/>
      <c r="AN609" s="73"/>
    </row>
    <row r="610" spans="37:40" x14ac:dyDescent="0.25">
      <c r="AK610" s="73"/>
      <c r="AL610" s="73"/>
      <c r="AM610" s="73"/>
      <c r="AN610" s="73"/>
    </row>
    <row r="611" spans="37:40" x14ac:dyDescent="0.25">
      <c r="AK611" s="73"/>
      <c r="AL611" s="73"/>
      <c r="AM611" s="73"/>
      <c r="AN611" s="73"/>
    </row>
    <row r="612" spans="37:40" x14ac:dyDescent="0.25">
      <c r="AK612" s="73"/>
      <c r="AL612" s="73"/>
      <c r="AM612" s="73"/>
      <c r="AN612" s="73"/>
    </row>
    <row r="613" spans="37:40" x14ac:dyDescent="0.25">
      <c r="AK613" s="73"/>
      <c r="AL613" s="73"/>
      <c r="AM613" s="73"/>
      <c r="AN613" s="73"/>
    </row>
    <row r="614" spans="37:40" x14ac:dyDescent="0.25">
      <c r="AK614" s="73"/>
      <c r="AL614" s="73"/>
      <c r="AM614" s="73"/>
      <c r="AN614" s="73"/>
    </row>
    <row r="615" spans="37:40" x14ac:dyDescent="0.25">
      <c r="AK615" s="73"/>
      <c r="AL615" s="73"/>
      <c r="AM615" s="73"/>
      <c r="AN615" s="73"/>
    </row>
    <row r="616" spans="37:40" x14ac:dyDescent="0.25">
      <c r="AK616" s="73"/>
      <c r="AL616" s="73"/>
      <c r="AM616" s="73"/>
      <c r="AN616" s="73"/>
    </row>
    <row r="617" spans="37:40" x14ac:dyDescent="0.25">
      <c r="AK617" s="73"/>
      <c r="AL617" s="73"/>
      <c r="AM617" s="73"/>
      <c r="AN617" s="73"/>
    </row>
    <row r="618" spans="37:40" x14ac:dyDescent="0.25">
      <c r="AK618" s="73"/>
      <c r="AL618" s="73"/>
      <c r="AM618" s="73"/>
      <c r="AN618" s="73"/>
    </row>
    <row r="619" spans="37:40" x14ac:dyDescent="0.25">
      <c r="AK619" s="73"/>
      <c r="AL619" s="73"/>
      <c r="AM619" s="73"/>
      <c r="AN619" s="73"/>
    </row>
    <row r="620" spans="37:40" x14ac:dyDescent="0.25">
      <c r="AK620" s="73"/>
      <c r="AL620" s="73"/>
      <c r="AM620" s="73"/>
      <c r="AN620" s="73"/>
    </row>
    <row r="621" spans="37:40" x14ac:dyDescent="0.25">
      <c r="AK621" s="73"/>
      <c r="AL621" s="73"/>
      <c r="AM621" s="73"/>
      <c r="AN621" s="73"/>
    </row>
    <row r="622" spans="37:40" x14ac:dyDescent="0.25">
      <c r="AK622" s="73"/>
      <c r="AL622" s="73"/>
      <c r="AM622" s="73"/>
      <c r="AN622" s="73"/>
    </row>
    <row r="623" spans="37:40" x14ac:dyDescent="0.25">
      <c r="AK623" s="73"/>
      <c r="AL623" s="73"/>
      <c r="AM623" s="73"/>
      <c r="AN623" s="73"/>
    </row>
    <row r="624" spans="37:40" x14ac:dyDescent="0.25">
      <c r="AK624" s="73"/>
      <c r="AL624" s="73"/>
      <c r="AM624" s="73"/>
      <c r="AN624" s="73"/>
    </row>
    <row r="625" spans="37:40" x14ac:dyDescent="0.25">
      <c r="AK625" s="73"/>
      <c r="AL625" s="73"/>
      <c r="AM625" s="73"/>
      <c r="AN625" s="73"/>
    </row>
    <row r="626" spans="37:40" x14ac:dyDescent="0.25">
      <c r="AK626" s="73"/>
      <c r="AL626" s="73"/>
      <c r="AM626" s="73"/>
      <c r="AN626" s="73"/>
    </row>
    <row r="627" spans="37:40" x14ac:dyDescent="0.25">
      <c r="AK627" s="73"/>
      <c r="AL627" s="73"/>
      <c r="AM627" s="73"/>
      <c r="AN627" s="73"/>
    </row>
    <row r="628" spans="37:40" x14ac:dyDescent="0.25">
      <c r="AK628" s="73"/>
      <c r="AL628" s="73"/>
      <c r="AM628" s="73"/>
      <c r="AN628" s="73"/>
    </row>
    <row r="629" spans="37:40" x14ac:dyDescent="0.25">
      <c r="AK629" s="73"/>
      <c r="AL629" s="73"/>
      <c r="AM629" s="73"/>
      <c r="AN629" s="73"/>
    </row>
    <row r="630" spans="37:40" x14ac:dyDescent="0.25">
      <c r="AK630" s="73"/>
      <c r="AL630" s="73"/>
      <c r="AM630" s="73"/>
      <c r="AN630" s="73"/>
    </row>
    <row r="631" spans="37:40" x14ac:dyDescent="0.25">
      <c r="AK631" s="73"/>
      <c r="AL631" s="73"/>
      <c r="AM631" s="73"/>
      <c r="AN631" s="73"/>
    </row>
    <row r="632" spans="37:40" x14ac:dyDescent="0.25">
      <c r="AK632" s="73"/>
      <c r="AL632" s="73"/>
      <c r="AM632" s="73"/>
      <c r="AN632" s="73"/>
    </row>
    <row r="633" spans="37:40" x14ac:dyDescent="0.25">
      <c r="AK633" s="73"/>
      <c r="AL633" s="73"/>
      <c r="AM633" s="73"/>
      <c r="AN633" s="73"/>
    </row>
    <row r="634" spans="37:40" x14ac:dyDescent="0.25">
      <c r="AK634" s="73"/>
      <c r="AL634" s="73"/>
      <c r="AM634" s="73"/>
      <c r="AN634" s="73"/>
    </row>
    <row r="635" spans="37:40" x14ac:dyDescent="0.25">
      <c r="AK635" s="73"/>
      <c r="AL635" s="73"/>
      <c r="AM635" s="73"/>
      <c r="AN635" s="73"/>
    </row>
    <row r="636" spans="37:40" x14ac:dyDescent="0.25">
      <c r="AK636" s="73"/>
      <c r="AL636" s="73"/>
      <c r="AM636" s="73"/>
      <c r="AN636" s="73"/>
    </row>
    <row r="637" spans="37:40" x14ac:dyDescent="0.25">
      <c r="AK637" s="73"/>
      <c r="AL637" s="73"/>
      <c r="AM637" s="73"/>
      <c r="AN637" s="73"/>
    </row>
    <row r="638" spans="37:40" x14ac:dyDescent="0.25">
      <c r="AK638" s="73"/>
      <c r="AL638" s="73"/>
      <c r="AM638" s="73"/>
      <c r="AN638" s="73"/>
    </row>
    <row r="639" spans="37:40" x14ac:dyDescent="0.25">
      <c r="AK639" s="73"/>
      <c r="AL639" s="73"/>
      <c r="AM639" s="73"/>
      <c r="AN639" s="73"/>
    </row>
    <row r="640" spans="37:40" x14ac:dyDescent="0.25">
      <c r="AK640" s="73"/>
      <c r="AL640" s="73"/>
      <c r="AM640" s="73"/>
      <c r="AN640" s="73"/>
    </row>
    <row r="641" spans="37:40" x14ac:dyDescent="0.25">
      <c r="AK641" s="73"/>
      <c r="AL641" s="73"/>
      <c r="AM641" s="73"/>
      <c r="AN641" s="73"/>
    </row>
    <row r="642" spans="37:40" x14ac:dyDescent="0.25">
      <c r="AK642" s="73"/>
      <c r="AL642" s="73"/>
      <c r="AM642" s="73"/>
      <c r="AN642" s="73"/>
    </row>
    <row r="643" spans="37:40" x14ac:dyDescent="0.25">
      <c r="AK643" s="73"/>
      <c r="AL643" s="73"/>
      <c r="AM643" s="73"/>
      <c r="AN643" s="73"/>
    </row>
    <row r="644" spans="37:40" x14ac:dyDescent="0.25">
      <c r="AK644" s="73"/>
      <c r="AL644" s="73"/>
      <c r="AM644" s="73"/>
      <c r="AN644" s="73"/>
    </row>
    <row r="645" spans="37:40" x14ac:dyDescent="0.25">
      <c r="AK645" s="73"/>
      <c r="AL645" s="73"/>
      <c r="AM645" s="73"/>
      <c r="AN645" s="73"/>
    </row>
    <row r="646" spans="37:40" x14ac:dyDescent="0.25">
      <c r="AK646" s="73"/>
      <c r="AL646" s="73"/>
      <c r="AM646" s="73"/>
      <c r="AN646" s="73"/>
    </row>
    <row r="647" spans="37:40" x14ac:dyDescent="0.25">
      <c r="AK647" s="73"/>
      <c r="AL647" s="73"/>
      <c r="AM647" s="73"/>
      <c r="AN647" s="73"/>
    </row>
    <row r="648" spans="37:40" x14ac:dyDescent="0.25">
      <c r="AK648" s="73"/>
      <c r="AL648" s="73"/>
      <c r="AM648" s="73"/>
      <c r="AN648" s="73"/>
    </row>
    <row r="649" spans="37:40" x14ac:dyDescent="0.25">
      <c r="AK649" s="73"/>
      <c r="AL649" s="73"/>
      <c r="AM649" s="73"/>
      <c r="AN649" s="73"/>
    </row>
    <row r="650" spans="37:40" x14ac:dyDescent="0.25">
      <c r="AK650" s="73"/>
      <c r="AL650" s="73"/>
      <c r="AM650" s="73"/>
      <c r="AN650" s="73"/>
    </row>
    <row r="651" spans="37:40" x14ac:dyDescent="0.25">
      <c r="AK651" s="73"/>
      <c r="AL651" s="73"/>
      <c r="AM651" s="73"/>
      <c r="AN651" s="73"/>
    </row>
    <row r="652" spans="37:40" x14ac:dyDescent="0.25">
      <c r="AK652" s="73"/>
      <c r="AL652" s="73"/>
      <c r="AM652" s="73"/>
      <c r="AN652" s="73"/>
    </row>
    <row r="653" spans="37:40" x14ac:dyDescent="0.25">
      <c r="AK653" s="73"/>
      <c r="AL653" s="73"/>
      <c r="AM653" s="73"/>
      <c r="AN653" s="73"/>
    </row>
    <row r="654" spans="37:40" x14ac:dyDescent="0.25">
      <c r="AK654" s="73"/>
      <c r="AL654" s="73"/>
      <c r="AM654" s="73"/>
      <c r="AN654" s="73"/>
    </row>
    <row r="655" spans="37:40" x14ac:dyDescent="0.25">
      <c r="AK655" s="73"/>
      <c r="AL655" s="73"/>
      <c r="AM655" s="73"/>
      <c r="AN655" s="73"/>
    </row>
    <row r="656" spans="37:40" x14ac:dyDescent="0.25">
      <c r="AK656" s="73"/>
      <c r="AL656" s="73"/>
      <c r="AM656" s="73"/>
      <c r="AN656" s="73"/>
    </row>
    <row r="657" spans="37:40" x14ac:dyDescent="0.25">
      <c r="AK657" s="73"/>
      <c r="AL657" s="73"/>
      <c r="AM657" s="73"/>
      <c r="AN657" s="73"/>
    </row>
    <row r="658" spans="37:40" x14ac:dyDescent="0.25">
      <c r="AK658" s="73"/>
      <c r="AL658" s="73"/>
      <c r="AM658" s="73"/>
      <c r="AN658" s="73"/>
    </row>
    <row r="659" spans="37:40" x14ac:dyDescent="0.25">
      <c r="AK659" s="73"/>
      <c r="AL659" s="73"/>
      <c r="AM659" s="73"/>
      <c r="AN659" s="73"/>
    </row>
    <row r="660" spans="37:40" x14ac:dyDescent="0.25">
      <c r="AK660" s="73"/>
      <c r="AL660" s="73"/>
      <c r="AM660" s="73"/>
      <c r="AN660" s="73"/>
    </row>
    <row r="661" spans="37:40" x14ac:dyDescent="0.25">
      <c r="AK661" s="73"/>
      <c r="AL661" s="73"/>
      <c r="AM661" s="73"/>
      <c r="AN661" s="73"/>
    </row>
    <row r="662" spans="37:40" x14ac:dyDescent="0.25">
      <c r="AK662" s="73"/>
      <c r="AL662" s="73"/>
      <c r="AM662" s="73"/>
      <c r="AN662" s="73"/>
    </row>
    <row r="663" spans="37:40" x14ac:dyDescent="0.25">
      <c r="AK663" s="73"/>
      <c r="AL663" s="73"/>
      <c r="AM663" s="73"/>
      <c r="AN663" s="73"/>
    </row>
    <row r="664" spans="37:40" x14ac:dyDescent="0.25">
      <c r="AK664" s="73"/>
      <c r="AL664" s="73"/>
      <c r="AM664" s="73"/>
      <c r="AN664" s="73"/>
    </row>
    <row r="665" spans="37:40" x14ac:dyDescent="0.25">
      <c r="AK665" s="73"/>
      <c r="AL665" s="73"/>
      <c r="AM665" s="73"/>
      <c r="AN665" s="73"/>
    </row>
    <row r="666" spans="37:40" x14ac:dyDescent="0.25">
      <c r="AK666" s="73"/>
      <c r="AL666" s="73"/>
      <c r="AM666" s="73"/>
      <c r="AN666" s="73"/>
    </row>
    <row r="667" spans="37:40" x14ac:dyDescent="0.25">
      <c r="AK667" s="73"/>
      <c r="AL667" s="73"/>
      <c r="AM667" s="73"/>
      <c r="AN667" s="73"/>
    </row>
    <row r="668" spans="37:40" x14ac:dyDescent="0.25">
      <c r="AK668" s="73"/>
      <c r="AL668" s="73"/>
      <c r="AM668" s="73"/>
      <c r="AN668" s="73"/>
    </row>
    <row r="669" spans="37:40" x14ac:dyDescent="0.25">
      <c r="AK669" s="73"/>
      <c r="AL669" s="73"/>
      <c r="AM669" s="73"/>
      <c r="AN669" s="73"/>
    </row>
    <row r="670" spans="37:40" x14ac:dyDescent="0.25">
      <c r="AK670" s="73"/>
      <c r="AL670" s="73"/>
      <c r="AM670" s="73"/>
      <c r="AN670" s="73"/>
    </row>
    <row r="671" spans="37:40" x14ac:dyDescent="0.25">
      <c r="AK671" s="73"/>
      <c r="AL671" s="73"/>
      <c r="AM671" s="73"/>
      <c r="AN671" s="73"/>
    </row>
    <row r="672" spans="37:40" x14ac:dyDescent="0.25">
      <c r="AK672" s="73"/>
      <c r="AL672" s="73"/>
      <c r="AM672" s="73"/>
      <c r="AN672" s="73"/>
    </row>
    <row r="673" spans="37:40" x14ac:dyDescent="0.25">
      <c r="AK673" s="73"/>
      <c r="AL673" s="73"/>
      <c r="AM673" s="73"/>
      <c r="AN673" s="73"/>
    </row>
    <row r="674" spans="37:40" x14ac:dyDescent="0.25">
      <c r="AK674" s="73"/>
      <c r="AL674" s="73"/>
      <c r="AM674" s="73"/>
      <c r="AN674" s="73"/>
    </row>
    <row r="675" spans="37:40" x14ac:dyDescent="0.25">
      <c r="AK675" s="73"/>
      <c r="AL675" s="73"/>
      <c r="AM675" s="73"/>
      <c r="AN675" s="73"/>
    </row>
    <row r="676" spans="37:40" x14ac:dyDescent="0.25">
      <c r="AK676" s="73"/>
      <c r="AL676" s="73"/>
      <c r="AM676" s="73"/>
      <c r="AN676" s="73"/>
    </row>
    <row r="677" spans="37:40" x14ac:dyDescent="0.25">
      <c r="AK677" s="73"/>
      <c r="AL677" s="73"/>
      <c r="AM677" s="73"/>
      <c r="AN677" s="73"/>
    </row>
    <row r="678" spans="37:40" x14ac:dyDescent="0.25">
      <c r="AK678" s="73"/>
      <c r="AL678" s="73"/>
      <c r="AM678" s="73"/>
      <c r="AN678" s="73"/>
    </row>
    <row r="679" spans="37:40" x14ac:dyDescent="0.25">
      <c r="AK679" s="73"/>
      <c r="AL679" s="73"/>
      <c r="AM679" s="73"/>
      <c r="AN679" s="73"/>
    </row>
    <row r="680" spans="37:40" x14ac:dyDescent="0.25">
      <c r="AK680" s="73"/>
      <c r="AL680" s="73"/>
      <c r="AM680" s="73"/>
      <c r="AN680" s="73"/>
    </row>
    <row r="681" spans="37:40" x14ac:dyDescent="0.25">
      <c r="AK681" s="73"/>
      <c r="AL681" s="73"/>
      <c r="AM681" s="73"/>
      <c r="AN681" s="73"/>
    </row>
    <row r="682" spans="37:40" x14ac:dyDescent="0.25">
      <c r="AK682" s="73"/>
      <c r="AL682" s="73"/>
      <c r="AM682" s="73"/>
      <c r="AN682" s="73"/>
    </row>
    <row r="683" spans="37:40" x14ac:dyDescent="0.25">
      <c r="AK683" s="73"/>
      <c r="AL683" s="73"/>
      <c r="AM683" s="73"/>
      <c r="AN683" s="73"/>
    </row>
    <row r="684" spans="37:40" x14ac:dyDescent="0.25">
      <c r="AK684" s="73"/>
      <c r="AL684" s="73"/>
      <c r="AM684" s="73"/>
      <c r="AN684" s="73"/>
    </row>
    <row r="685" spans="37:40" x14ac:dyDescent="0.25">
      <c r="AK685" s="73"/>
      <c r="AL685" s="73"/>
      <c r="AM685" s="73"/>
      <c r="AN685" s="73"/>
    </row>
    <row r="686" spans="37:40" x14ac:dyDescent="0.25">
      <c r="AK686" s="73"/>
      <c r="AL686" s="73"/>
      <c r="AM686" s="73"/>
      <c r="AN686" s="73"/>
    </row>
    <row r="687" spans="37:40" x14ac:dyDescent="0.25">
      <c r="AK687" s="73"/>
      <c r="AL687" s="73"/>
      <c r="AM687" s="73"/>
      <c r="AN687" s="73"/>
    </row>
    <row r="688" spans="37:40" x14ac:dyDescent="0.25">
      <c r="AK688" s="73"/>
      <c r="AL688" s="73"/>
      <c r="AM688" s="73"/>
      <c r="AN688" s="73"/>
    </row>
    <row r="689" spans="37:40" x14ac:dyDescent="0.25">
      <c r="AK689" s="73"/>
      <c r="AL689" s="73"/>
      <c r="AM689" s="73"/>
      <c r="AN689" s="73"/>
    </row>
    <row r="690" spans="37:40" x14ac:dyDescent="0.25">
      <c r="AK690" s="73"/>
      <c r="AL690" s="73"/>
      <c r="AM690" s="73"/>
      <c r="AN690" s="73"/>
    </row>
    <row r="691" spans="37:40" x14ac:dyDescent="0.25">
      <c r="AK691" s="73"/>
      <c r="AL691" s="73"/>
      <c r="AM691" s="73"/>
      <c r="AN691" s="73"/>
    </row>
    <row r="692" spans="37:40" x14ac:dyDescent="0.25">
      <c r="AK692" s="73"/>
      <c r="AL692" s="73"/>
      <c r="AM692" s="73"/>
      <c r="AN692" s="73"/>
    </row>
    <row r="693" spans="37:40" x14ac:dyDescent="0.25">
      <c r="AK693" s="73"/>
      <c r="AL693" s="73"/>
      <c r="AM693" s="73"/>
      <c r="AN693" s="73"/>
    </row>
    <row r="694" spans="37:40" x14ac:dyDescent="0.25">
      <c r="AK694" s="73"/>
      <c r="AL694" s="73"/>
      <c r="AM694" s="73"/>
      <c r="AN694" s="73"/>
    </row>
    <row r="695" spans="37:40" x14ac:dyDescent="0.25">
      <c r="AK695" s="73"/>
      <c r="AL695" s="73"/>
      <c r="AM695" s="73"/>
      <c r="AN695" s="73"/>
    </row>
    <row r="696" spans="37:40" x14ac:dyDescent="0.25">
      <c r="AK696" s="73"/>
      <c r="AL696" s="73"/>
      <c r="AM696" s="73"/>
      <c r="AN696" s="73"/>
    </row>
    <row r="697" spans="37:40" x14ac:dyDescent="0.25">
      <c r="AK697" s="73"/>
      <c r="AL697" s="73"/>
      <c r="AM697" s="73"/>
      <c r="AN697" s="73"/>
    </row>
    <row r="698" spans="37:40" x14ac:dyDescent="0.25">
      <c r="AK698" s="73"/>
      <c r="AL698" s="73"/>
      <c r="AM698" s="73"/>
      <c r="AN698" s="73"/>
    </row>
    <row r="699" spans="37:40" x14ac:dyDescent="0.25">
      <c r="AK699" s="73"/>
      <c r="AL699" s="73"/>
      <c r="AM699" s="73"/>
      <c r="AN699" s="73"/>
    </row>
    <row r="700" spans="37:40" x14ac:dyDescent="0.25">
      <c r="AK700" s="73"/>
      <c r="AL700" s="73"/>
      <c r="AM700" s="73"/>
      <c r="AN700" s="73"/>
    </row>
    <row r="701" spans="37:40" x14ac:dyDescent="0.25">
      <c r="AK701" s="73"/>
      <c r="AL701" s="73"/>
      <c r="AM701" s="73"/>
      <c r="AN701" s="73"/>
    </row>
    <row r="702" spans="37:40" x14ac:dyDescent="0.25">
      <c r="AK702" s="73"/>
      <c r="AL702" s="73"/>
      <c r="AM702" s="73"/>
      <c r="AN702" s="73"/>
    </row>
    <row r="703" spans="37:40" x14ac:dyDescent="0.25">
      <c r="AK703" s="73"/>
      <c r="AL703" s="73"/>
      <c r="AM703" s="73"/>
      <c r="AN703" s="73"/>
    </row>
    <row r="704" spans="37:40" x14ac:dyDescent="0.25">
      <c r="AK704" s="73"/>
      <c r="AL704" s="73"/>
      <c r="AM704" s="73"/>
      <c r="AN704" s="73"/>
    </row>
    <row r="705" spans="37:40" x14ac:dyDescent="0.25">
      <c r="AK705" s="73"/>
      <c r="AL705" s="73"/>
      <c r="AM705" s="73"/>
      <c r="AN705" s="73"/>
    </row>
    <row r="706" spans="37:40" x14ac:dyDescent="0.25">
      <c r="AK706" s="73"/>
      <c r="AL706" s="73"/>
      <c r="AM706" s="73"/>
      <c r="AN706" s="73"/>
    </row>
    <row r="707" spans="37:40" x14ac:dyDescent="0.25">
      <c r="AK707" s="73"/>
      <c r="AL707" s="73"/>
      <c r="AM707" s="73"/>
      <c r="AN707" s="73"/>
    </row>
    <row r="708" spans="37:40" x14ac:dyDescent="0.25">
      <c r="AK708" s="73"/>
      <c r="AL708" s="73"/>
      <c r="AM708" s="73"/>
      <c r="AN708" s="73"/>
    </row>
    <row r="709" spans="37:40" x14ac:dyDescent="0.25">
      <c r="AK709" s="73"/>
      <c r="AL709" s="73"/>
      <c r="AM709" s="73"/>
      <c r="AN709" s="73"/>
    </row>
    <row r="710" spans="37:40" x14ac:dyDescent="0.25">
      <c r="AK710" s="73"/>
      <c r="AL710" s="73"/>
      <c r="AM710" s="73"/>
      <c r="AN710" s="73"/>
    </row>
    <row r="711" spans="37:40" x14ac:dyDescent="0.25">
      <c r="AK711" s="73"/>
      <c r="AL711" s="73"/>
      <c r="AM711" s="73"/>
      <c r="AN711" s="73"/>
    </row>
    <row r="712" spans="37:40" x14ac:dyDescent="0.25">
      <c r="AK712" s="73"/>
      <c r="AL712" s="73"/>
      <c r="AM712" s="73"/>
      <c r="AN712" s="73"/>
    </row>
    <row r="713" spans="37:40" x14ac:dyDescent="0.25">
      <c r="AK713" s="73"/>
      <c r="AL713" s="73"/>
      <c r="AM713" s="73"/>
      <c r="AN713" s="73"/>
    </row>
    <row r="714" spans="37:40" x14ac:dyDescent="0.25">
      <c r="AK714" s="73"/>
      <c r="AL714" s="73"/>
      <c r="AM714" s="73"/>
      <c r="AN714" s="73"/>
    </row>
    <row r="715" spans="37:40" x14ac:dyDescent="0.25">
      <c r="AK715" s="73"/>
      <c r="AL715" s="73"/>
      <c r="AM715" s="73"/>
      <c r="AN715" s="73"/>
    </row>
    <row r="716" spans="37:40" x14ac:dyDescent="0.25">
      <c r="AK716" s="73"/>
      <c r="AL716" s="73"/>
      <c r="AM716" s="73"/>
      <c r="AN716" s="73"/>
    </row>
    <row r="717" spans="37:40" x14ac:dyDescent="0.25">
      <c r="AK717" s="73"/>
      <c r="AL717" s="73"/>
      <c r="AM717" s="73"/>
      <c r="AN717" s="73"/>
    </row>
    <row r="718" spans="37:40" x14ac:dyDescent="0.25">
      <c r="AK718" s="73"/>
      <c r="AL718" s="73"/>
      <c r="AM718" s="73"/>
      <c r="AN718" s="73"/>
    </row>
    <row r="719" spans="37:40" x14ac:dyDescent="0.25">
      <c r="AK719" s="73"/>
      <c r="AL719" s="73"/>
      <c r="AM719" s="73"/>
      <c r="AN719" s="73"/>
    </row>
    <row r="720" spans="37:40" x14ac:dyDescent="0.25">
      <c r="AK720" s="73"/>
      <c r="AL720" s="73"/>
      <c r="AM720" s="73"/>
      <c r="AN720" s="73"/>
    </row>
    <row r="721" spans="37:40" x14ac:dyDescent="0.25">
      <c r="AK721" s="73"/>
      <c r="AL721" s="73"/>
      <c r="AM721" s="73"/>
      <c r="AN721" s="73"/>
    </row>
    <row r="722" spans="37:40" x14ac:dyDescent="0.25">
      <c r="AK722" s="73"/>
      <c r="AL722" s="73"/>
      <c r="AM722" s="73"/>
      <c r="AN722" s="73"/>
    </row>
    <row r="723" spans="37:40" x14ac:dyDescent="0.25">
      <c r="AK723" s="73"/>
      <c r="AL723" s="73"/>
      <c r="AM723" s="73"/>
      <c r="AN723" s="73"/>
    </row>
    <row r="724" spans="37:40" x14ac:dyDescent="0.25">
      <c r="AK724" s="73"/>
      <c r="AL724" s="73"/>
      <c r="AM724" s="73"/>
      <c r="AN724" s="73"/>
    </row>
    <row r="725" spans="37:40" x14ac:dyDescent="0.25">
      <c r="AK725" s="73"/>
      <c r="AL725" s="73"/>
      <c r="AM725" s="73"/>
      <c r="AN725" s="73"/>
    </row>
    <row r="726" spans="37:40" x14ac:dyDescent="0.25">
      <c r="AK726" s="73"/>
      <c r="AL726" s="73"/>
      <c r="AM726" s="73"/>
      <c r="AN726" s="73"/>
    </row>
    <row r="727" spans="37:40" x14ac:dyDescent="0.25">
      <c r="AK727" s="73"/>
      <c r="AL727" s="73"/>
      <c r="AM727" s="73"/>
      <c r="AN727" s="73"/>
    </row>
    <row r="728" spans="37:40" x14ac:dyDescent="0.25">
      <c r="AK728" s="73"/>
      <c r="AL728" s="73"/>
      <c r="AM728" s="73"/>
      <c r="AN728" s="73"/>
    </row>
    <row r="729" spans="37:40" x14ac:dyDescent="0.25">
      <c r="AK729" s="73"/>
      <c r="AL729" s="73"/>
      <c r="AM729" s="73"/>
      <c r="AN729" s="73"/>
    </row>
    <row r="730" spans="37:40" x14ac:dyDescent="0.25">
      <c r="AK730" s="73"/>
      <c r="AL730" s="73"/>
      <c r="AM730" s="73"/>
      <c r="AN730" s="73"/>
    </row>
    <row r="731" spans="37:40" x14ac:dyDescent="0.25">
      <c r="AK731" s="73"/>
      <c r="AL731" s="73"/>
      <c r="AM731" s="73"/>
      <c r="AN731" s="73"/>
    </row>
    <row r="732" spans="37:40" x14ac:dyDescent="0.25">
      <c r="AK732" s="73"/>
      <c r="AL732" s="73"/>
      <c r="AM732" s="73"/>
      <c r="AN732" s="73"/>
    </row>
    <row r="733" spans="37:40" x14ac:dyDescent="0.25">
      <c r="AK733" s="73"/>
      <c r="AL733" s="73"/>
      <c r="AM733" s="73"/>
      <c r="AN733" s="73"/>
    </row>
    <row r="734" spans="37:40" x14ac:dyDescent="0.25">
      <c r="AK734" s="73"/>
      <c r="AL734" s="73"/>
      <c r="AM734" s="73"/>
      <c r="AN734" s="73"/>
    </row>
    <row r="735" spans="37:40" x14ac:dyDescent="0.25">
      <c r="AK735" s="73"/>
      <c r="AL735" s="73"/>
      <c r="AM735" s="73"/>
      <c r="AN735" s="73"/>
    </row>
    <row r="736" spans="37:40" x14ac:dyDescent="0.25">
      <c r="AK736" s="73"/>
      <c r="AL736" s="73"/>
      <c r="AM736" s="73"/>
      <c r="AN736" s="73"/>
    </row>
    <row r="737" spans="37:40" x14ac:dyDescent="0.25">
      <c r="AK737" s="73"/>
      <c r="AL737" s="73"/>
      <c r="AM737" s="73"/>
      <c r="AN737" s="73"/>
    </row>
    <row r="738" spans="37:40" x14ac:dyDescent="0.25">
      <c r="AK738" s="73"/>
      <c r="AL738" s="73"/>
      <c r="AM738" s="73"/>
      <c r="AN738" s="73"/>
    </row>
    <row r="739" spans="37:40" x14ac:dyDescent="0.25">
      <c r="AK739" s="73"/>
      <c r="AL739" s="73"/>
      <c r="AM739" s="73"/>
      <c r="AN739" s="73"/>
    </row>
    <row r="740" spans="37:40" x14ac:dyDescent="0.25">
      <c r="AK740" s="73"/>
      <c r="AL740" s="73"/>
      <c r="AM740" s="73"/>
      <c r="AN740" s="73"/>
    </row>
    <row r="741" spans="37:40" x14ac:dyDescent="0.25">
      <c r="AK741" s="73"/>
      <c r="AL741" s="73"/>
      <c r="AM741" s="73"/>
      <c r="AN741" s="73"/>
    </row>
    <row r="742" spans="37:40" x14ac:dyDescent="0.25">
      <c r="AK742" s="73"/>
      <c r="AL742" s="73"/>
      <c r="AM742" s="73"/>
      <c r="AN742" s="73"/>
    </row>
    <row r="743" spans="37:40" x14ac:dyDescent="0.25">
      <c r="AK743" s="73"/>
      <c r="AL743" s="73"/>
      <c r="AM743" s="73"/>
      <c r="AN743" s="73"/>
    </row>
    <row r="744" spans="37:40" x14ac:dyDescent="0.25">
      <c r="AK744" s="73"/>
      <c r="AL744" s="73"/>
      <c r="AM744" s="73"/>
      <c r="AN744" s="73"/>
    </row>
    <row r="745" spans="37:40" x14ac:dyDescent="0.25">
      <c r="AK745" s="73"/>
      <c r="AL745" s="73"/>
      <c r="AM745" s="73"/>
      <c r="AN745" s="73"/>
    </row>
    <row r="746" spans="37:40" x14ac:dyDescent="0.25">
      <c r="AK746" s="73"/>
      <c r="AL746" s="73"/>
      <c r="AM746" s="73"/>
      <c r="AN746" s="73"/>
    </row>
    <row r="747" spans="37:40" x14ac:dyDescent="0.25">
      <c r="AK747" s="73"/>
      <c r="AL747" s="73"/>
      <c r="AM747" s="73"/>
      <c r="AN747" s="73"/>
    </row>
    <row r="748" spans="37:40" x14ac:dyDescent="0.25">
      <c r="AK748" s="73"/>
      <c r="AL748" s="73"/>
      <c r="AM748" s="73"/>
      <c r="AN748" s="73"/>
    </row>
    <row r="749" spans="37:40" x14ac:dyDescent="0.25">
      <c r="AK749" s="73"/>
      <c r="AL749" s="73"/>
      <c r="AM749" s="73"/>
      <c r="AN749" s="73"/>
    </row>
    <row r="750" spans="37:40" x14ac:dyDescent="0.25">
      <c r="AK750" s="73"/>
      <c r="AL750" s="73"/>
      <c r="AM750" s="73"/>
      <c r="AN750" s="73"/>
    </row>
    <row r="751" spans="37:40" x14ac:dyDescent="0.25">
      <c r="AK751" s="73"/>
      <c r="AL751" s="73"/>
      <c r="AM751" s="73"/>
      <c r="AN751" s="73"/>
    </row>
    <row r="752" spans="37:40" x14ac:dyDescent="0.25">
      <c r="AK752" s="73"/>
      <c r="AL752" s="73"/>
      <c r="AM752" s="73"/>
      <c r="AN752" s="73"/>
    </row>
    <row r="753" spans="37:40" x14ac:dyDescent="0.25">
      <c r="AK753" s="73"/>
      <c r="AL753" s="73"/>
      <c r="AM753" s="73"/>
      <c r="AN753" s="73"/>
    </row>
    <row r="754" spans="37:40" x14ac:dyDescent="0.25">
      <c r="AK754" s="73"/>
      <c r="AL754" s="73"/>
      <c r="AM754" s="73"/>
      <c r="AN754" s="73"/>
    </row>
    <row r="755" spans="37:40" x14ac:dyDescent="0.25">
      <c r="AK755" s="73"/>
      <c r="AL755" s="73"/>
      <c r="AM755" s="73"/>
      <c r="AN755" s="73"/>
    </row>
    <row r="756" spans="37:40" x14ac:dyDescent="0.25">
      <c r="AK756" s="73"/>
      <c r="AL756" s="73"/>
      <c r="AM756" s="73"/>
      <c r="AN756" s="73"/>
    </row>
    <row r="757" spans="37:40" x14ac:dyDescent="0.25">
      <c r="AK757" s="73"/>
      <c r="AL757" s="73"/>
      <c r="AM757" s="73"/>
      <c r="AN757" s="73"/>
    </row>
    <row r="758" spans="37:40" x14ac:dyDescent="0.25">
      <c r="AK758" s="73"/>
      <c r="AL758" s="73"/>
      <c r="AM758" s="73"/>
      <c r="AN758" s="73"/>
    </row>
    <row r="759" spans="37:40" x14ac:dyDescent="0.25">
      <c r="AK759" s="73"/>
      <c r="AL759" s="73"/>
      <c r="AM759" s="73"/>
      <c r="AN759" s="73"/>
    </row>
    <row r="760" spans="37:40" x14ac:dyDescent="0.25">
      <c r="AK760" s="73"/>
      <c r="AL760" s="73"/>
      <c r="AM760" s="73"/>
      <c r="AN760" s="73"/>
    </row>
    <row r="761" spans="37:40" x14ac:dyDescent="0.25">
      <c r="AK761" s="73"/>
      <c r="AL761" s="73"/>
      <c r="AM761" s="73"/>
      <c r="AN761" s="73"/>
    </row>
    <row r="762" spans="37:40" x14ac:dyDescent="0.25">
      <c r="AK762" s="73"/>
      <c r="AL762" s="73"/>
      <c r="AM762" s="73"/>
      <c r="AN762" s="73"/>
    </row>
    <row r="763" spans="37:40" x14ac:dyDescent="0.25">
      <c r="AK763" s="73"/>
      <c r="AL763" s="73"/>
      <c r="AM763" s="73"/>
      <c r="AN763" s="73"/>
    </row>
    <row r="764" spans="37:40" x14ac:dyDescent="0.25">
      <c r="AK764" s="73"/>
      <c r="AL764" s="73"/>
      <c r="AM764" s="73"/>
      <c r="AN764" s="73"/>
    </row>
    <row r="765" spans="37:40" x14ac:dyDescent="0.25">
      <c r="AK765" s="73"/>
      <c r="AL765" s="73"/>
      <c r="AM765" s="73"/>
      <c r="AN765" s="73"/>
    </row>
    <row r="766" spans="37:40" x14ac:dyDescent="0.25">
      <c r="AK766" s="73"/>
      <c r="AL766" s="73"/>
      <c r="AM766" s="73"/>
      <c r="AN766" s="73"/>
    </row>
    <row r="767" spans="37:40" x14ac:dyDescent="0.25">
      <c r="AK767" s="73"/>
      <c r="AL767" s="73"/>
      <c r="AM767" s="73"/>
      <c r="AN767" s="73"/>
    </row>
    <row r="768" spans="37:40" x14ac:dyDescent="0.25">
      <c r="AK768" s="73"/>
      <c r="AL768" s="73"/>
      <c r="AM768" s="73"/>
      <c r="AN768" s="73"/>
    </row>
    <row r="769" spans="37:40" x14ac:dyDescent="0.25">
      <c r="AK769" s="73"/>
      <c r="AL769" s="73"/>
      <c r="AM769" s="73"/>
      <c r="AN769" s="73"/>
    </row>
    <row r="770" spans="37:40" x14ac:dyDescent="0.25">
      <c r="AK770" s="73"/>
      <c r="AL770" s="73"/>
      <c r="AM770" s="73"/>
      <c r="AN770" s="73"/>
    </row>
    <row r="771" spans="37:40" x14ac:dyDescent="0.25">
      <c r="AK771" s="73"/>
      <c r="AL771" s="73"/>
      <c r="AM771" s="73"/>
      <c r="AN771" s="73"/>
    </row>
    <row r="772" spans="37:40" x14ac:dyDescent="0.25">
      <c r="AK772" s="73"/>
      <c r="AL772" s="73"/>
      <c r="AM772" s="73"/>
      <c r="AN772" s="73"/>
    </row>
    <row r="773" spans="37:40" x14ac:dyDescent="0.25">
      <c r="AK773" s="73"/>
      <c r="AL773" s="73"/>
      <c r="AM773" s="73"/>
      <c r="AN773" s="73"/>
    </row>
    <row r="774" spans="37:40" x14ac:dyDescent="0.25">
      <c r="AK774" s="73"/>
      <c r="AL774" s="73"/>
      <c r="AM774" s="73"/>
      <c r="AN774" s="73"/>
    </row>
    <row r="775" spans="37:40" x14ac:dyDescent="0.25">
      <c r="AK775" s="73"/>
      <c r="AL775" s="73"/>
      <c r="AM775" s="73"/>
      <c r="AN775" s="73"/>
    </row>
    <row r="776" spans="37:40" x14ac:dyDescent="0.25">
      <c r="AK776" s="73"/>
      <c r="AL776" s="73"/>
      <c r="AM776" s="73"/>
      <c r="AN776" s="73"/>
    </row>
    <row r="777" spans="37:40" x14ac:dyDescent="0.25">
      <c r="AK777" s="73"/>
      <c r="AL777" s="73"/>
      <c r="AM777" s="73"/>
      <c r="AN777" s="73"/>
    </row>
    <row r="778" spans="37:40" x14ac:dyDescent="0.25">
      <c r="AK778" s="73"/>
      <c r="AL778" s="73"/>
      <c r="AM778" s="73"/>
      <c r="AN778" s="73"/>
    </row>
    <row r="779" spans="37:40" x14ac:dyDescent="0.25">
      <c r="AK779" s="73"/>
      <c r="AL779" s="73"/>
      <c r="AM779" s="73"/>
      <c r="AN779" s="73"/>
    </row>
    <row r="780" spans="37:40" x14ac:dyDescent="0.25">
      <c r="AK780" s="73"/>
      <c r="AL780" s="73"/>
      <c r="AM780" s="73"/>
      <c r="AN780" s="73"/>
    </row>
    <row r="781" spans="37:40" x14ac:dyDescent="0.25">
      <c r="AK781" s="73"/>
      <c r="AL781" s="73"/>
      <c r="AM781" s="73"/>
      <c r="AN781" s="73"/>
    </row>
    <row r="782" spans="37:40" x14ac:dyDescent="0.25">
      <c r="AK782" s="73"/>
      <c r="AL782" s="73"/>
      <c r="AM782" s="73"/>
      <c r="AN782" s="73"/>
    </row>
    <row r="783" spans="37:40" x14ac:dyDescent="0.25">
      <c r="AK783" s="73"/>
      <c r="AL783" s="73"/>
      <c r="AM783" s="73"/>
      <c r="AN783" s="73"/>
    </row>
    <row r="784" spans="37:40" x14ac:dyDescent="0.25">
      <c r="AK784" s="73"/>
      <c r="AL784" s="73"/>
      <c r="AM784" s="73"/>
      <c r="AN784" s="73"/>
    </row>
    <row r="785" spans="37:40" x14ac:dyDescent="0.25">
      <c r="AK785" s="73"/>
      <c r="AL785" s="73"/>
      <c r="AM785" s="73"/>
      <c r="AN785" s="73"/>
    </row>
    <row r="786" spans="37:40" x14ac:dyDescent="0.25">
      <c r="AK786" s="73"/>
      <c r="AL786" s="73"/>
      <c r="AM786" s="73"/>
      <c r="AN786" s="73"/>
    </row>
    <row r="787" spans="37:40" x14ac:dyDescent="0.25">
      <c r="AK787" s="73"/>
      <c r="AL787" s="73"/>
      <c r="AM787" s="73"/>
      <c r="AN787" s="73"/>
    </row>
    <row r="788" spans="37:40" x14ac:dyDescent="0.25">
      <c r="AK788" s="73"/>
      <c r="AL788" s="73"/>
      <c r="AM788" s="73"/>
      <c r="AN788" s="73"/>
    </row>
    <row r="789" spans="37:40" x14ac:dyDescent="0.25">
      <c r="AK789" s="73"/>
      <c r="AL789" s="73"/>
      <c r="AM789" s="73"/>
      <c r="AN789" s="73"/>
    </row>
    <row r="790" spans="37:40" x14ac:dyDescent="0.25">
      <c r="AK790" s="73"/>
      <c r="AL790" s="73"/>
      <c r="AM790" s="73"/>
      <c r="AN790" s="73"/>
    </row>
    <row r="791" spans="37:40" x14ac:dyDescent="0.25">
      <c r="AK791" s="73"/>
      <c r="AL791" s="73"/>
      <c r="AM791" s="73"/>
      <c r="AN791" s="73"/>
    </row>
    <row r="792" spans="37:40" x14ac:dyDescent="0.25">
      <c r="AK792" s="73"/>
      <c r="AL792" s="73"/>
      <c r="AM792" s="73"/>
      <c r="AN792" s="73"/>
    </row>
    <row r="793" spans="37:40" x14ac:dyDescent="0.25">
      <c r="AK793" s="73"/>
      <c r="AL793" s="73"/>
      <c r="AM793" s="73"/>
      <c r="AN793" s="73"/>
    </row>
    <row r="794" spans="37:40" x14ac:dyDescent="0.25">
      <c r="AK794" s="73"/>
      <c r="AL794" s="73"/>
      <c r="AM794" s="73"/>
      <c r="AN794" s="73"/>
    </row>
    <row r="795" spans="37:40" x14ac:dyDescent="0.25">
      <c r="AK795" s="73"/>
      <c r="AL795" s="73"/>
      <c r="AM795" s="73"/>
      <c r="AN795" s="73"/>
    </row>
    <row r="796" spans="37:40" x14ac:dyDescent="0.25">
      <c r="AK796" s="73"/>
      <c r="AL796" s="73"/>
      <c r="AM796" s="73"/>
      <c r="AN796" s="73"/>
    </row>
    <row r="797" spans="37:40" x14ac:dyDescent="0.25">
      <c r="AK797" s="73"/>
      <c r="AL797" s="73"/>
      <c r="AM797" s="73"/>
      <c r="AN797" s="73"/>
    </row>
    <row r="798" spans="37:40" x14ac:dyDescent="0.25">
      <c r="AK798" s="73"/>
      <c r="AL798" s="73"/>
      <c r="AM798" s="73"/>
      <c r="AN798" s="73"/>
    </row>
    <row r="799" spans="37:40" x14ac:dyDescent="0.25">
      <c r="AK799" s="73"/>
      <c r="AL799" s="73"/>
      <c r="AM799" s="73"/>
      <c r="AN799" s="73"/>
    </row>
    <row r="800" spans="37:40" x14ac:dyDescent="0.25">
      <c r="AK800" s="73"/>
      <c r="AL800" s="73"/>
      <c r="AM800" s="73"/>
      <c r="AN800" s="73"/>
    </row>
    <row r="801" spans="37:40" x14ac:dyDescent="0.25">
      <c r="AK801" s="73"/>
      <c r="AL801" s="73"/>
      <c r="AM801" s="73"/>
      <c r="AN801" s="73"/>
    </row>
    <row r="802" spans="37:40" x14ac:dyDescent="0.25">
      <c r="AK802" s="73"/>
      <c r="AL802" s="73"/>
      <c r="AM802" s="73"/>
      <c r="AN802" s="73"/>
    </row>
    <row r="803" spans="37:40" x14ac:dyDescent="0.25">
      <c r="AK803" s="73"/>
      <c r="AL803" s="73"/>
      <c r="AM803" s="73"/>
      <c r="AN803" s="73"/>
    </row>
    <row r="804" spans="37:40" x14ac:dyDescent="0.25">
      <c r="AK804" s="73"/>
      <c r="AL804" s="73"/>
      <c r="AM804" s="73"/>
      <c r="AN804" s="73"/>
    </row>
    <row r="805" spans="37:40" x14ac:dyDescent="0.25">
      <c r="AK805" s="73"/>
      <c r="AL805" s="73"/>
      <c r="AM805" s="73"/>
      <c r="AN805" s="73"/>
    </row>
    <row r="806" spans="37:40" x14ac:dyDescent="0.25">
      <c r="AK806" s="73"/>
      <c r="AL806" s="73"/>
      <c r="AM806" s="73"/>
      <c r="AN806" s="73"/>
    </row>
    <row r="807" spans="37:40" x14ac:dyDescent="0.25">
      <c r="AK807" s="73"/>
      <c r="AL807" s="73"/>
      <c r="AM807" s="73"/>
      <c r="AN807" s="73"/>
    </row>
    <row r="808" spans="37:40" x14ac:dyDescent="0.25">
      <c r="AK808" s="73"/>
      <c r="AL808" s="73"/>
      <c r="AM808" s="73"/>
      <c r="AN808" s="73"/>
    </row>
    <row r="809" spans="37:40" x14ac:dyDescent="0.25">
      <c r="AK809" s="73"/>
      <c r="AL809" s="73"/>
      <c r="AM809" s="73"/>
      <c r="AN809" s="73"/>
    </row>
    <row r="810" spans="37:40" x14ac:dyDescent="0.25">
      <c r="AK810" s="73"/>
      <c r="AL810" s="73"/>
      <c r="AM810" s="73"/>
      <c r="AN810" s="73"/>
    </row>
    <row r="811" spans="37:40" x14ac:dyDescent="0.25">
      <c r="AK811" s="73"/>
      <c r="AL811" s="73"/>
      <c r="AM811" s="73"/>
      <c r="AN811" s="73"/>
    </row>
    <row r="812" spans="37:40" x14ac:dyDescent="0.25">
      <c r="AK812" s="73"/>
      <c r="AL812" s="73"/>
      <c r="AM812" s="73"/>
      <c r="AN812" s="73"/>
    </row>
    <row r="813" spans="37:40" x14ac:dyDescent="0.25">
      <c r="AK813" s="73"/>
      <c r="AL813" s="73"/>
      <c r="AM813" s="73"/>
      <c r="AN813" s="73"/>
    </row>
    <row r="814" spans="37:40" x14ac:dyDescent="0.25">
      <c r="AK814" s="73"/>
      <c r="AL814" s="73"/>
      <c r="AM814" s="73"/>
      <c r="AN814" s="73"/>
    </row>
    <row r="815" spans="37:40" x14ac:dyDescent="0.25">
      <c r="AK815" s="73"/>
      <c r="AL815" s="73"/>
      <c r="AM815" s="73"/>
      <c r="AN815" s="73"/>
    </row>
    <row r="816" spans="37:40" x14ac:dyDescent="0.25">
      <c r="AK816" s="73"/>
      <c r="AL816" s="73"/>
      <c r="AM816" s="73"/>
      <c r="AN816" s="73"/>
    </row>
    <row r="817" spans="37:40" x14ac:dyDescent="0.25">
      <c r="AK817" s="73"/>
      <c r="AL817" s="73"/>
      <c r="AM817" s="73"/>
      <c r="AN817" s="73"/>
    </row>
    <row r="818" spans="37:40" x14ac:dyDescent="0.25">
      <c r="AK818" s="73"/>
      <c r="AL818" s="73"/>
      <c r="AM818" s="73"/>
      <c r="AN818" s="73"/>
    </row>
    <row r="819" spans="37:40" x14ac:dyDescent="0.25">
      <c r="AK819" s="73"/>
      <c r="AL819" s="73"/>
      <c r="AM819" s="73"/>
      <c r="AN819" s="73"/>
    </row>
    <row r="820" spans="37:40" x14ac:dyDescent="0.25">
      <c r="AK820" s="73"/>
      <c r="AL820" s="73"/>
      <c r="AM820" s="73"/>
      <c r="AN820" s="73"/>
    </row>
    <row r="821" spans="37:40" x14ac:dyDescent="0.25">
      <c r="AK821" s="73"/>
      <c r="AL821" s="73"/>
      <c r="AM821" s="73"/>
      <c r="AN821" s="73"/>
    </row>
    <row r="822" spans="37:40" x14ac:dyDescent="0.25">
      <c r="AK822" s="73"/>
      <c r="AL822" s="73"/>
      <c r="AM822" s="73"/>
      <c r="AN822" s="73"/>
    </row>
    <row r="823" spans="37:40" x14ac:dyDescent="0.25">
      <c r="AK823" s="73"/>
      <c r="AL823" s="73"/>
      <c r="AM823" s="73"/>
      <c r="AN823" s="73"/>
    </row>
    <row r="824" spans="37:40" x14ac:dyDescent="0.25">
      <c r="AK824" s="73"/>
      <c r="AL824" s="73"/>
      <c r="AM824" s="73"/>
      <c r="AN824" s="73"/>
    </row>
    <row r="825" spans="37:40" x14ac:dyDescent="0.25">
      <c r="AK825" s="73"/>
      <c r="AL825" s="73"/>
      <c r="AM825" s="73"/>
      <c r="AN825" s="73"/>
    </row>
    <row r="826" spans="37:40" x14ac:dyDescent="0.25">
      <c r="AK826" s="73"/>
      <c r="AL826" s="73"/>
      <c r="AM826" s="73"/>
      <c r="AN826" s="73"/>
    </row>
    <row r="827" spans="37:40" x14ac:dyDescent="0.25">
      <c r="AK827" s="73"/>
      <c r="AL827" s="73"/>
      <c r="AM827" s="73"/>
      <c r="AN827" s="73"/>
    </row>
    <row r="828" spans="37:40" x14ac:dyDescent="0.25">
      <c r="AK828" s="73"/>
      <c r="AL828" s="73"/>
      <c r="AM828" s="73"/>
      <c r="AN828" s="73"/>
    </row>
    <row r="829" spans="37:40" x14ac:dyDescent="0.25">
      <c r="AK829" s="73"/>
      <c r="AL829" s="73"/>
      <c r="AM829" s="73"/>
      <c r="AN829" s="73"/>
    </row>
    <row r="830" spans="37:40" x14ac:dyDescent="0.25">
      <c r="AK830" s="73"/>
      <c r="AL830" s="73"/>
      <c r="AM830" s="73"/>
      <c r="AN830" s="73"/>
    </row>
    <row r="831" spans="37:40" x14ac:dyDescent="0.25">
      <c r="AK831" s="73"/>
      <c r="AL831" s="73"/>
      <c r="AM831" s="73"/>
      <c r="AN831" s="73"/>
    </row>
    <row r="832" spans="37:40" x14ac:dyDescent="0.25">
      <c r="AK832" s="73"/>
      <c r="AL832" s="73"/>
      <c r="AM832" s="73"/>
      <c r="AN832" s="73"/>
    </row>
    <row r="833" spans="37:40" x14ac:dyDescent="0.25">
      <c r="AK833" s="73"/>
      <c r="AL833" s="73"/>
      <c r="AM833" s="73"/>
      <c r="AN833" s="73"/>
    </row>
    <row r="834" spans="37:40" x14ac:dyDescent="0.25">
      <c r="AK834" s="73"/>
      <c r="AL834" s="73"/>
      <c r="AM834" s="73"/>
      <c r="AN834" s="73"/>
    </row>
    <row r="835" spans="37:40" x14ac:dyDescent="0.25">
      <c r="AK835" s="73"/>
      <c r="AL835" s="73"/>
      <c r="AM835" s="73"/>
      <c r="AN835" s="73"/>
    </row>
    <row r="836" spans="37:40" x14ac:dyDescent="0.25">
      <c r="AK836" s="73"/>
      <c r="AL836" s="73"/>
      <c r="AM836" s="73"/>
      <c r="AN836" s="73"/>
    </row>
    <row r="837" spans="37:40" x14ac:dyDescent="0.25">
      <c r="AK837" s="73"/>
      <c r="AL837" s="73"/>
      <c r="AM837" s="73"/>
      <c r="AN837" s="73"/>
    </row>
    <row r="838" spans="37:40" x14ac:dyDescent="0.25">
      <c r="AK838" s="73"/>
      <c r="AL838" s="73"/>
      <c r="AM838" s="73"/>
      <c r="AN838" s="73"/>
    </row>
    <row r="839" spans="37:40" x14ac:dyDescent="0.25">
      <c r="AK839" s="73"/>
      <c r="AL839" s="73"/>
      <c r="AM839" s="73"/>
      <c r="AN839" s="73"/>
    </row>
    <row r="840" spans="37:40" x14ac:dyDescent="0.25">
      <c r="AK840" s="73"/>
      <c r="AL840" s="73"/>
      <c r="AM840" s="73"/>
      <c r="AN840" s="73"/>
    </row>
    <row r="841" spans="37:40" x14ac:dyDescent="0.25">
      <c r="AK841" s="73"/>
      <c r="AL841" s="73"/>
      <c r="AM841" s="73"/>
      <c r="AN841" s="73"/>
    </row>
    <row r="842" spans="37:40" x14ac:dyDescent="0.25">
      <c r="AK842" s="73"/>
      <c r="AL842" s="73"/>
      <c r="AM842" s="73"/>
      <c r="AN842" s="73"/>
    </row>
    <row r="843" spans="37:40" x14ac:dyDescent="0.25">
      <c r="AK843" s="73"/>
      <c r="AL843" s="73"/>
      <c r="AM843" s="73"/>
      <c r="AN843" s="73"/>
    </row>
    <row r="844" spans="37:40" x14ac:dyDescent="0.25">
      <c r="AK844" s="73"/>
      <c r="AL844" s="73"/>
      <c r="AM844" s="73"/>
      <c r="AN844" s="73"/>
    </row>
    <row r="845" spans="37:40" x14ac:dyDescent="0.25">
      <c r="AK845" s="73"/>
      <c r="AL845" s="73"/>
      <c r="AM845" s="73"/>
      <c r="AN845" s="73"/>
    </row>
    <row r="846" spans="37:40" x14ac:dyDescent="0.25">
      <c r="AK846" s="73"/>
      <c r="AL846" s="73"/>
      <c r="AM846" s="73"/>
      <c r="AN846" s="73"/>
    </row>
    <row r="847" spans="37:40" x14ac:dyDescent="0.25">
      <c r="AK847" s="73"/>
      <c r="AL847" s="73"/>
      <c r="AM847" s="73"/>
      <c r="AN847" s="73"/>
    </row>
    <row r="848" spans="37:40" x14ac:dyDescent="0.25">
      <c r="AK848" s="73"/>
      <c r="AL848" s="73"/>
      <c r="AM848" s="73"/>
      <c r="AN848" s="73"/>
    </row>
    <row r="849" spans="37:40" x14ac:dyDescent="0.25">
      <c r="AK849" s="73"/>
      <c r="AL849" s="73"/>
      <c r="AM849" s="73"/>
      <c r="AN849" s="73"/>
    </row>
    <row r="850" spans="37:40" x14ac:dyDescent="0.25">
      <c r="AK850" s="73"/>
      <c r="AL850" s="73"/>
      <c r="AM850" s="73"/>
      <c r="AN850" s="73"/>
    </row>
    <row r="851" spans="37:40" x14ac:dyDescent="0.25">
      <c r="AK851" s="73"/>
      <c r="AL851" s="73"/>
      <c r="AM851" s="73"/>
      <c r="AN851" s="73"/>
    </row>
    <row r="852" spans="37:40" x14ac:dyDescent="0.25">
      <c r="AK852" s="73"/>
      <c r="AL852" s="73"/>
      <c r="AM852" s="73"/>
      <c r="AN852" s="73"/>
    </row>
    <row r="853" spans="37:40" x14ac:dyDescent="0.25">
      <c r="AK853" s="73"/>
      <c r="AL853" s="73"/>
      <c r="AM853" s="73"/>
      <c r="AN853" s="73"/>
    </row>
    <row r="854" spans="37:40" x14ac:dyDescent="0.25">
      <c r="AK854" s="73"/>
      <c r="AL854" s="73"/>
      <c r="AM854" s="73"/>
      <c r="AN854" s="73"/>
    </row>
    <row r="855" spans="37:40" x14ac:dyDescent="0.25">
      <c r="AK855" s="73"/>
      <c r="AL855" s="73"/>
      <c r="AM855" s="73"/>
      <c r="AN855" s="73"/>
    </row>
    <row r="856" spans="37:40" x14ac:dyDescent="0.25">
      <c r="AK856" s="73"/>
      <c r="AL856" s="73"/>
      <c r="AM856" s="73"/>
      <c r="AN856" s="73"/>
    </row>
    <row r="857" spans="37:40" x14ac:dyDescent="0.25">
      <c r="AK857" s="73"/>
      <c r="AL857" s="73"/>
      <c r="AM857" s="73"/>
      <c r="AN857" s="73"/>
    </row>
    <row r="858" spans="37:40" x14ac:dyDescent="0.25">
      <c r="AK858" s="73"/>
      <c r="AL858" s="73"/>
      <c r="AM858" s="73"/>
      <c r="AN858" s="73"/>
    </row>
    <row r="859" spans="37:40" x14ac:dyDescent="0.25">
      <c r="AK859" s="73"/>
      <c r="AL859" s="73"/>
      <c r="AM859" s="73"/>
      <c r="AN859" s="73"/>
    </row>
    <row r="860" spans="37:40" x14ac:dyDescent="0.25">
      <c r="AK860" s="73"/>
      <c r="AL860" s="73"/>
      <c r="AM860" s="73"/>
      <c r="AN860" s="73"/>
    </row>
    <row r="861" spans="37:40" x14ac:dyDescent="0.25">
      <c r="AK861" s="73"/>
      <c r="AL861" s="73"/>
      <c r="AM861" s="73"/>
      <c r="AN861" s="73"/>
    </row>
    <row r="862" spans="37:40" x14ac:dyDescent="0.25">
      <c r="AK862" s="73"/>
      <c r="AL862" s="73"/>
      <c r="AM862" s="73"/>
      <c r="AN862" s="73"/>
    </row>
    <row r="863" spans="37:40" x14ac:dyDescent="0.25">
      <c r="AK863" s="73"/>
      <c r="AL863" s="73"/>
      <c r="AM863" s="73"/>
      <c r="AN863" s="73"/>
    </row>
    <row r="864" spans="37:40" x14ac:dyDescent="0.25">
      <c r="AK864" s="73"/>
      <c r="AL864" s="73"/>
      <c r="AM864" s="73"/>
      <c r="AN864" s="73"/>
    </row>
    <row r="865" spans="37:40" x14ac:dyDescent="0.25">
      <c r="AK865" s="73"/>
      <c r="AL865" s="73"/>
      <c r="AM865" s="73"/>
      <c r="AN865" s="73"/>
    </row>
    <row r="866" spans="37:40" x14ac:dyDescent="0.25">
      <c r="AK866" s="73"/>
      <c r="AL866" s="73"/>
      <c r="AM866" s="73"/>
      <c r="AN866" s="73"/>
    </row>
    <row r="867" spans="37:40" x14ac:dyDescent="0.25">
      <c r="AK867" s="73"/>
      <c r="AL867" s="73"/>
      <c r="AM867" s="73"/>
      <c r="AN867" s="73"/>
    </row>
    <row r="868" spans="37:40" x14ac:dyDescent="0.25">
      <c r="AK868" s="73"/>
      <c r="AL868" s="73"/>
      <c r="AM868" s="73"/>
      <c r="AN868" s="73"/>
    </row>
    <row r="869" spans="37:40" x14ac:dyDescent="0.25">
      <c r="AK869" s="73"/>
      <c r="AL869" s="73"/>
      <c r="AM869" s="73"/>
      <c r="AN869" s="73"/>
    </row>
    <row r="870" spans="37:40" x14ac:dyDescent="0.25">
      <c r="AK870" s="73"/>
      <c r="AL870" s="73"/>
      <c r="AM870" s="73"/>
      <c r="AN870" s="73"/>
    </row>
    <row r="871" spans="37:40" x14ac:dyDescent="0.25">
      <c r="AK871" s="73"/>
      <c r="AL871" s="73"/>
      <c r="AM871" s="73"/>
      <c r="AN871" s="73"/>
    </row>
    <row r="872" spans="37:40" x14ac:dyDescent="0.25">
      <c r="AK872" s="73"/>
      <c r="AL872" s="73"/>
      <c r="AM872" s="73"/>
      <c r="AN872" s="73"/>
    </row>
    <row r="873" spans="37:40" x14ac:dyDescent="0.25">
      <c r="AK873" s="73"/>
      <c r="AL873" s="73"/>
      <c r="AM873" s="73"/>
      <c r="AN873" s="73"/>
    </row>
    <row r="874" spans="37:40" x14ac:dyDescent="0.25">
      <c r="AK874" s="73"/>
      <c r="AL874" s="73"/>
      <c r="AM874" s="73"/>
      <c r="AN874" s="73"/>
    </row>
    <row r="875" spans="37:40" x14ac:dyDescent="0.25">
      <c r="AK875" s="73"/>
      <c r="AL875" s="73"/>
      <c r="AM875" s="73"/>
      <c r="AN875" s="73"/>
    </row>
    <row r="876" spans="37:40" x14ac:dyDescent="0.25">
      <c r="AK876" s="73"/>
      <c r="AL876" s="73"/>
      <c r="AM876" s="73"/>
      <c r="AN876" s="73"/>
    </row>
    <row r="877" spans="37:40" x14ac:dyDescent="0.25">
      <c r="AK877" s="73"/>
      <c r="AL877" s="73"/>
      <c r="AM877" s="73"/>
      <c r="AN877" s="73"/>
    </row>
    <row r="878" spans="37:40" x14ac:dyDescent="0.25">
      <c r="AK878" s="73"/>
      <c r="AL878" s="73"/>
      <c r="AM878" s="73"/>
      <c r="AN878" s="73"/>
    </row>
    <row r="879" spans="37:40" x14ac:dyDescent="0.25">
      <c r="AK879" s="73"/>
      <c r="AL879" s="73"/>
      <c r="AM879" s="73"/>
      <c r="AN879" s="73"/>
    </row>
    <row r="880" spans="37:40" x14ac:dyDescent="0.25">
      <c r="AK880" s="73"/>
      <c r="AL880" s="73"/>
      <c r="AM880" s="73"/>
      <c r="AN880" s="73"/>
    </row>
    <row r="881" spans="37:40" x14ac:dyDescent="0.25">
      <c r="AK881" s="73"/>
      <c r="AL881" s="73"/>
      <c r="AM881" s="73"/>
      <c r="AN881" s="73"/>
    </row>
    <row r="882" spans="37:40" x14ac:dyDescent="0.25">
      <c r="AK882" s="73"/>
      <c r="AL882" s="73"/>
      <c r="AM882" s="73"/>
      <c r="AN882" s="73"/>
    </row>
    <row r="883" spans="37:40" x14ac:dyDescent="0.25">
      <c r="AK883" s="73"/>
      <c r="AL883" s="73"/>
      <c r="AM883" s="73"/>
      <c r="AN883" s="73"/>
    </row>
    <row r="884" spans="37:40" x14ac:dyDescent="0.25">
      <c r="AK884" s="73"/>
      <c r="AL884" s="73"/>
      <c r="AM884" s="73"/>
      <c r="AN884" s="73"/>
    </row>
    <row r="885" spans="37:40" x14ac:dyDescent="0.25">
      <c r="AK885" s="73"/>
      <c r="AL885" s="73"/>
      <c r="AM885" s="73"/>
      <c r="AN885" s="73"/>
    </row>
    <row r="886" spans="37:40" x14ac:dyDescent="0.25">
      <c r="AK886" s="73"/>
      <c r="AL886" s="73"/>
      <c r="AM886" s="73"/>
      <c r="AN886" s="73"/>
    </row>
    <row r="887" spans="37:40" x14ac:dyDescent="0.25">
      <c r="AK887" s="73"/>
      <c r="AL887" s="73"/>
      <c r="AM887" s="73"/>
      <c r="AN887" s="73"/>
    </row>
    <row r="888" spans="37:40" x14ac:dyDescent="0.25">
      <c r="AK888" s="73"/>
      <c r="AL888" s="73"/>
      <c r="AM888" s="73"/>
      <c r="AN888" s="73"/>
    </row>
    <row r="889" spans="37:40" x14ac:dyDescent="0.25">
      <c r="AK889" s="73"/>
      <c r="AL889" s="73"/>
      <c r="AM889" s="73"/>
      <c r="AN889" s="73"/>
    </row>
    <row r="890" spans="37:40" x14ac:dyDescent="0.25">
      <c r="AK890" s="73"/>
      <c r="AL890" s="73"/>
      <c r="AM890" s="73"/>
      <c r="AN890" s="73"/>
    </row>
    <row r="891" spans="37:40" x14ac:dyDescent="0.25">
      <c r="AK891" s="73"/>
      <c r="AL891" s="73"/>
      <c r="AM891" s="73"/>
      <c r="AN891" s="73"/>
    </row>
    <row r="892" spans="37:40" x14ac:dyDescent="0.25">
      <c r="AK892" s="73"/>
      <c r="AL892" s="73"/>
      <c r="AM892" s="73"/>
      <c r="AN892" s="73"/>
    </row>
    <row r="893" spans="37:40" x14ac:dyDescent="0.25">
      <c r="AK893" s="73"/>
      <c r="AL893" s="73"/>
      <c r="AM893" s="73"/>
      <c r="AN893" s="73"/>
    </row>
    <row r="894" spans="37:40" x14ac:dyDescent="0.25">
      <c r="AK894" s="73"/>
      <c r="AL894" s="73"/>
      <c r="AM894" s="73"/>
      <c r="AN894" s="73"/>
    </row>
    <row r="895" spans="37:40" x14ac:dyDescent="0.25">
      <c r="AK895" s="73"/>
      <c r="AL895" s="73"/>
      <c r="AM895" s="73"/>
      <c r="AN895" s="73"/>
    </row>
    <row r="896" spans="37:40" x14ac:dyDescent="0.25">
      <c r="AK896" s="73"/>
      <c r="AL896" s="73"/>
      <c r="AM896" s="73"/>
      <c r="AN896" s="73"/>
    </row>
    <row r="897" spans="37:40" x14ac:dyDescent="0.25">
      <c r="AK897" s="73"/>
      <c r="AL897" s="73"/>
      <c r="AM897" s="73"/>
      <c r="AN897" s="73"/>
    </row>
    <row r="898" spans="37:40" x14ac:dyDescent="0.25">
      <c r="AK898" s="73"/>
      <c r="AL898" s="73"/>
      <c r="AM898" s="73"/>
      <c r="AN898" s="73"/>
    </row>
    <row r="899" spans="37:40" x14ac:dyDescent="0.25">
      <c r="AK899" s="73"/>
      <c r="AL899" s="73"/>
      <c r="AM899" s="73"/>
      <c r="AN899" s="73"/>
    </row>
    <row r="900" spans="37:40" x14ac:dyDescent="0.25">
      <c r="AK900" s="73"/>
      <c r="AL900" s="73"/>
      <c r="AM900" s="73"/>
      <c r="AN900" s="73"/>
    </row>
    <row r="901" spans="37:40" x14ac:dyDescent="0.25">
      <c r="AK901" s="73"/>
      <c r="AL901" s="73"/>
      <c r="AM901" s="73"/>
      <c r="AN901" s="73"/>
    </row>
    <row r="902" spans="37:40" x14ac:dyDescent="0.25">
      <c r="AK902" s="73"/>
      <c r="AL902" s="73"/>
      <c r="AM902" s="73"/>
      <c r="AN902" s="73"/>
    </row>
    <row r="903" spans="37:40" x14ac:dyDescent="0.25">
      <c r="AK903" s="73"/>
      <c r="AL903" s="73"/>
      <c r="AM903" s="73"/>
      <c r="AN903" s="73"/>
    </row>
    <row r="904" spans="37:40" x14ac:dyDescent="0.25">
      <c r="AK904" s="73"/>
      <c r="AL904" s="73"/>
      <c r="AM904" s="73"/>
      <c r="AN904" s="73"/>
    </row>
    <row r="905" spans="37:40" x14ac:dyDescent="0.25">
      <c r="AK905" s="73"/>
      <c r="AL905" s="73"/>
      <c r="AM905" s="73"/>
      <c r="AN905" s="73"/>
    </row>
    <row r="906" spans="37:40" x14ac:dyDescent="0.25">
      <c r="AK906" s="73"/>
      <c r="AL906" s="73"/>
      <c r="AM906" s="73"/>
      <c r="AN906" s="73"/>
    </row>
    <row r="907" spans="37:40" x14ac:dyDescent="0.25">
      <c r="AK907" s="73"/>
      <c r="AL907" s="73"/>
      <c r="AM907" s="73"/>
      <c r="AN907" s="73"/>
    </row>
    <row r="908" spans="37:40" x14ac:dyDescent="0.25">
      <c r="AK908" s="73"/>
      <c r="AL908" s="73"/>
      <c r="AM908" s="73"/>
      <c r="AN908" s="73"/>
    </row>
    <row r="909" spans="37:40" x14ac:dyDescent="0.25">
      <c r="AK909" s="73"/>
      <c r="AL909" s="73"/>
      <c r="AM909" s="73"/>
      <c r="AN909" s="73"/>
    </row>
    <row r="910" spans="37:40" x14ac:dyDescent="0.25">
      <c r="AK910" s="73"/>
      <c r="AL910" s="73"/>
      <c r="AM910" s="73"/>
      <c r="AN910" s="73"/>
    </row>
    <row r="911" spans="37:40" x14ac:dyDescent="0.25">
      <c r="AK911" s="73"/>
      <c r="AL911" s="73"/>
      <c r="AM911" s="73"/>
      <c r="AN911" s="73"/>
    </row>
    <row r="912" spans="37:40" x14ac:dyDescent="0.25">
      <c r="AK912" s="73"/>
      <c r="AL912" s="73"/>
      <c r="AM912" s="73"/>
      <c r="AN912" s="73"/>
    </row>
    <row r="913" spans="37:40" x14ac:dyDescent="0.25">
      <c r="AK913" s="73"/>
      <c r="AL913" s="73"/>
      <c r="AM913" s="73"/>
      <c r="AN913" s="73"/>
    </row>
    <row r="914" spans="37:40" x14ac:dyDescent="0.25">
      <c r="AK914" s="73"/>
      <c r="AL914" s="73"/>
      <c r="AM914" s="73"/>
      <c r="AN914" s="73"/>
    </row>
    <row r="915" spans="37:40" x14ac:dyDescent="0.25">
      <c r="AK915" s="73"/>
      <c r="AL915" s="73"/>
      <c r="AM915" s="73"/>
      <c r="AN915" s="73"/>
    </row>
    <row r="916" spans="37:40" x14ac:dyDescent="0.25">
      <c r="AK916" s="73"/>
      <c r="AL916" s="73"/>
      <c r="AM916" s="73"/>
      <c r="AN916" s="73"/>
    </row>
    <row r="917" spans="37:40" x14ac:dyDescent="0.25">
      <c r="AK917" s="73"/>
      <c r="AL917" s="73"/>
      <c r="AM917" s="73"/>
      <c r="AN917" s="73"/>
    </row>
    <row r="918" spans="37:40" x14ac:dyDescent="0.25">
      <c r="AK918" s="73"/>
      <c r="AL918" s="73"/>
      <c r="AM918" s="73"/>
      <c r="AN918" s="73"/>
    </row>
    <row r="919" spans="37:40" x14ac:dyDescent="0.25">
      <c r="AK919" s="73"/>
      <c r="AL919" s="73"/>
      <c r="AM919" s="73"/>
      <c r="AN919" s="73"/>
    </row>
    <row r="920" spans="37:40" x14ac:dyDescent="0.25">
      <c r="AK920" s="73"/>
      <c r="AL920" s="73"/>
      <c r="AM920" s="73"/>
      <c r="AN920" s="73"/>
    </row>
    <row r="921" spans="37:40" x14ac:dyDescent="0.25">
      <c r="AK921" s="73"/>
      <c r="AL921" s="73"/>
      <c r="AM921" s="73"/>
      <c r="AN921" s="73"/>
    </row>
    <row r="922" spans="37:40" x14ac:dyDescent="0.25">
      <c r="AK922" s="73"/>
      <c r="AL922" s="73"/>
      <c r="AM922" s="73"/>
      <c r="AN922" s="73"/>
    </row>
    <row r="923" spans="37:40" x14ac:dyDescent="0.25">
      <c r="AK923" s="73"/>
      <c r="AL923" s="73"/>
      <c r="AM923" s="73"/>
      <c r="AN923" s="73"/>
    </row>
    <row r="924" spans="37:40" x14ac:dyDescent="0.25">
      <c r="AK924" s="73"/>
      <c r="AL924" s="73"/>
      <c r="AM924" s="73"/>
      <c r="AN924" s="73"/>
    </row>
    <row r="925" spans="37:40" x14ac:dyDescent="0.25">
      <c r="AK925" s="73"/>
      <c r="AL925" s="73"/>
      <c r="AM925" s="73"/>
      <c r="AN925" s="73"/>
    </row>
    <row r="926" spans="37:40" x14ac:dyDescent="0.25">
      <c r="AK926" s="73"/>
      <c r="AL926" s="73"/>
      <c r="AM926" s="73"/>
      <c r="AN926" s="73"/>
    </row>
    <row r="927" spans="37:40" x14ac:dyDescent="0.25">
      <c r="AK927" s="73"/>
      <c r="AL927" s="73"/>
      <c r="AM927" s="73"/>
      <c r="AN927" s="73"/>
    </row>
    <row r="928" spans="37:40" x14ac:dyDescent="0.25">
      <c r="AK928" s="73"/>
      <c r="AL928" s="73"/>
      <c r="AM928" s="73"/>
      <c r="AN928" s="73"/>
    </row>
    <row r="929" spans="37:40" x14ac:dyDescent="0.25">
      <c r="AK929" s="73"/>
      <c r="AL929" s="73"/>
      <c r="AM929" s="73"/>
      <c r="AN929" s="73"/>
    </row>
    <row r="930" spans="37:40" x14ac:dyDescent="0.25">
      <c r="AK930" s="73"/>
      <c r="AL930" s="73"/>
      <c r="AM930" s="73"/>
      <c r="AN930" s="73"/>
    </row>
    <row r="931" spans="37:40" x14ac:dyDescent="0.25">
      <c r="AK931" s="73"/>
      <c r="AL931" s="73"/>
      <c r="AM931" s="73"/>
      <c r="AN931" s="73"/>
    </row>
    <row r="932" spans="37:40" x14ac:dyDescent="0.25">
      <c r="AK932" s="73"/>
      <c r="AL932" s="73"/>
      <c r="AM932" s="73"/>
      <c r="AN932" s="73"/>
    </row>
    <row r="933" spans="37:40" x14ac:dyDescent="0.25">
      <c r="AK933" s="73"/>
      <c r="AL933" s="73"/>
      <c r="AM933" s="73"/>
      <c r="AN933" s="73"/>
    </row>
    <row r="934" spans="37:40" x14ac:dyDescent="0.25">
      <c r="AK934" s="73"/>
      <c r="AL934" s="73"/>
      <c r="AM934" s="73"/>
      <c r="AN934" s="73"/>
    </row>
    <row r="935" spans="37:40" x14ac:dyDescent="0.25">
      <c r="AK935" s="73"/>
      <c r="AL935" s="73"/>
      <c r="AM935" s="73"/>
      <c r="AN935" s="73"/>
    </row>
    <row r="936" spans="37:40" x14ac:dyDescent="0.25">
      <c r="AK936" s="73"/>
      <c r="AL936" s="73"/>
      <c r="AM936" s="73"/>
      <c r="AN936" s="73"/>
    </row>
    <row r="937" spans="37:40" x14ac:dyDescent="0.25">
      <c r="AK937" s="73"/>
      <c r="AL937" s="73"/>
      <c r="AM937" s="73"/>
      <c r="AN937" s="73"/>
    </row>
    <row r="938" spans="37:40" x14ac:dyDescent="0.25">
      <c r="AK938" s="73"/>
      <c r="AL938" s="73"/>
      <c r="AM938" s="73"/>
      <c r="AN938" s="73"/>
    </row>
    <row r="939" spans="37:40" x14ac:dyDescent="0.25">
      <c r="AK939" s="73"/>
      <c r="AL939" s="73"/>
      <c r="AM939" s="73"/>
      <c r="AN939" s="73"/>
    </row>
    <row r="940" spans="37:40" x14ac:dyDescent="0.25">
      <c r="AK940" s="73"/>
      <c r="AL940" s="73"/>
      <c r="AM940" s="73"/>
      <c r="AN940" s="73"/>
    </row>
    <row r="941" spans="37:40" x14ac:dyDescent="0.25">
      <c r="AK941" s="73"/>
      <c r="AL941" s="73"/>
      <c r="AM941" s="73"/>
      <c r="AN941" s="73"/>
    </row>
    <row r="942" spans="37:40" x14ac:dyDescent="0.25">
      <c r="AK942" s="73"/>
      <c r="AL942" s="73"/>
      <c r="AM942" s="73"/>
      <c r="AN942" s="73"/>
    </row>
    <row r="943" spans="37:40" x14ac:dyDescent="0.25">
      <c r="AK943" s="73"/>
      <c r="AL943" s="73"/>
      <c r="AM943" s="73"/>
      <c r="AN943" s="73"/>
    </row>
    <row r="944" spans="37:40" x14ac:dyDescent="0.25">
      <c r="AK944" s="73"/>
      <c r="AL944" s="73"/>
      <c r="AM944" s="73"/>
      <c r="AN944" s="73"/>
    </row>
    <row r="945" spans="37:40" x14ac:dyDescent="0.25">
      <c r="AK945" s="73"/>
      <c r="AL945" s="73"/>
      <c r="AM945" s="73"/>
      <c r="AN945" s="73"/>
    </row>
    <row r="946" spans="37:40" x14ac:dyDescent="0.25">
      <c r="AK946" s="73"/>
      <c r="AL946" s="73"/>
      <c r="AM946" s="73"/>
      <c r="AN946" s="73"/>
    </row>
    <row r="947" spans="37:40" x14ac:dyDescent="0.25">
      <c r="AK947" s="73"/>
      <c r="AL947" s="73"/>
      <c r="AM947" s="73"/>
      <c r="AN947" s="73"/>
    </row>
    <row r="948" spans="37:40" x14ac:dyDescent="0.25">
      <c r="AK948" s="73"/>
      <c r="AL948" s="73"/>
      <c r="AM948" s="73"/>
      <c r="AN948" s="73"/>
    </row>
    <row r="949" spans="37:40" x14ac:dyDescent="0.25">
      <c r="AK949" s="73"/>
      <c r="AL949" s="73"/>
      <c r="AM949" s="73"/>
      <c r="AN949" s="73"/>
    </row>
    <row r="950" spans="37:40" x14ac:dyDescent="0.25">
      <c r="AK950" s="73"/>
      <c r="AL950" s="73"/>
      <c r="AM950" s="73"/>
      <c r="AN950" s="73"/>
    </row>
    <row r="951" spans="37:40" x14ac:dyDescent="0.25">
      <c r="AK951" s="73"/>
      <c r="AL951" s="73"/>
      <c r="AM951" s="73"/>
      <c r="AN951" s="73"/>
    </row>
    <row r="952" spans="37:40" x14ac:dyDescent="0.25">
      <c r="AK952" s="73"/>
      <c r="AL952" s="73"/>
      <c r="AM952" s="73"/>
      <c r="AN952" s="73"/>
    </row>
    <row r="953" spans="37:40" x14ac:dyDescent="0.25">
      <c r="AK953" s="73"/>
      <c r="AL953" s="73"/>
      <c r="AM953" s="73"/>
      <c r="AN953" s="73"/>
    </row>
    <row r="954" spans="37:40" x14ac:dyDescent="0.25">
      <c r="AK954" s="73"/>
      <c r="AL954" s="73"/>
      <c r="AM954" s="73"/>
      <c r="AN954" s="73"/>
    </row>
    <row r="955" spans="37:40" x14ac:dyDescent="0.25">
      <c r="AK955" s="73"/>
      <c r="AL955" s="73"/>
      <c r="AM955" s="73"/>
      <c r="AN955" s="73"/>
    </row>
    <row r="956" spans="37:40" x14ac:dyDescent="0.25">
      <c r="AK956" s="73"/>
      <c r="AL956" s="73"/>
      <c r="AM956" s="73"/>
      <c r="AN956" s="73"/>
    </row>
    <row r="957" spans="37:40" x14ac:dyDescent="0.25">
      <c r="AK957" s="73"/>
      <c r="AL957" s="73"/>
      <c r="AM957" s="73"/>
      <c r="AN957" s="73"/>
    </row>
    <row r="958" spans="37:40" x14ac:dyDescent="0.25">
      <c r="AK958" s="73"/>
      <c r="AL958" s="73"/>
      <c r="AM958" s="73"/>
      <c r="AN958" s="73"/>
    </row>
    <row r="959" spans="37:40" x14ac:dyDescent="0.25">
      <c r="AK959" s="73"/>
      <c r="AL959" s="73"/>
      <c r="AM959" s="73"/>
      <c r="AN959" s="73"/>
    </row>
    <row r="960" spans="37:40" x14ac:dyDescent="0.25">
      <c r="AK960" s="73"/>
      <c r="AL960" s="73"/>
      <c r="AM960" s="73"/>
      <c r="AN960" s="73"/>
    </row>
    <row r="961" spans="37:40" x14ac:dyDescent="0.25">
      <c r="AK961" s="73"/>
      <c r="AL961" s="73"/>
      <c r="AM961" s="73"/>
      <c r="AN961" s="73"/>
    </row>
    <row r="962" spans="37:40" x14ac:dyDescent="0.25">
      <c r="AK962" s="73"/>
      <c r="AL962" s="73"/>
      <c r="AM962" s="73"/>
      <c r="AN962" s="73"/>
    </row>
    <row r="963" spans="37:40" x14ac:dyDescent="0.25">
      <c r="AK963" s="73"/>
      <c r="AL963" s="73"/>
      <c r="AM963" s="73"/>
      <c r="AN963" s="73"/>
    </row>
    <row r="964" spans="37:40" x14ac:dyDescent="0.25">
      <c r="AK964" s="73"/>
      <c r="AL964" s="73"/>
      <c r="AM964" s="73"/>
      <c r="AN964" s="73"/>
    </row>
    <row r="965" spans="37:40" x14ac:dyDescent="0.25">
      <c r="AK965" s="73"/>
      <c r="AL965" s="73"/>
      <c r="AM965" s="73"/>
      <c r="AN965" s="73"/>
    </row>
    <row r="966" spans="37:40" x14ac:dyDescent="0.25">
      <c r="AK966" s="73"/>
      <c r="AL966" s="73"/>
      <c r="AM966" s="73"/>
      <c r="AN966" s="73"/>
    </row>
    <row r="967" spans="37:40" x14ac:dyDescent="0.25">
      <c r="AK967" s="73"/>
      <c r="AL967" s="73"/>
      <c r="AM967" s="73"/>
      <c r="AN967" s="73"/>
    </row>
    <row r="968" spans="37:40" x14ac:dyDescent="0.25">
      <c r="AK968" s="73"/>
      <c r="AL968" s="73"/>
      <c r="AM968" s="73"/>
      <c r="AN968" s="73"/>
    </row>
    <row r="969" spans="37:40" x14ac:dyDescent="0.25">
      <c r="AK969" s="73"/>
      <c r="AL969" s="73"/>
      <c r="AM969" s="73"/>
      <c r="AN969" s="73"/>
    </row>
    <row r="970" spans="37:40" x14ac:dyDescent="0.25">
      <c r="AK970" s="73"/>
      <c r="AL970" s="73"/>
      <c r="AM970" s="73"/>
      <c r="AN970" s="73"/>
    </row>
    <row r="971" spans="37:40" x14ac:dyDescent="0.25">
      <c r="AK971" s="73"/>
      <c r="AL971" s="73"/>
      <c r="AM971" s="73"/>
      <c r="AN971" s="73"/>
    </row>
    <row r="972" spans="37:40" x14ac:dyDescent="0.25">
      <c r="AK972" s="73"/>
      <c r="AL972" s="73"/>
      <c r="AM972" s="73"/>
      <c r="AN972" s="73"/>
    </row>
    <row r="973" spans="37:40" x14ac:dyDescent="0.25">
      <c r="AK973" s="73"/>
      <c r="AL973" s="73"/>
      <c r="AM973" s="73"/>
      <c r="AN973" s="73"/>
    </row>
    <row r="974" spans="37:40" x14ac:dyDescent="0.25">
      <c r="AK974" s="73"/>
      <c r="AL974" s="73"/>
      <c r="AM974" s="73"/>
      <c r="AN974" s="73"/>
    </row>
    <row r="975" spans="37:40" x14ac:dyDescent="0.25">
      <c r="AK975" s="73"/>
      <c r="AL975" s="73"/>
      <c r="AM975" s="73"/>
      <c r="AN975" s="73"/>
    </row>
    <row r="976" spans="37:40" x14ac:dyDescent="0.25">
      <c r="AK976" s="73"/>
      <c r="AL976" s="73"/>
      <c r="AM976" s="73"/>
      <c r="AN976" s="73"/>
    </row>
    <row r="977" spans="37:40" x14ac:dyDescent="0.25">
      <c r="AK977" s="73"/>
      <c r="AL977" s="73"/>
      <c r="AM977" s="73"/>
      <c r="AN977" s="73"/>
    </row>
    <row r="978" spans="37:40" x14ac:dyDescent="0.25">
      <c r="AK978" s="73"/>
      <c r="AL978" s="73"/>
      <c r="AM978" s="73"/>
      <c r="AN978" s="73"/>
    </row>
    <row r="979" spans="37:40" x14ac:dyDescent="0.25">
      <c r="AK979" s="73"/>
      <c r="AL979" s="73"/>
      <c r="AM979" s="73"/>
      <c r="AN979" s="73"/>
    </row>
    <row r="980" spans="37:40" x14ac:dyDescent="0.25">
      <c r="AK980" s="73"/>
      <c r="AL980" s="73"/>
      <c r="AM980" s="73"/>
      <c r="AN980" s="73"/>
    </row>
    <row r="981" spans="37:40" x14ac:dyDescent="0.25">
      <c r="AK981" s="73"/>
      <c r="AL981" s="73"/>
      <c r="AM981" s="73"/>
      <c r="AN981" s="73"/>
    </row>
    <row r="982" spans="37:40" x14ac:dyDescent="0.25">
      <c r="AK982" s="73"/>
      <c r="AL982" s="73"/>
      <c r="AM982" s="73"/>
      <c r="AN982" s="73"/>
    </row>
    <row r="983" spans="37:40" x14ac:dyDescent="0.25">
      <c r="AK983" s="73"/>
      <c r="AL983" s="73"/>
      <c r="AM983" s="73"/>
      <c r="AN983" s="73"/>
    </row>
    <row r="984" spans="37:40" x14ac:dyDescent="0.25">
      <c r="AK984" s="73"/>
      <c r="AL984" s="73"/>
      <c r="AM984" s="73"/>
      <c r="AN984" s="73"/>
    </row>
    <row r="985" spans="37:40" x14ac:dyDescent="0.25">
      <c r="AK985" s="73"/>
      <c r="AL985" s="73"/>
      <c r="AM985" s="73"/>
      <c r="AN985" s="73"/>
    </row>
    <row r="986" spans="37:40" x14ac:dyDescent="0.25">
      <c r="AK986" s="73"/>
      <c r="AL986" s="73"/>
      <c r="AM986" s="73"/>
      <c r="AN986" s="73"/>
    </row>
    <row r="987" spans="37:40" x14ac:dyDescent="0.25">
      <c r="AK987" s="73"/>
      <c r="AL987" s="73"/>
      <c r="AM987" s="73"/>
      <c r="AN987" s="73"/>
    </row>
    <row r="988" spans="37:40" x14ac:dyDescent="0.25">
      <c r="AK988" s="73"/>
      <c r="AL988" s="73"/>
      <c r="AM988" s="73"/>
      <c r="AN988" s="73"/>
    </row>
    <row r="989" spans="37:40" x14ac:dyDescent="0.25">
      <c r="AK989" s="73"/>
      <c r="AL989" s="73"/>
      <c r="AM989" s="73"/>
      <c r="AN989" s="73"/>
    </row>
    <row r="990" spans="37:40" x14ac:dyDescent="0.25">
      <c r="AK990" s="73"/>
      <c r="AL990" s="73"/>
      <c r="AM990" s="73"/>
      <c r="AN990" s="73"/>
    </row>
    <row r="991" spans="37:40" x14ac:dyDescent="0.25">
      <c r="AK991" s="73"/>
      <c r="AL991" s="73"/>
      <c r="AM991" s="73"/>
      <c r="AN991" s="73"/>
    </row>
    <row r="992" spans="37:40" x14ac:dyDescent="0.25">
      <c r="AK992" s="73"/>
      <c r="AL992" s="73"/>
      <c r="AM992" s="73"/>
      <c r="AN992" s="73"/>
    </row>
    <row r="993" spans="37:40" x14ac:dyDescent="0.25">
      <c r="AK993" s="73"/>
      <c r="AL993" s="73"/>
      <c r="AM993" s="73"/>
      <c r="AN993" s="73"/>
    </row>
    <row r="994" spans="37:40" x14ac:dyDescent="0.25">
      <c r="AK994" s="73"/>
      <c r="AL994" s="73"/>
      <c r="AM994" s="73"/>
      <c r="AN994" s="73"/>
    </row>
    <row r="995" spans="37:40" x14ac:dyDescent="0.25">
      <c r="AK995" s="73"/>
      <c r="AL995" s="73"/>
      <c r="AM995" s="73"/>
      <c r="AN995" s="73"/>
    </row>
    <row r="996" spans="37:40" x14ac:dyDescent="0.25">
      <c r="AK996" s="73"/>
      <c r="AL996" s="73"/>
      <c r="AM996" s="73"/>
      <c r="AN996" s="73"/>
    </row>
    <row r="997" spans="37:40" x14ac:dyDescent="0.25">
      <c r="AK997" s="73"/>
      <c r="AL997" s="73"/>
      <c r="AM997" s="73"/>
      <c r="AN997" s="73"/>
    </row>
    <row r="998" spans="37:40" x14ac:dyDescent="0.25">
      <c r="AK998" s="73"/>
      <c r="AL998" s="73"/>
      <c r="AM998" s="73"/>
      <c r="AN998" s="73"/>
    </row>
    <row r="999" spans="37:40" x14ac:dyDescent="0.25">
      <c r="AK999" s="73"/>
      <c r="AL999" s="73"/>
      <c r="AM999" s="73"/>
      <c r="AN999" s="73"/>
    </row>
    <row r="1000" spans="37:40" x14ac:dyDescent="0.25">
      <c r="AK1000" s="73"/>
      <c r="AL1000" s="73"/>
      <c r="AM1000" s="73"/>
      <c r="AN1000" s="73"/>
    </row>
    <row r="1001" spans="37:40" x14ac:dyDescent="0.25">
      <c r="AK1001" s="73"/>
      <c r="AL1001" s="73"/>
      <c r="AM1001" s="73"/>
      <c r="AN1001" s="73"/>
    </row>
    <row r="1002" spans="37:40" x14ac:dyDescent="0.25">
      <c r="AK1002" s="73"/>
      <c r="AL1002" s="73"/>
      <c r="AM1002" s="73"/>
      <c r="AN1002" s="73"/>
    </row>
    <row r="1003" spans="37:40" x14ac:dyDescent="0.25">
      <c r="AK1003" s="73"/>
      <c r="AL1003" s="73"/>
      <c r="AM1003" s="73"/>
      <c r="AN1003" s="73"/>
    </row>
    <row r="1004" spans="37:40" x14ac:dyDescent="0.25">
      <c r="AK1004" s="73"/>
      <c r="AL1004" s="73"/>
      <c r="AM1004" s="73"/>
      <c r="AN1004" s="73"/>
    </row>
    <row r="1005" spans="37:40" x14ac:dyDescent="0.25">
      <c r="AK1005" s="73"/>
      <c r="AL1005" s="73"/>
      <c r="AM1005" s="73"/>
      <c r="AN1005" s="73"/>
    </row>
    <row r="1006" spans="37:40" x14ac:dyDescent="0.25">
      <c r="AK1006" s="73"/>
      <c r="AL1006" s="73"/>
      <c r="AM1006" s="73"/>
      <c r="AN1006" s="73"/>
    </row>
    <row r="1007" spans="37:40" x14ac:dyDescent="0.25">
      <c r="AK1007" s="73"/>
      <c r="AL1007" s="73"/>
      <c r="AM1007" s="73"/>
      <c r="AN1007" s="73"/>
    </row>
    <row r="1008" spans="37:40" x14ac:dyDescent="0.25">
      <c r="AK1008" s="73"/>
      <c r="AL1008" s="73"/>
      <c r="AM1008" s="73"/>
      <c r="AN1008" s="73"/>
    </row>
    <row r="1009" spans="37:40" x14ac:dyDescent="0.25">
      <c r="AK1009" s="73"/>
      <c r="AL1009" s="73"/>
      <c r="AM1009" s="73"/>
      <c r="AN1009" s="73"/>
    </row>
    <row r="1010" spans="37:40" x14ac:dyDescent="0.25">
      <c r="AK1010" s="73"/>
      <c r="AL1010" s="73"/>
      <c r="AM1010" s="73"/>
      <c r="AN1010" s="73"/>
    </row>
    <row r="1011" spans="37:40" x14ac:dyDescent="0.25">
      <c r="AK1011" s="73"/>
      <c r="AL1011" s="73"/>
      <c r="AM1011" s="73"/>
      <c r="AN1011" s="73"/>
    </row>
    <row r="1012" spans="37:40" x14ac:dyDescent="0.25">
      <c r="AK1012" s="73"/>
      <c r="AL1012" s="73"/>
      <c r="AM1012" s="73"/>
      <c r="AN1012" s="73"/>
    </row>
    <row r="1013" spans="37:40" x14ac:dyDescent="0.25">
      <c r="AK1013" s="73"/>
      <c r="AL1013" s="73"/>
      <c r="AM1013" s="73"/>
      <c r="AN1013" s="73"/>
    </row>
    <row r="1014" spans="37:40" x14ac:dyDescent="0.25">
      <c r="AK1014" s="73"/>
      <c r="AL1014" s="73"/>
      <c r="AM1014" s="73"/>
      <c r="AN1014" s="73"/>
    </row>
    <row r="1015" spans="37:40" x14ac:dyDescent="0.25">
      <c r="AK1015" s="73"/>
      <c r="AL1015" s="73"/>
      <c r="AM1015" s="73"/>
      <c r="AN1015" s="73"/>
    </row>
    <row r="1016" spans="37:40" x14ac:dyDescent="0.25">
      <c r="AK1016" s="73"/>
      <c r="AL1016" s="73"/>
      <c r="AM1016" s="73"/>
      <c r="AN1016" s="73"/>
    </row>
    <row r="1017" spans="37:40" x14ac:dyDescent="0.25">
      <c r="AK1017" s="73"/>
      <c r="AL1017" s="73"/>
      <c r="AM1017" s="73"/>
      <c r="AN1017" s="73"/>
    </row>
    <row r="1018" spans="37:40" x14ac:dyDescent="0.25">
      <c r="AK1018" s="73"/>
      <c r="AL1018" s="73"/>
      <c r="AM1018" s="73"/>
      <c r="AN1018" s="73"/>
    </row>
    <row r="1019" spans="37:40" x14ac:dyDescent="0.25">
      <c r="AK1019" s="73"/>
      <c r="AL1019" s="73"/>
      <c r="AM1019" s="73"/>
      <c r="AN1019" s="73"/>
    </row>
    <row r="1020" spans="37:40" x14ac:dyDescent="0.25">
      <c r="AK1020" s="73"/>
      <c r="AL1020" s="73"/>
      <c r="AM1020" s="73"/>
      <c r="AN1020" s="73"/>
    </row>
    <row r="1021" spans="37:40" x14ac:dyDescent="0.25">
      <c r="AK1021" s="73"/>
      <c r="AL1021" s="73"/>
      <c r="AM1021" s="73"/>
      <c r="AN1021" s="73"/>
    </row>
    <row r="1022" spans="37:40" x14ac:dyDescent="0.25">
      <c r="AK1022" s="73"/>
      <c r="AL1022" s="73"/>
      <c r="AM1022" s="73"/>
      <c r="AN1022" s="73"/>
    </row>
    <row r="1023" spans="37:40" x14ac:dyDescent="0.25">
      <c r="AK1023" s="73"/>
      <c r="AL1023" s="73"/>
      <c r="AM1023" s="73"/>
      <c r="AN1023" s="73"/>
    </row>
    <row r="1024" spans="37:40" x14ac:dyDescent="0.25">
      <c r="AK1024" s="73"/>
      <c r="AL1024" s="73"/>
      <c r="AM1024" s="73"/>
      <c r="AN1024" s="73"/>
    </row>
    <row r="1025" spans="37:40" x14ac:dyDescent="0.25">
      <c r="AK1025" s="73"/>
      <c r="AL1025" s="73"/>
      <c r="AM1025" s="73"/>
      <c r="AN1025" s="73"/>
    </row>
    <row r="1026" spans="37:40" x14ac:dyDescent="0.25">
      <c r="AK1026" s="73"/>
      <c r="AL1026" s="73"/>
      <c r="AM1026" s="73"/>
      <c r="AN1026" s="73"/>
    </row>
    <row r="1027" spans="37:40" x14ac:dyDescent="0.25">
      <c r="AK1027" s="73"/>
      <c r="AL1027" s="73"/>
      <c r="AM1027" s="73"/>
      <c r="AN1027" s="73"/>
    </row>
    <row r="1028" spans="37:40" x14ac:dyDescent="0.25">
      <c r="AK1028" s="73"/>
      <c r="AL1028" s="73"/>
      <c r="AM1028" s="73"/>
      <c r="AN1028" s="73"/>
    </row>
    <row r="1029" spans="37:40" x14ac:dyDescent="0.25">
      <c r="AK1029" s="73"/>
      <c r="AL1029" s="73"/>
      <c r="AM1029" s="73"/>
      <c r="AN1029" s="73"/>
    </row>
    <row r="1030" spans="37:40" x14ac:dyDescent="0.25">
      <c r="AK1030" s="73"/>
      <c r="AL1030" s="73"/>
      <c r="AM1030" s="73"/>
      <c r="AN1030" s="73"/>
    </row>
    <row r="1031" spans="37:40" x14ac:dyDescent="0.25">
      <c r="AK1031" s="73"/>
      <c r="AL1031" s="73"/>
      <c r="AM1031" s="73"/>
      <c r="AN1031" s="73"/>
    </row>
    <row r="1032" spans="37:40" x14ac:dyDescent="0.25">
      <c r="AK1032" s="73"/>
      <c r="AL1032" s="73"/>
      <c r="AM1032" s="73"/>
      <c r="AN1032" s="73"/>
    </row>
    <row r="1033" spans="37:40" x14ac:dyDescent="0.25">
      <c r="AK1033" s="73"/>
      <c r="AL1033" s="73"/>
      <c r="AM1033" s="73"/>
      <c r="AN1033" s="73"/>
    </row>
    <row r="1034" spans="37:40" x14ac:dyDescent="0.25">
      <c r="AK1034" s="73"/>
      <c r="AL1034" s="73"/>
      <c r="AM1034" s="73"/>
      <c r="AN1034" s="73"/>
    </row>
    <row r="1035" spans="37:40" x14ac:dyDescent="0.25">
      <c r="AK1035" s="73"/>
      <c r="AL1035" s="73"/>
      <c r="AM1035" s="73"/>
      <c r="AN1035" s="73"/>
    </row>
    <row r="1036" spans="37:40" x14ac:dyDescent="0.25">
      <c r="AK1036" s="73"/>
      <c r="AL1036" s="73"/>
      <c r="AM1036" s="73"/>
      <c r="AN1036" s="73"/>
    </row>
    <row r="1037" spans="37:40" x14ac:dyDescent="0.25">
      <c r="AK1037" s="73"/>
      <c r="AL1037" s="73"/>
      <c r="AM1037" s="73"/>
      <c r="AN1037" s="73"/>
    </row>
    <row r="1038" spans="37:40" x14ac:dyDescent="0.25">
      <c r="AK1038" s="73"/>
      <c r="AL1038" s="73"/>
      <c r="AM1038" s="73"/>
      <c r="AN1038" s="73"/>
    </row>
    <row r="1039" spans="37:40" x14ac:dyDescent="0.25">
      <c r="AK1039" s="73"/>
      <c r="AL1039" s="73"/>
      <c r="AM1039" s="73"/>
      <c r="AN1039" s="73"/>
    </row>
    <row r="1040" spans="37:40" x14ac:dyDescent="0.25">
      <c r="AK1040" s="73"/>
      <c r="AL1040" s="73"/>
      <c r="AM1040" s="73"/>
      <c r="AN1040" s="73"/>
    </row>
    <row r="1041" spans="37:40" x14ac:dyDescent="0.25">
      <c r="AK1041" s="73"/>
      <c r="AL1041" s="73"/>
      <c r="AM1041" s="73"/>
      <c r="AN1041" s="73"/>
    </row>
    <row r="1042" spans="37:40" x14ac:dyDescent="0.25">
      <c r="AK1042" s="73"/>
      <c r="AL1042" s="73"/>
      <c r="AM1042" s="73"/>
      <c r="AN1042" s="73"/>
    </row>
    <row r="1043" spans="37:40" x14ac:dyDescent="0.25">
      <c r="AK1043" s="73"/>
      <c r="AL1043" s="73"/>
      <c r="AM1043" s="73"/>
      <c r="AN1043" s="73"/>
    </row>
    <row r="1044" spans="37:40" x14ac:dyDescent="0.25">
      <c r="AK1044" s="73"/>
      <c r="AL1044" s="73"/>
      <c r="AM1044" s="73"/>
      <c r="AN1044" s="73"/>
    </row>
    <row r="1045" spans="37:40" x14ac:dyDescent="0.25">
      <c r="AK1045" s="73"/>
      <c r="AL1045" s="73"/>
      <c r="AM1045" s="73"/>
      <c r="AN1045" s="73"/>
    </row>
    <row r="1046" spans="37:40" x14ac:dyDescent="0.25">
      <c r="AK1046" s="73"/>
      <c r="AL1046" s="73"/>
      <c r="AM1046" s="73"/>
      <c r="AN1046" s="73"/>
    </row>
    <row r="1047" spans="37:40" x14ac:dyDescent="0.25">
      <c r="AK1047" s="73"/>
      <c r="AL1047" s="73"/>
      <c r="AM1047" s="73"/>
      <c r="AN1047" s="73"/>
    </row>
    <row r="1048" spans="37:40" x14ac:dyDescent="0.25">
      <c r="AK1048" s="73"/>
      <c r="AL1048" s="73"/>
      <c r="AM1048" s="73"/>
      <c r="AN1048" s="73"/>
    </row>
    <row r="1049" spans="37:40" x14ac:dyDescent="0.25">
      <c r="AK1049" s="73"/>
      <c r="AL1049" s="73"/>
      <c r="AM1049" s="73"/>
      <c r="AN1049" s="73"/>
    </row>
    <row r="1050" spans="37:40" x14ac:dyDescent="0.25">
      <c r="AK1050" s="73"/>
      <c r="AL1050" s="73"/>
      <c r="AM1050" s="73"/>
      <c r="AN1050" s="73"/>
    </row>
    <row r="1051" spans="37:40" x14ac:dyDescent="0.25">
      <c r="AK1051" s="73"/>
      <c r="AL1051" s="73"/>
      <c r="AM1051" s="73"/>
      <c r="AN1051" s="73"/>
    </row>
    <row r="1052" spans="37:40" x14ac:dyDescent="0.25">
      <c r="AK1052" s="73"/>
      <c r="AL1052" s="73"/>
      <c r="AM1052" s="73"/>
      <c r="AN1052" s="73"/>
    </row>
    <row r="1053" spans="37:40" x14ac:dyDescent="0.25">
      <c r="AK1053" s="73"/>
      <c r="AL1053" s="73"/>
      <c r="AM1053" s="73"/>
      <c r="AN1053" s="73"/>
    </row>
    <row r="1054" spans="37:40" x14ac:dyDescent="0.25">
      <c r="AK1054" s="73"/>
      <c r="AL1054" s="73"/>
      <c r="AM1054" s="73"/>
      <c r="AN1054" s="73"/>
    </row>
    <row r="1055" spans="37:40" x14ac:dyDescent="0.25">
      <c r="AK1055" s="73"/>
      <c r="AL1055" s="73"/>
      <c r="AM1055" s="73"/>
      <c r="AN1055" s="73"/>
    </row>
    <row r="1056" spans="37:40" x14ac:dyDescent="0.25">
      <c r="AK1056" s="73"/>
      <c r="AL1056" s="73"/>
      <c r="AM1056" s="73"/>
      <c r="AN1056" s="73"/>
    </row>
    <row r="1057" spans="37:40" x14ac:dyDescent="0.25">
      <c r="AK1057" s="73"/>
      <c r="AL1057" s="73"/>
      <c r="AM1057" s="73"/>
      <c r="AN1057" s="73"/>
    </row>
    <row r="1058" spans="37:40" x14ac:dyDescent="0.25">
      <c r="AK1058" s="73"/>
      <c r="AL1058" s="73"/>
      <c r="AM1058" s="73"/>
      <c r="AN1058" s="73"/>
    </row>
    <row r="1059" spans="37:40" x14ac:dyDescent="0.25">
      <c r="AK1059" s="73"/>
      <c r="AL1059" s="73"/>
      <c r="AM1059" s="73"/>
      <c r="AN1059" s="73"/>
    </row>
    <row r="1060" spans="37:40" x14ac:dyDescent="0.25">
      <c r="AK1060" s="73"/>
      <c r="AL1060" s="73"/>
      <c r="AM1060" s="73"/>
      <c r="AN1060" s="73"/>
    </row>
    <row r="1061" spans="37:40" x14ac:dyDescent="0.25">
      <c r="AK1061" s="73"/>
      <c r="AL1061" s="73"/>
      <c r="AM1061" s="73"/>
      <c r="AN1061" s="73"/>
    </row>
    <row r="1062" spans="37:40" x14ac:dyDescent="0.25">
      <c r="AK1062" s="73"/>
      <c r="AL1062" s="73"/>
      <c r="AM1062" s="73"/>
      <c r="AN1062" s="73"/>
    </row>
    <row r="1063" spans="37:40" x14ac:dyDescent="0.25">
      <c r="AK1063" s="73"/>
      <c r="AL1063" s="73"/>
      <c r="AM1063" s="73"/>
      <c r="AN1063" s="73"/>
    </row>
    <row r="1064" spans="37:40" x14ac:dyDescent="0.25">
      <c r="AK1064" s="73"/>
      <c r="AL1064" s="73"/>
      <c r="AM1064" s="73"/>
      <c r="AN1064" s="73"/>
    </row>
    <row r="1065" spans="37:40" x14ac:dyDescent="0.25">
      <c r="AK1065" s="73"/>
      <c r="AL1065" s="73"/>
      <c r="AM1065" s="73"/>
      <c r="AN1065" s="73"/>
    </row>
    <row r="1066" spans="37:40" x14ac:dyDescent="0.25">
      <c r="AK1066" s="73"/>
      <c r="AL1066" s="73"/>
      <c r="AM1066" s="73"/>
      <c r="AN1066" s="73"/>
    </row>
    <row r="1067" spans="37:40" x14ac:dyDescent="0.25">
      <c r="AK1067" s="73"/>
      <c r="AL1067" s="73"/>
      <c r="AM1067" s="73"/>
      <c r="AN1067" s="73"/>
    </row>
    <row r="1068" spans="37:40" x14ac:dyDescent="0.25">
      <c r="AK1068" s="73"/>
      <c r="AL1068" s="73"/>
      <c r="AM1068" s="73"/>
      <c r="AN1068" s="73"/>
    </row>
    <row r="1069" spans="37:40" x14ac:dyDescent="0.25">
      <c r="AK1069" s="73"/>
      <c r="AL1069" s="73"/>
      <c r="AM1069" s="73"/>
      <c r="AN1069" s="73"/>
    </row>
    <row r="1070" spans="37:40" x14ac:dyDescent="0.25">
      <c r="AK1070" s="73"/>
      <c r="AL1070" s="73"/>
      <c r="AM1070" s="73"/>
      <c r="AN1070" s="73"/>
    </row>
    <row r="1071" spans="37:40" x14ac:dyDescent="0.25">
      <c r="AK1071" s="73"/>
      <c r="AL1071" s="73"/>
      <c r="AM1071" s="73"/>
      <c r="AN1071" s="73"/>
    </row>
    <row r="1072" spans="37:40" x14ac:dyDescent="0.25">
      <c r="AK1072" s="73"/>
      <c r="AL1072" s="73"/>
      <c r="AM1072" s="73"/>
      <c r="AN1072" s="73"/>
    </row>
    <row r="1073" spans="37:40" x14ac:dyDescent="0.25">
      <c r="AK1073" s="73"/>
      <c r="AL1073" s="73"/>
      <c r="AM1073" s="73"/>
      <c r="AN1073" s="73"/>
    </row>
    <row r="1074" spans="37:40" x14ac:dyDescent="0.25">
      <c r="AK1074" s="73"/>
      <c r="AL1074" s="73"/>
      <c r="AM1074" s="73"/>
      <c r="AN1074" s="73"/>
    </row>
    <row r="1075" spans="37:40" x14ac:dyDescent="0.25">
      <c r="AK1075" s="73"/>
      <c r="AL1075" s="73"/>
      <c r="AM1075" s="73"/>
      <c r="AN1075" s="73"/>
    </row>
    <row r="1076" spans="37:40" x14ac:dyDescent="0.25">
      <c r="AK1076" s="73"/>
      <c r="AL1076" s="73"/>
      <c r="AM1076" s="73"/>
      <c r="AN1076" s="73"/>
    </row>
    <row r="1077" spans="37:40" x14ac:dyDescent="0.25">
      <c r="AK1077" s="73"/>
      <c r="AL1077" s="73"/>
      <c r="AM1077" s="73"/>
      <c r="AN1077" s="73"/>
    </row>
    <row r="1078" spans="37:40" x14ac:dyDescent="0.25">
      <c r="AK1078" s="73"/>
      <c r="AL1078" s="73"/>
      <c r="AM1078" s="73"/>
      <c r="AN1078" s="73"/>
    </row>
    <row r="1079" spans="37:40" x14ac:dyDescent="0.25">
      <c r="AK1079" s="73"/>
      <c r="AL1079" s="73"/>
      <c r="AM1079" s="73"/>
      <c r="AN1079" s="73"/>
    </row>
    <row r="1080" spans="37:40" x14ac:dyDescent="0.25">
      <c r="AK1080" s="73"/>
      <c r="AL1080" s="73"/>
      <c r="AM1080" s="73"/>
      <c r="AN1080" s="73"/>
    </row>
    <row r="1081" spans="37:40" x14ac:dyDescent="0.25">
      <c r="AK1081" s="73"/>
      <c r="AL1081" s="73"/>
      <c r="AM1081" s="73"/>
      <c r="AN1081" s="73"/>
    </row>
    <row r="1082" spans="37:40" x14ac:dyDescent="0.25">
      <c r="AK1082" s="73"/>
      <c r="AL1082" s="73"/>
      <c r="AM1082" s="73"/>
      <c r="AN1082" s="73"/>
    </row>
    <row r="1083" spans="37:40" x14ac:dyDescent="0.25">
      <c r="AK1083" s="73"/>
      <c r="AL1083" s="73"/>
      <c r="AM1083" s="73"/>
      <c r="AN1083" s="73"/>
    </row>
    <row r="1084" spans="37:40" x14ac:dyDescent="0.25">
      <c r="AK1084" s="73"/>
      <c r="AL1084" s="73"/>
      <c r="AM1084" s="73"/>
      <c r="AN1084" s="73"/>
    </row>
    <row r="1085" spans="37:40" x14ac:dyDescent="0.25">
      <c r="AK1085" s="73"/>
      <c r="AL1085" s="73"/>
      <c r="AM1085" s="73"/>
      <c r="AN1085" s="73"/>
    </row>
    <row r="1086" spans="37:40" x14ac:dyDescent="0.25">
      <c r="AK1086" s="73"/>
      <c r="AL1086" s="73"/>
      <c r="AM1086" s="73"/>
      <c r="AN1086" s="73"/>
    </row>
    <row r="1087" spans="37:40" x14ac:dyDescent="0.25">
      <c r="AK1087" s="73"/>
      <c r="AL1087" s="73"/>
      <c r="AM1087" s="73"/>
      <c r="AN1087" s="73"/>
    </row>
    <row r="1088" spans="37:40" x14ac:dyDescent="0.25">
      <c r="AK1088" s="73"/>
      <c r="AL1088" s="73"/>
      <c r="AM1088" s="73"/>
      <c r="AN1088" s="73"/>
    </row>
    <row r="1089" spans="37:40" x14ac:dyDescent="0.25">
      <c r="AK1089" s="73"/>
      <c r="AL1089" s="73"/>
      <c r="AM1089" s="73"/>
      <c r="AN1089" s="73"/>
    </row>
    <row r="1090" spans="37:40" x14ac:dyDescent="0.25">
      <c r="AK1090" s="73"/>
      <c r="AL1090" s="73"/>
      <c r="AM1090" s="73"/>
      <c r="AN1090" s="73"/>
    </row>
    <row r="1091" spans="37:40" x14ac:dyDescent="0.25">
      <c r="AK1091" s="73"/>
      <c r="AL1091" s="73"/>
      <c r="AM1091" s="73"/>
      <c r="AN1091" s="73"/>
    </row>
    <row r="1092" spans="37:40" x14ac:dyDescent="0.25">
      <c r="AK1092" s="73"/>
      <c r="AL1092" s="73"/>
      <c r="AM1092" s="73"/>
      <c r="AN1092" s="73"/>
    </row>
    <row r="1093" spans="37:40" x14ac:dyDescent="0.25">
      <c r="AK1093" s="73"/>
      <c r="AL1093" s="73"/>
      <c r="AM1093" s="73"/>
      <c r="AN1093" s="73"/>
    </row>
    <row r="1094" spans="37:40" x14ac:dyDescent="0.25">
      <c r="AK1094" s="73"/>
      <c r="AL1094" s="73"/>
      <c r="AM1094" s="73"/>
      <c r="AN1094" s="73"/>
    </row>
    <row r="1095" spans="37:40" x14ac:dyDescent="0.25">
      <c r="AK1095" s="73"/>
      <c r="AL1095" s="73"/>
      <c r="AM1095" s="73"/>
      <c r="AN1095" s="73"/>
    </row>
    <row r="1096" spans="37:40" x14ac:dyDescent="0.25">
      <c r="AK1096" s="73"/>
      <c r="AL1096" s="73"/>
      <c r="AM1096" s="73"/>
      <c r="AN1096" s="73"/>
    </row>
    <row r="1097" spans="37:40" x14ac:dyDescent="0.25">
      <c r="AK1097" s="73"/>
      <c r="AL1097" s="73"/>
      <c r="AM1097" s="73"/>
      <c r="AN1097" s="73"/>
    </row>
    <row r="1098" spans="37:40" x14ac:dyDescent="0.25">
      <c r="AK1098" s="73"/>
      <c r="AL1098" s="73"/>
      <c r="AM1098" s="73"/>
      <c r="AN1098" s="73"/>
    </row>
    <row r="1099" spans="37:40" x14ac:dyDescent="0.25">
      <c r="AK1099" s="73"/>
      <c r="AL1099" s="73"/>
      <c r="AM1099" s="73"/>
      <c r="AN1099" s="73"/>
    </row>
    <row r="1100" spans="37:40" x14ac:dyDescent="0.25">
      <c r="AK1100" s="73"/>
      <c r="AL1100" s="73"/>
      <c r="AM1100" s="73"/>
      <c r="AN1100" s="73"/>
    </row>
    <row r="1101" spans="37:40" x14ac:dyDescent="0.25">
      <c r="AK1101" s="73"/>
      <c r="AL1101" s="73"/>
      <c r="AM1101" s="73"/>
      <c r="AN1101" s="73"/>
    </row>
    <row r="1102" spans="37:40" x14ac:dyDescent="0.25">
      <c r="AK1102" s="73"/>
      <c r="AL1102" s="73"/>
      <c r="AM1102" s="73"/>
      <c r="AN1102" s="73"/>
    </row>
    <row r="1103" spans="37:40" x14ac:dyDescent="0.25">
      <c r="AK1103" s="73"/>
      <c r="AL1103" s="73"/>
      <c r="AM1103" s="73"/>
      <c r="AN1103" s="73"/>
    </row>
    <row r="1104" spans="37:40" x14ac:dyDescent="0.25">
      <c r="AK1104" s="73"/>
      <c r="AL1104" s="73"/>
      <c r="AM1104" s="73"/>
      <c r="AN1104" s="73"/>
    </row>
    <row r="1105" spans="37:40" x14ac:dyDescent="0.25">
      <c r="AK1105" s="73"/>
      <c r="AL1105" s="73"/>
      <c r="AM1105" s="73"/>
      <c r="AN1105" s="73"/>
    </row>
    <row r="1106" spans="37:40" x14ac:dyDescent="0.25">
      <c r="AK1106" s="73"/>
      <c r="AL1106" s="73"/>
      <c r="AM1106" s="73"/>
      <c r="AN1106" s="73"/>
    </row>
    <row r="1107" spans="37:40" x14ac:dyDescent="0.25">
      <c r="AK1107" s="73"/>
      <c r="AL1107" s="73"/>
      <c r="AM1107" s="73"/>
      <c r="AN1107" s="73"/>
    </row>
    <row r="1108" spans="37:40" x14ac:dyDescent="0.25">
      <c r="AK1108" s="73"/>
      <c r="AL1108" s="73"/>
      <c r="AM1108" s="73"/>
      <c r="AN1108" s="73"/>
    </row>
    <row r="1109" spans="37:40" x14ac:dyDescent="0.25">
      <c r="AK1109" s="73"/>
      <c r="AL1109" s="73"/>
      <c r="AM1109" s="73"/>
      <c r="AN1109" s="73"/>
    </row>
    <row r="1110" spans="37:40" x14ac:dyDescent="0.25">
      <c r="AK1110" s="73"/>
      <c r="AL1110" s="73"/>
      <c r="AM1110" s="73"/>
      <c r="AN1110" s="73"/>
    </row>
    <row r="1111" spans="37:40" x14ac:dyDescent="0.25">
      <c r="AK1111" s="73"/>
      <c r="AL1111" s="73"/>
      <c r="AM1111" s="73"/>
      <c r="AN1111" s="73"/>
    </row>
    <row r="1112" spans="37:40" x14ac:dyDescent="0.25">
      <c r="AK1112" s="73"/>
      <c r="AL1112" s="73"/>
      <c r="AM1112" s="73"/>
      <c r="AN1112" s="73"/>
    </row>
    <row r="1113" spans="37:40" x14ac:dyDescent="0.25">
      <c r="AK1113" s="73"/>
      <c r="AL1113" s="73"/>
      <c r="AM1113" s="73"/>
      <c r="AN1113" s="73"/>
    </row>
    <row r="1114" spans="37:40" x14ac:dyDescent="0.25">
      <c r="AK1114" s="73"/>
      <c r="AL1114" s="73"/>
      <c r="AM1114" s="73"/>
      <c r="AN1114" s="73"/>
    </row>
    <row r="1115" spans="37:40" x14ac:dyDescent="0.25">
      <c r="AK1115" s="73"/>
      <c r="AL1115" s="73"/>
      <c r="AM1115" s="73"/>
      <c r="AN1115" s="73"/>
    </row>
    <row r="1116" spans="37:40" x14ac:dyDescent="0.25">
      <c r="AK1116" s="73"/>
      <c r="AL1116" s="73"/>
      <c r="AM1116" s="73"/>
      <c r="AN1116" s="73"/>
    </row>
    <row r="1117" spans="37:40" x14ac:dyDescent="0.25">
      <c r="AK1117" s="73"/>
      <c r="AL1117" s="73"/>
      <c r="AM1117" s="73"/>
      <c r="AN1117" s="73"/>
    </row>
    <row r="1118" spans="37:40" x14ac:dyDescent="0.25">
      <c r="AK1118" s="73"/>
      <c r="AL1118" s="73"/>
      <c r="AM1118" s="73"/>
      <c r="AN1118" s="73"/>
    </row>
    <row r="1119" spans="37:40" x14ac:dyDescent="0.25">
      <c r="AK1119" s="73"/>
      <c r="AL1119" s="73"/>
      <c r="AM1119" s="73"/>
      <c r="AN1119" s="73"/>
    </row>
    <row r="1120" spans="37:40" x14ac:dyDescent="0.25">
      <c r="AK1120" s="73"/>
      <c r="AL1120" s="73"/>
      <c r="AM1120" s="73"/>
      <c r="AN1120" s="73"/>
    </row>
    <row r="1121" spans="37:40" x14ac:dyDescent="0.25">
      <c r="AK1121" s="73"/>
      <c r="AL1121" s="73"/>
      <c r="AM1121" s="73"/>
      <c r="AN1121" s="73"/>
    </row>
    <row r="1122" spans="37:40" x14ac:dyDescent="0.25">
      <c r="AK1122" s="73"/>
      <c r="AL1122" s="73"/>
      <c r="AM1122" s="73"/>
      <c r="AN1122" s="73"/>
    </row>
    <row r="1123" spans="37:40" x14ac:dyDescent="0.25">
      <c r="AK1123" s="73"/>
      <c r="AL1123" s="73"/>
      <c r="AM1123" s="73"/>
      <c r="AN1123" s="73"/>
    </row>
    <row r="1124" spans="37:40" x14ac:dyDescent="0.25">
      <c r="AK1124" s="73"/>
      <c r="AL1124" s="73"/>
      <c r="AM1124" s="73"/>
      <c r="AN1124" s="73"/>
    </row>
    <row r="1125" spans="37:40" x14ac:dyDescent="0.25">
      <c r="AK1125" s="73"/>
      <c r="AL1125" s="73"/>
      <c r="AM1125" s="73"/>
      <c r="AN1125" s="73"/>
    </row>
    <row r="1126" spans="37:40" x14ac:dyDescent="0.25">
      <c r="AK1126" s="73"/>
      <c r="AL1126" s="73"/>
      <c r="AM1126" s="73"/>
      <c r="AN1126" s="73"/>
    </row>
    <row r="1127" spans="37:40" x14ac:dyDescent="0.25">
      <c r="AK1127" s="73"/>
      <c r="AL1127" s="73"/>
      <c r="AM1127" s="73"/>
      <c r="AN1127" s="73"/>
    </row>
    <row r="1128" spans="37:40" x14ac:dyDescent="0.25">
      <c r="AK1128" s="73"/>
      <c r="AL1128" s="73"/>
      <c r="AM1128" s="73"/>
      <c r="AN1128" s="73"/>
    </row>
    <row r="1129" spans="37:40" x14ac:dyDescent="0.25">
      <c r="AK1129" s="73"/>
      <c r="AL1129" s="73"/>
      <c r="AM1129" s="73"/>
      <c r="AN1129" s="73"/>
    </row>
    <row r="1130" spans="37:40" x14ac:dyDescent="0.25">
      <c r="AK1130" s="73"/>
      <c r="AL1130" s="73"/>
      <c r="AM1130" s="73"/>
      <c r="AN1130" s="73"/>
    </row>
    <row r="1131" spans="37:40" x14ac:dyDescent="0.25">
      <c r="AK1131" s="73"/>
      <c r="AL1131" s="73"/>
      <c r="AM1131" s="73"/>
      <c r="AN1131" s="73"/>
    </row>
    <row r="1132" spans="37:40" x14ac:dyDescent="0.25">
      <c r="AK1132" s="73"/>
      <c r="AL1132" s="73"/>
      <c r="AM1132" s="73"/>
      <c r="AN1132" s="73"/>
    </row>
    <row r="1133" spans="37:40" x14ac:dyDescent="0.25">
      <c r="AK1133" s="73"/>
      <c r="AL1133" s="73"/>
      <c r="AM1133" s="73"/>
      <c r="AN1133" s="73"/>
    </row>
    <row r="1134" spans="37:40" x14ac:dyDescent="0.25">
      <c r="AK1134" s="73"/>
      <c r="AL1134" s="73"/>
      <c r="AM1134" s="73"/>
      <c r="AN1134" s="73"/>
    </row>
    <row r="1135" spans="37:40" x14ac:dyDescent="0.25">
      <c r="AK1135" s="73"/>
      <c r="AL1135" s="73"/>
      <c r="AM1135" s="73"/>
      <c r="AN1135" s="73"/>
    </row>
    <row r="1136" spans="37:40" x14ac:dyDescent="0.25">
      <c r="AK1136" s="73"/>
      <c r="AL1136" s="73"/>
      <c r="AM1136" s="73"/>
      <c r="AN1136" s="73"/>
    </row>
    <row r="1137" spans="37:40" x14ac:dyDescent="0.25">
      <c r="AK1137" s="73"/>
      <c r="AL1137" s="73"/>
      <c r="AM1137" s="73"/>
      <c r="AN1137" s="73"/>
    </row>
    <row r="1138" spans="37:40" x14ac:dyDescent="0.25">
      <c r="AK1138" s="73"/>
      <c r="AL1138" s="73"/>
      <c r="AM1138" s="73"/>
      <c r="AN1138" s="73"/>
    </row>
    <row r="1139" spans="37:40" x14ac:dyDescent="0.25">
      <c r="AK1139" s="73"/>
      <c r="AL1139" s="73"/>
      <c r="AM1139" s="73"/>
      <c r="AN1139" s="73"/>
    </row>
    <row r="1140" spans="37:40" x14ac:dyDescent="0.25">
      <c r="AK1140" s="73"/>
      <c r="AL1140" s="73"/>
      <c r="AM1140" s="73"/>
      <c r="AN1140" s="73"/>
    </row>
    <row r="1141" spans="37:40" x14ac:dyDescent="0.25">
      <c r="AK1141" s="73"/>
      <c r="AL1141" s="73"/>
      <c r="AM1141" s="73"/>
      <c r="AN1141" s="73"/>
    </row>
    <row r="1142" spans="37:40" x14ac:dyDescent="0.25">
      <c r="AK1142" s="73"/>
      <c r="AL1142" s="73"/>
      <c r="AM1142" s="73"/>
      <c r="AN1142" s="73"/>
    </row>
    <row r="1143" spans="37:40" x14ac:dyDescent="0.25">
      <c r="AK1143" s="73"/>
      <c r="AL1143" s="73"/>
      <c r="AM1143" s="73"/>
      <c r="AN1143" s="73"/>
    </row>
    <row r="1144" spans="37:40" x14ac:dyDescent="0.25">
      <c r="AK1144" s="73"/>
      <c r="AL1144" s="73"/>
      <c r="AM1144" s="73"/>
      <c r="AN1144" s="73"/>
    </row>
    <row r="1145" spans="37:40" x14ac:dyDescent="0.25">
      <c r="AK1145" s="73"/>
      <c r="AL1145" s="73"/>
      <c r="AM1145" s="73"/>
      <c r="AN1145" s="73"/>
    </row>
    <row r="1146" spans="37:40" x14ac:dyDescent="0.25">
      <c r="AK1146" s="73"/>
      <c r="AL1146" s="73"/>
      <c r="AM1146" s="73"/>
      <c r="AN1146" s="73"/>
    </row>
    <row r="1147" spans="37:40" x14ac:dyDescent="0.25">
      <c r="AK1147" s="73"/>
      <c r="AL1147" s="73"/>
      <c r="AM1147" s="73"/>
      <c r="AN1147" s="73"/>
    </row>
    <row r="1148" spans="37:40" x14ac:dyDescent="0.25">
      <c r="AK1148" s="73"/>
      <c r="AL1148" s="73"/>
      <c r="AM1148" s="73"/>
      <c r="AN1148" s="73"/>
    </row>
    <row r="1149" spans="37:40" x14ac:dyDescent="0.25">
      <c r="AK1149" s="73"/>
      <c r="AL1149" s="73"/>
      <c r="AM1149" s="73"/>
      <c r="AN1149" s="73"/>
    </row>
    <row r="1150" spans="37:40" x14ac:dyDescent="0.25">
      <c r="AK1150" s="73"/>
      <c r="AL1150" s="73"/>
      <c r="AM1150" s="73"/>
      <c r="AN1150" s="73"/>
    </row>
    <row r="1151" spans="37:40" x14ac:dyDescent="0.25">
      <c r="AK1151" s="73"/>
      <c r="AL1151" s="73"/>
      <c r="AM1151" s="73"/>
      <c r="AN1151" s="73"/>
    </row>
    <row r="1152" spans="37:40" x14ac:dyDescent="0.25">
      <c r="AK1152" s="73"/>
      <c r="AL1152" s="73"/>
      <c r="AM1152" s="73"/>
      <c r="AN1152" s="73"/>
    </row>
    <row r="1153" spans="37:40" x14ac:dyDescent="0.25">
      <c r="AK1153" s="73"/>
      <c r="AL1153" s="73"/>
      <c r="AM1153" s="73"/>
      <c r="AN1153" s="73"/>
    </row>
    <row r="1154" spans="37:40" x14ac:dyDescent="0.25">
      <c r="AK1154" s="73"/>
      <c r="AL1154" s="73"/>
      <c r="AM1154" s="73"/>
      <c r="AN1154" s="73"/>
    </row>
    <row r="1155" spans="37:40" x14ac:dyDescent="0.25">
      <c r="AK1155" s="73"/>
      <c r="AL1155" s="73"/>
      <c r="AM1155" s="73"/>
      <c r="AN1155" s="73"/>
    </row>
    <row r="1156" spans="37:40" x14ac:dyDescent="0.25">
      <c r="AK1156" s="73"/>
      <c r="AL1156" s="73"/>
      <c r="AM1156" s="73"/>
      <c r="AN1156" s="73"/>
    </row>
    <row r="1157" spans="37:40" x14ac:dyDescent="0.25">
      <c r="AK1157" s="73"/>
      <c r="AL1157" s="73"/>
      <c r="AM1157" s="73"/>
      <c r="AN1157" s="73"/>
    </row>
    <row r="1158" spans="37:40" x14ac:dyDescent="0.25">
      <c r="AK1158" s="73"/>
      <c r="AL1158" s="73"/>
      <c r="AM1158" s="73"/>
      <c r="AN1158" s="73"/>
    </row>
    <row r="1159" spans="37:40" x14ac:dyDescent="0.25">
      <c r="AK1159" s="73"/>
      <c r="AL1159" s="73"/>
      <c r="AM1159" s="73"/>
      <c r="AN1159" s="73"/>
    </row>
    <row r="1160" spans="37:40" x14ac:dyDescent="0.25">
      <c r="AK1160" s="73"/>
      <c r="AL1160" s="73"/>
      <c r="AM1160" s="73"/>
      <c r="AN1160" s="73"/>
    </row>
    <row r="1161" spans="37:40" x14ac:dyDescent="0.25">
      <c r="AK1161" s="73"/>
      <c r="AL1161" s="73"/>
      <c r="AM1161" s="73"/>
      <c r="AN1161" s="73"/>
    </row>
    <row r="1162" spans="37:40" x14ac:dyDescent="0.25">
      <c r="AK1162" s="73"/>
      <c r="AL1162" s="73"/>
      <c r="AM1162" s="73"/>
      <c r="AN1162" s="73"/>
    </row>
    <row r="1163" spans="37:40" x14ac:dyDescent="0.25">
      <c r="AK1163" s="73"/>
      <c r="AL1163" s="73"/>
      <c r="AM1163" s="73"/>
      <c r="AN1163" s="73"/>
    </row>
    <row r="1164" spans="37:40" x14ac:dyDescent="0.25">
      <c r="AK1164" s="73"/>
      <c r="AL1164" s="73"/>
      <c r="AM1164" s="73"/>
      <c r="AN1164" s="73"/>
    </row>
    <row r="1165" spans="37:40" x14ac:dyDescent="0.25">
      <c r="AK1165" s="73"/>
      <c r="AL1165" s="73"/>
      <c r="AM1165" s="73"/>
      <c r="AN1165" s="73"/>
    </row>
    <row r="1166" spans="37:40" x14ac:dyDescent="0.25">
      <c r="AK1166" s="73"/>
      <c r="AL1166" s="73"/>
      <c r="AM1166" s="73"/>
      <c r="AN1166" s="73"/>
    </row>
    <row r="1167" spans="37:40" x14ac:dyDescent="0.25">
      <c r="AK1167" s="73"/>
      <c r="AL1167" s="73"/>
      <c r="AM1167" s="73"/>
      <c r="AN1167" s="73"/>
    </row>
    <row r="1168" spans="37:40" x14ac:dyDescent="0.25">
      <c r="AK1168" s="73"/>
      <c r="AL1168" s="73"/>
      <c r="AM1168" s="73"/>
      <c r="AN1168" s="73"/>
    </row>
    <row r="1169" spans="37:40" x14ac:dyDescent="0.25">
      <c r="AK1169" s="73"/>
      <c r="AL1169" s="73"/>
      <c r="AM1169" s="73"/>
      <c r="AN1169" s="73"/>
    </row>
    <row r="1170" spans="37:40" x14ac:dyDescent="0.25">
      <c r="AK1170" s="73"/>
      <c r="AL1170" s="73"/>
      <c r="AM1170" s="73"/>
      <c r="AN1170" s="73"/>
    </row>
    <row r="1171" spans="37:40" x14ac:dyDescent="0.25">
      <c r="AK1171" s="73"/>
      <c r="AL1171" s="73"/>
      <c r="AM1171" s="73"/>
      <c r="AN1171" s="73"/>
    </row>
    <row r="1172" spans="37:40" x14ac:dyDescent="0.25">
      <c r="AK1172" s="73"/>
      <c r="AL1172" s="73"/>
      <c r="AM1172" s="73"/>
      <c r="AN1172" s="73"/>
    </row>
    <row r="1173" spans="37:40" x14ac:dyDescent="0.25">
      <c r="AK1173" s="73"/>
      <c r="AL1173" s="73"/>
      <c r="AM1173" s="73"/>
      <c r="AN1173" s="73"/>
    </row>
    <row r="1174" spans="37:40" x14ac:dyDescent="0.25">
      <c r="AK1174" s="73"/>
      <c r="AL1174" s="73"/>
      <c r="AM1174" s="73"/>
      <c r="AN1174" s="73"/>
    </row>
    <row r="1175" spans="37:40" x14ac:dyDescent="0.25">
      <c r="AK1175" s="73"/>
      <c r="AL1175" s="73"/>
      <c r="AM1175" s="73"/>
      <c r="AN1175" s="73"/>
    </row>
    <row r="1176" spans="37:40" x14ac:dyDescent="0.25">
      <c r="AK1176" s="73"/>
      <c r="AL1176" s="73"/>
      <c r="AM1176" s="73"/>
      <c r="AN1176" s="73"/>
    </row>
    <row r="1177" spans="37:40" x14ac:dyDescent="0.25">
      <c r="AK1177" s="73"/>
      <c r="AL1177" s="73"/>
      <c r="AM1177" s="73"/>
      <c r="AN1177" s="73"/>
    </row>
    <row r="1178" spans="37:40" x14ac:dyDescent="0.25">
      <c r="AK1178" s="73"/>
      <c r="AL1178" s="73"/>
      <c r="AM1178" s="73"/>
      <c r="AN1178" s="73"/>
    </row>
    <row r="1179" spans="37:40" x14ac:dyDescent="0.25">
      <c r="AK1179" s="73"/>
      <c r="AL1179" s="73"/>
      <c r="AM1179" s="73"/>
      <c r="AN1179" s="73"/>
    </row>
    <row r="1180" spans="37:40" x14ac:dyDescent="0.25">
      <c r="AK1180" s="73"/>
      <c r="AL1180" s="73"/>
      <c r="AM1180" s="73"/>
      <c r="AN1180" s="73"/>
    </row>
    <row r="1181" spans="37:40" x14ac:dyDescent="0.25">
      <c r="AK1181" s="73"/>
      <c r="AL1181" s="73"/>
      <c r="AM1181" s="73"/>
      <c r="AN1181" s="73"/>
    </row>
    <row r="1182" spans="37:40" x14ac:dyDescent="0.25">
      <c r="AK1182" s="73"/>
      <c r="AL1182" s="73"/>
      <c r="AM1182" s="73"/>
      <c r="AN1182" s="73"/>
    </row>
    <row r="1183" spans="37:40" x14ac:dyDescent="0.25">
      <c r="AK1183" s="73"/>
      <c r="AL1183" s="73"/>
      <c r="AM1183" s="73"/>
      <c r="AN1183" s="73"/>
    </row>
    <row r="1184" spans="37:40" x14ac:dyDescent="0.25">
      <c r="AK1184" s="73"/>
      <c r="AL1184" s="73"/>
      <c r="AM1184" s="73"/>
      <c r="AN1184" s="73"/>
    </row>
    <row r="1185" spans="37:40" x14ac:dyDescent="0.25">
      <c r="AK1185" s="73"/>
      <c r="AL1185" s="73"/>
      <c r="AM1185" s="73"/>
      <c r="AN1185" s="73"/>
    </row>
    <row r="1186" spans="37:40" x14ac:dyDescent="0.25">
      <c r="AK1186" s="73"/>
      <c r="AL1186" s="73"/>
      <c r="AM1186" s="73"/>
      <c r="AN1186" s="73"/>
    </row>
    <row r="1187" spans="37:40" x14ac:dyDescent="0.25">
      <c r="AK1187" s="73"/>
      <c r="AL1187" s="73"/>
      <c r="AM1187" s="73"/>
      <c r="AN1187" s="73"/>
    </row>
    <row r="1188" spans="37:40" x14ac:dyDescent="0.25">
      <c r="AK1188" s="73"/>
      <c r="AL1188" s="73"/>
      <c r="AM1188" s="73"/>
      <c r="AN1188" s="73"/>
    </row>
    <row r="1189" spans="37:40" x14ac:dyDescent="0.25">
      <c r="AK1189" s="73"/>
      <c r="AL1189" s="73"/>
      <c r="AM1189" s="73"/>
      <c r="AN1189" s="73"/>
    </row>
    <row r="1190" spans="37:40" x14ac:dyDescent="0.25">
      <c r="AK1190" s="73"/>
      <c r="AL1190" s="73"/>
      <c r="AM1190" s="73"/>
      <c r="AN1190" s="73"/>
    </row>
    <row r="1191" spans="37:40" x14ac:dyDescent="0.25">
      <c r="AK1191" s="73"/>
      <c r="AL1191" s="73"/>
      <c r="AM1191" s="73"/>
      <c r="AN1191" s="73"/>
    </row>
    <row r="1192" spans="37:40" x14ac:dyDescent="0.25">
      <c r="AK1192" s="73"/>
      <c r="AL1192" s="73"/>
      <c r="AM1192" s="73"/>
      <c r="AN1192" s="73"/>
    </row>
    <row r="1193" spans="37:40" x14ac:dyDescent="0.25">
      <c r="AK1193" s="73"/>
      <c r="AL1193" s="73"/>
      <c r="AM1193" s="73"/>
      <c r="AN1193" s="73"/>
    </row>
    <row r="1194" spans="37:40" x14ac:dyDescent="0.25">
      <c r="AK1194" s="73"/>
      <c r="AL1194" s="73"/>
      <c r="AM1194" s="73"/>
      <c r="AN1194" s="73"/>
    </row>
    <row r="1195" spans="37:40" x14ac:dyDescent="0.25">
      <c r="AK1195" s="73"/>
      <c r="AL1195" s="73"/>
      <c r="AM1195" s="73"/>
      <c r="AN1195" s="73"/>
    </row>
    <row r="1196" spans="37:40" x14ac:dyDescent="0.25">
      <c r="AK1196" s="73"/>
      <c r="AL1196" s="73"/>
      <c r="AM1196" s="73"/>
      <c r="AN1196" s="73"/>
    </row>
    <row r="1197" spans="37:40" x14ac:dyDescent="0.25">
      <c r="AK1197" s="73"/>
      <c r="AL1197" s="73"/>
      <c r="AM1197" s="73"/>
      <c r="AN1197" s="73"/>
    </row>
    <row r="1198" spans="37:40" x14ac:dyDescent="0.25">
      <c r="AK1198" s="73"/>
      <c r="AL1198" s="73"/>
      <c r="AM1198" s="73"/>
      <c r="AN1198" s="73"/>
    </row>
    <row r="1199" spans="37:40" x14ac:dyDescent="0.25">
      <c r="AK1199" s="73"/>
      <c r="AL1199" s="73"/>
      <c r="AM1199" s="73"/>
      <c r="AN1199" s="73"/>
    </row>
    <row r="1200" spans="37:40" x14ac:dyDescent="0.25">
      <c r="AK1200" s="73"/>
      <c r="AL1200" s="73"/>
      <c r="AM1200" s="73"/>
      <c r="AN1200" s="73"/>
    </row>
    <row r="1201" spans="37:40" x14ac:dyDescent="0.25">
      <c r="AK1201" s="73"/>
      <c r="AL1201" s="73"/>
      <c r="AM1201" s="73"/>
      <c r="AN1201" s="73"/>
    </row>
    <row r="1202" spans="37:40" x14ac:dyDescent="0.25">
      <c r="AK1202" s="73"/>
      <c r="AL1202" s="73"/>
      <c r="AM1202" s="73"/>
      <c r="AN1202" s="73"/>
    </row>
    <row r="1203" spans="37:40" x14ac:dyDescent="0.25">
      <c r="AK1203" s="73"/>
      <c r="AL1203" s="73"/>
      <c r="AM1203" s="73"/>
      <c r="AN1203" s="73"/>
    </row>
    <row r="1204" spans="37:40" x14ac:dyDescent="0.25">
      <c r="AK1204" s="73"/>
      <c r="AL1204" s="73"/>
      <c r="AM1204" s="73"/>
      <c r="AN1204" s="73"/>
    </row>
    <row r="1205" spans="37:40" x14ac:dyDescent="0.25">
      <c r="AK1205" s="73"/>
      <c r="AL1205" s="73"/>
      <c r="AM1205" s="73"/>
      <c r="AN1205" s="73"/>
    </row>
    <row r="1206" spans="37:40" x14ac:dyDescent="0.25">
      <c r="AK1206" s="73"/>
      <c r="AL1206" s="73"/>
      <c r="AM1206" s="73"/>
      <c r="AN1206" s="73"/>
    </row>
    <row r="1207" spans="37:40" x14ac:dyDescent="0.25">
      <c r="AK1207" s="73"/>
      <c r="AL1207" s="73"/>
      <c r="AM1207" s="73"/>
      <c r="AN1207" s="73"/>
    </row>
    <row r="1208" spans="37:40" x14ac:dyDescent="0.25">
      <c r="AK1208" s="73"/>
      <c r="AL1208" s="73"/>
      <c r="AM1208" s="73"/>
      <c r="AN1208" s="73"/>
    </row>
    <row r="1209" spans="37:40" x14ac:dyDescent="0.25">
      <c r="AK1209" s="73"/>
      <c r="AL1209" s="73"/>
      <c r="AM1209" s="73"/>
      <c r="AN1209" s="73"/>
    </row>
    <row r="1210" spans="37:40" x14ac:dyDescent="0.25">
      <c r="AK1210" s="73"/>
      <c r="AL1210" s="73"/>
      <c r="AM1210" s="73"/>
      <c r="AN1210" s="73"/>
    </row>
    <row r="1211" spans="37:40" x14ac:dyDescent="0.25">
      <c r="AK1211" s="73"/>
      <c r="AL1211" s="73"/>
      <c r="AM1211" s="73"/>
      <c r="AN1211" s="73"/>
    </row>
    <row r="1212" spans="37:40" x14ac:dyDescent="0.25">
      <c r="AK1212" s="73"/>
      <c r="AL1212" s="73"/>
      <c r="AM1212" s="73"/>
      <c r="AN1212" s="73"/>
    </row>
    <row r="1213" spans="37:40" x14ac:dyDescent="0.25">
      <c r="AK1213" s="73"/>
      <c r="AL1213" s="73"/>
      <c r="AM1213" s="73"/>
      <c r="AN1213" s="73"/>
    </row>
    <row r="1214" spans="37:40" x14ac:dyDescent="0.25">
      <c r="AK1214" s="73"/>
      <c r="AL1214" s="73"/>
      <c r="AM1214" s="73"/>
      <c r="AN1214" s="73"/>
    </row>
    <row r="1215" spans="37:40" x14ac:dyDescent="0.25">
      <c r="AK1215" s="73"/>
      <c r="AL1215" s="73"/>
      <c r="AM1215" s="73"/>
      <c r="AN1215" s="73"/>
    </row>
    <row r="1216" spans="37:40" x14ac:dyDescent="0.25">
      <c r="AK1216" s="73"/>
      <c r="AL1216" s="73"/>
      <c r="AM1216" s="73"/>
      <c r="AN1216" s="73"/>
    </row>
    <row r="1217" spans="37:40" x14ac:dyDescent="0.25">
      <c r="AK1217" s="73"/>
      <c r="AL1217" s="73"/>
      <c r="AM1217" s="73"/>
      <c r="AN1217" s="73"/>
    </row>
    <row r="1218" spans="37:40" x14ac:dyDescent="0.25">
      <c r="AK1218" s="73"/>
      <c r="AL1218" s="73"/>
      <c r="AM1218" s="73"/>
      <c r="AN1218" s="73"/>
    </row>
    <row r="1219" spans="37:40" x14ac:dyDescent="0.25">
      <c r="AK1219" s="73"/>
      <c r="AL1219" s="73"/>
      <c r="AM1219" s="73"/>
      <c r="AN1219" s="73"/>
    </row>
    <row r="1220" spans="37:40" x14ac:dyDescent="0.25">
      <c r="AK1220" s="73"/>
      <c r="AL1220" s="73"/>
      <c r="AM1220" s="73"/>
      <c r="AN1220" s="73"/>
    </row>
    <row r="1221" spans="37:40" x14ac:dyDescent="0.25">
      <c r="AK1221" s="73"/>
      <c r="AL1221" s="73"/>
      <c r="AM1221" s="73"/>
      <c r="AN1221" s="73"/>
    </row>
    <row r="1222" spans="37:40" x14ac:dyDescent="0.25">
      <c r="AK1222" s="73"/>
      <c r="AL1222" s="73"/>
      <c r="AM1222" s="73"/>
      <c r="AN1222" s="73"/>
    </row>
    <row r="1223" spans="37:40" x14ac:dyDescent="0.25">
      <c r="AK1223" s="73"/>
      <c r="AL1223" s="73"/>
      <c r="AM1223" s="73"/>
      <c r="AN1223" s="73"/>
    </row>
    <row r="1224" spans="37:40" x14ac:dyDescent="0.25">
      <c r="AK1224" s="73"/>
      <c r="AL1224" s="73"/>
      <c r="AM1224" s="73"/>
      <c r="AN1224" s="73"/>
    </row>
    <row r="1225" spans="37:40" x14ac:dyDescent="0.25">
      <c r="AK1225" s="73"/>
      <c r="AL1225" s="73"/>
      <c r="AM1225" s="73"/>
      <c r="AN1225" s="73"/>
    </row>
    <row r="1226" spans="37:40" x14ac:dyDescent="0.25">
      <c r="AK1226" s="73"/>
      <c r="AL1226" s="73"/>
      <c r="AM1226" s="73"/>
      <c r="AN1226" s="73"/>
    </row>
    <row r="1227" spans="37:40" x14ac:dyDescent="0.25">
      <c r="AK1227" s="73"/>
      <c r="AL1227" s="73"/>
      <c r="AM1227" s="73"/>
      <c r="AN1227" s="73"/>
    </row>
    <row r="1228" spans="37:40" x14ac:dyDescent="0.25">
      <c r="AK1228" s="73"/>
      <c r="AL1228" s="73"/>
      <c r="AM1228" s="73"/>
      <c r="AN1228" s="73"/>
    </row>
    <row r="1229" spans="37:40" x14ac:dyDescent="0.25">
      <c r="AK1229" s="73"/>
      <c r="AL1229" s="73"/>
      <c r="AM1229" s="73"/>
      <c r="AN1229" s="73"/>
    </row>
    <row r="1230" spans="37:40" x14ac:dyDescent="0.25">
      <c r="AK1230" s="73"/>
      <c r="AL1230" s="73"/>
      <c r="AM1230" s="73"/>
      <c r="AN1230" s="73"/>
    </row>
    <row r="1231" spans="37:40" x14ac:dyDescent="0.25">
      <c r="AK1231" s="73"/>
      <c r="AL1231" s="73"/>
      <c r="AM1231" s="73"/>
      <c r="AN1231" s="73"/>
    </row>
    <row r="1232" spans="37:40" x14ac:dyDescent="0.25">
      <c r="AK1232" s="73"/>
      <c r="AL1232" s="73"/>
      <c r="AM1232" s="73"/>
      <c r="AN1232" s="73"/>
    </row>
    <row r="1233" spans="37:40" x14ac:dyDescent="0.25">
      <c r="AK1233" s="73"/>
      <c r="AL1233" s="73"/>
      <c r="AM1233" s="73"/>
      <c r="AN1233" s="73"/>
    </row>
    <row r="1234" spans="37:40" x14ac:dyDescent="0.25">
      <c r="AK1234" s="73"/>
      <c r="AL1234" s="73"/>
      <c r="AM1234" s="73"/>
      <c r="AN1234" s="73"/>
    </row>
    <row r="1235" spans="37:40" x14ac:dyDescent="0.25">
      <c r="AK1235" s="73"/>
      <c r="AL1235" s="73"/>
      <c r="AM1235" s="73"/>
      <c r="AN1235" s="73"/>
    </row>
    <row r="1236" spans="37:40" x14ac:dyDescent="0.25">
      <c r="AK1236" s="73"/>
      <c r="AL1236" s="73"/>
      <c r="AM1236" s="73"/>
      <c r="AN1236" s="73"/>
    </row>
    <row r="1237" spans="37:40" x14ac:dyDescent="0.25">
      <c r="AK1237" s="73"/>
      <c r="AL1237" s="73"/>
      <c r="AM1237" s="73"/>
      <c r="AN1237" s="73"/>
    </row>
    <row r="1238" spans="37:40" x14ac:dyDescent="0.25">
      <c r="AK1238" s="73"/>
      <c r="AL1238" s="73"/>
      <c r="AM1238" s="73"/>
      <c r="AN1238" s="73"/>
    </row>
    <row r="1239" spans="37:40" x14ac:dyDescent="0.25">
      <c r="AK1239" s="73"/>
      <c r="AL1239" s="73"/>
      <c r="AM1239" s="73"/>
      <c r="AN1239" s="73"/>
    </row>
    <row r="1240" spans="37:40" x14ac:dyDescent="0.25">
      <c r="AK1240" s="73"/>
      <c r="AL1240" s="73"/>
      <c r="AM1240" s="73"/>
      <c r="AN1240" s="73"/>
    </row>
    <row r="1241" spans="37:40" x14ac:dyDescent="0.25">
      <c r="AK1241" s="73"/>
      <c r="AL1241" s="73"/>
      <c r="AM1241" s="73"/>
      <c r="AN1241" s="73"/>
    </row>
    <row r="1242" spans="37:40" x14ac:dyDescent="0.25">
      <c r="AK1242" s="73"/>
      <c r="AL1242" s="73"/>
      <c r="AM1242" s="73"/>
      <c r="AN1242" s="73"/>
    </row>
    <row r="1243" spans="37:40" x14ac:dyDescent="0.25">
      <c r="AK1243" s="73"/>
      <c r="AL1243" s="73"/>
      <c r="AM1243" s="73"/>
      <c r="AN1243" s="73"/>
    </row>
    <row r="1244" spans="37:40" x14ac:dyDescent="0.25">
      <c r="AK1244" s="73"/>
      <c r="AL1244" s="73"/>
      <c r="AM1244" s="73"/>
      <c r="AN1244" s="73"/>
    </row>
    <row r="1245" spans="37:40" x14ac:dyDescent="0.25">
      <c r="AK1245" s="73"/>
      <c r="AL1245" s="73"/>
      <c r="AM1245" s="73"/>
      <c r="AN1245" s="73"/>
    </row>
    <row r="1246" spans="37:40" x14ac:dyDescent="0.25">
      <c r="AK1246" s="73"/>
      <c r="AL1246" s="73"/>
      <c r="AM1246" s="73"/>
      <c r="AN1246" s="73"/>
    </row>
    <row r="1247" spans="37:40" x14ac:dyDescent="0.25">
      <c r="AK1247" s="73"/>
      <c r="AL1247" s="73"/>
      <c r="AM1247" s="73"/>
      <c r="AN1247" s="73"/>
    </row>
    <row r="1248" spans="37:40" x14ac:dyDescent="0.25">
      <c r="AK1248" s="73"/>
      <c r="AL1248" s="73"/>
      <c r="AM1248" s="73"/>
      <c r="AN1248" s="73"/>
    </row>
    <row r="1249" spans="37:40" x14ac:dyDescent="0.25">
      <c r="AK1249" s="73"/>
      <c r="AL1249" s="73"/>
      <c r="AM1249" s="73"/>
      <c r="AN1249" s="73"/>
    </row>
    <row r="1250" spans="37:40" x14ac:dyDescent="0.25">
      <c r="AK1250" s="73"/>
      <c r="AL1250" s="73"/>
      <c r="AM1250" s="73"/>
      <c r="AN1250" s="73"/>
    </row>
    <row r="1251" spans="37:40" x14ac:dyDescent="0.25">
      <c r="AK1251" s="73"/>
      <c r="AL1251" s="73"/>
      <c r="AM1251" s="73"/>
      <c r="AN1251" s="73"/>
    </row>
    <row r="1252" spans="37:40" x14ac:dyDescent="0.25">
      <c r="AK1252" s="73"/>
      <c r="AL1252" s="73"/>
      <c r="AM1252" s="73"/>
      <c r="AN1252" s="73"/>
    </row>
    <row r="1253" spans="37:40" x14ac:dyDescent="0.25">
      <c r="AK1253" s="73"/>
      <c r="AL1253" s="73"/>
      <c r="AM1253" s="73"/>
      <c r="AN1253" s="73"/>
    </row>
    <row r="1254" spans="37:40" x14ac:dyDescent="0.25">
      <c r="AK1254" s="73"/>
      <c r="AL1254" s="73"/>
      <c r="AM1254" s="73"/>
      <c r="AN1254" s="73"/>
    </row>
    <row r="1255" spans="37:40" x14ac:dyDescent="0.25">
      <c r="AK1255" s="73"/>
      <c r="AL1255" s="73"/>
      <c r="AM1255" s="73"/>
      <c r="AN1255" s="73"/>
    </row>
    <row r="1256" spans="37:40" x14ac:dyDescent="0.25">
      <c r="AK1256" s="73"/>
      <c r="AL1256" s="73"/>
      <c r="AM1256" s="73"/>
      <c r="AN1256" s="73"/>
    </row>
    <row r="1257" spans="37:40" x14ac:dyDescent="0.25">
      <c r="AK1257" s="73"/>
      <c r="AL1257" s="73"/>
      <c r="AM1257" s="73"/>
      <c r="AN1257" s="73"/>
    </row>
    <row r="1258" spans="37:40" x14ac:dyDescent="0.25">
      <c r="AK1258" s="73"/>
      <c r="AL1258" s="73"/>
      <c r="AM1258" s="73"/>
      <c r="AN1258" s="73"/>
    </row>
    <row r="1259" spans="37:40" x14ac:dyDescent="0.25">
      <c r="AK1259" s="73"/>
      <c r="AL1259" s="73"/>
      <c r="AM1259" s="73"/>
      <c r="AN1259" s="73"/>
    </row>
    <row r="1260" spans="37:40" x14ac:dyDescent="0.25">
      <c r="AK1260" s="73"/>
      <c r="AL1260" s="73"/>
      <c r="AM1260" s="73"/>
      <c r="AN1260" s="73"/>
    </row>
    <row r="1261" spans="37:40" x14ac:dyDescent="0.25">
      <c r="AK1261" s="73"/>
      <c r="AL1261" s="73"/>
      <c r="AM1261" s="73"/>
      <c r="AN1261" s="73"/>
    </row>
    <row r="1262" spans="37:40" x14ac:dyDescent="0.25">
      <c r="AK1262" s="73"/>
      <c r="AL1262" s="73"/>
      <c r="AM1262" s="73"/>
      <c r="AN1262" s="73"/>
    </row>
    <row r="1263" spans="37:40" x14ac:dyDescent="0.25">
      <c r="AK1263" s="73"/>
      <c r="AL1263" s="73"/>
      <c r="AM1263" s="73"/>
      <c r="AN1263" s="73"/>
    </row>
    <row r="1264" spans="37:40" x14ac:dyDescent="0.25">
      <c r="AK1264" s="73"/>
      <c r="AL1264" s="73"/>
      <c r="AM1264" s="73"/>
      <c r="AN1264" s="73"/>
    </row>
    <row r="1265" spans="37:40" x14ac:dyDescent="0.25">
      <c r="AK1265" s="73"/>
      <c r="AL1265" s="73"/>
      <c r="AM1265" s="73"/>
      <c r="AN1265" s="73"/>
    </row>
    <row r="1266" spans="37:40" x14ac:dyDescent="0.25">
      <c r="AK1266" s="73"/>
      <c r="AL1266" s="73"/>
      <c r="AM1266" s="73"/>
      <c r="AN1266" s="73"/>
    </row>
    <row r="1267" spans="37:40" x14ac:dyDescent="0.25">
      <c r="AK1267" s="73"/>
      <c r="AL1267" s="73"/>
      <c r="AM1267" s="73"/>
      <c r="AN1267" s="73"/>
    </row>
    <row r="1268" spans="37:40" x14ac:dyDescent="0.25">
      <c r="AK1268" s="73"/>
      <c r="AL1268" s="73"/>
      <c r="AM1268" s="73"/>
      <c r="AN1268" s="73"/>
    </row>
    <row r="1269" spans="37:40" x14ac:dyDescent="0.25">
      <c r="AK1269" s="73"/>
      <c r="AL1269" s="73"/>
      <c r="AM1269" s="73"/>
      <c r="AN1269" s="73"/>
    </row>
    <row r="1270" spans="37:40" x14ac:dyDescent="0.25">
      <c r="AK1270" s="73"/>
      <c r="AL1270" s="73"/>
      <c r="AM1270" s="73"/>
      <c r="AN1270" s="73"/>
    </row>
    <row r="1271" spans="37:40" x14ac:dyDescent="0.25">
      <c r="AK1271" s="73"/>
      <c r="AL1271" s="73"/>
      <c r="AM1271" s="73"/>
      <c r="AN1271" s="73"/>
    </row>
    <row r="1272" spans="37:40" x14ac:dyDescent="0.25">
      <c r="AK1272" s="73"/>
      <c r="AL1272" s="73"/>
      <c r="AM1272" s="73"/>
      <c r="AN1272" s="73"/>
    </row>
    <row r="1273" spans="37:40" x14ac:dyDescent="0.25">
      <c r="AK1273" s="73"/>
      <c r="AL1273" s="73"/>
      <c r="AM1273" s="73"/>
      <c r="AN1273" s="73"/>
    </row>
    <row r="1274" spans="37:40" x14ac:dyDescent="0.25">
      <c r="AK1274" s="73"/>
      <c r="AL1274" s="73"/>
      <c r="AM1274" s="73"/>
      <c r="AN1274" s="73"/>
    </row>
    <row r="1275" spans="37:40" x14ac:dyDescent="0.25">
      <c r="AK1275" s="73"/>
      <c r="AL1275" s="73"/>
      <c r="AM1275" s="73"/>
      <c r="AN1275" s="73"/>
    </row>
    <row r="1276" spans="37:40" x14ac:dyDescent="0.25">
      <c r="AK1276" s="73"/>
      <c r="AL1276" s="73"/>
      <c r="AM1276" s="73"/>
      <c r="AN1276" s="73"/>
    </row>
    <row r="1277" spans="37:40" x14ac:dyDescent="0.25">
      <c r="AK1277" s="73"/>
      <c r="AL1277" s="73"/>
      <c r="AM1277" s="73"/>
      <c r="AN1277" s="73"/>
    </row>
    <row r="1278" spans="37:40" x14ac:dyDescent="0.25">
      <c r="AK1278" s="73"/>
      <c r="AL1278" s="73"/>
      <c r="AM1278" s="73"/>
      <c r="AN1278" s="73"/>
    </row>
    <row r="1279" spans="37:40" x14ac:dyDescent="0.25">
      <c r="AK1279" s="73"/>
      <c r="AL1279" s="73"/>
      <c r="AM1279" s="73"/>
      <c r="AN1279" s="73"/>
    </row>
    <row r="1280" spans="37:40" x14ac:dyDescent="0.25">
      <c r="AK1280" s="73"/>
      <c r="AL1280" s="73"/>
      <c r="AM1280" s="73"/>
      <c r="AN1280" s="73"/>
    </row>
    <row r="1281" spans="37:40" x14ac:dyDescent="0.25">
      <c r="AK1281" s="73"/>
      <c r="AL1281" s="73"/>
      <c r="AM1281" s="73"/>
      <c r="AN1281" s="73"/>
    </row>
    <row r="1282" spans="37:40" x14ac:dyDescent="0.25">
      <c r="AK1282" s="73"/>
      <c r="AL1282" s="73"/>
      <c r="AM1282" s="73"/>
      <c r="AN1282" s="73"/>
    </row>
    <row r="1283" spans="37:40" x14ac:dyDescent="0.25">
      <c r="AK1283" s="73"/>
      <c r="AL1283" s="73"/>
      <c r="AM1283" s="73"/>
      <c r="AN1283" s="73"/>
    </row>
    <row r="1284" spans="37:40" x14ac:dyDescent="0.25">
      <c r="AK1284" s="73"/>
      <c r="AL1284" s="73"/>
      <c r="AM1284" s="73"/>
      <c r="AN1284" s="73"/>
    </row>
    <row r="1285" spans="37:40" x14ac:dyDescent="0.25">
      <c r="AK1285" s="73"/>
      <c r="AL1285" s="73"/>
      <c r="AM1285" s="73"/>
      <c r="AN1285" s="73"/>
    </row>
    <row r="1286" spans="37:40" x14ac:dyDescent="0.25">
      <c r="AK1286" s="73"/>
      <c r="AL1286" s="73"/>
      <c r="AM1286" s="73"/>
      <c r="AN1286" s="73"/>
    </row>
    <row r="1287" spans="37:40" x14ac:dyDescent="0.25">
      <c r="AK1287" s="73"/>
      <c r="AL1287" s="73"/>
      <c r="AM1287" s="73"/>
      <c r="AN1287" s="73"/>
    </row>
    <row r="1288" spans="37:40" x14ac:dyDescent="0.25">
      <c r="AK1288" s="73"/>
      <c r="AL1288" s="73"/>
      <c r="AM1288" s="73"/>
      <c r="AN1288" s="73"/>
    </row>
    <row r="1289" spans="37:40" x14ac:dyDescent="0.25">
      <c r="AK1289" s="73"/>
      <c r="AL1289" s="73"/>
      <c r="AM1289" s="73"/>
      <c r="AN1289" s="73"/>
    </row>
    <row r="1290" spans="37:40" x14ac:dyDescent="0.25">
      <c r="AK1290" s="73"/>
      <c r="AL1290" s="73"/>
      <c r="AM1290" s="73"/>
      <c r="AN1290" s="73"/>
    </row>
    <row r="1291" spans="37:40" x14ac:dyDescent="0.25">
      <c r="AK1291" s="73"/>
      <c r="AL1291" s="73"/>
      <c r="AM1291" s="73"/>
      <c r="AN1291" s="73"/>
    </row>
    <row r="1292" spans="37:40" x14ac:dyDescent="0.25">
      <c r="AK1292" s="73"/>
      <c r="AL1292" s="73"/>
      <c r="AM1292" s="73"/>
      <c r="AN1292" s="73"/>
    </row>
    <row r="1293" spans="37:40" x14ac:dyDescent="0.25">
      <c r="AK1293" s="73"/>
      <c r="AL1293" s="73"/>
      <c r="AM1293" s="73"/>
      <c r="AN1293" s="73"/>
    </row>
    <row r="1294" spans="37:40" x14ac:dyDescent="0.25">
      <c r="AK1294" s="73"/>
      <c r="AL1294" s="73"/>
      <c r="AM1294" s="73"/>
      <c r="AN1294" s="73"/>
    </row>
    <row r="1295" spans="37:40" x14ac:dyDescent="0.25">
      <c r="AK1295" s="73"/>
      <c r="AL1295" s="73"/>
      <c r="AM1295" s="73"/>
      <c r="AN1295" s="73"/>
    </row>
    <row r="1296" spans="37:40" x14ac:dyDescent="0.25">
      <c r="AK1296" s="73"/>
      <c r="AL1296" s="73"/>
      <c r="AM1296" s="73"/>
      <c r="AN1296" s="73"/>
    </row>
    <row r="1297" spans="37:40" x14ac:dyDescent="0.25">
      <c r="AK1297" s="73"/>
      <c r="AL1297" s="73"/>
      <c r="AM1297" s="73"/>
      <c r="AN1297" s="73"/>
    </row>
    <row r="1298" spans="37:40" x14ac:dyDescent="0.25">
      <c r="AK1298" s="73"/>
      <c r="AL1298" s="73"/>
      <c r="AM1298" s="73"/>
      <c r="AN1298" s="73"/>
    </row>
    <row r="1299" spans="37:40" x14ac:dyDescent="0.25">
      <c r="AK1299" s="73"/>
      <c r="AL1299" s="73"/>
      <c r="AM1299" s="73"/>
      <c r="AN1299" s="73"/>
    </row>
    <row r="1300" spans="37:40" x14ac:dyDescent="0.25">
      <c r="AK1300" s="73"/>
      <c r="AL1300" s="73"/>
      <c r="AM1300" s="73"/>
      <c r="AN1300" s="73"/>
    </row>
    <row r="1301" spans="37:40" x14ac:dyDescent="0.25">
      <c r="AK1301" s="73"/>
      <c r="AL1301" s="73"/>
      <c r="AM1301" s="73"/>
      <c r="AN1301" s="73"/>
    </row>
    <row r="1302" spans="37:40" x14ac:dyDescent="0.25">
      <c r="AK1302" s="73"/>
      <c r="AL1302" s="73"/>
      <c r="AM1302" s="73"/>
      <c r="AN1302" s="73"/>
    </row>
    <row r="1303" spans="37:40" x14ac:dyDescent="0.25">
      <c r="AK1303" s="73"/>
      <c r="AL1303" s="73"/>
      <c r="AM1303" s="73"/>
      <c r="AN1303" s="73"/>
    </row>
    <row r="1304" spans="37:40" x14ac:dyDescent="0.25">
      <c r="AK1304" s="73"/>
      <c r="AL1304" s="73"/>
      <c r="AM1304" s="73"/>
      <c r="AN1304" s="73"/>
    </row>
    <row r="1305" spans="37:40" x14ac:dyDescent="0.25">
      <c r="AK1305" s="73"/>
      <c r="AL1305" s="73"/>
      <c r="AM1305" s="73"/>
      <c r="AN1305" s="73"/>
    </row>
    <row r="1306" spans="37:40" x14ac:dyDescent="0.25">
      <c r="AK1306" s="73"/>
      <c r="AL1306" s="73"/>
      <c r="AM1306" s="73"/>
      <c r="AN1306" s="73"/>
    </row>
    <row r="1307" spans="37:40" x14ac:dyDescent="0.25">
      <c r="AK1307" s="73"/>
      <c r="AL1307" s="73"/>
      <c r="AM1307" s="73"/>
      <c r="AN1307" s="73"/>
    </row>
    <row r="1308" spans="37:40" x14ac:dyDescent="0.25">
      <c r="AK1308" s="73"/>
      <c r="AL1308" s="73"/>
      <c r="AM1308" s="73"/>
      <c r="AN1308" s="73"/>
    </row>
    <row r="1309" spans="37:40" x14ac:dyDescent="0.25">
      <c r="AK1309" s="73"/>
      <c r="AL1309" s="73"/>
      <c r="AM1309" s="73"/>
      <c r="AN1309" s="73"/>
    </row>
    <row r="1310" spans="37:40" x14ac:dyDescent="0.25">
      <c r="AK1310" s="73"/>
      <c r="AL1310" s="73"/>
      <c r="AM1310" s="73"/>
      <c r="AN1310" s="73"/>
    </row>
    <row r="1311" spans="37:40" x14ac:dyDescent="0.25">
      <c r="AK1311" s="73"/>
      <c r="AL1311" s="73"/>
      <c r="AM1311" s="73"/>
      <c r="AN1311" s="73"/>
    </row>
    <row r="1312" spans="37:40" x14ac:dyDescent="0.25">
      <c r="AK1312" s="73"/>
      <c r="AL1312" s="73"/>
      <c r="AM1312" s="73"/>
      <c r="AN1312" s="73"/>
    </row>
    <row r="1313" spans="37:40" x14ac:dyDescent="0.25">
      <c r="AK1313" s="73"/>
      <c r="AL1313" s="73"/>
      <c r="AM1313" s="73"/>
      <c r="AN1313" s="73"/>
    </row>
    <row r="1314" spans="37:40" x14ac:dyDescent="0.25">
      <c r="AK1314" s="73"/>
      <c r="AL1314" s="73"/>
      <c r="AM1314" s="73"/>
      <c r="AN1314" s="73"/>
    </row>
    <row r="1315" spans="37:40" x14ac:dyDescent="0.25">
      <c r="AK1315" s="73"/>
      <c r="AL1315" s="73"/>
      <c r="AM1315" s="73"/>
      <c r="AN1315" s="73"/>
    </row>
    <row r="1316" spans="37:40" x14ac:dyDescent="0.25">
      <c r="AK1316" s="73"/>
      <c r="AL1316" s="73"/>
      <c r="AM1316" s="73"/>
      <c r="AN1316" s="73"/>
    </row>
    <row r="1317" spans="37:40" x14ac:dyDescent="0.25">
      <c r="AK1317" s="73"/>
      <c r="AL1317" s="73"/>
      <c r="AM1317" s="73"/>
      <c r="AN1317" s="73"/>
    </row>
    <row r="1318" spans="37:40" x14ac:dyDescent="0.25">
      <c r="AK1318" s="73"/>
      <c r="AL1318" s="73"/>
      <c r="AM1318" s="73"/>
      <c r="AN1318" s="73"/>
    </row>
    <row r="1319" spans="37:40" x14ac:dyDescent="0.25">
      <c r="AK1319" s="73"/>
      <c r="AL1319" s="73"/>
      <c r="AM1319" s="73"/>
      <c r="AN1319" s="73"/>
    </row>
    <row r="1320" spans="37:40" x14ac:dyDescent="0.25">
      <c r="AK1320" s="73"/>
      <c r="AL1320" s="73"/>
      <c r="AM1320" s="73"/>
      <c r="AN1320" s="73"/>
    </row>
    <row r="1321" spans="37:40" x14ac:dyDescent="0.25">
      <c r="AK1321" s="73"/>
      <c r="AL1321" s="73"/>
      <c r="AM1321" s="73"/>
      <c r="AN1321" s="73"/>
    </row>
    <row r="1322" spans="37:40" x14ac:dyDescent="0.25">
      <c r="AK1322" s="73"/>
      <c r="AL1322" s="73"/>
      <c r="AM1322" s="73"/>
      <c r="AN1322" s="73"/>
    </row>
    <row r="1323" spans="37:40" x14ac:dyDescent="0.25">
      <c r="AK1323" s="73"/>
      <c r="AL1323" s="73"/>
      <c r="AM1323" s="73"/>
      <c r="AN1323" s="73"/>
    </row>
    <row r="1324" spans="37:40" x14ac:dyDescent="0.25">
      <c r="AK1324" s="73"/>
      <c r="AL1324" s="73"/>
      <c r="AM1324" s="73"/>
      <c r="AN1324" s="73"/>
    </row>
    <row r="1325" spans="37:40" x14ac:dyDescent="0.25">
      <c r="AK1325" s="73"/>
      <c r="AL1325" s="73"/>
      <c r="AM1325" s="73"/>
      <c r="AN1325" s="73"/>
    </row>
    <row r="1326" spans="37:40" x14ac:dyDescent="0.25">
      <c r="AK1326" s="73"/>
      <c r="AL1326" s="73"/>
      <c r="AM1326" s="73"/>
      <c r="AN1326" s="73"/>
    </row>
    <row r="1327" spans="37:40" x14ac:dyDescent="0.25">
      <c r="AK1327" s="73"/>
      <c r="AL1327" s="73"/>
      <c r="AM1327" s="73"/>
      <c r="AN1327" s="73"/>
    </row>
    <row r="1328" spans="37:40" x14ac:dyDescent="0.25">
      <c r="AK1328" s="73"/>
      <c r="AL1328" s="73"/>
      <c r="AM1328" s="73"/>
      <c r="AN1328" s="73"/>
    </row>
    <row r="1329" spans="37:40" x14ac:dyDescent="0.25">
      <c r="AK1329" s="73"/>
      <c r="AL1329" s="73"/>
      <c r="AM1329" s="73"/>
      <c r="AN1329" s="73"/>
    </row>
    <row r="1330" spans="37:40" x14ac:dyDescent="0.25">
      <c r="AK1330" s="73"/>
      <c r="AL1330" s="73"/>
      <c r="AM1330" s="73"/>
      <c r="AN1330" s="73"/>
    </row>
    <row r="1331" spans="37:40" x14ac:dyDescent="0.25">
      <c r="AK1331" s="73"/>
      <c r="AL1331" s="73"/>
      <c r="AM1331" s="73"/>
      <c r="AN1331" s="73"/>
    </row>
    <row r="1332" spans="37:40" x14ac:dyDescent="0.25">
      <c r="AK1332" s="73"/>
      <c r="AL1332" s="73"/>
      <c r="AM1332" s="73"/>
      <c r="AN1332" s="73"/>
    </row>
    <row r="1333" spans="37:40" x14ac:dyDescent="0.25">
      <c r="AK1333" s="73"/>
      <c r="AL1333" s="73"/>
      <c r="AM1333" s="73"/>
      <c r="AN1333" s="73"/>
    </row>
    <row r="1334" spans="37:40" x14ac:dyDescent="0.25">
      <c r="AK1334" s="73"/>
      <c r="AL1334" s="73"/>
      <c r="AM1334" s="73"/>
      <c r="AN1334" s="73"/>
    </row>
    <row r="1335" spans="37:40" x14ac:dyDescent="0.25">
      <c r="AK1335" s="73"/>
      <c r="AL1335" s="73"/>
      <c r="AM1335" s="73"/>
      <c r="AN1335" s="73"/>
    </row>
    <row r="1336" spans="37:40" x14ac:dyDescent="0.25">
      <c r="AK1336" s="73"/>
      <c r="AL1336" s="73"/>
      <c r="AM1336" s="73"/>
      <c r="AN1336" s="73"/>
    </row>
    <row r="1337" spans="37:40" x14ac:dyDescent="0.25">
      <c r="AK1337" s="73"/>
      <c r="AL1337" s="73"/>
      <c r="AM1337" s="73"/>
      <c r="AN1337" s="73"/>
    </row>
    <row r="1338" spans="37:40" x14ac:dyDescent="0.25">
      <c r="AK1338" s="73"/>
      <c r="AL1338" s="73"/>
      <c r="AM1338" s="73"/>
      <c r="AN1338" s="73"/>
    </row>
    <row r="1339" spans="37:40" x14ac:dyDescent="0.25">
      <c r="AK1339" s="73"/>
      <c r="AL1339" s="73"/>
      <c r="AM1339" s="73"/>
      <c r="AN1339" s="73"/>
    </row>
    <row r="1340" spans="37:40" x14ac:dyDescent="0.25">
      <c r="AK1340" s="73"/>
      <c r="AL1340" s="73"/>
      <c r="AM1340" s="73"/>
      <c r="AN1340" s="73"/>
    </row>
    <row r="1341" spans="37:40" x14ac:dyDescent="0.25">
      <c r="AK1341" s="73"/>
      <c r="AL1341" s="73"/>
      <c r="AM1341" s="73"/>
      <c r="AN1341" s="73"/>
    </row>
    <row r="1342" spans="37:40" x14ac:dyDescent="0.25">
      <c r="AK1342" s="73"/>
      <c r="AL1342" s="73"/>
      <c r="AM1342" s="73"/>
      <c r="AN1342" s="73"/>
    </row>
    <row r="1343" spans="37:40" x14ac:dyDescent="0.25">
      <c r="AK1343" s="73"/>
      <c r="AL1343" s="73"/>
      <c r="AM1343" s="73"/>
      <c r="AN1343" s="73"/>
    </row>
    <row r="1344" spans="37:40" x14ac:dyDescent="0.25">
      <c r="AK1344" s="73"/>
      <c r="AL1344" s="73"/>
      <c r="AM1344" s="73"/>
      <c r="AN1344" s="73"/>
    </row>
    <row r="1345" spans="37:40" x14ac:dyDescent="0.25">
      <c r="AK1345" s="73"/>
      <c r="AL1345" s="73"/>
      <c r="AM1345" s="73"/>
      <c r="AN1345" s="73"/>
    </row>
    <row r="1346" spans="37:40" x14ac:dyDescent="0.25">
      <c r="AK1346" s="73"/>
      <c r="AL1346" s="73"/>
      <c r="AM1346" s="73"/>
      <c r="AN1346" s="73"/>
    </row>
    <row r="1347" spans="37:40" x14ac:dyDescent="0.25">
      <c r="AK1347" s="73"/>
      <c r="AL1347" s="73"/>
      <c r="AM1347" s="73"/>
      <c r="AN1347" s="73"/>
    </row>
    <row r="1348" spans="37:40" x14ac:dyDescent="0.25">
      <c r="AK1348" s="73"/>
      <c r="AL1348" s="73"/>
      <c r="AM1348" s="73"/>
      <c r="AN1348" s="73"/>
    </row>
    <row r="1349" spans="37:40" x14ac:dyDescent="0.25">
      <c r="AK1349" s="73"/>
      <c r="AL1349" s="73"/>
      <c r="AM1349" s="73"/>
      <c r="AN1349" s="73"/>
    </row>
    <row r="1350" spans="37:40" x14ac:dyDescent="0.25">
      <c r="AK1350" s="73"/>
      <c r="AL1350" s="73"/>
      <c r="AM1350" s="73"/>
      <c r="AN1350" s="73"/>
    </row>
    <row r="1351" spans="37:40" x14ac:dyDescent="0.25">
      <c r="AK1351" s="73"/>
      <c r="AL1351" s="73"/>
      <c r="AM1351" s="73"/>
      <c r="AN1351" s="73"/>
    </row>
    <row r="1352" spans="37:40" x14ac:dyDescent="0.25">
      <c r="AK1352" s="73"/>
      <c r="AL1352" s="73"/>
      <c r="AM1352" s="73"/>
      <c r="AN1352" s="73"/>
    </row>
    <row r="1353" spans="37:40" x14ac:dyDescent="0.25">
      <c r="AK1353" s="73"/>
      <c r="AL1353" s="73"/>
      <c r="AM1353" s="73"/>
      <c r="AN1353" s="73"/>
    </row>
    <row r="1354" spans="37:40" x14ac:dyDescent="0.25">
      <c r="AK1354" s="73"/>
      <c r="AL1354" s="73"/>
      <c r="AM1354" s="73"/>
      <c r="AN1354" s="73"/>
    </row>
    <row r="1355" spans="37:40" x14ac:dyDescent="0.25">
      <c r="AK1355" s="73"/>
      <c r="AL1355" s="73"/>
      <c r="AM1355" s="73"/>
      <c r="AN1355" s="73"/>
    </row>
    <row r="1356" spans="37:40" x14ac:dyDescent="0.25">
      <c r="AK1356" s="73"/>
      <c r="AL1356" s="73"/>
      <c r="AM1356" s="73"/>
      <c r="AN1356" s="73"/>
    </row>
    <row r="1357" spans="37:40" x14ac:dyDescent="0.25">
      <c r="AK1357" s="73"/>
      <c r="AL1357" s="73"/>
      <c r="AM1357" s="73"/>
      <c r="AN1357" s="73"/>
    </row>
    <row r="1358" spans="37:40" x14ac:dyDescent="0.25">
      <c r="AK1358" s="73"/>
      <c r="AL1358" s="73"/>
      <c r="AM1358" s="73"/>
      <c r="AN1358" s="73"/>
    </row>
    <row r="1359" spans="37:40" x14ac:dyDescent="0.25">
      <c r="AK1359" s="73"/>
      <c r="AL1359" s="73"/>
      <c r="AM1359" s="73"/>
      <c r="AN1359" s="73"/>
    </row>
    <row r="1360" spans="37:40" x14ac:dyDescent="0.25">
      <c r="AK1360" s="73"/>
      <c r="AL1360" s="73"/>
      <c r="AM1360" s="73"/>
      <c r="AN1360" s="73"/>
    </row>
    <row r="1361" spans="37:40" x14ac:dyDescent="0.25">
      <c r="AK1361" s="73"/>
      <c r="AL1361" s="73"/>
      <c r="AM1361" s="73"/>
      <c r="AN1361" s="73"/>
    </row>
    <row r="1362" spans="37:40" x14ac:dyDescent="0.25">
      <c r="AK1362" s="73"/>
      <c r="AL1362" s="73"/>
      <c r="AM1362" s="73"/>
      <c r="AN1362" s="73"/>
    </row>
    <row r="1363" spans="37:40" x14ac:dyDescent="0.25">
      <c r="AK1363" s="73"/>
      <c r="AL1363" s="73"/>
      <c r="AM1363" s="73"/>
      <c r="AN1363" s="73"/>
    </row>
    <row r="1364" spans="37:40" x14ac:dyDescent="0.25">
      <c r="AK1364" s="73"/>
      <c r="AL1364" s="73"/>
      <c r="AM1364" s="73"/>
      <c r="AN1364" s="73"/>
    </row>
    <row r="1365" spans="37:40" x14ac:dyDescent="0.25">
      <c r="AK1365" s="73"/>
      <c r="AL1365" s="73"/>
      <c r="AM1365" s="73"/>
      <c r="AN1365" s="73"/>
    </row>
    <row r="1366" spans="37:40" x14ac:dyDescent="0.25">
      <c r="AK1366" s="73"/>
      <c r="AL1366" s="73"/>
      <c r="AM1366" s="73"/>
      <c r="AN1366" s="73"/>
    </row>
    <row r="1367" spans="37:40" x14ac:dyDescent="0.25">
      <c r="AK1367" s="73"/>
      <c r="AL1367" s="73"/>
      <c r="AM1367" s="73"/>
      <c r="AN1367" s="73"/>
    </row>
    <row r="1368" spans="37:40" x14ac:dyDescent="0.25">
      <c r="AK1368" s="73"/>
      <c r="AL1368" s="73"/>
      <c r="AM1368" s="73"/>
      <c r="AN1368" s="73"/>
    </row>
    <row r="1369" spans="37:40" x14ac:dyDescent="0.25">
      <c r="AK1369" s="73"/>
      <c r="AL1369" s="73"/>
      <c r="AM1369" s="73"/>
      <c r="AN1369" s="73"/>
    </row>
    <row r="1370" spans="37:40" x14ac:dyDescent="0.25">
      <c r="AK1370" s="73"/>
      <c r="AL1370" s="73"/>
      <c r="AM1370" s="73"/>
      <c r="AN1370" s="73"/>
    </row>
    <row r="1371" spans="37:40" x14ac:dyDescent="0.25">
      <c r="AK1371" s="73"/>
      <c r="AL1371" s="73"/>
      <c r="AM1371" s="73"/>
      <c r="AN1371" s="73"/>
    </row>
    <row r="1372" spans="37:40" x14ac:dyDescent="0.25">
      <c r="AK1372" s="73"/>
      <c r="AL1372" s="73"/>
      <c r="AM1372" s="73"/>
      <c r="AN1372" s="73"/>
    </row>
    <row r="1373" spans="37:40" x14ac:dyDescent="0.25">
      <c r="AK1373" s="73"/>
      <c r="AL1373" s="73"/>
      <c r="AM1373" s="73"/>
      <c r="AN1373" s="73"/>
    </row>
    <row r="1374" spans="37:40" x14ac:dyDescent="0.25">
      <c r="AK1374" s="73"/>
      <c r="AL1374" s="73"/>
      <c r="AM1374" s="73"/>
      <c r="AN1374" s="73"/>
    </row>
    <row r="1375" spans="37:40" x14ac:dyDescent="0.25">
      <c r="AK1375" s="73"/>
      <c r="AL1375" s="73"/>
      <c r="AM1375" s="73"/>
      <c r="AN1375" s="73"/>
    </row>
    <row r="1376" spans="37:40" x14ac:dyDescent="0.25">
      <c r="AK1376" s="73"/>
      <c r="AL1376" s="73"/>
      <c r="AM1376" s="73"/>
      <c r="AN1376" s="73"/>
    </row>
    <row r="1377" spans="37:40" x14ac:dyDescent="0.25">
      <c r="AK1377" s="73"/>
      <c r="AL1377" s="73"/>
      <c r="AM1377" s="73"/>
      <c r="AN1377" s="73"/>
    </row>
    <row r="1378" spans="37:40" x14ac:dyDescent="0.25">
      <c r="AK1378" s="73"/>
      <c r="AL1378" s="73"/>
      <c r="AM1378" s="73"/>
      <c r="AN1378" s="73"/>
    </row>
    <row r="1379" spans="37:40" x14ac:dyDescent="0.25">
      <c r="AK1379" s="73"/>
      <c r="AL1379" s="73"/>
      <c r="AM1379" s="73"/>
      <c r="AN1379" s="73"/>
    </row>
    <row r="1380" spans="37:40" x14ac:dyDescent="0.25">
      <c r="AK1380" s="73"/>
      <c r="AL1380" s="73"/>
      <c r="AM1380" s="73"/>
      <c r="AN1380" s="73"/>
    </row>
    <row r="1381" spans="37:40" x14ac:dyDescent="0.25">
      <c r="AK1381" s="73"/>
      <c r="AL1381" s="73"/>
      <c r="AM1381" s="73"/>
      <c r="AN1381" s="73"/>
    </row>
    <row r="1382" spans="37:40" x14ac:dyDescent="0.25">
      <c r="AK1382" s="73"/>
      <c r="AL1382" s="73"/>
      <c r="AM1382" s="73"/>
      <c r="AN1382" s="73"/>
    </row>
    <row r="1383" spans="37:40" x14ac:dyDescent="0.25">
      <c r="AK1383" s="73"/>
      <c r="AL1383" s="73"/>
      <c r="AM1383" s="73"/>
      <c r="AN1383" s="73"/>
    </row>
    <row r="1384" spans="37:40" x14ac:dyDescent="0.25">
      <c r="AK1384" s="73"/>
      <c r="AL1384" s="73"/>
      <c r="AM1384" s="73"/>
      <c r="AN1384" s="73"/>
    </row>
    <row r="1385" spans="37:40" x14ac:dyDescent="0.25">
      <c r="AK1385" s="73"/>
      <c r="AL1385" s="73"/>
      <c r="AM1385" s="73"/>
      <c r="AN1385" s="73"/>
    </row>
    <row r="1386" spans="37:40" x14ac:dyDescent="0.25">
      <c r="AK1386" s="73"/>
      <c r="AL1386" s="73"/>
      <c r="AM1386" s="73"/>
      <c r="AN1386" s="73"/>
    </row>
    <row r="1387" spans="37:40" x14ac:dyDescent="0.25">
      <c r="AK1387" s="73"/>
      <c r="AL1387" s="73"/>
      <c r="AM1387" s="73"/>
      <c r="AN1387" s="73"/>
    </row>
    <row r="1388" spans="37:40" x14ac:dyDescent="0.25">
      <c r="AK1388" s="73"/>
      <c r="AL1388" s="73"/>
      <c r="AM1388" s="73"/>
      <c r="AN1388" s="73"/>
    </row>
    <row r="1389" spans="37:40" x14ac:dyDescent="0.25">
      <c r="AK1389" s="73"/>
      <c r="AL1389" s="73"/>
      <c r="AM1389" s="73"/>
      <c r="AN1389" s="73"/>
    </row>
    <row r="1390" spans="37:40" x14ac:dyDescent="0.25">
      <c r="AK1390" s="73"/>
      <c r="AL1390" s="73"/>
      <c r="AM1390" s="73"/>
      <c r="AN1390" s="73"/>
    </row>
    <row r="1391" spans="37:40" x14ac:dyDescent="0.25">
      <c r="AK1391" s="73"/>
      <c r="AL1391" s="73"/>
      <c r="AM1391" s="73"/>
      <c r="AN1391" s="73"/>
    </row>
    <row r="1392" spans="37:40" x14ac:dyDescent="0.25">
      <c r="AK1392" s="73"/>
      <c r="AL1392" s="73"/>
      <c r="AM1392" s="73"/>
      <c r="AN1392" s="73"/>
    </row>
    <row r="1393" spans="37:40" x14ac:dyDescent="0.25">
      <c r="AK1393" s="73"/>
      <c r="AL1393" s="73"/>
      <c r="AM1393" s="73"/>
      <c r="AN1393" s="73"/>
    </row>
    <row r="1394" spans="37:40" x14ac:dyDescent="0.25">
      <c r="AK1394" s="73"/>
      <c r="AL1394" s="73"/>
      <c r="AM1394" s="73"/>
      <c r="AN1394" s="73"/>
    </row>
    <row r="1395" spans="37:40" x14ac:dyDescent="0.25">
      <c r="AK1395" s="73"/>
      <c r="AL1395" s="73"/>
      <c r="AM1395" s="73"/>
      <c r="AN1395" s="73"/>
    </row>
    <row r="1396" spans="37:40" x14ac:dyDescent="0.25">
      <c r="AK1396" s="73"/>
      <c r="AL1396" s="73"/>
      <c r="AM1396" s="73"/>
      <c r="AN1396" s="73"/>
    </row>
    <row r="1397" spans="37:40" x14ac:dyDescent="0.25">
      <c r="AK1397" s="73"/>
      <c r="AL1397" s="73"/>
      <c r="AM1397" s="73"/>
      <c r="AN1397" s="73"/>
    </row>
    <row r="1398" spans="37:40" x14ac:dyDescent="0.25">
      <c r="AK1398" s="73"/>
      <c r="AL1398" s="73"/>
      <c r="AM1398" s="73"/>
      <c r="AN1398" s="73"/>
    </row>
    <row r="1399" spans="37:40" x14ac:dyDescent="0.25">
      <c r="AK1399" s="73"/>
      <c r="AL1399" s="73"/>
      <c r="AM1399" s="73"/>
      <c r="AN1399" s="73"/>
    </row>
    <row r="1400" spans="37:40" x14ac:dyDescent="0.25">
      <c r="AK1400" s="73"/>
      <c r="AL1400" s="73"/>
      <c r="AM1400" s="73"/>
      <c r="AN1400" s="73"/>
    </row>
    <row r="1401" spans="37:40" x14ac:dyDescent="0.25">
      <c r="AK1401" s="73"/>
      <c r="AL1401" s="73"/>
      <c r="AM1401" s="73"/>
      <c r="AN1401" s="73"/>
    </row>
    <row r="1402" spans="37:40" x14ac:dyDescent="0.25">
      <c r="AK1402" s="73"/>
      <c r="AL1402" s="73"/>
      <c r="AM1402" s="73"/>
      <c r="AN1402" s="73"/>
    </row>
    <row r="1403" spans="37:40" x14ac:dyDescent="0.25">
      <c r="AK1403" s="73"/>
      <c r="AL1403" s="73"/>
      <c r="AM1403" s="73"/>
      <c r="AN1403" s="73"/>
    </row>
    <row r="1404" spans="37:40" x14ac:dyDescent="0.25">
      <c r="AK1404" s="73"/>
      <c r="AL1404" s="73"/>
      <c r="AM1404" s="73"/>
      <c r="AN1404" s="73"/>
    </row>
    <row r="1405" spans="37:40" x14ac:dyDescent="0.25">
      <c r="AK1405" s="73"/>
      <c r="AL1405" s="73"/>
      <c r="AM1405" s="73"/>
      <c r="AN1405" s="73"/>
    </row>
    <row r="1406" spans="37:40" x14ac:dyDescent="0.25">
      <c r="AK1406" s="73"/>
      <c r="AL1406" s="73"/>
      <c r="AM1406" s="73"/>
      <c r="AN1406" s="73"/>
    </row>
    <row r="1407" spans="37:40" x14ac:dyDescent="0.25">
      <c r="AK1407" s="73"/>
      <c r="AL1407" s="73"/>
      <c r="AM1407" s="73"/>
      <c r="AN1407" s="73"/>
    </row>
    <row r="1408" spans="37:40" x14ac:dyDescent="0.25">
      <c r="AK1408" s="73"/>
      <c r="AL1408" s="73"/>
      <c r="AM1408" s="73"/>
      <c r="AN1408" s="73"/>
    </row>
    <row r="1409" spans="37:40" x14ac:dyDescent="0.25">
      <c r="AK1409" s="73"/>
      <c r="AL1409" s="73"/>
      <c r="AM1409" s="73"/>
      <c r="AN1409" s="73"/>
    </row>
    <row r="1410" spans="37:40" x14ac:dyDescent="0.25">
      <c r="AK1410" s="73"/>
      <c r="AL1410" s="73"/>
      <c r="AM1410" s="73"/>
      <c r="AN1410" s="73"/>
    </row>
    <row r="1411" spans="37:40" x14ac:dyDescent="0.25">
      <c r="AK1411" s="73"/>
      <c r="AL1411" s="73"/>
      <c r="AM1411" s="73"/>
      <c r="AN1411" s="73"/>
    </row>
    <row r="1412" spans="37:40" x14ac:dyDescent="0.25">
      <c r="AK1412" s="73"/>
      <c r="AL1412" s="73"/>
      <c r="AM1412" s="73"/>
      <c r="AN1412" s="73"/>
    </row>
    <row r="1413" spans="37:40" x14ac:dyDescent="0.25">
      <c r="AK1413" s="73"/>
      <c r="AL1413" s="73"/>
      <c r="AM1413" s="73"/>
      <c r="AN1413" s="73"/>
    </row>
    <row r="1414" spans="37:40" x14ac:dyDescent="0.25">
      <c r="AK1414" s="73"/>
      <c r="AL1414" s="73"/>
      <c r="AM1414" s="73"/>
      <c r="AN1414" s="73"/>
    </row>
    <row r="1415" spans="37:40" x14ac:dyDescent="0.25">
      <c r="AK1415" s="73"/>
      <c r="AL1415" s="73"/>
      <c r="AM1415" s="73"/>
      <c r="AN1415" s="73"/>
    </row>
    <row r="1416" spans="37:40" x14ac:dyDescent="0.25">
      <c r="AK1416" s="73"/>
      <c r="AL1416" s="73"/>
      <c r="AM1416" s="73"/>
      <c r="AN1416" s="73"/>
    </row>
    <row r="1417" spans="37:40" x14ac:dyDescent="0.25">
      <c r="AK1417" s="73"/>
      <c r="AL1417" s="73"/>
      <c r="AM1417" s="73"/>
      <c r="AN1417" s="73"/>
    </row>
    <row r="1418" spans="37:40" x14ac:dyDescent="0.25">
      <c r="AK1418" s="73"/>
      <c r="AL1418" s="73"/>
      <c r="AM1418" s="73"/>
      <c r="AN1418" s="73"/>
    </row>
    <row r="1419" spans="37:40" x14ac:dyDescent="0.25">
      <c r="AK1419" s="73"/>
      <c r="AL1419" s="73"/>
      <c r="AM1419" s="73"/>
      <c r="AN1419" s="73"/>
    </row>
    <row r="1420" spans="37:40" x14ac:dyDescent="0.25">
      <c r="AK1420" s="73"/>
      <c r="AL1420" s="73"/>
      <c r="AM1420" s="73"/>
      <c r="AN1420" s="73"/>
    </row>
    <row r="1421" spans="37:40" x14ac:dyDescent="0.25">
      <c r="AK1421" s="73"/>
      <c r="AL1421" s="73"/>
      <c r="AM1421" s="73"/>
      <c r="AN1421" s="73"/>
    </row>
    <row r="1422" spans="37:40" x14ac:dyDescent="0.25">
      <c r="AK1422" s="73"/>
      <c r="AL1422" s="73"/>
      <c r="AM1422" s="73"/>
      <c r="AN1422" s="73"/>
    </row>
    <row r="1423" spans="37:40" x14ac:dyDescent="0.25">
      <c r="AK1423" s="73"/>
      <c r="AL1423" s="73"/>
      <c r="AM1423" s="73"/>
      <c r="AN1423" s="73"/>
    </row>
    <row r="1424" spans="37:40" x14ac:dyDescent="0.25">
      <c r="AK1424" s="73"/>
      <c r="AL1424" s="73"/>
      <c r="AM1424" s="73"/>
      <c r="AN1424" s="73"/>
    </row>
    <row r="1425" spans="37:40" x14ac:dyDescent="0.25">
      <c r="AK1425" s="73"/>
      <c r="AL1425" s="73"/>
      <c r="AM1425" s="73"/>
      <c r="AN1425" s="73"/>
    </row>
    <row r="1426" spans="37:40" x14ac:dyDescent="0.25">
      <c r="AK1426" s="73"/>
      <c r="AL1426" s="73"/>
      <c r="AM1426" s="73"/>
      <c r="AN1426" s="73"/>
    </row>
    <row r="1427" spans="37:40" x14ac:dyDescent="0.25">
      <c r="AK1427" s="73"/>
      <c r="AL1427" s="73"/>
      <c r="AM1427" s="73"/>
      <c r="AN1427" s="73"/>
    </row>
    <row r="1428" spans="37:40" x14ac:dyDescent="0.25">
      <c r="AK1428" s="73"/>
      <c r="AL1428" s="73"/>
      <c r="AM1428" s="73"/>
      <c r="AN1428" s="73"/>
    </row>
    <row r="1429" spans="37:40" x14ac:dyDescent="0.25">
      <c r="AK1429" s="73"/>
      <c r="AL1429" s="73"/>
      <c r="AM1429" s="73"/>
      <c r="AN1429" s="73"/>
    </row>
    <row r="1430" spans="37:40" x14ac:dyDescent="0.25">
      <c r="AK1430" s="73"/>
      <c r="AL1430" s="73"/>
      <c r="AM1430" s="73"/>
      <c r="AN1430" s="73"/>
    </row>
    <row r="1431" spans="37:40" x14ac:dyDescent="0.25">
      <c r="AK1431" s="73"/>
      <c r="AL1431" s="73"/>
      <c r="AM1431" s="73"/>
      <c r="AN1431" s="73"/>
    </row>
    <row r="1432" spans="37:40" x14ac:dyDescent="0.25">
      <c r="AK1432" s="73"/>
      <c r="AL1432" s="73"/>
      <c r="AM1432" s="73"/>
      <c r="AN1432" s="73"/>
    </row>
    <row r="1433" spans="37:40" x14ac:dyDescent="0.25">
      <c r="AK1433" s="73"/>
      <c r="AL1433" s="73"/>
      <c r="AM1433" s="73"/>
      <c r="AN1433" s="73"/>
    </row>
    <row r="1434" spans="37:40" x14ac:dyDescent="0.25">
      <c r="AK1434" s="73"/>
      <c r="AL1434" s="73"/>
      <c r="AM1434" s="73"/>
      <c r="AN1434" s="73"/>
    </row>
    <row r="1435" spans="37:40" x14ac:dyDescent="0.25">
      <c r="AK1435" s="73"/>
      <c r="AL1435" s="73"/>
      <c r="AM1435" s="73"/>
      <c r="AN1435" s="73"/>
    </row>
    <row r="1436" spans="37:40" x14ac:dyDescent="0.25">
      <c r="AK1436" s="73"/>
      <c r="AL1436" s="73"/>
      <c r="AM1436" s="73"/>
      <c r="AN1436" s="73"/>
    </row>
    <row r="1437" spans="37:40" x14ac:dyDescent="0.25">
      <c r="AK1437" s="73"/>
      <c r="AL1437" s="73"/>
      <c r="AM1437" s="73"/>
      <c r="AN1437" s="73"/>
    </row>
    <row r="1438" spans="37:40" x14ac:dyDescent="0.25">
      <c r="AK1438" s="73"/>
      <c r="AL1438" s="73"/>
      <c r="AM1438" s="73"/>
      <c r="AN1438" s="73"/>
    </row>
    <row r="1439" spans="37:40" x14ac:dyDescent="0.25">
      <c r="AK1439" s="73"/>
      <c r="AL1439" s="73"/>
      <c r="AM1439" s="73"/>
      <c r="AN1439" s="73"/>
    </row>
    <row r="1440" spans="37:40" x14ac:dyDescent="0.25">
      <c r="AK1440" s="73"/>
      <c r="AL1440" s="73"/>
      <c r="AM1440" s="73"/>
      <c r="AN1440" s="73"/>
    </row>
    <row r="1441" spans="37:40" x14ac:dyDescent="0.25">
      <c r="AK1441" s="73"/>
      <c r="AL1441" s="73"/>
      <c r="AM1441" s="73"/>
      <c r="AN1441" s="73"/>
    </row>
    <row r="1442" spans="37:40" x14ac:dyDescent="0.25">
      <c r="AK1442" s="73"/>
      <c r="AL1442" s="73"/>
      <c r="AM1442" s="73"/>
      <c r="AN1442" s="73"/>
    </row>
    <row r="1443" spans="37:40" x14ac:dyDescent="0.25">
      <c r="AK1443" s="73"/>
      <c r="AL1443" s="73"/>
      <c r="AM1443" s="73"/>
      <c r="AN1443" s="73"/>
    </row>
    <row r="1444" spans="37:40" x14ac:dyDescent="0.25">
      <c r="AK1444" s="73"/>
      <c r="AL1444" s="73"/>
      <c r="AM1444" s="73"/>
      <c r="AN1444" s="73"/>
    </row>
    <row r="1445" spans="37:40" x14ac:dyDescent="0.25">
      <c r="AK1445" s="73"/>
      <c r="AL1445" s="73"/>
      <c r="AM1445" s="73"/>
      <c r="AN1445" s="73"/>
    </row>
    <row r="1446" spans="37:40" x14ac:dyDescent="0.25">
      <c r="AK1446" s="73"/>
      <c r="AL1446" s="73"/>
      <c r="AM1446" s="73"/>
      <c r="AN1446" s="73"/>
    </row>
    <row r="1447" spans="37:40" x14ac:dyDescent="0.25">
      <c r="AK1447" s="73"/>
      <c r="AL1447" s="73"/>
      <c r="AM1447" s="73"/>
      <c r="AN1447" s="73"/>
    </row>
    <row r="1448" spans="37:40" x14ac:dyDescent="0.25">
      <c r="AK1448" s="73"/>
      <c r="AL1448" s="73"/>
      <c r="AM1448" s="73"/>
      <c r="AN1448" s="73"/>
    </row>
    <row r="1449" spans="37:40" x14ac:dyDescent="0.25">
      <c r="AK1449" s="73"/>
      <c r="AL1449" s="73"/>
      <c r="AM1449" s="73"/>
      <c r="AN1449" s="73"/>
    </row>
    <row r="1450" spans="37:40" x14ac:dyDescent="0.25">
      <c r="AK1450" s="73"/>
      <c r="AL1450" s="73"/>
      <c r="AM1450" s="73"/>
      <c r="AN1450" s="73"/>
    </row>
    <row r="1451" spans="37:40" x14ac:dyDescent="0.25">
      <c r="AK1451" s="73"/>
      <c r="AL1451" s="73"/>
      <c r="AM1451" s="73"/>
      <c r="AN1451" s="73"/>
    </row>
    <row r="1452" spans="37:40" x14ac:dyDescent="0.25">
      <c r="AK1452" s="73"/>
      <c r="AL1452" s="73"/>
      <c r="AM1452" s="73"/>
      <c r="AN1452" s="73"/>
    </row>
    <row r="1453" spans="37:40" x14ac:dyDescent="0.25">
      <c r="AK1453" s="73"/>
      <c r="AL1453" s="73"/>
      <c r="AM1453" s="73"/>
      <c r="AN1453" s="73"/>
    </row>
    <row r="1454" spans="37:40" x14ac:dyDescent="0.25">
      <c r="AK1454" s="73"/>
      <c r="AL1454" s="73"/>
      <c r="AM1454" s="73"/>
      <c r="AN1454" s="73"/>
    </row>
    <row r="1455" spans="37:40" x14ac:dyDescent="0.25">
      <c r="AK1455" s="73"/>
      <c r="AL1455" s="73"/>
      <c r="AM1455" s="73"/>
      <c r="AN1455" s="73"/>
    </row>
    <row r="1456" spans="37:40" x14ac:dyDescent="0.25">
      <c r="AK1456" s="73"/>
      <c r="AL1456" s="73"/>
      <c r="AM1456" s="73"/>
      <c r="AN1456" s="73"/>
    </row>
    <row r="1457" spans="37:40" x14ac:dyDescent="0.25">
      <c r="AK1457" s="73"/>
      <c r="AL1457" s="73"/>
      <c r="AM1457" s="73"/>
      <c r="AN1457" s="73"/>
    </row>
    <row r="1458" spans="37:40" x14ac:dyDescent="0.25">
      <c r="AK1458" s="73"/>
      <c r="AL1458" s="73"/>
      <c r="AM1458" s="73"/>
      <c r="AN1458" s="73"/>
    </row>
    <row r="1459" spans="37:40" x14ac:dyDescent="0.25">
      <c r="AK1459" s="73"/>
      <c r="AL1459" s="73"/>
      <c r="AM1459" s="73"/>
      <c r="AN1459" s="73"/>
    </row>
    <row r="1460" spans="37:40" x14ac:dyDescent="0.25">
      <c r="AK1460" s="73"/>
      <c r="AL1460" s="73"/>
      <c r="AM1460" s="73"/>
      <c r="AN1460" s="73"/>
    </row>
    <row r="1461" spans="37:40" x14ac:dyDescent="0.25">
      <c r="AK1461" s="73"/>
      <c r="AL1461" s="73"/>
      <c r="AM1461" s="73"/>
      <c r="AN1461" s="73"/>
    </row>
    <row r="1462" spans="37:40" x14ac:dyDescent="0.25">
      <c r="AK1462" s="73"/>
      <c r="AL1462" s="73"/>
      <c r="AM1462" s="73"/>
      <c r="AN1462" s="73"/>
    </row>
    <row r="1463" spans="37:40" x14ac:dyDescent="0.25">
      <c r="AK1463" s="73"/>
      <c r="AL1463" s="73"/>
      <c r="AM1463" s="73"/>
      <c r="AN1463" s="73"/>
    </row>
    <row r="1464" spans="37:40" x14ac:dyDescent="0.25">
      <c r="AK1464" s="73"/>
      <c r="AL1464" s="73"/>
      <c r="AM1464" s="73"/>
      <c r="AN1464" s="73"/>
    </row>
    <row r="1465" spans="37:40" x14ac:dyDescent="0.25">
      <c r="AK1465" s="73"/>
      <c r="AL1465" s="73"/>
      <c r="AM1465" s="73"/>
      <c r="AN1465" s="73"/>
    </row>
    <row r="1466" spans="37:40" x14ac:dyDescent="0.25">
      <c r="AK1466" s="73"/>
      <c r="AL1466" s="73"/>
      <c r="AM1466" s="73"/>
      <c r="AN1466" s="73"/>
    </row>
    <row r="1467" spans="37:40" x14ac:dyDescent="0.25">
      <c r="AK1467" s="73"/>
      <c r="AL1467" s="73"/>
      <c r="AM1467" s="73"/>
      <c r="AN1467" s="73"/>
    </row>
    <row r="1468" spans="37:40" x14ac:dyDescent="0.25">
      <c r="AK1468" s="73"/>
      <c r="AL1468" s="73"/>
      <c r="AM1468" s="73"/>
      <c r="AN1468" s="73"/>
    </row>
    <row r="1469" spans="37:40" x14ac:dyDescent="0.25">
      <c r="AK1469" s="73"/>
      <c r="AL1469" s="73"/>
      <c r="AM1469" s="73"/>
      <c r="AN1469" s="73"/>
    </row>
    <row r="1470" spans="37:40" x14ac:dyDescent="0.25">
      <c r="AK1470" s="73"/>
      <c r="AL1470" s="73"/>
      <c r="AM1470" s="73"/>
      <c r="AN1470" s="73"/>
    </row>
    <row r="1471" spans="37:40" x14ac:dyDescent="0.25">
      <c r="AK1471" s="73"/>
      <c r="AL1471" s="73"/>
      <c r="AM1471" s="73"/>
      <c r="AN1471" s="73"/>
    </row>
    <row r="1472" spans="37:40" x14ac:dyDescent="0.25">
      <c r="AK1472" s="73"/>
      <c r="AL1472" s="73"/>
      <c r="AM1472" s="73"/>
      <c r="AN1472" s="73"/>
    </row>
    <row r="1473" spans="37:40" x14ac:dyDescent="0.25">
      <c r="AK1473" s="73"/>
      <c r="AL1473" s="73"/>
      <c r="AM1473" s="73"/>
      <c r="AN1473" s="73"/>
    </row>
    <row r="1474" spans="37:40" x14ac:dyDescent="0.25">
      <c r="AK1474" s="73"/>
      <c r="AL1474" s="73"/>
      <c r="AM1474" s="73"/>
      <c r="AN1474" s="73"/>
    </row>
    <row r="1475" spans="37:40" x14ac:dyDescent="0.25">
      <c r="AK1475" s="73"/>
      <c r="AL1475" s="73"/>
      <c r="AM1475" s="73"/>
      <c r="AN1475" s="73"/>
    </row>
    <row r="1476" spans="37:40" x14ac:dyDescent="0.25">
      <c r="AK1476" s="73"/>
      <c r="AL1476" s="73"/>
      <c r="AM1476" s="73"/>
      <c r="AN1476" s="73"/>
    </row>
    <row r="1477" spans="37:40" x14ac:dyDescent="0.25">
      <c r="AK1477" s="73"/>
      <c r="AL1477" s="73"/>
      <c r="AM1477" s="73"/>
      <c r="AN1477" s="73"/>
    </row>
    <row r="1478" spans="37:40" x14ac:dyDescent="0.25">
      <c r="AK1478" s="73"/>
      <c r="AL1478" s="73"/>
      <c r="AM1478" s="73"/>
      <c r="AN1478" s="73"/>
    </row>
    <row r="1479" spans="37:40" x14ac:dyDescent="0.25">
      <c r="AK1479" s="73"/>
      <c r="AL1479" s="73"/>
      <c r="AM1479" s="73"/>
      <c r="AN1479" s="73"/>
    </row>
    <row r="1480" spans="37:40" x14ac:dyDescent="0.25">
      <c r="AK1480" s="73"/>
      <c r="AL1480" s="73"/>
      <c r="AM1480" s="73"/>
      <c r="AN1480" s="73"/>
    </row>
    <row r="1481" spans="37:40" x14ac:dyDescent="0.25">
      <c r="AK1481" s="73"/>
      <c r="AL1481" s="73"/>
      <c r="AM1481" s="73"/>
      <c r="AN1481" s="73"/>
    </row>
    <row r="1482" spans="37:40" x14ac:dyDescent="0.25">
      <c r="AK1482" s="73"/>
      <c r="AL1482" s="73"/>
      <c r="AM1482" s="73"/>
      <c r="AN1482" s="73"/>
    </row>
    <row r="1483" spans="37:40" x14ac:dyDescent="0.25">
      <c r="AK1483" s="73"/>
      <c r="AL1483" s="73"/>
      <c r="AM1483" s="73"/>
      <c r="AN1483" s="73"/>
    </row>
    <row r="1484" spans="37:40" x14ac:dyDescent="0.25">
      <c r="AK1484" s="73"/>
      <c r="AL1484" s="73"/>
      <c r="AM1484" s="73"/>
      <c r="AN1484" s="73"/>
    </row>
    <row r="1485" spans="37:40" x14ac:dyDescent="0.25">
      <c r="AK1485" s="73"/>
      <c r="AL1485" s="73"/>
      <c r="AM1485" s="73"/>
      <c r="AN1485" s="73"/>
    </row>
    <row r="1486" spans="37:40" x14ac:dyDescent="0.25">
      <c r="AK1486" s="73"/>
      <c r="AL1486" s="73"/>
      <c r="AM1486" s="73"/>
      <c r="AN1486" s="73"/>
    </row>
    <row r="1487" spans="37:40" x14ac:dyDescent="0.25">
      <c r="AK1487" s="73"/>
      <c r="AL1487" s="73"/>
      <c r="AM1487" s="73"/>
      <c r="AN1487" s="73"/>
    </row>
    <row r="1488" spans="37:40" x14ac:dyDescent="0.25">
      <c r="AK1488" s="73"/>
      <c r="AL1488" s="73"/>
      <c r="AM1488" s="73"/>
      <c r="AN1488" s="73"/>
    </row>
    <row r="1489" spans="37:40" x14ac:dyDescent="0.25">
      <c r="AK1489" s="73"/>
      <c r="AL1489" s="73"/>
      <c r="AM1489" s="73"/>
      <c r="AN1489" s="73"/>
    </row>
    <row r="1490" spans="37:40" x14ac:dyDescent="0.25">
      <c r="AK1490" s="73"/>
      <c r="AL1490" s="73"/>
      <c r="AM1490" s="73"/>
      <c r="AN1490" s="73"/>
    </row>
    <row r="1491" spans="37:40" x14ac:dyDescent="0.25">
      <c r="AK1491" s="73"/>
      <c r="AL1491" s="73"/>
      <c r="AM1491" s="73"/>
      <c r="AN1491" s="73"/>
    </row>
    <row r="1492" spans="37:40" x14ac:dyDescent="0.25">
      <c r="AK1492" s="73"/>
      <c r="AL1492" s="73"/>
      <c r="AM1492" s="73"/>
      <c r="AN1492" s="73"/>
    </row>
    <row r="1493" spans="37:40" x14ac:dyDescent="0.25">
      <c r="AK1493" s="73"/>
      <c r="AL1493" s="73"/>
      <c r="AM1493" s="73"/>
      <c r="AN1493" s="73"/>
    </row>
    <row r="1494" spans="37:40" x14ac:dyDescent="0.25">
      <c r="AK1494" s="73"/>
      <c r="AL1494" s="73"/>
      <c r="AM1494" s="73"/>
      <c r="AN1494" s="73"/>
    </row>
    <row r="1495" spans="37:40" x14ac:dyDescent="0.25">
      <c r="AK1495" s="73"/>
      <c r="AL1495" s="73"/>
      <c r="AM1495" s="73"/>
      <c r="AN1495" s="73"/>
    </row>
    <row r="1496" spans="37:40" x14ac:dyDescent="0.25">
      <c r="AK1496" s="73"/>
      <c r="AL1496" s="73"/>
      <c r="AM1496" s="73"/>
      <c r="AN1496" s="73"/>
    </row>
    <row r="1497" spans="37:40" x14ac:dyDescent="0.25">
      <c r="AK1497" s="73"/>
      <c r="AL1497" s="73"/>
      <c r="AM1497" s="73"/>
      <c r="AN1497" s="73"/>
    </row>
    <row r="1498" spans="37:40" x14ac:dyDescent="0.25">
      <c r="AK1498" s="73"/>
      <c r="AL1498" s="73"/>
      <c r="AM1498" s="73"/>
      <c r="AN1498" s="73"/>
    </row>
    <row r="1499" spans="37:40" x14ac:dyDescent="0.25">
      <c r="AK1499" s="73"/>
      <c r="AL1499" s="73"/>
      <c r="AM1499" s="73"/>
      <c r="AN1499" s="73"/>
    </row>
    <row r="1500" spans="37:40" x14ac:dyDescent="0.25">
      <c r="AK1500" s="73"/>
      <c r="AL1500" s="73"/>
      <c r="AM1500" s="73"/>
      <c r="AN1500" s="73"/>
    </row>
    <row r="1501" spans="37:40" x14ac:dyDescent="0.25">
      <c r="AK1501" s="73"/>
      <c r="AL1501" s="73"/>
      <c r="AM1501" s="73"/>
      <c r="AN1501" s="73"/>
    </row>
    <row r="1502" spans="37:40" x14ac:dyDescent="0.25">
      <c r="AK1502" s="73"/>
      <c r="AL1502" s="73"/>
      <c r="AM1502" s="73"/>
      <c r="AN1502" s="73"/>
    </row>
    <row r="1503" spans="37:40" x14ac:dyDescent="0.25">
      <c r="AK1503" s="73"/>
      <c r="AL1503" s="73"/>
      <c r="AM1503" s="73"/>
      <c r="AN1503" s="73"/>
    </row>
    <row r="1504" spans="37:40" x14ac:dyDescent="0.25">
      <c r="AK1504" s="73"/>
      <c r="AL1504" s="73"/>
      <c r="AM1504" s="73"/>
      <c r="AN1504" s="73"/>
    </row>
    <row r="1505" spans="37:40" x14ac:dyDescent="0.25">
      <c r="AK1505" s="73"/>
      <c r="AL1505" s="73"/>
      <c r="AM1505" s="73"/>
      <c r="AN1505" s="73"/>
    </row>
    <row r="1506" spans="37:40" x14ac:dyDescent="0.25">
      <c r="AK1506" s="73"/>
      <c r="AL1506" s="73"/>
      <c r="AM1506" s="73"/>
      <c r="AN1506" s="73"/>
    </row>
    <row r="1507" spans="37:40" x14ac:dyDescent="0.25">
      <c r="AK1507" s="73"/>
      <c r="AL1507" s="73"/>
      <c r="AM1507" s="73"/>
      <c r="AN1507" s="73"/>
    </row>
    <row r="1508" spans="37:40" x14ac:dyDescent="0.25">
      <c r="AK1508" s="73"/>
      <c r="AL1508" s="73"/>
      <c r="AM1508" s="73"/>
      <c r="AN1508" s="73"/>
    </row>
    <row r="1509" spans="37:40" x14ac:dyDescent="0.25">
      <c r="AK1509" s="73"/>
      <c r="AL1509" s="73"/>
      <c r="AM1509" s="73"/>
      <c r="AN1509" s="73"/>
    </row>
    <row r="1510" spans="37:40" x14ac:dyDescent="0.25">
      <c r="AK1510" s="73"/>
      <c r="AL1510" s="73"/>
      <c r="AM1510" s="73"/>
      <c r="AN1510" s="73"/>
    </row>
    <row r="1511" spans="37:40" x14ac:dyDescent="0.25">
      <c r="AK1511" s="73"/>
      <c r="AL1511" s="73"/>
      <c r="AM1511" s="73"/>
      <c r="AN1511" s="73"/>
    </row>
    <row r="1512" spans="37:40" x14ac:dyDescent="0.25">
      <c r="AK1512" s="73"/>
      <c r="AL1512" s="73"/>
      <c r="AM1512" s="73"/>
      <c r="AN1512" s="73"/>
    </row>
    <row r="1513" spans="37:40" x14ac:dyDescent="0.25">
      <c r="AK1513" s="73"/>
      <c r="AL1513" s="73"/>
      <c r="AM1513" s="73"/>
      <c r="AN1513" s="73"/>
    </row>
    <row r="1514" spans="37:40" x14ac:dyDescent="0.25">
      <c r="AK1514" s="73"/>
      <c r="AL1514" s="73"/>
      <c r="AM1514" s="73"/>
      <c r="AN1514" s="73"/>
    </row>
    <row r="1515" spans="37:40" x14ac:dyDescent="0.25">
      <c r="AK1515" s="73"/>
      <c r="AL1515" s="73"/>
      <c r="AM1515" s="73"/>
      <c r="AN1515" s="73"/>
    </row>
    <row r="1516" spans="37:40" x14ac:dyDescent="0.25">
      <c r="AK1516" s="73"/>
      <c r="AL1516" s="73"/>
      <c r="AM1516" s="73"/>
      <c r="AN1516" s="73"/>
    </row>
    <row r="1517" spans="37:40" x14ac:dyDescent="0.25">
      <c r="AK1517" s="73"/>
      <c r="AL1517" s="73"/>
      <c r="AM1517" s="73"/>
      <c r="AN1517" s="73"/>
    </row>
    <row r="1518" spans="37:40" x14ac:dyDescent="0.25">
      <c r="AK1518" s="73"/>
      <c r="AL1518" s="73"/>
      <c r="AM1518" s="73"/>
      <c r="AN1518" s="73"/>
    </row>
    <row r="1519" spans="37:40" x14ac:dyDescent="0.25">
      <c r="AK1519" s="73"/>
      <c r="AL1519" s="73"/>
      <c r="AM1519" s="73"/>
      <c r="AN1519" s="73"/>
    </row>
    <row r="1520" spans="37:40" x14ac:dyDescent="0.25">
      <c r="AK1520" s="73"/>
      <c r="AL1520" s="73"/>
      <c r="AM1520" s="73"/>
      <c r="AN1520" s="73"/>
    </row>
    <row r="1521" spans="37:40" x14ac:dyDescent="0.25">
      <c r="AK1521" s="73"/>
      <c r="AL1521" s="73"/>
      <c r="AM1521" s="73"/>
      <c r="AN1521" s="73"/>
    </row>
    <row r="1522" spans="37:40" x14ac:dyDescent="0.25">
      <c r="AK1522" s="73"/>
      <c r="AL1522" s="73"/>
      <c r="AM1522" s="73"/>
      <c r="AN1522" s="73"/>
    </row>
    <row r="1523" spans="37:40" x14ac:dyDescent="0.25">
      <c r="AK1523" s="73"/>
      <c r="AL1523" s="73"/>
      <c r="AM1523" s="73"/>
      <c r="AN1523" s="73"/>
    </row>
    <row r="1524" spans="37:40" x14ac:dyDescent="0.25">
      <c r="AK1524" s="73"/>
      <c r="AL1524" s="73"/>
      <c r="AM1524" s="73"/>
      <c r="AN1524" s="73"/>
    </row>
    <row r="1525" spans="37:40" x14ac:dyDescent="0.25">
      <c r="AK1525" s="73"/>
      <c r="AL1525" s="73"/>
      <c r="AM1525" s="73"/>
      <c r="AN1525" s="73"/>
    </row>
    <row r="1526" spans="37:40" x14ac:dyDescent="0.25">
      <c r="AK1526" s="73"/>
      <c r="AL1526" s="73"/>
      <c r="AM1526" s="73"/>
      <c r="AN1526" s="73"/>
    </row>
    <row r="1527" spans="37:40" x14ac:dyDescent="0.25">
      <c r="AK1527" s="73"/>
      <c r="AL1527" s="73"/>
      <c r="AM1527" s="73"/>
      <c r="AN1527" s="73"/>
    </row>
    <row r="1528" spans="37:40" x14ac:dyDescent="0.25">
      <c r="AK1528" s="73"/>
      <c r="AL1528" s="73"/>
      <c r="AM1528" s="73"/>
      <c r="AN1528" s="73"/>
    </row>
    <row r="1529" spans="37:40" x14ac:dyDescent="0.25">
      <c r="AK1529" s="73"/>
      <c r="AL1529" s="73"/>
      <c r="AM1529" s="73"/>
      <c r="AN1529" s="73"/>
    </row>
    <row r="1530" spans="37:40" x14ac:dyDescent="0.25">
      <c r="AK1530" s="73"/>
      <c r="AL1530" s="73"/>
      <c r="AM1530" s="73"/>
      <c r="AN1530" s="73"/>
    </row>
    <row r="1531" spans="37:40" x14ac:dyDescent="0.25">
      <c r="AK1531" s="73"/>
      <c r="AL1531" s="73"/>
      <c r="AM1531" s="73"/>
      <c r="AN1531" s="73"/>
    </row>
    <row r="1532" spans="37:40" x14ac:dyDescent="0.25">
      <c r="AK1532" s="73"/>
      <c r="AL1532" s="73"/>
      <c r="AM1532" s="73"/>
      <c r="AN1532" s="73"/>
    </row>
    <row r="1533" spans="37:40" x14ac:dyDescent="0.25">
      <c r="AK1533" s="73"/>
      <c r="AL1533" s="73"/>
      <c r="AM1533" s="73"/>
      <c r="AN1533" s="73"/>
    </row>
    <row r="1534" spans="37:40" x14ac:dyDescent="0.25">
      <c r="AK1534" s="73"/>
      <c r="AL1534" s="73"/>
      <c r="AM1534" s="73"/>
      <c r="AN1534" s="73"/>
    </row>
    <row r="1535" spans="37:40" x14ac:dyDescent="0.25">
      <c r="AK1535" s="73"/>
      <c r="AL1535" s="73"/>
      <c r="AM1535" s="73"/>
      <c r="AN1535" s="73"/>
    </row>
    <row r="1536" spans="37:40" x14ac:dyDescent="0.25">
      <c r="AK1536" s="73"/>
      <c r="AL1536" s="73"/>
      <c r="AM1536" s="73"/>
      <c r="AN1536" s="73"/>
    </row>
    <row r="1537" spans="37:40" x14ac:dyDescent="0.25">
      <c r="AK1537" s="73"/>
      <c r="AL1537" s="73"/>
      <c r="AM1537" s="73"/>
      <c r="AN1537" s="73"/>
    </row>
    <row r="1538" spans="37:40" x14ac:dyDescent="0.25">
      <c r="AK1538" s="73"/>
      <c r="AL1538" s="73"/>
      <c r="AM1538" s="73"/>
      <c r="AN1538" s="73"/>
    </row>
    <row r="1539" spans="37:40" x14ac:dyDescent="0.25">
      <c r="AK1539" s="73"/>
      <c r="AL1539" s="73"/>
      <c r="AM1539" s="73"/>
      <c r="AN1539" s="73"/>
    </row>
    <row r="1540" spans="37:40" x14ac:dyDescent="0.25">
      <c r="AK1540" s="73"/>
      <c r="AL1540" s="73"/>
      <c r="AM1540" s="73"/>
      <c r="AN1540" s="73"/>
    </row>
    <row r="1541" spans="37:40" x14ac:dyDescent="0.25">
      <c r="AK1541" s="73"/>
      <c r="AL1541" s="73"/>
      <c r="AM1541" s="73"/>
      <c r="AN1541" s="73"/>
    </row>
    <row r="1542" spans="37:40" x14ac:dyDescent="0.25">
      <c r="AK1542" s="73"/>
      <c r="AL1542" s="73"/>
      <c r="AM1542" s="73"/>
      <c r="AN1542" s="73"/>
    </row>
    <row r="1543" spans="37:40" x14ac:dyDescent="0.25">
      <c r="AK1543" s="73"/>
      <c r="AL1543" s="73"/>
      <c r="AM1543" s="73"/>
      <c r="AN1543" s="73"/>
    </row>
    <row r="1544" spans="37:40" x14ac:dyDescent="0.25">
      <c r="AK1544" s="73"/>
      <c r="AL1544" s="73"/>
      <c r="AM1544" s="73"/>
      <c r="AN1544" s="73"/>
    </row>
    <row r="1545" spans="37:40" x14ac:dyDescent="0.25">
      <c r="AK1545" s="73"/>
      <c r="AL1545" s="73"/>
      <c r="AM1545" s="73"/>
      <c r="AN1545" s="73"/>
    </row>
    <row r="1546" spans="37:40" x14ac:dyDescent="0.25">
      <c r="AK1546" s="73"/>
      <c r="AL1546" s="73"/>
      <c r="AM1546" s="73"/>
      <c r="AN1546" s="73"/>
    </row>
    <row r="1547" spans="37:40" x14ac:dyDescent="0.25">
      <c r="AK1547" s="73"/>
      <c r="AL1547" s="73"/>
      <c r="AM1547" s="73"/>
      <c r="AN1547" s="73"/>
    </row>
    <row r="1548" spans="37:40" x14ac:dyDescent="0.25">
      <c r="AK1548" s="73"/>
      <c r="AL1548" s="73"/>
      <c r="AM1548" s="73"/>
      <c r="AN1548" s="73"/>
    </row>
    <row r="1549" spans="37:40" x14ac:dyDescent="0.25">
      <c r="AK1549" s="73"/>
      <c r="AL1549" s="73"/>
      <c r="AM1549" s="73"/>
      <c r="AN1549" s="73"/>
    </row>
    <row r="1550" spans="37:40" x14ac:dyDescent="0.25">
      <c r="AK1550" s="73"/>
      <c r="AL1550" s="73"/>
      <c r="AM1550" s="73"/>
      <c r="AN1550" s="73"/>
    </row>
    <row r="1551" spans="37:40" x14ac:dyDescent="0.25">
      <c r="AK1551" s="73"/>
      <c r="AL1551" s="73"/>
      <c r="AM1551" s="73"/>
      <c r="AN1551" s="73"/>
    </row>
    <row r="1552" spans="37:40" x14ac:dyDescent="0.25">
      <c r="AK1552" s="73"/>
      <c r="AL1552" s="73"/>
      <c r="AM1552" s="73"/>
      <c r="AN1552" s="73"/>
    </row>
    <row r="1553" spans="37:40" x14ac:dyDescent="0.25">
      <c r="AK1553" s="73"/>
      <c r="AL1553" s="73"/>
      <c r="AM1553" s="73"/>
      <c r="AN1553" s="73"/>
    </row>
    <row r="1554" spans="37:40" x14ac:dyDescent="0.25">
      <c r="AK1554" s="73"/>
      <c r="AL1554" s="73"/>
      <c r="AM1554" s="73"/>
      <c r="AN1554" s="73"/>
    </row>
    <row r="1555" spans="37:40" x14ac:dyDescent="0.25">
      <c r="AK1555" s="73"/>
      <c r="AL1555" s="73"/>
      <c r="AM1555" s="73"/>
      <c r="AN1555" s="73"/>
    </row>
    <row r="1556" spans="37:40" x14ac:dyDescent="0.25">
      <c r="AK1556" s="73"/>
      <c r="AL1556" s="73"/>
      <c r="AM1556" s="73"/>
      <c r="AN1556" s="73"/>
    </row>
    <row r="1557" spans="37:40" x14ac:dyDescent="0.25">
      <c r="AK1557" s="73"/>
      <c r="AL1557" s="73"/>
      <c r="AM1557" s="73"/>
      <c r="AN1557" s="73"/>
    </row>
    <row r="1558" spans="37:40" x14ac:dyDescent="0.25">
      <c r="AK1558" s="73"/>
      <c r="AL1558" s="73"/>
      <c r="AM1558" s="73"/>
      <c r="AN1558" s="73"/>
    </row>
    <row r="1559" spans="37:40" x14ac:dyDescent="0.25">
      <c r="AK1559" s="73"/>
      <c r="AL1559" s="73"/>
      <c r="AM1559" s="73"/>
      <c r="AN1559" s="73"/>
    </row>
    <row r="1560" spans="37:40" x14ac:dyDescent="0.25">
      <c r="AK1560" s="73"/>
      <c r="AL1560" s="73"/>
      <c r="AM1560" s="73"/>
      <c r="AN1560" s="73"/>
    </row>
    <row r="1561" spans="37:40" x14ac:dyDescent="0.25">
      <c r="AK1561" s="73"/>
      <c r="AL1561" s="73"/>
      <c r="AM1561" s="73"/>
      <c r="AN1561" s="73"/>
    </row>
    <row r="1562" spans="37:40" x14ac:dyDescent="0.25">
      <c r="AK1562" s="73"/>
      <c r="AL1562" s="73"/>
      <c r="AM1562" s="73"/>
      <c r="AN1562" s="73"/>
    </row>
    <row r="1563" spans="37:40" x14ac:dyDescent="0.25">
      <c r="AK1563" s="73"/>
      <c r="AL1563" s="73"/>
      <c r="AM1563" s="73"/>
      <c r="AN1563" s="73"/>
    </row>
    <row r="1564" spans="37:40" x14ac:dyDescent="0.25">
      <c r="AK1564" s="73"/>
      <c r="AL1564" s="73"/>
      <c r="AM1564" s="73"/>
      <c r="AN1564" s="73"/>
    </row>
    <row r="1565" spans="37:40" x14ac:dyDescent="0.25">
      <c r="AK1565" s="73"/>
      <c r="AL1565" s="73"/>
      <c r="AM1565" s="73"/>
      <c r="AN1565" s="73"/>
    </row>
    <row r="1566" spans="37:40" x14ac:dyDescent="0.25">
      <c r="AK1566" s="73"/>
      <c r="AL1566" s="73"/>
      <c r="AM1566" s="73"/>
      <c r="AN1566" s="73"/>
    </row>
    <row r="1567" spans="37:40" x14ac:dyDescent="0.25">
      <c r="AK1567" s="73"/>
      <c r="AL1567" s="73"/>
      <c r="AM1567" s="73"/>
      <c r="AN1567" s="73"/>
    </row>
    <row r="1568" spans="37:40" x14ac:dyDescent="0.25">
      <c r="AK1568" s="73"/>
      <c r="AL1568" s="73"/>
      <c r="AM1568" s="73"/>
      <c r="AN1568" s="73"/>
    </row>
    <row r="1569" spans="37:40" x14ac:dyDescent="0.25">
      <c r="AK1569" s="73"/>
      <c r="AL1569" s="73"/>
      <c r="AM1569" s="73"/>
      <c r="AN1569" s="73"/>
    </row>
    <row r="1570" spans="37:40" x14ac:dyDescent="0.25">
      <c r="AK1570" s="73"/>
      <c r="AL1570" s="73"/>
      <c r="AM1570" s="73"/>
      <c r="AN1570" s="73"/>
    </row>
    <row r="1571" spans="37:40" x14ac:dyDescent="0.25">
      <c r="AK1571" s="73"/>
      <c r="AL1571" s="73"/>
      <c r="AM1571" s="73"/>
      <c r="AN1571" s="73"/>
    </row>
    <row r="1572" spans="37:40" x14ac:dyDescent="0.25">
      <c r="AK1572" s="73"/>
      <c r="AL1572" s="73"/>
      <c r="AM1572" s="73"/>
      <c r="AN1572" s="73"/>
    </row>
    <row r="1573" spans="37:40" x14ac:dyDescent="0.25">
      <c r="AK1573" s="73"/>
      <c r="AL1573" s="73"/>
      <c r="AM1573" s="73"/>
      <c r="AN1573" s="73"/>
    </row>
    <row r="1574" spans="37:40" x14ac:dyDescent="0.25">
      <c r="AK1574" s="73"/>
      <c r="AL1574" s="73"/>
      <c r="AM1574" s="73"/>
      <c r="AN1574" s="73"/>
    </row>
    <row r="1575" spans="37:40" x14ac:dyDescent="0.25">
      <c r="AK1575" s="73"/>
      <c r="AL1575" s="73"/>
      <c r="AM1575" s="73"/>
      <c r="AN1575" s="73"/>
    </row>
    <row r="1576" spans="37:40" x14ac:dyDescent="0.25">
      <c r="AK1576" s="73"/>
      <c r="AL1576" s="73"/>
      <c r="AM1576" s="73"/>
      <c r="AN1576" s="73"/>
    </row>
    <row r="1577" spans="37:40" x14ac:dyDescent="0.25">
      <c r="AK1577" s="73"/>
      <c r="AL1577" s="73"/>
      <c r="AM1577" s="73"/>
      <c r="AN1577" s="73"/>
    </row>
    <row r="1578" spans="37:40" x14ac:dyDescent="0.25">
      <c r="AK1578" s="73"/>
      <c r="AL1578" s="73"/>
      <c r="AM1578" s="73"/>
      <c r="AN1578" s="73"/>
    </row>
    <row r="1579" spans="37:40" x14ac:dyDescent="0.25">
      <c r="AK1579" s="73"/>
      <c r="AL1579" s="73"/>
      <c r="AM1579" s="73"/>
      <c r="AN1579" s="73"/>
    </row>
    <row r="1580" spans="37:40" x14ac:dyDescent="0.25">
      <c r="AK1580" s="73"/>
      <c r="AL1580" s="73"/>
      <c r="AM1580" s="73"/>
      <c r="AN1580" s="73"/>
    </row>
    <row r="1581" spans="37:40" x14ac:dyDescent="0.25">
      <c r="AK1581" s="73"/>
      <c r="AL1581" s="73"/>
      <c r="AM1581" s="73"/>
      <c r="AN1581" s="73"/>
    </row>
    <row r="1582" spans="37:40" x14ac:dyDescent="0.25">
      <c r="AK1582" s="73"/>
      <c r="AL1582" s="73"/>
      <c r="AM1582" s="73"/>
      <c r="AN1582" s="73"/>
    </row>
    <row r="1583" spans="37:40" x14ac:dyDescent="0.25">
      <c r="AK1583" s="73"/>
      <c r="AL1583" s="73"/>
      <c r="AM1583" s="73"/>
      <c r="AN1583" s="73"/>
    </row>
    <row r="1584" spans="37:40" x14ac:dyDescent="0.25">
      <c r="AK1584" s="73"/>
      <c r="AL1584" s="73"/>
      <c r="AM1584" s="73"/>
      <c r="AN1584" s="73"/>
    </row>
    <row r="1585" spans="37:40" x14ac:dyDescent="0.25">
      <c r="AK1585" s="73"/>
      <c r="AL1585" s="73"/>
      <c r="AM1585" s="73"/>
      <c r="AN1585" s="73"/>
    </row>
    <row r="1586" spans="37:40" x14ac:dyDescent="0.25">
      <c r="AK1586" s="73"/>
      <c r="AL1586" s="73"/>
      <c r="AM1586" s="73"/>
      <c r="AN1586" s="73"/>
    </row>
    <row r="1587" spans="37:40" x14ac:dyDescent="0.25">
      <c r="AK1587" s="73"/>
      <c r="AL1587" s="73"/>
      <c r="AM1587" s="73"/>
      <c r="AN1587" s="73"/>
    </row>
    <row r="1588" spans="37:40" x14ac:dyDescent="0.25">
      <c r="AK1588" s="73"/>
      <c r="AL1588" s="73"/>
      <c r="AM1588" s="73"/>
      <c r="AN1588" s="73"/>
    </row>
    <row r="1589" spans="37:40" x14ac:dyDescent="0.25">
      <c r="AK1589" s="73"/>
      <c r="AL1589" s="73"/>
      <c r="AM1589" s="73"/>
      <c r="AN1589" s="73"/>
    </row>
    <row r="1590" spans="37:40" x14ac:dyDescent="0.25">
      <c r="AK1590" s="73"/>
      <c r="AL1590" s="73"/>
      <c r="AM1590" s="73"/>
      <c r="AN1590" s="73"/>
    </row>
    <row r="1591" spans="37:40" x14ac:dyDescent="0.25">
      <c r="AK1591" s="73"/>
      <c r="AL1591" s="73"/>
      <c r="AM1591" s="73"/>
      <c r="AN1591" s="73"/>
    </row>
    <row r="1592" spans="37:40" x14ac:dyDescent="0.25">
      <c r="AK1592" s="73"/>
      <c r="AL1592" s="73"/>
      <c r="AM1592" s="73"/>
      <c r="AN1592" s="73"/>
    </row>
    <row r="1593" spans="37:40" x14ac:dyDescent="0.25">
      <c r="AK1593" s="73"/>
      <c r="AL1593" s="73"/>
      <c r="AM1593" s="73"/>
      <c r="AN1593" s="73"/>
    </row>
  </sheetData>
  <sheetProtection selectLockedCells="1"/>
  <mergeCells count="1">
    <mergeCell ref="AH1:AI1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AR1593"/>
  <sheetViews>
    <sheetView topLeftCell="AH1" workbookViewId="0">
      <pane ySplit="1" topLeftCell="A2" activePane="bottomLeft" state="frozen"/>
      <selection activeCell="H1" sqref="H1"/>
      <selection pane="bottomLeft" activeCell="AM19" sqref="AM19"/>
    </sheetView>
  </sheetViews>
  <sheetFormatPr baseColWidth="10" defaultColWidth="11.42578125" defaultRowHeight="15" x14ac:dyDescent="0.25"/>
  <cols>
    <col min="1" max="1" width="6" style="76" bestFit="1" customWidth="1"/>
    <col min="2" max="2" width="8.85546875" style="76" bestFit="1" customWidth="1"/>
    <col min="3" max="3" width="5" style="76" bestFit="1" customWidth="1"/>
    <col min="4" max="4" width="10.140625" style="76" bestFit="1" customWidth="1"/>
    <col min="5" max="5" width="6" style="76" bestFit="1" customWidth="1"/>
    <col min="6" max="6" width="10.5703125" style="76" bestFit="1" customWidth="1"/>
    <col min="7" max="7" width="8.140625" style="76" bestFit="1" customWidth="1"/>
    <col min="8" max="8" width="4.28515625" style="76" bestFit="1" customWidth="1"/>
    <col min="9" max="9" width="6.140625" style="76" bestFit="1" customWidth="1"/>
    <col min="10" max="10" width="13.85546875" style="76" bestFit="1" customWidth="1"/>
    <col min="11" max="11" width="9.7109375" style="76" bestFit="1" customWidth="1"/>
    <col min="12" max="12" width="28.5703125" style="76" bestFit="1" customWidth="1"/>
    <col min="13" max="13" width="6.140625" style="76" bestFit="1" customWidth="1"/>
    <col min="14" max="14" width="8.140625" style="76" bestFit="1" customWidth="1"/>
    <col min="15" max="15" width="15.7109375" style="76" bestFit="1" customWidth="1"/>
    <col min="16" max="17" width="6.28515625" style="73" bestFit="1" customWidth="1"/>
    <col min="18" max="18" width="10.7109375" style="74" bestFit="1" customWidth="1"/>
    <col min="19" max="19" width="8.7109375" style="74" bestFit="1" customWidth="1"/>
    <col min="20" max="20" width="2.42578125" style="74" customWidth="1"/>
    <col min="21" max="21" width="4" style="74" bestFit="1" customWidth="1"/>
    <col min="22" max="22" width="5" style="74" bestFit="1" customWidth="1"/>
    <col min="23" max="23" width="9.42578125" style="74" bestFit="1" customWidth="1"/>
    <col min="24" max="24" width="6" style="74" bestFit="1" customWidth="1"/>
    <col min="25" max="25" width="10.7109375" style="74" bestFit="1" customWidth="1"/>
    <col min="26" max="30" width="11.42578125" style="74"/>
    <col min="31" max="32" width="12.7109375" style="74" bestFit="1" customWidth="1"/>
    <col min="33" max="33" width="13.28515625" style="74" bestFit="1" customWidth="1"/>
    <col min="34" max="34" width="13.28515625" style="74" customWidth="1"/>
    <col min="35" max="35" width="11.42578125" style="74"/>
    <col min="36" max="36" width="28.5703125" style="74" bestFit="1" customWidth="1"/>
    <col min="37" max="40" width="11.42578125" style="74"/>
    <col min="41" max="16384" width="11.42578125" style="61"/>
  </cols>
  <sheetData>
    <row r="1" spans="1:44" s="67" customFormat="1" ht="15.75" x14ac:dyDescent="0.25">
      <c r="A1" s="75" t="s">
        <v>1</v>
      </c>
      <c r="B1" s="75" t="s">
        <v>44</v>
      </c>
      <c r="C1" s="75" t="s">
        <v>55</v>
      </c>
      <c r="D1" s="75" t="s">
        <v>45</v>
      </c>
      <c r="E1" s="75" t="s">
        <v>46</v>
      </c>
      <c r="F1" s="75" t="s">
        <v>47</v>
      </c>
      <c r="G1" s="75" t="s">
        <v>48</v>
      </c>
      <c r="H1" s="75" t="s">
        <v>49</v>
      </c>
      <c r="I1" s="75" t="s">
        <v>51</v>
      </c>
      <c r="J1" s="75" t="s">
        <v>3</v>
      </c>
      <c r="K1" s="75" t="s">
        <v>52</v>
      </c>
      <c r="L1" s="75" t="s">
        <v>53</v>
      </c>
      <c r="M1" s="75" t="s">
        <v>2</v>
      </c>
      <c r="N1" s="75" t="s">
        <v>49</v>
      </c>
      <c r="O1" s="75" t="s">
        <v>50</v>
      </c>
      <c r="P1" s="69" t="s">
        <v>130</v>
      </c>
      <c r="Q1" s="69" t="s">
        <v>131</v>
      </c>
      <c r="R1" s="70" t="s">
        <v>135</v>
      </c>
      <c r="S1" s="70" t="s">
        <v>136</v>
      </c>
      <c r="T1" s="71"/>
      <c r="U1" s="72" t="s">
        <v>14</v>
      </c>
      <c r="V1" s="72" t="s">
        <v>13</v>
      </c>
      <c r="W1" s="72" t="s">
        <v>8</v>
      </c>
      <c r="X1" s="72" t="s">
        <v>15</v>
      </c>
      <c r="Y1" s="72" t="s">
        <v>16</v>
      </c>
      <c r="Z1" s="71" t="s">
        <v>140</v>
      </c>
      <c r="AA1" s="71" t="s">
        <v>11</v>
      </c>
      <c r="AB1" s="71" t="s">
        <v>141</v>
      </c>
      <c r="AC1" s="71" t="s">
        <v>142</v>
      </c>
      <c r="AD1" s="71"/>
      <c r="AE1" s="71" t="s">
        <v>150</v>
      </c>
      <c r="AF1" s="71" t="s">
        <v>151</v>
      </c>
      <c r="AG1" s="71" t="s">
        <v>152</v>
      </c>
      <c r="AH1" s="257" t="s">
        <v>153</v>
      </c>
      <c r="AI1" s="257"/>
      <c r="AJ1" s="71"/>
      <c r="AK1" s="69" t="s">
        <v>130</v>
      </c>
      <c r="AL1" s="69" t="s">
        <v>131</v>
      </c>
      <c r="AM1" s="70" t="s">
        <v>135</v>
      </c>
      <c r="AN1" s="70" t="s">
        <v>136</v>
      </c>
    </row>
    <row r="2" spans="1:44" x14ac:dyDescent="0.25">
      <c r="A2" s="76" t="s">
        <v>84</v>
      </c>
    </row>
    <row r="3" spans="1:44" x14ac:dyDescent="0.25">
      <c r="A3" s="76">
        <v>44905</v>
      </c>
      <c r="B3" s="76" t="s">
        <v>92</v>
      </c>
      <c r="D3" s="76" t="s">
        <v>156</v>
      </c>
      <c r="E3" s="76">
        <v>384</v>
      </c>
      <c r="F3" s="76" t="s">
        <v>27</v>
      </c>
      <c r="G3" s="76" t="b">
        <v>0</v>
      </c>
      <c r="J3" s="76" t="s">
        <v>54</v>
      </c>
      <c r="K3" s="76">
        <v>344</v>
      </c>
      <c r="L3" s="76" t="s">
        <v>91</v>
      </c>
      <c r="M3" s="76" t="s">
        <v>93</v>
      </c>
      <c r="P3" s="73" t="str">
        <f>IF(N3&lt;&gt;"",SUBSTITUTE(LEFT(_xlfn.NUMBERVALUE(N3),FIND(";",N3)),";",""),"")</f>
        <v/>
      </c>
      <c r="Q3" s="73" t="str">
        <f>IF(N3&lt;&gt;"",SUBSTITUTE(RIGHT(N3,FIND(";",N3)),";",""),"")</f>
        <v/>
      </c>
      <c r="R3" s="74" t="str">
        <f>IF(O3&lt;&gt;"",SUBSTITUTE(LEFT(O3,FIND(";",O3)),";",""),"")</f>
        <v/>
      </c>
      <c r="S3" s="74" t="str">
        <f t="shared" ref="S3:S66" si="0">IF(O3&lt;&gt;"",IFERROR(IF(FIND("OK",O3)&gt;0,TRUE),FALSE),"")</f>
        <v/>
      </c>
      <c r="U3" s="74" t="str">
        <f>IF($F3=U$1,$E3,"")</f>
        <v/>
      </c>
      <c r="V3" s="74" t="str">
        <f t="shared" ref="V3:Y18" si="1">IF($F3=V$1,$E3,"")</f>
        <v/>
      </c>
      <c r="W3" s="74" t="str">
        <f t="shared" si="1"/>
        <v/>
      </c>
      <c r="X3" s="74" t="str">
        <f t="shared" si="1"/>
        <v/>
      </c>
      <c r="Y3" s="74">
        <f t="shared" si="1"/>
        <v>384</v>
      </c>
      <c r="Z3" s="74" t="str">
        <f>IF(G3,E3,"")</f>
        <v/>
      </c>
      <c r="AA3" s="74">
        <f>IF(G3=FALSE,E3,"")</f>
        <v>384</v>
      </c>
      <c r="AB3" s="74">
        <f>IF(G3,1,0)</f>
        <v>0</v>
      </c>
      <c r="AC3" s="74">
        <f>IF(A3&lt;&gt;"",IF(G3,0,1),"")</f>
        <v>1</v>
      </c>
      <c r="AE3" s="74" t="str">
        <f t="shared" ref="AE3:AE56" si="2">IF(P3&lt;&gt;"",IF(AND(_xlfn.NUMBERVALUE(P3)&gt;25,_xlfn.NUMBERVALUE(P3)&lt;38),TRUE,FALSE),"")</f>
        <v/>
      </c>
      <c r="AF3" s="74" t="str">
        <f t="shared" ref="AF3:AF56" si="3">IF(Q3&lt;&gt;"",IF(AND(_xlfn.NUMBERVALUE(Q3)&gt;25,_xlfn.NUMBERVALUE(Q3)&lt;38),TRUE,FALSE),"")</f>
        <v/>
      </c>
      <c r="AG3" s="74" t="str">
        <f t="shared" ref="AG3:AG56" si="4">IF(R3&lt;&gt;"",IF(AND(_xlfn.NUMBERVALUE(R3)&gt;262,_xlfn.NUMBERVALUE(R3)&lt;307),TRUE,FALSE),"")</f>
        <v/>
      </c>
      <c r="AH3" s="74">
        <f>IF(OR(AE3=FALSE,AF3=FALSE,AG3=FALSE),1,0)</f>
        <v>0</v>
      </c>
      <c r="AI3" s="74" t="str">
        <f>IF(AH3&lt;&gt;0,COUNTIF(AH$3:AH3,1),"")</f>
        <v/>
      </c>
      <c r="AJ3" s="74" t="str">
        <f t="shared" ref="AJ3:AJ20" si="5">L3</f>
        <v>44905;Matin;Nicolas B.</v>
      </c>
      <c r="AK3" s="73" t="str">
        <f>P3</f>
        <v/>
      </c>
      <c r="AL3" s="73" t="str">
        <f>Q3</f>
        <v/>
      </c>
      <c r="AM3" s="73" t="str">
        <f>R3</f>
        <v/>
      </c>
      <c r="AN3" s="73" t="str">
        <f>S3</f>
        <v/>
      </c>
      <c r="AP3" s="61" t="str">
        <f>IF(P3&lt;&gt;"",_xlfn.NUMBERVALUE(P3),"")</f>
        <v/>
      </c>
      <c r="AQ3" s="61" t="str">
        <f>IF(Q3&lt;&gt;"",_xlfn.NUMBERVALUE(Q3),"")</f>
        <v/>
      </c>
      <c r="AR3" s="61" t="str">
        <f>IF(R3&lt;&gt;"",_xlfn.NUMBERVALUE(R3),"")</f>
        <v/>
      </c>
    </row>
    <row r="4" spans="1:44" x14ac:dyDescent="0.25">
      <c r="A4" s="76">
        <v>44905</v>
      </c>
      <c r="B4" s="76" t="s">
        <v>92</v>
      </c>
      <c r="C4" s="76">
        <v>1</v>
      </c>
      <c r="D4" s="76" t="s">
        <v>157</v>
      </c>
      <c r="E4" s="76">
        <v>384</v>
      </c>
      <c r="G4" s="76" t="b">
        <v>1</v>
      </c>
      <c r="J4" s="76" t="s">
        <v>54</v>
      </c>
      <c r="K4" s="76">
        <v>344</v>
      </c>
      <c r="L4" s="76" t="s">
        <v>91</v>
      </c>
      <c r="M4" s="76" t="s">
        <v>93</v>
      </c>
      <c r="P4" s="73" t="str">
        <f>IF(N4&lt;&gt;"",SUBSTITUTE(LEFT(N4,FIND(";",N4)),";",""),"")</f>
        <v/>
      </c>
      <c r="Q4" s="73" t="str">
        <f>IF(N4&lt;&gt;"",SUBSTITUTE(RIGHT(N4,FIND(";",N4)),";",""),"")</f>
        <v/>
      </c>
      <c r="R4" s="74" t="str">
        <f>IF(O4&lt;&gt;"",SUBSTITUTE(LEFT(O4,FIND(";",O4)),";",""),"")</f>
        <v/>
      </c>
      <c r="S4" s="74" t="str">
        <f t="shared" si="0"/>
        <v/>
      </c>
      <c r="U4" s="74" t="str">
        <f t="shared" ref="U4:Y35" si="6">IF($F4=U$1,$E4,"")</f>
        <v/>
      </c>
      <c r="V4" s="74" t="str">
        <f t="shared" si="1"/>
        <v/>
      </c>
      <c r="W4" s="74" t="str">
        <f t="shared" si="1"/>
        <v/>
      </c>
      <c r="X4" s="74" t="str">
        <f t="shared" si="1"/>
        <v/>
      </c>
      <c r="Y4" s="74" t="str">
        <f t="shared" si="1"/>
        <v/>
      </c>
      <c r="Z4" s="74">
        <f t="shared" ref="Z4:Z67" si="7">IF(G4,E4,"")</f>
        <v>384</v>
      </c>
      <c r="AA4" s="74" t="str">
        <f t="shared" ref="AA4:AA67" si="8">IF(G4=FALSE,E4,"")</f>
        <v/>
      </c>
      <c r="AB4" s="74">
        <f t="shared" ref="AB4:AB67" si="9">IF(G4,1,0)</f>
        <v>1</v>
      </c>
      <c r="AC4" s="74">
        <f t="shared" ref="AC4:AC67" si="10">IF(A4&lt;&gt;"",IF(G4,0,1),"")</f>
        <v>0</v>
      </c>
      <c r="AE4" s="74" t="str">
        <f t="shared" si="2"/>
        <v/>
      </c>
      <c r="AF4" s="74" t="str">
        <f t="shared" si="3"/>
        <v/>
      </c>
      <c r="AG4" s="74" t="str">
        <f t="shared" si="4"/>
        <v/>
      </c>
      <c r="AH4" s="74">
        <f t="shared" ref="AH4:AH67" si="11">IF(OR(AE4=FALSE,AF4=FALSE,AG4=FALSE),1,0)</f>
        <v>0</v>
      </c>
      <c r="AI4" s="74" t="str">
        <f>IF(AH4&lt;&gt;0,COUNTIF(AH$3:AH4,1),"")</f>
        <v/>
      </c>
      <c r="AJ4" s="74" t="str">
        <f t="shared" si="5"/>
        <v>44905;Matin;Nicolas B.</v>
      </c>
      <c r="AK4" s="73" t="str">
        <f t="shared" ref="AK4:AK67" si="12">P4</f>
        <v/>
      </c>
      <c r="AL4" s="73" t="str">
        <f t="shared" ref="AL4:AL67" si="13">Q4</f>
        <v/>
      </c>
      <c r="AM4" s="73" t="str">
        <f t="shared" ref="AM4:AM67" si="14">R4</f>
        <v/>
      </c>
      <c r="AN4" s="73" t="str">
        <f t="shared" ref="AN4:AN67" si="15">S4</f>
        <v/>
      </c>
      <c r="AP4" s="61" t="str">
        <f t="shared" ref="AP4:AP67" si="16">IF(P4&lt;&gt;"",_xlfn.NUMBERVALUE(P4),"")</f>
        <v/>
      </c>
      <c r="AQ4" s="61" t="str">
        <f t="shared" ref="AQ4:AQ67" si="17">IF(Q4&lt;&gt;"",_xlfn.NUMBERVALUE(Q4),"")</f>
        <v/>
      </c>
      <c r="AR4" s="61" t="str">
        <f t="shared" ref="AR4:AR67" si="18">IF(R4&lt;&gt;"",_xlfn.NUMBERVALUE(R4),"")</f>
        <v/>
      </c>
    </row>
    <row r="5" spans="1:44" x14ac:dyDescent="0.25">
      <c r="A5" s="76">
        <v>44905</v>
      </c>
      <c r="B5" s="76" t="s">
        <v>92</v>
      </c>
      <c r="C5" s="76">
        <v>2</v>
      </c>
      <c r="D5" s="76" t="s">
        <v>158</v>
      </c>
      <c r="E5" s="76">
        <v>384</v>
      </c>
      <c r="G5" s="76" t="b">
        <v>1</v>
      </c>
      <c r="J5" s="76" t="s">
        <v>54</v>
      </c>
      <c r="K5" s="76">
        <v>344</v>
      </c>
      <c r="L5" s="76" t="s">
        <v>91</v>
      </c>
      <c r="M5" s="76" t="s">
        <v>93</v>
      </c>
      <c r="P5" s="73" t="str">
        <f>IF(N5&lt;&gt;"",SUBSTITUTE(LEFT(N5,FIND(";",N5)),";",""),"")</f>
        <v/>
      </c>
      <c r="Q5" s="73" t="str">
        <f>IF(N5&lt;&gt;"",SUBSTITUTE(RIGHT(N5,FIND(";",N5)),";",""),"")</f>
        <v/>
      </c>
      <c r="R5" s="74" t="str">
        <f>IF(O5&lt;&gt;"",SUBSTITUTE(LEFT(O5,FIND(";",O5)),";",""),"")</f>
        <v/>
      </c>
      <c r="S5" s="74" t="str">
        <f t="shared" si="0"/>
        <v/>
      </c>
      <c r="U5" s="74" t="str">
        <f t="shared" si="6"/>
        <v/>
      </c>
      <c r="V5" s="74" t="str">
        <f t="shared" si="1"/>
        <v/>
      </c>
      <c r="W5" s="74" t="str">
        <f t="shared" si="1"/>
        <v/>
      </c>
      <c r="X5" s="74" t="str">
        <f t="shared" si="1"/>
        <v/>
      </c>
      <c r="Y5" s="74" t="str">
        <f t="shared" si="1"/>
        <v/>
      </c>
      <c r="Z5" s="74">
        <f t="shared" si="7"/>
        <v>384</v>
      </c>
      <c r="AA5" s="74" t="str">
        <f t="shared" si="8"/>
        <v/>
      </c>
      <c r="AB5" s="74">
        <f t="shared" si="9"/>
        <v>1</v>
      </c>
      <c r="AC5" s="74">
        <f t="shared" si="10"/>
        <v>0</v>
      </c>
      <c r="AE5" s="74" t="str">
        <f t="shared" si="2"/>
        <v/>
      </c>
      <c r="AF5" s="74" t="str">
        <f t="shared" si="3"/>
        <v/>
      </c>
      <c r="AG5" s="74" t="str">
        <f t="shared" si="4"/>
        <v/>
      </c>
      <c r="AH5" s="74">
        <f t="shared" si="11"/>
        <v>0</v>
      </c>
      <c r="AI5" s="74" t="str">
        <f>IF(AH5&lt;&gt;0,COUNTIF(AH$3:AH5,1),"")</f>
        <v/>
      </c>
      <c r="AJ5" s="74" t="str">
        <f t="shared" si="5"/>
        <v>44905;Matin;Nicolas B.</v>
      </c>
      <c r="AK5" s="73" t="str">
        <f t="shared" si="12"/>
        <v/>
      </c>
      <c r="AL5" s="73" t="str">
        <f t="shared" si="13"/>
        <v/>
      </c>
      <c r="AM5" s="73" t="str">
        <f t="shared" si="14"/>
        <v/>
      </c>
      <c r="AN5" s="73" t="str">
        <f t="shared" si="15"/>
        <v/>
      </c>
      <c r="AP5" s="61" t="str">
        <f t="shared" si="16"/>
        <v/>
      </c>
      <c r="AQ5" s="61" t="str">
        <f t="shared" si="17"/>
        <v/>
      </c>
      <c r="AR5" s="61" t="str">
        <f t="shared" si="18"/>
        <v/>
      </c>
    </row>
    <row r="6" spans="1:44" x14ac:dyDescent="0.25">
      <c r="A6" s="76">
        <v>44905</v>
      </c>
      <c r="B6" s="76" t="s">
        <v>92</v>
      </c>
      <c r="C6" s="76">
        <v>3</v>
      </c>
      <c r="D6" s="76" t="s">
        <v>159</v>
      </c>
      <c r="E6" s="76">
        <v>384</v>
      </c>
      <c r="G6" s="76" t="b">
        <v>1</v>
      </c>
      <c r="J6" s="76" t="s">
        <v>54</v>
      </c>
      <c r="K6" s="76">
        <v>344</v>
      </c>
      <c r="L6" s="76" t="s">
        <v>91</v>
      </c>
      <c r="M6" s="76" t="s">
        <v>93</v>
      </c>
      <c r="O6" s="76" t="s">
        <v>138</v>
      </c>
      <c r="P6" s="73" t="str">
        <f>IF(N6&lt;&gt;"",SUBSTITUTE(LEFT(N6,FIND(";",N6)),";",""),"")</f>
        <v/>
      </c>
      <c r="Q6" s="73" t="str">
        <f>IF(N6&lt;&gt;"",SUBSTITUTE(RIGHT(N6,FIND(";",N6)),";",""),"")</f>
        <v/>
      </c>
      <c r="R6" s="74" t="str">
        <f>IF(O6&lt;&gt;"",SUBSTITUTE(LEFT(O6,FIND(";",O6)),";",""),"")</f>
        <v>298</v>
      </c>
      <c r="S6" s="74" t="b">
        <f t="shared" si="0"/>
        <v>0</v>
      </c>
      <c r="U6" s="74" t="str">
        <f t="shared" si="6"/>
        <v/>
      </c>
      <c r="V6" s="74" t="str">
        <f t="shared" si="1"/>
        <v/>
      </c>
      <c r="W6" s="74" t="str">
        <f t="shared" si="1"/>
        <v/>
      </c>
      <c r="X6" s="74" t="str">
        <f t="shared" si="1"/>
        <v/>
      </c>
      <c r="Y6" s="74" t="str">
        <f t="shared" si="1"/>
        <v/>
      </c>
      <c r="Z6" s="74">
        <f t="shared" si="7"/>
        <v>384</v>
      </c>
      <c r="AA6" s="74" t="str">
        <f t="shared" si="8"/>
        <v/>
      </c>
      <c r="AB6" s="74">
        <f t="shared" si="9"/>
        <v>1</v>
      </c>
      <c r="AC6" s="74">
        <f t="shared" si="10"/>
        <v>0</v>
      </c>
      <c r="AE6" s="74" t="str">
        <f t="shared" si="2"/>
        <v/>
      </c>
      <c r="AF6" s="74" t="str">
        <f t="shared" si="3"/>
        <v/>
      </c>
      <c r="AG6" s="74" t="b">
        <f t="shared" si="4"/>
        <v>1</v>
      </c>
      <c r="AH6" s="74">
        <f t="shared" si="11"/>
        <v>0</v>
      </c>
      <c r="AI6" s="74" t="str">
        <f>IF(AH6&lt;&gt;0,COUNTIF(AH$3:AH6,1),"")</f>
        <v/>
      </c>
      <c r="AJ6" s="74" t="str">
        <f t="shared" si="5"/>
        <v>44905;Matin;Nicolas B.</v>
      </c>
      <c r="AK6" s="73" t="str">
        <f t="shared" si="12"/>
        <v/>
      </c>
      <c r="AL6" s="73" t="str">
        <f t="shared" si="13"/>
        <v/>
      </c>
      <c r="AM6" s="73" t="str">
        <f t="shared" si="14"/>
        <v>298</v>
      </c>
      <c r="AN6" s="73" t="b">
        <f t="shared" si="15"/>
        <v>0</v>
      </c>
      <c r="AP6" s="61" t="str">
        <f t="shared" si="16"/>
        <v/>
      </c>
      <c r="AQ6" s="61" t="str">
        <f t="shared" si="17"/>
        <v/>
      </c>
      <c r="AR6" s="61">
        <f t="shared" si="18"/>
        <v>298</v>
      </c>
    </row>
    <row r="7" spans="1:44" x14ac:dyDescent="0.25">
      <c r="A7" s="76">
        <v>44905</v>
      </c>
      <c r="B7" s="76" t="s">
        <v>92</v>
      </c>
      <c r="C7" s="76">
        <v>4</v>
      </c>
      <c r="D7" s="76" t="s">
        <v>160</v>
      </c>
      <c r="E7" s="76">
        <v>384</v>
      </c>
      <c r="G7" s="76" t="b">
        <v>1</v>
      </c>
      <c r="J7" s="76" t="s">
        <v>54</v>
      </c>
      <c r="K7" s="76">
        <v>344</v>
      </c>
      <c r="L7" s="76" t="s">
        <v>91</v>
      </c>
      <c r="M7" s="76" t="s">
        <v>93</v>
      </c>
      <c r="N7" s="76" t="s">
        <v>154</v>
      </c>
      <c r="O7" s="76" t="s">
        <v>139</v>
      </c>
      <c r="P7" s="73" t="str">
        <f t="shared" ref="P7:P56" si="19">IF(N7&lt;&gt;"",SUBSTITUTE(LEFT(N7,FIND(";",N7)),";",""),"")</f>
        <v>32</v>
      </c>
      <c r="Q7" s="73" t="str">
        <f t="shared" ref="Q7:Q56" si="20">IF(N7&lt;&gt;"",SUBSTITUTE(RIGHT(N7,FIND(";",N7)),";",""),"")</f>
        <v>31</v>
      </c>
      <c r="R7" s="74" t="str">
        <f t="shared" ref="R7:R56" si="21">IF(O7&lt;&gt;"",SUBSTITUTE(LEFT(O7,FIND(";",O7)),";",""),"")</f>
        <v>301</v>
      </c>
      <c r="S7" s="74" t="b">
        <f t="shared" si="0"/>
        <v>0</v>
      </c>
      <c r="U7" s="74" t="str">
        <f t="shared" si="6"/>
        <v/>
      </c>
      <c r="V7" s="74" t="str">
        <f t="shared" si="1"/>
        <v/>
      </c>
      <c r="W7" s="74" t="str">
        <f t="shared" si="1"/>
        <v/>
      </c>
      <c r="X7" s="74" t="str">
        <f t="shared" si="1"/>
        <v/>
      </c>
      <c r="Y7" s="74" t="str">
        <f t="shared" si="1"/>
        <v/>
      </c>
      <c r="Z7" s="74">
        <f t="shared" si="7"/>
        <v>384</v>
      </c>
      <c r="AA7" s="74" t="str">
        <f t="shared" si="8"/>
        <v/>
      </c>
      <c r="AB7" s="74">
        <f t="shared" si="9"/>
        <v>1</v>
      </c>
      <c r="AC7" s="74">
        <f t="shared" si="10"/>
        <v>0</v>
      </c>
      <c r="AE7" s="74" t="b">
        <f t="shared" si="2"/>
        <v>1</v>
      </c>
      <c r="AF7" s="74" t="b">
        <f t="shared" si="3"/>
        <v>1</v>
      </c>
      <c r="AG7" s="74" t="b">
        <f t="shared" si="4"/>
        <v>1</v>
      </c>
      <c r="AH7" s="74">
        <f t="shared" si="11"/>
        <v>0</v>
      </c>
      <c r="AI7" s="74" t="str">
        <f>IF(AH7&lt;&gt;0,COUNTIF(AH$3:AH7,1),"")</f>
        <v/>
      </c>
      <c r="AJ7" s="74" t="str">
        <f t="shared" si="5"/>
        <v>44905;Matin;Nicolas B.</v>
      </c>
      <c r="AK7" s="73" t="str">
        <f t="shared" si="12"/>
        <v>32</v>
      </c>
      <c r="AL7" s="73" t="str">
        <f t="shared" si="13"/>
        <v>31</v>
      </c>
      <c r="AM7" s="73" t="str">
        <f t="shared" si="14"/>
        <v>301</v>
      </c>
      <c r="AN7" s="73" t="b">
        <f t="shared" si="15"/>
        <v>0</v>
      </c>
      <c r="AP7" s="61">
        <f t="shared" si="16"/>
        <v>32</v>
      </c>
      <c r="AQ7" s="61">
        <f t="shared" si="17"/>
        <v>31</v>
      </c>
      <c r="AR7" s="61">
        <f t="shared" si="18"/>
        <v>301</v>
      </c>
    </row>
    <row r="8" spans="1:44" x14ac:dyDescent="0.25">
      <c r="A8" s="76">
        <v>44905</v>
      </c>
      <c r="B8" s="76" t="s">
        <v>92</v>
      </c>
      <c r="D8" s="76" t="s">
        <v>156</v>
      </c>
      <c r="E8" s="76">
        <v>258</v>
      </c>
      <c r="F8" s="76" t="s">
        <v>14</v>
      </c>
      <c r="G8" s="76" t="b">
        <v>0</v>
      </c>
      <c r="J8" s="76" t="s">
        <v>54</v>
      </c>
      <c r="K8" s="76">
        <v>344</v>
      </c>
      <c r="L8" s="76" t="s">
        <v>91</v>
      </c>
      <c r="M8" s="76" t="s">
        <v>93</v>
      </c>
      <c r="P8" s="73" t="str">
        <f t="shared" si="19"/>
        <v/>
      </c>
      <c r="Q8" s="73" t="str">
        <f t="shared" si="20"/>
        <v/>
      </c>
      <c r="R8" s="74" t="str">
        <f t="shared" si="21"/>
        <v/>
      </c>
      <c r="S8" s="74" t="str">
        <f t="shared" si="0"/>
        <v/>
      </c>
      <c r="U8" s="74">
        <f t="shared" si="6"/>
        <v>258</v>
      </c>
      <c r="V8" s="74" t="str">
        <f t="shared" si="1"/>
        <v/>
      </c>
      <c r="W8" s="74" t="str">
        <f t="shared" si="1"/>
        <v/>
      </c>
      <c r="X8" s="74" t="str">
        <f t="shared" si="1"/>
        <v/>
      </c>
      <c r="Y8" s="74" t="str">
        <f t="shared" si="1"/>
        <v/>
      </c>
      <c r="Z8" s="74" t="str">
        <f t="shared" si="7"/>
        <v/>
      </c>
      <c r="AA8" s="74">
        <f t="shared" si="8"/>
        <v>258</v>
      </c>
      <c r="AB8" s="74">
        <f t="shared" si="9"/>
        <v>0</v>
      </c>
      <c r="AC8" s="74">
        <f t="shared" si="10"/>
        <v>1</v>
      </c>
      <c r="AE8" s="74" t="str">
        <f t="shared" si="2"/>
        <v/>
      </c>
      <c r="AF8" s="74" t="str">
        <f t="shared" si="3"/>
        <v/>
      </c>
      <c r="AG8" s="74" t="str">
        <f t="shared" si="4"/>
        <v/>
      </c>
      <c r="AH8" s="74">
        <f t="shared" si="11"/>
        <v>0</v>
      </c>
      <c r="AI8" s="74" t="str">
        <f>IF(AH8&lt;&gt;0,COUNTIF(AH$3:AH8,1),"")</f>
        <v/>
      </c>
      <c r="AJ8" s="74" t="str">
        <f t="shared" si="5"/>
        <v>44905;Matin;Nicolas B.</v>
      </c>
      <c r="AK8" s="73" t="str">
        <f t="shared" si="12"/>
        <v/>
      </c>
      <c r="AL8" s="73" t="str">
        <f t="shared" si="13"/>
        <v/>
      </c>
      <c r="AM8" s="73" t="str">
        <f t="shared" si="14"/>
        <v/>
      </c>
      <c r="AN8" s="73" t="str">
        <f t="shared" si="15"/>
        <v/>
      </c>
      <c r="AP8" s="61" t="str">
        <f t="shared" si="16"/>
        <v/>
      </c>
      <c r="AQ8" s="61" t="str">
        <f t="shared" si="17"/>
        <v/>
      </c>
      <c r="AR8" s="61" t="str">
        <f t="shared" si="18"/>
        <v/>
      </c>
    </row>
    <row r="9" spans="1:44" x14ac:dyDescent="0.25">
      <c r="A9" s="76">
        <v>44905</v>
      </c>
      <c r="B9" s="76" t="s">
        <v>92</v>
      </c>
      <c r="C9" s="76">
        <v>5</v>
      </c>
      <c r="D9" s="76" t="s">
        <v>161</v>
      </c>
      <c r="E9" s="76">
        <v>384</v>
      </c>
      <c r="G9" s="76" t="b">
        <v>1</v>
      </c>
      <c r="J9" s="76" t="s">
        <v>54</v>
      </c>
      <c r="K9" s="76">
        <v>344</v>
      </c>
      <c r="L9" s="76" t="s">
        <v>91</v>
      </c>
      <c r="M9" s="76" t="s">
        <v>93</v>
      </c>
      <c r="P9" s="73" t="str">
        <f t="shared" si="19"/>
        <v/>
      </c>
      <c r="Q9" s="73" t="str">
        <f t="shared" si="20"/>
        <v/>
      </c>
      <c r="R9" s="74" t="str">
        <f t="shared" si="21"/>
        <v/>
      </c>
      <c r="S9" s="74" t="str">
        <f t="shared" si="0"/>
        <v/>
      </c>
      <c r="U9" s="74" t="str">
        <f t="shared" si="6"/>
        <v/>
      </c>
      <c r="V9" s="74" t="str">
        <f t="shared" si="1"/>
        <v/>
      </c>
      <c r="W9" s="74" t="str">
        <f t="shared" si="1"/>
        <v/>
      </c>
      <c r="X9" s="74" t="str">
        <f t="shared" si="1"/>
        <v/>
      </c>
      <c r="Y9" s="74" t="str">
        <f t="shared" si="1"/>
        <v/>
      </c>
      <c r="Z9" s="74">
        <f t="shared" si="7"/>
        <v>384</v>
      </c>
      <c r="AA9" s="74" t="str">
        <f t="shared" si="8"/>
        <v/>
      </c>
      <c r="AB9" s="74">
        <f t="shared" si="9"/>
        <v>1</v>
      </c>
      <c r="AC9" s="74">
        <f t="shared" si="10"/>
        <v>0</v>
      </c>
      <c r="AE9" s="74" t="str">
        <f t="shared" si="2"/>
        <v/>
      </c>
      <c r="AF9" s="74" t="str">
        <f t="shared" si="3"/>
        <v/>
      </c>
      <c r="AG9" s="74" t="str">
        <f t="shared" si="4"/>
        <v/>
      </c>
      <c r="AH9" s="74">
        <f t="shared" si="11"/>
        <v>0</v>
      </c>
      <c r="AI9" s="74" t="str">
        <f>IF(AH9&lt;&gt;0,COUNTIF(AH$3:AH9,1),"")</f>
        <v/>
      </c>
      <c r="AJ9" s="74" t="str">
        <f t="shared" si="5"/>
        <v>44905;Matin;Nicolas B.</v>
      </c>
      <c r="AK9" s="73" t="str">
        <f t="shared" si="12"/>
        <v/>
      </c>
      <c r="AL9" s="73" t="str">
        <f t="shared" si="13"/>
        <v/>
      </c>
      <c r="AM9" s="73" t="str">
        <f t="shared" si="14"/>
        <v/>
      </c>
      <c r="AN9" s="73" t="str">
        <f t="shared" si="15"/>
        <v/>
      </c>
      <c r="AP9" s="61" t="str">
        <f t="shared" si="16"/>
        <v/>
      </c>
      <c r="AQ9" s="61" t="str">
        <f t="shared" si="17"/>
        <v/>
      </c>
      <c r="AR9" s="61" t="str">
        <f t="shared" si="18"/>
        <v/>
      </c>
    </row>
    <row r="10" spans="1:44" x14ac:dyDescent="0.25">
      <c r="A10" s="76">
        <v>44905</v>
      </c>
      <c r="B10" s="76" t="s">
        <v>92</v>
      </c>
      <c r="C10" s="76">
        <v>6</v>
      </c>
      <c r="D10" s="76" t="s">
        <v>162</v>
      </c>
      <c r="E10" s="76">
        <v>384</v>
      </c>
      <c r="G10" s="76" t="b">
        <v>1</v>
      </c>
      <c r="J10" s="76" t="s">
        <v>54</v>
      </c>
      <c r="K10" s="76">
        <v>344</v>
      </c>
      <c r="L10" s="76" t="s">
        <v>91</v>
      </c>
      <c r="M10" s="76" t="s">
        <v>93</v>
      </c>
      <c r="P10" s="73" t="str">
        <f t="shared" si="19"/>
        <v/>
      </c>
      <c r="Q10" s="73" t="str">
        <f t="shared" si="20"/>
        <v/>
      </c>
      <c r="R10" s="74" t="str">
        <f t="shared" si="21"/>
        <v/>
      </c>
      <c r="S10" s="74" t="str">
        <f t="shared" si="0"/>
        <v/>
      </c>
      <c r="U10" s="74" t="str">
        <f t="shared" si="6"/>
        <v/>
      </c>
      <c r="V10" s="74" t="str">
        <f t="shared" si="1"/>
        <v/>
      </c>
      <c r="W10" s="74" t="str">
        <f t="shared" si="1"/>
        <v/>
      </c>
      <c r="X10" s="74" t="str">
        <f t="shared" si="1"/>
        <v/>
      </c>
      <c r="Y10" s="74" t="str">
        <f t="shared" si="1"/>
        <v/>
      </c>
      <c r="Z10" s="74">
        <f t="shared" si="7"/>
        <v>384</v>
      </c>
      <c r="AA10" s="74" t="str">
        <f t="shared" si="8"/>
        <v/>
      </c>
      <c r="AB10" s="74">
        <f t="shared" si="9"/>
        <v>1</v>
      </c>
      <c r="AC10" s="74">
        <f t="shared" si="10"/>
        <v>0</v>
      </c>
      <c r="AE10" s="74" t="str">
        <f t="shared" si="2"/>
        <v/>
      </c>
      <c r="AF10" s="74" t="str">
        <f t="shared" si="3"/>
        <v/>
      </c>
      <c r="AG10" s="74" t="str">
        <f t="shared" si="4"/>
        <v/>
      </c>
      <c r="AH10" s="74">
        <f t="shared" si="11"/>
        <v>0</v>
      </c>
      <c r="AI10" s="74" t="str">
        <f>IF(AH10&lt;&gt;0,COUNTIF(AH$3:AH10,1),"")</f>
        <v/>
      </c>
      <c r="AJ10" s="74" t="str">
        <f t="shared" si="5"/>
        <v>44905;Matin;Nicolas B.</v>
      </c>
      <c r="AK10" s="73" t="str">
        <f t="shared" si="12"/>
        <v/>
      </c>
      <c r="AL10" s="73" t="str">
        <f t="shared" si="13"/>
        <v/>
      </c>
      <c r="AM10" s="73" t="str">
        <f t="shared" si="14"/>
        <v/>
      </c>
      <c r="AN10" s="73" t="str">
        <f t="shared" si="15"/>
        <v/>
      </c>
      <c r="AP10" s="61" t="str">
        <f t="shared" si="16"/>
        <v/>
      </c>
      <c r="AQ10" s="61" t="str">
        <f t="shared" si="17"/>
        <v/>
      </c>
      <c r="AR10" s="61" t="str">
        <f t="shared" si="18"/>
        <v/>
      </c>
    </row>
    <row r="11" spans="1:44" x14ac:dyDescent="0.25">
      <c r="A11" s="76">
        <v>44905</v>
      </c>
      <c r="B11" s="76" t="s">
        <v>92</v>
      </c>
      <c r="C11" s="76">
        <v>7</v>
      </c>
      <c r="D11" s="76" t="s">
        <v>163</v>
      </c>
      <c r="E11" s="76">
        <v>384</v>
      </c>
      <c r="G11" s="76" t="b">
        <v>1</v>
      </c>
      <c r="J11" s="76" t="s">
        <v>54</v>
      </c>
      <c r="K11" s="76">
        <v>344</v>
      </c>
      <c r="L11" s="76" t="s">
        <v>91</v>
      </c>
      <c r="M11" s="76" t="s">
        <v>93</v>
      </c>
      <c r="P11" s="73" t="str">
        <f t="shared" si="19"/>
        <v/>
      </c>
      <c r="Q11" s="73" t="str">
        <f t="shared" si="20"/>
        <v/>
      </c>
      <c r="R11" s="74" t="str">
        <f t="shared" si="21"/>
        <v/>
      </c>
      <c r="S11" s="74" t="str">
        <f t="shared" si="0"/>
        <v/>
      </c>
      <c r="U11" s="74" t="str">
        <f t="shared" si="6"/>
        <v/>
      </c>
      <c r="V11" s="74" t="str">
        <f t="shared" si="1"/>
        <v/>
      </c>
      <c r="W11" s="74" t="str">
        <f t="shared" si="1"/>
        <v/>
      </c>
      <c r="X11" s="74" t="str">
        <f t="shared" si="1"/>
        <v/>
      </c>
      <c r="Y11" s="74" t="str">
        <f t="shared" si="1"/>
        <v/>
      </c>
      <c r="Z11" s="74">
        <f t="shared" si="7"/>
        <v>384</v>
      </c>
      <c r="AA11" s="74" t="str">
        <f t="shared" si="8"/>
        <v/>
      </c>
      <c r="AB11" s="74">
        <f t="shared" si="9"/>
        <v>1</v>
      </c>
      <c r="AC11" s="74">
        <f t="shared" si="10"/>
        <v>0</v>
      </c>
      <c r="AE11" s="74" t="str">
        <f t="shared" si="2"/>
        <v/>
      </c>
      <c r="AF11" s="74" t="str">
        <f t="shared" si="3"/>
        <v/>
      </c>
      <c r="AG11" s="74" t="str">
        <f t="shared" si="4"/>
        <v/>
      </c>
      <c r="AH11" s="74">
        <f t="shared" si="11"/>
        <v>0</v>
      </c>
      <c r="AI11" s="74" t="str">
        <f>IF(AH11&lt;&gt;0,COUNTIF(AH$3:AH11,1),"")</f>
        <v/>
      </c>
      <c r="AJ11" s="74" t="str">
        <f t="shared" si="5"/>
        <v>44905;Matin;Nicolas B.</v>
      </c>
      <c r="AK11" s="73" t="str">
        <f t="shared" si="12"/>
        <v/>
      </c>
      <c r="AL11" s="73" t="str">
        <f t="shared" si="13"/>
        <v/>
      </c>
      <c r="AM11" s="73" t="str">
        <f t="shared" si="14"/>
        <v/>
      </c>
      <c r="AN11" s="73" t="str">
        <f t="shared" si="15"/>
        <v/>
      </c>
      <c r="AP11" s="61" t="str">
        <f t="shared" si="16"/>
        <v/>
      </c>
      <c r="AQ11" s="61" t="str">
        <f t="shared" si="17"/>
        <v/>
      </c>
      <c r="AR11" s="61" t="str">
        <f t="shared" si="18"/>
        <v/>
      </c>
    </row>
    <row r="12" spans="1:44" x14ac:dyDescent="0.25">
      <c r="A12" s="76">
        <v>44905</v>
      </c>
      <c r="B12" s="76" t="s">
        <v>92</v>
      </c>
      <c r="C12" s="76">
        <v>8</v>
      </c>
      <c r="D12" s="76" t="s">
        <v>164</v>
      </c>
      <c r="E12" s="76">
        <v>384</v>
      </c>
      <c r="G12" s="76" t="b">
        <v>1</v>
      </c>
      <c r="J12" s="76" t="s">
        <v>54</v>
      </c>
      <c r="K12" s="76">
        <v>344</v>
      </c>
      <c r="L12" s="76" t="s">
        <v>91</v>
      </c>
      <c r="M12" s="76" t="s">
        <v>93</v>
      </c>
      <c r="P12" s="73" t="str">
        <f t="shared" si="19"/>
        <v/>
      </c>
      <c r="Q12" s="73" t="str">
        <f t="shared" si="20"/>
        <v/>
      </c>
      <c r="R12" s="74" t="str">
        <f t="shared" si="21"/>
        <v/>
      </c>
      <c r="S12" s="74" t="str">
        <f t="shared" si="0"/>
        <v/>
      </c>
      <c r="U12" s="74" t="str">
        <f t="shared" si="6"/>
        <v/>
      </c>
      <c r="V12" s="74" t="str">
        <f t="shared" si="1"/>
        <v/>
      </c>
      <c r="W12" s="74" t="str">
        <f t="shared" si="1"/>
        <v/>
      </c>
      <c r="X12" s="74" t="str">
        <f t="shared" si="1"/>
        <v/>
      </c>
      <c r="Y12" s="74" t="str">
        <f t="shared" si="1"/>
        <v/>
      </c>
      <c r="Z12" s="74">
        <f t="shared" si="7"/>
        <v>384</v>
      </c>
      <c r="AA12" s="74" t="str">
        <f t="shared" si="8"/>
        <v/>
      </c>
      <c r="AB12" s="74">
        <f t="shared" si="9"/>
        <v>1</v>
      </c>
      <c r="AC12" s="74">
        <f t="shared" si="10"/>
        <v>0</v>
      </c>
      <c r="AE12" s="74" t="str">
        <f t="shared" si="2"/>
        <v/>
      </c>
      <c r="AF12" s="74" t="str">
        <f t="shared" si="3"/>
        <v/>
      </c>
      <c r="AG12" s="74" t="str">
        <f t="shared" si="4"/>
        <v/>
      </c>
      <c r="AH12" s="74">
        <f t="shared" si="11"/>
        <v>0</v>
      </c>
      <c r="AI12" s="74" t="str">
        <f>IF(AH12&lt;&gt;0,COUNTIF(AH$3:AH12,1),"")</f>
        <v/>
      </c>
      <c r="AJ12" s="74" t="str">
        <f t="shared" si="5"/>
        <v>44905;Matin;Nicolas B.</v>
      </c>
      <c r="AK12" s="73" t="str">
        <f t="shared" si="12"/>
        <v/>
      </c>
      <c r="AL12" s="73" t="str">
        <f t="shared" si="13"/>
        <v/>
      </c>
      <c r="AM12" s="73" t="str">
        <f t="shared" si="14"/>
        <v/>
      </c>
      <c r="AN12" s="73" t="str">
        <f t="shared" si="15"/>
        <v/>
      </c>
      <c r="AP12" s="61" t="str">
        <f t="shared" si="16"/>
        <v/>
      </c>
      <c r="AQ12" s="61" t="str">
        <f t="shared" si="17"/>
        <v/>
      </c>
      <c r="AR12" s="61" t="str">
        <f t="shared" si="18"/>
        <v/>
      </c>
    </row>
    <row r="13" spans="1:44" x14ac:dyDescent="0.25">
      <c r="A13" s="76">
        <v>44905</v>
      </c>
      <c r="B13" s="76" t="s">
        <v>92</v>
      </c>
      <c r="C13" s="76">
        <v>9</v>
      </c>
      <c r="D13" s="76" t="s">
        <v>165</v>
      </c>
      <c r="E13" s="76">
        <v>384</v>
      </c>
      <c r="G13" s="76" t="b">
        <v>1</v>
      </c>
      <c r="J13" s="76" t="s">
        <v>54</v>
      </c>
      <c r="K13" s="76">
        <v>344</v>
      </c>
      <c r="L13" s="76" t="s">
        <v>91</v>
      </c>
      <c r="M13" s="76" t="s">
        <v>93</v>
      </c>
      <c r="P13" s="73" t="str">
        <f t="shared" si="19"/>
        <v/>
      </c>
      <c r="Q13" s="73" t="str">
        <f t="shared" si="20"/>
        <v/>
      </c>
      <c r="R13" s="74" t="str">
        <f t="shared" si="21"/>
        <v/>
      </c>
      <c r="S13" s="74" t="str">
        <f t="shared" si="0"/>
        <v/>
      </c>
      <c r="U13" s="74" t="str">
        <f t="shared" si="6"/>
        <v/>
      </c>
      <c r="V13" s="74" t="str">
        <f t="shared" si="1"/>
        <v/>
      </c>
      <c r="W13" s="74" t="str">
        <f t="shared" si="1"/>
        <v/>
      </c>
      <c r="X13" s="74" t="str">
        <f t="shared" si="1"/>
        <v/>
      </c>
      <c r="Y13" s="74" t="str">
        <f t="shared" si="1"/>
        <v/>
      </c>
      <c r="Z13" s="74">
        <f t="shared" si="7"/>
        <v>384</v>
      </c>
      <c r="AA13" s="74" t="str">
        <f t="shared" si="8"/>
        <v/>
      </c>
      <c r="AB13" s="74">
        <f t="shared" si="9"/>
        <v>1</v>
      </c>
      <c r="AC13" s="74">
        <f t="shared" si="10"/>
        <v>0</v>
      </c>
      <c r="AE13" s="74" t="str">
        <f t="shared" si="2"/>
        <v/>
      </c>
      <c r="AF13" s="74" t="str">
        <f t="shared" si="3"/>
        <v/>
      </c>
      <c r="AG13" s="74" t="str">
        <f t="shared" si="4"/>
        <v/>
      </c>
      <c r="AH13" s="74">
        <f t="shared" si="11"/>
        <v>0</v>
      </c>
      <c r="AI13" s="74" t="str">
        <f>IF(AH13&lt;&gt;0,COUNTIF(AH$3:AH13,1),"")</f>
        <v/>
      </c>
      <c r="AJ13" s="74" t="str">
        <f t="shared" si="5"/>
        <v>44905;Matin;Nicolas B.</v>
      </c>
      <c r="AK13" s="73" t="str">
        <f t="shared" si="12"/>
        <v/>
      </c>
      <c r="AL13" s="73" t="str">
        <f t="shared" si="13"/>
        <v/>
      </c>
      <c r="AM13" s="73" t="str">
        <f t="shared" si="14"/>
        <v/>
      </c>
      <c r="AN13" s="73" t="str">
        <f t="shared" si="15"/>
        <v/>
      </c>
      <c r="AP13" s="61" t="str">
        <f t="shared" si="16"/>
        <v/>
      </c>
      <c r="AQ13" s="61" t="str">
        <f t="shared" si="17"/>
        <v/>
      </c>
      <c r="AR13" s="61" t="str">
        <f t="shared" si="18"/>
        <v/>
      </c>
    </row>
    <row r="14" spans="1:44" x14ac:dyDescent="0.25">
      <c r="A14" s="76">
        <v>44905</v>
      </c>
      <c r="B14" s="76" t="s">
        <v>92</v>
      </c>
      <c r="C14" s="76">
        <v>10</v>
      </c>
      <c r="D14" s="76" t="s">
        <v>166</v>
      </c>
      <c r="E14" s="76">
        <v>384</v>
      </c>
      <c r="G14" s="76" t="b">
        <v>1</v>
      </c>
      <c r="J14" s="76" t="s">
        <v>54</v>
      </c>
      <c r="K14" s="76">
        <v>344</v>
      </c>
      <c r="L14" s="76" t="s">
        <v>91</v>
      </c>
      <c r="M14" s="76" t="s">
        <v>93</v>
      </c>
      <c r="P14" s="73" t="str">
        <f t="shared" si="19"/>
        <v/>
      </c>
      <c r="Q14" s="73" t="str">
        <f t="shared" si="20"/>
        <v/>
      </c>
      <c r="R14" s="74" t="str">
        <f t="shared" si="21"/>
        <v/>
      </c>
      <c r="S14" s="74" t="str">
        <f t="shared" si="0"/>
        <v/>
      </c>
      <c r="U14" s="74" t="str">
        <f t="shared" si="6"/>
        <v/>
      </c>
      <c r="V14" s="74" t="str">
        <f t="shared" si="1"/>
        <v/>
      </c>
      <c r="W14" s="74" t="str">
        <f t="shared" si="1"/>
        <v/>
      </c>
      <c r="X14" s="74" t="str">
        <f t="shared" si="1"/>
        <v/>
      </c>
      <c r="Y14" s="74" t="str">
        <f t="shared" si="1"/>
        <v/>
      </c>
      <c r="Z14" s="74">
        <f t="shared" si="7"/>
        <v>384</v>
      </c>
      <c r="AA14" s="74" t="str">
        <f t="shared" si="8"/>
        <v/>
      </c>
      <c r="AB14" s="74">
        <f t="shared" si="9"/>
        <v>1</v>
      </c>
      <c r="AC14" s="74">
        <f t="shared" si="10"/>
        <v>0</v>
      </c>
      <c r="AE14" s="74" t="str">
        <f t="shared" si="2"/>
        <v/>
      </c>
      <c r="AF14" s="74" t="str">
        <f t="shared" si="3"/>
        <v/>
      </c>
      <c r="AG14" s="74" t="str">
        <f t="shared" si="4"/>
        <v/>
      </c>
      <c r="AH14" s="74">
        <f t="shared" si="11"/>
        <v>0</v>
      </c>
      <c r="AI14" s="74" t="str">
        <f>IF(AH14&lt;&gt;0,COUNTIF(AH$3:AH14,1),"")</f>
        <v/>
      </c>
      <c r="AJ14" s="74" t="str">
        <f t="shared" si="5"/>
        <v>44905;Matin;Nicolas B.</v>
      </c>
      <c r="AK14" s="73" t="str">
        <f t="shared" si="12"/>
        <v/>
      </c>
      <c r="AL14" s="73" t="str">
        <f t="shared" si="13"/>
        <v/>
      </c>
      <c r="AM14" s="73" t="str">
        <f t="shared" si="14"/>
        <v/>
      </c>
      <c r="AN14" s="73" t="str">
        <f t="shared" si="15"/>
        <v/>
      </c>
      <c r="AP14" s="61" t="str">
        <f t="shared" si="16"/>
        <v/>
      </c>
      <c r="AQ14" s="61" t="str">
        <f t="shared" si="17"/>
        <v/>
      </c>
      <c r="AR14" s="61" t="str">
        <f t="shared" si="18"/>
        <v/>
      </c>
    </row>
    <row r="15" spans="1:44" x14ac:dyDescent="0.25">
      <c r="A15" s="76">
        <v>44905</v>
      </c>
      <c r="B15" s="76" t="s">
        <v>92</v>
      </c>
      <c r="C15" s="76">
        <v>11</v>
      </c>
      <c r="D15" s="76" t="s">
        <v>167</v>
      </c>
      <c r="E15" s="76">
        <v>384</v>
      </c>
      <c r="G15" s="76" t="b">
        <v>1</v>
      </c>
      <c r="J15" s="76" t="s">
        <v>54</v>
      </c>
      <c r="K15" s="76">
        <v>344</v>
      </c>
      <c r="L15" s="76" t="s">
        <v>91</v>
      </c>
      <c r="M15" s="76" t="s">
        <v>93</v>
      </c>
      <c r="P15" s="73" t="str">
        <f t="shared" si="19"/>
        <v/>
      </c>
      <c r="Q15" s="73" t="str">
        <f t="shared" si="20"/>
        <v/>
      </c>
      <c r="R15" s="74" t="str">
        <f t="shared" si="21"/>
        <v/>
      </c>
      <c r="S15" s="74" t="str">
        <f t="shared" si="0"/>
        <v/>
      </c>
      <c r="U15" s="74" t="str">
        <f t="shared" si="6"/>
        <v/>
      </c>
      <c r="V15" s="74" t="str">
        <f t="shared" si="1"/>
        <v/>
      </c>
      <c r="W15" s="74" t="str">
        <f t="shared" si="1"/>
        <v/>
      </c>
      <c r="X15" s="74" t="str">
        <f t="shared" si="1"/>
        <v/>
      </c>
      <c r="Y15" s="74" t="str">
        <f t="shared" si="1"/>
        <v/>
      </c>
      <c r="Z15" s="74">
        <f t="shared" si="7"/>
        <v>384</v>
      </c>
      <c r="AA15" s="74" t="str">
        <f t="shared" si="8"/>
        <v/>
      </c>
      <c r="AB15" s="74">
        <f t="shared" si="9"/>
        <v>1</v>
      </c>
      <c r="AC15" s="74">
        <f t="shared" si="10"/>
        <v>0</v>
      </c>
      <c r="AE15" s="74" t="str">
        <f t="shared" si="2"/>
        <v/>
      </c>
      <c r="AF15" s="74" t="str">
        <f t="shared" si="3"/>
        <v/>
      </c>
      <c r="AG15" s="74" t="str">
        <f t="shared" si="4"/>
        <v/>
      </c>
      <c r="AH15" s="74">
        <f t="shared" si="11"/>
        <v>0</v>
      </c>
      <c r="AI15" s="74" t="str">
        <f>IF(AH15&lt;&gt;0,COUNTIF(AH$3:AH15,1),"")</f>
        <v/>
      </c>
      <c r="AJ15" s="74" t="str">
        <f t="shared" si="5"/>
        <v>44905;Matin;Nicolas B.</v>
      </c>
      <c r="AK15" s="73" t="str">
        <f t="shared" si="12"/>
        <v/>
      </c>
      <c r="AL15" s="73" t="str">
        <f t="shared" si="13"/>
        <v/>
      </c>
      <c r="AM15" s="73" t="str">
        <f t="shared" si="14"/>
        <v/>
      </c>
      <c r="AN15" s="73" t="str">
        <f t="shared" si="15"/>
        <v/>
      </c>
      <c r="AP15" s="61" t="str">
        <f t="shared" si="16"/>
        <v/>
      </c>
      <c r="AQ15" s="61" t="str">
        <f t="shared" si="17"/>
        <v/>
      </c>
      <c r="AR15" s="61" t="str">
        <f t="shared" si="18"/>
        <v/>
      </c>
    </row>
    <row r="16" spans="1:44" x14ac:dyDescent="0.25">
      <c r="A16" s="76">
        <v>44905</v>
      </c>
      <c r="B16" s="76" t="s">
        <v>92</v>
      </c>
      <c r="C16" s="76">
        <v>12</v>
      </c>
      <c r="D16" s="76" t="s">
        <v>168</v>
      </c>
      <c r="E16" s="76">
        <v>384</v>
      </c>
      <c r="G16" s="76" t="b">
        <v>1</v>
      </c>
      <c r="J16" s="76" t="s">
        <v>54</v>
      </c>
      <c r="K16" s="76">
        <v>344</v>
      </c>
      <c r="L16" s="76" t="s">
        <v>91</v>
      </c>
      <c r="M16" s="76" t="s">
        <v>93</v>
      </c>
      <c r="P16" s="73" t="str">
        <f t="shared" si="19"/>
        <v/>
      </c>
      <c r="Q16" s="73" t="str">
        <f t="shared" si="20"/>
        <v/>
      </c>
      <c r="R16" s="74" t="str">
        <f t="shared" si="21"/>
        <v/>
      </c>
      <c r="S16" s="74" t="str">
        <f t="shared" si="0"/>
        <v/>
      </c>
      <c r="U16" s="74" t="str">
        <f t="shared" si="6"/>
        <v/>
      </c>
      <c r="V16" s="74" t="str">
        <f t="shared" si="1"/>
        <v/>
      </c>
      <c r="W16" s="74" t="str">
        <f t="shared" si="1"/>
        <v/>
      </c>
      <c r="X16" s="74" t="str">
        <f t="shared" si="1"/>
        <v/>
      </c>
      <c r="Y16" s="74" t="str">
        <f t="shared" si="1"/>
        <v/>
      </c>
      <c r="Z16" s="74">
        <f t="shared" si="7"/>
        <v>384</v>
      </c>
      <c r="AA16" s="74" t="str">
        <f t="shared" si="8"/>
        <v/>
      </c>
      <c r="AB16" s="74">
        <f t="shared" si="9"/>
        <v>1</v>
      </c>
      <c r="AC16" s="74">
        <f t="shared" si="10"/>
        <v>0</v>
      </c>
      <c r="AE16" s="74" t="str">
        <f t="shared" si="2"/>
        <v/>
      </c>
      <c r="AF16" s="74" t="str">
        <f t="shared" si="3"/>
        <v/>
      </c>
      <c r="AG16" s="74" t="str">
        <f t="shared" si="4"/>
        <v/>
      </c>
      <c r="AH16" s="74">
        <f t="shared" si="11"/>
        <v>0</v>
      </c>
      <c r="AI16" s="74" t="str">
        <f>IF(AH16&lt;&gt;0,COUNTIF(AH$3:AH16,1),"")</f>
        <v/>
      </c>
      <c r="AJ16" s="74" t="str">
        <f t="shared" si="5"/>
        <v>44905;Matin;Nicolas B.</v>
      </c>
      <c r="AK16" s="73" t="str">
        <f t="shared" si="12"/>
        <v/>
      </c>
      <c r="AL16" s="73" t="str">
        <f t="shared" si="13"/>
        <v/>
      </c>
      <c r="AM16" s="73" t="str">
        <f t="shared" si="14"/>
        <v/>
      </c>
      <c r="AN16" s="73" t="str">
        <f t="shared" si="15"/>
        <v/>
      </c>
      <c r="AP16" s="61" t="str">
        <f t="shared" si="16"/>
        <v/>
      </c>
      <c r="AQ16" s="61" t="str">
        <f t="shared" si="17"/>
        <v/>
      </c>
      <c r="AR16" s="61" t="str">
        <f t="shared" si="18"/>
        <v/>
      </c>
    </row>
    <row r="17" spans="1:44" x14ac:dyDescent="0.25">
      <c r="A17" s="76">
        <v>44905</v>
      </c>
      <c r="B17" s="76" t="s">
        <v>92</v>
      </c>
      <c r="D17" s="76" t="s">
        <v>156</v>
      </c>
      <c r="E17" s="76">
        <v>384</v>
      </c>
      <c r="F17" s="76" t="s">
        <v>14</v>
      </c>
      <c r="G17" s="76" t="b">
        <v>0</v>
      </c>
      <c r="J17" s="76" t="s">
        <v>54</v>
      </c>
      <c r="K17" s="76">
        <v>344</v>
      </c>
      <c r="L17" s="76" t="s">
        <v>91</v>
      </c>
      <c r="M17" s="76" t="s">
        <v>93</v>
      </c>
      <c r="P17" s="73" t="str">
        <f t="shared" si="19"/>
        <v/>
      </c>
      <c r="Q17" s="73" t="str">
        <f t="shared" si="20"/>
        <v/>
      </c>
      <c r="R17" s="74" t="str">
        <f t="shared" si="21"/>
        <v/>
      </c>
      <c r="S17" s="74" t="str">
        <f t="shared" si="0"/>
        <v/>
      </c>
      <c r="U17" s="74">
        <f t="shared" si="6"/>
        <v>384</v>
      </c>
      <c r="V17" s="74" t="str">
        <f t="shared" si="1"/>
        <v/>
      </c>
      <c r="W17" s="74" t="str">
        <f t="shared" si="1"/>
        <v/>
      </c>
      <c r="X17" s="74" t="str">
        <f t="shared" si="1"/>
        <v/>
      </c>
      <c r="Y17" s="74" t="str">
        <f t="shared" si="1"/>
        <v/>
      </c>
      <c r="Z17" s="74" t="str">
        <f t="shared" si="7"/>
        <v/>
      </c>
      <c r="AA17" s="74">
        <f t="shared" si="8"/>
        <v>384</v>
      </c>
      <c r="AB17" s="74">
        <f t="shared" si="9"/>
        <v>0</v>
      </c>
      <c r="AC17" s="74">
        <f t="shared" si="10"/>
        <v>1</v>
      </c>
      <c r="AE17" s="74" t="str">
        <f t="shared" si="2"/>
        <v/>
      </c>
      <c r="AF17" s="74" t="str">
        <f t="shared" si="3"/>
        <v/>
      </c>
      <c r="AG17" s="74" t="str">
        <f t="shared" si="4"/>
        <v/>
      </c>
      <c r="AH17" s="74">
        <f t="shared" si="11"/>
        <v>0</v>
      </c>
      <c r="AI17" s="74" t="str">
        <f>IF(AH17&lt;&gt;0,COUNTIF(AH$3:AH17,1),"")</f>
        <v/>
      </c>
      <c r="AJ17" s="74" t="str">
        <f t="shared" si="5"/>
        <v>44905;Matin;Nicolas B.</v>
      </c>
      <c r="AK17" s="73" t="str">
        <f t="shared" si="12"/>
        <v/>
      </c>
      <c r="AL17" s="73" t="str">
        <f t="shared" si="13"/>
        <v/>
      </c>
      <c r="AM17" s="73" t="str">
        <f t="shared" si="14"/>
        <v/>
      </c>
      <c r="AN17" s="73" t="str">
        <f t="shared" si="15"/>
        <v/>
      </c>
      <c r="AP17" s="61" t="str">
        <f t="shared" si="16"/>
        <v/>
      </c>
      <c r="AQ17" s="61" t="str">
        <f t="shared" si="17"/>
        <v/>
      </c>
      <c r="AR17" s="61" t="str">
        <f t="shared" si="18"/>
        <v/>
      </c>
    </row>
    <row r="18" spans="1:44" x14ac:dyDescent="0.25">
      <c r="A18" s="76">
        <v>44905</v>
      </c>
      <c r="B18" s="76" t="s">
        <v>92</v>
      </c>
      <c r="C18" s="76">
        <v>13</v>
      </c>
      <c r="D18" s="76" t="s">
        <v>169</v>
      </c>
      <c r="E18" s="76">
        <v>384</v>
      </c>
      <c r="G18" s="76" t="b">
        <v>1</v>
      </c>
      <c r="J18" s="76" t="s">
        <v>54</v>
      </c>
      <c r="K18" s="76">
        <v>344</v>
      </c>
      <c r="L18" s="76" t="s">
        <v>91</v>
      </c>
      <c r="M18" s="76" t="s">
        <v>93</v>
      </c>
      <c r="P18" s="73" t="str">
        <f t="shared" si="19"/>
        <v/>
      </c>
      <c r="Q18" s="73" t="str">
        <f t="shared" si="20"/>
        <v/>
      </c>
      <c r="R18" s="74" t="str">
        <f t="shared" si="21"/>
        <v/>
      </c>
      <c r="S18" s="74" t="str">
        <f t="shared" si="0"/>
        <v/>
      </c>
      <c r="U18" s="74" t="str">
        <f t="shared" si="6"/>
        <v/>
      </c>
      <c r="V18" s="74" t="str">
        <f t="shared" si="1"/>
        <v/>
      </c>
      <c r="W18" s="74" t="str">
        <f t="shared" si="1"/>
        <v/>
      </c>
      <c r="X18" s="74" t="str">
        <f t="shared" si="1"/>
        <v/>
      </c>
      <c r="Y18" s="74" t="str">
        <f t="shared" si="1"/>
        <v/>
      </c>
      <c r="Z18" s="74">
        <f t="shared" si="7"/>
        <v>384</v>
      </c>
      <c r="AA18" s="74" t="str">
        <f t="shared" si="8"/>
        <v/>
      </c>
      <c r="AB18" s="74">
        <f t="shared" si="9"/>
        <v>1</v>
      </c>
      <c r="AC18" s="74">
        <f t="shared" si="10"/>
        <v>0</v>
      </c>
      <c r="AE18" s="74" t="str">
        <f t="shared" si="2"/>
        <v/>
      </c>
      <c r="AF18" s="74" t="str">
        <f t="shared" si="3"/>
        <v/>
      </c>
      <c r="AG18" s="74" t="str">
        <f t="shared" si="4"/>
        <v/>
      </c>
      <c r="AH18" s="74">
        <f t="shared" si="11"/>
        <v>0</v>
      </c>
      <c r="AI18" s="74" t="str">
        <f>IF(AH18&lt;&gt;0,COUNTIF(AH$3:AH18,1),"")</f>
        <v/>
      </c>
      <c r="AJ18" s="74" t="str">
        <f t="shared" si="5"/>
        <v>44905;Matin;Nicolas B.</v>
      </c>
      <c r="AK18" s="73" t="str">
        <f t="shared" si="12"/>
        <v/>
      </c>
      <c r="AL18" s="73" t="str">
        <f t="shared" si="13"/>
        <v/>
      </c>
      <c r="AM18" s="73" t="str">
        <f t="shared" si="14"/>
        <v/>
      </c>
      <c r="AN18" s="73" t="str">
        <f t="shared" si="15"/>
        <v/>
      </c>
      <c r="AP18" s="61" t="str">
        <f t="shared" si="16"/>
        <v/>
      </c>
      <c r="AQ18" s="61" t="str">
        <f t="shared" si="17"/>
        <v/>
      </c>
      <c r="AR18" s="61" t="str">
        <f t="shared" si="18"/>
        <v/>
      </c>
    </row>
    <row r="19" spans="1:44" x14ac:dyDescent="0.25">
      <c r="A19" s="76">
        <v>44905</v>
      </c>
      <c r="B19" s="76" t="s">
        <v>92</v>
      </c>
      <c r="D19" s="76" t="s">
        <v>156</v>
      </c>
      <c r="E19" s="76">
        <v>384</v>
      </c>
      <c r="F19" s="76" t="s">
        <v>14</v>
      </c>
      <c r="G19" s="76" t="b">
        <v>0</v>
      </c>
      <c r="J19" s="76" t="s">
        <v>54</v>
      </c>
      <c r="K19" s="76">
        <v>344</v>
      </c>
      <c r="L19" s="76" t="s">
        <v>91</v>
      </c>
      <c r="M19" s="76" t="s">
        <v>93</v>
      </c>
      <c r="P19" s="73" t="str">
        <f t="shared" si="19"/>
        <v/>
      </c>
      <c r="Q19" s="73" t="str">
        <f t="shared" si="20"/>
        <v/>
      </c>
      <c r="R19" s="74" t="str">
        <f t="shared" si="21"/>
        <v/>
      </c>
      <c r="S19" s="74" t="str">
        <f t="shared" si="0"/>
        <v/>
      </c>
      <c r="U19" s="74">
        <f t="shared" si="6"/>
        <v>384</v>
      </c>
      <c r="V19" s="74" t="str">
        <f t="shared" si="6"/>
        <v/>
      </c>
      <c r="W19" s="74" t="str">
        <f t="shared" si="6"/>
        <v/>
      </c>
      <c r="X19" s="74" t="str">
        <f t="shared" si="6"/>
        <v/>
      </c>
      <c r="Y19" s="74" t="str">
        <f t="shared" si="6"/>
        <v/>
      </c>
      <c r="Z19" s="74" t="str">
        <f t="shared" si="7"/>
        <v/>
      </c>
      <c r="AA19" s="74">
        <f t="shared" si="8"/>
        <v>384</v>
      </c>
      <c r="AB19" s="74">
        <f t="shared" si="9"/>
        <v>0</v>
      </c>
      <c r="AC19" s="74">
        <f t="shared" si="10"/>
        <v>1</v>
      </c>
      <c r="AE19" s="74" t="str">
        <f t="shared" si="2"/>
        <v/>
      </c>
      <c r="AF19" s="74" t="str">
        <f t="shared" si="3"/>
        <v/>
      </c>
      <c r="AG19" s="74" t="str">
        <f t="shared" si="4"/>
        <v/>
      </c>
      <c r="AH19" s="74">
        <f t="shared" si="11"/>
        <v>0</v>
      </c>
      <c r="AI19" s="74" t="str">
        <f>IF(AH19&lt;&gt;0,COUNTIF(AH$3:AH19,1),"")</f>
        <v/>
      </c>
      <c r="AJ19" s="74" t="str">
        <f t="shared" si="5"/>
        <v>44905;Matin;Nicolas B.</v>
      </c>
      <c r="AK19" s="73" t="str">
        <f t="shared" si="12"/>
        <v/>
      </c>
      <c r="AL19" s="73" t="str">
        <f t="shared" si="13"/>
        <v/>
      </c>
      <c r="AM19" s="73" t="str">
        <f t="shared" si="14"/>
        <v/>
      </c>
      <c r="AN19" s="73" t="str">
        <f t="shared" si="15"/>
        <v/>
      </c>
      <c r="AP19" s="61" t="str">
        <f t="shared" si="16"/>
        <v/>
      </c>
      <c r="AQ19" s="61" t="str">
        <f t="shared" si="17"/>
        <v/>
      </c>
      <c r="AR19" s="61" t="str">
        <f t="shared" si="18"/>
        <v/>
      </c>
    </row>
    <row r="20" spans="1:44" x14ac:dyDescent="0.25">
      <c r="A20" s="76">
        <v>44905</v>
      </c>
      <c r="B20" s="76" t="s">
        <v>92</v>
      </c>
      <c r="D20" s="76" t="s">
        <v>156</v>
      </c>
      <c r="E20" s="76">
        <v>384</v>
      </c>
      <c r="F20" s="76" t="s">
        <v>14</v>
      </c>
      <c r="G20" s="76" t="b">
        <v>0</v>
      </c>
      <c r="J20" s="76" t="s">
        <v>54</v>
      </c>
      <c r="K20" s="76">
        <v>344</v>
      </c>
      <c r="L20" s="76" t="s">
        <v>91</v>
      </c>
      <c r="M20" s="76" t="s">
        <v>93</v>
      </c>
      <c r="P20" s="73" t="str">
        <f t="shared" si="19"/>
        <v/>
      </c>
      <c r="Q20" s="73" t="str">
        <f t="shared" si="20"/>
        <v/>
      </c>
      <c r="R20" s="74" t="str">
        <f t="shared" si="21"/>
        <v/>
      </c>
      <c r="S20" s="74" t="str">
        <f t="shared" si="0"/>
        <v/>
      </c>
      <c r="U20" s="74">
        <f t="shared" si="6"/>
        <v>384</v>
      </c>
      <c r="V20" s="74" t="str">
        <f t="shared" si="6"/>
        <v/>
      </c>
      <c r="W20" s="74" t="str">
        <f t="shared" si="6"/>
        <v/>
      </c>
      <c r="X20" s="74" t="str">
        <f t="shared" si="6"/>
        <v/>
      </c>
      <c r="Y20" s="74" t="str">
        <f t="shared" si="6"/>
        <v/>
      </c>
      <c r="Z20" s="74" t="str">
        <f t="shared" si="7"/>
        <v/>
      </c>
      <c r="AA20" s="74">
        <f t="shared" si="8"/>
        <v>384</v>
      </c>
      <c r="AB20" s="74">
        <f t="shared" si="9"/>
        <v>0</v>
      </c>
      <c r="AC20" s="74">
        <f t="shared" si="10"/>
        <v>1</v>
      </c>
      <c r="AE20" s="74" t="str">
        <f t="shared" si="2"/>
        <v/>
      </c>
      <c r="AF20" s="74" t="str">
        <f t="shared" si="3"/>
        <v/>
      </c>
      <c r="AG20" s="74" t="str">
        <f t="shared" si="4"/>
        <v/>
      </c>
      <c r="AH20" s="74">
        <f t="shared" si="11"/>
        <v>0</v>
      </c>
      <c r="AI20" s="74" t="str">
        <f>IF(AH20&lt;&gt;0,COUNTIF(AH$3:AH20,1),"")</f>
        <v/>
      </c>
      <c r="AJ20" s="74" t="str">
        <f t="shared" si="5"/>
        <v>44905;Matin;Nicolas B.</v>
      </c>
      <c r="AK20" s="73" t="str">
        <f t="shared" si="12"/>
        <v/>
      </c>
      <c r="AL20" s="73" t="str">
        <f t="shared" si="13"/>
        <v/>
      </c>
      <c r="AM20" s="73" t="str">
        <f t="shared" si="14"/>
        <v/>
      </c>
      <c r="AN20" s="73" t="str">
        <f t="shared" si="15"/>
        <v/>
      </c>
      <c r="AP20" s="61" t="str">
        <f t="shared" si="16"/>
        <v/>
      </c>
      <c r="AQ20" s="61" t="str">
        <f t="shared" si="17"/>
        <v/>
      </c>
      <c r="AR20" s="61" t="str">
        <f t="shared" si="18"/>
        <v/>
      </c>
    </row>
    <row r="21" spans="1:44" x14ac:dyDescent="0.25">
      <c r="A21" s="76">
        <v>44905</v>
      </c>
      <c r="B21" s="76" t="s">
        <v>92</v>
      </c>
      <c r="C21" s="76">
        <v>14</v>
      </c>
      <c r="D21" s="76" t="s">
        <v>170</v>
      </c>
      <c r="E21" s="76">
        <v>384</v>
      </c>
      <c r="G21" s="76" t="b">
        <v>1</v>
      </c>
      <c r="J21" s="76" t="s">
        <v>54</v>
      </c>
      <c r="K21" s="76">
        <v>344</v>
      </c>
      <c r="L21" s="76" t="s">
        <v>91</v>
      </c>
      <c r="M21" s="76" t="s">
        <v>93</v>
      </c>
      <c r="P21" s="73" t="str">
        <f t="shared" si="19"/>
        <v/>
      </c>
      <c r="Q21" s="73" t="str">
        <f t="shared" si="20"/>
        <v/>
      </c>
      <c r="R21" s="74" t="str">
        <f t="shared" si="21"/>
        <v/>
      </c>
      <c r="S21" s="74" t="str">
        <f t="shared" si="0"/>
        <v/>
      </c>
      <c r="U21" s="74" t="str">
        <f t="shared" si="6"/>
        <v/>
      </c>
      <c r="V21" s="74" t="str">
        <f t="shared" si="6"/>
        <v/>
      </c>
      <c r="W21" s="74" t="str">
        <f t="shared" si="6"/>
        <v/>
      </c>
      <c r="X21" s="74" t="str">
        <f t="shared" si="6"/>
        <v/>
      </c>
      <c r="Y21" s="74" t="str">
        <f t="shared" si="6"/>
        <v/>
      </c>
      <c r="Z21" s="74">
        <f t="shared" si="7"/>
        <v>384</v>
      </c>
      <c r="AA21" s="74" t="str">
        <f t="shared" si="8"/>
        <v/>
      </c>
      <c r="AB21" s="74">
        <f t="shared" si="9"/>
        <v>1</v>
      </c>
      <c r="AC21" s="74">
        <f t="shared" si="10"/>
        <v>0</v>
      </c>
      <c r="AE21" s="74" t="str">
        <f t="shared" si="2"/>
        <v/>
      </c>
      <c r="AF21" s="74" t="str">
        <f t="shared" si="3"/>
        <v/>
      </c>
      <c r="AG21" s="74" t="str">
        <f t="shared" si="4"/>
        <v/>
      </c>
      <c r="AH21" s="74">
        <f t="shared" si="11"/>
        <v>0</v>
      </c>
      <c r="AI21" s="74" t="str">
        <f>IF(AH21&lt;&gt;0,COUNTIF(AH$3:AH21,1),"")</f>
        <v/>
      </c>
      <c r="AJ21" s="74" t="str">
        <f>L21</f>
        <v>44905;Matin;Nicolas B.</v>
      </c>
      <c r="AK21" s="73" t="str">
        <f t="shared" si="12"/>
        <v/>
      </c>
      <c r="AL21" s="73" t="str">
        <f t="shared" si="13"/>
        <v/>
      </c>
      <c r="AM21" s="73" t="str">
        <f t="shared" si="14"/>
        <v/>
      </c>
      <c r="AN21" s="73" t="str">
        <f t="shared" si="15"/>
        <v/>
      </c>
      <c r="AP21" s="61" t="str">
        <f t="shared" si="16"/>
        <v/>
      </c>
      <c r="AQ21" s="61" t="str">
        <f t="shared" si="17"/>
        <v/>
      </c>
      <c r="AR21" s="61" t="str">
        <f t="shared" si="18"/>
        <v/>
      </c>
    </row>
    <row r="22" spans="1:44" x14ac:dyDescent="0.25">
      <c r="A22" s="76">
        <v>44905</v>
      </c>
      <c r="B22" s="76" t="s">
        <v>92</v>
      </c>
      <c r="C22" s="76">
        <v>15</v>
      </c>
      <c r="D22" s="76" t="s">
        <v>171</v>
      </c>
      <c r="E22" s="76">
        <v>384</v>
      </c>
      <c r="G22" s="76" t="b">
        <v>1</v>
      </c>
      <c r="J22" s="76" t="s">
        <v>54</v>
      </c>
      <c r="K22" s="76">
        <v>344</v>
      </c>
      <c r="L22" s="76" t="s">
        <v>91</v>
      </c>
      <c r="M22" s="76" t="s">
        <v>93</v>
      </c>
      <c r="N22" s="76" t="s">
        <v>132</v>
      </c>
      <c r="P22" s="73" t="str">
        <f t="shared" si="19"/>
        <v>29</v>
      </c>
      <c r="Q22" s="73" t="str">
        <f t="shared" si="20"/>
        <v>31</v>
      </c>
      <c r="R22" s="74" t="str">
        <f t="shared" si="21"/>
        <v/>
      </c>
      <c r="S22" s="74" t="str">
        <f t="shared" si="0"/>
        <v/>
      </c>
      <c r="U22" s="74" t="str">
        <f t="shared" si="6"/>
        <v/>
      </c>
      <c r="V22" s="74" t="str">
        <f t="shared" si="6"/>
        <v/>
      </c>
      <c r="W22" s="74" t="str">
        <f t="shared" si="6"/>
        <v/>
      </c>
      <c r="X22" s="74" t="str">
        <f t="shared" si="6"/>
        <v/>
      </c>
      <c r="Y22" s="74" t="str">
        <f t="shared" si="6"/>
        <v/>
      </c>
      <c r="Z22" s="74">
        <f t="shared" si="7"/>
        <v>384</v>
      </c>
      <c r="AA22" s="74" t="str">
        <f t="shared" si="8"/>
        <v/>
      </c>
      <c r="AB22" s="74">
        <f t="shared" si="9"/>
        <v>1</v>
      </c>
      <c r="AC22" s="74">
        <f t="shared" si="10"/>
        <v>0</v>
      </c>
      <c r="AE22" s="74" t="b">
        <f t="shared" si="2"/>
        <v>1</v>
      </c>
      <c r="AF22" s="74" t="b">
        <f t="shared" si="3"/>
        <v>1</v>
      </c>
      <c r="AG22" s="74" t="str">
        <f t="shared" si="4"/>
        <v/>
      </c>
      <c r="AH22" s="74">
        <f t="shared" si="11"/>
        <v>0</v>
      </c>
      <c r="AI22" s="74" t="str">
        <f>IF(AH22&lt;&gt;0,COUNTIF(AH$3:AH22,1),"")</f>
        <v/>
      </c>
      <c r="AJ22" s="74" t="str">
        <f t="shared" ref="AJ22:AJ85" si="22">L22</f>
        <v>44905;Matin;Nicolas B.</v>
      </c>
      <c r="AK22" s="73" t="str">
        <f t="shared" si="12"/>
        <v>29</v>
      </c>
      <c r="AL22" s="73" t="str">
        <f t="shared" si="13"/>
        <v>31</v>
      </c>
      <c r="AM22" s="73" t="str">
        <f t="shared" si="14"/>
        <v/>
      </c>
      <c r="AN22" s="73" t="str">
        <f t="shared" si="15"/>
        <v/>
      </c>
      <c r="AP22" s="61">
        <f t="shared" si="16"/>
        <v>29</v>
      </c>
      <c r="AQ22" s="61">
        <f t="shared" si="17"/>
        <v>31</v>
      </c>
      <c r="AR22" s="61" t="str">
        <f t="shared" si="18"/>
        <v/>
      </c>
    </row>
    <row r="23" spans="1:44" x14ac:dyDescent="0.25">
      <c r="A23" s="76">
        <v>44905</v>
      </c>
      <c r="B23" s="76" t="s">
        <v>92</v>
      </c>
      <c r="C23" s="76">
        <v>16</v>
      </c>
      <c r="D23" s="76" t="s">
        <v>172</v>
      </c>
      <c r="E23" s="76">
        <v>384</v>
      </c>
      <c r="G23" s="76" t="b">
        <v>1</v>
      </c>
      <c r="J23" s="76" t="s">
        <v>54</v>
      </c>
      <c r="K23" s="76">
        <v>344</v>
      </c>
      <c r="L23" s="76" t="s">
        <v>91</v>
      </c>
      <c r="M23" s="76" t="s">
        <v>93</v>
      </c>
      <c r="P23" s="73" t="str">
        <f t="shared" si="19"/>
        <v/>
      </c>
      <c r="Q23" s="73" t="str">
        <f t="shared" si="20"/>
        <v/>
      </c>
      <c r="R23" s="74" t="str">
        <f t="shared" si="21"/>
        <v/>
      </c>
      <c r="S23" s="74" t="str">
        <f t="shared" si="0"/>
        <v/>
      </c>
      <c r="U23" s="74" t="str">
        <f t="shared" si="6"/>
        <v/>
      </c>
      <c r="V23" s="74" t="str">
        <f t="shared" si="6"/>
        <v/>
      </c>
      <c r="W23" s="74" t="str">
        <f t="shared" si="6"/>
        <v/>
      </c>
      <c r="X23" s="74" t="str">
        <f t="shared" si="6"/>
        <v/>
      </c>
      <c r="Y23" s="74" t="str">
        <f t="shared" si="6"/>
        <v/>
      </c>
      <c r="Z23" s="74">
        <f t="shared" si="7"/>
        <v>384</v>
      </c>
      <c r="AA23" s="74" t="str">
        <f t="shared" si="8"/>
        <v/>
      </c>
      <c r="AB23" s="74">
        <f t="shared" si="9"/>
        <v>1</v>
      </c>
      <c r="AC23" s="74">
        <f t="shared" si="10"/>
        <v>0</v>
      </c>
      <c r="AE23" s="74" t="str">
        <f t="shared" si="2"/>
        <v/>
      </c>
      <c r="AF23" s="74" t="str">
        <f t="shared" si="3"/>
        <v/>
      </c>
      <c r="AG23" s="74" t="str">
        <f t="shared" si="4"/>
        <v/>
      </c>
      <c r="AH23" s="74">
        <f t="shared" si="11"/>
        <v>0</v>
      </c>
      <c r="AI23" s="74" t="str">
        <f>IF(AH23&lt;&gt;0,COUNTIF(AH$3:AH23,1),"")</f>
        <v/>
      </c>
      <c r="AJ23" s="74" t="str">
        <f t="shared" si="22"/>
        <v>44905;Matin;Nicolas B.</v>
      </c>
      <c r="AK23" s="73" t="str">
        <f t="shared" si="12"/>
        <v/>
      </c>
      <c r="AL23" s="73" t="str">
        <f t="shared" si="13"/>
        <v/>
      </c>
      <c r="AM23" s="73" t="str">
        <f t="shared" si="14"/>
        <v/>
      </c>
      <c r="AN23" s="73" t="str">
        <f t="shared" si="15"/>
        <v/>
      </c>
      <c r="AP23" s="61" t="str">
        <f t="shared" si="16"/>
        <v/>
      </c>
      <c r="AQ23" s="61" t="str">
        <f t="shared" si="17"/>
        <v/>
      </c>
      <c r="AR23" s="61" t="str">
        <f t="shared" si="18"/>
        <v/>
      </c>
    </row>
    <row r="24" spans="1:44" x14ac:dyDescent="0.25">
      <c r="A24" s="76">
        <v>44905</v>
      </c>
      <c r="B24" s="76" t="s">
        <v>92</v>
      </c>
      <c r="C24" s="76">
        <v>17</v>
      </c>
      <c r="D24" s="76" t="s">
        <v>173</v>
      </c>
      <c r="E24" s="76">
        <v>384</v>
      </c>
      <c r="G24" s="76" t="b">
        <v>1</v>
      </c>
      <c r="J24" s="76" t="s">
        <v>54</v>
      </c>
      <c r="K24" s="76">
        <v>344</v>
      </c>
      <c r="L24" s="76" t="s">
        <v>91</v>
      </c>
      <c r="M24" s="76" t="s">
        <v>93</v>
      </c>
      <c r="P24" s="73" t="str">
        <f t="shared" si="19"/>
        <v/>
      </c>
      <c r="Q24" s="73" t="str">
        <f t="shared" si="20"/>
        <v/>
      </c>
      <c r="R24" s="74" t="str">
        <f t="shared" si="21"/>
        <v/>
      </c>
      <c r="S24" s="74" t="str">
        <f t="shared" si="0"/>
        <v/>
      </c>
      <c r="U24" s="74" t="str">
        <f t="shared" si="6"/>
        <v/>
      </c>
      <c r="V24" s="74" t="str">
        <f t="shared" si="6"/>
        <v/>
      </c>
      <c r="W24" s="74" t="str">
        <f t="shared" si="6"/>
        <v/>
      </c>
      <c r="X24" s="74" t="str">
        <f t="shared" si="6"/>
        <v/>
      </c>
      <c r="Y24" s="74" t="str">
        <f t="shared" si="6"/>
        <v/>
      </c>
      <c r="Z24" s="74">
        <f t="shared" si="7"/>
        <v>384</v>
      </c>
      <c r="AA24" s="74" t="str">
        <f t="shared" si="8"/>
        <v/>
      </c>
      <c r="AB24" s="74">
        <f t="shared" si="9"/>
        <v>1</v>
      </c>
      <c r="AC24" s="74">
        <f t="shared" si="10"/>
        <v>0</v>
      </c>
      <c r="AE24" s="74" t="str">
        <f t="shared" si="2"/>
        <v/>
      </c>
      <c r="AF24" s="74" t="str">
        <f t="shared" si="3"/>
        <v/>
      </c>
      <c r="AG24" s="74" t="str">
        <f t="shared" si="4"/>
        <v/>
      </c>
      <c r="AH24" s="74">
        <f t="shared" si="11"/>
        <v>0</v>
      </c>
      <c r="AI24" s="74" t="str">
        <f>IF(AH24&lt;&gt;0,COUNTIF(AH$3:AH24,1),"")</f>
        <v/>
      </c>
      <c r="AJ24" s="74" t="str">
        <f t="shared" si="22"/>
        <v>44905;Matin;Nicolas B.</v>
      </c>
      <c r="AK24" s="73" t="str">
        <f t="shared" si="12"/>
        <v/>
      </c>
      <c r="AL24" s="73" t="str">
        <f t="shared" si="13"/>
        <v/>
      </c>
      <c r="AM24" s="73" t="str">
        <f t="shared" si="14"/>
        <v/>
      </c>
      <c r="AN24" s="73" t="str">
        <f t="shared" si="15"/>
        <v/>
      </c>
      <c r="AP24" s="61" t="str">
        <f t="shared" si="16"/>
        <v/>
      </c>
      <c r="AQ24" s="61" t="str">
        <f t="shared" si="17"/>
        <v/>
      </c>
      <c r="AR24" s="61" t="str">
        <f t="shared" si="18"/>
        <v/>
      </c>
    </row>
    <row r="25" spans="1:44" x14ac:dyDescent="0.25">
      <c r="A25" s="76">
        <v>44905</v>
      </c>
      <c r="B25" s="76" t="s">
        <v>92</v>
      </c>
      <c r="C25" s="76">
        <v>18</v>
      </c>
      <c r="D25" s="76" t="s">
        <v>174</v>
      </c>
      <c r="E25" s="76">
        <v>384</v>
      </c>
      <c r="G25" s="76" t="b">
        <v>1</v>
      </c>
      <c r="J25" s="76" t="s">
        <v>54</v>
      </c>
      <c r="K25" s="76">
        <v>344</v>
      </c>
      <c r="L25" s="76" t="s">
        <v>91</v>
      </c>
      <c r="M25" s="76" t="s">
        <v>93</v>
      </c>
      <c r="P25" s="73" t="str">
        <f t="shared" si="19"/>
        <v/>
      </c>
      <c r="Q25" s="73" t="str">
        <f t="shared" si="20"/>
        <v/>
      </c>
      <c r="R25" s="74" t="str">
        <f t="shared" si="21"/>
        <v/>
      </c>
      <c r="S25" s="74" t="str">
        <f t="shared" si="0"/>
        <v/>
      </c>
      <c r="U25" s="74" t="str">
        <f t="shared" si="6"/>
        <v/>
      </c>
      <c r="V25" s="74" t="str">
        <f t="shared" si="6"/>
        <v/>
      </c>
      <c r="W25" s="74" t="str">
        <f t="shared" si="6"/>
        <v/>
      </c>
      <c r="X25" s="74" t="str">
        <f t="shared" si="6"/>
        <v/>
      </c>
      <c r="Y25" s="74" t="str">
        <f t="shared" si="6"/>
        <v/>
      </c>
      <c r="Z25" s="74">
        <f t="shared" si="7"/>
        <v>384</v>
      </c>
      <c r="AA25" s="74" t="str">
        <f t="shared" si="8"/>
        <v/>
      </c>
      <c r="AB25" s="74">
        <f t="shared" si="9"/>
        <v>1</v>
      </c>
      <c r="AC25" s="74">
        <f t="shared" si="10"/>
        <v>0</v>
      </c>
      <c r="AE25" s="74" t="str">
        <f t="shared" si="2"/>
        <v/>
      </c>
      <c r="AF25" s="74" t="str">
        <f t="shared" si="3"/>
        <v/>
      </c>
      <c r="AG25" s="74" t="str">
        <f t="shared" si="4"/>
        <v/>
      </c>
      <c r="AH25" s="74">
        <f t="shared" si="11"/>
        <v>0</v>
      </c>
      <c r="AI25" s="74" t="str">
        <f>IF(AH25&lt;&gt;0,COUNTIF(AH$3:AH25,1),"")</f>
        <v/>
      </c>
      <c r="AJ25" s="74" t="str">
        <f t="shared" si="22"/>
        <v>44905;Matin;Nicolas B.</v>
      </c>
      <c r="AK25" s="73" t="str">
        <f t="shared" si="12"/>
        <v/>
      </c>
      <c r="AL25" s="73" t="str">
        <f t="shared" si="13"/>
        <v/>
      </c>
      <c r="AM25" s="73" t="str">
        <f t="shared" si="14"/>
        <v/>
      </c>
      <c r="AN25" s="73" t="str">
        <f t="shared" si="15"/>
        <v/>
      </c>
      <c r="AP25" s="61" t="str">
        <f t="shared" si="16"/>
        <v/>
      </c>
      <c r="AQ25" s="61" t="str">
        <f t="shared" si="17"/>
        <v/>
      </c>
      <c r="AR25" s="61" t="str">
        <f t="shared" si="18"/>
        <v/>
      </c>
    </row>
    <row r="26" spans="1:44" x14ac:dyDescent="0.25">
      <c r="A26" s="76">
        <v>44905</v>
      </c>
      <c r="B26" s="76" t="s">
        <v>92</v>
      </c>
      <c r="C26" s="76">
        <v>19</v>
      </c>
      <c r="D26" s="76" t="s">
        <v>175</v>
      </c>
      <c r="E26" s="76">
        <v>384</v>
      </c>
      <c r="G26" s="76" t="b">
        <v>1</v>
      </c>
      <c r="J26" s="76" t="s">
        <v>54</v>
      </c>
      <c r="K26" s="76">
        <v>344</v>
      </c>
      <c r="L26" s="76" t="s">
        <v>91</v>
      </c>
      <c r="M26" s="76" t="s">
        <v>93</v>
      </c>
      <c r="P26" s="73" t="str">
        <f t="shared" si="19"/>
        <v/>
      </c>
      <c r="Q26" s="73" t="str">
        <f t="shared" si="20"/>
        <v/>
      </c>
      <c r="R26" s="74" t="str">
        <f t="shared" si="21"/>
        <v/>
      </c>
      <c r="S26" s="74" t="str">
        <f t="shared" si="0"/>
        <v/>
      </c>
      <c r="U26" s="74" t="str">
        <f t="shared" si="6"/>
        <v/>
      </c>
      <c r="V26" s="74" t="str">
        <f t="shared" si="6"/>
        <v/>
      </c>
      <c r="W26" s="74" t="str">
        <f t="shared" si="6"/>
        <v/>
      </c>
      <c r="X26" s="74" t="str">
        <f t="shared" si="6"/>
        <v/>
      </c>
      <c r="Y26" s="74" t="str">
        <f t="shared" si="6"/>
        <v/>
      </c>
      <c r="Z26" s="74">
        <f t="shared" si="7"/>
        <v>384</v>
      </c>
      <c r="AA26" s="74" t="str">
        <f t="shared" si="8"/>
        <v/>
      </c>
      <c r="AB26" s="74">
        <f t="shared" si="9"/>
        <v>1</v>
      </c>
      <c r="AC26" s="74">
        <f t="shared" si="10"/>
        <v>0</v>
      </c>
      <c r="AE26" s="74" t="str">
        <f t="shared" si="2"/>
        <v/>
      </c>
      <c r="AF26" s="74" t="str">
        <f t="shared" si="3"/>
        <v/>
      </c>
      <c r="AG26" s="74" t="str">
        <f t="shared" si="4"/>
        <v/>
      </c>
      <c r="AH26" s="74">
        <f t="shared" si="11"/>
        <v>0</v>
      </c>
      <c r="AI26" s="74" t="str">
        <f>IF(AH26&lt;&gt;0,COUNTIF(AH$3:AH26,1),"")</f>
        <v/>
      </c>
      <c r="AJ26" s="74" t="str">
        <f t="shared" si="22"/>
        <v>44905;Matin;Nicolas B.</v>
      </c>
      <c r="AK26" s="73" t="str">
        <f t="shared" si="12"/>
        <v/>
      </c>
      <c r="AL26" s="73" t="str">
        <f t="shared" si="13"/>
        <v/>
      </c>
      <c r="AM26" s="73" t="str">
        <f t="shared" si="14"/>
        <v/>
      </c>
      <c r="AN26" s="73" t="str">
        <f t="shared" si="15"/>
        <v/>
      </c>
      <c r="AP26" s="61" t="str">
        <f t="shared" si="16"/>
        <v/>
      </c>
      <c r="AQ26" s="61" t="str">
        <f t="shared" si="17"/>
        <v/>
      </c>
      <c r="AR26" s="61" t="str">
        <f t="shared" si="18"/>
        <v/>
      </c>
    </row>
    <row r="27" spans="1:44" x14ac:dyDescent="0.25">
      <c r="A27" s="76">
        <v>44905</v>
      </c>
      <c r="B27" s="76" t="s">
        <v>92</v>
      </c>
      <c r="C27" s="76">
        <v>20</v>
      </c>
      <c r="D27" s="76" t="s">
        <v>176</v>
      </c>
      <c r="E27" s="76">
        <v>384</v>
      </c>
      <c r="G27" s="76" t="b">
        <v>1</v>
      </c>
      <c r="J27" s="76" t="s">
        <v>54</v>
      </c>
      <c r="K27" s="76">
        <v>344</v>
      </c>
      <c r="L27" s="76" t="s">
        <v>91</v>
      </c>
      <c r="M27" s="76" t="s">
        <v>93</v>
      </c>
      <c r="P27" s="73" t="str">
        <f t="shared" si="19"/>
        <v/>
      </c>
      <c r="Q27" s="73" t="str">
        <f t="shared" si="20"/>
        <v/>
      </c>
      <c r="R27" s="74" t="str">
        <f t="shared" si="21"/>
        <v/>
      </c>
      <c r="S27" s="74" t="str">
        <f t="shared" si="0"/>
        <v/>
      </c>
      <c r="U27" s="74" t="str">
        <f t="shared" si="6"/>
        <v/>
      </c>
      <c r="V27" s="74" t="str">
        <f t="shared" si="6"/>
        <v/>
      </c>
      <c r="W27" s="74" t="str">
        <f t="shared" si="6"/>
        <v/>
      </c>
      <c r="X27" s="74" t="str">
        <f t="shared" si="6"/>
        <v/>
      </c>
      <c r="Y27" s="74" t="str">
        <f t="shared" si="6"/>
        <v/>
      </c>
      <c r="Z27" s="74">
        <f t="shared" si="7"/>
        <v>384</v>
      </c>
      <c r="AA27" s="74" t="str">
        <f t="shared" si="8"/>
        <v/>
      </c>
      <c r="AB27" s="74">
        <f t="shared" si="9"/>
        <v>1</v>
      </c>
      <c r="AC27" s="74">
        <f t="shared" si="10"/>
        <v>0</v>
      </c>
      <c r="AE27" s="74" t="str">
        <f t="shared" si="2"/>
        <v/>
      </c>
      <c r="AF27" s="74" t="str">
        <f t="shared" si="3"/>
        <v/>
      </c>
      <c r="AG27" s="74" t="str">
        <f t="shared" si="4"/>
        <v/>
      </c>
      <c r="AH27" s="74">
        <f t="shared" si="11"/>
        <v>0</v>
      </c>
      <c r="AI27" s="74" t="str">
        <f>IF(AH27&lt;&gt;0,COUNTIF(AH$3:AH27,1),"")</f>
        <v/>
      </c>
      <c r="AJ27" s="74" t="str">
        <f t="shared" si="22"/>
        <v>44905;Matin;Nicolas B.</v>
      </c>
      <c r="AK27" s="73" t="str">
        <f t="shared" si="12"/>
        <v/>
      </c>
      <c r="AL27" s="73" t="str">
        <f t="shared" si="13"/>
        <v/>
      </c>
      <c r="AM27" s="73" t="str">
        <f t="shared" si="14"/>
        <v/>
      </c>
      <c r="AN27" s="73" t="str">
        <f t="shared" si="15"/>
        <v/>
      </c>
      <c r="AP27" s="61" t="str">
        <f t="shared" si="16"/>
        <v/>
      </c>
      <c r="AQ27" s="61" t="str">
        <f t="shared" si="17"/>
        <v/>
      </c>
      <c r="AR27" s="61" t="str">
        <f t="shared" si="18"/>
        <v/>
      </c>
    </row>
    <row r="28" spans="1:44" x14ac:dyDescent="0.25">
      <c r="A28" s="76">
        <v>44905</v>
      </c>
      <c r="B28" s="76" t="s">
        <v>92</v>
      </c>
      <c r="C28" s="76">
        <v>21</v>
      </c>
      <c r="D28" s="76" t="s">
        <v>177</v>
      </c>
      <c r="E28" s="76">
        <v>384</v>
      </c>
      <c r="G28" s="76" t="b">
        <v>1</v>
      </c>
      <c r="J28" s="76" t="s">
        <v>54</v>
      </c>
      <c r="K28" s="76">
        <v>344</v>
      </c>
      <c r="L28" s="76" t="s">
        <v>91</v>
      </c>
      <c r="M28" s="76" t="s">
        <v>93</v>
      </c>
      <c r="P28" s="73" t="str">
        <f t="shared" si="19"/>
        <v/>
      </c>
      <c r="Q28" s="73" t="str">
        <f t="shared" si="20"/>
        <v/>
      </c>
      <c r="R28" s="74" t="str">
        <f t="shared" si="21"/>
        <v/>
      </c>
      <c r="S28" s="74" t="str">
        <f t="shared" si="0"/>
        <v/>
      </c>
      <c r="U28" s="74" t="str">
        <f t="shared" si="6"/>
        <v/>
      </c>
      <c r="V28" s="74" t="str">
        <f t="shared" si="6"/>
        <v/>
      </c>
      <c r="W28" s="74" t="str">
        <f t="shared" si="6"/>
        <v/>
      </c>
      <c r="X28" s="74" t="str">
        <f t="shared" si="6"/>
        <v/>
      </c>
      <c r="Y28" s="74" t="str">
        <f t="shared" si="6"/>
        <v/>
      </c>
      <c r="Z28" s="74">
        <f t="shared" si="7"/>
        <v>384</v>
      </c>
      <c r="AA28" s="74" t="str">
        <f t="shared" si="8"/>
        <v/>
      </c>
      <c r="AB28" s="74">
        <f t="shared" si="9"/>
        <v>1</v>
      </c>
      <c r="AC28" s="74">
        <f t="shared" si="10"/>
        <v>0</v>
      </c>
      <c r="AE28" s="74" t="str">
        <f t="shared" si="2"/>
        <v/>
      </c>
      <c r="AF28" s="74" t="str">
        <f t="shared" si="3"/>
        <v/>
      </c>
      <c r="AG28" s="74" t="str">
        <f t="shared" si="4"/>
        <v/>
      </c>
      <c r="AH28" s="74">
        <f t="shared" si="11"/>
        <v>0</v>
      </c>
      <c r="AI28" s="74" t="str">
        <f>IF(AH28&lt;&gt;0,COUNTIF(AH$3:AH28,1),"")</f>
        <v/>
      </c>
      <c r="AJ28" s="74" t="str">
        <f t="shared" si="22"/>
        <v>44905;Matin;Nicolas B.</v>
      </c>
      <c r="AK28" s="73" t="str">
        <f t="shared" si="12"/>
        <v/>
      </c>
      <c r="AL28" s="73" t="str">
        <f t="shared" si="13"/>
        <v/>
      </c>
      <c r="AM28" s="73" t="str">
        <f t="shared" si="14"/>
        <v/>
      </c>
      <c r="AN28" s="73" t="str">
        <f t="shared" si="15"/>
        <v/>
      </c>
      <c r="AP28" s="61" t="str">
        <f t="shared" si="16"/>
        <v/>
      </c>
      <c r="AQ28" s="61" t="str">
        <f t="shared" si="17"/>
        <v/>
      </c>
      <c r="AR28" s="61" t="str">
        <f t="shared" si="18"/>
        <v/>
      </c>
    </row>
    <row r="29" spans="1:44" x14ac:dyDescent="0.25">
      <c r="A29" s="76">
        <v>44905</v>
      </c>
      <c r="B29" s="76" t="s">
        <v>92</v>
      </c>
      <c r="C29" s="76">
        <v>22</v>
      </c>
      <c r="D29" s="76" t="s">
        <v>178</v>
      </c>
      <c r="E29" s="76">
        <v>384</v>
      </c>
      <c r="G29" s="76" t="b">
        <v>1</v>
      </c>
      <c r="J29" s="76" t="s">
        <v>54</v>
      </c>
      <c r="K29" s="76">
        <v>344</v>
      </c>
      <c r="L29" s="76" t="s">
        <v>91</v>
      </c>
      <c r="M29" s="76" t="s">
        <v>93</v>
      </c>
      <c r="N29" s="76" t="s">
        <v>137</v>
      </c>
      <c r="P29" s="73" t="str">
        <f t="shared" si="19"/>
        <v>32</v>
      </c>
      <c r="Q29" s="73" t="str">
        <f t="shared" si="20"/>
        <v>31</v>
      </c>
      <c r="R29" s="74" t="str">
        <f t="shared" si="21"/>
        <v/>
      </c>
      <c r="S29" s="74" t="str">
        <f t="shared" si="0"/>
        <v/>
      </c>
      <c r="U29" s="74" t="str">
        <f t="shared" si="6"/>
        <v/>
      </c>
      <c r="V29" s="74" t="str">
        <f t="shared" si="6"/>
        <v/>
      </c>
      <c r="W29" s="74" t="str">
        <f t="shared" si="6"/>
        <v/>
      </c>
      <c r="X29" s="74" t="str">
        <f t="shared" si="6"/>
        <v/>
      </c>
      <c r="Y29" s="74" t="str">
        <f t="shared" si="6"/>
        <v/>
      </c>
      <c r="Z29" s="74">
        <f t="shared" si="7"/>
        <v>384</v>
      </c>
      <c r="AA29" s="74" t="str">
        <f t="shared" si="8"/>
        <v/>
      </c>
      <c r="AB29" s="74">
        <f t="shared" si="9"/>
        <v>1</v>
      </c>
      <c r="AC29" s="74">
        <f t="shared" si="10"/>
        <v>0</v>
      </c>
      <c r="AE29" s="74" t="b">
        <f t="shared" si="2"/>
        <v>1</v>
      </c>
      <c r="AF29" s="74" t="b">
        <f t="shared" si="3"/>
        <v>1</v>
      </c>
      <c r="AG29" s="74" t="str">
        <f t="shared" si="4"/>
        <v/>
      </c>
      <c r="AH29" s="74">
        <f t="shared" si="11"/>
        <v>0</v>
      </c>
      <c r="AI29" s="74" t="str">
        <f>IF(AH29&lt;&gt;0,COUNTIF(AH$3:AH29,1),"")</f>
        <v/>
      </c>
      <c r="AJ29" s="74" t="str">
        <f t="shared" si="22"/>
        <v>44905;Matin;Nicolas B.</v>
      </c>
      <c r="AK29" s="73" t="str">
        <f t="shared" si="12"/>
        <v>32</v>
      </c>
      <c r="AL29" s="73" t="str">
        <f t="shared" si="13"/>
        <v>31</v>
      </c>
      <c r="AM29" s="73" t="str">
        <f t="shared" si="14"/>
        <v/>
      </c>
      <c r="AN29" s="73" t="str">
        <f t="shared" si="15"/>
        <v/>
      </c>
      <c r="AP29" s="61">
        <f t="shared" si="16"/>
        <v>32</v>
      </c>
      <c r="AQ29" s="61">
        <f t="shared" si="17"/>
        <v>31</v>
      </c>
      <c r="AR29" s="61" t="str">
        <f t="shared" si="18"/>
        <v/>
      </c>
    </row>
    <row r="30" spans="1:44" x14ac:dyDescent="0.25">
      <c r="A30" s="76">
        <v>44905</v>
      </c>
      <c r="B30" s="76" t="s">
        <v>92</v>
      </c>
      <c r="C30" s="76">
        <v>23</v>
      </c>
      <c r="D30" s="76" t="s">
        <v>179</v>
      </c>
      <c r="E30" s="76">
        <v>384</v>
      </c>
      <c r="G30" s="76" t="b">
        <v>1</v>
      </c>
      <c r="J30" s="76" t="s">
        <v>54</v>
      </c>
      <c r="K30" s="76">
        <v>344</v>
      </c>
      <c r="L30" s="76" t="s">
        <v>91</v>
      </c>
      <c r="M30" s="76" t="s">
        <v>93</v>
      </c>
      <c r="O30" s="76" t="s">
        <v>155</v>
      </c>
      <c r="P30" s="73" t="str">
        <f t="shared" si="19"/>
        <v/>
      </c>
      <c r="Q30" s="73" t="str">
        <f t="shared" si="20"/>
        <v/>
      </c>
      <c r="R30" s="74" t="str">
        <f t="shared" si="21"/>
        <v>302</v>
      </c>
      <c r="S30" s="74" t="b">
        <f t="shared" si="0"/>
        <v>1</v>
      </c>
      <c r="U30" s="74" t="str">
        <f t="shared" si="6"/>
        <v/>
      </c>
      <c r="V30" s="74" t="str">
        <f t="shared" si="6"/>
        <v/>
      </c>
      <c r="W30" s="74" t="str">
        <f t="shared" si="6"/>
        <v/>
      </c>
      <c r="X30" s="74" t="str">
        <f t="shared" si="6"/>
        <v/>
      </c>
      <c r="Y30" s="74" t="str">
        <f t="shared" si="6"/>
        <v/>
      </c>
      <c r="Z30" s="74">
        <f t="shared" si="7"/>
        <v>384</v>
      </c>
      <c r="AA30" s="74" t="str">
        <f t="shared" si="8"/>
        <v/>
      </c>
      <c r="AB30" s="74">
        <f t="shared" si="9"/>
        <v>1</v>
      </c>
      <c r="AC30" s="74">
        <f t="shared" si="10"/>
        <v>0</v>
      </c>
      <c r="AE30" s="74" t="str">
        <f t="shared" si="2"/>
        <v/>
      </c>
      <c r="AF30" s="74" t="str">
        <f t="shared" si="3"/>
        <v/>
      </c>
      <c r="AG30" s="74" t="b">
        <f t="shared" si="4"/>
        <v>1</v>
      </c>
      <c r="AH30" s="74">
        <f t="shared" si="11"/>
        <v>0</v>
      </c>
      <c r="AI30" s="74" t="str">
        <f>IF(AH30&lt;&gt;0,COUNTIF(AH$3:AH30,1),"")</f>
        <v/>
      </c>
      <c r="AJ30" s="74" t="str">
        <f t="shared" si="22"/>
        <v>44905;Matin;Nicolas B.</v>
      </c>
      <c r="AK30" s="73" t="str">
        <f t="shared" si="12"/>
        <v/>
      </c>
      <c r="AL30" s="73" t="str">
        <f t="shared" si="13"/>
        <v/>
      </c>
      <c r="AM30" s="73" t="str">
        <f t="shared" si="14"/>
        <v>302</v>
      </c>
      <c r="AN30" s="73" t="b">
        <f t="shared" si="15"/>
        <v>1</v>
      </c>
      <c r="AP30" s="61" t="str">
        <f t="shared" si="16"/>
        <v/>
      </c>
      <c r="AQ30" s="61" t="str">
        <f t="shared" si="17"/>
        <v/>
      </c>
      <c r="AR30" s="61">
        <f t="shared" si="18"/>
        <v>302</v>
      </c>
    </row>
    <row r="31" spans="1:44" x14ac:dyDescent="0.25">
      <c r="A31" s="76">
        <v>44905</v>
      </c>
      <c r="B31" s="76" t="s">
        <v>92</v>
      </c>
      <c r="C31" s="76">
        <v>24</v>
      </c>
      <c r="D31" s="76" t="s">
        <v>180</v>
      </c>
      <c r="E31" s="76">
        <v>384</v>
      </c>
      <c r="G31" s="76" t="b">
        <v>1</v>
      </c>
      <c r="J31" s="76" t="s">
        <v>54</v>
      </c>
      <c r="K31" s="76">
        <v>344</v>
      </c>
      <c r="L31" s="76" t="s">
        <v>91</v>
      </c>
      <c r="M31" s="76" t="s">
        <v>93</v>
      </c>
      <c r="P31" s="73" t="str">
        <f t="shared" si="19"/>
        <v/>
      </c>
      <c r="Q31" s="73" t="str">
        <f t="shared" si="20"/>
        <v/>
      </c>
      <c r="R31" s="74" t="str">
        <f t="shared" si="21"/>
        <v/>
      </c>
      <c r="S31" s="74" t="str">
        <f t="shared" si="0"/>
        <v/>
      </c>
      <c r="U31" s="74" t="str">
        <f t="shared" si="6"/>
        <v/>
      </c>
      <c r="V31" s="74" t="str">
        <f t="shared" si="6"/>
        <v/>
      </c>
      <c r="W31" s="74" t="str">
        <f t="shared" si="6"/>
        <v/>
      </c>
      <c r="X31" s="74" t="str">
        <f t="shared" si="6"/>
        <v/>
      </c>
      <c r="Y31" s="74" t="str">
        <f t="shared" si="6"/>
        <v/>
      </c>
      <c r="Z31" s="74">
        <f t="shared" si="7"/>
        <v>384</v>
      </c>
      <c r="AA31" s="74" t="str">
        <f t="shared" si="8"/>
        <v/>
      </c>
      <c r="AB31" s="74">
        <f t="shared" si="9"/>
        <v>1</v>
      </c>
      <c r="AC31" s="74">
        <f t="shared" si="10"/>
        <v>0</v>
      </c>
      <c r="AE31" s="74" t="str">
        <f t="shared" si="2"/>
        <v/>
      </c>
      <c r="AF31" s="74" t="str">
        <f t="shared" si="3"/>
        <v/>
      </c>
      <c r="AG31" s="74" t="str">
        <f t="shared" si="4"/>
        <v/>
      </c>
      <c r="AH31" s="74">
        <f t="shared" si="11"/>
        <v>0</v>
      </c>
      <c r="AI31" s="74" t="str">
        <f>IF(AH31&lt;&gt;0,COUNTIF(AH$3:AH31,1),"")</f>
        <v/>
      </c>
      <c r="AJ31" s="74" t="str">
        <f t="shared" si="22"/>
        <v>44905;Matin;Nicolas B.</v>
      </c>
      <c r="AK31" s="73" t="str">
        <f t="shared" si="12"/>
        <v/>
      </c>
      <c r="AL31" s="73" t="str">
        <f t="shared" si="13"/>
        <v/>
      </c>
      <c r="AM31" s="73" t="str">
        <f t="shared" si="14"/>
        <v/>
      </c>
      <c r="AN31" s="73" t="str">
        <f t="shared" si="15"/>
        <v/>
      </c>
      <c r="AP31" s="61" t="str">
        <f t="shared" si="16"/>
        <v/>
      </c>
      <c r="AQ31" s="61" t="str">
        <f t="shared" si="17"/>
        <v/>
      </c>
      <c r="AR31" s="61" t="str">
        <f t="shared" si="18"/>
        <v/>
      </c>
    </row>
    <row r="32" spans="1:44" x14ac:dyDescent="0.25">
      <c r="A32" s="76">
        <v>44905</v>
      </c>
      <c r="B32" s="76" t="s">
        <v>92</v>
      </c>
      <c r="C32" s="76">
        <v>25</v>
      </c>
      <c r="D32" s="76" t="s">
        <v>181</v>
      </c>
      <c r="E32" s="76">
        <v>384</v>
      </c>
      <c r="G32" s="76" t="b">
        <v>1</v>
      </c>
      <c r="J32" s="76" t="s">
        <v>54</v>
      </c>
      <c r="K32" s="76">
        <v>344</v>
      </c>
      <c r="L32" s="76" t="s">
        <v>91</v>
      </c>
      <c r="M32" s="76" t="s">
        <v>93</v>
      </c>
      <c r="P32" s="73" t="str">
        <f t="shared" si="19"/>
        <v/>
      </c>
      <c r="Q32" s="73" t="str">
        <f t="shared" si="20"/>
        <v/>
      </c>
      <c r="R32" s="74" t="str">
        <f t="shared" si="21"/>
        <v/>
      </c>
      <c r="S32" s="74" t="str">
        <f t="shared" si="0"/>
        <v/>
      </c>
      <c r="U32" s="74" t="str">
        <f t="shared" si="6"/>
        <v/>
      </c>
      <c r="V32" s="74" t="str">
        <f t="shared" si="6"/>
        <v/>
      </c>
      <c r="W32" s="74" t="str">
        <f t="shared" si="6"/>
        <v/>
      </c>
      <c r="X32" s="74" t="str">
        <f t="shared" si="6"/>
        <v/>
      </c>
      <c r="Y32" s="74" t="str">
        <f t="shared" si="6"/>
        <v/>
      </c>
      <c r="Z32" s="74">
        <f t="shared" si="7"/>
        <v>384</v>
      </c>
      <c r="AA32" s="74" t="str">
        <f t="shared" si="8"/>
        <v/>
      </c>
      <c r="AB32" s="74">
        <f t="shared" si="9"/>
        <v>1</v>
      </c>
      <c r="AC32" s="74">
        <f t="shared" si="10"/>
        <v>0</v>
      </c>
      <c r="AE32" s="74" t="str">
        <f t="shared" si="2"/>
        <v/>
      </c>
      <c r="AF32" s="74" t="str">
        <f t="shared" si="3"/>
        <v/>
      </c>
      <c r="AG32" s="74" t="str">
        <f t="shared" si="4"/>
        <v/>
      </c>
      <c r="AH32" s="74">
        <f t="shared" si="11"/>
        <v>0</v>
      </c>
      <c r="AI32" s="74" t="str">
        <f>IF(AH32&lt;&gt;0,COUNTIF(AH$3:AH32,1),"")</f>
        <v/>
      </c>
      <c r="AJ32" s="74" t="str">
        <f t="shared" si="22"/>
        <v>44905;Matin;Nicolas B.</v>
      </c>
      <c r="AK32" s="73" t="str">
        <f t="shared" si="12"/>
        <v/>
      </c>
      <c r="AL32" s="73" t="str">
        <f t="shared" si="13"/>
        <v/>
      </c>
      <c r="AM32" s="73" t="str">
        <f t="shared" si="14"/>
        <v/>
      </c>
      <c r="AN32" s="73" t="str">
        <f t="shared" si="15"/>
        <v/>
      </c>
      <c r="AP32" s="61" t="str">
        <f t="shared" si="16"/>
        <v/>
      </c>
      <c r="AQ32" s="61" t="str">
        <f t="shared" si="17"/>
        <v/>
      </c>
      <c r="AR32" s="61" t="str">
        <f t="shared" si="18"/>
        <v/>
      </c>
    </row>
    <row r="33" spans="1:44" x14ac:dyDescent="0.25">
      <c r="A33" s="76">
        <v>44905</v>
      </c>
      <c r="B33" s="76" t="s">
        <v>92</v>
      </c>
      <c r="C33" s="76">
        <v>26</v>
      </c>
      <c r="D33" s="76" t="s">
        <v>182</v>
      </c>
      <c r="E33" s="76">
        <v>384</v>
      </c>
      <c r="G33" s="76" t="b">
        <v>1</v>
      </c>
      <c r="J33" s="76" t="s">
        <v>54</v>
      </c>
      <c r="K33" s="76">
        <v>344</v>
      </c>
      <c r="L33" s="76" t="s">
        <v>91</v>
      </c>
      <c r="M33" s="76" t="s">
        <v>93</v>
      </c>
      <c r="P33" s="73" t="str">
        <f t="shared" si="19"/>
        <v/>
      </c>
      <c r="Q33" s="73" t="str">
        <f t="shared" si="20"/>
        <v/>
      </c>
      <c r="R33" s="74" t="str">
        <f t="shared" si="21"/>
        <v/>
      </c>
      <c r="S33" s="74" t="str">
        <f t="shared" si="0"/>
        <v/>
      </c>
      <c r="U33" s="74" t="str">
        <f t="shared" si="6"/>
        <v/>
      </c>
      <c r="V33" s="74" t="str">
        <f t="shared" si="6"/>
        <v/>
      </c>
      <c r="W33" s="74" t="str">
        <f t="shared" si="6"/>
        <v/>
      </c>
      <c r="X33" s="74" t="str">
        <f t="shared" si="6"/>
        <v/>
      </c>
      <c r="Y33" s="74" t="str">
        <f t="shared" si="6"/>
        <v/>
      </c>
      <c r="Z33" s="74">
        <f t="shared" si="7"/>
        <v>384</v>
      </c>
      <c r="AA33" s="74" t="str">
        <f t="shared" si="8"/>
        <v/>
      </c>
      <c r="AB33" s="74">
        <f t="shared" si="9"/>
        <v>1</v>
      </c>
      <c r="AC33" s="74">
        <f t="shared" si="10"/>
        <v>0</v>
      </c>
      <c r="AE33" s="74" t="str">
        <f t="shared" si="2"/>
        <v/>
      </c>
      <c r="AF33" s="74" t="str">
        <f t="shared" si="3"/>
        <v/>
      </c>
      <c r="AG33" s="74" t="str">
        <f t="shared" si="4"/>
        <v/>
      </c>
      <c r="AH33" s="74">
        <f t="shared" si="11"/>
        <v>0</v>
      </c>
      <c r="AI33" s="74" t="str">
        <f>IF(AH33&lt;&gt;0,COUNTIF(AH$3:AH33,1),"")</f>
        <v/>
      </c>
      <c r="AJ33" s="74" t="str">
        <f t="shared" si="22"/>
        <v>44905;Matin;Nicolas B.</v>
      </c>
      <c r="AK33" s="73" t="str">
        <f t="shared" si="12"/>
        <v/>
      </c>
      <c r="AL33" s="73" t="str">
        <f t="shared" si="13"/>
        <v/>
      </c>
      <c r="AM33" s="73" t="str">
        <f t="shared" si="14"/>
        <v/>
      </c>
      <c r="AN33" s="73" t="str">
        <f t="shared" si="15"/>
        <v/>
      </c>
      <c r="AP33" s="61" t="str">
        <f t="shared" si="16"/>
        <v/>
      </c>
      <c r="AQ33" s="61" t="str">
        <f t="shared" si="17"/>
        <v/>
      </c>
      <c r="AR33" s="61" t="str">
        <f t="shared" si="18"/>
        <v/>
      </c>
    </row>
    <row r="34" spans="1:44" x14ac:dyDescent="0.25">
      <c r="A34" s="76">
        <v>44905</v>
      </c>
      <c r="B34" s="76" t="s">
        <v>92</v>
      </c>
      <c r="D34" s="76" t="s">
        <v>95</v>
      </c>
      <c r="E34" s="76">
        <v>384</v>
      </c>
      <c r="F34" s="76" t="s">
        <v>27</v>
      </c>
      <c r="G34" s="76" t="b">
        <v>0</v>
      </c>
      <c r="J34" s="76" t="s">
        <v>88</v>
      </c>
      <c r="K34" s="76">
        <v>344</v>
      </c>
      <c r="L34" s="76" t="s">
        <v>183</v>
      </c>
      <c r="M34" s="76" t="s">
        <v>94</v>
      </c>
      <c r="P34" s="73" t="str">
        <f t="shared" si="19"/>
        <v/>
      </c>
      <c r="Q34" s="73" t="str">
        <f t="shared" si="20"/>
        <v/>
      </c>
      <c r="R34" s="74" t="str">
        <f t="shared" si="21"/>
        <v/>
      </c>
      <c r="S34" s="74" t="str">
        <f t="shared" si="0"/>
        <v/>
      </c>
      <c r="U34" s="74" t="str">
        <f t="shared" si="6"/>
        <v/>
      </c>
      <c r="V34" s="74" t="str">
        <f t="shared" si="6"/>
        <v/>
      </c>
      <c r="W34" s="74" t="str">
        <f t="shared" si="6"/>
        <v/>
      </c>
      <c r="X34" s="74" t="str">
        <f t="shared" si="6"/>
        <v/>
      </c>
      <c r="Y34" s="74">
        <f t="shared" si="6"/>
        <v>384</v>
      </c>
      <c r="Z34" s="74" t="str">
        <f t="shared" si="7"/>
        <v/>
      </c>
      <c r="AA34" s="74">
        <f t="shared" si="8"/>
        <v>384</v>
      </c>
      <c r="AB34" s="74">
        <f t="shared" si="9"/>
        <v>0</v>
      </c>
      <c r="AC34" s="74">
        <f t="shared" si="10"/>
        <v>1</v>
      </c>
      <c r="AE34" s="74" t="str">
        <f t="shared" si="2"/>
        <v/>
      </c>
      <c r="AF34" s="74" t="str">
        <f t="shared" si="3"/>
        <v/>
      </c>
      <c r="AG34" s="74" t="str">
        <f t="shared" si="4"/>
        <v/>
      </c>
      <c r="AH34" s="74">
        <f t="shared" si="11"/>
        <v>0</v>
      </c>
      <c r="AI34" s="74" t="str">
        <f>IF(AH34&lt;&gt;0,COUNTIF(AH$3:AH34,1),"")</f>
        <v/>
      </c>
      <c r="AJ34" s="74" t="str">
        <f t="shared" si="22"/>
        <v>44905;Après-Midi;Stéphane M.</v>
      </c>
      <c r="AK34" s="73" t="str">
        <f t="shared" si="12"/>
        <v/>
      </c>
      <c r="AL34" s="73" t="str">
        <f t="shared" si="13"/>
        <v/>
      </c>
      <c r="AM34" s="73" t="str">
        <f t="shared" si="14"/>
        <v/>
      </c>
      <c r="AN34" s="73" t="str">
        <f t="shared" si="15"/>
        <v/>
      </c>
      <c r="AP34" s="61" t="str">
        <f t="shared" si="16"/>
        <v/>
      </c>
      <c r="AQ34" s="61" t="str">
        <f t="shared" si="17"/>
        <v/>
      </c>
      <c r="AR34" s="61" t="str">
        <f t="shared" si="18"/>
        <v/>
      </c>
    </row>
    <row r="35" spans="1:44" x14ac:dyDescent="0.25">
      <c r="A35" s="76">
        <v>44905</v>
      </c>
      <c r="B35" s="76" t="s">
        <v>92</v>
      </c>
      <c r="C35" s="76">
        <v>1</v>
      </c>
      <c r="D35" s="76" t="s">
        <v>96</v>
      </c>
      <c r="E35" s="76">
        <v>384</v>
      </c>
      <c r="G35" s="76" t="b">
        <v>1</v>
      </c>
      <c r="J35" s="76" t="s">
        <v>88</v>
      </c>
      <c r="K35" s="76">
        <v>344</v>
      </c>
      <c r="L35" s="76" t="s">
        <v>183</v>
      </c>
      <c r="M35" s="76" t="s">
        <v>94</v>
      </c>
      <c r="P35" s="73" t="str">
        <f t="shared" si="19"/>
        <v/>
      </c>
      <c r="Q35" s="73" t="str">
        <f t="shared" si="20"/>
        <v/>
      </c>
      <c r="R35" s="74" t="str">
        <f t="shared" si="21"/>
        <v/>
      </c>
      <c r="S35" s="74" t="str">
        <f t="shared" si="0"/>
        <v/>
      </c>
      <c r="U35" s="74" t="str">
        <f t="shared" si="6"/>
        <v/>
      </c>
      <c r="V35" s="74" t="str">
        <f t="shared" si="6"/>
        <v/>
      </c>
      <c r="W35" s="74" t="str">
        <f t="shared" si="6"/>
        <v/>
      </c>
      <c r="X35" s="74" t="str">
        <f t="shared" si="6"/>
        <v/>
      </c>
      <c r="Y35" s="74" t="str">
        <f t="shared" si="6"/>
        <v/>
      </c>
      <c r="Z35" s="74">
        <f t="shared" si="7"/>
        <v>384</v>
      </c>
      <c r="AA35" s="74" t="str">
        <f t="shared" si="8"/>
        <v/>
      </c>
      <c r="AB35" s="74">
        <f t="shared" si="9"/>
        <v>1</v>
      </c>
      <c r="AC35" s="74">
        <f t="shared" si="10"/>
        <v>0</v>
      </c>
      <c r="AE35" s="74" t="str">
        <f t="shared" si="2"/>
        <v/>
      </c>
      <c r="AF35" s="74" t="str">
        <f t="shared" si="3"/>
        <v/>
      </c>
      <c r="AG35" s="74" t="str">
        <f t="shared" si="4"/>
        <v/>
      </c>
      <c r="AH35" s="74">
        <f t="shared" si="11"/>
        <v>0</v>
      </c>
      <c r="AI35" s="74" t="str">
        <f>IF(AH35&lt;&gt;0,COUNTIF(AH$3:AH35,1),"")</f>
        <v/>
      </c>
      <c r="AJ35" s="74" t="str">
        <f t="shared" si="22"/>
        <v>44905;Après-Midi;Stéphane M.</v>
      </c>
      <c r="AK35" s="73" t="str">
        <f t="shared" si="12"/>
        <v/>
      </c>
      <c r="AL35" s="73" t="str">
        <f t="shared" si="13"/>
        <v/>
      </c>
      <c r="AM35" s="73" t="str">
        <f t="shared" si="14"/>
        <v/>
      </c>
      <c r="AN35" s="73" t="str">
        <f t="shared" si="15"/>
        <v/>
      </c>
      <c r="AP35" s="61" t="str">
        <f t="shared" si="16"/>
        <v/>
      </c>
      <c r="AQ35" s="61" t="str">
        <f t="shared" si="17"/>
        <v/>
      </c>
      <c r="AR35" s="61" t="str">
        <f t="shared" si="18"/>
        <v/>
      </c>
    </row>
    <row r="36" spans="1:44" x14ac:dyDescent="0.25">
      <c r="A36" s="76">
        <v>44905</v>
      </c>
      <c r="B36" s="76" t="s">
        <v>92</v>
      </c>
      <c r="C36" s="76">
        <v>2</v>
      </c>
      <c r="D36" s="76" t="s">
        <v>97</v>
      </c>
      <c r="E36" s="76">
        <v>384</v>
      </c>
      <c r="G36" s="76" t="b">
        <v>1</v>
      </c>
      <c r="J36" s="76" t="s">
        <v>88</v>
      </c>
      <c r="K36" s="76">
        <v>344</v>
      </c>
      <c r="L36" s="76" t="s">
        <v>183</v>
      </c>
      <c r="M36" s="76" t="s">
        <v>94</v>
      </c>
      <c r="P36" s="73" t="str">
        <f t="shared" si="19"/>
        <v/>
      </c>
      <c r="Q36" s="73" t="str">
        <f t="shared" si="20"/>
        <v/>
      </c>
      <c r="R36" s="74" t="str">
        <f t="shared" si="21"/>
        <v/>
      </c>
      <c r="S36" s="74" t="str">
        <f t="shared" si="0"/>
        <v/>
      </c>
      <c r="U36" s="74" t="str">
        <f t="shared" ref="U36:Y67" si="23">IF($F36=U$1,$E36,"")</f>
        <v/>
      </c>
      <c r="V36" s="74" t="str">
        <f t="shared" si="23"/>
        <v/>
      </c>
      <c r="W36" s="74" t="str">
        <f t="shared" si="23"/>
        <v/>
      </c>
      <c r="X36" s="74" t="str">
        <f t="shared" si="23"/>
        <v/>
      </c>
      <c r="Y36" s="74" t="str">
        <f t="shared" si="23"/>
        <v/>
      </c>
      <c r="Z36" s="74">
        <f t="shared" si="7"/>
        <v>384</v>
      </c>
      <c r="AA36" s="74" t="str">
        <f t="shared" si="8"/>
        <v/>
      </c>
      <c r="AB36" s="74">
        <f t="shared" si="9"/>
        <v>1</v>
      </c>
      <c r="AC36" s="74">
        <f t="shared" si="10"/>
        <v>0</v>
      </c>
      <c r="AE36" s="74" t="str">
        <f t="shared" si="2"/>
        <v/>
      </c>
      <c r="AF36" s="74" t="str">
        <f t="shared" si="3"/>
        <v/>
      </c>
      <c r="AG36" s="74" t="str">
        <f t="shared" si="4"/>
        <v/>
      </c>
      <c r="AH36" s="74">
        <f t="shared" si="11"/>
        <v>0</v>
      </c>
      <c r="AI36" s="74" t="str">
        <f>IF(AH36&lt;&gt;0,COUNTIF(AH$3:AH36,1),"")</f>
        <v/>
      </c>
      <c r="AJ36" s="74" t="str">
        <f t="shared" si="22"/>
        <v>44905;Après-Midi;Stéphane M.</v>
      </c>
      <c r="AK36" s="73" t="str">
        <f t="shared" si="12"/>
        <v/>
      </c>
      <c r="AL36" s="73" t="str">
        <f t="shared" si="13"/>
        <v/>
      </c>
      <c r="AM36" s="73" t="str">
        <f t="shared" si="14"/>
        <v/>
      </c>
      <c r="AN36" s="73" t="str">
        <f t="shared" si="15"/>
        <v/>
      </c>
      <c r="AP36" s="61" t="str">
        <f t="shared" si="16"/>
        <v/>
      </c>
      <c r="AQ36" s="61" t="str">
        <f t="shared" si="17"/>
        <v/>
      </c>
      <c r="AR36" s="61" t="str">
        <f t="shared" si="18"/>
        <v/>
      </c>
    </row>
    <row r="37" spans="1:44" x14ac:dyDescent="0.25">
      <c r="A37" s="76">
        <v>44905</v>
      </c>
      <c r="B37" s="76" t="s">
        <v>92</v>
      </c>
      <c r="C37" s="76">
        <v>3</v>
      </c>
      <c r="D37" s="76" t="s">
        <v>98</v>
      </c>
      <c r="E37" s="76">
        <v>384</v>
      </c>
      <c r="G37" s="76" t="b">
        <v>1</v>
      </c>
      <c r="J37" s="76" t="s">
        <v>88</v>
      </c>
      <c r="K37" s="76">
        <v>344</v>
      </c>
      <c r="L37" s="76" t="s">
        <v>183</v>
      </c>
      <c r="M37" s="76" t="s">
        <v>94</v>
      </c>
      <c r="O37" s="76" t="s">
        <v>133</v>
      </c>
      <c r="P37" s="73" t="str">
        <f t="shared" si="19"/>
        <v/>
      </c>
      <c r="Q37" s="73" t="str">
        <f t="shared" si="20"/>
        <v/>
      </c>
      <c r="R37" s="74" t="str">
        <f t="shared" si="21"/>
        <v>298</v>
      </c>
      <c r="S37" s="74" t="b">
        <f t="shared" si="0"/>
        <v>1</v>
      </c>
      <c r="U37" s="74" t="str">
        <f t="shared" si="23"/>
        <v/>
      </c>
      <c r="V37" s="74" t="str">
        <f t="shared" si="23"/>
        <v/>
      </c>
      <c r="W37" s="74" t="str">
        <f t="shared" si="23"/>
        <v/>
      </c>
      <c r="X37" s="74" t="str">
        <f t="shared" si="23"/>
        <v/>
      </c>
      <c r="Y37" s="74" t="str">
        <f t="shared" si="23"/>
        <v/>
      </c>
      <c r="Z37" s="74">
        <f t="shared" si="7"/>
        <v>384</v>
      </c>
      <c r="AA37" s="74" t="str">
        <f t="shared" si="8"/>
        <v/>
      </c>
      <c r="AB37" s="74">
        <f t="shared" si="9"/>
        <v>1</v>
      </c>
      <c r="AC37" s="74">
        <f t="shared" si="10"/>
        <v>0</v>
      </c>
      <c r="AE37" s="74" t="str">
        <f t="shared" si="2"/>
        <v/>
      </c>
      <c r="AF37" s="74" t="str">
        <f t="shared" si="3"/>
        <v/>
      </c>
      <c r="AG37" s="74" t="b">
        <f t="shared" si="4"/>
        <v>1</v>
      </c>
      <c r="AH37" s="74">
        <f t="shared" si="11"/>
        <v>0</v>
      </c>
      <c r="AI37" s="74" t="str">
        <f>IF(AH37&lt;&gt;0,COUNTIF(AH$3:AH37,1),"")</f>
        <v/>
      </c>
      <c r="AJ37" s="74" t="str">
        <f t="shared" si="22"/>
        <v>44905;Après-Midi;Stéphane M.</v>
      </c>
      <c r="AK37" s="73" t="str">
        <f t="shared" si="12"/>
        <v/>
      </c>
      <c r="AL37" s="73" t="str">
        <f t="shared" si="13"/>
        <v/>
      </c>
      <c r="AM37" s="73" t="str">
        <f t="shared" si="14"/>
        <v>298</v>
      </c>
      <c r="AN37" s="73" t="b">
        <f t="shared" si="15"/>
        <v>1</v>
      </c>
      <c r="AP37" s="61" t="str">
        <f t="shared" si="16"/>
        <v/>
      </c>
      <c r="AQ37" s="61" t="str">
        <f t="shared" si="17"/>
        <v/>
      </c>
      <c r="AR37" s="61">
        <f t="shared" si="18"/>
        <v>298</v>
      </c>
    </row>
    <row r="38" spans="1:44" x14ac:dyDescent="0.25">
      <c r="A38" s="76">
        <v>44905</v>
      </c>
      <c r="B38" s="76" t="s">
        <v>92</v>
      </c>
      <c r="C38" s="76">
        <v>4</v>
      </c>
      <c r="D38" s="76" t="s">
        <v>99</v>
      </c>
      <c r="E38" s="76">
        <v>384</v>
      </c>
      <c r="G38" s="76" t="b">
        <v>1</v>
      </c>
      <c r="J38" s="76" t="s">
        <v>88</v>
      </c>
      <c r="K38" s="76">
        <v>344</v>
      </c>
      <c r="L38" s="76" t="s">
        <v>183</v>
      </c>
      <c r="M38" s="76" t="s">
        <v>94</v>
      </c>
      <c r="N38" s="76" t="s">
        <v>154</v>
      </c>
      <c r="O38" s="76" t="s">
        <v>134</v>
      </c>
      <c r="P38" s="73" t="str">
        <f t="shared" si="19"/>
        <v>32</v>
      </c>
      <c r="Q38" s="73" t="str">
        <f t="shared" si="20"/>
        <v>31</v>
      </c>
      <c r="R38" s="74" t="str">
        <f t="shared" si="21"/>
        <v>301</v>
      </c>
      <c r="S38" s="74" t="b">
        <f t="shared" si="0"/>
        <v>1</v>
      </c>
      <c r="U38" s="74" t="str">
        <f t="shared" si="23"/>
        <v/>
      </c>
      <c r="V38" s="74" t="str">
        <f t="shared" si="23"/>
        <v/>
      </c>
      <c r="W38" s="74" t="str">
        <f t="shared" si="23"/>
        <v/>
      </c>
      <c r="X38" s="74" t="str">
        <f t="shared" si="23"/>
        <v/>
      </c>
      <c r="Y38" s="74" t="str">
        <f t="shared" si="23"/>
        <v/>
      </c>
      <c r="Z38" s="74">
        <f t="shared" si="7"/>
        <v>384</v>
      </c>
      <c r="AA38" s="74" t="str">
        <f t="shared" si="8"/>
        <v/>
      </c>
      <c r="AB38" s="74">
        <f t="shared" si="9"/>
        <v>1</v>
      </c>
      <c r="AC38" s="74">
        <f t="shared" si="10"/>
        <v>0</v>
      </c>
      <c r="AE38" s="74" t="b">
        <f t="shared" si="2"/>
        <v>1</v>
      </c>
      <c r="AF38" s="74" t="b">
        <f t="shared" si="3"/>
        <v>1</v>
      </c>
      <c r="AG38" s="74" t="b">
        <f t="shared" si="4"/>
        <v>1</v>
      </c>
      <c r="AH38" s="74">
        <f t="shared" si="11"/>
        <v>0</v>
      </c>
      <c r="AI38" s="74" t="str">
        <f>IF(AH38&lt;&gt;0,COUNTIF(AH$3:AH38,1),"")</f>
        <v/>
      </c>
      <c r="AJ38" s="74" t="str">
        <f t="shared" si="22"/>
        <v>44905;Après-Midi;Stéphane M.</v>
      </c>
      <c r="AK38" s="73" t="str">
        <f t="shared" si="12"/>
        <v>32</v>
      </c>
      <c r="AL38" s="73" t="str">
        <f t="shared" si="13"/>
        <v>31</v>
      </c>
      <c r="AM38" s="73" t="str">
        <f t="shared" si="14"/>
        <v>301</v>
      </c>
      <c r="AN38" s="73" t="b">
        <f t="shared" si="15"/>
        <v>1</v>
      </c>
      <c r="AP38" s="61">
        <f t="shared" si="16"/>
        <v>32</v>
      </c>
      <c r="AQ38" s="61">
        <f t="shared" si="17"/>
        <v>31</v>
      </c>
      <c r="AR38" s="61">
        <f t="shared" si="18"/>
        <v>301</v>
      </c>
    </row>
    <row r="39" spans="1:44" x14ac:dyDescent="0.25">
      <c r="A39" s="76">
        <v>44905</v>
      </c>
      <c r="B39" s="76" t="s">
        <v>92</v>
      </c>
      <c r="D39" s="76" t="s">
        <v>95</v>
      </c>
      <c r="E39" s="76">
        <v>258</v>
      </c>
      <c r="F39" s="76" t="s">
        <v>14</v>
      </c>
      <c r="G39" s="76" t="b">
        <v>0</v>
      </c>
      <c r="J39" s="76" t="s">
        <v>88</v>
      </c>
      <c r="K39" s="76">
        <v>344</v>
      </c>
      <c r="L39" s="76" t="s">
        <v>183</v>
      </c>
      <c r="M39" s="76" t="s">
        <v>94</v>
      </c>
      <c r="P39" s="73" t="str">
        <f t="shared" si="19"/>
        <v/>
      </c>
      <c r="Q39" s="73" t="str">
        <f t="shared" si="20"/>
        <v/>
      </c>
      <c r="R39" s="74" t="str">
        <f t="shared" si="21"/>
        <v/>
      </c>
      <c r="S39" s="74" t="str">
        <f t="shared" si="0"/>
        <v/>
      </c>
      <c r="U39" s="74">
        <f t="shared" si="23"/>
        <v>258</v>
      </c>
      <c r="V39" s="74" t="str">
        <f t="shared" si="23"/>
        <v/>
      </c>
      <c r="W39" s="74" t="str">
        <f t="shared" si="23"/>
        <v/>
      </c>
      <c r="X39" s="74" t="str">
        <f t="shared" si="23"/>
        <v/>
      </c>
      <c r="Y39" s="74" t="str">
        <f t="shared" si="23"/>
        <v/>
      </c>
      <c r="Z39" s="74" t="str">
        <f t="shared" si="7"/>
        <v/>
      </c>
      <c r="AA39" s="74">
        <f t="shared" si="8"/>
        <v>258</v>
      </c>
      <c r="AB39" s="74">
        <f t="shared" si="9"/>
        <v>0</v>
      </c>
      <c r="AC39" s="74">
        <f t="shared" si="10"/>
        <v>1</v>
      </c>
      <c r="AE39" s="74" t="str">
        <f t="shared" si="2"/>
        <v/>
      </c>
      <c r="AF39" s="74" t="str">
        <f t="shared" si="3"/>
        <v/>
      </c>
      <c r="AG39" s="74" t="str">
        <f t="shared" si="4"/>
        <v/>
      </c>
      <c r="AH39" s="74">
        <f t="shared" si="11"/>
        <v>0</v>
      </c>
      <c r="AI39" s="74" t="str">
        <f>IF(AH39&lt;&gt;0,COUNTIF(AH$3:AH39,1),"")</f>
        <v/>
      </c>
      <c r="AJ39" s="74" t="str">
        <f t="shared" si="22"/>
        <v>44905;Après-Midi;Stéphane M.</v>
      </c>
      <c r="AK39" s="73" t="str">
        <f t="shared" si="12"/>
        <v/>
      </c>
      <c r="AL39" s="73" t="str">
        <f t="shared" si="13"/>
        <v/>
      </c>
      <c r="AM39" s="73" t="str">
        <f t="shared" si="14"/>
        <v/>
      </c>
      <c r="AN39" s="73" t="str">
        <f t="shared" si="15"/>
        <v/>
      </c>
      <c r="AP39" s="61" t="str">
        <f t="shared" si="16"/>
        <v/>
      </c>
      <c r="AQ39" s="61" t="str">
        <f t="shared" si="17"/>
        <v/>
      </c>
      <c r="AR39" s="61" t="str">
        <f t="shared" si="18"/>
        <v/>
      </c>
    </row>
    <row r="40" spans="1:44" x14ac:dyDescent="0.25">
      <c r="A40" s="76">
        <v>44905</v>
      </c>
      <c r="B40" s="76" t="s">
        <v>92</v>
      </c>
      <c r="C40" s="76">
        <v>5</v>
      </c>
      <c r="D40" s="76" t="s">
        <v>100</v>
      </c>
      <c r="E40" s="76">
        <v>384</v>
      </c>
      <c r="G40" s="76" t="b">
        <v>1</v>
      </c>
      <c r="J40" s="76" t="s">
        <v>88</v>
      </c>
      <c r="K40" s="76">
        <v>344</v>
      </c>
      <c r="L40" s="76" t="s">
        <v>183</v>
      </c>
      <c r="M40" s="76" t="s">
        <v>94</v>
      </c>
      <c r="P40" s="73" t="str">
        <f t="shared" si="19"/>
        <v/>
      </c>
      <c r="Q40" s="73" t="str">
        <f t="shared" si="20"/>
        <v/>
      </c>
      <c r="R40" s="74" t="str">
        <f t="shared" si="21"/>
        <v/>
      </c>
      <c r="S40" s="74" t="str">
        <f t="shared" si="0"/>
        <v/>
      </c>
      <c r="U40" s="74" t="str">
        <f t="shared" si="23"/>
        <v/>
      </c>
      <c r="V40" s="74" t="str">
        <f t="shared" si="23"/>
        <v/>
      </c>
      <c r="W40" s="74" t="str">
        <f t="shared" si="23"/>
        <v/>
      </c>
      <c r="X40" s="74" t="str">
        <f t="shared" si="23"/>
        <v/>
      </c>
      <c r="Y40" s="74" t="str">
        <f t="shared" si="23"/>
        <v/>
      </c>
      <c r="Z40" s="74">
        <f t="shared" si="7"/>
        <v>384</v>
      </c>
      <c r="AA40" s="74" t="str">
        <f t="shared" si="8"/>
        <v/>
      </c>
      <c r="AB40" s="74">
        <f t="shared" si="9"/>
        <v>1</v>
      </c>
      <c r="AC40" s="74">
        <f t="shared" si="10"/>
        <v>0</v>
      </c>
      <c r="AE40" s="74" t="str">
        <f t="shared" si="2"/>
        <v/>
      </c>
      <c r="AF40" s="74" t="str">
        <f t="shared" si="3"/>
        <v/>
      </c>
      <c r="AG40" s="74" t="str">
        <f t="shared" si="4"/>
        <v/>
      </c>
      <c r="AH40" s="74">
        <f t="shared" si="11"/>
        <v>0</v>
      </c>
      <c r="AI40" s="74" t="str">
        <f>IF(AH40&lt;&gt;0,COUNTIF(AH$3:AH40,1),"")</f>
        <v/>
      </c>
      <c r="AJ40" s="74" t="str">
        <f t="shared" si="22"/>
        <v>44905;Après-Midi;Stéphane M.</v>
      </c>
      <c r="AK40" s="73" t="str">
        <f t="shared" si="12"/>
        <v/>
      </c>
      <c r="AL40" s="73" t="str">
        <f t="shared" si="13"/>
        <v/>
      </c>
      <c r="AM40" s="73" t="str">
        <f t="shared" si="14"/>
        <v/>
      </c>
      <c r="AN40" s="73" t="str">
        <f t="shared" si="15"/>
        <v/>
      </c>
      <c r="AP40" s="61" t="str">
        <f t="shared" si="16"/>
        <v/>
      </c>
      <c r="AQ40" s="61" t="str">
        <f t="shared" si="17"/>
        <v/>
      </c>
      <c r="AR40" s="61" t="str">
        <f t="shared" si="18"/>
        <v/>
      </c>
    </row>
    <row r="41" spans="1:44" x14ac:dyDescent="0.25">
      <c r="A41" s="76">
        <v>44905</v>
      </c>
      <c r="B41" s="76" t="s">
        <v>92</v>
      </c>
      <c r="C41" s="76">
        <v>6</v>
      </c>
      <c r="D41" s="76" t="s">
        <v>101</v>
      </c>
      <c r="E41" s="76">
        <v>384</v>
      </c>
      <c r="G41" s="76" t="b">
        <v>1</v>
      </c>
      <c r="J41" s="76" t="s">
        <v>88</v>
      </c>
      <c r="K41" s="76">
        <v>344</v>
      </c>
      <c r="L41" s="76" t="s">
        <v>183</v>
      </c>
      <c r="M41" s="76" t="s">
        <v>94</v>
      </c>
      <c r="P41" s="73" t="str">
        <f t="shared" si="19"/>
        <v/>
      </c>
      <c r="Q41" s="73" t="str">
        <f t="shared" si="20"/>
        <v/>
      </c>
      <c r="R41" s="74" t="str">
        <f t="shared" si="21"/>
        <v/>
      </c>
      <c r="S41" s="74" t="str">
        <f t="shared" si="0"/>
        <v/>
      </c>
      <c r="U41" s="74" t="str">
        <f t="shared" si="23"/>
        <v/>
      </c>
      <c r="V41" s="74" t="str">
        <f t="shared" si="23"/>
        <v/>
      </c>
      <c r="W41" s="74" t="str">
        <f t="shared" si="23"/>
        <v/>
      </c>
      <c r="X41" s="74" t="str">
        <f t="shared" si="23"/>
        <v/>
      </c>
      <c r="Y41" s="74" t="str">
        <f t="shared" si="23"/>
        <v/>
      </c>
      <c r="Z41" s="74">
        <f t="shared" si="7"/>
        <v>384</v>
      </c>
      <c r="AA41" s="74" t="str">
        <f t="shared" si="8"/>
        <v/>
      </c>
      <c r="AB41" s="74">
        <f t="shared" si="9"/>
        <v>1</v>
      </c>
      <c r="AC41" s="74">
        <f t="shared" si="10"/>
        <v>0</v>
      </c>
      <c r="AE41" s="74" t="str">
        <f t="shared" si="2"/>
        <v/>
      </c>
      <c r="AF41" s="74" t="str">
        <f t="shared" si="3"/>
        <v/>
      </c>
      <c r="AG41" s="74" t="str">
        <f t="shared" si="4"/>
        <v/>
      </c>
      <c r="AH41" s="74">
        <f t="shared" si="11"/>
        <v>0</v>
      </c>
      <c r="AI41" s="74" t="str">
        <f>IF(AH41&lt;&gt;0,COUNTIF(AH$3:AH41,1),"")</f>
        <v/>
      </c>
      <c r="AJ41" s="74" t="str">
        <f t="shared" si="22"/>
        <v>44905;Après-Midi;Stéphane M.</v>
      </c>
      <c r="AK41" s="73" t="str">
        <f t="shared" si="12"/>
        <v/>
      </c>
      <c r="AL41" s="73" t="str">
        <f t="shared" si="13"/>
        <v/>
      </c>
      <c r="AM41" s="73" t="str">
        <f t="shared" si="14"/>
        <v/>
      </c>
      <c r="AN41" s="73" t="str">
        <f t="shared" si="15"/>
        <v/>
      </c>
      <c r="AP41" s="61" t="str">
        <f t="shared" si="16"/>
        <v/>
      </c>
      <c r="AQ41" s="61" t="str">
        <f t="shared" si="17"/>
        <v/>
      </c>
      <c r="AR41" s="61" t="str">
        <f t="shared" si="18"/>
        <v/>
      </c>
    </row>
    <row r="42" spans="1:44" x14ac:dyDescent="0.25">
      <c r="A42" s="76">
        <v>44905</v>
      </c>
      <c r="B42" s="76" t="s">
        <v>92</v>
      </c>
      <c r="C42" s="76">
        <v>7</v>
      </c>
      <c r="D42" s="76" t="s">
        <v>102</v>
      </c>
      <c r="E42" s="76">
        <v>384</v>
      </c>
      <c r="G42" s="76" t="b">
        <v>1</v>
      </c>
      <c r="J42" s="76" t="s">
        <v>88</v>
      </c>
      <c r="K42" s="76">
        <v>344</v>
      </c>
      <c r="L42" s="76" t="s">
        <v>183</v>
      </c>
      <c r="M42" s="76" t="s">
        <v>94</v>
      </c>
      <c r="P42" s="73" t="str">
        <f t="shared" si="19"/>
        <v/>
      </c>
      <c r="Q42" s="73" t="str">
        <f t="shared" si="20"/>
        <v/>
      </c>
      <c r="R42" s="74" t="str">
        <f t="shared" si="21"/>
        <v/>
      </c>
      <c r="S42" s="74" t="str">
        <f t="shared" si="0"/>
        <v/>
      </c>
      <c r="U42" s="74" t="str">
        <f t="shared" si="23"/>
        <v/>
      </c>
      <c r="V42" s="74" t="str">
        <f t="shared" si="23"/>
        <v/>
      </c>
      <c r="W42" s="74" t="str">
        <f t="shared" si="23"/>
        <v/>
      </c>
      <c r="X42" s="74" t="str">
        <f t="shared" si="23"/>
        <v/>
      </c>
      <c r="Y42" s="74" t="str">
        <f t="shared" si="23"/>
        <v/>
      </c>
      <c r="Z42" s="74">
        <f t="shared" si="7"/>
        <v>384</v>
      </c>
      <c r="AA42" s="74" t="str">
        <f t="shared" si="8"/>
        <v/>
      </c>
      <c r="AB42" s="74">
        <f t="shared" si="9"/>
        <v>1</v>
      </c>
      <c r="AC42" s="74">
        <f t="shared" si="10"/>
        <v>0</v>
      </c>
      <c r="AE42" s="74" t="str">
        <f t="shared" si="2"/>
        <v/>
      </c>
      <c r="AF42" s="74" t="str">
        <f t="shared" si="3"/>
        <v/>
      </c>
      <c r="AG42" s="74" t="str">
        <f t="shared" si="4"/>
        <v/>
      </c>
      <c r="AH42" s="74">
        <f t="shared" si="11"/>
        <v>0</v>
      </c>
      <c r="AI42" s="74" t="str">
        <f>IF(AH42&lt;&gt;0,COUNTIF(AH$3:AH42,1),"")</f>
        <v/>
      </c>
      <c r="AJ42" s="74" t="str">
        <f t="shared" si="22"/>
        <v>44905;Après-Midi;Stéphane M.</v>
      </c>
      <c r="AK42" s="73" t="str">
        <f t="shared" si="12"/>
        <v/>
      </c>
      <c r="AL42" s="73" t="str">
        <f t="shared" si="13"/>
        <v/>
      </c>
      <c r="AM42" s="73" t="str">
        <f t="shared" si="14"/>
        <v/>
      </c>
      <c r="AN42" s="73" t="str">
        <f t="shared" si="15"/>
        <v/>
      </c>
      <c r="AP42" s="61" t="str">
        <f t="shared" si="16"/>
        <v/>
      </c>
      <c r="AQ42" s="61" t="str">
        <f t="shared" si="17"/>
        <v/>
      </c>
      <c r="AR42" s="61" t="str">
        <f t="shared" si="18"/>
        <v/>
      </c>
    </row>
    <row r="43" spans="1:44" x14ac:dyDescent="0.25">
      <c r="A43" s="76">
        <v>44905</v>
      </c>
      <c r="B43" s="76" t="s">
        <v>92</v>
      </c>
      <c r="C43" s="76">
        <v>8</v>
      </c>
      <c r="D43" s="76" t="s">
        <v>103</v>
      </c>
      <c r="E43" s="76">
        <v>384</v>
      </c>
      <c r="G43" s="76" t="b">
        <v>1</v>
      </c>
      <c r="J43" s="76" t="s">
        <v>88</v>
      </c>
      <c r="K43" s="76">
        <v>344</v>
      </c>
      <c r="L43" s="76" t="s">
        <v>183</v>
      </c>
      <c r="M43" s="76" t="s">
        <v>94</v>
      </c>
      <c r="P43" s="73" t="str">
        <f t="shared" si="19"/>
        <v/>
      </c>
      <c r="Q43" s="73" t="str">
        <f t="shared" si="20"/>
        <v/>
      </c>
      <c r="R43" s="74" t="str">
        <f t="shared" si="21"/>
        <v/>
      </c>
      <c r="S43" s="74" t="str">
        <f t="shared" si="0"/>
        <v/>
      </c>
      <c r="U43" s="74" t="str">
        <f t="shared" si="23"/>
        <v/>
      </c>
      <c r="V43" s="74" t="str">
        <f t="shared" si="23"/>
        <v/>
      </c>
      <c r="W43" s="74" t="str">
        <f t="shared" si="23"/>
        <v/>
      </c>
      <c r="X43" s="74" t="str">
        <f t="shared" si="23"/>
        <v/>
      </c>
      <c r="Y43" s="74" t="str">
        <f t="shared" si="23"/>
        <v/>
      </c>
      <c r="Z43" s="74">
        <f t="shared" si="7"/>
        <v>384</v>
      </c>
      <c r="AA43" s="74" t="str">
        <f t="shared" si="8"/>
        <v/>
      </c>
      <c r="AB43" s="74">
        <f t="shared" si="9"/>
        <v>1</v>
      </c>
      <c r="AC43" s="74">
        <f t="shared" si="10"/>
        <v>0</v>
      </c>
      <c r="AE43" s="74" t="str">
        <f t="shared" si="2"/>
        <v/>
      </c>
      <c r="AF43" s="74" t="str">
        <f t="shared" si="3"/>
        <v/>
      </c>
      <c r="AG43" s="74" t="str">
        <f t="shared" si="4"/>
        <v/>
      </c>
      <c r="AH43" s="74">
        <f t="shared" si="11"/>
        <v>0</v>
      </c>
      <c r="AI43" s="74" t="str">
        <f>IF(AH43&lt;&gt;0,COUNTIF(AH$3:AH43,1),"")</f>
        <v/>
      </c>
      <c r="AJ43" s="74" t="str">
        <f t="shared" si="22"/>
        <v>44905;Après-Midi;Stéphane M.</v>
      </c>
      <c r="AK43" s="73" t="str">
        <f t="shared" si="12"/>
        <v/>
      </c>
      <c r="AL43" s="73" t="str">
        <f t="shared" si="13"/>
        <v/>
      </c>
      <c r="AM43" s="73" t="str">
        <f t="shared" si="14"/>
        <v/>
      </c>
      <c r="AN43" s="73" t="str">
        <f t="shared" si="15"/>
        <v/>
      </c>
      <c r="AP43" s="61" t="str">
        <f t="shared" si="16"/>
        <v/>
      </c>
      <c r="AQ43" s="61" t="str">
        <f t="shared" si="17"/>
        <v/>
      </c>
      <c r="AR43" s="61" t="str">
        <f t="shared" si="18"/>
        <v/>
      </c>
    </row>
    <row r="44" spans="1:44" x14ac:dyDescent="0.25">
      <c r="A44" s="76">
        <v>44905</v>
      </c>
      <c r="B44" s="76" t="s">
        <v>92</v>
      </c>
      <c r="C44" s="76">
        <v>9</v>
      </c>
      <c r="D44" s="76" t="s">
        <v>104</v>
      </c>
      <c r="E44" s="76">
        <v>384</v>
      </c>
      <c r="G44" s="76" t="b">
        <v>1</v>
      </c>
      <c r="J44" s="76" t="s">
        <v>88</v>
      </c>
      <c r="K44" s="76">
        <v>344</v>
      </c>
      <c r="L44" s="76" t="s">
        <v>183</v>
      </c>
      <c r="M44" s="76" t="s">
        <v>94</v>
      </c>
      <c r="P44" s="73" t="str">
        <f t="shared" si="19"/>
        <v/>
      </c>
      <c r="Q44" s="73" t="str">
        <f t="shared" si="20"/>
        <v/>
      </c>
      <c r="R44" s="74" t="str">
        <f t="shared" si="21"/>
        <v/>
      </c>
      <c r="S44" s="74" t="str">
        <f t="shared" si="0"/>
        <v/>
      </c>
      <c r="U44" s="74" t="str">
        <f t="shared" si="23"/>
        <v/>
      </c>
      <c r="V44" s="74" t="str">
        <f t="shared" si="23"/>
        <v/>
      </c>
      <c r="W44" s="74" t="str">
        <f t="shared" si="23"/>
        <v/>
      </c>
      <c r="X44" s="74" t="str">
        <f t="shared" si="23"/>
        <v/>
      </c>
      <c r="Y44" s="74" t="str">
        <f t="shared" si="23"/>
        <v/>
      </c>
      <c r="Z44" s="74">
        <f t="shared" si="7"/>
        <v>384</v>
      </c>
      <c r="AA44" s="74" t="str">
        <f t="shared" si="8"/>
        <v/>
      </c>
      <c r="AB44" s="74">
        <f t="shared" si="9"/>
        <v>1</v>
      </c>
      <c r="AC44" s="74">
        <f t="shared" si="10"/>
        <v>0</v>
      </c>
      <c r="AE44" s="74" t="str">
        <f t="shared" si="2"/>
        <v/>
      </c>
      <c r="AF44" s="74" t="str">
        <f t="shared" si="3"/>
        <v/>
      </c>
      <c r="AG44" s="74" t="str">
        <f t="shared" si="4"/>
        <v/>
      </c>
      <c r="AH44" s="74">
        <f t="shared" si="11"/>
        <v>0</v>
      </c>
      <c r="AI44" s="74" t="str">
        <f>IF(AH44&lt;&gt;0,COUNTIF(AH$3:AH44,1),"")</f>
        <v/>
      </c>
      <c r="AJ44" s="74" t="str">
        <f t="shared" si="22"/>
        <v>44905;Après-Midi;Stéphane M.</v>
      </c>
      <c r="AK44" s="73" t="str">
        <f t="shared" si="12"/>
        <v/>
      </c>
      <c r="AL44" s="73" t="str">
        <f t="shared" si="13"/>
        <v/>
      </c>
      <c r="AM44" s="73" t="str">
        <f t="shared" si="14"/>
        <v/>
      </c>
      <c r="AN44" s="73" t="str">
        <f t="shared" si="15"/>
        <v/>
      </c>
      <c r="AP44" s="61" t="str">
        <f t="shared" si="16"/>
        <v/>
      </c>
      <c r="AQ44" s="61" t="str">
        <f t="shared" si="17"/>
        <v/>
      </c>
      <c r="AR44" s="61" t="str">
        <f t="shared" si="18"/>
        <v/>
      </c>
    </row>
    <row r="45" spans="1:44" x14ac:dyDescent="0.25">
      <c r="A45" s="76">
        <v>44905</v>
      </c>
      <c r="B45" s="76" t="s">
        <v>92</v>
      </c>
      <c r="C45" s="76">
        <v>10</v>
      </c>
      <c r="D45" s="76" t="s">
        <v>105</v>
      </c>
      <c r="E45" s="76">
        <v>384</v>
      </c>
      <c r="G45" s="76" t="b">
        <v>1</v>
      </c>
      <c r="J45" s="76" t="s">
        <v>88</v>
      </c>
      <c r="K45" s="76">
        <v>344</v>
      </c>
      <c r="L45" s="76" t="s">
        <v>183</v>
      </c>
      <c r="M45" s="76" t="s">
        <v>94</v>
      </c>
      <c r="P45" s="73" t="str">
        <f t="shared" si="19"/>
        <v/>
      </c>
      <c r="Q45" s="73" t="str">
        <f t="shared" si="20"/>
        <v/>
      </c>
      <c r="R45" s="74" t="str">
        <f t="shared" si="21"/>
        <v/>
      </c>
      <c r="S45" s="74" t="str">
        <f t="shared" si="0"/>
        <v/>
      </c>
      <c r="U45" s="74" t="str">
        <f t="shared" si="23"/>
        <v/>
      </c>
      <c r="V45" s="74" t="str">
        <f t="shared" si="23"/>
        <v/>
      </c>
      <c r="W45" s="74" t="str">
        <f t="shared" si="23"/>
        <v/>
      </c>
      <c r="X45" s="74" t="str">
        <f t="shared" si="23"/>
        <v/>
      </c>
      <c r="Y45" s="74" t="str">
        <f t="shared" si="23"/>
        <v/>
      </c>
      <c r="Z45" s="74">
        <f t="shared" si="7"/>
        <v>384</v>
      </c>
      <c r="AA45" s="74" t="str">
        <f t="shared" si="8"/>
        <v/>
      </c>
      <c r="AB45" s="74">
        <f t="shared" si="9"/>
        <v>1</v>
      </c>
      <c r="AC45" s="74">
        <f t="shared" si="10"/>
        <v>0</v>
      </c>
      <c r="AE45" s="74" t="str">
        <f t="shared" si="2"/>
        <v/>
      </c>
      <c r="AF45" s="74" t="str">
        <f t="shared" si="3"/>
        <v/>
      </c>
      <c r="AG45" s="74" t="str">
        <f t="shared" si="4"/>
        <v/>
      </c>
      <c r="AH45" s="74">
        <f t="shared" si="11"/>
        <v>0</v>
      </c>
      <c r="AI45" s="74" t="str">
        <f>IF(AH45&lt;&gt;0,COUNTIF(AH$3:AH45,1),"")</f>
        <v/>
      </c>
      <c r="AJ45" s="74" t="str">
        <f t="shared" si="22"/>
        <v>44905;Après-Midi;Stéphane M.</v>
      </c>
      <c r="AK45" s="73" t="str">
        <f t="shared" si="12"/>
        <v/>
      </c>
      <c r="AL45" s="73" t="str">
        <f t="shared" si="13"/>
        <v/>
      </c>
      <c r="AM45" s="73" t="str">
        <f t="shared" si="14"/>
        <v/>
      </c>
      <c r="AN45" s="73" t="str">
        <f t="shared" si="15"/>
        <v/>
      </c>
      <c r="AP45" s="61" t="str">
        <f t="shared" si="16"/>
        <v/>
      </c>
      <c r="AQ45" s="61" t="str">
        <f t="shared" si="17"/>
        <v/>
      </c>
      <c r="AR45" s="61" t="str">
        <f t="shared" si="18"/>
        <v/>
      </c>
    </row>
    <row r="46" spans="1:44" x14ac:dyDescent="0.25">
      <c r="A46" s="76">
        <v>44905</v>
      </c>
      <c r="B46" s="76" t="s">
        <v>92</v>
      </c>
      <c r="C46" s="76">
        <v>11</v>
      </c>
      <c r="D46" s="76" t="s">
        <v>106</v>
      </c>
      <c r="E46" s="76">
        <v>384</v>
      </c>
      <c r="G46" s="76" t="b">
        <v>1</v>
      </c>
      <c r="J46" s="76" t="s">
        <v>88</v>
      </c>
      <c r="K46" s="76">
        <v>344</v>
      </c>
      <c r="L46" s="76" t="s">
        <v>183</v>
      </c>
      <c r="M46" s="76" t="s">
        <v>94</v>
      </c>
      <c r="P46" s="73" t="str">
        <f t="shared" si="19"/>
        <v/>
      </c>
      <c r="Q46" s="73" t="str">
        <f t="shared" si="20"/>
        <v/>
      </c>
      <c r="R46" s="74" t="str">
        <f t="shared" si="21"/>
        <v/>
      </c>
      <c r="S46" s="74" t="str">
        <f t="shared" si="0"/>
        <v/>
      </c>
      <c r="U46" s="74" t="str">
        <f t="shared" si="23"/>
        <v/>
      </c>
      <c r="V46" s="74" t="str">
        <f t="shared" si="23"/>
        <v/>
      </c>
      <c r="W46" s="74" t="str">
        <f t="shared" si="23"/>
        <v/>
      </c>
      <c r="X46" s="74" t="str">
        <f t="shared" si="23"/>
        <v/>
      </c>
      <c r="Y46" s="74" t="str">
        <f t="shared" si="23"/>
        <v/>
      </c>
      <c r="Z46" s="74">
        <f t="shared" si="7"/>
        <v>384</v>
      </c>
      <c r="AA46" s="74" t="str">
        <f t="shared" si="8"/>
        <v/>
      </c>
      <c r="AB46" s="74">
        <f t="shared" si="9"/>
        <v>1</v>
      </c>
      <c r="AC46" s="74">
        <f t="shared" si="10"/>
        <v>0</v>
      </c>
      <c r="AE46" s="74" t="str">
        <f t="shared" si="2"/>
        <v/>
      </c>
      <c r="AF46" s="74" t="str">
        <f t="shared" si="3"/>
        <v/>
      </c>
      <c r="AG46" s="74" t="str">
        <f t="shared" si="4"/>
        <v/>
      </c>
      <c r="AH46" s="74">
        <f t="shared" si="11"/>
        <v>0</v>
      </c>
      <c r="AI46" s="74" t="str">
        <f>IF(AH46&lt;&gt;0,COUNTIF(AH$3:AH46,1),"")</f>
        <v/>
      </c>
      <c r="AJ46" s="74" t="str">
        <f t="shared" si="22"/>
        <v>44905;Après-Midi;Stéphane M.</v>
      </c>
      <c r="AK46" s="73" t="str">
        <f t="shared" si="12"/>
        <v/>
      </c>
      <c r="AL46" s="73" t="str">
        <f t="shared" si="13"/>
        <v/>
      </c>
      <c r="AM46" s="73" t="str">
        <f t="shared" si="14"/>
        <v/>
      </c>
      <c r="AN46" s="73" t="str">
        <f t="shared" si="15"/>
        <v/>
      </c>
      <c r="AP46" s="61" t="str">
        <f t="shared" si="16"/>
        <v/>
      </c>
      <c r="AQ46" s="61" t="str">
        <f t="shared" si="17"/>
        <v/>
      </c>
      <c r="AR46" s="61" t="str">
        <f t="shared" si="18"/>
        <v/>
      </c>
    </row>
    <row r="47" spans="1:44" x14ac:dyDescent="0.25">
      <c r="A47" s="76">
        <v>44905</v>
      </c>
      <c r="B47" s="76" t="s">
        <v>92</v>
      </c>
      <c r="C47" s="76">
        <v>12</v>
      </c>
      <c r="D47" s="76" t="s">
        <v>107</v>
      </c>
      <c r="E47" s="76">
        <v>384</v>
      </c>
      <c r="G47" s="76" t="b">
        <v>1</v>
      </c>
      <c r="J47" s="76" t="s">
        <v>88</v>
      </c>
      <c r="K47" s="76">
        <v>344</v>
      </c>
      <c r="L47" s="76" t="s">
        <v>183</v>
      </c>
      <c r="M47" s="76" t="s">
        <v>94</v>
      </c>
      <c r="P47" s="73" t="str">
        <f t="shared" si="19"/>
        <v/>
      </c>
      <c r="Q47" s="73" t="str">
        <f t="shared" si="20"/>
        <v/>
      </c>
      <c r="R47" s="74" t="str">
        <f t="shared" si="21"/>
        <v/>
      </c>
      <c r="S47" s="74" t="str">
        <f t="shared" si="0"/>
        <v/>
      </c>
      <c r="U47" s="74" t="str">
        <f t="shared" si="23"/>
        <v/>
      </c>
      <c r="V47" s="74" t="str">
        <f t="shared" si="23"/>
        <v/>
      </c>
      <c r="W47" s="74" t="str">
        <f t="shared" si="23"/>
        <v/>
      </c>
      <c r="X47" s="74" t="str">
        <f t="shared" si="23"/>
        <v/>
      </c>
      <c r="Y47" s="74" t="str">
        <f t="shared" si="23"/>
        <v/>
      </c>
      <c r="Z47" s="74">
        <f t="shared" si="7"/>
        <v>384</v>
      </c>
      <c r="AA47" s="74" t="str">
        <f t="shared" si="8"/>
        <v/>
      </c>
      <c r="AB47" s="74">
        <f t="shared" si="9"/>
        <v>1</v>
      </c>
      <c r="AC47" s="74">
        <f t="shared" si="10"/>
        <v>0</v>
      </c>
      <c r="AE47" s="74" t="str">
        <f t="shared" si="2"/>
        <v/>
      </c>
      <c r="AF47" s="74" t="str">
        <f t="shared" si="3"/>
        <v/>
      </c>
      <c r="AG47" s="74" t="str">
        <f t="shared" si="4"/>
        <v/>
      </c>
      <c r="AH47" s="74">
        <f t="shared" si="11"/>
        <v>0</v>
      </c>
      <c r="AI47" s="74" t="str">
        <f>IF(AH47&lt;&gt;0,COUNTIF(AH$3:AH47,1),"")</f>
        <v/>
      </c>
      <c r="AJ47" s="74" t="str">
        <f t="shared" si="22"/>
        <v>44905;Après-Midi;Stéphane M.</v>
      </c>
      <c r="AK47" s="73" t="str">
        <f t="shared" si="12"/>
        <v/>
      </c>
      <c r="AL47" s="73" t="str">
        <f t="shared" si="13"/>
        <v/>
      </c>
      <c r="AM47" s="73" t="str">
        <f t="shared" si="14"/>
        <v/>
      </c>
      <c r="AN47" s="73" t="str">
        <f t="shared" si="15"/>
        <v/>
      </c>
      <c r="AP47" s="61" t="str">
        <f t="shared" si="16"/>
        <v/>
      </c>
      <c r="AQ47" s="61" t="str">
        <f t="shared" si="17"/>
        <v/>
      </c>
      <c r="AR47" s="61" t="str">
        <f t="shared" si="18"/>
        <v/>
      </c>
    </row>
    <row r="48" spans="1:44" x14ac:dyDescent="0.25">
      <c r="A48" s="76">
        <v>44905</v>
      </c>
      <c r="B48" s="76" t="s">
        <v>92</v>
      </c>
      <c r="D48" s="76" t="s">
        <v>95</v>
      </c>
      <c r="E48" s="76">
        <v>384</v>
      </c>
      <c r="F48" s="76" t="s">
        <v>14</v>
      </c>
      <c r="G48" s="76" t="b">
        <v>0</v>
      </c>
      <c r="J48" s="76" t="s">
        <v>88</v>
      </c>
      <c r="K48" s="76">
        <v>344</v>
      </c>
      <c r="L48" s="76" t="s">
        <v>183</v>
      </c>
      <c r="M48" s="76" t="s">
        <v>94</v>
      </c>
      <c r="P48" s="73" t="str">
        <f t="shared" si="19"/>
        <v/>
      </c>
      <c r="Q48" s="73" t="str">
        <f t="shared" si="20"/>
        <v/>
      </c>
      <c r="R48" s="74" t="str">
        <f t="shared" si="21"/>
        <v/>
      </c>
      <c r="S48" s="74" t="str">
        <f t="shared" si="0"/>
        <v/>
      </c>
      <c r="U48" s="74">
        <f t="shared" si="23"/>
        <v>384</v>
      </c>
      <c r="V48" s="74" t="str">
        <f t="shared" si="23"/>
        <v/>
      </c>
      <c r="W48" s="74" t="str">
        <f t="shared" si="23"/>
        <v/>
      </c>
      <c r="X48" s="74" t="str">
        <f t="shared" si="23"/>
        <v/>
      </c>
      <c r="Y48" s="74" t="str">
        <f t="shared" si="23"/>
        <v/>
      </c>
      <c r="Z48" s="74" t="str">
        <f t="shared" si="7"/>
        <v/>
      </c>
      <c r="AA48" s="74">
        <f t="shared" si="8"/>
        <v>384</v>
      </c>
      <c r="AB48" s="74">
        <f t="shared" si="9"/>
        <v>0</v>
      </c>
      <c r="AC48" s="74">
        <f t="shared" si="10"/>
        <v>1</v>
      </c>
      <c r="AE48" s="74" t="str">
        <f t="shared" si="2"/>
        <v/>
      </c>
      <c r="AF48" s="74" t="str">
        <f t="shared" si="3"/>
        <v/>
      </c>
      <c r="AG48" s="74" t="str">
        <f t="shared" si="4"/>
        <v/>
      </c>
      <c r="AH48" s="74">
        <f t="shared" si="11"/>
        <v>0</v>
      </c>
      <c r="AI48" s="74" t="str">
        <f>IF(AH48&lt;&gt;0,COUNTIF(AH$3:AH48,1),"")</f>
        <v/>
      </c>
      <c r="AJ48" s="74" t="str">
        <f t="shared" si="22"/>
        <v>44905;Après-Midi;Stéphane M.</v>
      </c>
      <c r="AK48" s="73" t="str">
        <f t="shared" si="12"/>
        <v/>
      </c>
      <c r="AL48" s="73" t="str">
        <f t="shared" si="13"/>
        <v/>
      </c>
      <c r="AM48" s="73" t="str">
        <f t="shared" si="14"/>
        <v/>
      </c>
      <c r="AN48" s="73" t="str">
        <f t="shared" si="15"/>
        <v/>
      </c>
      <c r="AP48" s="61" t="str">
        <f t="shared" si="16"/>
        <v/>
      </c>
      <c r="AQ48" s="61" t="str">
        <f t="shared" si="17"/>
        <v/>
      </c>
      <c r="AR48" s="61" t="str">
        <f t="shared" si="18"/>
        <v/>
      </c>
    </row>
    <row r="49" spans="1:44" x14ac:dyDescent="0.25">
      <c r="A49" s="76">
        <v>44905</v>
      </c>
      <c r="B49" s="76" t="s">
        <v>92</v>
      </c>
      <c r="C49" s="76">
        <v>13</v>
      </c>
      <c r="D49" s="76" t="s">
        <v>108</v>
      </c>
      <c r="E49" s="76">
        <v>384</v>
      </c>
      <c r="G49" s="76" t="b">
        <v>1</v>
      </c>
      <c r="J49" s="76" t="s">
        <v>88</v>
      </c>
      <c r="K49" s="76">
        <v>344</v>
      </c>
      <c r="L49" s="76" t="s">
        <v>183</v>
      </c>
      <c r="M49" s="76" t="s">
        <v>94</v>
      </c>
      <c r="P49" s="73" t="str">
        <f t="shared" si="19"/>
        <v/>
      </c>
      <c r="Q49" s="73" t="str">
        <f t="shared" si="20"/>
        <v/>
      </c>
      <c r="R49" s="74" t="str">
        <f t="shared" si="21"/>
        <v/>
      </c>
      <c r="S49" s="74" t="str">
        <f t="shared" si="0"/>
        <v/>
      </c>
      <c r="U49" s="74" t="str">
        <f t="shared" si="23"/>
        <v/>
      </c>
      <c r="V49" s="74" t="str">
        <f t="shared" si="23"/>
        <v/>
      </c>
      <c r="W49" s="74" t="str">
        <f t="shared" si="23"/>
        <v/>
      </c>
      <c r="X49" s="74" t="str">
        <f t="shared" si="23"/>
        <v/>
      </c>
      <c r="Y49" s="74" t="str">
        <f t="shared" si="23"/>
        <v/>
      </c>
      <c r="Z49" s="74">
        <f t="shared" si="7"/>
        <v>384</v>
      </c>
      <c r="AA49" s="74" t="str">
        <f t="shared" si="8"/>
        <v/>
      </c>
      <c r="AB49" s="74">
        <f t="shared" si="9"/>
        <v>1</v>
      </c>
      <c r="AC49" s="74">
        <f t="shared" si="10"/>
        <v>0</v>
      </c>
      <c r="AE49" s="74" t="str">
        <f t="shared" si="2"/>
        <v/>
      </c>
      <c r="AF49" s="74" t="str">
        <f t="shared" si="3"/>
        <v/>
      </c>
      <c r="AG49" s="74" t="str">
        <f t="shared" si="4"/>
        <v/>
      </c>
      <c r="AH49" s="74">
        <f t="shared" si="11"/>
        <v>0</v>
      </c>
      <c r="AI49" s="74" t="str">
        <f>IF(AH49&lt;&gt;0,COUNTIF(AH$3:AH49,1),"")</f>
        <v/>
      </c>
      <c r="AJ49" s="74" t="str">
        <f t="shared" si="22"/>
        <v>44905;Après-Midi;Stéphane M.</v>
      </c>
      <c r="AK49" s="73" t="str">
        <f t="shared" si="12"/>
        <v/>
      </c>
      <c r="AL49" s="73" t="str">
        <f t="shared" si="13"/>
        <v/>
      </c>
      <c r="AM49" s="73" t="str">
        <f t="shared" si="14"/>
        <v/>
      </c>
      <c r="AN49" s="73" t="str">
        <f t="shared" si="15"/>
        <v/>
      </c>
      <c r="AP49" s="61" t="str">
        <f t="shared" si="16"/>
        <v/>
      </c>
      <c r="AQ49" s="61" t="str">
        <f t="shared" si="17"/>
        <v/>
      </c>
      <c r="AR49" s="61" t="str">
        <f t="shared" si="18"/>
        <v/>
      </c>
    </row>
    <row r="50" spans="1:44" x14ac:dyDescent="0.25">
      <c r="A50" s="76">
        <v>44905</v>
      </c>
      <c r="B50" s="76" t="s">
        <v>92</v>
      </c>
      <c r="D50" s="76" t="s">
        <v>95</v>
      </c>
      <c r="E50" s="76">
        <v>384</v>
      </c>
      <c r="F50" s="76" t="s">
        <v>14</v>
      </c>
      <c r="G50" s="76" t="b">
        <v>0</v>
      </c>
      <c r="J50" s="76" t="s">
        <v>88</v>
      </c>
      <c r="K50" s="76">
        <v>344</v>
      </c>
      <c r="L50" s="76" t="s">
        <v>183</v>
      </c>
      <c r="M50" s="76" t="s">
        <v>94</v>
      </c>
      <c r="P50" s="73" t="str">
        <f t="shared" si="19"/>
        <v/>
      </c>
      <c r="Q50" s="73" t="str">
        <f t="shared" si="20"/>
        <v/>
      </c>
      <c r="R50" s="74" t="str">
        <f t="shared" si="21"/>
        <v/>
      </c>
      <c r="S50" s="74" t="str">
        <f t="shared" si="0"/>
        <v/>
      </c>
      <c r="U50" s="74">
        <f t="shared" si="23"/>
        <v>384</v>
      </c>
      <c r="V50" s="74" t="str">
        <f t="shared" si="23"/>
        <v/>
      </c>
      <c r="W50" s="74" t="str">
        <f t="shared" si="23"/>
        <v/>
      </c>
      <c r="X50" s="74" t="str">
        <f t="shared" si="23"/>
        <v/>
      </c>
      <c r="Y50" s="74" t="str">
        <f t="shared" si="23"/>
        <v/>
      </c>
      <c r="Z50" s="74" t="str">
        <f t="shared" si="7"/>
        <v/>
      </c>
      <c r="AA50" s="74">
        <f t="shared" si="8"/>
        <v>384</v>
      </c>
      <c r="AB50" s="74">
        <f t="shared" si="9"/>
        <v>0</v>
      </c>
      <c r="AC50" s="74">
        <f t="shared" si="10"/>
        <v>1</v>
      </c>
      <c r="AE50" s="74" t="str">
        <f t="shared" si="2"/>
        <v/>
      </c>
      <c r="AF50" s="74" t="str">
        <f t="shared" si="3"/>
        <v/>
      </c>
      <c r="AG50" s="74" t="str">
        <f t="shared" si="4"/>
        <v/>
      </c>
      <c r="AH50" s="74">
        <f t="shared" si="11"/>
        <v>0</v>
      </c>
      <c r="AI50" s="74" t="str">
        <f>IF(AH50&lt;&gt;0,COUNTIF(AH$3:AH50,1),"")</f>
        <v/>
      </c>
      <c r="AJ50" s="74" t="str">
        <f t="shared" si="22"/>
        <v>44905;Après-Midi;Stéphane M.</v>
      </c>
      <c r="AK50" s="73" t="str">
        <f t="shared" si="12"/>
        <v/>
      </c>
      <c r="AL50" s="73" t="str">
        <f t="shared" si="13"/>
        <v/>
      </c>
      <c r="AM50" s="73" t="str">
        <f t="shared" si="14"/>
        <v/>
      </c>
      <c r="AN50" s="73" t="str">
        <f t="shared" si="15"/>
        <v/>
      </c>
      <c r="AP50" s="61" t="str">
        <f t="shared" si="16"/>
        <v/>
      </c>
      <c r="AQ50" s="61" t="str">
        <f t="shared" si="17"/>
        <v/>
      </c>
      <c r="AR50" s="61" t="str">
        <f t="shared" si="18"/>
        <v/>
      </c>
    </row>
    <row r="51" spans="1:44" x14ac:dyDescent="0.25">
      <c r="A51" s="76">
        <v>44905</v>
      </c>
      <c r="B51" s="76" t="s">
        <v>92</v>
      </c>
      <c r="D51" s="76" t="s">
        <v>95</v>
      </c>
      <c r="E51" s="76">
        <v>384</v>
      </c>
      <c r="F51" s="76" t="s">
        <v>14</v>
      </c>
      <c r="G51" s="76" t="b">
        <v>0</v>
      </c>
      <c r="J51" s="76" t="s">
        <v>88</v>
      </c>
      <c r="K51" s="76">
        <v>344</v>
      </c>
      <c r="L51" s="76" t="s">
        <v>183</v>
      </c>
      <c r="M51" s="76" t="s">
        <v>94</v>
      </c>
      <c r="P51" s="73" t="str">
        <f t="shared" si="19"/>
        <v/>
      </c>
      <c r="Q51" s="73" t="str">
        <f t="shared" si="20"/>
        <v/>
      </c>
      <c r="R51" s="74" t="str">
        <f t="shared" si="21"/>
        <v/>
      </c>
      <c r="S51" s="74" t="str">
        <f t="shared" si="0"/>
        <v/>
      </c>
      <c r="U51" s="74">
        <f t="shared" si="23"/>
        <v>384</v>
      </c>
      <c r="V51" s="74" t="str">
        <f t="shared" si="23"/>
        <v/>
      </c>
      <c r="W51" s="74" t="str">
        <f t="shared" si="23"/>
        <v/>
      </c>
      <c r="X51" s="74" t="str">
        <f t="shared" si="23"/>
        <v/>
      </c>
      <c r="Y51" s="74" t="str">
        <f t="shared" si="23"/>
        <v/>
      </c>
      <c r="Z51" s="74" t="str">
        <f t="shared" si="7"/>
        <v/>
      </c>
      <c r="AA51" s="74">
        <f t="shared" si="8"/>
        <v>384</v>
      </c>
      <c r="AB51" s="74">
        <f t="shared" si="9"/>
        <v>0</v>
      </c>
      <c r="AC51" s="74">
        <f t="shared" si="10"/>
        <v>1</v>
      </c>
      <c r="AE51" s="74" t="str">
        <f t="shared" si="2"/>
        <v/>
      </c>
      <c r="AF51" s="74" t="str">
        <f t="shared" si="3"/>
        <v/>
      </c>
      <c r="AG51" s="74" t="str">
        <f t="shared" si="4"/>
        <v/>
      </c>
      <c r="AH51" s="74">
        <f t="shared" si="11"/>
        <v>0</v>
      </c>
      <c r="AI51" s="74" t="str">
        <f>IF(AH51&lt;&gt;0,COUNTIF(AH$3:AH51,1),"")</f>
        <v/>
      </c>
      <c r="AJ51" s="74" t="str">
        <f t="shared" si="22"/>
        <v>44905;Après-Midi;Stéphane M.</v>
      </c>
      <c r="AK51" s="73" t="str">
        <f t="shared" si="12"/>
        <v/>
      </c>
      <c r="AL51" s="73" t="str">
        <f t="shared" si="13"/>
        <v/>
      </c>
      <c r="AM51" s="73" t="str">
        <f t="shared" si="14"/>
        <v/>
      </c>
      <c r="AN51" s="73" t="str">
        <f t="shared" si="15"/>
        <v/>
      </c>
      <c r="AP51" s="61" t="str">
        <f t="shared" si="16"/>
        <v/>
      </c>
      <c r="AQ51" s="61" t="str">
        <f t="shared" si="17"/>
        <v/>
      </c>
      <c r="AR51" s="61" t="str">
        <f t="shared" si="18"/>
        <v/>
      </c>
    </row>
    <row r="52" spans="1:44" x14ac:dyDescent="0.25">
      <c r="A52" s="76">
        <v>44905</v>
      </c>
      <c r="B52" s="76" t="s">
        <v>92</v>
      </c>
      <c r="C52" s="76">
        <v>14</v>
      </c>
      <c r="D52" s="76" t="s">
        <v>109</v>
      </c>
      <c r="E52" s="76">
        <v>384</v>
      </c>
      <c r="G52" s="76" t="b">
        <v>1</v>
      </c>
      <c r="J52" s="76" t="s">
        <v>88</v>
      </c>
      <c r="K52" s="76">
        <v>344</v>
      </c>
      <c r="L52" s="76" t="s">
        <v>183</v>
      </c>
      <c r="M52" s="76" t="s">
        <v>94</v>
      </c>
      <c r="P52" s="73" t="str">
        <f t="shared" si="19"/>
        <v/>
      </c>
      <c r="Q52" s="73" t="str">
        <f t="shared" si="20"/>
        <v/>
      </c>
      <c r="R52" s="74" t="str">
        <f t="shared" si="21"/>
        <v/>
      </c>
      <c r="S52" s="74" t="str">
        <f t="shared" si="0"/>
        <v/>
      </c>
      <c r="U52" s="74" t="str">
        <f t="shared" si="23"/>
        <v/>
      </c>
      <c r="V52" s="74" t="str">
        <f t="shared" si="23"/>
        <v/>
      </c>
      <c r="W52" s="74" t="str">
        <f t="shared" si="23"/>
        <v/>
      </c>
      <c r="X52" s="74" t="str">
        <f t="shared" si="23"/>
        <v/>
      </c>
      <c r="Y52" s="74" t="str">
        <f t="shared" si="23"/>
        <v/>
      </c>
      <c r="Z52" s="74">
        <f t="shared" si="7"/>
        <v>384</v>
      </c>
      <c r="AA52" s="74" t="str">
        <f t="shared" si="8"/>
        <v/>
      </c>
      <c r="AB52" s="74">
        <f t="shared" si="9"/>
        <v>1</v>
      </c>
      <c r="AC52" s="74">
        <f t="shared" si="10"/>
        <v>0</v>
      </c>
      <c r="AE52" s="74" t="str">
        <f t="shared" si="2"/>
        <v/>
      </c>
      <c r="AF52" s="74" t="str">
        <f t="shared" si="3"/>
        <v/>
      </c>
      <c r="AG52" s="74" t="str">
        <f t="shared" si="4"/>
        <v/>
      </c>
      <c r="AH52" s="74">
        <f t="shared" si="11"/>
        <v>0</v>
      </c>
      <c r="AI52" s="74" t="str">
        <f>IF(AH52&lt;&gt;0,COUNTIF(AH$3:AH52,1),"")</f>
        <v/>
      </c>
      <c r="AJ52" s="74" t="str">
        <f t="shared" si="22"/>
        <v>44905;Après-Midi;Stéphane M.</v>
      </c>
      <c r="AK52" s="73" t="str">
        <f t="shared" si="12"/>
        <v/>
      </c>
      <c r="AL52" s="73" t="str">
        <f t="shared" si="13"/>
        <v/>
      </c>
      <c r="AM52" s="73" t="str">
        <f t="shared" si="14"/>
        <v/>
      </c>
      <c r="AN52" s="73" t="str">
        <f t="shared" si="15"/>
        <v/>
      </c>
      <c r="AP52" s="61" t="str">
        <f t="shared" si="16"/>
        <v/>
      </c>
      <c r="AQ52" s="61" t="str">
        <f t="shared" si="17"/>
        <v/>
      </c>
      <c r="AR52" s="61" t="str">
        <f t="shared" si="18"/>
        <v/>
      </c>
    </row>
    <row r="53" spans="1:44" x14ac:dyDescent="0.25">
      <c r="A53" s="76">
        <v>44905</v>
      </c>
      <c r="B53" s="76" t="s">
        <v>92</v>
      </c>
      <c r="C53" s="76">
        <v>15</v>
      </c>
      <c r="D53" s="76" t="s">
        <v>110</v>
      </c>
      <c r="E53" s="76">
        <v>384</v>
      </c>
      <c r="G53" s="76" t="b">
        <v>1</v>
      </c>
      <c r="J53" s="76" t="s">
        <v>88</v>
      </c>
      <c r="K53" s="76">
        <v>344</v>
      </c>
      <c r="L53" s="76" t="s">
        <v>183</v>
      </c>
      <c r="M53" s="76" t="s">
        <v>94</v>
      </c>
      <c r="N53" s="76" t="s">
        <v>132</v>
      </c>
      <c r="P53" s="73" t="str">
        <f t="shared" si="19"/>
        <v>29</v>
      </c>
      <c r="Q53" s="73" t="str">
        <f t="shared" si="20"/>
        <v>31</v>
      </c>
      <c r="R53" s="74" t="str">
        <f t="shared" si="21"/>
        <v/>
      </c>
      <c r="S53" s="74" t="str">
        <f t="shared" si="0"/>
        <v/>
      </c>
      <c r="U53" s="74" t="str">
        <f t="shared" si="23"/>
        <v/>
      </c>
      <c r="V53" s="74" t="str">
        <f t="shared" si="23"/>
        <v/>
      </c>
      <c r="W53" s="74" t="str">
        <f t="shared" si="23"/>
        <v/>
      </c>
      <c r="X53" s="74" t="str">
        <f t="shared" si="23"/>
        <v/>
      </c>
      <c r="Y53" s="74" t="str">
        <f t="shared" si="23"/>
        <v/>
      </c>
      <c r="Z53" s="74">
        <f t="shared" si="7"/>
        <v>384</v>
      </c>
      <c r="AA53" s="74" t="str">
        <f t="shared" si="8"/>
        <v/>
      </c>
      <c r="AB53" s="74">
        <f t="shared" si="9"/>
        <v>1</v>
      </c>
      <c r="AC53" s="74">
        <f t="shared" si="10"/>
        <v>0</v>
      </c>
      <c r="AE53" s="74" t="b">
        <f t="shared" si="2"/>
        <v>1</v>
      </c>
      <c r="AF53" s="74" t="b">
        <f t="shared" si="3"/>
        <v>1</v>
      </c>
      <c r="AG53" s="74" t="str">
        <f t="shared" si="4"/>
        <v/>
      </c>
      <c r="AH53" s="74">
        <f t="shared" si="11"/>
        <v>0</v>
      </c>
      <c r="AI53" s="74" t="str">
        <f>IF(AH53&lt;&gt;0,COUNTIF(AH$3:AH53,1),"")</f>
        <v/>
      </c>
      <c r="AJ53" s="74" t="str">
        <f t="shared" si="22"/>
        <v>44905;Après-Midi;Stéphane M.</v>
      </c>
      <c r="AK53" s="73" t="str">
        <f t="shared" si="12"/>
        <v>29</v>
      </c>
      <c r="AL53" s="73" t="str">
        <f t="shared" si="13"/>
        <v>31</v>
      </c>
      <c r="AM53" s="73" t="str">
        <f t="shared" si="14"/>
        <v/>
      </c>
      <c r="AN53" s="73" t="str">
        <f t="shared" si="15"/>
        <v/>
      </c>
      <c r="AP53" s="61">
        <f t="shared" si="16"/>
        <v>29</v>
      </c>
      <c r="AQ53" s="61">
        <f t="shared" si="17"/>
        <v>31</v>
      </c>
      <c r="AR53" s="61" t="str">
        <f t="shared" si="18"/>
        <v/>
      </c>
    </row>
    <row r="54" spans="1:44" x14ac:dyDescent="0.25">
      <c r="A54" s="76">
        <v>44905</v>
      </c>
      <c r="B54" s="76" t="s">
        <v>92</v>
      </c>
      <c r="C54" s="76">
        <v>16</v>
      </c>
      <c r="D54" s="76" t="s">
        <v>111</v>
      </c>
      <c r="E54" s="76">
        <v>384</v>
      </c>
      <c r="G54" s="76" t="b">
        <v>1</v>
      </c>
      <c r="J54" s="76" t="s">
        <v>88</v>
      </c>
      <c r="K54" s="76">
        <v>344</v>
      </c>
      <c r="L54" s="76" t="s">
        <v>183</v>
      </c>
      <c r="M54" s="76" t="s">
        <v>94</v>
      </c>
      <c r="P54" s="73" t="str">
        <f t="shared" si="19"/>
        <v/>
      </c>
      <c r="Q54" s="73" t="str">
        <f t="shared" si="20"/>
        <v/>
      </c>
      <c r="R54" s="74" t="str">
        <f t="shared" si="21"/>
        <v/>
      </c>
      <c r="S54" s="74" t="str">
        <f t="shared" si="0"/>
        <v/>
      </c>
      <c r="U54" s="74" t="str">
        <f t="shared" si="23"/>
        <v/>
      </c>
      <c r="V54" s="74" t="str">
        <f t="shared" si="23"/>
        <v/>
      </c>
      <c r="W54" s="74" t="str">
        <f t="shared" si="23"/>
        <v/>
      </c>
      <c r="X54" s="74" t="str">
        <f t="shared" si="23"/>
        <v/>
      </c>
      <c r="Y54" s="74" t="str">
        <f t="shared" si="23"/>
        <v/>
      </c>
      <c r="Z54" s="74">
        <f t="shared" si="7"/>
        <v>384</v>
      </c>
      <c r="AA54" s="74" t="str">
        <f t="shared" si="8"/>
        <v/>
      </c>
      <c r="AB54" s="74">
        <f t="shared" si="9"/>
        <v>1</v>
      </c>
      <c r="AC54" s="74">
        <f t="shared" si="10"/>
        <v>0</v>
      </c>
      <c r="AE54" s="74" t="str">
        <f t="shared" si="2"/>
        <v/>
      </c>
      <c r="AF54" s="74" t="str">
        <f t="shared" si="3"/>
        <v/>
      </c>
      <c r="AG54" s="74" t="str">
        <f t="shared" si="4"/>
        <v/>
      </c>
      <c r="AH54" s="74">
        <f t="shared" si="11"/>
        <v>0</v>
      </c>
      <c r="AI54" s="74" t="str">
        <f>IF(AH54&lt;&gt;0,COUNTIF(AH$3:AH54,1),"")</f>
        <v/>
      </c>
      <c r="AJ54" s="74" t="str">
        <f t="shared" si="22"/>
        <v>44905;Après-Midi;Stéphane M.</v>
      </c>
      <c r="AK54" s="73" t="str">
        <f t="shared" si="12"/>
        <v/>
      </c>
      <c r="AL54" s="73" t="str">
        <f t="shared" si="13"/>
        <v/>
      </c>
      <c r="AM54" s="73" t="str">
        <f t="shared" si="14"/>
        <v/>
      </c>
      <c r="AN54" s="73" t="str">
        <f t="shared" si="15"/>
        <v/>
      </c>
      <c r="AP54" s="61" t="str">
        <f t="shared" si="16"/>
        <v/>
      </c>
      <c r="AQ54" s="61" t="str">
        <f t="shared" si="17"/>
        <v/>
      </c>
      <c r="AR54" s="61" t="str">
        <f t="shared" si="18"/>
        <v/>
      </c>
    </row>
    <row r="55" spans="1:44" x14ac:dyDescent="0.25">
      <c r="A55" s="76">
        <v>44905</v>
      </c>
      <c r="B55" s="76" t="s">
        <v>92</v>
      </c>
      <c r="C55" s="76">
        <v>17</v>
      </c>
      <c r="D55" s="76" t="s">
        <v>112</v>
      </c>
      <c r="E55" s="76">
        <v>384</v>
      </c>
      <c r="G55" s="76" t="b">
        <v>1</v>
      </c>
      <c r="J55" s="76" t="s">
        <v>88</v>
      </c>
      <c r="K55" s="76">
        <v>344</v>
      </c>
      <c r="L55" s="76" t="s">
        <v>183</v>
      </c>
      <c r="M55" s="76" t="s">
        <v>94</v>
      </c>
      <c r="P55" s="73" t="str">
        <f t="shared" si="19"/>
        <v/>
      </c>
      <c r="Q55" s="73" t="str">
        <f t="shared" si="20"/>
        <v/>
      </c>
      <c r="R55" s="74" t="str">
        <f t="shared" si="21"/>
        <v/>
      </c>
      <c r="S55" s="74" t="str">
        <f t="shared" si="0"/>
        <v/>
      </c>
      <c r="U55" s="74" t="str">
        <f t="shared" si="23"/>
        <v/>
      </c>
      <c r="V55" s="74" t="str">
        <f t="shared" si="23"/>
        <v/>
      </c>
      <c r="W55" s="74" t="str">
        <f t="shared" si="23"/>
        <v/>
      </c>
      <c r="X55" s="74" t="str">
        <f t="shared" si="23"/>
        <v/>
      </c>
      <c r="Y55" s="74" t="str">
        <f t="shared" si="23"/>
        <v/>
      </c>
      <c r="Z55" s="74">
        <f t="shared" si="7"/>
        <v>384</v>
      </c>
      <c r="AA55" s="74" t="str">
        <f t="shared" si="8"/>
        <v/>
      </c>
      <c r="AB55" s="74">
        <f t="shared" si="9"/>
        <v>1</v>
      </c>
      <c r="AC55" s="74">
        <f t="shared" si="10"/>
        <v>0</v>
      </c>
      <c r="AE55" s="74" t="str">
        <f t="shared" si="2"/>
        <v/>
      </c>
      <c r="AF55" s="74" t="str">
        <f t="shared" si="3"/>
        <v/>
      </c>
      <c r="AG55" s="74" t="str">
        <f t="shared" si="4"/>
        <v/>
      </c>
      <c r="AH55" s="74">
        <f t="shared" si="11"/>
        <v>0</v>
      </c>
      <c r="AI55" s="74" t="str">
        <f>IF(AH55&lt;&gt;0,COUNTIF(AH$3:AH55,1),"")</f>
        <v/>
      </c>
      <c r="AJ55" s="74" t="str">
        <f t="shared" si="22"/>
        <v>44905;Après-Midi;Stéphane M.</v>
      </c>
      <c r="AK55" s="73" t="str">
        <f t="shared" si="12"/>
        <v/>
      </c>
      <c r="AL55" s="73" t="str">
        <f t="shared" si="13"/>
        <v/>
      </c>
      <c r="AM55" s="73" t="str">
        <f t="shared" si="14"/>
        <v/>
      </c>
      <c r="AN55" s="73" t="str">
        <f t="shared" si="15"/>
        <v/>
      </c>
      <c r="AP55" s="61" t="str">
        <f t="shared" si="16"/>
        <v/>
      </c>
      <c r="AQ55" s="61" t="str">
        <f t="shared" si="17"/>
        <v/>
      </c>
      <c r="AR55" s="61" t="str">
        <f t="shared" si="18"/>
        <v/>
      </c>
    </row>
    <row r="56" spans="1:44" x14ac:dyDescent="0.25">
      <c r="A56" s="76">
        <v>44905</v>
      </c>
      <c r="B56" s="76" t="s">
        <v>92</v>
      </c>
      <c r="C56" s="76">
        <v>18</v>
      </c>
      <c r="D56" s="76" t="s">
        <v>113</v>
      </c>
      <c r="E56" s="76">
        <v>384</v>
      </c>
      <c r="G56" s="76" t="b">
        <v>1</v>
      </c>
      <c r="J56" s="76" t="s">
        <v>88</v>
      </c>
      <c r="K56" s="76">
        <v>344</v>
      </c>
      <c r="L56" s="76" t="s">
        <v>183</v>
      </c>
      <c r="M56" s="76" t="s">
        <v>94</v>
      </c>
      <c r="P56" s="73" t="str">
        <f t="shared" si="19"/>
        <v/>
      </c>
      <c r="Q56" s="73" t="str">
        <f t="shared" si="20"/>
        <v/>
      </c>
      <c r="R56" s="74" t="str">
        <f t="shared" si="21"/>
        <v/>
      </c>
      <c r="S56" s="74" t="str">
        <f t="shared" si="0"/>
        <v/>
      </c>
      <c r="U56" s="74" t="str">
        <f t="shared" si="23"/>
        <v/>
      </c>
      <c r="V56" s="74" t="str">
        <f t="shared" si="23"/>
        <v/>
      </c>
      <c r="W56" s="74" t="str">
        <f t="shared" si="23"/>
        <v/>
      </c>
      <c r="X56" s="74" t="str">
        <f t="shared" si="23"/>
        <v/>
      </c>
      <c r="Y56" s="74" t="str">
        <f t="shared" si="23"/>
        <v/>
      </c>
      <c r="Z56" s="74">
        <f t="shared" si="7"/>
        <v>384</v>
      </c>
      <c r="AA56" s="74" t="str">
        <f t="shared" si="8"/>
        <v/>
      </c>
      <c r="AB56" s="74">
        <f t="shared" si="9"/>
        <v>1</v>
      </c>
      <c r="AC56" s="74">
        <f t="shared" si="10"/>
        <v>0</v>
      </c>
      <c r="AE56" s="74" t="str">
        <f t="shared" si="2"/>
        <v/>
      </c>
      <c r="AF56" s="74" t="str">
        <f t="shared" si="3"/>
        <v/>
      </c>
      <c r="AG56" s="74" t="str">
        <f t="shared" si="4"/>
        <v/>
      </c>
      <c r="AH56" s="74">
        <f t="shared" si="11"/>
        <v>0</v>
      </c>
      <c r="AI56" s="74" t="str">
        <f>IF(AH56&lt;&gt;0,COUNTIF(AH$3:AH56,1),"")</f>
        <v/>
      </c>
      <c r="AJ56" s="74" t="str">
        <f t="shared" si="22"/>
        <v>44905;Après-Midi;Stéphane M.</v>
      </c>
      <c r="AK56" s="73" t="str">
        <f t="shared" si="12"/>
        <v/>
      </c>
      <c r="AL56" s="73" t="str">
        <f t="shared" si="13"/>
        <v/>
      </c>
      <c r="AM56" s="73" t="str">
        <f t="shared" si="14"/>
        <v/>
      </c>
      <c r="AN56" s="73" t="str">
        <f t="shared" si="15"/>
        <v/>
      </c>
      <c r="AP56" s="61" t="str">
        <f t="shared" si="16"/>
        <v/>
      </c>
      <c r="AQ56" s="61" t="str">
        <f t="shared" si="17"/>
        <v/>
      </c>
      <c r="AR56" s="61" t="str">
        <f t="shared" si="18"/>
        <v/>
      </c>
    </row>
    <row r="57" spans="1:44" x14ac:dyDescent="0.25">
      <c r="A57" s="76">
        <v>44905</v>
      </c>
      <c r="B57" s="76" t="s">
        <v>92</v>
      </c>
      <c r="C57" s="76">
        <v>19</v>
      </c>
      <c r="D57" s="76" t="s">
        <v>114</v>
      </c>
      <c r="E57" s="76">
        <v>384</v>
      </c>
      <c r="G57" s="76" t="b">
        <v>1</v>
      </c>
      <c r="J57" s="76" t="s">
        <v>88</v>
      </c>
      <c r="K57" s="76">
        <v>344</v>
      </c>
      <c r="L57" s="76" t="s">
        <v>183</v>
      </c>
      <c r="M57" s="76" t="s">
        <v>94</v>
      </c>
      <c r="P57" s="73" t="str">
        <f t="shared" ref="P57:P84" si="24">IF(N57&lt;&gt;"",SUBSTITUTE(LEFT(N57,FIND(";",N57)),";",""),"")</f>
        <v/>
      </c>
      <c r="Q57" s="73" t="str">
        <f t="shared" ref="Q57:Q84" si="25">IF(N57&lt;&gt;"",SUBSTITUTE(RIGHT(N57,FIND(";",N57)),";",""),"")</f>
        <v/>
      </c>
      <c r="R57" s="74" t="str">
        <f t="shared" ref="R57:R84" si="26">IF(O57&lt;&gt;"",SUBSTITUTE(LEFT(O57,FIND(";",O57)),";",""),"")</f>
        <v/>
      </c>
      <c r="S57" s="74" t="str">
        <f t="shared" si="0"/>
        <v/>
      </c>
      <c r="U57" s="74" t="str">
        <f t="shared" si="23"/>
        <v/>
      </c>
      <c r="V57" s="74" t="str">
        <f t="shared" si="23"/>
        <v/>
      </c>
      <c r="W57" s="74" t="str">
        <f t="shared" si="23"/>
        <v/>
      </c>
      <c r="X57" s="74" t="str">
        <f t="shared" si="23"/>
        <v/>
      </c>
      <c r="Y57" s="74" t="str">
        <f t="shared" si="23"/>
        <v/>
      </c>
      <c r="Z57" s="74">
        <f t="shared" si="7"/>
        <v>384</v>
      </c>
      <c r="AA57" s="74" t="str">
        <f t="shared" si="8"/>
        <v/>
      </c>
      <c r="AB57" s="74">
        <f t="shared" si="9"/>
        <v>1</v>
      </c>
      <c r="AC57" s="74">
        <f t="shared" si="10"/>
        <v>0</v>
      </c>
      <c r="AE57" s="74" t="str">
        <f t="shared" ref="AE57:AE71" si="27">IF(P57&lt;&gt;"",IF(AND(_xlfn.NUMBERVALUE(P57)&gt;25,_xlfn.NUMBERVALUE(P57)&lt;38),TRUE,FALSE),"")</f>
        <v/>
      </c>
      <c r="AF57" s="74" t="str">
        <f t="shared" ref="AF57:AF71" si="28">IF(Q57&lt;&gt;"",IF(AND(_xlfn.NUMBERVALUE(Q57)&gt;25,_xlfn.NUMBERVALUE(Q57)&lt;38),TRUE,FALSE),"")</f>
        <v/>
      </c>
      <c r="AG57" s="74" t="str">
        <f t="shared" ref="AG57:AG67" si="29">IF(R57&lt;&gt;"",IF(AND(_xlfn.NUMBERVALUE(R57)&gt;262,_xlfn.NUMBERVALUE(R57)&lt;307),TRUE,FALSE),"")</f>
        <v/>
      </c>
      <c r="AH57" s="74">
        <f t="shared" si="11"/>
        <v>0</v>
      </c>
      <c r="AI57" s="74" t="str">
        <f>IF(AH57&lt;&gt;0,COUNTIF(AH$3:AH57,1),"")</f>
        <v/>
      </c>
      <c r="AJ57" s="74" t="str">
        <f t="shared" si="22"/>
        <v>44905;Après-Midi;Stéphane M.</v>
      </c>
      <c r="AK57" s="73" t="str">
        <f t="shared" si="12"/>
        <v/>
      </c>
      <c r="AL57" s="73" t="str">
        <f t="shared" si="13"/>
        <v/>
      </c>
      <c r="AM57" s="73" t="str">
        <f t="shared" si="14"/>
        <v/>
      </c>
      <c r="AN57" s="73" t="str">
        <f t="shared" si="15"/>
        <v/>
      </c>
      <c r="AP57" s="61" t="str">
        <f t="shared" si="16"/>
        <v/>
      </c>
      <c r="AQ57" s="61" t="str">
        <f t="shared" si="17"/>
        <v/>
      </c>
      <c r="AR57" s="61" t="str">
        <f t="shared" si="18"/>
        <v/>
      </c>
    </row>
    <row r="58" spans="1:44" x14ac:dyDescent="0.25">
      <c r="A58" s="76">
        <v>44905</v>
      </c>
      <c r="B58" s="76" t="s">
        <v>92</v>
      </c>
      <c r="C58" s="76">
        <v>20</v>
      </c>
      <c r="D58" s="76" t="s">
        <v>115</v>
      </c>
      <c r="E58" s="76">
        <v>384</v>
      </c>
      <c r="G58" s="76" t="b">
        <v>1</v>
      </c>
      <c r="J58" s="76" t="s">
        <v>88</v>
      </c>
      <c r="K58" s="76">
        <v>344</v>
      </c>
      <c r="L58" s="76" t="s">
        <v>183</v>
      </c>
      <c r="M58" s="76" t="s">
        <v>94</v>
      </c>
      <c r="P58" s="73" t="str">
        <f t="shared" si="24"/>
        <v/>
      </c>
      <c r="Q58" s="73" t="str">
        <f t="shared" si="25"/>
        <v/>
      </c>
      <c r="R58" s="74" t="str">
        <f t="shared" si="26"/>
        <v/>
      </c>
      <c r="S58" s="74" t="str">
        <f t="shared" si="0"/>
        <v/>
      </c>
      <c r="U58" s="74" t="str">
        <f t="shared" si="23"/>
        <v/>
      </c>
      <c r="V58" s="74" t="str">
        <f t="shared" si="23"/>
        <v/>
      </c>
      <c r="W58" s="74" t="str">
        <f t="shared" si="23"/>
        <v/>
      </c>
      <c r="X58" s="74" t="str">
        <f t="shared" si="23"/>
        <v/>
      </c>
      <c r="Y58" s="74" t="str">
        <f t="shared" si="23"/>
        <v/>
      </c>
      <c r="Z58" s="74">
        <f t="shared" si="7"/>
        <v>384</v>
      </c>
      <c r="AA58" s="74" t="str">
        <f t="shared" si="8"/>
        <v/>
      </c>
      <c r="AB58" s="74">
        <f t="shared" si="9"/>
        <v>1</v>
      </c>
      <c r="AC58" s="74">
        <f t="shared" si="10"/>
        <v>0</v>
      </c>
      <c r="AE58" s="74" t="str">
        <f t="shared" si="27"/>
        <v/>
      </c>
      <c r="AF58" s="74" t="str">
        <f t="shared" si="28"/>
        <v/>
      </c>
      <c r="AG58" s="74" t="str">
        <f t="shared" si="29"/>
        <v/>
      </c>
      <c r="AH58" s="74">
        <f t="shared" si="11"/>
        <v>0</v>
      </c>
      <c r="AI58" s="74" t="str">
        <f>IF(AH58&lt;&gt;0,COUNTIF(AH$3:AH58,1),"")</f>
        <v/>
      </c>
      <c r="AJ58" s="74" t="str">
        <f t="shared" si="22"/>
        <v>44905;Après-Midi;Stéphane M.</v>
      </c>
      <c r="AK58" s="73" t="str">
        <f t="shared" si="12"/>
        <v/>
      </c>
      <c r="AL58" s="73" t="str">
        <f t="shared" si="13"/>
        <v/>
      </c>
      <c r="AM58" s="73" t="str">
        <f t="shared" si="14"/>
        <v/>
      </c>
      <c r="AN58" s="73" t="str">
        <f t="shared" si="15"/>
        <v/>
      </c>
      <c r="AP58" s="61" t="str">
        <f t="shared" si="16"/>
        <v/>
      </c>
      <c r="AQ58" s="61" t="str">
        <f t="shared" si="17"/>
        <v/>
      </c>
      <c r="AR58" s="61" t="str">
        <f t="shared" si="18"/>
        <v/>
      </c>
    </row>
    <row r="59" spans="1:44" x14ac:dyDescent="0.25">
      <c r="A59" s="76">
        <v>44905</v>
      </c>
      <c r="B59" s="76" t="s">
        <v>92</v>
      </c>
      <c r="C59" s="76">
        <v>21</v>
      </c>
      <c r="D59" s="76" t="s">
        <v>116</v>
      </c>
      <c r="E59" s="76">
        <v>384</v>
      </c>
      <c r="G59" s="76" t="b">
        <v>1</v>
      </c>
      <c r="J59" s="76" t="s">
        <v>88</v>
      </c>
      <c r="K59" s="76">
        <v>344</v>
      </c>
      <c r="L59" s="76" t="s">
        <v>183</v>
      </c>
      <c r="M59" s="76" t="s">
        <v>94</v>
      </c>
      <c r="P59" s="73" t="str">
        <f t="shared" si="24"/>
        <v/>
      </c>
      <c r="Q59" s="73" t="str">
        <f t="shared" si="25"/>
        <v/>
      </c>
      <c r="R59" s="74" t="str">
        <f t="shared" si="26"/>
        <v/>
      </c>
      <c r="S59" s="74" t="str">
        <f t="shared" si="0"/>
        <v/>
      </c>
      <c r="U59" s="74" t="str">
        <f t="shared" si="23"/>
        <v/>
      </c>
      <c r="V59" s="74" t="str">
        <f t="shared" si="23"/>
        <v/>
      </c>
      <c r="W59" s="74" t="str">
        <f t="shared" si="23"/>
        <v/>
      </c>
      <c r="X59" s="74" t="str">
        <f t="shared" si="23"/>
        <v/>
      </c>
      <c r="Y59" s="74" t="str">
        <f t="shared" si="23"/>
        <v/>
      </c>
      <c r="Z59" s="74">
        <f t="shared" si="7"/>
        <v>384</v>
      </c>
      <c r="AA59" s="74" t="str">
        <f t="shared" si="8"/>
        <v/>
      </c>
      <c r="AB59" s="74">
        <f t="shared" si="9"/>
        <v>1</v>
      </c>
      <c r="AC59" s="74">
        <f t="shared" si="10"/>
        <v>0</v>
      </c>
      <c r="AE59" s="74" t="str">
        <f t="shared" si="27"/>
        <v/>
      </c>
      <c r="AF59" s="74" t="str">
        <f t="shared" si="28"/>
        <v/>
      </c>
      <c r="AG59" s="74" t="str">
        <f t="shared" si="29"/>
        <v/>
      </c>
      <c r="AH59" s="74">
        <f t="shared" si="11"/>
        <v>0</v>
      </c>
      <c r="AI59" s="74" t="str">
        <f>IF(AH59&lt;&gt;0,COUNTIF(AH$3:AH59,1),"")</f>
        <v/>
      </c>
      <c r="AJ59" s="74" t="str">
        <f t="shared" si="22"/>
        <v>44905;Après-Midi;Stéphane M.</v>
      </c>
      <c r="AK59" s="73" t="str">
        <f t="shared" si="12"/>
        <v/>
      </c>
      <c r="AL59" s="73" t="str">
        <f t="shared" si="13"/>
        <v/>
      </c>
      <c r="AM59" s="73" t="str">
        <f t="shared" si="14"/>
        <v/>
      </c>
      <c r="AN59" s="73" t="str">
        <f t="shared" si="15"/>
        <v/>
      </c>
      <c r="AP59" s="61" t="str">
        <f t="shared" si="16"/>
        <v/>
      </c>
      <c r="AQ59" s="61" t="str">
        <f t="shared" si="17"/>
        <v/>
      </c>
      <c r="AR59" s="61" t="str">
        <f t="shared" si="18"/>
        <v/>
      </c>
    </row>
    <row r="60" spans="1:44" x14ac:dyDescent="0.25">
      <c r="A60" s="76">
        <v>44905</v>
      </c>
      <c r="B60" s="76" t="s">
        <v>92</v>
      </c>
      <c r="C60" s="76">
        <v>22</v>
      </c>
      <c r="D60" s="76" t="s">
        <v>117</v>
      </c>
      <c r="E60" s="76">
        <v>384</v>
      </c>
      <c r="G60" s="76" t="b">
        <v>1</v>
      </c>
      <c r="J60" s="76" t="s">
        <v>88</v>
      </c>
      <c r="K60" s="76">
        <v>344</v>
      </c>
      <c r="L60" s="76" t="s">
        <v>183</v>
      </c>
      <c r="M60" s="76" t="s">
        <v>94</v>
      </c>
      <c r="N60" s="76" t="s">
        <v>137</v>
      </c>
      <c r="P60" s="73" t="str">
        <f t="shared" si="24"/>
        <v>32</v>
      </c>
      <c r="Q60" s="73" t="str">
        <f t="shared" si="25"/>
        <v>31</v>
      </c>
      <c r="R60" s="74" t="str">
        <f t="shared" si="26"/>
        <v/>
      </c>
      <c r="S60" s="74" t="str">
        <f t="shared" si="0"/>
        <v/>
      </c>
      <c r="U60" s="74" t="str">
        <f t="shared" si="23"/>
        <v/>
      </c>
      <c r="V60" s="74" t="str">
        <f t="shared" si="23"/>
        <v/>
      </c>
      <c r="W60" s="74" t="str">
        <f t="shared" si="23"/>
        <v/>
      </c>
      <c r="X60" s="74" t="str">
        <f t="shared" si="23"/>
        <v/>
      </c>
      <c r="Y60" s="74" t="str">
        <f t="shared" si="23"/>
        <v/>
      </c>
      <c r="Z60" s="74">
        <f t="shared" si="7"/>
        <v>384</v>
      </c>
      <c r="AA60" s="74" t="str">
        <f t="shared" si="8"/>
        <v/>
      </c>
      <c r="AB60" s="74">
        <f t="shared" si="9"/>
        <v>1</v>
      </c>
      <c r="AC60" s="74">
        <f t="shared" si="10"/>
        <v>0</v>
      </c>
      <c r="AE60" s="74" t="b">
        <f t="shared" si="27"/>
        <v>1</v>
      </c>
      <c r="AF60" s="74" t="b">
        <f t="shared" si="28"/>
        <v>1</v>
      </c>
      <c r="AG60" s="74" t="str">
        <f t="shared" si="29"/>
        <v/>
      </c>
      <c r="AH60" s="74">
        <f t="shared" si="11"/>
        <v>0</v>
      </c>
      <c r="AI60" s="74" t="str">
        <f>IF(AH60&lt;&gt;0,COUNTIF(AH$3:AH60,1),"")</f>
        <v/>
      </c>
      <c r="AJ60" s="74" t="str">
        <f t="shared" si="22"/>
        <v>44905;Après-Midi;Stéphane M.</v>
      </c>
      <c r="AK60" s="73" t="str">
        <f t="shared" si="12"/>
        <v>32</v>
      </c>
      <c r="AL60" s="73" t="str">
        <f t="shared" si="13"/>
        <v>31</v>
      </c>
      <c r="AM60" s="73" t="str">
        <f t="shared" si="14"/>
        <v/>
      </c>
      <c r="AN60" s="73" t="str">
        <f t="shared" si="15"/>
        <v/>
      </c>
      <c r="AP60" s="61">
        <f t="shared" si="16"/>
        <v>32</v>
      </c>
      <c r="AQ60" s="61">
        <f t="shared" si="17"/>
        <v>31</v>
      </c>
      <c r="AR60" s="61" t="str">
        <f t="shared" si="18"/>
        <v/>
      </c>
    </row>
    <row r="61" spans="1:44" x14ac:dyDescent="0.25">
      <c r="A61" s="76">
        <v>44905</v>
      </c>
      <c r="B61" s="76" t="s">
        <v>92</v>
      </c>
      <c r="C61" s="76">
        <v>23</v>
      </c>
      <c r="D61" s="76" t="s">
        <v>118</v>
      </c>
      <c r="E61" s="76">
        <v>384</v>
      </c>
      <c r="G61" s="76" t="b">
        <v>1</v>
      </c>
      <c r="J61" s="76" t="s">
        <v>88</v>
      </c>
      <c r="K61" s="76">
        <v>344</v>
      </c>
      <c r="L61" s="76" t="s">
        <v>183</v>
      </c>
      <c r="M61" s="76" t="s">
        <v>94</v>
      </c>
      <c r="O61" s="76" t="s">
        <v>155</v>
      </c>
      <c r="P61" s="73" t="str">
        <f t="shared" si="24"/>
        <v/>
      </c>
      <c r="Q61" s="73" t="str">
        <f t="shared" si="25"/>
        <v/>
      </c>
      <c r="R61" s="74" t="str">
        <f t="shared" si="26"/>
        <v>302</v>
      </c>
      <c r="S61" s="74" t="b">
        <f t="shared" si="0"/>
        <v>1</v>
      </c>
      <c r="U61" s="74" t="str">
        <f t="shared" si="23"/>
        <v/>
      </c>
      <c r="V61" s="74" t="str">
        <f t="shared" si="23"/>
        <v/>
      </c>
      <c r="W61" s="74" t="str">
        <f t="shared" si="23"/>
        <v/>
      </c>
      <c r="X61" s="74" t="str">
        <f t="shared" si="23"/>
        <v/>
      </c>
      <c r="Y61" s="74" t="str">
        <f t="shared" si="23"/>
        <v/>
      </c>
      <c r="Z61" s="74">
        <f t="shared" si="7"/>
        <v>384</v>
      </c>
      <c r="AA61" s="74" t="str">
        <f t="shared" si="8"/>
        <v/>
      </c>
      <c r="AB61" s="74">
        <f t="shared" si="9"/>
        <v>1</v>
      </c>
      <c r="AC61" s="74">
        <f t="shared" si="10"/>
        <v>0</v>
      </c>
      <c r="AE61" s="74" t="str">
        <f t="shared" si="27"/>
        <v/>
      </c>
      <c r="AF61" s="74" t="str">
        <f t="shared" si="28"/>
        <v/>
      </c>
      <c r="AG61" s="74" t="b">
        <f t="shared" si="29"/>
        <v>1</v>
      </c>
      <c r="AH61" s="74">
        <f t="shared" si="11"/>
        <v>0</v>
      </c>
      <c r="AI61" s="74" t="str">
        <f>IF(AH61&lt;&gt;0,COUNTIF(AH$3:AH61,1),"")</f>
        <v/>
      </c>
      <c r="AJ61" s="74" t="str">
        <f t="shared" si="22"/>
        <v>44905;Après-Midi;Stéphane M.</v>
      </c>
      <c r="AK61" s="73" t="str">
        <f t="shared" si="12"/>
        <v/>
      </c>
      <c r="AL61" s="73" t="str">
        <f t="shared" si="13"/>
        <v/>
      </c>
      <c r="AM61" s="73" t="str">
        <f t="shared" si="14"/>
        <v>302</v>
      </c>
      <c r="AN61" s="73" t="b">
        <f t="shared" si="15"/>
        <v>1</v>
      </c>
      <c r="AP61" s="61" t="str">
        <f t="shared" si="16"/>
        <v/>
      </c>
      <c r="AQ61" s="61" t="str">
        <f t="shared" si="17"/>
        <v/>
      </c>
      <c r="AR61" s="61">
        <f t="shared" si="18"/>
        <v>302</v>
      </c>
    </row>
    <row r="62" spans="1:44" x14ac:dyDescent="0.25">
      <c r="A62" s="76">
        <v>44905</v>
      </c>
      <c r="B62" s="76" t="s">
        <v>92</v>
      </c>
      <c r="C62" s="76">
        <v>24</v>
      </c>
      <c r="D62" s="76" t="s">
        <v>119</v>
      </c>
      <c r="E62" s="76">
        <v>384</v>
      </c>
      <c r="G62" s="76" t="b">
        <v>1</v>
      </c>
      <c r="J62" s="76" t="s">
        <v>88</v>
      </c>
      <c r="K62" s="76">
        <v>344</v>
      </c>
      <c r="L62" s="76" t="s">
        <v>183</v>
      </c>
      <c r="M62" s="76" t="s">
        <v>94</v>
      </c>
      <c r="P62" s="73" t="str">
        <f t="shared" si="24"/>
        <v/>
      </c>
      <c r="Q62" s="73" t="str">
        <f t="shared" si="25"/>
        <v/>
      </c>
      <c r="R62" s="74" t="str">
        <f t="shared" si="26"/>
        <v/>
      </c>
      <c r="S62" s="74" t="str">
        <f t="shared" si="0"/>
        <v/>
      </c>
      <c r="U62" s="74" t="str">
        <f t="shared" si="23"/>
        <v/>
      </c>
      <c r="V62" s="74" t="str">
        <f t="shared" si="23"/>
        <v/>
      </c>
      <c r="W62" s="74" t="str">
        <f t="shared" si="23"/>
        <v/>
      </c>
      <c r="X62" s="74" t="str">
        <f t="shared" si="23"/>
        <v/>
      </c>
      <c r="Y62" s="74" t="str">
        <f t="shared" si="23"/>
        <v/>
      </c>
      <c r="Z62" s="74">
        <f t="shared" si="7"/>
        <v>384</v>
      </c>
      <c r="AA62" s="74" t="str">
        <f t="shared" si="8"/>
        <v/>
      </c>
      <c r="AB62" s="74">
        <f t="shared" si="9"/>
        <v>1</v>
      </c>
      <c r="AC62" s="74">
        <f t="shared" si="10"/>
        <v>0</v>
      </c>
      <c r="AE62" s="74" t="str">
        <f t="shared" si="27"/>
        <v/>
      </c>
      <c r="AF62" s="74" t="str">
        <f t="shared" si="28"/>
        <v/>
      </c>
      <c r="AG62" s="74" t="str">
        <f t="shared" si="29"/>
        <v/>
      </c>
      <c r="AH62" s="74">
        <f t="shared" si="11"/>
        <v>0</v>
      </c>
      <c r="AI62" s="74" t="str">
        <f>IF(AH62&lt;&gt;0,COUNTIF(AH$3:AH62,1),"")</f>
        <v/>
      </c>
      <c r="AJ62" s="74" t="str">
        <f t="shared" si="22"/>
        <v>44905;Après-Midi;Stéphane M.</v>
      </c>
      <c r="AK62" s="73" t="str">
        <f t="shared" si="12"/>
        <v/>
      </c>
      <c r="AL62" s="73" t="str">
        <f t="shared" si="13"/>
        <v/>
      </c>
      <c r="AM62" s="73" t="str">
        <f t="shared" si="14"/>
        <v/>
      </c>
      <c r="AN62" s="73" t="str">
        <f t="shared" si="15"/>
        <v/>
      </c>
      <c r="AP62" s="61" t="str">
        <f t="shared" si="16"/>
        <v/>
      </c>
      <c r="AQ62" s="61" t="str">
        <f t="shared" si="17"/>
        <v/>
      </c>
      <c r="AR62" s="61" t="str">
        <f t="shared" si="18"/>
        <v/>
      </c>
    </row>
    <row r="63" spans="1:44" x14ac:dyDescent="0.25">
      <c r="A63" s="76">
        <v>44905</v>
      </c>
      <c r="B63" s="76" t="s">
        <v>92</v>
      </c>
      <c r="C63" s="76">
        <v>25</v>
      </c>
      <c r="D63" s="76" t="s">
        <v>120</v>
      </c>
      <c r="E63" s="76">
        <v>384</v>
      </c>
      <c r="G63" s="76" t="b">
        <v>1</v>
      </c>
      <c r="J63" s="76" t="s">
        <v>88</v>
      </c>
      <c r="K63" s="76">
        <v>344</v>
      </c>
      <c r="L63" s="76" t="s">
        <v>183</v>
      </c>
      <c r="M63" s="76" t="s">
        <v>94</v>
      </c>
      <c r="P63" s="73" t="str">
        <f t="shared" si="24"/>
        <v/>
      </c>
      <c r="Q63" s="73" t="str">
        <f t="shared" si="25"/>
        <v/>
      </c>
      <c r="R63" s="74" t="str">
        <f t="shared" si="26"/>
        <v/>
      </c>
      <c r="S63" s="74" t="str">
        <f t="shared" si="0"/>
        <v/>
      </c>
      <c r="U63" s="74" t="str">
        <f t="shared" si="23"/>
        <v/>
      </c>
      <c r="V63" s="74" t="str">
        <f t="shared" si="23"/>
        <v/>
      </c>
      <c r="W63" s="74" t="str">
        <f t="shared" si="23"/>
        <v/>
      </c>
      <c r="X63" s="74" t="str">
        <f t="shared" si="23"/>
        <v/>
      </c>
      <c r="Y63" s="74" t="str">
        <f t="shared" si="23"/>
        <v/>
      </c>
      <c r="Z63" s="74">
        <f t="shared" si="7"/>
        <v>384</v>
      </c>
      <c r="AA63" s="74" t="str">
        <f t="shared" si="8"/>
        <v/>
      </c>
      <c r="AB63" s="74">
        <f t="shared" si="9"/>
        <v>1</v>
      </c>
      <c r="AC63" s="74">
        <f t="shared" si="10"/>
        <v>0</v>
      </c>
      <c r="AE63" s="74" t="str">
        <f t="shared" si="27"/>
        <v/>
      </c>
      <c r="AF63" s="74" t="str">
        <f t="shared" si="28"/>
        <v/>
      </c>
      <c r="AG63" s="74" t="str">
        <f t="shared" si="29"/>
        <v/>
      </c>
      <c r="AH63" s="74">
        <f t="shared" si="11"/>
        <v>0</v>
      </c>
      <c r="AI63" s="74" t="str">
        <f>IF(AH63&lt;&gt;0,COUNTIF(AH$3:AH63,1),"")</f>
        <v/>
      </c>
      <c r="AJ63" s="74" t="str">
        <f t="shared" si="22"/>
        <v>44905;Après-Midi;Stéphane M.</v>
      </c>
      <c r="AK63" s="73" t="str">
        <f t="shared" si="12"/>
        <v/>
      </c>
      <c r="AL63" s="73" t="str">
        <f t="shared" si="13"/>
        <v/>
      </c>
      <c r="AM63" s="73" t="str">
        <f t="shared" si="14"/>
        <v/>
      </c>
      <c r="AN63" s="73" t="str">
        <f t="shared" si="15"/>
        <v/>
      </c>
      <c r="AP63" s="61" t="str">
        <f t="shared" si="16"/>
        <v/>
      </c>
      <c r="AQ63" s="61" t="str">
        <f t="shared" si="17"/>
        <v/>
      </c>
      <c r="AR63" s="61" t="str">
        <f t="shared" si="18"/>
        <v/>
      </c>
    </row>
    <row r="64" spans="1:44" x14ac:dyDescent="0.25">
      <c r="A64" s="76">
        <v>44905</v>
      </c>
      <c r="B64" s="76" t="s">
        <v>92</v>
      </c>
      <c r="C64" s="76">
        <v>26</v>
      </c>
      <c r="D64" s="76" t="s">
        <v>121</v>
      </c>
      <c r="E64" s="76">
        <v>384</v>
      </c>
      <c r="G64" s="76" t="b">
        <v>1</v>
      </c>
      <c r="J64" s="76" t="s">
        <v>88</v>
      </c>
      <c r="K64" s="76">
        <v>344</v>
      </c>
      <c r="L64" s="76" t="s">
        <v>183</v>
      </c>
      <c r="M64" s="76" t="s">
        <v>94</v>
      </c>
      <c r="P64" s="73" t="str">
        <f t="shared" si="24"/>
        <v/>
      </c>
      <c r="Q64" s="73" t="str">
        <f t="shared" si="25"/>
        <v/>
      </c>
      <c r="R64" s="74" t="str">
        <f t="shared" si="26"/>
        <v/>
      </c>
      <c r="S64" s="74" t="str">
        <f t="shared" si="0"/>
        <v/>
      </c>
      <c r="U64" s="74" t="str">
        <f t="shared" si="23"/>
        <v/>
      </c>
      <c r="V64" s="74" t="str">
        <f t="shared" si="23"/>
        <v/>
      </c>
      <c r="W64" s="74" t="str">
        <f t="shared" si="23"/>
        <v/>
      </c>
      <c r="X64" s="74" t="str">
        <f t="shared" si="23"/>
        <v/>
      </c>
      <c r="Y64" s="74" t="str">
        <f t="shared" si="23"/>
        <v/>
      </c>
      <c r="Z64" s="74">
        <f t="shared" si="7"/>
        <v>384</v>
      </c>
      <c r="AA64" s="74" t="str">
        <f t="shared" si="8"/>
        <v/>
      </c>
      <c r="AB64" s="74">
        <f t="shared" si="9"/>
        <v>1</v>
      </c>
      <c r="AC64" s="74">
        <f t="shared" si="10"/>
        <v>0</v>
      </c>
      <c r="AE64" s="74" t="str">
        <f t="shared" si="27"/>
        <v/>
      </c>
      <c r="AF64" s="74" t="str">
        <f t="shared" si="28"/>
        <v/>
      </c>
      <c r="AG64" s="74" t="str">
        <f t="shared" si="29"/>
        <v/>
      </c>
      <c r="AH64" s="74">
        <f t="shared" si="11"/>
        <v>0</v>
      </c>
      <c r="AI64" s="74" t="str">
        <f>IF(AH64&lt;&gt;0,COUNTIF(AH$3:AH64,1),"")</f>
        <v/>
      </c>
      <c r="AJ64" s="74" t="str">
        <f t="shared" si="22"/>
        <v>44905;Après-Midi;Stéphane M.</v>
      </c>
      <c r="AK64" s="73" t="str">
        <f t="shared" si="12"/>
        <v/>
      </c>
      <c r="AL64" s="73" t="str">
        <f t="shared" si="13"/>
        <v/>
      </c>
      <c r="AM64" s="73" t="str">
        <f t="shared" si="14"/>
        <v/>
      </c>
      <c r="AN64" s="73" t="str">
        <f t="shared" si="15"/>
        <v/>
      </c>
      <c r="AP64" s="61" t="str">
        <f t="shared" si="16"/>
        <v/>
      </c>
      <c r="AQ64" s="61" t="str">
        <f t="shared" si="17"/>
        <v/>
      </c>
      <c r="AR64" s="61" t="str">
        <f t="shared" si="18"/>
        <v/>
      </c>
    </row>
    <row r="65" spans="16:44" x14ac:dyDescent="0.25">
      <c r="P65" s="73" t="str">
        <f t="shared" si="24"/>
        <v/>
      </c>
      <c r="Q65" s="73" t="str">
        <f t="shared" si="25"/>
        <v/>
      </c>
      <c r="R65" s="74" t="str">
        <f t="shared" si="26"/>
        <v/>
      </c>
      <c r="S65" s="74" t="str">
        <f t="shared" si="0"/>
        <v/>
      </c>
      <c r="U65" s="74" t="str">
        <f t="shared" si="23"/>
        <v/>
      </c>
      <c r="V65" s="74" t="str">
        <f t="shared" si="23"/>
        <v/>
      </c>
      <c r="W65" s="74" t="str">
        <f t="shared" si="23"/>
        <v/>
      </c>
      <c r="X65" s="74" t="str">
        <f t="shared" si="23"/>
        <v/>
      </c>
      <c r="Y65" s="74" t="str">
        <f t="shared" si="23"/>
        <v/>
      </c>
      <c r="Z65" s="74" t="str">
        <f t="shared" si="7"/>
        <v/>
      </c>
      <c r="AA65" s="74">
        <f t="shared" si="8"/>
        <v>0</v>
      </c>
      <c r="AB65" s="74">
        <f t="shared" si="9"/>
        <v>0</v>
      </c>
      <c r="AC65" s="74" t="str">
        <f t="shared" si="10"/>
        <v/>
      </c>
      <c r="AE65" s="74" t="str">
        <f t="shared" si="27"/>
        <v/>
      </c>
      <c r="AF65" s="74" t="str">
        <f t="shared" si="28"/>
        <v/>
      </c>
      <c r="AG65" s="74" t="str">
        <f t="shared" si="29"/>
        <v/>
      </c>
      <c r="AH65" s="74">
        <f t="shared" si="11"/>
        <v>0</v>
      </c>
      <c r="AI65" s="74" t="str">
        <f>IF(AH65&lt;&gt;0,COUNTIF(AH$3:AH65,1),"")</f>
        <v/>
      </c>
      <c r="AJ65" s="74">
        <f t="shared" si="22"/>
        <v>0</v>
      </c>
      <c r="AK65" s="73" t="str">
        <f t="shared" si="12"/>
        <v/>
      </c>
      <c r="AL65" s="73" t="str">
        <f t="shared" si="13"/>
        <v/>
      </c>
      <c r="AM65" s="73" t="str">
        <f t="shared" si="14"/>
        <v/>
      </c>
      <c r="AN65" s="73" t="str">
        <f t="shared" si="15"/>
        <v/>
      </c>
      <c r="AP65" s="61" t="str">
        <f t="shared" si="16"/>
        <v/>
      </c>
      <c r="AQ65" s="61" t="str">
        <f t="shared" si="17"/>
        <v/>
      </c>
      <c r="AR65" s="61" t="str">
        <f t="shared" si="18"/>
        <v/>
      </c>
    </row>
    <row r="66" spans="16:44" x14ac:dyDescent="0.25">
      <c r="P66" s="73" t="str">
        <f t="shared" si="24"/>
        <v/>
      </c>
      <c r="Q66" s="73" t="str">
        <f t="shared" si="25"/>
        <v/>
      </c>
      <c r="R66" s="74" t="str">
        <f t="shared" si="26"/>
        <v/>
      </c>
      <c r="S66" s="74" t="str">
        <f t="shared" si="0"/>
        <v/>
      </c>
      <c r="U66" s="74" t="str">
        <f t="shared" si="23"/>
        <v/>
      </c>
      <c r="V66" s="74" t="str">
        <f t="shared" si="23"/>
        <v/>
      </c>
      <c r="W66" s="74" t="str">
        <f t="shared" si="23"/>
        <v/>
      </c>
      <c r="X66" s="74" t="str">
        <f t="shared" si="23"/>
        <v/>
      </c>
      <c r="Y66" s="74" t="str">
        <f t="shared" si="23"/>
        <v/>
      </c>
      <c r="Z66" s="74" t="str">
        <f t="shared" si="7"/>
        <v/>
      </c>
      <c r="AA66" s="74">
        <f t="shared" si="8"/>
        <v>0</v>
      </c>
      <c r="AB66" s="74">
        <f t="shared" si="9"/>
        <v>0</v>
      </c>
      <c r="AC66" s="74" t="str">
        <f t="shared" si="10"/>
        <v/>
      </c>
      <c r="AE66" s="74" t="str">
        <f t="shared" si="27"/>
        <v/>
      </c>
      <c r="AF66" s="74" t="str">
        <f t="shared" si="28"/>
        <v/>
      </c>
      <c r="AG66" s="74" t="str">
        <f t="shared" si="29"/>
        <v/>
      </c>
      <c r="AH66" s="74">
        <f t="shared" si="11"/>
        <v>0</v>
      </c>
      <c r="AI66" s="74" t="str">
        <f>IF(AH66&lt;&gt;0,COUNTIF(AH$3:AH66,1),"")</f>
        <v/>
      </c>
      <c r="AJ66" s="74">
        <f t="shared" si="22"/>
        <v>0</v>
      </c>
      <c r="AK66" s="73" t="str">
        <f t="shared" si="12"/>
        <v/>
      </c>
      <c r="AL66" s="73" t="str">
        <f t="shared" si="13"/>
        <v/>
      </c>
      <c r="AM66" s="73" t="str">
        <f t="shared" si="14"/>
        <v/>
      </c>
      <c r="AN66" s="73" t="str">
        <f t="shared" si="15"/>
        <v/>
      </c>
      <c r="AP66" s="61" t="str">
        <f t="shared" si="16"/>
        <v/>
      </c>
      <c r="AQ66" s="61" t="str">
        <f t="shared" si="17"/>
        <v/>
      </c>
      <c r="AR66" s="61" t="str">
        <f t="shared" si="18"/>
        <v/>
      </c>
    </row>
    <row r="67" spans="16:44" x14ac:dyDescent="0.25">
      <c r="P67" s="73" t="str">
        <f t="shared" si="24"/>
        <v/>
      </c>
      <c r="Q67" s="73" t="str">
        <f t="shared" si="25"/>
        <v/>
      </c>
      <c r="R67" s="74" t="str">
        <f t="shared" si="26"/>
        <v/>
      </c>
      <c r="S67" s="74" t="str">
        <f t="shared" ref="S67:S84" si="30">IF(O67&lt;&gt;"",IFERROR(IF(FIND("OK",O67)&gt;0,TRUE),FALSE),"")</f>
        <v/>
      </c>
      <c r="U67" s="74" t="str">
        <f t="shared" si="23"/>
        <v/>
      </c>
      <c r="V67" s="74" t="str">
        <f t="shared" si="23"/>
        <v/>
      </c>
      <c r="W67" s="74" t="str">
        <f t="shared" si="23"/>
        <v/>
      </c>
      <c r="X67" s="74" t="str">
        <f t="shared" si="23"/>
        <v/>
      </c>
      <c r="Y67" s="74" t="str">
        <f t="shared" si="23"/>
        <v/>
      </c>
      <c r="Z67" s="74" t="str">
        <f t="shared" si="7"/>
        <v/>
      </c>
      <c r="AA67" s="74">
        <f t="shared" si="8"/>
        <v>0</v>
      </c>
      <c r="AB67" s="74">
        <f t="shared" si="9"/>
        <v>0</v>
      </c>
      <c r="AC67" s="74" t="str">
        <f t="shared" si="10"/>
        <v/>
      </c>
      <c r="AE67" s="74" t="str">
        <f t="shared" si="27"/>
        <v/>
      </c>
      <c r="AF67" s="74" t="str">
        <f t="shared" si="28"/>
        <v/>
      </c>
      <c r="AG67" s="74" t="str">
        <f t="shared" si="29"/>
        <v/>
      </c>
      <c r="AH67" s="74">
        <f t="shared" si="11"/>
        <v>0</v>
      </c>
      <c r="AI67" s="74" t="str">
        <f>IF(AH67&lt;&gt;0,COUNTIF(AH$3:AH67,1),"")</f>
        <v/>
      </c>
      <c r="AJ67" s="74">
        <f t="shared" si="22"/>
        <v>0</v>
      </c>
      <c r="AK67" s="73" t="str">
        <f t="shared" si="12"/>
        <v/>
      </c>
      <c r="AL67" s="73" t="str">
        <f t="shared" si="13"/>
        <v/>
      </c>
      <c r="AM67" s="73" t="str">
        <f t="shared" si="14"/>
        <v/>
      </c>
      <c r="AN67" s="73" t="str">
        <f t="shared" si="15"/>
        <v/>
      </c>
      <c r="AP67" s="61" t="str">
        <f t="shared" si="16"/>
        <v/>
      </c>
      <c r="AQ67" s="61" t="str">
        <f t="shared" si="17"/>
        <v/>
      </c>
      <c r="AR67" s="61" t="str">
        <f t="shared" si="18"/>
        <v/>
      </c>
    </row>
    <row r="68" spans="16:44" x14ac:dyDescent="0.25">
      <c r="P68" s="73" t="str">
        <f t="shared" si="24"/>
        <v/>
      </c>
      <c r="Q68" s="73" t="str">
        <f t="shared" si="25"/>
        <v/>
      </c>
      <c r="R68" s="74" t="str">
        <f t="shared" si="26"/>
        <v/>
      </c>
      <c r="S68" s="74" t="str">
        <f t="shared" si="30"/>
        <v/>
      </c>
      <c r="U68" s="74" t="str">
        <f t="shared" ref="U68:Y98" si="31">IF($F68=U$1,$E68,"")</f>
        <v/>
      </c>
      <c r="V68" s="74" t="str">
        <f t="shared" si="31"/>
        <v/>
      </c>
      <c r="W68" s="74" t="str">
        <f t="shared" si="31"/>
        <v/>
      </c>
      <c r="X68" s="74" t="str">
        <f t="shared" si="31"/>
        <v/>
      </c>
      <c r="Y68" s="74" t="str">
        <f t="shared" si="31"/>
        <v/>
      </c>
      <c r="Z68" s="74" t="str">
        <f t="shared" ref="Z68:Z84" si="32">IF(G68,E68,"")</f>
        <v/>
      </c>
      <c r="AA68" s="74">
        <f t="shared" ref="AA68:AA84" si="33">IF(G68=FALSE,E68,"")</f>
        <v>0</v>
      </c>
      <c r="AB68" s="74">
        <f t="shared" ref="AB68:AB84" si="34">IF(G68,1,0)</f>
        <v>0</v>
      </c>
      <c r="AC68" s="74" t="str">
        <f t="shared" ref="AC68:AC131" si="35">IF(A68&lt;&gt;"",IF(G68,0,1),"")</f>
        <v/>
      </c>
      <c r="AE68" s="74" t="str">
        <f t="shared" si="27"/>
        <v/>
      </c>
      <c r="AF68" s="74" t="str">
        <f t="shared" si="28"/>
        <v/>
      </c>
      <c r="AG68" s="74" t="str">
        <f t="shared" ref="AG68:AG131" si="36">IF(R68&lt;&gt;"",IF(AND(_xlfn.NUMBERVALUE(R68)&gt;262,_xlfn.NUMBERVALUE(R68)&lt;307),TRUE,FALSE),"")</f>
        <v/>
      </c>
      <c r="AH68" s="74">
        <f t="shared" ref="AH68:AH131" si="37">IF(OR(AE68=FALSE,AF68=FALSE,AG68=FALSE),1,0)</f>
        <v>0</v>
      </c>
      <c r="AI68" s="74" t="str">
        <f>IF(AH68&lt;&gt;0,COUNTIF(AH$3:AH68,1),"")</f>
        <v/>
      </c>
      <c r="AJ68" s="74">
        <f t="shared" si="22"/>
        <v>0</v>
      </c>
      <c r="AK68" s="73" t="str">
        <f t="shared" ref="AK68:AK131" si="38">P68</f>
        <v/>
      </c>
      <c r="AL68" s="73" t="str">
        <f t="shared" ref="AL68:AL131" si="39">Q68</f>
        <v/>
      </c>
      <c r="AM68" s="73" t="str">
        <f t="shared" ref="AM68:AM131" si="40">R68</f>
        <v/>
      </c>
      <c r="AN68" s="73" t="str">
        <f t="shared" ref="AN68:AN131" si="41">S68</f>
        <v/>
      </c>
      <c r="AP68" s="61" t="str">
        <f t="shared" ref="AP68:AP131" si="42">IF(P68&lt;&gt;"",_xlfn.NUMBERVALUE(P68),"")</f>
        <v/>
      </c>
      <c r="AQ68" s="61" t="str">
        <f t="shared" ref="AQ68:AQ131" si="43">IF(Q68&lt;&gt;"",_xlfn.NUMBERVALUE(Q68),"")</f>
        <v/>
      </c>
      <c r="AR68" s="61" t="str">
        <f t="shared" ref="AR68:AR131" si="44">IF(R68&lt;&gt;"",_xlfn.NUMBERVALUE(R68),"")</f>
        <v/>
      </c>
    </row>
    <row r="69" spans="16:44" x14ac:dyDescent="0.25">
      <c r="P69" s="73" t="str">
        <f t="shared" si="24"/>
        <v/>
      </c>
      <c r="Q69" s="73" t="str">
        <f t="shared" si="25"/>
        <v/>
      </c>
      <c r="R69" s="74" t="str">
        <f t="shared" si="26"/>
        <v/>
      </c>
      <c r="S69" s="74" t="str">
        <f t="shared" si="30"/>
        <v/>
      </c>
      <c r="U69" s="74" t="str">
        <f t="shared" si="31"/>
        <v/>
      </c>
      <c r="V69" s="74" t="str">
        <f t="shared" si="31"/>
        <v/>
      </c>
      <c r="W69" s="74" t="str">
        <f t="shared" si="31"/>
        <v/>
      </c>
      <c r="X69" s="74" t="str">
        <f t="shared" si="31"/>
        <v/>
      </c>
      <c r="Y69" s="74" t="str">
        <f t="shared" si="31"/>
        <v/>
      </c>
      <c r="Z69" s="74" t="str">
        <f t="shared" si="32"/>
        <v/>
      </c>
      <c r="AA69" s="74">
        <f t="shared" si="33"/>
        <v>0</v>
      </c>
      <c r="AB69" s="74">
        <f t="shared" si="34"/>
        <v>0</v>
      </c>
      <c r="AC69" s="74" t="str">
        <f t="shared" si="35"/>
        <v/>
      </c>
      <c r="AE69" s="74" t="str">
        <f t="shared" si="27"/>
        <v/>
      </c>
      <c r="AF69" s="74" t="str">
        <f t="shared" si="28"/>
        <v/>
      </c>
      <c r="AG69" s="74" t="str">
        <f t="shared" si="36"/>
        <v/>
      </c>
      <c r="AH69" s="74">
        <f t="shared" si="37"/>
        <v>0</v>
      </c>
      <c r="AI69" s="74" t="str">
        <f>IF(AH69&lt;&gt;0,COUNTIF(AH$3:AH69,1),"")</f>
        <v/>
      </c>
      <c r="AJ69" s="74">
        <f t="shared" si="22"/>
        <v>0</v>
      </c>
      <c r="AK69" s="73" t="str">
        <f t="shared" si="38"/>
        <v/>
      </c>
      <c r="AL69" s="73" t="str">
        <f t="shared" si="39"/>
        <v/>
      </c>
      <c r="AM69" s="73" t="str">
        <f t="shared" si="40"/>
        <v/>
      </c>
      <c r="AN69" s="73" t="str">
        <f t="shared" si="41"/>
        <v/>
      </c>
      <c r="AP69" s="61" t="str">
        <f t="shared" si="42"/>
        <v/>
      </c>
      <c r="AQ69" s="61" t="str">
        <f t="shared" si="43"/>
        <v/>
      </c>
      <c r="AR69" s="61" t="str">
        <f t="shared" si="44"/>
        <v/>
      </c>
    </row>
    <row r="70" spans="16:44" x14ac:dyDescent="0.25">
      <c r="P70" s="73" t="str">
        <f t="shared" si="24"/>
        <v/>
      </c>
      <c r="Q70" s="73" t="str">
        <f t="shared" si="25"/>
        <v/>
      </c>
      <c r="R70" s="74" t="str">
        <f t="shared" si="26"/>
        <v/>
      </c>
      <c r="S70" s="74" t="str">
        <f t="shared" si="30"/>
        <v/>
      </c>
      <c r="U70" s="74" t="str">
        <f t="shared" si="31"/>
        <v/>
      </c>
      <c r="V70" s="74" t="str">
        <f t="shared" si="31"/>
        <v/>
      </c>
      <c r="W70" s="74" t="str">
        <f t="shared" si="31"/>
        <v/>
      </c>
      <c r="X70" s="74" t="str">
        <f t="shared" si="31"/>
        <v/>
      </c>
      <c r="Y70" s="74" t="str">
        <f t="shared" si="31"/>
        <v/>
      </c>
      <c r="Z70" s="74" t="str">
        <f t="shared" si="32"/>
        <v/>
      </c>
      <c r="AA70" s="74">
        <f t="shared" si="33"/>
        <v>0</v>
      </c>
      <c r="AB70" s="74">
        <f t="shared" si="34"/>
        <v>0</v>
      </c>
      <c r="AC70" s="74" t="str">
        <f t="shared" si="35"/>
        <v/>
      </c>
      <c r="AE70" s="74" t="str">
        <f t="shared" si="27"/>
        <v/>
      </c>
      <c r="AF70" s="74" t="str">
        <f t="shared" si="28"/>
        <v/>
      </c>
      <c r="AG70" s="74" t="str">
        <f t="shared" si="36"/>
        <v/>
      </c>
      <c r="AH70" s="74">
        <f t="shared" si="37"/>
        <v>0</v>
      </c>
      <c r="AI70" s="74" t="str">
        <f>IF(AH70&lt;&gt;0,COUNTIF(AH$3:AH70,1),"")</f>
        <v/>
      </c>
      <c r="AJ70" s="74">
        <f t="shared" si="22"/>
        <v>0</v>
      </c>
      <c r="AK70" s="73" t="str">
        <f t="shared" si="38"/>
        <v/>
      </c>
      <c r="AL70" s="73" t="str">
        <f t="shared" si="39"/>
        <v/>
      </c>
      <c r="AM70" s="73" t="str">
        <f t="shared" si="40"/>
        <v/>
      </c>
      <c r="AN70" s="73" t="str">
        <f t="shared" si="41"/>
        <v/>
      </c>
      <c r="AP70" s="61" t="str">
        <f t="shared" si="42"/>
        <v/>
      </c>
      <c r="AQ70" s="61" t="str">
        <f t="shared" si="43"/>
        <v/>
      </c>
      <c r="AR70" s="61" t="str">
        <f t="shared" si="44"/>
        <v/>
      </c>
    </row>
    <row r="71" spans="16:44" x14ac:dyDescent="0.25">
      <c r="P71" s="73" t="str">
        <f t="shared" si="24"/>
        <v/>
      </c>
      <c r="Q71" s="73" t="str">
        <f t="shared" si="25"/>
        <v/>
      </c>
      <c r="R71" s="74" t="str">
        <f t="shared" si="26"/>
        <v/>
      </c>
      <c r="S71" s="74" t="str">
        <f t="shared" si="30"/>
        <v/>
      </c>
      <c r="U71" s="74" t="str">
        <f t="shared" si="31"/>
        <v/>
      </c>
      <c r="V71" s="74" t="str">
        <f t="shared" si="31"/>
        <v/>
      </c>
      <c r="W71" s="74" t="str">
        <f t="shared" si="31"/>
        <v/>
      </c>
      <c r="X71" s="74" t="str">
        <f t="shared" si="31"/>
        <v/>
      </c>
      <c r="Y71" s="74" t="str">
        <f t="shared" si="31"/>
        <v/>
      </c>
      <c r="Z71" s="74" t="str">
        <f t="shared" si="32"/>
        <v/>
      </c>
      <c r="AA71" s="74">
        <f t="shared" si="33"/>
        <v>0</v>
      </c>
      <c r="AB71" s="74">
        <f t="shared" si="34"/>
        <v>0</v>
      </c>
      <c r="AC71" s="74" t="str">
        <f t="shared" si="35"/>
        <v/>
      </c>
      <c r="AE71" s="74" t="str">
        <f t="shared" si="27"/>
        <v/>
      </c>
      <c r="AF71" s="74" t="str">
        <f t="shared" si="28"/>
        <v/>
      </c>
      <c r="AG71" s="74" t="str">
        <f t="shared" si="36"/>
        <v/>
      </c>
      <c r="AH71" s="74">
        <f t="shared" si="37"/>
        <v>0</v>
      </c>
      <c r="AI71" s="74" t="str">
        <f>IF(AH71&lt;&gt;0,COUNTIF(AH$3:AH71,1),"")</f>
        <v/>
      </c>
      <c r="AJ71" s="74">
        <f t="shared" si="22"/>
        <v>0</v>
      </c>
      <c r="AK71" s="73" t="str">
        <f t="shared" si="38"/>
        <v/>
      </c>
      <c r="AL71" s="73" t="str">
        <f t="shared" si="39"/>
        <v/>
      </c>
      <c r="AM71" s="73" t="str">
        <f t="shared" si="40"/>
        <v/>
      </c>
      <c r="AN71" s="73" t="str">
        <f t="shared" si="41"/>
        <v/>
      </c>
      <c r="AP71" s="61" t="str">
        <f t="shared" si="42"/>
        <v/>
      </c>
      <c r="AQ71" s="61" t="str">
        <f t="shared" si="43"/>
        <v/>
      </c>
      <c r="AR71" s="61" t="str">
        <f t="shared" si="44"/>
        <v/>
      </c>
    </row>
    <row r="72" spans="16:44" x14ac:dyDescent="0.25">
      <c r="P72" s="73" t="str">
        <f t="shared" si="24"/>
        <v/>
      </c>
      <c r="Q72" s="73" t="str">
        <f t="shared" si="25"/>
        <v/>
      </c>
      <c r="R72" s="74" t="str">
        <f t="shared" si="26"/>
        <v/>
      </c>
      <c r="S72" s="74" t="str">
        <f t="shared" si="30"/>
        <v/>
      </c>
      <c r="U72" s="74" t="str">
        <f t="shared" si="31"/>
        <v/>
      </c>
      <c r="V72" s="74" t="str">
        <f t="shared" si="31"/>
        <v/>
      </c>
      <c r="W72" s="74" t="str">
        <f t="shared" si="31"/>
        <v/>
      </c>
      <c r="X72" s="74" t="str">
        <f t="shared" si="31"/>
        <v/>
      </c>
      <c r="Y72" s="74" t="str">
        <f t="shared" si="31"/>
        <v/>
      </c>
      <c r="Z72" s="74" t="str">
        <f t="shared" si="32"/>
        <v/>
      </c>
      <c r="AA72" s="74">
        <f t="shared" si="33"/>
        <v>0</v>
      </c>
      <c r="AB72" s="74">
        <f t="shared" si="34"/>
        <v>0</v>
      </c>
      <c r="AC72" s="74" t="str">
        <f t="shared" si="35"/>
        <v/>
      </c>
      <c r="AE72" s="74" t="str">
        <f t="shared" ref="AE72:AE135" si="45">IF(P72&lt;&gt;"",IF(AND(_xlfn.NUMBERVALUE(P72)&gt;25,_xlfn.NUMBERVALUE(P72)&lt;38),TRUE,FALSE),"")</f>
        <v/>
      </c>
      <c r="AF72" s="74" t="str">
        <f t="shared" ref="AF72:AF135" si="46">IF(Q72&lt;&gt;"",IF(AND(_xlfn.NUMBERVALUE(Q72)&gt;25,_xlfn.NUMBERVALUE(Q72)&lt;38),TRUE,FALSE),"")</f>
        <v/>
      </c>
      <c r="AG72" s="74" t="str">
        <f t="shared" si="36"/>
        <v/>
      </c>
      <c r="AH72" s="74">
        <f t="shared" si="37"/>
        <v>0</v>
      </c>
      <c r="AI72" s="74" t="str">
        <f>IF(AH72&lt;&gt;0,COUNTIF(AH$3:AH72,1),"")</f>
        <v/>
      </c>
      <c r="AJ72" s="74">
        <f t="shared" si="22"/>
        <v>0</v>
      </c>
      <c r="AK72" s="73" t="str">
        <f t="shared" si="38"/>
        <v/>
      </c>
      <c r="AL72" s="73" t="str">
        <f t="shared" si="39"/>
        <v/>
      </c>
      <c r="AM72" s="73" t="str">
        <f t="shared" si="40"/>
        <v/>
      </c>
      <c r="AN72" s="73" t="str">
        <f t="shared" si="41"/>
        <v/>
      </c>
      <c r="AP72" s="61" t="str">
        <f t="shared" si="42"/>
        <v/>
      </c>
      <c r="AQ72" s="61" t="str">
        <f t="shared" si="43"/>
        <v/>
      </c>
      <c r="AR72" s="61" t="str">
        <f t="shared" si="44"/>
        <v/>
      </c>
    </row>
    <row r="73" spans="16:44" x14ac:dyDescent="0.25">
      <c r="P73" s="73" t="str">
        <f t="shared" si="24"/>
        <v/>
      </c>
      <c r="Q73" s="73" t="str">
        <f t="shared" si="25"/>
        <v/>
      </c>
      <c r="R73" s="74" t="str">
        <f t="shared" si="26"/>
        <v/>
      </c>
      <c r="S73" s="74" t="str">
        <f t="shared" si="30"/>
        <v/>
      </c>
      <c r="U73" s="74" t="str">
        <f t="shared" si="31"/>
        <v/>
      </c>
      <c r="V73" s="74" t="str">
        <f t="shared" si="31"/>
        <v/>
      </c>
      <c r="W73" s="74" t="str">
        <f t="shared" si="31"/>
        <v/>
      </c>
      <c r="X73" s="74" t="str">
        <f t="shared" si="31"/>
        <v/>
      </c>
      <c r="Y73" s="74" t="str">
        <f t="shared" si="31"/>
        <v/>
      </c>
      <c r="Z73" s="74" t="str">
        <f t="shared" si="32"/>
        <v/>
      </c>
      <c r="AA73" s="74">
        <f t="shared" si="33"/>
        <v>0</v>
      </c>
      <c r="AB73" s="74">
        <f t="shared" si="34"/>
        <v>0</v>
      </c>
      <c r="AC73" s="74" t="str">
        <f t="shared" si="35"/>
        <v/>
      </c>
      <c r="AE73" s="74" t="str">
        <f t="shared" si="45"/>
        <v/>
      </c>
      <c r="AF73" s="74" t="str">
        <f t="shared" si="46"/>
        <v/>
      </c>
      <c r="AG73" s="74" t="str">
        <f t="shared" si="36"/>
        <v/>
      </c>
      <c r="AH73" s="74">
        <f t="shared" si="37"/>
        <v>0</v>
      </c>
      <c r="AI73" s="74" t="str">
        <f>IF(AH73&lt;&gt;0,COUNTIF(AH$3:AH73,1),"")</f>
        <v/>
      </c>
      <c r="AJ73" s="74">
        <f t="shared" si="22"/>
        <v>0</v>
      </c>
      <c r="AK73" s="73" t="str">
        <f t="shared" si="38"/>
        <v/>
      </c>
      <c r="AL73" s="73" t="str">
        <f t="shared" si="39"/>
        <v/>
      </c>
      <c r="AM73" s="73" t="str">
        <f t="shared" si="40"/>
        <v/>
      </c>
      <c r="AN73" s="73" t="str">
        <f t="shared" si="41"/>
        <v/>
      </c>
      <c r="AP73" s="61" t="str">
        <f t="shared" si="42"/>
        <v/>
      </c>
      <c r="AQ73" s="61" t="str">
        <f t="shared" si="43"/>
        <v/>
      </c>
      <c r="AR73" s="61" t="str">
        <f t="shared" si="44"/>
        <v/>
      </c>
    </row>
    <row r="74" spans="16:44" x14ac:dyDescent="0.25">
      <c r="P74" s="73" t="str">
        <f t="shared" si="24"/>
        <v/>
      </c>
      <c r="Q74" s="73" t="str">
        <f t="shared" si="25"/>
        <v/>
      </c>
      <c r="R74" s="74" t="str">
        <f t="shared" si="26"/>
        <v/>
      </c>
      <c r="S74" s="74" t="str">
        <f t="shared" si="30"/>
        <v/>
      </c>
      <c r="U74" s="74" t="str">
        <f t="shared" si="31"/>
        <v/>
      </c>
      <c r="V74" s="74" t="str">
        <f t="shared" si="31"/>
        <v/>
      </c>
      <c r="W74" s="74" t="str">
        <f t="shared" si="31"/>
        <v/>
      </c>
      <c r="X74" s="74" t="str">
        <f t="shared" si="31"/>
        <v/>
      </c>
      <c r="Y74" s="74" t="str">
        <f t="shared" si="31"/>
        <v/>
      </c>
      <c r="Z74" s="74" t="str">
        <f t="shared" si="32"/>
        <v/>
      </c>
      <c r="AA74" s="74">
        <f t="shared" si="33"/>
        <v>0</v>
      </c>
      <c r="AB74" s="74">
        <f t="shared" si="34"/>
        <v>0</v>
      </c>
      <c r="AC74" s="74" t="str">
        <f t="shared" si="35"/>
        <v/>
      </c>
      <c r="AE74" s="74" t="str">
        <f t="shared" si="45"/>
        <v/>
      </c>
      <c r="AF74" s="74" t="str">
        <f t="shared" si="46"/>
        <v/>
      </c>
      <c r="AG74" s="74" t="str">
        <f t="shared" si="36"/>
        <v/>
      </c>
      <c r="AH74" s="74">
        <f t="shared" si="37"/>
        <v>0</v>
      </c>
      <c r="AI74" s="74" t="str">
        <f>IF(AH74&lt;&gt;0,COUNTIF(AH$3:AH74,1),"")</f>
        <v/>
      </c>
      <c r="AJ74" s="74">
        <f t="shared" si="22"/>
        <v>0</v>
      </c>
      <c r="AK74" s="73" t="str">
        <f t="shared" si="38"/>
        <v/>
      </c>
      <c r="AL74" s="73" t="str">
        <f t="shared" si="39"/>
        <v/>
      </c>
      <c r="AM74" s="73" t="str">
        <f t="shared" si="40"/>
        <v/>
      </c>
      <c r="AN74" s="73" t="str">
        <f t="shared" si="41"/>
        <v/>
      </c>
      <c r="AP74" s="61" t="str">
        <f t="shared" si="42"/>
        <v/>
      </c>
      <c r="AQ74" s="61" t="str">
        <f t="shared" si="43"/>
        <v/>
      </c>
      <c r="AR74" s="61" t="str">
        <f t="shared" si="44"/>
        <v/>
      </c>
    </row>
    <row r="75" spans="16:44" x14ac:dyDescent="0.25">
      <c r="P75" s="73" t="str">
        <f t="shared" si="24"/>
        <v/>
      </c>
      <c r="Q75" s="73" t="str">
        <f t="shared" si="25"/>
        <v/>
      </c>
      <c r="R75" s="74" t="str">
        <f t="shared" si="26"/>
        <v/>
      </c>
      <c r="S75" s="74" t="str">
        <f t="shared" si="30"/>
        <v/>
      </c>
      <c r="U75" s="74" t="str">
        <f t="shared" si="31"/>
        <v/>
      </c>
      <c r="V75" s="74" t="str">
        <f t="shared" si="31"/>
        <v/>
      </c>
      <c r="W75" s="74" t="str">
        <f t="shared" si="31"/>
        <v/>
      </c>
      <c r="X75" s="74" t="str">
        <f t="shared" si="31"/>
        <v/>
      </c>
      <c r="Y75" s="74" t="str">
        <f t="shared" si="31"/>
        <v/>
      </c>
      <c r="Z75" s="74" t="str">
        <f t="shared" si="32"/>
        <v/>
      </c>
      <c r="AA75" s="74">
        <f t="shared" si="33"/>
        <v>0</v>
      </c>
      <c r="AB75" s="74">
        <f t="shared" si="34"/>
        <v>0</v>
      </c>
      <c r="AC75" s="74" t="str">
        <f t="shared" si="35"/>
        <v/>
      </c>
      <c r="AE75" s="74" t="str">
        <f t="shared" si="45"/>
        <v/>
      </c>
      <c r="AF75" s="74" t="str">
        <f t="shared" si="46"/>
        <v/>
      </c>
      <c r="AG75" s="74" t="str">
        <f t="shared" si="36"/>
        <v/>
      </c>
      <c r="AH75" s="74">
        <f t="shared" si="37"/>
        <v>0</v>
      </c>
      <c r="AI75" s="74" t="str">
        <f>IF(AH75&lt;&gt;0,COUNTIF(AH$3:AH75,1),"")</f>
        <v/>
      </c>
      <c r="AJ75" s="74">
        <f t="shared" si="22"/>
        <v>0</v>
      </c>
      <c r="AK75" s="73" t="str">
        <f t="shared" si="38"/>
        <v/>
      </c>
      <c r="AL75" s="73" t="str">
        <f t="shared" si="39"/>
        <v/>
      </c>
      <c r="AM75" s="73" t="str">
        <f t="shared" si="40"/>
        <v/>
      </c>
      <c r="AN75" s="73" t="str">
        <f t="shared" si="41"/>
        <v/>
      </c>
      <c r="AP75" s="61" t="str">
        <f t="shared" si="42"/>
        <v/>
      </c>
      <c r="AQ75" s="61" t="str">
        <f t="shared" si="43"/>
        <v/>
      </c>
      <c r="AR75" s="61" t="str">
        <f t="shared" si="44"/>
        <v/>
      </c>
    </row>
    <row r="76" spans="16:44" x14ac:dyDescent="0.25">
      <c r="P76" s="73" t="str">
        <f t="shared" si="24"/>
        <v/>
      </c>
      <c r="Q76" s="73" t="str">
        <f t="shared" si="25"/>
        <v/>
      </c>
      <c r="R76" s="74" t="str">
        <f t="shared" si="26"/>
        <v/>
      </c>
      <c r="S76" s="74" t="str">
        <f t="shared" si="30"/>
        <v/>
      </c>
      <c r="U76" s="74" t="str">
        <f t="shared" si="31"/>
        <v/>
      </c>
      <c r="V76" s="74" t="str">
        <f t="shared" si="31"/>
        <v/>
      </c>
      <c r="W76" s="74" t="str">
        <f t="shared" si="31"/>
        <v/>
      </c>
      <c r="X76" s="74" t="str">
        <f t="shared" si="31"/>
        <v/>
      </c>
      <c r="Y76" s="74" t="str">
        <f t="shared" si="31"/>
        <v/>
      </c>
      <c r="Z76" s="74" t="str">
        <f t="shared" si="32"/>
        <v/>
      </c>
      <c r="AA76" s="74">
        <f t="shared" si="33"/>
        <v>0</v>
      </c>
      <c r="AB76" s="74">
        <f t="shared" si="34"/>
        <v>0</v>
      </c>
      <c r="AC76" s="74" t="str">
        <f t="shared" si="35"/>
        <v/>
      </c>
      <c r="AE76" s="74" t="str">
        <f t="shared" si="45"/>
        <v/>
      </c>
      <c r="AF76" s="74" t="str">
        <f t="shared" si="46"/>
        <v/>
      </c>
      <c r="AG76" s="74" t="str">
        <f t="shared" si="36"/>
        <v/>
      </c>
      <c r="AH76" s="74">
        <f t="shared" si="37"/>
        <v>0</v>
      </c>
      <c r="AI76" s="74" t="str">
        <f>IF(AH76&lt;&gt;0,COUNTIF(AH$3:AH76,1),"")</f>
        <v/>
      </c>
      <c r="AJ76" s="74">
        <f t="shared" si="22"/>
        <v>0</v>
      </c>
      <c r="AK76" s="73" t="str">
        <f t="shared" si="38"/>
        <v/>
      </c>
      <c r="AL76" s="73" t="str">
        <f t="shared" si="39"/>
        <v/>
      </c>
      <c r="AM76" s="73" t="str">
        <f t="shared" si="40"/>
        <v/>
      </c>
      <c r="AN76" s="73" t="str">
        <f t="shared" si="41"/>
        <v/>
      </c>
      <c r="AP76" s="61" t="str">
        <f t="shared" si="42"/>
        <v/>
      </c>
      <c r="AQ76" s="61" t="str">
        <f t="shared" si="43"/>
        <v/>
      </c>
      <c r="AR76" s="61" t="str">
        <f t="shared" si="44"/>
        <v/>
      </c>
    </row>
    <row r="77" spans="16:44" x14ac:dyDescent="0.25">
      <c r="P77" s="73" t="str">
        <f t="shared" si="24"/>
        <v/>
      </c>
      <c r="Q77" s="73" t="str">
        <f t="shared" si="25"/>
        <v/>
      </c>
      <c r="R77" s="74" t="str">
        <f t="shared" si="26"/>
        <v/>
      </c>
      <c r="S77" s="74" t="str">
        <f t="shared" si="30"/>
        <v/>
      </c>
      <c r="U77" s="74" t="str">
        <f t="shared" si="31"/>
        <v/>
      </c>
      <c r="V77" s="74" t="str">
        <f t="shared" si="31"/>
        <v/>
      </c>
      <c r="W77" s="74" t="str">
        <f t="shared" si="31"/>
        <v/>
      </c>
      <c r="X77" s="74" t="str">
        <f t="shared" si="31"/>
        <v/>
      </c>
      <c r="Y77" s="74" t="str">
        <f t="shared" si="31"/>
        <v/>
      </c>
      <c r="Z77" s="74" t="str">
        <f t="shared" si="32"/>
        <v/>
      </c>
      <c r="AA77" s="74">
        <f t="shared" si="33"/>
        <v>0</v>
      </c>
      <c r="AB77" s="74">
        <f t="shared" si="34"/>
        <v>0</v>
      </c>
      <c r="AC77" s="74" t="str">
        <f t="shared" si="35"/>
        <v/>
      </c>
      <c r="AE77" s="74" t="str">
        <f t="shared" si="45"/>
        <v/>
      </c>
      <c r="AF77" s="74" t="str">
        <f t="shared" si="46"/>
        <v/>
      </c>
      <c r="AG77" s="74" t="str">
        <f t="shared" si="36"/>
        <v/>
      </c>
      <c r="AH77" s="74">
        <f t="shared" si="37"/>
        <v>0</v>
      </c>
      <c r="AI77" s="74" t="str">
        <f>IF(AH77&lt;&gt;0,COUNTIF(AH$3:AH77,1),"")</f>
        <v/>
      </c>
      <c r="AJ77" s="74">
        <f t="shared" si="22"/>
        <v>0</v>
      </c>
      <c r="AK77" s="73" t="str">
        <f t="shared" si="38"/>
        <v/>
      </c>
      <c r="AL77" s="73" t="str">
        <f t="shared" si="39"/>
        <v/>
      </c>
      <c r="AM77" s="73" t="str">
        <f t="shared" si="40"/>
        <v/>
      </c>
      <c r="AN77" s="73" t="str">
        <f t="shared" si="41"/>
        <v/>
      </c>
      <c r="AP77" s="61" t="str">
        <f t="shared" si="42"/>
        <v/>
      </c>
      <c r="AQ77" s="61" t="str">
        <f t="shared" si="43"/>
        <v/>
      </c>
      <c r="AR77" s="61" t="str">
        <f t="shared" si="44"/>
        <v/>
      </c>
    </row>
    <row r="78" spans="16:44" x14ac:dyDescent="0.25">
      <c r="P78" s="73" t="str">
        <f t="shared" si="24"/>
        <v/>
      </c>
      <c r="Q78" s="73" t="str">
        <f t="shared" si="25"/>
        <v/>
      </c>
      <c r="R78" s="74" t="str">
        <f t="shared" si="26"/>
        <v/>
      </c>
      <c r="S78" s="74" t="str">
        <f t="shared" si="30"/>
        <v/>
      </c>
      <c r="U78" s="74" t="str">
        <f t="shared" si="31"/>
        <v/>
      </c>
      <c r="V78" s="74" t="str">
        <f t="shared" si="31"/>
        <v/>
      </c>
      <c r="W78" s="74" t="str">
        <f t="shared" si="31"/>
        <v/>
      </c>
      <c r="X78" s="74" t="str">
        <f t="shared" si="31"/>
        <v/>
      </c>
      <c r="Y78" s="74" t="str">
        <f t="shared" si="31"/>
        <v/>
      </c>
      <c r="Z78" s="74" t="str">
        <f t="shared" si="32"/>
        <v/>
      </c>
      <c r="AA78" s="74">
        <f t="shared" si="33"/>
        <v>0</v>
      </c>
      <c r="AB78" s="74">
        <f t="shared" si="34"/>
        <v>0</v>
      </c>
      <c r="AC78" s="74" t="str">
        <f t="shared" si="35"/>
        <v/>
      </c>
      <c r="AE78" s="74" t="str">
        <f t="shared" si="45"/>
        <v/>
      </c>
      <c r="AF78" s="74" t="str">
        <f t="shared" si="46"/>
        <v/>
      </c>
      <c r="AG78" s="74" t="str">
        <f t="shared" si="36"/>
        <v/>
      </c>
      <c r="AH78" s="74">
        <f t="shared" si="37"/>
        <v>0</v>
      </c>
      <c r="AI78" s="74" t="str">
        <f>IF(AH78&lt;&gt;0,COUNTIF(AH$3:AH78,1),"")</f>
        <v/>
      </c>
      <c r="AJ78" s="74">
        <f t="shared" si="22"/>
        <v>0</v>
      </c>
      <c r="AK78" s="73" t="str">
        <f t="shared" si="38"/>
        <v/>
      </c>
      <c r="AL78" s="73" t="str">
        <f t="shared" si="39"/>
        <v/>
      </c>
      <c r="AM78" s="73" t="str">
        <f t="shared" si="40"/>
        <v/>
      </c>
      <c r="AN78" s="73" t="str">
        <f t="shared" si="41"/>
        <v/>
      </c>
      <c r="AP78" s="61" t="str">
        <f t="shared" si="42"/>
        <v/>
      </c>
      <c r="AQ78" s="61" t="str">
        <f t="shared" si="43"/>
        <v/>
      </c>
      <c r="AR78" s="61" t="str">
        <f t="shared" si="44"/>
        <v/>
      </c>
    </row>
    <row r="79" spans="16:44" x14ac:dyDescent="0.25">
      <c r="P79" s="73" t="str">
        <f t="shared" si="24"/>
        <v/>
      </c>
      <c r="Q79" s="73" t="str">
        <f t="shared" si="25"/>
        <v/>
      </c>
      <c r="R79" s="74" t="str">
        <f t="shared" si="26"/>
        <v/>
      </c>
      <c r="S79" s="74" t="str">
        <f t="shared" si="30"/>
        <v/>
      </c>
      <c r="U79" s="74" t="str">
        <f t="shared" si="31"/>
        <v/>
      </c>
      <c r="V79" s="74" t="str">
        <f t="shared" si="31"/>
        <v/>
      </c>
      <c r="W79" s="74" t="str">
        <f t="shared" si="31"/>
        <v/>
      </c>
      <c r="X79" s="74" t="str">
        <f t="shared" si="31"/>
        <v/>
      </c>
      <c r="Y79" s="74" t="str">
        <f t="shared" si="31"/>
        <v/>
      </c>
      <c r="Z79" s="74" t="str">
        <f t="shared" si="32"/>
        <v/>
      </c>
      <c r="AA79" s="74">
        <f t="shared" si="33"/>
        <v>0</v>
      </c>
      <c r="AB79" s="74">
        <f t="shared" si="34"/>
        <v>0</v>
      </c>
      <c r="AC79" s="74" t="str">
        <f t="shared" si="35"/>
        <v/>
      </c>
      <c r="AE79" s="74" t="str">
        <f t="shared" si="45"/>
        <v/>
      </c>
      <c r="AF79" s="74" t="str">
        <f t="shared" si="46"/>
        <v/>
      </c>
      <c r="AG79" s="74" t="str">
        <f t="shared" si="36"/>
        <v/>
      </c>
      <c r="AH79" s="74">
        <f t="shared" si="37"/>
        <v>0</v>
      </c>
      <c r="AI79" s="74" t="str">
        <f>IF(AH79&lt;&gt;0,COUNTIF(AH$3:AH79,1),"")</f>
        <v/>
      </c>
      <c r="AJ79" s="74">
        <f t="shared" si="22"/>
        <v>0</v>
      </c>
      <c r="AK79" s="73" t="str">
        <f t="shared" si="38"/>
        <v/>
      </c>
      <c r="AL79" s="73" t="str">
        <f t="shared" si="39"/>
        <v/>
      </c>
      <c r="AM79" s="73" t="str">
        <f t="shared" si="40"/>
        <v/>
      </c>
      <c r="AN79" s="73" t="str">
        <f t="shared" si="41"/>
        <v/>
      </c>
      <c r="AP79" s="61" t="str">
        <f t="shared" si="42"/>
        <v/>
      </c>
      <c r="AQ79" s="61" t="str">
        <f t="shared" si="43"/>
        <v/>
      </c>
      <c r="AR79" s="61" t="str">
        <f t="shared" si="44"/>
        <v/>
      </c>
    </row>
    <row r="80" spans="16:44" x14ac:dyDescent="0.25">
      <c r="P80" s="73" t="str">
        <f t="shared" si="24"/>
        <v/>
      </c>
      <c r="Q80" s="73" t="str">
        <f t="shared" si="25"/>
        <v/>
      </c>
      <c r="R80" s="74" t="str">
        <f t="shared" si="26"/>
        <v/>
      </c>
      <c r="S80" s="74" t="str">
        <f t="shared" si="30"/>
        <v/>
      </c>
      <c r="U80" s="74" t="str">
        <f t="shared" si="31"/>
        <v/>
      </c>
      <c r="V80" s="74" t="str">
        <f t="shared" si="31"/>
        <v/>
      </c>
      <c r="W80" s="74" t="str">
        <f t="shared" si="31"/>
        <v/>
      </c>
      <c r="X80" s="74" t="str">
        <f t="shared" si="31"/>
        <v/>
      </c>
      <c r="Y80" s="74" t="str">
        <f t="shared" si="31"/>
        <v/>
      </c>
      <c r="Z80" s="74" t="str">
        <f t="shared" si="32"/>
        <v/>
      </c>
      <c r="AA80" s="74">
        <f t="shared" si="33"/>
        <v>0</v>
      </c>
      <c r="AB80" s="74">
        <f t="shared" si="34"/>
        <v>0</v>
      </c>
      <c r="AC80" s="74" t="str">
        <f t="shared" si="35"/>
        <v/>
      </c>
      <c r="AE80" s="74" t="str">
        <f t="shared" si="45"/>
        <v/>
      </c>
      <c r="AF80" s="74" t="str">
        <f t="shared" si="46"/>
        <v/>
      </c>
      <c r="AG80" s="74" t="str">
        <f t="shared" si="36"/>
        <v/>
      </c>
      <c r="AH80" s="74">
        <f t="shared" si="37"/>
        <v>0</v>
      </c>
      <c r="AI80" s="74" t="str">
        <f>IF(AH80&lt;&gt;0,COUNTIF(AH$3:AH80,1),"")</f>
        <v/>
      </c>
      <c r="AJ80" s="74">
        <f t="shared" si="22"/>
        <v>0</v>
      </c>
      <c r="AK80" s="73" t="str">
        <f t="shared" si="38"/>
        <v/>
      </c>
      <c r="AL80" s="73" t="str">
        <f t="shared" si="39"/>
        <v/>
      </c>
      <c r="AM80" s="73" t="str">
        <f t="shared" si="40"/>
        <v/>
      </c>
      <c r="AN80" s="73" t="str">
        <f t="shared" si="41"/>
        <v/>
      </c>
      <c r="AP80" s="61" t="str">
        <f t="shared" si="42"/>
        <v/>
      </c>
      <c r="AQ80" s="61" t="str">
        <f t="shared" si="43"/>
        <v/>
      </c>
      <c r="AR80" s="61" t="str">
        <f t="shared" si="44"/>
        <v/>
      </c>
    </row>
    <row r="81" spans="16:44" x14ac:dyDescent="0.25">
      <c r="P81" s="73" t="str">
        <f t="shared" si="24"/>
        <v/>
      </c>
      <c r="Q81" s="73" t="str">
        <f t="shared" si="25"/>
        <v/>
      </c>
      <c r="R81" s="74" t="str">
        <f t="shared" si="26"/>
        <v/>
      </c>
      <c r="S81" s="74" t="str">
        <f t="shared" si="30"/>
        <v/>
      </c>
      <c r="U81" s="74" t="str">
        <f t="shared" si="31"/>
        <v/>
      </c>
      <c r="V81" s="74" t="str">
        <f t="shared" si="31"/>
        <v/>
      </c>
      <c r="W81" s="74" t="str">
        <f t="shared" si="31"/>
        <v/>
      </c>
      <c r="X81" s="74" t="str">
        <f t="shared" si="31"/>
        <v/>
      </c>
      <c r="Y81" s="74" t="str">
        <f t="shared" si="31"/>
        <v/>
      </c>
      <c r="Z81" s="74" t="str">
        <f t="shared" si="32"/>
        <v/>
      </c>
      <c r="AA81" s="74">
        <f t="shared" si="33"/>
        <v>0</v>
      </c>
      <c r="AB81" s="74">
        <f t="shared" si="34"/>
        <v>0</v>
      </c>
      <c r="AC81" s="74" t="str">
        <f t="shared" si="35"/>
        <v/>
      </c>
      <c r="AE81" s="74" t="str">
        <f t="shared" si="45"/>
        <v/>
      </c>
      <c r="AF81" s="74" t="str">
        <f t="shared" si="46"/>
        <v/>
      </c>
      <c r="AG81" s="74" t="str">
        <f t="shared" si="36"/>
        <v/>
      </c>
      <c r="AH81" s="74">
        <f t="shared" si="37"/>
        <v>0</v>
      </c>
      <c r="AI81" s="74" t="str">
        <f>IF(AH81&lt;&gt;0,COUNTIF(AH$3:AH81,1),"")</f>
        <v/>
      </c>
      <c r="AJ81" s="74">
        <f t="shared" si="22"/>
        <v>0</v>
      </c>
      <c r="AK81" s="73" t="str">
        <f t="shared" si="38"/>
        <v/>
      </c>
      <c r="AL81" s="73" t="str">
        <f t="shared" si="39"/>
        <v/>
      </c>
      <c r="AM81" s="73" t="str">
        <f t="shared" si="40"/>
        <v/>
      </c>
      <c r="AN81" s="73" t="str">
        <f t="shared" si="41"/>
        <v/>
      </c>
      <c r="AP81" s="61" t="str">
        <f t="shared" si="42"/>
        <v/>
      </c>
      <c r="AQ81" s="61" t="str">
        <f t="shared" si="43"/>
        <v/>
      </c>
      <c r="AR81" s="61" t="str">
        <f t="shared" si="44"/>
        <v/>
      </c>
    </row>
    <row r="82" spans="16:44" x14ac:dyDescent="0.25">
      <c r="P82" s="73" t="str">
        <f t="shared" si="24"/>
        <v/>
      </c>
      <c r="Q82" s="73" t="str">
        <f t="shared" si="25"/>
        <v/>
      </c>
      <c r="R82" s="74" t="str">
        <f t="shared" si="26"/>
        <v/>
      </c>
      <c r="S82" s="74" t="str">
        <f t="shared" si="30"/>
        <v/>
      </c>
      <c r="U82" s="74" t="str">
        <f t="shared" si="31"/>
        <v/>
      </c>
      <c r="V82" s="74" t="str">
        <f t="shared" si="31"/>
        <v/>
      </c>
      <c r="W82" s="74" t="str">
        <f t="shared" si="31"/>
        <v/>
      </c>
      <c r="X82" s="74" t="str">
        <f t="shared" si="31"/>
        <v/>
      </c>
      <c r="Y82" s="74" t="str">
        <f t="shared" si="31"/>
        <v/>
      </c>
      <c r="Z82" s="74" t="str">
        <f t="shared" si="32"/>
        <v/>
      </c>
      <c r="AA82" s="74">
        <f t="shared" si="33"/>
        <v>0</v>
      </c>
      <c r="AB82" s="74">
        <f t="shared" si="34"/>
        <v>0</v>
      </c>
      <c r="AC82" s="74" t="str">
        <f t="shared" si="35"/>
        <v/>
      </c>
      <c r="AE82" s="74" t="str">
        <f t="shared" si="45"/>
        <v/>
      </c>
      <c r="AF82" s="74" t="str">
        <f t="shared" si="46"/>
        <v/>
      </c>
      <c r="AG82" s="74" t="str">
        <f t="shared" si="36"/>
        <v/>
      </c>
      <c r="AH82" s="74">
        <f t="shared" si="37"/>
        <v>0</v>
      </c>
      <c r="AI82" s="74" t="str">
        <f>IF(AH82&lt;&gt;0,COUNTIF(AH$3:AH82,1),"")</f>
        <v/>
      </c>
      <c r="AJ82" s="74">
        <f t="shared" si="22"/>
        <v>0</v>
      </c>
      <c r="AK82" s="73" t="str">
        <f t="shared" si="38"/>
        <v/>
      </c>
      <c r="AL82" s="73" t="str">
        <f t="shared" si="39"/>
        <v/>
      </c>
      <c r="AM82" s="73" t="str">
        <f t="shared" si="40"/>
        <v/>
      </c>
      <c r="AN82" s="73" t="str">
        <f t="shared" si="41"/>
        <v/>
      </c>
      <c r="AP82" s="61" t="str">
        <f t="shared" si="42"/>
        <v/>
      </c>
      <c r="AQ82" s="61" t="str">
        <f t="shared" si="43"/>
        <v/>
      </c>
      <c r="AR82" s="61" t="str">
        <f t="shared" si="44"/>
        <v/>
      </c>
    </row>
    <row r="83" spans="16:44" x14ac:dyDescent="0.25">
      <c r="P83" s="73" t="str">
        <f t="shared" si="24"/>
        <v/>
      </c>
      <c r="Q83" s="73" t="str">
        <f t="shared" si="25"/>
        <v/>
      </c>
      <c r="R83" s="74" t="str">
        <f t="shared" si="26"/>
        <v/>
      </c>
      <c r="S83" s="74" t="str">
        <f t="shared" si="30"/>
        <v/>
      </c>
      <c r="U83" s="74" t="str">
        <f t="shared" si="31"/>
        <v/>
      </c>
      <c r="V83" s="74" t="str">
        <f t="shared" si="31"/>
        <v/>
      </c>
      <c r="W83" s="74" t="str">
        <f t="shared" si="31"/>
        <v/>
      </c>
      <c r="X83" s="74" t="str">
        <f t="shared" si="31"/>
        <v/>
      </c>
      <c r="Y83" s="74" t="str">
        <f t="shared" si="31"/>
        <v/>
      </c>
      <c r="Z83" s="74" t="str">
        <f t="shared" si="32"/>
        <v/>
      </c>
      <c r="AA83" s="74">
        <f t="shared" si="33"/>
        <v>0</v>
      </c>
      <c r="AB83" s="74">
        <f t="shared" si="34"/>
        <v>0</v>
      </c>
      <c r="AC83" s="74" t="str">
        <f t="shared" si="35"/>
        <v/>
      </c>
      <c r="AE83" s="74" t="str">
        <f t="shared" si="45"/>
        <v/>
      </c>
      <c r="AF83" s="74" t="str">
        <f t="shared" si="46"/>
        <v/>
      </c>
      <c r="AG83" s="74" t="str">
        <f t="shared" si="36"/>
        <v/>
      </c>
      <c r="AH83" s="74">
        <f t="shared" si="37"/>
        <v>0</v>
      </c>
      <c r="AI83" s="74" t="str">
        <f>IF(AH83&lt;&gt;0,COUNTIF(AH$3:AH83,1),"")</f>
        <v/>
      </c>
      <c r="AJ83" s="74">
        <f t="shared" si="22"/>
        <v>0</v>
      </c>
      <c r="AK83" s="73" t="str">
        <f t="shared" si="38"/>
        <v/>
      </c>
      <c r="AL83" s="73" t="str">
        <f t="shared" si="39"/>
        <v/>
      </c>
      <c r="AM83" s="73" t="str">
        <f t="shared" si="40"/>
        <v/>
      </c>
      <c r="AN83" s="73" t="str">
        <f t="shared" si="41"/>
        <v/>
      </c>
      <c r="AP83" s="61" t="str">
        <f t="shared" si="42"/>
        <v/>
      </c>
      <c r="AQ83" s="61" t="str">
        <f t="shared" si="43"/>
        <v/>
      </c>
      <c r="AR83" s="61" t="str">
        <f t="shared" si="44"/>
        <v/>
      </c>
    </row>
    <row r="84" spans="16:44" x14ac:dyDescent="0.25">
      <c r="P84" s="73" t="str">
        <f t="shared" si="24"/>
        <v/>
      </c>
      <c r="Q84" s="73" t="str">
        <f t="shared" si="25"/>
        <v/>
      </c>
      <c r="R84" s="74" t="str">
        <f t="shared" si="26"/>
        <v/>
      </c>
      <c r="S84" s="74" t="str">
        <f t="shared" si="30"/>
        <v/>
      </c>
      <c r="U84" s="74" t="str">
        <f t="shared" si="31"/>
        <v/>
      </c>
      <c r="V84" s="74" t="str">
        <f t="shared" si="31"/>
        <v/>
      </c>
      <c r="W84" s="74" t="str">
        <f t="shared" si="31"/>
        <v/>
      </c>
      <c r="X84" s="74" t="str">
        <f t="shared" si="31"/>
        <v/>
      </c>
      <c r="Y84" s="74" t="str">
        <f t="shared" si="31"/>
        <v/>
      </c>
      <c r="Z84" s="74" t="str">
        <f t="shared" si="32"/>
        <v/>
      </c>
      <c r="AA84" s="74">
        <f t="shared" si="33"/>
        <v>0</v>
      </c>
      <c r="AB84" s="74">
        <f t="shared" si="34"/>
        <v>0</v>
      </c>
      <c r="AC84" s="74" t="str">
        <f t="shared" si="35"/>
        <v/>
      </c>
      <c r="AE84" s="74" t="str">
        <f t="shared" si="45"/>
        <v/>
      </c>
      <c r="AF84" s="74" t="str">
        <f t="shared" si="46"/>
        <v/>
      </c>
      <c r="AG84" s="74" t="str">
        <f t="shared" si="36"/>
        <v/>
      </c>
      <c r="AH84" s="74">
        <f t="shared" si="37"/>
        <v>0</v>
      </c>
      <c r="AI84" s="74" t="str">
        <f>IF(AH84&lt;&gt;0,COUNTIF(AH$3:AH84,1),"")</f>
        <v/>
      </c>
      <c r="AJ84" s="74">
        <f t="shared" si="22"/>
        <v>0</v>
      </c>
      <c r="AK84" s="73" t="str">
        <f t="shared" si="38"/>
        <v/>
      </c>
      <c r="AL84" s="73" t="str">
        <f t="shared" si="39"/>
        <v/>
      </c>
      <c r="AM84" s="73" t="str">
        <f t="shared" si="40"/>
        <v/>
      </c>
      <c r="AN84" s="73" t="str">
        <f t="shared" si="41"/>
        <v/>
      </c>
      <c r="AP84" s="61" t="str">
        <f t="shared" si="42"/>
        <v/>
      </c>
      <c r="AQ84" s="61" t="str">
        <f t="shared" si="43"/>
        <v/>
      </c>
      <c r="AR84" s="61" t="str">
        <f t="shared" si="44"/>
        <v/>
      </c>
    </row>
    <row r="85" spans="16:44" x14ac:dyDescent="0.25">
      <c r="P85" s="73" t="str">
        <f t="shared" ref="P85:P148" si="47">IF(N85&lt;&gt;"",SUBSTITUTE(LEFT(N85,FIND(";",N85)),";",""),"")</f>
        <v/>
      </c>
      <c r="Q85" s="73" t="str">
        <f t="shared" ref="Q85:Q148" si="48">IF(N85&lt;&gt;"",SUBSTITUTE(RIGHT(N85,FIND(";",N85)),";",""),"")</f>
        <v/>
      </c>
      <c r="R85" s="74" t="str">
        <f t="shared" ref="R85:R148" si="49">IF(O85&lt;&gt;"",SUBSTITUTE(LEFT(O85,FIND(";",O85)),";",""),"")</f>
        <v/>
      </c>
      <c r="S85" s="74" t="str">
        <f t="shared" ref="S85:S148" si="50">IF(O85&lt;&gt;"",IFERROR(IF(FIND("OK",O85)&gt;0,TRUE),FALSE),"")</f>
        <v/>
      </c>
      <c r="U85" s="74" t="str">
        <f t="shared" si="31"/>
        <v/>
      </c>
      <c r="V85" s="74" t="str">
        <f t="shared" si="31"/>
        <v/>
      </c>
      <c r="W85" s="74" t="str">
        <f t="shared" si="31"/>
        <v/>
      </c>
      <c r="X85" s="74" t="str">
        <f t="shared" si="31"/>
        <v/>
      </c>
      <c r="Y85" s="74" t="str">
        <f t="shared" si="31"/>
        <v/>
      </c>
      <c r="Z85" s="74" t="str">
        <f t="shared" ref="Z85:Z148" si="51">IF(G85,E85,"")</f>
        <v/>
      </c>
      <c r="AA85" s="74">
        <f t="shared" ref="AA85:AA148" si="52">IF(G85=FALSE,E85,"")</f>
        <v>0</v>
      </c>
      <c r="AB85" s="74">
        <f t="shared" ref="AB85:AB148" si="53">IF(G85,1,0)</f>
        <v>0</v>
      </c>
      <c r="AC85" s="74" t="str">
        <f t="shared" si="35"/>
        <v/>
      </c>
      <c r="AE85" s="74" t="str">
        <f t="shared" si="45"/>
        <v/>
      </c>
      <c r="AF85" s="74" t="str">
        <f t="shared" si="46"/>
        <v/>
      </c>
      <c r="AG85" s="74" t="str">
        <f t="shared" si="36"/>
        <v/>
      </c>
      <c r="AH85" s="74">
        <f t="shared" si="37"/>
        <v>0</v>
      </c>
      <c r="AI85" s="74" t="str">
        <f>IF(AH85&lt;&gt;0,COUNTIF(AH$3:AH85,1),"")</f>
        <v/>
      </c>
      <c r="AJ85" s="74">
        <f t="shared" si="22"/>
        <v>0</v>
      </c>
      <c r="AK85" s="73" t="str">
        <f t="shared" si="38"/>
        <v/>
      </c>
      <c r="AL85" s="73" t="str">
        <f t="shared" si="39"/>
        <v/>
      </c>
      <c r="AM85" s="73" t="str">
        <f t="shared" si="40"/>
        <v/>
      </c>
      <c r="AN85" s="73" t="str">
        <f t="shared" si="41"/>
        <v/>
      </c>
      <c r="AP85" s="61" t="str">
        <f t="shared" si="42"/>
        <v/>
      </c>
      <c r="AQ85" s="61" t="str">
        <f t="shared" si="43"/>
        <v/>
      </c>
      <c r="AR85" s="61" t="str">
        <f t="shared" si="44"/>
        <v/>
      </c>
    </row>
    <row r="86" spans="16:44" x14ac:dyDescent="0.25">
      <c r="P86" s="73" t="str">
        <f t="shared" si="47"/>
        <v/>
      </c>
      <c r="Q86" s="73" t="str">
        <f t="shared" si="48"/>
        <v/>
      </c>
      <c r="R86" s="74" t="str">
        <f t="shared" si="49"/>
        <v/>
      </c>
      <c r="S86" s="74" t="str">
        <f t="shared" si="50"/>
        <v/>
      </c>
      <c r="U86" s="74" t="str">
        <f t="shared" si="31"/>
        <v/>
      </c>
      <c r="V86" s="74" t="str">
        <f t="shared" si="31"/>
        <v/>
      </c>
      <c r="W86" s="74" t="str">
        <f t="shared" si="31"/>
        <v/>
      </c>
      <c r="X86" s="74" t="str">
        <f t="shared" si="31"/>
        <v/>
      </c>
      <c r="Y86" s="74" t="str">
        <f t="shared" si="31"/>
        <v/>
      </c>
      <c r="Z86" s="74" t="str">
        <f t="shared" si="51"/>
        <v/>
      </c>
      <c r="AA86" s="74">
        <f t="shared" si="52"/>
        <v>0</v>
      </c>
      <c r="AB86" s="74">
        <f t="shared" si="53"/>
        <v>0</v>
      </c>
      <c r="AC86" s="74" t="str">
        <f t="shared" si="35"/>
        <v/>
      </c>
      <c r="AE86" s="74" t="str">
        <f t="shared" si="45"/>
        <v/>
      </c>
      <c r="AF86" s="74" t="str">
        <f t="shared" si="46"/>
        <v/>
      </c>
      <c r="AG86" s="74" t="str">
        <f t="shared" si="36"/>
        <v/>
      </c>
      <c r="AH86" s="74">
        <f t="shared" si="37"/>
        <v>0</v>
      </c>
      <c r="AI86" s="74" t="str">
        <f>IF(AH86&lt;&gt;0,COUNTIF(AH$3:AH86,1),"")</f>
        <v/>
      </c>
      <c r="AJ86" s="74">
        <f t="shared" ref="AJ86:AJ149" si="54">L86</f>
        <v>0</v>
      </c>
      <c r="AK86" s="73" t="str">
        <f t="shared" si="38"/>
        <v/>
      </c>
      <c r="AL86" s="73" t="str">
        <f t="shared" si="39"/>
        <v/>
      </c>
      <c r="AM86" s="73" t="str">
        <f t="shared" si="40"/>
        <v/>
      </c>
      <c r="AN86" s="73" t="str">
        <f t="shared" si="41"/>
        <v/>
      </c>
      <c r="AP86" s="61" t="str">
        <f t="shared" si="42"/>
        <v/>
      </c>
      <c r="AQ86" s="61" t="str">
        <f t="shared" si="43"/>
        <v/>
      </c>
      <c r="AR86" s="61" t="str">
        <f t="shared" si="44"/>
        <v/>
      </c>
    </row>
    <row r="87" spans="16:44" x14ac:dyDescent="0.25">
      <c r="P87" s="73" t="str">
        <f t="shared" si="47"/>
        <v/>
      </c>
      <c r="Q87" s="73" t="str">
        <f t="shared" si="48"/>
        <v/>
      </c>
      <c r="R87" s="74" t="str">
        <f t="shared" si="49"/>
        <v/>
      </c>
      <c r="S87" s="74" t="str">
        <f t="shared" si="50"/>
        <v/>
      </c>
      <c r="U87" s="74" t="str">
        <f t="shared" si="31"/>
        <v/>
      </c>
      <c r="V87" s="74" t="str">
        <f t="shared" si="31"/>
        <v/>
      </c>
      <c r="W87" s="74" t="str">
        <f t="shared" si="31"/>
        <v/>
      </c>
      <c r="X87" s="74" t="str">
        <f t="shared" si="31"/>
        <v/>
      </c>
      <c r="Y87" s="74" t="str">
        <f t="shared" si="31"/>
        <v/>
      </c>
      <c r="Z87" s="74" t="str">
        <f t="shared" si="51"/>
        <v/>
      </c>
      <c r="AA87" s="74">
        <f t="shared" si="52"/>
        <v>0</v>
      </c>
      <c r="AB87" s="74">
        <f t="shared" si="53"/>
        <v>0</v>
      </c>
      <c r="AC87" s="74" t="str">
        <f t="shared" si="35"/>
        <v/>
      </c>
      <c r="AE87" s="74" t="str">
        <f t="shared" si="45"/>
        <v/>
      </c>
      <c r="AF87" s="74" t="str">
        <f t="shared" si="46"/>
        <v/>
      </c>
      <c r="AG87" s="74" t="str">
        <f t="shared" si="36"/>
        <v/>
      </c>
      <c r="AH87" s="74">
        <f t="shared" si="37"/>
        <v>0</v>
      </c>
      <c r="AI87" s="74" t="str">
        <f>IF(AH87&lt;&gt;0,COUNTIF(AH$3:AH87,1),"")</f>
        <v/>
      </c>
      <c r="AJ87" s="74">
        <f t="shared" si="54"/>
        <v>0</v>
      </c>
      <c r="AK87" s="73" t="str">
        <f t="shared" si="38"/>
        <v/>
      </c>
      <c r="AL87" s="73" t="str">
        <f t="shared" si="39"/>
        <v/>
      </c>
      <c r="AM87" s="73" t="str">
        <f t="shared" si="40"/>
        <v/>
      </c>
      <c r="AN87" s="73" t="str">
        <f t="shared" si="41"/>
        <v/>
      </c>
      <c r="AP87" s="61" t="str">
        <f t="shared" si="42"/>
        <v/>
      </c>
      <c r="AQ87" s="61" t="str">
        <f t="shared" si="43"/>
        <v/>
      </c>
      <c r="AR87" s="61" t="str">
        <f t="shared" si="44"/>
        <v/>
      </c>
    </row>
    <row r="88" spans="16:44" x14ac:dyDescent="0.25">
      <c r="P88" s="73" t="str">
        <f t="shared" si="47"/>
        <v/>
      </c>
      <c r="Q88" s="73" t="str">
        <f t="shared" si="48"/>
        <v/>
      </c>
      <c r="R88" s="74" t="str">
        <f t="shared" si="49"/>
        <v/>
      </c>
      <c r="S88" s="74" t="str">
        <f t="shared" si="50"/>
        <v/>
      </c>
      <c r="U88" s="74" t="str">
        <f t="shared" si="31"/>
        <v/>
      </c>
      <c r="V88" s="74" t="str">
        <f t="shared" si="31"/>
        <v/>
      </c>
      <c r="W88" s="74" t="str">
        <f t="shared" si="31"/>
        <v/>
      </c>
      <c r="X88" s="74" t="str">
        <f t="shared" si="31"/>
        <v/>
      </c>
      <c r="Y88" s="74" t="str">
        <f t="shared" si="31"/>
        <v/>
      </c>
      <c r="Z88" s="74" t="str">
        <f t="shared" si="51"/>
        <v/>
      </c>
      <c r="AA88" s="74">
        <f t="shared" si="52"/>
        <v>0</v>
      </c>
      <c r="AB88" s="74">
        <f t="shared" si="53"/>
        <v>0</v>
      </c>
      <c r="AC88" s="74" t="str">
        <f t="shared" si="35"/>
        <v/>
      </c>
      <c r="AE88" s="74" t="str">
        <f t="shared" si="45"/>
        <v/>
      </c>
      <c r="AF88" s="74" t="str">
        <f t="shared" si="46"/>
        <v/>
      </c>
      <c r="AG88" s="74" t="str">
        <f t="shared" si="36"/>
        <v/>
      </c>
      <c r="AH88" s="74">
        <f t="shared" si="37"/>
        <v>0</v>
      </c>
      <c r="AI88" s="74" t="str">
        <f>IF(AH88&lt;&gt;0,COUNTIF(AH$3:AH88,1),"")</f>
        <v/>
      </c>
      <c r="AJ88" s="74">
        <f t="shared" si="54"/>
        <v>0</v>
      </c>
      <c r="AK88" s="73" t="str">
        <f t="shared" si="38"/>
        <v/>
      </c>
      <c r="AL88" s="73" t="str">
        <f t="shared" si="39"/>
        <v/>
      </c>
      <c r="AM88" s="73" t="str">
        <f t="shared" si="40"/>
        <v/>
      </c>
      <c r="AN88" s="73" t="str">
        <f t="shared" si="41"/>
        <v/>
      </c>
      <c r="AP88" s="61" t="str">
        <f t="shared" si="42"/>
        <v/>
      </c>
      <c r="AQ88" s="61" t="str">
        <f t="shared" si="43"/>
        <v/>
      </c>
      <c r="AR88" s="61" t="str">
        <f t="shared" si="44"/>
        <v/>
      </c>
    </row>
    <row r="89" spans="16:44" x14ac:dyDescent="0.25">
      <c r="P89" s="73" t="str">
        <f t="shared" si="47"/>
        <v/>
      </c>
      <c r="Q89" s="73" t="str">
        <f t="shared" si="48"/>
        <v/>
      </c>
      <c r="R89" s="74" t="str">
        <f t="shared" si="49"/>
        <v/>
      </c>
      <c r="S89" s="74" t="str">
        <f t="shared" si="50"/>
        <v/>
      </c>
      <c r="U89" s="74" t="str">
        <f t="shared" si="31"/>
        <v/>
      </c>
      <c r="V89" s="74" t="str">
        <f t="shared" si="31"/>
        <v/>
      </c>
      <c r="W89" s="74" t="str">
        <f t="shared" si="31"/>
        <v/>
      </c>
      <c r="X89" s="74" t="str">
        <f t="shared" si="31"/>
        <v/>
      </c>
      <c r="Y89" s="74" t="str">
        <f t="shared" si="31"/>
        <v/>
      </c>
      <c r="Z89" s="74" t="str">
        <f t="shared" si="51"/>
        <v/>
      </c>
      <c r="AA89" s="74">
        <f t="shared" si="52"/>
        <v>0</v>
      </c>
      <c r="AB89" s="74">
        <f t="shared" si="53"/>
        <v>0</v>
      </c>
      <c r="AC89" s="74" t="str">
        <f t="shared" si="35"/>
        <v/>
      </c>
      <c r="AE89" s="74" t="str">
        <f t="shared" si="45"/>
        <v/>
      </c>
      <c r="AF89" s="74" t="str">
        <f t="shared" si="46"/>
        <v/>
      </c>
      <c r="AG89" s="74" t="str">
        <f t="shared" si="36"/>
        <v/>
      </c>
      <c r="AH89" s="74">
        <f t="shared" si="37"/>
        <v>0</v>
      </c>
      <c r="AI89" s="74" t="str">
        <f>IF(AH89&lt;&gt;0,COUNTIF(AH$3:AH89,1),"")</f>
        <v/>
      </c>
      <c r="AJ89" s="74">
        <f t="shared" si="54"/>
        <v>0</v>
      </c>
      <c r="AK89" s="73" t="str">
        <f t="shared" si="38"/>
        <v/>
      </c>
      <c r="AL89" s="73" t="str">
        <f t="shared" si="39"/>
        <v/>
      </c>
      <c r="AM89" s="73" t="str">
        <f t="shared" si="40"/>
        <v/>
      </c>
      <c r="AN89" s="73" t="str">
        <f t="shared" si="41"/>
        <v/>
      </c>
      <c r="AP89" s="61" t="str">
        <f t="shared" si="42"/>
        <v/>
      </c>
      <c r="AQ89" s="61" t="str">
        <f t="shared" si="43"/>
        <v/>
      </c>
      <c r="AR89" s="61" t="str">
        <f t="shared" si="44"/>
        <v/>
      </c>
    </row>
    <row r="90" spans="16:44" x14ac:dyDescent="0.25">
      <c r="P90" s="73" t="str">
        <f t="shared" si="47"/>
        <v/>
      </c>
      <c r="Q90" s="73" t="str">
        <f t="shared" si="48"/>
        <v/>
      </c>
      <c r="R90" s="74" t="str">
        <f t="shared" si="49"/>
        <v/>
      </c>
      <c r="S90" s="74" t="str">
        <f t="shared" si="50"/>
        <v/>
      </c>
      <c r="U90" s="74" t="str">
        <f t="shared" si="31"/>
        <v/>
      </c>
      <c r="V90" s="74" t="str">
        <f t="shared" si="31"/>
        <v/>
      </c>
      <c r="W90" s="74" t="str">
        <f t="shared" si="31"/>
        <v/>
      </c>
      <c r="X90" s="74" t="str">
        <f t="shared" si="31"/>
        <v/>
      </c>
      <c r="Y90" s="74" t="str">
        <f t="shared" si="31"/>
        <v/>
      </c>
      <c r="Z90" s="74" t="str">
        <f t="shared" si="51"/>
        <v/>
      </c>
      <c r="AA90" s="74">
        <f t="shared" si="52"/>
        <v>0</v>
      </c>
      <c r="AB90" s="74">
        <f t="shared" si="53"/>
        <v>0</v>
      </c>
      <c r="AC90" s="74" t="str">
        <f t="shared" si="35"/>
        <v/>
      </c>
      <c r="AE90" s="74" t="str">
        <f t="shared" si="45"/>
        <v/>
      </c>
      <c r="AF90" s="74" t="str">
        <f t="shared" si="46"/>
        <v/>
      </c>
      <c r="AG90" s="74" t="str">
        <f t="shared" si="36"/>
        <v/>
      </c>
      <c r="AH90" s="74">
        <f t="shared" si="37"/>
        <v>0</v>
      </c>
      <c r="AI90" s="74" t="str">
        <f>IF(AH90&lt;&gt;0,COUNTIF(AH$3:AH90,1),"")</f>
        <v/>
      </c>
      <c r="AJ90" s="74">
        <f t="shared" si="54"/>
        <v>0</v>
      </c>
      <c r="AK90" s="73" t="str">
        <f t="shared" si="38"/>
        <v/>
      </c>
      <c r="AL90" s="73" t="str">
        <f t="shared" si="39"/>
        <v/>
      </c>
      <c r="AM90" s="73" t="str">
        <f t="shared" si="40"/>
        <v/>
      </c>
      <c r="AN90" s="73" t="str">
        <f t="shared" si="41"/>
        <v/>
      </c>
      <c r="AP90" s="61" t="str">
        <f t="shared" si="42"/>
        <v/>
      </c>
      <c r="AQ90" s="61" t="str">
        <f t="shared" si="43"/>
        <v/>
      </c>
      <c r="AR90" s="61" t="str">
        <f t="shared" si="44"/>
        <v/>
      </c>
    </row>
    <row r="91" spans="16:44" x14ac:dyDescent="0.25">
      <c r="P91" s="73" t="str">
        <f t="shared" si="47"/>
        <v/>
      </c>
      <c r="Q91" s="73" t="str">
        <f t="shared" si="48"/>
        <v/>
      </c>
      <c r="R91" s="74" t="str">
        <f t="shared" si="49"/>
        <v/>
      </c>
      <c r="S91" s="74" t="str">
        <f t="shared" si="50"/>
        <v/>
      </c>
      <c r="U91" s="74" t="str">
        <f t="shared" si="31"/>
        <v/>
      </c>
      <c r="V91" s="74" t="str">
        <f t="shared" si="31"/>
        <v/>
      </c>
      <c r="W91" s="74" t="str">
        <f t="shared" si="31"/>
        <v/>
      </c>
      <c r="X91" s="74" t="str">
        <f t="shared" si="31"/>
        <v/>
      </c>
      <c r="Y91" s="74" t="str">
        <f t="shared" si="31"/>
        <v/>
      </c>
      <c r="Z91" s="74" t="str">
        <f t="shared" si="51"/>
        <v/>
      </c>
      <c r="AA91" s="74">
        <f t="shared" si="52"/>
        <v>0</v>
      </c>
      <c r="AB91" s="74">
        <f t="shared" si="53"/>
        <v>0</v>
      </c>
      <c r="AC91" s="74" t="str">
        <f t="shared" si="35"/>
        <v/>
      </c>
      <c r="AE91" s="74" t="str">
        <f t="shared" si="45"/>
        <v/>
      </c>
      <c r="AF91" s="74" t="str">
        <f t="shared" si="46"/>
        <v/>
      </c>
      <c r="AG91" s="74" t="str">
        <f t="shared" si="36"/>
        <v/>
      </c>
      <c r="AH91" s="74">
        <f t="shared" si="37"/>
        <v>0</v>
      </c>
      <c r="AI91" s="74" t="str">
        <f>IF(AH91&lt;&gt;0,COUNTIF(AH$3:AH91,1),"")</f>
        <v/>
      </c>
      <c r="AJ91" s="74">
        <f t="shared" si="54"/>
        <v>0</v>
      </c>
      <c r="AK91" s="73" t="str">
        <f t="shared" si="38"/>
        <v/>
      </c>
      <c r="AL91" s="73" t="str">
        <f t="shared" si="39"/>
        <v/>
      </c>
      <c r="AM91" s="73" t="str">
        <f t="shared" si="40"/>
        <v/>
      </c>
      <c r="AN91" s="73" t="str">
        <f t="shared" si="41"/>
        <v/>
      </c>
      <c r="AP91" s="61" t="str">
        <f t="shared" si="42"/>
        <v/>
      </c>
      <c r="AQ91" s="61" t="str">
        <f t="shared" si="43"/>
        <v/>
      </c>
      <c r="AR91" s="61" t="str">
        <f t="shared" si="44"/>
        <v/>
      </c>
    </row>
    <row r="92" spans="16:44" x14ac:dyDescent="0.25">
      <c r="P92" s="73" t="str">
        <f t="shared" si="47"/>
        <v/>
      </c>
      <c r="Q92" s="73" t="str">
        <f t="shared" si="48"/>
        <v/>
      </c>
      <c r="R92" s="74" t="str">
        <f t="shared" si="49"/>
        <v/>
      </c>
      <c r="S92" s="74" t="str">
        <f t="shared" si="50"/>
        <v/>
      </c>
      <c r="U92" s="74" t="str">
        <f t="shared" si="31"/>
        <v/>
      </c>
      <c r="V92" s="74" t="str">
        <f t="shared" si="31"/>
        <v/>
      </c>
      <c r="W92" s="74" t="str">
        <f t="shared" si="31"/>
        <v/>
      </c>
      <c r="X92" s="74" t="str">
        <f t="shared" si="31"/>
        <v/>
      </c>
      <c r="Y92" s="74" t="str">
        <f t="shared" si="31"/>
        <v/>
      </c>
      <c r="Z92" s="74" t="str">
        <f t="shared" si="51"/>
        <v/>
      </c>
      <c r="AA92" s="74">
        <f t="shared" si="52"/>
        <v>0</v>
      </c>
      <c r="AB92" s="74">
        <f t="shared" si="53"/>
        <v>0</v>
      </c>
      <c r="AC92" s="74" t="str">
        <f t="shared" si="35"/>
        <v/>
      </c>
      <c r="AE92" s="74" t="str">
        <f t="shared" si="45"/>
        <v/>
      </c>
      <c r="AF92" s="74" t="str">
        <f t="shared" si="46"/>
        <v/>
      </c>
      <c r="AG92" s="74" t="str">
        <f t="shared" si="36"/>
        <v/>
      </c>
      <c r="AH92" s="74">
        <f t="shared" si="37"/>
        <v>0</v>
      </c>
      <c r="AI92" s="74" t="str">
        <f>IF(AH92&lt;&gt;0,COUNTIF(AH$3:AH92,1),"")</f>
        <v/>
      </c>
      <c r="AJ92" s="74">
        <f t="shared" si="54"/>
        <v>0</v>
      </c>
      <c r="AK92" s="73" t="str">
        <f t="shared" si="38"/>
        <v/>
      </c>
      <c r="AL92" s="73" t="str">
        <f t="shared" si="39"/>
        <v/>
      </c>
      <c r="AM92" s="73" t="str">
        <f t="shared" si="40"/>
        <v/>
      </c>
      <c r="AN92" s="73" t="str">
        <f t="shared" si="41"/>
        <v/>
      </c>
      <c r="AP92" s="61" t="str">
        <f t="shared" si="42"/>
        <v/>
      </c>
      <c r="AQ92" s="61" t="str">
        <f t="shared" si="43"/>
        <v/>
      </c>
      <c r="AR92" s="61" t="str">
        <f t="shared" si="44"/>
        <v/>
      </c>
    </row>
    <row r="93" spans="16:44" x14ac:dyDescent="0.25">
      <c r="P93" s="73" t="str">
        <f t="shared" si="47"/>
        <v/>
      </c>
      <c r="Q93" s="73" t="str">
        <f t="shared" si="48"/>
        <v/>
      </c>
      <c r="R93" s="74" t="str">
        <f t="shared" si="49"/>
        <v/>
      </c>
      <c r="S93" s="74" t="str">
        <f t="shared" si="50"/>
        <v/>
      </c>
      <c r="U93" s="74" t="str">
        <f t="shared" si="31"/>
        <v/>
      </c>
      <c r="V93" s="74" t="str">
        <f t="shared" si="31"/>
        <v/>
      </c>
      <c r="W93" s="74" t="str">
        <f t="shared" si="31"/>
        <v/>
      </c>
      <c r="X93" s="74" t="str">
        <f t="shared" si="31"/>
        <v/>
      </c>
      <c r="Y93" s="74" t="str">
        <f t="shared" si="31"/>
        <v/>
      </c>
      <c r="Z93" s="74" t="str">
        <f t="shared" si="51"/>
        <v/>
      </c>
      <c r="AA93" s="74">
        <f t="shared" si="52"/>
        <v>0</v>
      </c>
      <c r="AB93" s="74">
        <f t="shared" si="53"/>
        <v>0</v>
      </c>
      <c r="AC93" s="74" t="str">
        <f t="shared" si="35"/>
        <v/>
      </c>
      <c r="AE93" s="74" t="str">
        <f t="shared" si="45"/>
        <v/>
      </c>
      <c r="AF93" s="74" t="str">
        <f t="shared" si="46"/>
        <v/>
      </c>
      <c r="AG93" s="74" t="str">
        <f t="shared" si="36"/>
        <v/>
      </c>
      <c r="AH93" s="74">
        <f t="shared" si="37"/>
        <v>0</v>
      </c>
      <c r="AI93" s="74" t="str">
        <f>IF(AH93&lt;&gt;0,COUNTIF(AH$3:AH93,1),"")</f>
        <v/>
      </c>
      <c r="AJ93" s="74">
        <f t="shared" si="54"/>
        <v>0</v>
      </c>
      <c r="AK93" s="73" t="str">
        <f t="shared" si="38"/>
        <v/>
      </c>
      <c r="AL93" s="73" t="str">
        <f t="shared" si="39"/>
        <v/>
      </c>
      <c r="AM93" s="73" t="str">
        <f t="shared" si="40"/>
        <v/>
      </c>
      <c r="AN93" s="73" t="str">
        <f t="shared" si="41"/>
        <v/>
      </c>
      <c r="AP93" s="61" t="str">
        <f t="shared" si="42"/>
        <v/>
      </c>
      <c r="AQ93" s="61" t="str">
        <f t="shared" si="43"/>
        <v/>
      </c>
      <c r="AR93" s="61" t="str">
        <f t="shared" si="44"/>
        <v/>
      </c>
    </row>
    <row r="94" spans="16:44" x14ac:dyDescent="0.25">
      <c r="P94" s="73" t="str">
        <f t="shared" si="47"/>
        <v/>
      </c>
      <c r="Q94" s="73" t="str">
        <f t="shared" si="48"/>
        <v/>
      </c>
      <c r="R94" s="74" t="str">
        <f t="shared" si="49"/>
        <v/>
      </c>
      <c r="S94" s="74" t="str">
        <f t="shared" si="50"/>
        <v/>
      </c>
      <c r="U94" s="74" t="str">
        <f t="shared" si="31"/>
        <v/>
      </c>
      <c r="V94" s="74" t="str">
        <f t="shared" si="31"/>
        <v/>
      </c>
      <c r="W94" s="74" t="str">
        <f t="shared" si="31"/>
        <v/>
      </c>
      <c r="X94" s="74" t="str">
        <f t="shared" si="31"/>
        <v/>
      </c>
      <c r="Y94" s="74" t="str">
        <f t="shared" si="31"/>
        <v/>
      </c>
      <c r="Z94" s="74" t="str">
        <f t="shared" si="51"/>
        <v/>
      </c>
      <c r="AA94" s="74">
        <f t="shared" si="52"/>
        <v>0</v>
      </c>
      <c r="AB94" s="74">
        <f t="shared" si="53"/>
        <v>0</v>
      </c>
      <c r="AC94" s="74" t="str">
        <f t="shared" si="35"/>
        <v/>
      </c>
      <c r="AE94" s="74" t="str">
        <f t="shared" si="45"/>
        <v/>
      </c>
      <c r="AF94" s="74" t="str">
        <f t="shared" si="46"/>
        <v/>
      </c>
      <c r="AG94" s="74" t="str">
        <f t="shared" si="36"/>
        <v/>
      </c>
      <c r="AH94" s="74">
        <f t="shared" si="37"/>
        <v>0</v>
      </c>
      <c r="AI94" s="74" t="str">
        <f>IF(AH94&lt;&gt;0,COUNTIF(AH$3:AH94,1),"")</f>
        <v/>
      </c>
      <c r="AJ94" s="74">
        <f t="shared" si="54"/>
        <v>0</v>
      </c>
      <c r="AK94" s="73" t="str">
        <f t="shared" si="38"/>
        <v/>
      </c>
      <c r="AL94" s="73" t="str">
        <f t="shared" si="39"/>
        <v/>
      </c>
      <c r="AM94" s="73" t="str">
        <f t="shared" si="40"/>
        <v/>
      </c>
      <c r="AN94" s="73" t="str">
        <f t="shared" si="41"/>
        <v/>
      </c>
      <c r="AP94" s="61" t="str">
        <f t="shared" si="42"/>
        <v/>
      </c>
      <c r="AQ94" s="61" t="str">
        <f t="shared" si="43"/>
        <v/>
      </c>
      <c r="AR94" s="61" t="str">
        <f t="shared" si="44"/>
        <v/>
      </c>
    </row>
    <row r="95" spans="16:44" x14ac:dyDescent="0.25">
      <c r="P95" s="73" t="str">
        <f t="shared" si="47"/>
        <v/>
      </c>
      <c r="Q95" s="73" t="str">
        <f t="shared" si="48"/>
        <v/>
      </c>
      <c r="R95" s="74" t="str">
        <f t="shared" si="49"/>
        <v/>
      </c>
      <c r="S95" s="74" t="str">
        <f t="shared" si="50"/>
        <v/>
      </c>
      <c r="U95" s="74" t="str">
        <f t="shared" si="31"/>
        <v/>
      </c>
      <c r="V95" s="74" t="str">
        <f t="shared" si="31"/>
        <v/>
      </c>
      <c r="W95" s="74" t="str">
        <f t="shared" si="31"/>
        <v/>
      </c>
      <c r="X95" s="74" t="str">
        <f t="shared" si="31"/>
        <v/>
      </c>
      <c r="Y95" s="74" t="str">
        <f t="shared" si="31"/>
        <v/>
      </c>
      <c r="Z95" s="74" t="str">
        <f t="shared" si="51"/>
        <v/>
      </c>
      <c r="AA95" s="74">
        <f t="shared" si="52"/>
        <v>0</v>
      </c>
      <c r="AB95" s="74">
        <f t="shared" si="53"/>
        <v>0</v>
      </c>
      <c r="AC95" s="74" t="str">
        <f t="shared" si="35"/>
        <v/>
      </c>
      <c r="AE95" s="74" t="str">
        <f t="shared" si="45"/>
        <v/>
      </c>
      <c r="AF95" s="74" t="str">
        <f t="shared" si="46"/>
        <v/>
      </c>
      <c r="AG95" s="74" t="str">
        <f t="shared" si="36"/>
        <v/>
      </c>
      <c r="AH95" s="74">
        <f t="shared" si="37"/>
        <v>0</v>
      </c>
      <c r="AI95" s="74" t="str">
        <f>IF(AH95&lt;&gt;0,COUNTIF(AH$3:AH95,1),"")</f>
        <v/>
      </c>
      <c r="AJ95" s="74">
        <f t="shared" si="54"/>
        <v>0</v>
      </c>
      <c r="AK95" s="73" t="str">
        <f t="shared" si="38"/>
        <v/>
      </c>
      <c r="AL95" s="73" t="str">
        <f t="shared" si="39"/>
        <v/>
      </c>
      <c r="AM95" s="73" t="str">
        <f t="shared" si="40"/>
        <v/>
      </c>
      <c r="AN95" s="73" t="str">
        <f t="shared" si="41"/>
        <v/>
      </c>
      <c r="AP95" s="61" t="str">
        <f t="shared" si="42"/>
        <v/>
      </c>
      <c r="AQ95" s="61" t="str">
        <f t="shared" si="43"/>
        <v/>
      </c>
      <c r="AR95" s="61" t="str">
        <f t="shared" si="44"/>
        <v/>
      </c>
    </row>
    <row r="96" spans="16:44" x14ac:dyDescent="0.25">
      <c r="P96" s="73" t="str">
        <f t="shared" si="47"/>
        <v/>
      </c>
      <c r="Q96" s="73" t="str">
        <f t="shared" si="48"/>
        <v/>
      </c>
      <c r="R96" s="74" t="str">
        <f t="shared" si="49"/>
        <v/>
      </c>
      <c r="S96" s="74" t="str">
        <f t="shared" si="50"/>
        <v/>
      </c>
      <c r="U96" s="74" t="str">
        <f t="shared" si="31"/>
        <v/>
      </c>
      <c r="V96" s="74" t="str">
        <f t="shared" si="31"/>
        <v/>
      </c>
      <c r="W96" s="74" t="str">
        <f t="shared" si="31"/>
        <v/>
      </c>
      <c r="X96" s="74" t="str">
        <f t="shared" si="31"/>
        <v/>
      </c>
      <c r="Y96" s="74" t="str">
        <f t="shared" si="31"/>
        <v/>
      </c>
      <c r="Z96" s="74" t="str">
        <f t="shared" si="51"/>
        <v/>
      </c>
      <c r="AA96" s="74">
        <f t="shared" si="52"/>
        <v>0</v>
      </c>
      <c r="AB96" s="74">
        <f t="shared" si="53"/>
        <v>0</v>
      </c>
      <c r="AC96" s="74" t="str">
        <f t="shared" si="35"/>
        <v/>
      </c>
      <c r="AE96" s="74" t="str">
        <f t="shared" si="45"/>
        <v/>
      </c>
      <c r="AF96" s="74" t="str">
        <f t="shared" si="46"/>
        <v/>
      </c>
      <c r="AG96" s="74" t="str">
        <f t="shared" si="36"/>
        <v/>
      </c>
      <c r="AH96" s="74">
        <f t="shared" si="37"/>
        <v>0</v>
      </c>
      <c r="AI96" s="74" t="str">
        <f>IF(AH96&lt;&gt;0,COUNTIF(AH$3:AH96,1),"")</f>
        <v/>
      </c>
      <c r="AJ96" s="74">
        <f t="shared" si="54"/>
        <v>0</v>
      </c>
      <c r="AK96" s="73" t="str">
        <f t="shared" si="38"/>
        <v/>
      </c>
      <c r="AL96" s="73" t="str">
        <f t="shared" si="39"/>
        <v/>
      </c>
      <c r="AM96" s="73" t="str">
        <f t="shared" si="40"/>
        <v/>
      </c>
      <c r="AN96" s="73" t="str">
        <f t="shared" si="41"/>
        <v/>
      </c>
      <c r="AP96" s="61" t="str">
        <f t="shared" si="42"/>
        <v/>
      </c>
      <c r="AQ96" s="61" t="str">
        <f t="shared" si="43"/>
        <v/>
      </c>
      <c r="AR96" s="61" t="str">
        <f t="shared" si="44"/>
        <v/>
      </c>
    </row>
    <row r="97" spans="16:44" x14ac:dyDescent="0.25">
      <c r="P97" s="73" t="str">
        <f t="shared" si="47"/>
        <v/>
      </c>
      <c r="Q97" s="73" t="str">
        <f t="shared" si="48"/>
        <v/>
      </c>
      <c r="R97" s="74" t="str">
        <f t="shared" si="49"/>
        <v/>
      </c>
      <c r="S97" s="74" t="str">
        <f t="shared" si="50"/>
        <v/>
      </c>
      <c r="U97" s="74" t="str">
        <f t="shared" si="31"/>
        <v/>
      </c>
      <c r="V97" s="74" t="str">
        <f t="shared" si="31"/>
        <v/>
      </c>
      <c r="W97" s="74" t="str">
        <f t="shared" si="31"/>
        <v/>
      </c>
      <c r="X97" s="74" t="str">
        <f t="shared" si="31"/>
        <v/>
      </c>
      <c r="Y97" s="74" t="str">
        <f t="shared" si="31"/>
        <v/>
      </c>
      <c r="Z97" s="74" t="str">
        <f t="shared" si="51"/>
        <v/>
      </c>
      <c r="AA97" s="74">
        <f t="shared" si="52"/>
        <v>0</v>
      </c>
      <c r="AB97" s="74">
        <f t="shared" si="53"/>
        <v>0</v>
      </c>
      <c r="AC97" s="74" t="str">
        <f t="shared" si="35"/>
        <v/>
      </c>
      <c r="AE97" s="74" t="str">
        <f t="shared" si="45"/>
        <v/>
      </c>
      <c r="AF97" s="74" t="str">
        <f t="shared" si="46"/>
        <v/>
      </c>
      <c r="AG97" s="74" t="str">
        <f t="shared" si="36"/>
        <v/>
      </c>
      <c r="AH97" s="74">
        <f t="shared" si="37"/>
        <v>0</v>
      </c>
      <c r="AI97" s="74" t="str">
        <f>IF(AH97&lt;&gt;0,COUNTIF(AH$3:AH97,1),"")</f>
        <v/>
      </c>
      <c r="AJ97" s="74">
        <f t="shared" si="54"/>
        <v>0</v>
      </c>
      <c r="AK97" s="73" t="str">
        <f t="shared" si="38"/>
        <v/>
      </c>
      <c r="AL97" s="73" t="str">
        <f t="shared" si="39"/>
        <v/>
      </c>
      <c r="AM97" s="73" t="str">
        <f t="shared" si="40"/>
        <v/>
      </c>
      <c r="AN97" s="73" t="str">
        <f t="shared" si="41"/>
        <v/>
      </c>
      <c r="AP97" s="61" t="str">
        <f t="shared" si="42"/>
        <v/>
      </c>
      <c r="AQ97" s="61" t="str">
        <f t="shared" si="43"/>
        <v/>
      </c>
      <c r="AR97" s="61" t="str">
        <f t="shared" si="44"/>
        <v/>
      </c>
    </row>
    <row r="98" spans="16:44" x14ac:dyDescent="0.25">
      <c r="P98" s="73" t="str">
        <f t="shared" si="47"/>
        <v/>
      </c>
      <c r="Q98" s="73" t="str">
        <f t="shared" si="48"/>
        <v/>
      </c>
      <c r="R98" s="74" t="str">
        <f t="shared" si="49"/>
        <v/>
      </c>
      <c r="S98" s="74" t="str">
        <f t="shared" si="50"/>
        <v/>
      </c>
      <c r="U98" s="74" t="str">
        <f t="shared" si="31"/>
        <v/>
      </c>
      <c r="V98" s="74" t="str">
        <f t="shared" si="31"/>
        <v/>
      </c>
      <c r="W98" s="74" t="str">
        <f t="shared" si="31"/>
        <v/>
      </c>
      <c r="X98" s="74" t="str">
        <f t="shared" si="31"/>
        <v/>
      </c>
      <c r="Y98" s="74" t="str">
        <f t="shared" si="31"/>
        <v/>
      </c>
      <c r="Z98" s="74" t="str">
        <f t="shared" si="51"/>
        <v/>
      </c>
      <c r="AA98" s="74">
        <f t="shared" si="52"/>
        <v>0</v>
      </c>
      <c r="AB98" s="74">
        <f t="shared" si="53"/>
        <v>0</v>
      </c>
      <c r="AC98" s="74" t="str">
        <f t="shared" si="35"/>
        <v/>
      </c>
      <c r="AE98" s="74" t="str">
        <f t="shared" si="45"/>
        <v/>
      </c>
      <c r="AF98" s="74" t="str">
        <f t="shared" si="46"/>
        <v/>
      </c>
      <c r="AG98" s="74" t="str">
        <f t="shared" si="36"/>
        <v/>
      </c>
      <c r="AH98" s="74">
        <f t="shared" si="37"/>
        <v>0</v>
      </c>
      <c r="AI98" s="74" t="str">
        <f>IF(AH98&lt;&gt;0,COUNTIF(AH$3:AH98,1),"")</f>
        <v/>
      </c>
      <c r="AJ98" s="74">
        <f t="shared" si="54"/>
        <v>0</v>
      </c>
      <c r="AK98" s="73" t="str">
        <f t="shared" si="38"/>
        <v/>
      </c>
      <c r="AL98" s="73" t="str">
        <f t="shared" si="39"/>
        <v/>
      </c>
      <c r="AM98" s="73" t="str">
        <f t="shared" si="40"/>
        <v/>
      </c>
      <c r="AN98" s="73" t="str">
        <f t="shared" si="41"/>
        <v/>
      </c>
      <c r="AP98" s="61" t="str">
        <f t="shared" si="42"/>
        <v/>
      </c>
      <c r="AQ98" s="61" t="str">
        <f t="shared" si="43"/>
        <v/>
      </c>
      <c r="AR98" s="61" t="str">
        <f t="shared" si="44"/>
        <v/>
      </c>
    </row>
    <row r="99" spans="16:44" x14ac:dyDescent="0.25">
      <c r="P99" s="73" t="str">
        <f t="shared" si="47"/>
        <v/>
      </c>
      <c r="Q99" s="73" t="str">
        <f t="shared" si="48"/>
        <v/>
      </c>
      <c r="R99" s="74" t="str">
        <f t="shared" si="49"/>
        <v/>
      </c>
      <c r="S99" s="74" t="str">
        <f t="shared" si="50"/>
        <v/>
      </c>
      <c r="U99" s="74" t="str">
        <f t="shared" ref="U99:Y149" si="55">IF($F99=U$1,$E99,"")</f>
        <v/>
      </c>
      <c r="V99" s="74" t="str">
        <f t="shared" si="55"/>
        <v/>
      </c>
      <c r="W99" s="74" t="str">
        <f t="shared" si="55"/>
        <v/>
      </c>
      <c r="X99" s="74" t="str">
        <f t="shared" si="55"/>
        <v/>
      </c>
      <c r="Y99" s="74" t="str">
        <f t="shared" si="55"/>
        <v/>
      </c>
      <c r="Z99" s="74" t="str">
        <f t="shared" si="51"/>
        <v/>
      </c>
      <c r="AA99" s="74">
        <f t="shared" si="52"/>
        <v>0</v>
      </c>
      <c r="AB99" s="74">
        <f t="shared" si="53"/>
        <v>0</v>
      </c>
      <c r="AC99" s="74" t="str">
        <f t="shared" si="35"/>
        <v/>
      </c>
      <c r="AE99" s="74" t="str">
        <f t="shared" si="45"/>
        <v/>
      </c>
      <c r="AF99" s="74" t="str">
        <f t="shared" si="46"/>
        <v/>
      </c>
      <c r="AG99" s="74" t="str">
        <f t="shared" si="36"/>
        <v/>
      </c>
      <c r="AH99" s="74">
        <f t="shared" si="37"/>
        <v>0</v>
      </c>
      <c r="AI99" s="74" t="str">
        <f>IF(AH99&lt;&gt;0,COUNTIF(AH$3:AH99,1),"")</f>
        <v/>
      </c>
      <c r="AJ99" s="74">
        <f t="shared" si="54"/>
        <v>0</v>
      </c>
      <c r="AK99" s="73" t="str">
        <f t="shared" si="38"/>
        <v/>
      </c>
      <c r="AL99" s="73" t="str">
        <f t="shared" si="39"/>
        <v/>
      </c>
      <c r="AM99" s="73" t="str">
        <f t="shared" si="40"/>
        <v/>
      </c>
      <c r="AN99" s="73" t="str">
        <f t="shared" si="41"/>
        <v/>
      </c>
      <c r="AP99" s="61" t="str">
        <f t="shared" si="42"/>
        <v/>
      </c>
      <c r="AQ99" s="61" t="str">
        <f t="shared" si="43"/>
        <v/>
      </c>
      <c r="AR99" s="61" t="str">
        <f t="shared" si="44"/>
        <v/>
      </c>
    </row>
    <row r="100" spans="16:44" x14ac:dyDescent="0.25">
      <c r="P100" s="73" t="str">
        <f t="shared" si="47"/>
        <v/>
      </c>
      <c r="Q100" s="73" t="str">
        <f t="shared" si="48"/>
        <v/>
      </c>
      <c r="R100" s="74" t="str">
        <f t="shared" si="49"/>
        <v/>
      </c>
      <c r="S100" s="74" t="str">
        <f t="shared" si="50"/>
        <v/>
      </c>
      <c r="U100" s="74" t="str">
        <f t="shared" si="55"/>
        <v/>
      </c>
      <c r="V100" s="74" t="str">
        <f t="shared" si="55"/>
        <v/>
      </c>
      <c r="W100" s="74" t="str">
        <f t="shared" si="55"/>
        <v/>
      </c>
      <c r="X100" s="74" t="str">
        <f t="shared" si="55"/>
        <v/>
      </c>
      <c r="Y100" s="74" t="str">
        <f t="shared" si="55"/>
        <v/>
      </c>
      <c r="Z100" s="74" t="str">
        <f t="shared" si="51"/>
        <v/>
      </c>
      <c r="AA100" s="74">
        <f t="shared" si="52"/>
        <v>0</v>
      </c>
      <c r="AB100" s="74">
        <f t="shared" si="53"/>
        <v>0</v>
      </c>
      <c r="AC100" s="74" t="str">
        <f t="shared" si="35"/>
        <v/>
      </c>
      <c r="AE100" s="74" t="str">
        <f t="shared" si="45"/>
        <v/>
      </c>
      <c r="AF100" s="74" t="str">
        <f t="shared" si="46"/>
        <v/>
      </c>
      <c r="AG100" s="74" t="str">
        <f t="shared" si="36"/>
        <v/>
      </c>
      <c r="AH100" s="74">
        <f t="shared" si="37"/>
        <v>0</v>
      </c>
      <c r="AI100" s="74" t="str">
        <f>IF(AH100&lt;&gt;0,COUNTIF(AH$3:AH100,1),"")</f>
        <v/>
      </c>
      <c r="AJ100" s="74">
        <f t="shared" si="54"/>
        <v>0</v>
      </c>
      <c r="AK100" s="73" t="str">
        <f t="shared" si="38"/>
        <v/>
      </c>
      <c r="AL100" s="73" t="str">
        <f t="shared" si="39"/>
        <v/>
      </c>
      <c r="AM100" s="73" t="str">
        <f t="shared" si="40"/>
        <v/>
      </c>
      <c r="AN100" s="73" t="str">
        <f t="shared" si="41"/>
        <v/>
      </c>
      <c r="AP100" s="61" t="str">
        <f t="shared" si="42"/>
        <v/>
      </c>
      <c r="AQ100" s="61" t="str">
        <f t="shared" si="43"/>
        <v/>
      </c>
      <c r="AR100" s="61" t="str">
        <f t="shared" si="44"/>
        <v/>
      </c>
    </row>
    <row r="101" spans="16:44" x14ac:dyDescent="0.25">
      <c r="P101" s="73" t="str">
        <f t="shared" si="47"/>
        <v/>
      </c>
      <c r="Q101" s="73" t="str">
        <f t="shared" si="48"/>
        <v/>
      </c>
      <c r="R101" s="74" t="str">
        <f t="shared" si="49"/>
        <v/>
      </c>
      <c r="S101" s="74" t="str">
        <f t="shared" si="50"/>
        <v/>
      </c>
      <c r="U101" s="74" t="str">
        <f t="shared" si="55"/>
        <v/>
      </c>
      <c r="V101" s="74" t="str">
        <f t="shared" si="55"/>
        <v/>
      </c>
      <c r="W101" s="74" t="str">
        <f t="shared" si="55"/>
        <v/>
      </c>
      <c r="X101" s="74" t="str">
        <f t="shared" si="55"/>
        <v/>
      </c>
      <c r="Y101" s="74" t="str">
        <f t="shared" si="55"/>
        <v/>
      </c>
      <c r="Z101" s="74" t="str">
        <f t="shared" si="51"/>
        <v/>
      </c>
      <c r="AA101" s="74">
        <f t="shared" si="52"/>
        <v>0</v>
      </c>
      <c r="AB101" s="74">
        <f t="shared" si="53"/>
        <v>0</v>
      </c>
      <c r="AC101" s="74" t="str">
        <f t="shared" si="35"/>
        <v/>
      </c>
      <c r="AE101" s="74" t="str">
        <f t="shared" si="45"/>
        <v/>
      </c>
      <c r="AF101" s="74" t="str">
        <f t="shared" si="46"/>
        <v/>
      </c>
      <c r="AG101" s="74" t="str">
        <f t="shared" si="36"/>
        <v/>
      </c>
      <c r="AH101" s="74">
        <f t="shared" si="37"/>
        <v>0</v>
      </c>
      <c r="AI101" s="74" t="str">
        <f>IF(AH101&lt;&gt;0,COUNTIF(AH$3:AH101,1),"")</f>
        <v/>
      </c>
      <c r="AJ101" s="74">
        <f t="shared" si="54"/>
        <v>0</v>
      </c>
      <c r="AK101" s="73" t="str">
        <f t="shared" si="38"/>
        <v/>
      </c>
      <c r="AL101" s="73" t="str">
        <f t="shared" si="39"/>
        <v/>
      </c>
      <c r="AM101" s="73" t="str">
        <f t="shared" si="40"/>
        <v/>
      </c>
      <c r="AN101" s="73" t="str">
        <f t="shared" si="41"/>
        <v/>
      </c>
      <c r="AP101" s="61" t="str">
        <f t="shared" si="42"/>
        <v/>
      </c>
      <c r="AQ101" s="61" t="str">
        <f t="shared" si="43"/>
        <v/>
      </c>
      <c r="AR101" s="61" t="str">
        <f t="shared" si="44"/>
        <v/>
      </c>
    </row>
    <row r="102" spans="16:44" x14ac:dyDescent="0.25">
      <c r="P102" s="73" t="str">
        <f t="shared" si="47"/>
        <v/>
      </c>
      <c r="Q102" s="73" t="str">
        <f t="shared" si="48"/>
        <v/>
      </c>
      <c r="R102" s="74" t="str">
        <f t="shared" si="49"/>
        <v/>
      </c>
      <c r="S102" s="74" t="str">
        <f t="shared" si="50"/>
        <v/>
      </c>
      <c r="U102" s="74" t="str">
        <f t="shared" si="55"/>
        <v/>
      </c>
      <c r="V102" s="74" t="str">
        <f t="shared" si="55"/>
        <v/>
      </c>
      <c r="W102" s="74" t="str">
        <f t="shared" si="55"/>
        <v/>
      </c>
      <c r="X102" s="74" t="str">
        <f t="shared" si="55"/>
        <v/>
      </c>
      <c r="Y102" s="74" t="str">
        <f t="shared" si="55"/>
        <v/>
      </c>
      <c r="Z102" s="74" t="str">
        <f t="shared" si="51"/>
        <v/>
      </c>
      <c r="AA102" s="74">
        <f t="shared" si="52"/>
        <v>0</v>
      </c>
      <c r="AB102" s="74">
        <f t="shared" si="53"/>
        <v>0</v>
      </c>
      <c r="AC102" s="74" t="str">
        <f t="shared" si="35"/>
        <v/>
      </c>
      <c r="AE102" s="74" t="str">
        <f t="shared" si="45"/>
        <v/>
      </c>
      <c r="AF102" s="74" t="str">
        <f t="shared" si="46"/>
        <v/>
      </c>
      <c r="AG102" s="74" t="str">
        <f t="shared" si="36"/>
        <v/>
      </c>
      <c r="AH102" s="74">
        <f t="shared" si="37"/>
        <v>0</v>
      </c>
      <c r="AI102" s="74" t="str">
        <f>IF(AH102&lt;&gt;0,COUNTIF(AH$3:AH102,1),"")</f>
        <v/>
      </c>
      <c r="AJ102" s="74">
        <f t="shared" si="54"/>
        <v>0</v>
      </c>
      <c r="AK102" s="73" t="str">
        <f t="shared" si="38"/>
        <v/>
      </c>
      <c r="AL102" s="73" t="str">
        <f t="shared" si="39"/>
        <v/>
      </c>
      <c r="AM102" s="73" t="str">
        <f t="shared" si="40"/>
        <v/>
      </c>
      <c r="AN102" s="73" t="str">
        <f t="shared" si="41"/>
        <v/>
      </c>
      <c r="AP102" s="61" t="str">
        <f t="shared" si="42"/>
        <v/>
      </c>
      <c r="AQ102" s="61" t="str">
        <f t="shared" si="43"/>
        <v/>
      </c>
      <c r="AR102" s="61" t="str">
        <f t="shared" si="44"/>
        <v/>
      </c>
    </row>
    <row r="103" spans="16:44" x14ac:dyDescent="0.25">
      <c r="P103" s="73" t="str">
        <f t="shared" si="47"/>
        <v/>
      </c>
      <c r="Q103" s="73" t="str">
        <f t="shared" si="48"/>
        <v/>
      </c>
      <c r="R103" s="74" t="str">
        <f t="shared" si="49"/>
        <v/>
      </c>
      <c r="S103" s="74" t="str">
        <f t="shared" si="50"/>
        <v/>
      </c>
      <c r="U103" s="74" t="str">
        <f t="shared" si="55"/>
        <v/>
      </c>
      <c r="V103" s="74" t="str">
        <f t="shared" si="55"/>
        <v/>
      </c>
      <c r="W103" s="74" t="str">
        <f t="shared" si="55"/>
        <v/>
      </c>
      <c r="X103" s="74" t="str">
        <f t="shared" si="55"/>
        <v/>
      </c>
      <c r="Y103" s="74" t="str">
        <f t="shared" si="55"/>
        <v/>
      </c>
      <c r="Z103" s="74" t="str">
        <f t="shared" si="51"/>
        <v/>
      </c>
      <c r="AA103" s="74">
        <f t="shared" si="52"/>
        <v>0</v>
      </c>
      <c r="AB103" s="74">
        <f t="shared" si="53"/>
        <v>0</v>
      </c>
      <c r="AC103" s="74" t="str">
        <f t="shared" si="35"/>
        <v/>
      </c>
      <c r="AE103" s="74" t="str">
        <f t="shared" si="45"/>
        <v/>
      </c>
      <c r="AF103" s="74" t="str">
        <f t="shared" si="46"/>
        <v/>
      </c>
      <c r="AG103" s="74" t="str">
        <f t="shared" si="36"/>
        <v/>
      </c>
      <c r="AH103" s="74">
        <f t="shared" si="37"/>
        <v>0</v>
      </c>
      <c r="AI103" s="74" t="str">
        <f>IF(AH103&lt;&gt;0,COUNTIF(AH$3:AH103,1),"")</f>
        <v/>
      </c>
      <c r="AJ103" s="74">
        <f t="shared" si="54"/>
        <v>0</v>
      </c>
      <c r="AK103" s="73" t="str">
        <f t="shared" si="38"/>
        <v/>
      </c>
      <c r="AL103" s="73" t="str">
        <f t="shared" si="39"/>
        <v/>
      </c>
      <c r="AM103" s="73" t="str">
        <f t="shared" si="40"/>
        <v/>
      </c>
      <c r="AN103" s="73" t="str">
        <f t="shared" si="41"/>
        <v/>
      </c>
      <c r="AP103" s="61" t="str">
        <f t="shared" si="42"/>
        <v/>
      </c>
      <c r="AQ103" s="61" t="str">
        <f t="shared" si="43"/>
        <v/>
      </c>
      <c r="AR103" s="61" t="str">
        <f t="shared" si="44"/>
        <v/>
      </c>
    </row>
    <row r="104" spans="16:44" x14ac:dyDescent="0.25">
      <c r="P104" s="73" t="str">
        <f t="shared" si="47"/>
        <v/>
      </c>
      <c r="Q104" s="73" t="str">
        <f t="shared" si="48"/>
        <v/>
      </c>
      <c r="R104" s="74" t="str">
        <f t="shared" si="49"/>
        <v/>
      </c>
      <c r="S104" s="74" t="str">
        <f t="shared" si="50"/>
        <v/>
      </c>
      <c r="U104" s="74" t="str">
        <f t="shared" si="55"/>
        <v/>
      </c>
      <c r="V104" s="74" t="str">
        <f t="shared" si="55"/>
        <v/>
      </c>
      <c r="W104" s="74" t="str">
        <f t="shared" si="55"/>
        <v/>
      </c>
      <c r="X104" s="74" t="str">
        <f t="shared" si="55"/>
        <v/>
      </c>
      <c r="Y104" s="74" t="str">
        <f t="shared" si="55"/>
        <v/>
      </c>
      <c r="Z104" s="74" t="str">
        <f t="shared" si="51"/>
        <v/>
      </c>
      <c r="AA104" s="74">
        <f t="shared" si="52"/>
        <v>0</v>
      </c>
      <c r="AB104" s="74">
        <f t="shared" si="53"/>
        <v>0</v>
      </c>
      <c r="AC104" s="74" t="str">
        <f t="shared" si="35"/>
        <v/>
      </c>
      <c r="AE104" s="74" t="str">
        <f t="shared" si="45"/>
        <v/>
      </c>
      <c r="AF104" s="74" t="str">
        <f t="shared" si="46"/>
        <v/>
      </c>
      <c r="AG104" s="74" t="str">
        <f t="shared" si="36"/>
        <v/>
      </c>
      <c r="AH104" s="74">
        <f t="shared" si="37"/>
        <v>0</v>
      </c>
      <c r="AI104" s="74" t="str">
        <f>IF(AH104&lt;&gt;0,COUNTIF(AH$3:AH104,1),"")</f>
        <v/>
      </c>
      <c r="AJ104" s="74">
        <f t="shared" si="54"/>
        <v>0</v>
      </c>
      <c r="AK104" s="73" t="str">
        <f t="shared" si="38"/>
        <v/>
      </c>
      <c r="AL104" s="73" t="str">
        <f t="shared" si="39"/>
        <v/>
      </c>
      <c r="AM104" s="73" t="str">
        <f t="shared" si="40"/>
        <v/>
      </c>
      <c r="AN104" s="73" t="str">
        <f t="shared" si="41"/>
        <v/>
      </c>
      <c r="AP104" s="61" t="str">
        <f t="shared" si="42"/>
        <v/>
      </c>
      <c r="AQ104" s="61" t="str">
        <f t="shared" si="43"/>
        <v/>
      </c>
      <c r="AR104" s="61" t="str">
        <f t="shared" si="44"/>
        <v/>
      </c>
    </row>
    <row r="105" spans="16:44" x14ac:dyDescent="0.25">
      <c r="P105" s="73" t="str">
        <f t="shared" si="47"/>
        <v/>
      </c>
      <c r="Q105" s="73" t="str">
        <f t="shared" si="48"/>
        <v/>
      </c>
      <c r="R105" s="74" t="str">
        <f t="shared" si="49"/>
        <v/>
      </c>
      <c r="S105" s="74" t="str">
        <f t="shared" si="50"/>
        <v/>
      </c>
      <c r="U105" s="74" t="str">
        <f t="shared" si="55"/>
        <v/>
      </c>
      <c r="V105" s="74" t="str">
        <f t="shared" si="55"/>
        <v/>
      </c>
      <c r="W105" s="74" t="str">
        <f t="shared" si="55"/>
        <v/>
      </c>
      <c r="X105" s="74" t="str">
        <f t="shared" si="55"/>
        <v/>
      </c>
      <c r="Y105" s="74" t="str">
        <f t="shared" si="55"/>
        <v/>
      </c>
      <c r="Z105" s="74" t="str">
        <f t="shared" si="51"/>
        <v/>
      </c>
      <c r="AA105" s="74">
        <f t="shared" si="52"/>
        <v>0</v>
      </c>
      <c r="AB105" s="74">
        <f t="shared" si="53"/>
        <v>0</v>
      </c>
      <c r="AC105" s="74" t="str">
        <f t="shared" si="35"/>
        <v/>
      </c>
      <c r="AE105" s="74" t="str">
        <f t="shared" si="45"/>
        <v/>
      </c>
      <c r="AF105" s="74" t="str">
        <f t="shared" si="46"/>
        <v/>
      </c>
      <c r="AG105" s="74" t="str">
        <f t="shared" si="36"/>
        <v/>
      </c>
      <c r="AH105" s="74">
        <f t="shared" si="37"/>
        <v>0</v>
      </c>
      <c r="AI105" s="74" t="str">
        <f>IF(AH105&lt;&gt;0,COUNTIF(AH$3:AH105,1),"")</f>
        <v/>
      </c>
      <c r="AJ105" s="74">
        <f t="shared" si="54"/>
        <v>0</v>
      </c>
      <c r="AK105" s="73" t="str">
        <f t="shared" si="38"/>
        <v/>
      </c>
      <c r="AL105" s="73" t="str">
        <f t="shared" si="39"/>
        <v/>
      </c>
      <c r="AM105" s="73" t="str">
        <f t="shared" si="40"/>
        <v/>
      </c>
      <c r="AN105" s="73" t="str">
        <f t="shared" si="41"/>
        <v/>
      </c>
      <c r="AP105" s="61" t="str">
        <f t="shared" si="42"/>
        <v/>
      </c>
      <c r="AQ105" s="61" t="str">
        <f t="shared" si="43"/>
        <v/>
      </c>
      <c r="AR105" s="61" t="str">
        <f t="shared" si="44"/>
        <v/>
      </c>
    </row>
    <row r="106" spans="16:44" x14ac:dyDescent="0.25">
      <c r="P106" s="73" t="str">
        <f t="shared" si="47"/>
        <v/>
      </c>
      <c r="Q106" s="73" t="str">
        <f t="shared" si="48"/>
        <v/>
      </c>
      <c r="R106" s="74" t="str">
        <f t="shared" si="49"/>
        <v/>
      </c>
      <c r="S106" s="74" t="str">
        <f t="shared" si="50"/>
        <v/>
      </c>
      <c r="U106" s="74" t="str">
        <f t="shared" si="55"/>
        <v/>
      </c>
      <c r="V106" s="74" t="str">
        <f t="shared" si="55"/>
        <v/>
      </c>
      <c r="W106" s="74" t="str">
        <f t="shared" si="55"/>
        <v/>
      </c>
      <c r="X106" s="74" t="str">
        <f t="shared" si="55"/>
        <v/>
      </c>
      <c r="Y106" s="74" t="str">
        <f t="shared" si="55"/>
        <v/>
      </c>
      <c r="Z106" s="74" t="str">
        <f t="shared" si="51"/>
        <v/>
      </c>
      <c r="AA106" s="74">
        <f t="shared" si="52"/>
        <v>0</v>
      </c>
      <c r="AB106" s="74">
        <f t="shared" si="53"/>
        <v>0</v>
      </c>
      <c r="AC106" s="74" t="str">
        <f t="shared" si="35"/>
        <v/>
      </c>
      <c r="AE106" s="74" t="str">
        <f t="shared" si="45"/>
        <v/>
      </c>
      <c r="AF106" s="74" t="str">
        <f t="shared" si="46"/>
        <v/>
      </c>
      <c r="AG106" s="74" t="str">
        <f t="shared" si="36"/>
        <v/>
      </c>
      <c r="AH106" s="74">
        <f t="shared" si="37"/>
        <v>0</v>
      </c>
      <c r="AI106" s="74" t="str">
        <f>IF(AH106&lt;&gt;0,COUNTIF(AH$3:AH106,1),"")</f>
        <v/>
      </c>
      <c r="AJ106" s="74">
        <f t="shared" si="54"/>
        <v>0</v>
      </c>
      <c r="AK106" s="73" t="str">
        <f t="shared" si="38"/>
        <v/>
      </c>
      <c r="AL106" s="73" t="str">
        <f t="shared" si="39"/>
        <v/>
      </c>
      <c r="AM106" s="73" t="str">
        <f t="shared" si="40"/>
        <v/>
      </c>
      <c r="AN106" s="73" t="str">
        <f t="shared" si="41"/>
        <v/>
      </c>
      <c r="AP106" s="61" t="str">
        <f t="shared" si="42"/>
        <v/>
      </c>
      <c r="AQ106" s="61" t="str">
        <f t="shared" si="43"/>
        <v/>
      </c>
      <c r="AR106" s="61" t="str">
        <f t="shared" si="44"/>
        <v/>
      </c>
    </row>
    <row r="107" spans="16:44" x14ac:dyDescent="0.25">
      <c r="P107" s="73" t="str">
        <f t="shared" si="47"/>
        <v/>
      </c>
      <c r="Q107" s="73" t="str">
        <f t="shared" si="48"/>
        <v/>
      </c>
      <c r="R107" s="74" t="str">
        <f t="shared" si="49"/>
        <v/>
      </c>
      <c r="S107" s="74" t="str">
        <f t="shared" si="50"/>
        <v/>
      </c>
      <c r="U107" s="74" t="str">
        <f t="shared" si="55"/>
        <v/>
      </c>
      <c r="V107" s="74" t="str">
        <f t="shared" si="55"/>
        <v/>
      </c>
      <c r="W107" s="74" t="str">
        <f t="shared" si="55"/>
        <v/>
      </c>
      <c r="X107" s="74" t="str">
        <f t="shared" si="55"/>
        <v/>
      </c>
      <c r="Y107" s="74" t="str">
        <f t="shared" si="55"/>
        <v/>
      </c>
      <c r="Z107" s="74" t="str">
        <f t="shared" si="51"/>
        <v/>
      </c>
      <c r="AA107" s="74">
        <f t="shared" si="52"/>
        <v>0</v>
      </c>
      <c r="AB107" s="74">
        <f t="shared" si="53"/>
        <v>0</v>
      </c>
      <c r="AC107" s="74" t="str">
        <f t="shared" si="35"/>
        <v/>
      </c>
      <c r="AE107" s="74" t="str">
        <f t="shared" si="45"/>
        <v/>
      </c>
      <c r="AF107" s="74" t="str">
        <f t="shared" si="46"/>
        <v/>
      </c>
      <c r="AG107" s="74" t="str">
        <f t="shared" si="36"/>
        <v/>
      </c>
      <c r="AH107" s="74">
        <f t="shared" si="37"/>
        <v>0</v>
      </c>
      <c r="AI107" s="74" t="str">
        <f>IF(AH107&lt;&gt;0,COUNTIF(AH$3:AH107,1),"")</f>
        <v/>
      </c>
      <c r="AJ107" s="74">
        <f t="shared" si="54"/>
        <v>0</v>
      </c>
      <c r="AK107" s="73" t="str">
        <f t="shared" si="38"/>
        <v/>
      </c>
      <c r="AL107" s="73" t="str">
        <f t="shared" si="39"/>
        <v/>
      </c>
      <c r="AM107" s="73" t="str">
        <f t="shared" si="40"/>
        <v/>
      </c>
      <c r="AN107" s="73" t="str">
        <f t="shared" si="41"/>
        <v/>
      </c>
      <c r="AP107" s="61" t="str">
        <f t="shared" si="42"/>
        <v/>
      </c>
      <c r="AQ107" s="61" t="str">
        <f t="shared" si="43"/>
        <v/>
      </c>
      <c r="AR107" s="61" t="str">
        <f t="shared" si="44"/>
        <v/>
      </c>
    </row>
    <row r="108" spans="16:44" x14ac:dyDescent="0.25">
      <c r="P108" s="73" t="str">
        <f t="shared" si="47"/>
        <v/>
      </c>
      <c r="Q108" s="73" t="str">
        <f t="shared" si="48"/>
        <v/>
      </c>
      <c r="R108" s="74" t="str">
        <f t="shared" si="49"/>
        <v/>
      </c>
      <c r="S108" s="74" t="str">
        <f t="shared" si="50"/>
        <v/>
      </c>
      <c r="U108" s="74" t="str">
        <f t="shared" si="55"/>
        <v/>
      </c>
      <c r="V108" s="74" t="str">
        <f t="shared" si="55"/>
        <v/>
      </c>
      <c r="W108" s="74" t="str">
        <f t="shared" si="55"/>
        <v/>
      </c>
      <c r="X108" s="74" t="str">
        <f t="shared" si="55"/>
        <v/>
      </c>
      <c r="Y108" s="74" t="str">
        <f t="shared" si="55"/>
        <v/>
      </c>
      <c r="Z108" s="74" t="str">
        <f t="shared" si="51"/>
        <v/>
      </c>
      <c r="AA108" s="74">
        <f t="shared" si="52"/>
        <v>0</v>
      </c>
      <c r="AB108" s="74">
        <f t="shared" si="53"/>
        <v>0</v>
      </c>
      <c r="AC108" s="74" t="str">
        <f t="shared" si="35"/>
        <v/>
      </c>
      <c r="AE108" s="74" t="str">
        <f t="shared" si="45"/>
        <v/>
      </c>
      <c r="AF108" s="74" t="str">
        <f t="shared" si="46"/>
        <v/>
      </c>
      <c r="AG108" s="74" t="str">
        <f t="shared" si="36"/>
        <v/>
      </c>
      <c r="AH108" s="74">
        <f t="shared" si="37"/>
        <v>0</v>
      </c>
      <c r="AI108" s="74" t="str">
        <f>IF(AH108&lt;&gt;0,COUNTIF(AH$3:AH108,1),"")</f>
        <v/>
      </c>
      <c r="AJ108" s="74">
        <f t="shared" si="54"/>
        <v>0</v>
      </c>
      <c r="AK108" s="73" t="str">
        <f t="shared" si="38"/>
        <v/>
      </c>
      <c r="AL108" s="73" t="str">
        <f t="shared" si="39"/>
        <v/>
      </c>
      <c r="AM108" s="73" t="str">
        <f t="shared" si="40"/>
        <v/>
      </c>
      <c r="AN108" s="73" t="str">
        <f t="shared" si="41"/>
        <v/>
      </c>
      <c r="AP108" s="61" t="str">
        <f t="shared" si="42"/>
        <v/>
      </c>
      <c r="AQ108" s="61" t="str">
        <f t="shared" si="43"/>
        <v/>
      </c>
      <c r="AR108" s="61" t="str">
        <f t="shared" si="44"/>
        <v/>
      </c>
    </row>
    <row r="109" spans="16:44" x14ac:dyDescent="0.25">
      <c r="P109" s="73" t="str">
        <f t="shared" si="47"/>
        <v/>
      </c>
      <c r="Q109" s="73" t="str">
        <f t="shared" si="48"/>
        <v/>
      </c>
      <c r="R109" s="74" t="str">
        <f t="shared" si="49"/>
        <v/>
      </c>
      <c r="S109" s="74" t="str">
        <f t="shared" si="50"/>
        <v/>
      </c>
      <c r="U109" s="74" t="str">
        <f t="shared" si="55"/>
        <v/>
      </c>
      <c r="V109" s="74" t="str">
        <f t="shared" si="55"/>
        <v/>
      </c>
      <c r="W109" s="74" t="str">
        <f t="shared" si="55"/>
        <v/>
      </c>
      <c r="X109" s="74" t="str">
        <f t="shared" si="55"/>
        <v/>
      </c>
      <c r="Y109" s="74" t="str">
        <f t="shared" si="55"/>
        <v/>
      </c>
      <c r="Z109" s="74" t="str">
        <f t="shared" si="51"/>
        <v/>
      </c>
      <c r="AA109" s="74">
        <f t="shared" si="52"/>
        <v>0</v>
      </c>
      <c r="AB109" s="74">
        <f t="shared" si="53"/>
        <v>0</v>
      </c>
      <c r="AC109" s="74" t="str">
        <f t="shared" si="35"/>
        <v/>
      </c>
      <c r="AE109" s="74" t="str">
        <f t="shared" si="45"/>
        <v/>
      </c>
      <c r="AF109" s="74" t="str">
        <f t="shared" si="46"/>
        <v/>
      </c>
      <c r="AG109" s="74" t="str">
        <f t="shared" si="36"/>
        <v/>
      </c>
      <c r="AH109" s="74">
        <f t="shared" si="37"/>
        <v>0</v>
      </c>
      <c r="AI109" s="74" t="str">
        <f>IF(AH109&lt;&gt;0,COUNTIF(AH$3:AH109,1),"")</f>
        <v/>
      </c>
      <c r="AJ109" s="74">
        <f t="shared" si="54"/>
        <v>0</v>
      </c>
      <c r="AK109" s="73" t="str">
        <f t="shared" si="38"/>
        <v/>
      </c>
      <c r="AL109" s="73" t="str">
        <f t="shared" si="39"/>
        <v/>
      </c>
      <c r="AM109" s="73" t="str">
        <f t="shared" si="40"/>
        <v/>
      </c>
      <c r="AN109" s="73" t="str">
        <f t="shared" si="41"/>
        <v/>
      </c>
      <c r="AP109" s="61" t="str">
        <f t="shared" si="42"/>
        <v/>
      </c>
      <c r="AQ109" s="61" t="str">
        <f t="shared" si="43"/>
        <v/>
      </c>
      <c r="AR109" s="61" t="str">
        <f t="shared" si="44"/>
        <v/>
      </c>
    </row>
    <row r="110" spans="16:44" x14ac:dyDescent="0.25">
      <c r="P110" s="73" t="str">
        <f t="shared" si="47"/>
        <v/>
      </c>
      <c r="Q110" s="73" t="str">
        <f t="shared" si="48"/>
        <v/>
      </c>
      <c r="R110" s="74" t="str">
        <f t="shared" si="49"/>
        <v/>
      </c>
      <c r="S110" s="74" t="str">
        <f t="shared" si="50"/>
        <v/>
      </c>
      <c r="U110" s="74" t="str">
        <f t="shared" si="55"/>
        <v/>
      </c>
      <c r="V110" s="74" t="str">
        <f t="shared" si="55"/>
        <v/>
      </c>
      <c r="W110" s="74" t="str">
        <f t="shared" si="55"/>
        <v/>
      </c>
      <c r="X110" s="74" t="str">
        <f t="shared" si="55"/>
        <v/>
      </c>
      <c r="Y110" s="74" t="str">
        <f t="shared" si="55"/>
        <v/>
      </c>
      <c r="Z110" s="74" t="str">
        <f t="shared" si="51"/>
        <v/>
      </c>
      <c r="AA110" s="74">
        <f t="shared" si="52"/>
        <v>0</v>
      </c>
      <c r="AB110" s="74">
        <f t="shared" si="53"/>
        <v>0</v>
      </c>
      <c r="AC110" s="74" t="str">
        <f t="shared" si="35"/>
        <v/>
      </c>
      <c r="AE110" s="74" t="str">
        <f t="shared" si="45"/>
        <v/>
      </c>
      <c r="AF110" s="74" t="str">
        <f t="shared" si="46"/>
        <v/>
      </c>
      <c r="AG110" s="74" t="str">
        <f t="shared" si="36"/>
        <v/>
      </c>
      <c r="AH110" s="74">
        <f t="shared" si="37"/>
        <v>0</v>
      </c>
      <c r="AI110" s="74" t="str">
        <f>IF(AH110&lt;&gt;0,COUNTIF(AH$3:AH110,1),"")</f>
        <v/>
      </c>
      <c r="AJ110" s="74">
        <f t="shared" si="54"/>
        <v>0</v>
      </c>
      <c r="AK110" s="73" t="str">
        <f t="shared" si="38"/>
        <v/>
      </c>
      <c r="AL110" s="73" t="str">
        <f t="shared" si="39"/>
        <v/>
      </c>
      <c r="AM110" s="73" t="str">
        <f t="shared" si="40"/>
        <v/>
      </c>
      <c r="AN110" s="73" t="str">
        <f t="shared" si="41"/>
        <v/>
      </c>
      <c r="AP110" s="61" t="str">
        <f t="shared" si="42"/>
        <v/>
      </c>
      <c r="AQ110" s="61" t="str">
        <f t="shared" si="43"/>
        <v/>
      </c>
      <c r="AR110" s="61" t="str">
        <f t="shared" si="44"/>
        <v/>
      </c>
    </row>
    <row r="111" spans="16:44" x14ac:dyDescent="0.25">
      <c r="P111" s="73" t="str">
        <f t="shared" si="47"/>
        <v/>
      </c>
      <c r="Q111" s="73" t="str">
        <f t="shared" si="48"/>
        <v/>
      </c>
      <c r="R111" s="74" t="str">
        <f t="shared" si="49"/>
        <v/>
      </c>
      <c r="S111" s="74" t="str">
        <f t="shared" si="50"/>
        <v/>
      </c>
      <c r="U111" s="74" t="str">
        <f t="shared" si="55"/>
        <v/>
      </c>
      <c r="V111" s="74" t="str">
        <f t="shared" si="55"/>
        <v/>
      </c>
      <c r="W111" s="74" t="str">
        <f t="shared" si="55"/>
        <v/>
      </c>
      <c r="X111" s="74" t="str">
        <f t="shared" si="55"/>
        <v/>
      </c>
      <c r="Y111" s="74" t="str">
        <f t="shared" si="55"/>
        <v/>
      </c>
      <c r="Z111" s="74" t="str">
        <f t="shared" si="51"/>
        <v/>
      </c>
      <c r="AA111" s="74">
        <f t="shared" si="52"/>
        <v>0</v>
      </c>
      <c r="AB111" s="74">
        <f t="shared" si="53"/>
        <v>0</v>
      </c>
      <c r="AC111" s="74" t="str">
        <f t="shared" si="35"/>
        <v/>
      </c>
      <c r="AE111" s="74" t="str">
        <f t="shared" si="45"/>
        <v/>
      </c>
      <c r="AF111" s="74" t="str">
        <f t="shared" si="46"/>
        <v/>
      </c>
      <c r="AG111" s="74" t="str">
        <f t="shared" si="36"/>
        <v/>
      </c>
      <c r="AH111" s="74">
        <f t="shared" si="37"/>
        <v>0</v>
      </c>
      <c r="AI111" s="74" t="str">
        <f>IF(AH111&lt;&gt;0,COUNTIF(AH$3:AH111,1),"")</f>
        <v/>
      </c>
      <c r="AJ111" s="74">
        <f t="shared" si="54"/>
        <v>0</v>
      </c>
      <c r="AK111" s="73" t="str">
        <f t="shared" si="38"/>
        <v/>
      </c>
      <c r="AL111" s="73" t="str">
        <f t="shared" si="39"/>
        <v/>
      </c>
      <c r="AM111" s="73" t="str">
        <f t="shared" si="40"/>
        <v/>
      </c>
      <c r="AN111" s="73" t="str">
        <f t="shared" si="41"/>
        <v/>
      </c>
      <c r="AP111" s="61" t="str">
        <f t="shared" si="42"/>
        <v/>
      </c>
      <c r="AQ111" s="61" t="str">
        <f t="shared" si="43"/>
        <v/>
      </c>
      <c r="AR111" s="61" t="str">
        <f t="shared" si="44"/>
        <v/>
      </c>
    </row>
    <row r="112" spans="16:44" x14ac:dyDescent="0.25">
      <c r="P112" s="73" t="str">
        <f t="shared" si="47"/>
        <v/>
      </c>
      <c r="Q112" s="73" t="str">
        <f t="shared" si="48"/>
        <v/>
      </c>
      <c r="R112" s="74" t="str">
        <f t="shared" si="49"/>
        <v/>
      </c>
      <c r="S112" s="74" t="str">
        <f t="shared" si="50"/>
        <v/>
      </c>
      <c r="U112" s="74" t="str">
        <f t="shared" si="55"/>
        <v/>
      </c>
      <c r="V112" s="74" t="str">
        <f t="shared" si="55"/>
        <v/>
      </c>
      <c r="W112" s="74" t="str">
        <f t="shared" si="55"/>
        <v/>
      </c>
      <c r="X112" s="74" t="str">
        <f t="shared" si="55"/>
        <v/>
      </c>
      <c r="Y112" s="74" t="str">
        <f t="shared" si="55"/>
        <v/>
      </c>
      <c r="Z112" s="74" t="str">
        <f t="shared" si="51"/>
        <v/>
      </c>
      <c r="AA112" s="74">
        <f t="shared" si="52"/>
        <v>0</v>
      </c>
      <c r="AB112" s="74">
        <f t="shared" si="53"/>
        <v>0</v>
      </c>
      <c r="AC112" s="74" t="str">
        <f t="shared" si="35"/>
        <v/>
      </c>
      <c r="AE112" s="74" t="str">
        <f t="shared" si="45"/>
        <v/>
      </c>
      <c r="AF112" s="74" t="str">
        <f t="shared" si="46"/>
        <v/>
      </c>
      <c r="AG112" s="74" t="str">
        <f t="shared" si="36"/>
        <v/>
      </c>
      <c r="AH112" s="74">
        <f t="shared" si="37"/>
        <v>0</v>
      </c>
      <c r="AI112" s="74" t="str">
        <f>IF(AH112&lt;&gt;0,COUNTIF(AH$3:AH112,1),"")</f>
        <v/>
      </c>
      <c r="AJ112" s="74">
        <f t="shared" si="54"/>
        <v>0</v>
      </c>
      <c r="AK112" s="73" t="str">
        <f t="shared" si="38"/>
        <v/>
      </c>
      <c r="AL112" s="73" t="str">
        <f t="shared" si="39"/>
        <v/>
      </c>
      <c r="AM112" s="73" t="str">
        <f t="shared" si="40"/>
        <v/>
      </c>
      <c r="AN112" s="73" t="str">
        <f t="shared" si="41"/>
        <v/>
      </c>
      <c r="AP112" s="61" t="str">
        <f t="shared" si="42"/>
        <v/>
      </c>
      <c r="AQ112" s="61" t="str">
        <f t="shared" si="43"/>
        <v/>
      </c>
      <c r="AR112" s="61" t="str">
        <f t="shared" si="44"/>
        <v/>
      </c>
    </row>
    <row r="113" spans="16:44" x14ac:dyDescent="0.25">
      <c r="P113" s="73" t="str">
        <f t="shared" si="47"/>
        <v/>
      </c>
      <c r="Q113" s="73" t="str">
        <f t="shared" si="48"/>
        <v/>
      </c>
      <c r="R113" s="74" t="str">
        <f t="shared" si="49"/>
        <v/>
      </c>
      <c r="S113" s="74" t="str">
        <f t="shared" si="50"/>
        <v/>
      </c>
      <c r="U113" s="74" t="str">
        <f t="shared" si="55"/>
        <v/>
      </c>
      <c r="V113" s="74" t="str">
        <f t="shared" si="55"/>
        <v/>
      </c>
      <c r="W113" s="74" t="str">
        <f t="shared" si="55"/>
        <v/>
      </c>
      <c r="X113" s="74" t="str">
        <f t="shared" si="55"/>
        <v/>
      </c>
      <c r="Y113" s="74" t="str">
        <f t="shared" si="55"/>
        <v/>
      </c>
      <c r="Z113" s="74" t="str">
        <f t="shared" si="51"/>
        <v/>
      </c>
      <c r="AA113" s="74">
        <f t="shared" si="52"/>
        <v>0</v>
      </c>
      <c r="AB113" s="74">
        <f t="shared" si="53"/>
        <v>0</v>
      </c>
      <c r="AC113" s="74" t="str">
        <f t="shared" si="35"/>
        <v/>
      </c>
      <c r="AE113" s="74" t="str">
        <f t="shared" si="45"/>
        <v/>
      </c>
      <c r="AF113" s="74" t="str">
        <f t="shared" si="46"/>
        <v/>
      </c>
      <c r="AG113" s="74" t="str">
        <f t="shared" si="36"/>
        <v/>
      </c>
      <c r="AH113" s="74">
        <f t="shared" si="37"/>
        <v>0</v>
      </c>
      <c r="AI113" s="74" t="str">
        <f>IF(AH113&lt;&gt;0,COUNTIF(AH$3:AH113,1),"")</f>
        <v/>
      </c>
      <c r="AJ113" s="74">
        <f t="shared" si="54"/>
        <v>0</v>
      </c>
      <c r="AK113" s="73" t="str">
        <f t="shared" si="38"/>
        <v/>
      </c>
      <c r="AL113" s="73" t="str">
        <f t="shared" si="39"/>
        <v/>
      </c>
      <c r="AM113" s="73" t="str">
        <f t="shared" si="40"/>
        <v/>
      </c>
      <c r="AN113" s="73" t="str">
        <f t="shared" si="41"/>
        <v/>
      </c>
      <c r="AP113" s="61" t="str">
        <f t="shared" si="42"/>
        <v/>
      </c>
      <c r="AQ113" s="61" t="str">
        <f t="shared" si="43"/>
        <v/>
      </c>
      <c r="AR113" s="61" t="str">
        <f t="shared" si="44"/>
        <v/>
      </c>
    </row>
    <row r="114" spans="16:44" x14ac:dyDescent="0.25">
      <c r="P114" s="73" t="str">
        <f t="shared" si="47"/>
        <v/>
      </c>
      <c r="Q114" s="73" t="str">
        <f t="shared" si="48"/>
        <v/>
      </c>
      <c r="R114" s="74" t="str">
        <f t="shared" si="49"/>
        <v/>
      </c>
      <c r="S114" s="74" t="str">
        <f t="shared" si="50"/>
        <v/>
      </c>
      <c r="U114" s="74" t="str">
        <f t="shared" si="55"/>
        <v/>
      </c>
      <c r="V114" s="74" t="str">
        <f t="shared" si="55"/>
        <v/>
      </c>
      <c r="W114" s="74" t="str">
        <f t="shared" si="55"/>
        <v/>
      </c>
      <c r="X114" s="74" t="str">
        <f t="shared" si="55"/>
        <v/>
      </c>
      <c r="Y114" s="74" t="str">
        <f t="shared" si="55"/>
        <v/>
      </c>
      <c r="Z114" s="74" t="str">
        <f t="shared" si="51"/>
        <v/>
      </c>
      <c r="AA114" s="74">
        <f t="shared" si="52"/>
        <v>0</v>
      </c>
      <c r="AB114" s="74">
        <f t="shared" si="53"/>
        <v>0</v>
      </c>
      <c r="AC114" s="74" t="str">
        <f t="shared" si="35"/>
        <v/>
      </c>
      <c r="AE114" s="74" t="str">
        <f t="shared" si="45"/>
        <v/>
      </c>
      <c r="AF114" s="74" t="str">
        <f t="shared" si="46"/>
        <v/>
      </c>
      <c r="AG114" s="74" t="str">
        <f t="shared" si="36"/>
        <v/>
      </c>
      <c r="AH114" s="74">
        <f t="shared" si="37"/>
        <v>0</v>
      </c>
      <c r="AI114" s="74" t="str">
        <f>IF(AH114&lt;&gt;0,COUNTIF(AH$3:AH114,1),"")</f>
        <v/>
      </c>
      <c r="AJ114" s="74">
        <f t="shared" si="54"/>
        <v>0</v>
      </c>
      <c r="AK114" s="73" t="str">
        <f t="shared" si="38"/>
        <v/>
      </c>
      <c r="AL114" s="73" t="str">
        <f t="shared" si="39"/>
        <v/>
      </c>
      <c r="AM114" s="73" t="str">
        <f t="shared" si="40"/>
        <v/>
      </c>
      <c r="AN114" s="73" t="str">
        <f t="shared" si="41"/>
        <v/>
      </c>
      <c r="AP114" s="61" t="str">
        <f t="shared" si="42"/>
        <v/>
      </c>
      <c r="AQ114" s="61" t="str">
        <f t="shared" si="43"/>
        <v/>
      </c>
      <c r="AR114" s="61" t="str">
        <f t="shared" si="44"/>
        <v/>
      </c>
    </row>
    <row r="115" spans="16:44" x14ac:dyDescent="0.25">
      <c r="P115" s="73" t="str">
        <f t="shared" si="47"/>
        <v/>
      </c>
      <c r="Q115" s="73" t="str">
        <f t="shared" si="48"/>
        <v/>
      </c>
      <c r="R115" s="74" t="str">
        <f t="shared" si="49"/>
        <v/>
      </c>
      <c r="S115" s="74" t="str">
        <f t="shared" si="50"/>
        <v/>
      </c>
      <c r="U115" s="74" t="str">
        <f t="shared" si="55"/>
        <v/>
      </c>
      <c r="V115" s="74" t="str">
        <f t="shared" si="55"/>
        <v/>
      </c>
      <c r="W115" s="74" t="str">
        <f t="shared" si="55"/>
        <v/>
      </c>
      <c r="X115" s="74" t="str">
        <f t="shared" si="55"/>
        <v/>
      </c>
      <c r="Y115" s="74" t="str">
        <f t="shared" si="55"/>
        <v/>
      </c>
      <c r="Z115" s="74" t="str">
        <f t="shared" si="51"/>
        <v/>
      </c>
      <c r="AA115" s="74">
        <f t="shared" si="52"/>
        <v>0</v>
      </c>
      <c r="AB115" s="74">
        <f t="shared" si="53"/>
        <v>0</v>
      </c>
      <c r="AC115" s="74" t="str">
        <f t="shared" si="35"/>
        <v/>
      </c>
      <c r="AE115" s="74" t="str">
        <f t="shared" si="45"/>
        <v/>
      </c>
      <c r="AF115" s="74" t="str">
        <f t="shared" si="46"/>
        <v/>
      </c>
      <c r="AG115" s="74" t="str">
        <f t="shared" si="36"/>
        <v/>
      </c>
      <c r="AH115" s="74">
        <f t="shared" si="37"/>
        <v>0</v>
      </c>
      <c r="AI115" s="74" t="str">
        <f>IF(AH115&lt;&gt;0,COUNTIF(AH$3:AH115,1),"")</f>
        <v/>
      </c>
      <c r="AJ115" s="74">
        <f t="shared" si="54"/>
        <v>0</v>
      </c>
      <c r="AK115" s="73" t="str">
        <f t="shared" si="38"/>
        <v/>
      </c>
      <c r="AL115" s="73" t="str">
        <f t="shared" si="39"/>
        <v/>
      </c>
      <c r="AM115" s="73" t="str">
        <f t="shared" si="40"/>
        <v/>
      </c>
      <c r="AN115" s="73" t="str">
        <f t="shared" si="41"/>
        <v/>
      </c>
      <c r="AP115" s="61" t="str">
        <f t="shared" si="42"/>
        <v/>
      </c>
      <c r="AQ115" s="61" t="str">
        <f t="shared" si="43"/>
        <v/>
      </c>
      <c r="AR115" s="61" t="str">
        <f t="shared" si="44"/>
        <v/>
      </c>
    </row>
    <row r="116" spans="16:44" x14ac:dyDescent="0.25">
      <c r="P116" s="73" t="str">
        <f t="shared" si="47"/>
        <v/>
      </c>
      <c r="Q116" s="73" t="str">
        <f t="shared" si="48"/>
        <v/>
      </c>
      <c r="R116" s="74" t="str">
        <f t="shared" si="49"/>
        <v/>
      </c>
      <c r="S116" s="74" t="str">
        <f t="shared" si="50"/>
        <v/>
      </c>
      <c r="U116" s="74" t="str">
        <f t="shared" si="55"/>
        <v/>
      </c>
      <c r="V116" s="74" t="str">
        <f t="shared" si="55"/>
        <v/>
      </c>
      <c r="W116" s="74" t="str">
        <f t="shared" si="55"/>
        <v/>
      </c>
      <c r="X116" s="74" t="str">
        <f t="shared" si="55"/>
        <v/>
      </c>
      <c r="Y116" s="74" t="str">
        <f t="shared" si="55"/>
        <v/>
      </c>
      <c r="Z116" s="74" t="str">
        <f t="shared" si="51"/>
        <v/>
      </c>
      <c r="AA116" s="74">
        <f t="shared" si="52"/>
        <v>0</v>
      </c>
      <c r="AB116" s="74">
        <f t="shared" si="53"/>
        <v>0</v>
      </c>
      <c r="AC116" s="74" t="str">
        <f t="shared" si="35"/>
        <v/>
      </c>
      <c r="AE116" s="74" t="str">
        <f t="shared" si="45"/>
        <v/>
      </c>
      <c r="AF116" s="74" t="str">
        <f t="shared" si="46"/>
        <v/>
      </c>
      <c r="AG116" s="74" t="str">
        <f t="shared" si="36"/>
        <v/>
      </c>
      <c r="AH116" s="74">
        <f t="shared" si="37"/>
        <v>0</v>
      </c>
      <c r="AI116" s="74" t="str">
        <f>IF(AH116&lt;&gt;0,COUNTIF(AH$3:AH116,1),"")</f>
        <v/>
      </c>
      <c r="AJ116" s="74">
        <f t="shared" si="54"/>
        <v>0</v>
      </c>
      <c r="AK116" s="73" t="str">
        <f t="shared" si="38"/>
        <v/>
      </c>
      <c r="AL116" s="73" t="str">
        <f t="shared" si="39"/>
        <v/>
      </c>
      <c r="AM116" s="73" t="str">
        <f t="shared" si="40"/>
        <v/>
      </c>
      <c r="AN116" s="73" t="str">
        <f t="shared" si="41"/>
        <v/>
      </c>
      <c r="AP116" s="61" t="str">
        <f t="shared" si="42"/>
        <v/>
      </c>
      <c r="AQ116" s="61" t="str">
        <f t="shared" si="43"/>
        <v/>
      </c>
      <c r="AR116" s="61" t="str">
        <f t="shared" si="44"/>
        <v/>
      </c>
    </row>
    <row r="117" spans="16:44" x14ac:dyDescent="0.25">
      <c r="P117" s="73" t="str">
        <f t="shared" si="47"/>
        <v/>
      </c>
      <c r="Q117" s="73" t="str">
        <f t="shared" si="48"/>
        <v/>
      </c>
      <c r="R117" s="74" t="str">
        <f t="shared" si="49"/>
        <v/>
      </c>
      <c r="S117" s="74" t="str">
        <f t="shared" si="50"/>
        <v/>
      </c>
      <c r="U117" s="74" t="str">
        <f t="shared" si="55"/>
        <v/>
      </c>
      <c r="V117" s="74" t="str">
        <f t="shared" si="55"/>
        <v/>
      </c>
      <c r="W117" s="74" t="str">
        <f t="shared" si="55"/>
        <v/>
      </c>
      <c r="X117" s="74" t="str">
        <f t="shared" si="55"/>
        <v/>
      </c>
      <c r="Y117" s="74" t="str">
        <f t="shared" si="55"/>
        <v/>
      </c>
      <c r="Z117" s="74" t="str">
        <f t="shared" si="51"/>
        <v/>
      </c>
      <c r="AA117" s="74">
        <f t="shared" si="52"/>
        <v>0</v>
      </c>
      <c r="AB117" s="74">
        <f t="shared" si="53"/>
        <v>0</v>
      </c>
      <c r="AC117" s="74" t="str">
        <f t="shared" si="35"/>
        <v/>
      </c>
      <c r="AE117" s="74" t="str">
        <f t="shared" si="45"/>
        <v/>
      </c>
      <c r="AF117" s="74" t="str">
        <f t="shared" si="46"/>
        <v/>
      </c>
      <c r="AG117" s="74" t="str">
        <f t="shared" si="36"/>
        <v/>
      </c>
      <c r="AH117" s="74">
        <f t="shared" si="37"/>
        <v>0</v>
      </c>
      <c r="AI117" s="74" t="str">
        <f>IF(AH117&lt;&gt;0,COUNTIF(AH$3:AH117,1),"")</f>
        <v/>
      </c>
      <c r="AJ117" s="74">
        <f t="shared" si="54"/>
        <v>0</v>
      </c>
      <c r="AK117" s="73" t="str">
        <f t="shared" si="38"/>
        <v/>
      </c>
      <c r="AL117" s="73" t="str">
        <f t="shared" si="39"/>
        <v/>
      </c>
      <c r="AM117" s="73" t="str">
        <f t="shared" si="40"/>
        <v/>
      </c>
      <c r="AN117" s="73" t="str">
        <f t="shared" si="41"/>
        <v/>
      </c>
      <c r="AP117" s="61" t="str">
        <f t="shared" si="42"/>
        <v/>
      </c>
      <c r="AQ117" s="61" t="str">
        <f t="shared" si="43"/>
        <v/>
      </c>
      <c r="AR117" s="61" t="str">
        <f t="shared" si="44"/>
        <v/>
      </c>
    </row>
    <row r="118" spans="16:44" x14ac:dyDescent="0.25">
      <c r="P118" s="73" t="str">
        <f t="shared" si="47"/>
        <v/>
      </c>
      <c r="Q118" s="73" t="str">
        <f t="shared" si="48"/>
        <v/>
      </c>
      <c r="R118" s="74" t="str">
        <f t="shared" si="49"/>
        <v/>
      </c>
      <c r="S118" s="74" t="str">
        <f t="shared" si="50"/>
        <v/>
      </c>
      <c r="U118" s="74" t="str">
        <f t="shared" si="55"/>
        <v/>
      </c>
      <c r="V118" s="74" t="str">
        <f t="shared" si="55"/>
        <v/>
      </c>
      <c r="W118" s="74" t="str">
        <f t="shared" si="55"/>
        <v/>
      </c>
      <c r="X118" s="74" t="str">
        <f t="shared" si="55"/>
        <v/>
      </c>
      <c r="Y118" s="74" t="str">
        <f t="shared" si="55"/>
        <v/>
      </c>
      <c r="Z118" s="74" t="str">
        <f t="shared" si="51"/>
        <v/>
      </c>
      <c r="AA118" s="74">
        <f t="shared" si="52"/>
        <v>0</v>
      </c>
      <c r="AB118" s="74">
        <f t="shared" si="53"/>
        <v>0</v>
      </c>
      <c r="AC118" s="74" t="str">
        <f t="shared" si="35"/>
        <v/>
      </c>
      <c r="AE118" s="74" t="str">
        <f t="shared" si="45"/>
        <v/>
      </c>
      <c r="AF118" s="74" t="str">
        <f t="shared" si="46"/>
        <v/>
      </c>
      <c r="AG118" s="74" t="str">
        <f t="shared" si="36"/>
        <v/>
      </c>
      <c r="AH118" s="74">
        <f t="shared" si="37"/>
        <v>0</v>
      </c>
      <c r="AI118" s="74" t="str">
        <f>IF(AH118&lt;&gt;0,COUNTIF(AH$3:AH118,1),"")</f>
        <v/>
      </c>
      <c r="AJ118" s="74">
        <f t="shared" si="54"/>
        <v>0</v>
      </c>
      <c r="AK118" s="73" t="str">
        <f t="shared" si="38"/>
        <v/>
      </c>
      <c r="AL118" s="73" t="str">
        <f t="shared" si="39"/>
        <v/>
      </c>
      <c r="AM118" s="73" t="str">
        <f t="shared" si="40"/>
        <v/>
      </c>
      <c r="AN118" s="73" t="str">
        <f t="shared" si="41"/>
        <v/>
      </c>
      <c r="AP118" s="61" t="str">
        <f t="shared" si="42"/>
        <v/>
      </c>
      <c r="AQ118" s="61" t="str">
        <f t="shared" si="43"/>
        <v/>
      </c>
      <c r="AR118" s="61" t="str">
        <f t="shared" si="44"/>
        <v/>
      </c>
    </row>
    <row r="119" spans="16:44" x14ac:dyDescent="0.25">
      <c r="P119" s="73" t="str">
        <f t="shared" si="47"/>
        <v/>
      </c>
      <c r="Q119" s="73" t="str">
        <f t="shared" si="48"/>
        <v/>
      </c>
      <c r="R119" s="74" t="str">
        <f t="shared" si="49"/>
        <v/>
      </c>
      <c r="S119" s="74" t="str">
        <f t="shared" si="50"/>
        <v/>
      </c>
      <c r="U119" s="74" t="str">
        <f t="shared" si="55"/>
        <v/>
      </c>
      <c r="V119" s="74" t="str">
        <f t="shared" si="55"/>
        <v/>
      </c>
      <c r="W119" s="74" t="str">
        <f t="shared" si="55"/>
        <v/>
      </c>
      <c r="X119" s="74" t="str">
        <f t="shared" si="55"/>
        <v/>
      </c>
      <c r="Y119" s="74" t="str">
        <f t="shared" si="55"/>
        <v/>
      </c>
      <c r="Z119" s="74" t="str">
        <f t="shared" si="51"/>
        <v/>
      </c>
      <c r="AA119" s="74">
        <f t="shared" si="52"/>
        <v>0</v>
      </c>
      <c r="AB119" s="74">
        <f t="shared" si="53"/>
        <v>0</v>
      </c>
      <c r="AC119" s="74" t="str">
        <f t="shared" si="35"/>
        <v/>
      </c>
      <c r="AE119" s="74" t="str">
        <f t="shared" si="45"/>
        <v/>
      </c>
      <c r="AF119" s="74" t="str">
        <f t="shared" si="46"/>
        <v/>
      </c>
      <c r="AG119" s="74" t="str">
        <f t="shared" si="36"/>
        <v/>
      </c>
      <c r="AH119" s="74">
        <f t="shared" si="37"/>
        <v>0</v>
      </c>
      <c r="AI119" s="74" t="str">
        <f>IF(AH119&lt;&gt;0,COUNTIF(AH$3:AH119,1),"")</f>
        <v/>
      </c>
      <c r="AJ119" s="74">
        <f t="shared" si="54"/>
        <v>0</v>
      </c>
      <c r="AK119" s="73" t="str">
        <f t="shared" si="38"/>
        <v/>
      </c>
      <c r="AL119" s="73" t="str">
        <f t="shared" si="39"/>
        <v/>
      </c>
      <c r="AM119" s="73" t="str">
        <f t="shared" si="40"/>
        <v/>
      </c>
      <c r="AN119" s="73" t="str">
        <f t="shared" si="41"/>
        <v/>
      </c>
      <c r="AP119" s="61" t="str">
        <f t="shared" si="42"/>
        <v/>
      </c>
      <c r="AQ119" s="61" t="str">
        <f t="shared" si="43"/>
        <v/>
      </c>
      <c r="AR119" s="61" t="str">
        <f t="shared" si="44"/>
        <v/>
      </c>
    </row>
    <row r="120" spans="16:44" x14ac:dyDescent="0.25">
      <c r="P120" s="73" t="str">
        <f t="shared" si="47"/>
        <v/>
      </c>
      <c r="Q120" s="73" t="str">
        <f t="shared" si="48"/>
        <v/>
      </c>
      <c r="R120" s="74" t="str">
        <f t="shared" si="49"/>
        <v/>
      </c>
      <c r="S120" s="74" t="str">
        <f t="shared" si="50"/>
        <v/>
      </c>
      <c r="U120" s="74" t="str">
        <f t="shared" si="55"/>
        <v/>
      </c>
      <c r="V120" s="74" t="str">
        <f t="shared" si="55"/>
        <v/>
      </c>
      <c r="W120" s="74" t="str">
        <f t="shared" si="55"/>
        <v/>
      </c>
      <c r="X120" s="74" t="str">
        <f t="shared" si="55"/>
        <v/>
      </c>
      <c r="Y120" s="74" t="str">
        <f t="shared" si="55"/>
        <v/>
      </c>
      <c r="Z120" s="74" t="str">
        <f t="shared" si="51"/>
        <v/>
      </c>
      <c r="AA120" s="74">
        <f t="shared" si="52"/>
        <v>0</v>
      </c>
      <c r="AB120" s="74">
        <f t="shared" si="53"/>
        <v>0</v>
      </c>
      <c r="AC120" s="74" t="str">
        <f t="shared" si="35"/>
        <v/>
      </c>
      <c r="AE120" s="74" t="str">
        <f t="shared" si="45"/>
        <v/>
      </c>
      <c r="AF120" s="74" t="str">
        <f t="shared" si="46"/>
        <v/>
      </c>
      <c r="AG120" s="74" t="str">
        <f t="shared" si="36"/>
        <v/>
      </c>
      <c r="AH120" s="74">
        <f t="shared" si="37"/>
        <v>0</v>
      </c>
      <c r="AI120" s="74" t="str">
        <f>IF(AH120&lt;&gt;0,COUNTIF(AH$3:AH120,1),"")</f>
        <v/>
      </c>
      <c r="AJ120" s="74">
        <f t="shared" si="54"/>
        <v>0</v>
      </c>
      <c r="AK120" s="73" t="str">
        <f t="shared" si="38"/>
        <v/>
      </c>
      <c r="AL120" s="73" t="str">
        <f t="shared" si="39"/>
        <v/>
      </c>
      <c r="AM120" s="73" t="str">
        <f t="shared" si="40"/>
        <v/>
      </c>
      <c r="AN120" s="73" t="str">
        <f t="shared" si="41"/>
        <v/>
      </c>
      <c r="AP120" s="61" t="str">
        <f t="shared" si="42"/>
        <v/>
      </c>
      <c r="AQ120" s="61" t="str">
        <f t="shared" si="43"/>
        <v/>
      </c>
      <c r="AR120" s="61" t="str">
        <f t="shared" si="44"/>
        <v/>
      </c>
    </row>
    <row r="121" spans="16:44" x14ac:dyDescent="0.25">
      <c r="P121" s="73" t="str">
        <f t="shared" si="47"/>
        <v/>
      </c>
      <c r="Q121" s="73" t="str">
        <f t="shared" si="48"/>
        <v/>
      </c>
      <c r="R121" s="74" t="str">
        <f t="shared" si="49"/>
        <v/>
      </c>
      <c r="S121" s="74" t="str">
        <f t="shared" si="50"/>
        <v/>
      </c>
      <c r="U121" s="74" t="str">
        <f t="shared" si="55"/>
        <v/>
      </c>
      <c r="V121" s="74" t="str">
        <f t="shared" si="55"/>
        <v/>
      </c>
      <c r="W121" s="74" t="str">
        <f t="shared" si="55"/>
        <v/>
      </c>
      <c r="X121" s="74" t="str">
        <f t="shared" si="55"/>
        <v/>
      </c>
      <c r="Y121" s="74" t="str">
        <f t="shared" si="55"/>
        <v/>
      </c>
      <c r="Z121" s="74" t="str">
        <f t="shared" si="51"/>
        <v/>
      </c>
      <c r="AA121" s="74">
        <f t="shared" si="52"/>
        <v>0</v>
      </c>
      <c r="AB121" s="74">
        <f t="shared" si="53"/>
        <v>0</v>
      </c>
      <c r="AC121" s="74" t="str">
        <f t="shared" si="35"/>
        <v/>
      </c>
      <c r="AE121" s="74" t="str">
        <f t="shared" si="45"/>
        <v/>
      </c>
      <c r="AF121" s="74" t="str">
        <f t="shared" si="46"/>
        <v/>
      </c>
      <c r="AG121" s="74" t="str">
        <f t="shared" si="36"/>
        <v/>
      </c>
      <c r="AH121" s="74">
        <f t="shared" si="37"/>
        <v>0</v>
      </c>
      <c r="AI121" s="74" t="str">
        <f>IF(AH121&lt;&gt;0,COUNTIF(AH$3:AH121,1),"")</f>
        <v/>
      </c>
      <c r="AJ121" s="74">
        <f t="shared" si="54"/>
        <v>0</v>
      </c>
      <c r="AK121" s="73" t="str">
        <f t="shared" si="38"/>
        <v/>
      </c>
      <c r="AL121" s="73" t="str">
        <f t="shared" si="39"/>
        <v/>
      </c>
      <c r="AM121" s="73" t="str">
        <f t="shared" si="40"/>
        <v/>
      </c>
      <c r="AN121" s="73" t="str">
        <f t="shared" si="41"/>
        <v/>
      </c>
      <c r="AP121" s="61" t="str">
        <f t="shared" si="42"/>
        <v/>
      </c>
      <c r="AQ121" s="61" t="str">
        <f t="shared" si="43"/>
        <v/>
      </c>
      <c r="AR121" s="61" t="str">
        <f t="shared" si="44"/>
        <v/>
      </c>
    </row>
    <row r="122" spans="16:44" x14ac:dyDescent="0.25">
      <c r="P122" s="73" t="str">
        <f t="shared" si="47"/>
        <v/>
      </c>
      <c r="Q122" s="73" t="str">
        <f t="shared" si="48"/>
        <v/>
      </c>
      <c r="R122" s="74" t="str">
        <f t="shared" si="49"/>
        <v/>
      </c>
      <c r="S122" s="74" t="str">
        <f t="shared" si="50"/>
        <v/>
      </c>
      <c r="U122" s="74" t="str">
        <f t="shared" si="55"/>
        <v/>
      </c>
      <c r="V122" s="74" t="str">
        <f t="shared" si="55"/>
        <v/>
      </c>
      <c r="W122" s="74" t="str">
        <f t="shared" si="55"/>
        <v/>
      </c>
      <c r="X122" s="74" t="str">
        <f t="shared" si="55"/>
        <v/>
      </c>
      <c r="Y122" s="74" t="str">
        <f t="shared" si="55"/>
        <v/>
      </c>
      <c r="Z122" s="74" t="str">
        <f t="shared" si="51"/>
        <v/>
      </c>
      <c r="AA122" s="74">
        <f t="shared" si="52"/>
        <v>0</v>
      </c>
      <c r="AB122" s="74">
        <f t="shared" si="53"/>
        <v>0</v>
      </c>
      <c r="AC122" s="74" t="str">
        <f t="shared" si="35"/>
        <v/>
      </c>
      <c r="AE122" s="74" t="str">
        <f t="shared" si="45"/>
        <v/>
      </c>
      <c r="AF122" s="74" t="str">
        <f t="shared" si="46"/>
        <v/>
      </c>
      <c r="AG122" s="74" t="str">
        <f t="shared" si="36"/>
        <v/>
      </c>
      <c r="AH122" s="74">
        <f t="shared" si="37"/>
        <v>0</v>
      </c>
      <c r="AI122" s="74" t="str">
        <f>IF(AH122&lt;&gt;0,COUNTIF(AH$3:AH122,1),"")</f>
        <v/>
      </c>
      <c r="AJ122" s="74">
        <f t="shared" si="54"/>
        <v>0</v>
      </c>
      <c r="AK122" s="73" t="str">
        <f t="shared" si="38"/>
        <v/>
      </c>
      <c r="AL122" s="73" t="str">
        <f t="shared" si="39"/>
        <v/>
      </c>
      <c r="AM122" s="73" t="str">
        <f t="shared" si="40"/>
        <v/>
      </c>
      <c r="AN122" s="73" t="str">
        <f t="shared" si="41"/>
        <v/>
      </c>
      <c r="AP122" s="61" t="str">
        <f t="shared" si="42"/>
        <v/>
      </c>
      <c r="AQ122" s="61" t="str">
        <f t="shared" si="43"/>
        <v/>
      </c>
      <c r="AR122" s="61" t="str">
        <f t="shared" si="44"/>
        <v/>
      </c>
    </row>
    <row r="123" spans="16:44" x14ac:dyDescent="0.25">
      <c r="P123" s="73" t="str">
        <f t="shared" si="47"/>
        <v/>
      </c>
      <c r="Q123" s="73" t="str">
        <f t="shared" si="48"/>
        <v/>
      </c>
      <c r="R123" s="74" t="str">
        <f t="shared" si="49"/>
        <v/>
      </c>
      <c r="S123" s="74" t="str">
        <f t="shared" si="50"/>
        <v/>
      </c>
      <c r="U123" s="74" t="str">
        <f t="shared" si="55"/>
        <v/>
      </c>
      <c r="V123" s="74" t="str">
        <f t="shared" si="55"/>
        <v/>
      </c>
      <c r="W123" s="74" t="str">
        <f t="shared" si="55"/>
        <v/>
      </c>
      <c r="X123" s="74" t="str">
        <f t="shared" si="55"/>
        <v/>
      </c>
      <c r="Y123" s="74" t="str">
        <f t="shared" si="55"/>
        <v/>
      </c>
      <c r="Z123" s="74" t="str">
        <f t="shared" si="51"/>
        <v/>
      </c>
      <c r="AA123" s="74">
        <f t="shared" si="52"/>
        <v>0</v>
      </c>
      <c r="AB123" s="74">
        <f t="shared" si="53"/>
        <v>0</v>
      </c>
      <c r="AC123" s="74" t="str">
        <f t="shared" si="35"/>
        <v/>
      </c>
      <c r="AE123" s="74" t="str">
        <f t="shared" si="45"/>
        <v/>
      </c>
      <c r="AF123" s="74" t="str">
        <f t="shared" si="46"/>
        <v/>
      </c>
      <c r="AG123" s="74" t="str">
        <f t="shared" si="36"/>
        <v/>
      </c>
      <c r="AH123" s="74">
        <f t="shared" si="37"/>
        <v>0</v>
      </c>
      <c r="AI123" s="74" t="str">
        <f>IF(AH123&lt;&gt;0,COUNTIF(AH$3:AH123,1),"")</f>
        <v/>
      </c>
      <c r="AJ123" s="74">
        <f t="shared" si="54"/>
        <v>0</v>
      </c>
      <c r="AK123" s="73" t="str">
        <f t="shared" si="38"/>
        <v/>
      </c>
      <c r="AL123" s="73" t="str">
        <f t="shared" si="39"/>
        <v/>
      </c>
      <c r="AM123" s="73" t="str">
        <f t="shared" si="40"/>
        <v/>
      </c>
      <c r="AN123" s="73" t="str">
        <f t="shared" si="41"/>
        <v/>
      </c>
      <c r="AP123" s="61" t="str">
        <f t="shared" si="42"/>
        <v/>
      </c>
      <c r="AQ123" s="61" t="str">
        <f t="shared" si="43"/>
        <v/>
      </c>
      <c r="AR123" s="61" t="str">
        <f t="shared" si="44"/>
        <v/>
      </c>
    </row>
    <row r="124" spans="16:44" x14ac:dyDescent="0.25">
      <c r="P124" s="73" t="str">
        <f t="shared" si="47"/>
        <v/>
      </c>
      <c r="Q124" s="73" t="str">
        <f t="shared" si="48"/>
        <v/>
      </c>
      <c r="R124" s="74" t="str">
        <f t="shared" si="49"/>
        <v/>
      </c>
      <c r="S124" s="74" t="str">
        <f t="shared" si="50"/>
        <v/>
      </c>
      <c r="U124" s="74" t="str">
        <f t="shared" si="55"/>
        <v/>
      </c>
      <c r="V124" s="74" t="str">
        <f t="shared" si="55"/>
        <v/>
      </c>
      <c r="W124" s="74" t="str">
        <f t="shared" si="55"/>
        <v/>
      </c>
      <c r="X124" s="74" t="str">
        <f t="shared" si="55"/>
        <v/>
      </c>
      <c r="Y124" s="74" t="str">
        <f t="shared" si="55"/>
        <v/>
      </c>
      <c r="Z124" s="74" t="str">
        <f t="shared" si="51"/>
        <v/>
      </c>
      <c r="AA124" s="74">
        <f t="shared" si="52"/>
        <v>0</v>
      </c>
      <c r="AB124" s="74">
        <f t="shared" si="53"/>
        <v>0</v>
      </c>
      <c r="AC124" s="74" t="str">
        <f t="shared" si="35"/>
        <v/>
      </c>
      <c r="AE124" s="74" t="str">
        <f t="shared" si="45"/>
        <v/>
      </c>
      <c r="AF124" s="74" t="str">
        <f t="shared" si="46"/>
        <v/>
      </c>
      <c r="AG124" s="74" t="str">
        <f t="shared" si="36"/>
        <v/>
      </c>
      <c r="AH124" s="74">
        <f t="shared" si="37"/>
        <v>0</v>
      </c>
      <c r="AI124" s="74" t="str">
        <f>IF(AH124&lt;&gt;0,COUNTIF(AH$3:AH124,1),"")</f>
        <v/>
      </c>
      <c r="AJ124" s="74">
        <f t="shared" si="54"/>
        <v>0</v>
      </c>
      <c r="AK124" s="73" t="str">
        <f t="shared" si="38"/>
        <v/>
      </c>
      <c r="AL124" s="73" t="str">
        <f t="shared" si="39"/>
        <v/>
      </c>
      <c r="AM124" s="73" t="str">
        <f t="shared" si="40"/>
        <v/>
      </c>
      <c r="AN124" s="73" t="str">
        <f t="shared" si="41"/>
        <v/>
      </c>
      <c r="AP124" s="61" t="str">
        <f t="shared" si="42"/>
        <v/>
      </c>
      <c r="AQ124" s="61" t="str">
        <f t="shared" si="43"/>
        <v/>
      </c>
      <c r="AR124" s="61" t="str">
        <f t="shared" si="44"/>
        <v/>
      </c>
    </row>
    <row r="125" spans="16:44" x14ac:dyDescent="0.25">
      <c r="P125" s="73" t="str">
        <f t="shared" si="47"/>
        <v/>
      </c>
      <c r="Q125" s="73" t="str">
        <f t="shared" si="48"/>
        <v/>
      </c>
      <c r="R125" s="74" t="str">
        <f t="shared" si="49"/>
        <v/>
      </c>
      <c r="S125" s="74" t="str">
        <f t="shared" si="50"/>
        <v/>
      </c>
      <c r="U125" s="74" t="str">
        <f t="shared" si="55"/>
        <v/>
      </c>
      <c r="V125" s="74" t="str">
        <f t="shared" si="55"/>
        <v/>
      </c>
      <c r="W125" s="74" t="str">
        <f t="shared" si="55"/>
        <v/>
      </c>
      <c r="X125" s="74" t="str">
        <f t="shared" si="55"/>
        <v/>
      </c>
      <c r="Y125" s="74" t="str">
        <f t="shared" si="55"/>
        <v/>
      </c>
      <c r="Z125" s="74" t="str">
        <f t="shared" si="51"/>
        <v/>
      </c>
      <c r="AA125" s="74">
        <f t="shared" si="52"/>
        <v>0</v>
      </c>
      <c r="AB125" s="74">
        <f t="shared" si="53"/>
        <v>0</v>
      </c>
      <c r="AC125" s="74" t="str">
        <f t="shared" si="35"/>
        <v/>
      </c>
      <c r="AE125" s="74" t="str">
        <f t="shared" si="45"/>
        <v/>
      </c>
      <c r="AF125" s="74" t="str">
        <f t="shared" si="46"/>
        <v/>
      </c>
      <c r="AG125" s="74" t="str">
        <f t="shared" si="36"/>
        <v/>
      </c>
      <c r="AH125" s="74">
        <f t="shared" si="37"/>
        <v>0</v>
      </c>
      <c r="AI125" s="74" t="str">
        <f>IF(AH125&lt;&gt;0,COUNTIF(AH$3:AH125,1),"")</f>
        <v/>
      </c>
      <c r="AJ125" s="74">
        <f t="shared" si="54"/>
        <v>0</v>
      </c>
      <c r="AK125" s="73" t="str">
        <f t="shared" si="38"/>
        <v/>
      </c>
      <c r="AL125" s="73" t="str">
        <f t="shared" si="39"/>
        <v/>
      </c>
      <c r="AM125" s="73" t="str">
        <f t="shared" si="40"/>
        <v/>
      </c>
      <c r="AN125" s="73" t="str">
        <f t="shared" si="41"/>
        <v/>
      </c>
      <c r="AP125" s="61" t="str">
        <f t="shared" si="42"/>
        <v/>
      </c>
      <c r="AQ125" s="61" t="str">
        <f t="shared" si="43"/>
        <v/>
      </c>
      <c r="AR125" s="61" t="str">
        <f t="shared" si="44"/>
        <v/>
      </c>
    </row>
    <row r="126" spans="16:44" x14ac:dyDescent="0.25">
      <c r="P126" s="73" t="str">
        <f t="shared" si="47"/>
        <v/>
      </c>
      <c r="Q126" s="73" t="str">
        <f t="shared" si="48"/>
        <v/>
      </c>
      <c r="R126" s="74" t="str">
        <f t="shared" si="49"/>
        <v/>
      </c>
      <c r="S126" s="74" t="str">
        <f t="shared" si="50"/>
        <v/>
      </c>
      <c r="U126" s="74" t="str">
        <f t="shared" si="55"/>
        <v/>
      </c>
      <c r="V126" s="74" t="str">
        <f t="shared" si="55"/>
        <v/>
      </c>
      <c r="W126" s="74" t="str">
        <f t="shared" si="55"/>
        <v/>
      </c>
      <c r="X126" s="74" t="str">
        <f t="shared" si="55"/>
        <v/>
      </c>
      <c r="Y126" s="74" t="str">
        <f t="shared" si="55"/>
        <v/>
      </c>
      <c r="Z126" s="74" t="str">
        <f t="shared" si="51"/>
        <v/>
      </c>
      <c r="AA126" s="74">
        <f t="shared" si="52"/>
        <v>0</v>
      </c>
      <c r="AB126" s="74">
        <f t="shared" si="53"/>
        <v>0</v>
      </c>
      <c r="AC126" s="74" t="str">
        <f t="shared" si="35"/>
        <v/>
      </c>
      <c r="AE126" s="74" t="str">
        <f t="shared" si="45"/>
        <v/>
      </c>
      <c r="AF126" s="74" t="str">
        <f t="shared" si="46"/>
        <v/>
      </c>
      <c r="AG126" s="74" t="str">
        <f t="shared" si="36"/>
        <v/>
      </c>
      <c r="AH126" s="74">
        <f t="shared" si="37"/>
        <v>0</v>
      </c>
      <c r="AI126" s="74" t="str">
        <f>IF(AH126&lt;&gt;0,COUNTIF(AH$3:AH126,1),"")</f>
        <v/>
      </c>
      <c r="AJ126" s="74">
        <f t="shared" si="54"/>
        <v>0</v>
      </c>
      <c r="AK126" s="73" t="str">
        <f t="shared" si="38"/>
        <v/>
      </c>
      <c r="AL126" s="73" t="str">
        <f t="shared" si="39"/>
        <v/>
      </c>
      <c r="AM126" s="73" t="str">
        <f t="shared" si="40"/>
        <v/>
      </c>
      <c r="AN126" s="73" t="str">
        <f t="shared" si="41"/>
        <v/>
      </c>
      <c r="AP126" s="61" t="str">
        <f t="shared" si="42"/>
        <v/>
      </c>
      <c r="AQ126" s="61" t="str">
        <f t="shared" si="43"/>
        <v/>
      </c>
      <c r="AR126" s="61" t="str">
        <f t="shared" si="44"/>
        <v/>
      </c>
    </row>
    <row r="127" spans="16:44" x14ac:dyDescent="0.25">
      <c r="P127" s="73" t="str">
        <f t="shared" si="47"/>
        <v/>
      </c>
      <c r="Q127" s="73" t="str">
        <f t="shared" si="48"/>
        <v/>
      </c>
      <c r="R127" s="74" t="str">
        <f t="shared" si="49"/>
        <v/>
      </c>
      <c r="S127" s="74" t="str">
        <f t="shared" si="50"/>
        <v/>
      </c>
      <c r="U127" s="74" t="str">
        <f t="shared" si="55"/>
        <v/>
      </c>
      <c r="V127" s="74" t="str">
        <f t="shared" si="55"/>
        <v/>
      </c>
      <c r="W127" s="74" t="str">
        <f t="shared" si="55"/>
        <v/>
      </c>
      <c r="X127" s="74" t="str">
        <f t="shared" si="55"/>
        <v/>
      </c>
      <c r="Y127" s="74" t="str">
        <f t="shared" si="55"/>
        <v/>
      </c>
      <c r="Z127" s="74" t="str">
        <f t="shared" si="51"/>
        <v/>
      </c>
      <c r="AA127" s="74">
        <f t="shared" si="52"/>
        <v>0</v>
      </c>
      <c r="AB127" s="74">
        <f t="shared" si="53"/>
        <v>0</v>
      </c>
      <c r="AC127" s="74" t="str">
        <f t="shared" si="35"/>
        <v/>
      </c>
      <c r="AE127" s="74" t="str">
        <f t="shared" si="45"/>
        <v/>
      </c>
      <c r="AF127" s="74" t="str">
        <f t="shared" si="46"/>
        <v/>
      </c>
      <c r="AG127" s="74" t="str">
        <f t="shared" si="36"/>
        <v/>
      </c>
      <c r="AH127" s="74">
        <f t="shared" si="37"/>
        <v>0</v>
      </c>
      <c r="AI127" s="74" t="str">
        <f>IF(AH127&lt;&gt;0,COUNTIF(AH$3:AH127,1),"")</f>
        <v/>
      </c>
      <c r="AJ127" s="74">
        <f t="shared" si="54"/>
        <v>0</v>
      </c>
      <c r="AK127" s="73" t="str">
        <f t="shared" si="38"/>
        <v/>
      </c>
      <c r="AL127" s="73" t="str">
        <f t="shared" si="39"/>
        <v/>
      </c>
      <c r="AM127" s="73" t="str">
        <f t="shared" si="40"/>
        <v/>
      </c>
      <c r="AN127" s="73" t="str">
        <f t="shared" si="41"/>
        <v/>
      </c>
      <c r="AP127" s="61" t="str">
        <f t="shared" si="42"/>
        <v/>
      </c>
      <c r="AQ127" s="61" t="str">
        <f t="shared" si="43"/>
        <v/>
      </c>
      <c r="AR127" s="61" t="str">
        <f t="shared" si="44"/>
        <v/>
      </c>
    </row>
    <row r="128" spans="16:44" x14ac:dyDescent="0.25">
      <c r="P128" s="73" t="str">
        <f t="shared" si="47"/>
        <v/>
      </c>
      <c r="Q128" s="73" t="str">
        <f t="shared" si="48"/>
        <v/>
      </c>
      <c r="R128" s="74" t="str">
        <f t="shared" si="49"/>
        <v/>
      </c>
      <c r="S128" s="74" t="str">
        <f t="shared" si="50"/>
        <v/>
      </c>
      <c r="U128" s="74" t="str">
        <f t="shared" si="55"/>
        <v/>
      </c>
      <c r="V128" s="74" t="str">
        <f t="shared" si="55"/>
        <v/>
      </c>
      <c r="W128" s="74" t="str">
        <f t="shared" si="55"/>
        <v/>
      </c>
      <c r="X128" s="74" t="str">
        <f t="shared" si="55"/>
        <v/>
      </c>
      <c r="Y128" s="74" t="str">
        <f t="shared" si="55"/>
        <v/>
      </c>
      <c r="Z128" s="74" t="str">
        <f t="shared" si="51"/>
        <v/>
      </c>
      <c r="AA128" s="74">
        <f t="shared" si="52"/>
        <v>0</v>
      </c>
      <c r="AB128" s="74">
        <f t="shared" si="53"/>
        <v>0</v>
      </c>
      <c r="AC128" s="74" t="str">
        <f t="shared" si="35"/>
        <v/>
      </c>
      <c r="AE128" s="74" t="str">
        <f t="shared" si="45"/>
        <v/>
      </c>
      <c r="AF128" s="74" t="str">
        <f t="shared" si="46"/>
        <v/>
      </c>
      <c r="AG128" s="74" t="str">
        <f t="shared" si="36"/>
        <v/>
      </c>
      <c r="AH128" s="74">
        <f t="shared" si="37"/>
        <v>0</v>
      </c>
      <c r="AI128" s="74" t="str">
        <f>IF(AH128&lt;&gt;0,COUNTIF(AH$3:AH128,1),"")</f>
        <v/>
      </c>
      <c r="AJ128" s="74">
        <f t="shared" si="54"/>
        <v>0</v>
      </c>
      <c r="AK128" s="73" t="str">
        <f t="shared" si="38"/>
        <v/>
      </c>
      <c r="AL128" s="73" t="str">
        <f t="shared" si="39"/>
        <v/>
      </c>
      <c r="AM128" s="73" t="str">
        <f t="shared" si="40"/>
        <v/>
      </c>
      <c r="AN128" s="73" t="str">
        <f t="shared" si="41"/>
        <v/>
      </c>
      <c r="AP128" s="61" t="str">
        <f t="shared" si="42"/>
        <v/>
      </c>
      <c r="AQ128" s="61" t="str">
        <f t="shared" si="43"/>
        <v/>
      </c>
      <c r="AR128" s="61" t="str">
        <f t="shared" si="44"/>
        <v/>
      </c>
    </row>
    <row r="129" spans="16:44" x14ac:dyDescent="0.25">
      <c r="P129" s="73" t="str">
        <f t="shared" si="47"/>
        <v/>
      </c>
      <c r="Q129" s="73" t="str">
        <f t="shared" si="48"/>
        <v/>
      </c>
      <c r="R129" s="74" t="str">
        <f t="shared" si="49"/>
        <v/>
      </c>
      <c r="S129" s="74" t="str">
        <f t="shared" si="50"/>
        <v/>
      </c>
      <c r="U129" s="74" t="str">
        <f t="shared" si="55"/>
        <v/>
      </c>
      <c r="V129" s="74" t="str">
        <f t="shared" si="55"/>
        <v/>
      </c>
      <c r="W129" s="74" t="str">
        <f t="shared" si="55"/>
        <v/>
      </c>
      <c r="X129" s="74" t="str">
        <f t="shared" si="55"/>
        <v/>
      </c>
      <c r="Y129" s="74" t="str">
        <f t="shared" si="55"/>
        <v/>
      </c>
      <c r="Z129" s="74" t="str">
        <f t="shared" si="51"/>
        <v/>
      </c>
      <c r="AA129" s="74">
        <f t="shared" si="52"/>
        <v>0</v>
      </c>
      <c r="AB129" s="74">
        <f t="shared" si="53"/>
        <v>0</v>
      </c>
      <c r="AC129" s="74" t="str">
        <f t="shared" si="35"/>
        <v/>
      </c>
      <c r="AE129" s="74" t="str">
        <f t="shared" si="45"/>
        <v/>
      </c>
      <c r="AF129" s="74" t="str">
        <f t="shared" si="46"/>
        <v/>
      </c>
      <c r="AG129" s="74" t="str">
        <f t="shared" si="36"/>
        <v/>
      </c>
      <c r="AH129" s="74">
        <f t="shared" si="37"/>
        <v>0</v>
      </c>
      <c r="AI129" s="74" t="str">
        <f>IF(AH129&lt;&gt;0,COUNTIF(AH$3:AH129,1),"")</f>
        <v/>
      </c>
      <c r="AJ129" s="74">
        <f t="shared" si="54"/>
        <v>0</v>
      </c>
      <c r="AK129" s="73" t="str">
        <f t="shared" si="38"/>
        <v/>
      </c>
      <c r="AL129" s="73" t="str">
        <f t="shared" si="39"/>
        <v/>
      </c>
      <c r="AM129" s="73" t="str">
        <f t="shared" si="40"/>
        <v/>
      </c>
      <c r="AN129" s="73" t="str">
        <f t="shared" si="41"/>
        <v/>
      </c>
      <c r="AP129" s="61" t="str">
        <f t="shared" si="42"/>
        <v/>
      </c>
      <c r="AQ129" s="61" t="str">
        <f t="shared" si="43"/>
        <v/>
      </c>
      <c r="AR129" s="61" t="str">
        <f t="shared" si="44"/>
        <v/>
      </c>
    </row>
    <row r="130" spans="16:44" x14ac:dyDescent="0.25">
      <c r="P130" s="73" t="str">
        <f t="shared" si="47"/>
        <v/>
      </c>
      <c r="Q130" s="73" t="str">
        <f t="shared" si="48"/>
        <v/>
      </c>
      <c r="R130" s="74" t="str">
        <f t="shared" si="49"/>
        <v/>
      </c>
      <c r="S130" s="74" t="str">
        <f t="shared" si="50"/>
        <v/>
      </c>
      <c r="U130" s="74" t="str">
        <f t="shared" si="55"/>
        <v/>
      </c>
      <c r="V130" s="74" t="str">
        <f t="shared" si="55"/>
        <v/>
      </c>
      <c r="W130" s="74" t="str">
        <f t="shared" si="55"/>
        <v/>
      </c>
      <c r="X130" s="74" t="str">
        <f t="shared" si="55"/>
        <v/>
      </c>
      <c r="Y130" s="74" t="str">
        <f t="shared" si="55"/>
        <v/>
      </c>
      <c r="Z130" s="74" t="str">
        <f t="shared" si="51"/>
        <v/>
      </c>
      <c r="AA130" s="74">
        <f t="shared" si="52"/>
        <v>0</v>
      </c>
      <c r="AB130" s="74">
        <f t="shared" si="53"/>
        <v>0</v>
      </c>
      <c r="AC130" s="74" t="str">
        <f t="shared" si="35"/>
        <v/>
      </c>
      <c r="AE130" s="74" t="str">
        <f t="shared" si="45"/>
        <v/>
      </c>
      <c r="AF130" s="74" t="str">
        <f t="shared" si="46"/>
        <v/>
      </c>
      <c r="AG130" s="74" t="str">
        <f t="shared" si="36"/>
        <v/>
      </c>
      <c r="AH130" s="74">
        <f t="shared" si="37"/>
        <v>0</v>
      </c>
      <c r="AI130" s="74" t="str">
        <f>IF(AH130&lt;&gt;0,COUNTIF(AH$3:AH130,1),"")</f>
        <v/>
      </c>
      <c r="AJ130" s="74">
        <f t="shared" si="54"/>
        <v>0</v>
      </c>
      <c r="AK130" s="73" t="str">
        <f t="shared" si="38"/>
        <v/>
      </c>
      <c r="AL130" s="73" t="str">
        <f t="shared" si="39"/>
        <v/>
      </c>
      <c r="AM130" s="73" t="str">
        <f t="shared" si="40"/>
        <v/>
      </c>
      <c r="AN130" s="73" t="str">
        <f t="shared" si="41"/>
        <v/>
      </c>
      <c r="AP130" s="61" t="str">
        <f t="shared" si="42"/>
        <v/>
      </c>
      <c r="AQ130" s="61" t="str">
        <f t="shared" si="43"/>
        <v/>
      </c>
      <c r="AR130" s="61" t="str">
        <f t="shared" si="44"/>
        <v/>
      </c>
    </row>
    <row r="131" spans="16:44" x14ac:dyDescent="0.25">
      <c r="P131" s="73" t="str">
        <f t="shared" si="47"/>
        <v/>
      </c>
      <c r="Q131" s="73" t="str">
        <f t="shared" si="48"/>
        <v/>
      </c>
      <c r="R131" s="74" t="str">
        <f t="shared" si="49"/>
        <v/>
      </c>
      <c r="S131" s="74" t="str">
        <f t="shared" si="50"/>
        <v/>
      </c>
      <c r="U131" s="74" t="str">
        <f t="shared" si="55"/>
        <v/>
      </c>
      <c r="V131" s="74" t="str">
        <f t="shared" si="55"/>
        <v/>
      </c>
      <c r="W131" s="74" t="str">
        <f t="shared" si="55"/>
        <v/>
      </c>
      <c r="X131" s="74" t="str">
        <f t="shared" si="55"/>
        <v/>
      </c>
      <c r="Y131" s="74" t="str">
        <f t="shared" si="55"/>
        <v/>
      </c>
      <c r="Z131" s="74" t="str">
        <f t="shared" si="51"/>
        <v/>
      </c>
      <c r="AA131" s="74">
        <f t="shared" si="52"/>
        <v>0</v>
      </c>
      <c r="AB131" s="74">
        <f t="shared" si="53"/>
        <v>0</v>
      </c>
      <c r="AC131" s="74" t="str">
        <f t="shared" si="35"/>
        <v/>
      </c>
      <c r="AE131" s="74" t="str">
        <f t="shared" si="45"/>
        <v/>
      </c>
      <c r="AF131" s="74" t="str">
        <f t="shared" si="46"/>
        <v/>
      </c>
      <c r="AG131" s="74" t="str">
        <f t="shared" si="36"/>
        <v/>
      </c>
      <c r="AH131" s="74">
        <f t="shared" si="37"/>
        <v>0</v>
      </c>
      <c r="AI131" s="74" t="str">
        <f>IF(AH131&lt;&gt;0,COUNTIF(AH$3:AH131,1),"")</f>
        <v/>
      </c>
      <c r="AJ131" s="74">
        <f t="shared" si="54"/>
        <v>0</v>
      </c>
      <c r="AK131" s="73" t="str">
        <f t="shared" si="38"/>
        <v/>
      </c>
      <c r="AL131" s="73" t="str">
        <f t="shared" si="39"/>
        <v/>
      </c>
      <c r="AM131" s="73" t="str">
        <f t="shared" si="40"/>
        <v/>
      </c>
      <c r="AN131" s="73" t="str">
        <f t="shared" si="41"/>
        <v/>
      </c>
      <c r="AP131" s="61" t="str">
        <f t="shared" si="42"/>
        <v/>
      </c>
      <c r="AQ131" s="61" t="str">
        <f t="shared" si="43"/>
        <v/>
      </c>
      <c r="AR131" s="61" t="str">
        <f t="shared" si="44"/>
        <v/>
      </c>
    </row>
    <row r="132" spans="16:44" x14ac:dyDescent="0.25">
      <c r="P132" s="73" t="str">
        <f t="shared" si="47"/>
        <v/>
      </c>
      <c r="Q132" s="73" t="str">
        <f t="shared" si="48"/>
        <v/>
      </c>
      <c r="R132" s="74" t="str">
        <f t="shared" si="49"/>
        <v/>
      </c>
      <c r="S132" s="74" t="str">
        <f t="shared" si="50"/>
        <v/>
      </c>
      <c r="U132" s="74" t="str">
        <f t="shared" si="55"/>
        <v/>
      </c>
      <c r="V132" s="74" t="str">
        <f t="shared" si="55"/>
        <v/>
      </c>
      <c r="W132" s="74" t="str">
        <f t="shared" si="55"/>
        <v/>
      </c>
      <c r="X132" s="74" t="str">
        <f t="shared" si="55"/>
        <v/>
      </c>
      <c r="Y132" s="74" t="str">
        <f t="shared" si="55"/>
        <v/>
      </c>
      <c r="Z132" s="74" t="str">
        <f t="shared" si="51"/>
        <v/>
      </c>
      <c r="AA132" s="74">
        <f t="shared" si="52"/>
        <v>0</v>
      </c>
      <c r="AB132" s="74">
        <f t="shared" si="53"/>
        <v>0</v>
      </c>
      <c r="AC132" s="74" t="str">
        <f t="shared" ref="AC132:AC189" si="56">IF(A132&lt;&gt;"",IF(G132,0,1),"")</f>
        <v/>
      </c>
      <c r="AE132" s="74" t="str">
        <f t="shared" si="45"/>
        <v/>
      </c>
      <c r="AF132" s="74" t="str">
        <f t="shared" si="46"/>
        <v/>
      </c>
      <c r="AG132" s="74" t="str">
        <f t="shared" ref="AG132:AG189" si="57">IF(R132&lt;&gt;"",IF(AND(_xlfn.NUMBERVALUE(R132)&gt;262,_xlfn.NUMBERVALUE(R132)&lt;307),TRUE,FALSE),"")</f>
        <v/>
      </c>
      <c r="AH132" s="74">
        <f t="shared" ref="AH132:AH189" si="58">IF(OR(AE132=FALSE,AF132=FALSE,AG132=FALSE),1,0)</f>
        <v>0</v>
      </c>
      <c r="AI132" s="74" t="str">
        <f>IF(AH132&lt;&gt;0,COUNTIF(AH$3:AH132,1),"")</f>
        <v/>
      </c>
      <c r="AJ132" s="74">
        <f t="shared" si="54"/>
        <v>0</v>
      </c>
      <c r="AK132" s="73" t="str">
        <f t="shared" ref="AK132:AK189" si="59">P132</f>
        <v/>
      </c>
      <c r="AL132" s="73" t="str">
        <f t="shared" ref="AL132:AL189" si="60">Q132</f>
        <v/>
      </c>
      <c r="AM132" s="73" t="str">
        <f t="shared" ref="AM132:AM189" si="61">R132</f>
        <v/>
      </c>
      <c r="AN132" s="73" t="str">
        <f t="shared" ref="AN132:AN189" si="62">S132</f>
        <v/>
      </c>
      <c r="AP132" s="61" t="str">
        <f t="shared" ref="AP132:AP195" si="63">IF(P132&lt;&gt;"",_xlfn.NUMBERVALUE(P132),"")</f>
        <v/>
      </c>
      <c r="AQ132" s="61" t="str">
        <f t="shared" ref="AQ132:AQ195" si="64">IF(Q132&lt;&gt;"",_xlfn.NUMBERVALUE(Q132),"")</f>
        <v/>
      </c>
      <c r="AR132" s="61" t="str">
        <f t="shared" ref="AR132:AR195" si="65">IF(R132&lt;&gt;"",_xlfn.NUMBERVALUE(R132),"")</f>
        <v/>
      </c>
    </row>
    <row r="133" spans="16:44" x14ac:dyDescent="0.25">
      <c r="P133" s="73" t="str">
        <f t="shared" si="47"/>
        <v/>
      </c>
      <c r="Q133" s="73" t="str">
        <f t="shared" si="48"/>
        <v/>
      </c>
      <c r="R133" s="74" t="str">
        <f t="shared" si="49"/>
        <v/>
      </c>
      <c r="S133" s="74" t="str">
        <f t="shared" si="50"/>
        <v/>
      </c>
      <c r="U133" s="74" t="str">
        <f t="shared" si="55"/>
        <v/>
      </c>
      <c r="V133" s="74" t="str">
        <f t="shared" si="55"/>
        <v/>
      </c>
      <c r="W133" s="74" t="str">
        <f t="shared" si="55"/>
        <v/>
      </c>
      <c r="X133" s="74" t="str">
        <f t="shared" si="55"/>
        <v/>
      </c>
      <c r="Y133" s="74" t="str">
        <f t="shared" si="55"/>
        <v/>
      </c>
      <c r="Z133" s="74" t="str">
        <f t="shared" si="51"/>
        <v/>
      </c>
      <c r="AA133" s="74">
        <f t="shared" si="52"/>
        <v>0</v>
      </c>
      <c r="AB133" s="74">
        <f t="shared" si="53"/>
        <v>0</v>
      </c>
      <c r="AC133" s="74" t="str">
        <f t="shared" si="56"/>
        <v/>
      </c>
      <c r="AE133" s="74" t="str">
        <f t="shared" si="45"/>
        <v/>
      </c>
      <c r="AF133" s="74" t="str">
        <f t="shared" si="46"/>
        <v/>
      </c>
      <c r="AG133" s="74" t="str">
        <f t="shared" si="57"/>
        <v/>
      </c>
      <c r="AH133" s="74">
        <f t="shared" si="58"/>
        <v>0</v>
      </c>
      <c r="AI133" s="74" t="str">
        <f>IF(AH133&lt;&gt;0,COUNTIF(AH$3:AH133,1),"")</f>
        <v/>
      </c>
      <c r="AJ133" s="74">
        <f t="shared" si="54"/>
        <v>0</v>
      </c>
      <c r="AK133" s="73" t="str">
        <f t="shared" si="59"/>
        <v/>
      </c>
      <c r="AL133" s="73" t="str">
        <f t="shared" si="60"/>
        <v/>
      </c>
      <c r="AM133" s="73" t="str">
        <f t="shared" si="61"/>
        <v/>
      </c>
      <c r="AN133" s="73" t="str">
        <f t="shared" si="62"/>
        <v/>
      </c>
      <c r="AP133" s="61" t="str">
        <f t="shared" si="63"/>
        <v/>
      </c>
      <c r="AQ133" s="61" t="str">
        <f t="shared" si="64"/>
        <v/>
      </c>
      <c r="AR133" s="61" t="str">
        <f t="shared" si="65"/>
        <v/>
      </c>
    </row>
    <row r="134" spans="16:44" x14ac:dyDescent="0.25">
      <c r="P134" s="73" t="str">
        <f t="shared" si="47"/>
        <v/>
      </c>
      <c r="Q134" s="73" t="str">
        <f t="shared" si="48"/>
        <v/>
      </c>
      <c r="R134" s="74" t="str">
        <f t="shared" si="49"/>
        <v/>
      </c>
      <c r="S134" s="74" t="str">
        <f t="shared" si="50"/>
        <v/>
      </c>
      <c r="U134" s="74" t="str">
        <f t="shared" si="55"/>
        <v/>
      </c>
      <c r="V134" s="74" t="str">
        <f t="shared" si="55"/>
        <v/>
      </c>
      <c r="W134" s="74" t="str">
        <f t="shared" si="55"/>
        <v/>
      </c>
      <c r="X134" s="74" t="str">
        <f t="shared" si="55"/>
        <v/>
      </c>
      <c r="Y134" s="74" t="str">
        <f t="shared" si="55"/>
        <v/>
      </c>
      <c r="Z134" s="74" t="str">
        <f t="shared" si="51"/>
        <v/>
      </c>
      <c r="AA134" s="74">
        <f t="shared" si="52"/>
        <v>0</v>
      </c>
      <c r="AB134" s="74">
        <f t="shared" si="53"/>
        <v>0</v>
      </c>
      <c r="AC134" s="74" t="str">
        <f t="shared" si="56"/>
        <v/>
      </c>
      <c r="AE134" s="74" t="str">
        <f t="shared" si="45"/>
        <v/>
      </c>
      <c r="AF134" s="74" t="str">
        <f t="shared" si="46"/>
        <v/>
      </c>
      <c r="AG134" s="74" t="str">
        <f t="shared" si="57"/>
        <v/>
      </c>
      <c r="AH134" s="74">
        <f t="shared" si="58"/>
        <v>0</v>
      </c>
      <c r="AI134" s="74" t="str">
        <f>IF(AH134&lt;&gt;0,COUNTIF(AH$3:AH134,1),"")</f>
        <v/>
      </c>
      <c r="AJ134" s="74">
        <f t="shared" si="54"/>
        <v>0</v>
      </c>
      <c r="AK134" s="73" t="str">
        <f t="shared" si="59"/>
        <v/>
      </c>
      <c r="AL134" s="73" t="str">
        <f t="shared" si="60"/>
        <v/>
      </c>
      <c r="AM134" s="73" t="str">
        <f t="shared" si="61"/>
        <v/>
      </c>
      <c r="AN134" s="73" t="str">
        <f t="shared" si="62"/>
        <v/>
      </c>
      <c r="AP134" s="61" t="str">
        <f t="shared" si="63"/>
        <v/>
      </c>
      <c r="AQ134" s="61" t="str">
        <f t="shared" si="64"/>
        <v/>
      </c>
      <c r="AR134" s="61" t="str">
        <f t="shared" si="65"/>
        <v/>
      </c>
    </row>
    <row r="135" spans="16:44" x14ac:dyDescent="0.25">
      <c r="P135" s="73" t="str">
        <f t="shared" si="47"/>
        <v/>
      </c>
      <c r="Q135" s="73" t="str">
        <f t="shared" si="48"/>
        <v/>
      </c>
      <c r="R135" s="74" t="str">
        <f t="shared" si="49"/>
        <v/>
      </c>
      <c r="S135" s="74" t="str">
        <f t="shared" si="50"/>
        <v/>
      </c>
      <c r="U135" s="74" t="str">
        <f t="shared" si="55"/>
        <v/>
      </c>
      <c r="V135" s="74" t="str">
        <f t="shared" si="55"/>
        <v/>
      </c>
      <c r="W135" s="74" t="str">
        <f t="shared" si="55"/>
        <v/>
      </c>
      <c r="X135" s="74" t="str">
        <f t="shared" si="55"/>
        <v/>
      </c>
      <c r="Y135" s="74" t="str">
        <f t="shared" si="55"/>
        <v/>
      </c>
      <c r="Z135" s="74" t="str">
        <f t="shared" si="51"/>
        <v/>
      </c>
      <c r="AA135" s="74">
        <f t="shared" si="52"/>
        <v>0</v>
      </c>
      <c r="AB135" s="74">
        <f t="shared" si="53"/>
        <v>0</v>
      </c>
      <c r="AC135" s="74" t="str">
        <f t="shared" si="56"/>
        <v/>
      </c>
      <c r="AE135" s="74" t="str">
        <f t="shared" si="45"/>
        <v/>
      </c>
      <c r="AF135" s="74" t="str">
        <f t="shared" si="46"/>
        <v/>
      </c>
      <c r="AG135" s="74" t="str">
        <f t="shared" si="57"/>
        <v/>
      </c>
      <c r="AH135" s="74">
        <f t="shared" si="58"/>
        <v>0</v>
      </c>
      <c r="AI135" s="74" t="str">
        <f>IF(AH135&lt;&gt;0,COUNTIF(AH$3:AH135,1),"")</f>
        <v/>
      </c>
      <c r="AJ135" s="74">
        <f t="shared" si="54"/>
        <v>0</v>
      </c>
      <c r="AK135" s="73" t="str">
        <f t="shared" si="59"/>
        <v/>
      </c>
      <c r="AL135" s="73" t="str">
        <f t="shared" si="60"/>
        <v/>
      </c>
      <c r="AM135" s="73" t="str">
        <f t="shared" si="61"/>
        <v/>
      </c>
      <c r="AN135" s="73" t="str">
        <f t="shared" si="62"/>
        <v/>
      </c>
      <c r="AP135" s="61" t="str">
        <f t="shared" si="63"/>
        <v/>
      </c>
      <c r="AQ135" s="61" t="str">
        <f t="shared" si="64"/>
        <v/>
      </c>
      <c r="AR135" s="61" t="str">
        <f t="shared" si="65"/>
        <v/>
      </c>
    </row>
    <row r="136" spans="16:44" x14ac:dyDescent="0.25">
      <c r="P136" s="73" t="str">
        <f t="shared" si="47"/>
        <v/>
      </c>
      <c r="Q136" s="73" t="str">
        <f t="shared" si="48"/>
        <v/>
      </c>
      <c r="R136" s="74" t="str">
        <f t="shared" si="49"/>
        <v/>
      </c>
      <c r="S136" s="74" t="str">
        <f t="shared" si="50"/>
        <v/>
      </c>
      <c r="U136" s="74" t="str">
        <f t="shared" si="55"/>
        <v/>
      </c>
      <c r="V136" s="74" t="str">
        <f t="shared" si="55"/>
        <v/>
      </c>
      <c r="W136" s="74" t="str">
        <f t="shared" si="55"/>
        <v/>
      </c>
      <c r="X136" s="74" t="str">
        <f t="shared" si="55"/>
        <v/>
      </c>
      <c r="Y136" s="74" t="str">
        <f t="shared" si="55"/>
        <v/>
      </c>
      <c r="Z136" s="74" t="str">
        <f t="shared" si="51"/>
        <v/>
      </c>
      <c r="AA136" s="74">
        <f t="shared" si="52"/>
        <v>0</v>
      </c>
      <c r="AB136" s="74">
        <f t="shared" si="53"/>
        <v>0</v>
      </c>
      <c r="AC136" s="74" t="str">
        <f t="shared" si="56"/>
        <v/>
      </c>
      <c r="AE136" s="74" t="str">
        <f t="shared" ref="AE136:AE189" si="66">IF(P136&lt;&gt;"",IF(AND(_xlfn.NUMBERVALUE(P136)&gt;25,_xlfn.NUMBERVALUE(P136)&lt;38),TRUE,FALSE),"")</f>
        <v/>
      </c>
      <c r="AF136" s="74" t="str">
        <f t="shared" ref="AF136:AF189" si="67">IF(Q136&lt;&gt;"",IF(AND(_xlfn.NUMBERVALUE(Q136)&gt;25,_xlfn.NUMBERVALUE(Q136)&lt;38),TRUE,FALSE),"")</f>
        <v/>
      </c>
      <c r="AG136" s="74" t="str">
        <f t="shared" si="57"/>
        <v/>
      </c>
      <c r="AH136" s="74">
        <f t="shared" si="58"/>
        <v>0</v>
      </c>
      <c r="AI136" s="74" t="str">
        <f>IF(AH136&lt;&gt;0,COUNTIF(AH$3:AH136,1),"")</f>
        <v/>
      </c>
      <c r="AJ136" s="74">
        <f t="shared" si="54"/>
        <v>0</v>
      </c>
      <c r="AK136" s="73" t="str">
        <f t="shared" si="59"/>
        <v/>
      </c>
      <c r="AL136" s="73" t="str">
        <f t="shared" si="60"/>
        <v/>
      </c>
      <c r="AM136" s="73" t="str">
        <f t="shared" si="61"/>
        <v/>
      </c>
      <c r="AN136" s="73" t="str">
        <f t="shared" si="62"/>
        <v/>
      </c>
      <c r="AP136" s="61" t="str">
        <f t="shared" si="63"/>
        <v/>
      </c>
      <c r="AQ136" s="61" t="str">
        <f t="shared" si="64"/>
        <v/>
      </c>
      <c r="AR136" s="61" t="str">
        <f t="shared" si="65"/>
        <v/>
      </c>
    </row>
    <row r="137" spans="16:44" x14ac:dyDescent="0.25">
      <c r="P137" s="73" t="str">
        <f t="shared" si="47"/>
        <v/>
      </c>
      <c r="Q137" s="73" t="str">
        <f t="shared" si="48"/>
        <v/>
      </c>
      <c r="R137" s="74" t="str">
        <f t="shared" si="49"/>
        <v/>
      </c>
      <c r="S137" s="74" t="str">
        <f t="shared" si="50"/>
        <v/>
      </c>
      <c r="U137" s="74" t="str">
        <f t="shared" si="55"/>
        <v/>
      </c>
      <c r="V137" s="74" t="str">
        <f t="shared" si="55"/>
        <v/>
      </c>
      <c r="W137" s="74" t="str">
        <f t="shared" si="55"/>
        <v/>
      </c>
      <c r="X137" s="74" t="str">
        <f t="shared" si="55"/>
        <v/>
      </c>
      <c r="Y137" s="74" t="str">
        <f t="shared" si="55"/>
        <v/>
      </c>
      <c r="Z137" s="74" t="str">
        <f t="shared" si="51"/>
        <v/>
      </c>
      <c r="AA137" s="74">
        <f t="shared" si="52"/>
        <v>0</v>
      </c>
      <c r="AB137" s="74">
        <f t="shared" si="53"/>
        <v>0</v>
      </c>
      <c r="AC137" s="74" t="str">
        <f t="shared" si="56"/>
        <v/>
      </c>
      <c r="AE137" s="74" t="str">
        <f t="shared" si="66"/>
        <v/>
      </c>
      <c r="AF137" s="74" t="str">
        <f t="shared" si="67"/>
        <v/>
      </c>
      <c r="AG137" s="74" t="str">
        <f t="shared" si="57"/>
        <v/>
      </c>
      <c r="AH137" s="74">
        <f t="shared" si="58"/>
        <v>0</v>
      </c>
      <c r="AI137" s="74" t="str">
        <f>IF(AH137&lt;&gt;0,COUNTIF(AH$3:AH137,1),"")</f>
        <v/>
      </c>
      <c r="AJ137" s="74">
        <f t="shared" si="54"/>
        <v>0</v>
      </c>
      <c r="AK137" s="73" t="str">
        <f t="shared" si="59"/>
        <v/>
      </c>
      <c r="AL137" s="73" t="str">
        <f t="shared" si="60"/>
        <v/>
      </c>
      <c r="AM137" s="73" t="str">
        <f t="shared" si="61"/>
        <v/>
      </c>
      <c r="AN137" s="73" t="str">
        <f t="shared" si="62"/>
        <v/>
      </c>
      <c r="AP137" s="61" t="str">
        <f t="shared" si="63"/>
        <v/>
      </c>
      <c r="AQ137" s="61" t="str">
        <f t="shared" si="64"/>
        <v/>
      </c>
      <c r="AR137" s="61" t="str">
        <f t="shared" si="65"/>
        <v/>
      </c>
    </row>
    <row r="138" spans="16:44" x14ac:dyDescent="0.25">
      <c r="P138" s="73" t="str">
        <f t="shared" si="47"/>
        <v/>
      </c>
      <c r="Q138" s="73" t="str">
        <f t="shared" si="48"/>
        <v/>
      </c>
      <c r="R138" s="74" t="str">
        <f t="shared" si="49"/>
        <v/>
      </c>
      <c r="S138" s="74" t="str">
        <f t="shared" si="50"/>
        <v/>
      </c>
      <c r="U138" s="74" t="str">
        <f t="shared" si="55"/>
        <v/>
      </c>
      <c r="V138" s="74" t="str">
        <f t="shared" si="55"/>
        <v/>
      </c>
      <c r="W138" s="74" t="str">
        <f t="shared" si="55"/>
        <v/>
      </c>
      <c r="X138" s="74" t="str">
        <f t="shared" si="55"/>
        <v/>
      </c>
      <c r="Y138" s="74" t="str">
        <f t="shared" si="55"/>
        <v/>
      </c>
      <c r="Z138" s="74" t="str">
        <f t="shared" si="51"/>
        <v/>
      </c>
      <c r="AA138" s="74">
        <f t="shared" si="52"/>
        <v>0</v>
      </c>
      <c r="AB138" s="74">
        <f t="shared" si="53"/>
        <v>0</v>
      </c>
      <c r="AC138" s="74" t="str">
        <f t="shared" si="56"/>
        <v/>
      </c>
      <c r="AE138" s="74" t="str">
        <f t="shared" si="66"/>
        <v/>
      </c>
      <c r="AF138" s="74" t="str">
        <f t="shared" si="67"/>
        <v/>
      </c>
      <c r="AG138" s="74" t="str">
        <f t="shared" si="57"/>
        <v/>
      </c>
      <c r="AH138" s="74">
        <f t="shared" si="58"/>
        <v>0</v>
      </c>
      <c r="AI138" s="74" t="str">
        <f>IF(AH138&lt;&gt;0,COUNTIF(AH$3:AH138,1),"")</f>
        <v/>
      </c>
      <c r="AJ138" s="74">
        <f t="shared" si="54"/>
        <v>0</v>
      </c>
      <c r="AK138" s="73" t="str">
        <f t="shared" si="59"/>
        <v/>
      </c>
      <c r="AL138" s="73" t="str">
        <f t="shared" si="60"/>
        <v/>
      </c>
      <c r="AM138" s="73" t="str">
        <f t="shared" si="61"/>
        <v/>
      </c>
      <c r="AN138" s="73" t="str">
        <f t="shared" si="62"/>
        <v/>
      </c>
      <c r="AP138" s="61" t="str">
        <f t="shared" si="63"/>
        <v/>
      </c>
      <c r="AQ138" s="61" t="str">
        <f t="shared" si="64"/>
        <v/>
      </c>
      <c r="AR138" s="61" t="str">
        <f t="shared" si="65"/>
        <v/>
      </c>
    </row>
    <row r="139" spans="16:44" x14ac:dyDescent="0.25">
      <c r="P139" s="73" t="str">
        <f t="shared" si="47"/>
        <v/>
      </c>
      <c r="Q139" s="73" t="str">
        <f t="shared" si="48"/>
        <v/>
      </c>
      <c r="R139" s="74" t="str">
        <f t="shared" si="49"/>
        <v/>
      </c>
      <c r="S139" s="74" t="str">
        <f t="shared" si="50"/>
        <v/>
      </c>
      <c r="U139" s="74" t="str">
        <f t="shared" si="55"/>
        <v/>
      </c>
      <c r="V139" s="74" t="str">
        <f t="shared" si="55"/>
        <v/>
      </c>
      <c r="W139" s="74" t="str">
        <f t="shared" si="55"/>
        <v/>
      </c>
      <c r="X139" s="74" t="str">
        <f t="shared" si="55"/>
        <v/>
      </c>
      <c r="Y139" s="74" t="str">
        <f t="shared" si="55"/>
        <v/>
      </c>
      <c r="Z139" s="74" t="str">
        <f t="shared" si="51"/>
        <v/>
      </c>
      <c r="AA139" s="74">
        <f t="shared" si="52"/>
        <v>0</v>
      </c>
      <c r="AB139" s="74">
        <f t="shared" si="53"/>
        <v>0</v>
      </c>
      <c r="AC139" s="74" t="str">
        <f t="shared" si="56"/>
        <v/>
      </c>
      <c r="AE139" s="74" t="str">
        <f t="shared" si="66"/>
        <v/>
      </c>
      <c r="AF139" s="74" t="str">
        <f t="shared" si="67"/>
        <v/>
      </c>
      <c r="AG139" s="74" t="str">
        <f t="shared" si="57"/>
        <v/>
      </c>
      <c r="AH139" s="74">
        <f t="shared" si="58"/>
        <v>0</v>
      </c>
      <c r="AI139" s="74" t="str">
        <f>IF(AH139&lt;&gt;0,COUNTIF(AH$3:AH139,1),"")</f>
        <v/>
      </c>
      <c r="AJ139" s="74">
        <f t="shared" si="54"/>
        <v>0</v>
      </c>
      <c r="AK139" s="73" t="str">
        <f t="shared" si="59"/>
        <v/>
      </c>
      <c r="AL139" s="73" t="str">
        <f t="shared" si="60"/>
        <v/>
      </c>
      <c r="AM139" s="73" t="str">
        <f t="shared" si="61"/>
        <v/>
      </c>
      <c r="AN139" s="73" t="str">
        <f t="shared" si="62"/>
        <v/>
      </c>
      <c r="AP139" s="61" t="str">
        <f t="shared" si="63"/>
        <v/>
      </c>
      <c r="AQ139" s="61" t="str">
        <f t="shared" si="64"/>
        <v/>
      </c>
      <c r="AR139" s="61" t="str">
        <f t="shared" si="65"/>
        <v/>
      </c>
    </row>
    <row r="140" spans="16:44" x14ac:dyDescent="0.25">
      <c r="P140" s="73" t="str">
        <f t="shared" si="47"/>
        <v/>
      </c>
      <c r="Q140" s="73" t="str">
        <f t="shared" si="48"/>
        <v/>
      </c>
      <c r="R140" s="74" t="str">
        <f t="shared" si="49"/>
        <v/>
      </c>
      <c r="S140" s="74" t="str">
        <f t="shared" si="50"/>
        <v/>
      </c>
      <c r="U140" s="74" t="str">
        <f t="shared" si="55"/>
        <v/>
      </c>
      <c r="V140" s="74" t="str">
        <f t="shared" si="55"/>
        <v/>
      </c>
      <c r="W140" s="74" t="str">
        <f t="shared" si="55"/>
        <v/>
      </c>
      <c r="X140" s="74" t="str">
        <f t="shared" si="55"/>
        <v/>
      </c>
      <c r="Y140" s="74" t="str">
        <f t="shared" si="55"/>
        <v/>
      </c>
      <c r="Z140" s="74" t="str">
        <f t="shared" si="51"/>
        <v/>
      </c>
      <c r="AA140" s="74">
        <f t="shared" si="52"/>
        <v>0</v>
      </c>
      <c r="AB140" s="74">
        <f t="shared" si="53"/>
        <v>0</v>
      </c>
      <c r="AC140" s="74" t="str">
        <f t="shared" si="56"/>
        <v/>
      </c>
      <c r="AE140" s="74" t="str">
        <f t="shared" si="66"/>
        <v/>
      </c>
      <c r="AF140" s="74" t="str">
        <f t="shared" si="67"/>
        <v/>
      </c>
      <c r="AG140" s="74" t="str">
        <f t="shared" si="57"/>
        <v/>
      </c>
      <c r="AH140" s="74">
        <f t="shared" si="58"/>
        <v>0</v>
      </c>
      <c r="AI140" s="74" t="str">
        <f>IF(AH140&lt;&gt;0,COUNTIF(AH$3:AH140,1),"")</f>
        <v/>
      </c>
      <c r="AJ140" s="74">
        <f t="shared" si="54"/>
        <v>0</v>
      </c>
      <c r="AK140" s="73" t="str">
        <f t="shared" si="59"/>
        <v/>
      </c>
      <c r="AL140" s="73" t="str">
        <f t="shared" si="60"/>
        <v/>
      </c>
      <c r="AM140" s="73" t="str">
        <f t="shared" si="61"/>
        <v/>
      </c>
      <c r="AN140" s="73" t="str">
        <f t="shared" si="62"/>
        <v/>
      </c>
      <c r="AP140" s="61" t="str">
        <f t="shared" si="63"/>
        <v/>
      </c>
      <c r="AQ140" s="61" t="str">
        <f t="shared" si="64"/>
        <v/>
      </c>
      <c r="AR140" s="61" t="str">
        <f t="shared" si="65"/>
        <v/>
      </c>
    </row>
    <row r="141" spans="16:44" x14ac:dyDescent="0.25">
      <c r="P141" s="73" t="str">
        <f t="shared" si="47"/>
        <v/>
      </c>
      <c r="Q141" s="73" t="str">
        <f t="shared" si="48"/>
        <v/>
      </c>
      <c r="R141" s="74" t="str">
        <f t="shared" si="49"/>
        <v/>
      </c>
      <c r="S141" s="74" t="str">
        <f t="shared" si="50"/>
        <v/>
      </c>
      <c r="U141" s="74" t="str">
        <f t="shared" si="55"/>
        <v/>
      </c>
      <c r="V141" s="74" t="str">
        <f t="shared" si="55"/>
        <v/>
      </c>
      <c r="W141" s="74" t="str">
        <f t="shared" si="55"/>
        <v/>
      </c>
      <c r="X141" s="74" t="str">
        <f t="shared" si="55"/>
        <v/>
      </c>
      <c r="Y141" s="74" t="str">
        <f t="shared" si="55"/>
        <v/>
      </c>
      <c r="Z141" s="74" t="str">
        <f t="shared" si="51"/>
        <v/>
      </c>
      <c r="AA141" s="74">
        <f t="shared" si="52"/>
        <v>0</v>
      </c>
      <c r="AB141" s="74">
        <f t="shared" si="53"/>
        <v>0</v>
      </c>
      <c r="AC141" s="74" t="str">
        <f t="shared" si="56"/>
        <v/>
      </c>
      <c r="AE141" s="74" t="str">
        <f t="shared" si="66"/>
        <v/>
      </c>
      <c r="AF141" s="74" t="str">
        <f t="shared" si="67"/>
        <v/>
      </c>
      <c r="AG141" s="74" t="str">
        <f t="shared" si="57"/>
        <v/>
      </c>
      <c r="AH141" s="74">
        <f t="shared" si="58"/>
        <v>0</v>
      </c>
      <c r="AI141" s="74" t="str">
        <f>IF(AH141&lt;&gt;0,COUNTIF(AH$3:AH141,1),"")</f>
        <v/>
      </c>
      <c r="AJ141" s="74">
        <f t="shared" si="54"/>
        <v>0</v>
      </c>
      <c r="AK141" s="73" t="str">
        <f t="shared" si="59"/>
        <v/>
      </c>
      <c r="AL141" s="73" t="str">
        <f t="shared" si="60"/>
        <v/>
      </c>
      <c r="AM141" s="73" t="str">
        <f t="shared" si="61"/>
        <v/>
      </c>
      <c r="AN141" s="73" t="str">
        <f t="shared" si="62"/>
        <v/>
      </c>
      <c r="AP141" s="61" t="str">
        <f t="shared" si="63"/>
        <v/>
      </c>
      <c r="AQ141" s="61" t="str">
        <f t="shared" si="64"/>
        <v/>
      </c>
      <c r="AR141" s="61" t="str">
        <f t="shared" si="65"/>
        <v/>
      </c>
    </row>
    <row r="142" spans="16:44" x14ac:dyDescent="0.25">
      <c r="P142" s="73" t="str">
        <f t="shared" si="47"/>
        <v/>
      </c>
      <c r="Q142" s="73" t="str">
        <f t="shared" si="48"/>
        <v/>
      </c>
      <c r="R142" s="74" t="str">
        <f t="shared" si="49"/>
        <v/>
      </c>
      <c r="S142" s="74" t="str">
        <f t="shared" si="50"/>
        <v/>
      </c>
      <c r="U142" s="74" t="str">
        <f t="shared" si="55"/>
        <v/>
      </c>
      <c r="V142" s="74" t="str">
        <f t="shared" si="55"/>
        <v/>
      </c>
      <c r="W142" s="74" t="str">
        <f t="shared" si="55"/>
        <v/>
      </c>
      <c r="X142" s="74" t="str">
        <f t="shared" si="55"/>
        <v/>
      </c>
      <c r="Y142" s="74" t="str">
        <f t="shared" si="55"/>
        <v/>
      </c>
      <c r="Z142" s="74" t="str">
        <f t="shared" si="51"/>
        <v/>
      </c>
      <c r="AA142" s="74">
        <f t="shared" si="52"/>
        <v>0</v>
      </c>
      <c r="AB142" s="74">
        <f t="shared" si="53"/>
        <v>0</v>
      </c>
      <c r="AC142" s="74" t="str">
        <f t="shared" si="56"/>
        <v/>
      </c>
      <c r="AE142" s="74" t="str">
        <f t="shared" si="66"/>
        <v/>
      </c>
      <c r="AF142" s="74" t="str">
        <f t="shared" si="67"/>
        <v/>
      </c>
      <c r="AG142" s="74" t="str">
        <f t="shared" si="57"/>
        <v/>
      </c>
      <c r="AH142" s="74">
        <f t="shared" si="58"/>
        <v>0</v>
      </c>
      <c r="AI142" s="74" t="str">
        <f>IF(AH142&lt;&gt;0,COUNTIF(AH$3:AH142,1),"")</f>
        <v/>
      </c>
      <c r="AJ142" s="74">
        <f t="shared" si="54"/>
        <v>0</v>
      </c>
      <c r="AK142" s="73" t="str">
        <f t="shared" si="59"/>
        <v/>
      </c>
      <c r="AL142" s="73" t="str">
        <f t="shared" si="60"/>
        <v/>
      </c>
      <c r="AM142" s="73" t="str">
        <f t="shared" si="61"/>
        <v/>
      </c>
      <c r="AN142" s="73" t="str">
        <f t="shared" si="62"/>
        <v/>
      </c>
      <c r="AP142" s="61" t="str">
        <f t="shared" si="63"/>
        <v/>
      </c>
      <c r="AQ142" s="61" t="str">
        <f t="shared" si="64"/>
        <v/>
      </c>
      <c r="AR142" s="61" t="str">
        <f t="shared" si="65"/>
        <v/>
      </c>
    </row>
    <row r="143" spans="16:44" x14ac:dyDescent="0.25">
      <c r="P143" s="73" t="str">
        <f t="shared" si="47"/>
        <v/>
      </c>
      <c r="Q143" s="73" t="str">
        <f t="shared" si="48"/>
        <v/>
      </c>
      <c r="R143" s="74" t="str">
        <f t="shared" si="49"/>
        <v/>
      </c>
      <c r="S143" s="74" t="str">
        <f t="shared" si="50"/>
        <v/>
      </c>
      <c r="U143" s="74" t="str">
        <f t="shared" si="55"/>
        <v/>
      </c>
      <c r="V143" s="74" t="str">
        <f t="shared" si="55"/>
        <v/>
      </c>
      <c r="W143" s="74" t="str">
        <f t="shared" si="55"/>
        <v/>
      </c>
      <c r="X143" s="74" t="str">
        <f t="shared" si="55"/>
        <v/>
      </c>
      <c r="Y143" s="74" t="str">
        <f t="shared" si="55"/>
        <v/>
      </c>
      <c r="Z143" s="74" t="str">
        <f t="shared" si="51"/>
        <v/>
      </c>
      <c r="AA143" s="74">
        <f t="shared" si="52"/>
        <v>0</v>
      </c>
      <c r="AB143" s="74">
        <f t="shared" si="53"/>
        <v>0</v>
      </c>
      <c r="AC143" s="74" t="str">
        <f t="shared" si="56"/>
        <v/>
      </c>
      <c r="AE143" s="74" t="str">
        <f t="shared" si="66"/>
        <v/>
      </c>
      <c r="AF143" s="74" t="str">
        <f t="shared" si="67"/>
        <v/>
      </c>
      <c r="AG143" s="74" t="str">
        <f t="shared" si="57"/>
        <v/>
      </c>
      <c r="AH143" s="74">
        <f t="shared" si="58"/>
        <v>0</v>
      </c>
      <c r="AI143" s="74" t="str">
        <f>IF(AH143&lt;&gt;0,COUNTIF(AH$3:AH143,1),"")</f>
        <v/>
      </c>
      <c r="AJ143" s="74">
        <f t="shared" si="54"/>
        <v>0</v>
      </c>
      <c r="AK143" s="73" t="str">
        <f t="shared" si="59"/>
        <v/>
      </c>
      <c r="AL143" s="73" t="str">
        <f t="shared" si="60"/>
        <v/>
      </c>
      <c r="AM143" s="73" t="str">
        <f t="shared" si="61"/>
        <v/>
      </c>
      <c r="AN143" s="73" t="str">
        <f t="shared" si="62"/>
        <v/>
      </c>
      <c r="AP143" s="61" t="str">
        <f t="shared" si="63"/>
        <v/>
      </c>
      <c r="AQ143" s="61" t="str">
        <f t="shared" si="64"/>
        <v/>
      </c>
      <c r="AR143" s="61" t="str">
        <f t="shared" si="65"/>
        <v/>
      </c>
    </row>
    <row r="144" spans="16:44" x14ac:dyDescent="0.25">
      <c r="P144" s="73" t="str">
        <f t="shared" si="47"/>
        <v/>
      </c>
      <c r="Q144" s="73" t="str">
        <f t="shared" si="48"/>
        <v/>
      </c>
      <c r="R144" s="74" t="str">
        <f t="shared" si="49"/>
        <v/>
      </c>
      <c r="S144" s="74" t="str">
        <f t="shared" si="50"/>
        <v/>
      </c>
      <c r="U144" s="74" t="str">
        <f t="shared" si="55"/>
        <v/>
      </c>
      <c r="V144" s="74" t="str">
        <f t="shared" si="55"/>
        <v/>
      </c>
      <c r="W144" s="74" t="str">
        <f t="shared" si="55"/>
        <v/>
      </c>
      <c r="X144" s="74" t="str">
        <f t="shared" si="55"/>
        <v/>
      </c>
      <c r="Y144" s="74" t="str">
        <f t="shared" si="55"/>
        <v/>
      </c>
      <c r="Z144" s="74" t="str">
        <f t="shared" si="51"/>
        <v/>
      </c>
      <c r="AA144" s="74">
        <f t="shared" si="52"/>
        <v>0</v>
      </c>
      <c r="AB144" s="74">
        <f t="shared" si="53"/>
        <v>0</v>
      </c>
      <c r="AC144" s="74" t="str">
        <f t="shared" si="56"/>
        <v/>
      </c>
      <c r="AE144" s="74" t="str">
        <f t="shared" si="66"/>
        <v/>
      </c>
      <c r="AF144" s="74" t="str">
        <f t="shared" si="67"/>
        <v/>
      </c>
      <c r="AG144" s="74" t="str">
        <f t="shared" si="57"/>
        <v/>
      </c>
      <c r="AH144" s="74">
        <f t="shared" si="58"/>
        <v>0</v>
      </c>
      <c r="AI144" s="74" t="str">
        <f>IF(AH144&lt;&gt;0,COUNTIF(AH$3:AH144,1),"")</f>
        <v/>
      </c>
      <c r="AJ144" s="74">
        <f t="shared" si="54"/>
        <v>0</v>
      </c>
      <c r="AK144" s="73" t="str">
        <f t="shared" si="59"/>
        <v/>
      </c>
      <c r="AL144" s="73" t="str">
        <f t="shared" si="60"/>
        <v/>
      </c>
      <c r="AM144" s="73" t="str">
        <f t="shared" si="61"/>
        <v/>
      </c>
      <c r="AN144" s="73" t="str">
        <f t="shared" si="62"/>
        <v/>
      </c>
      <c r="AP144" s="61" t="str">
        <f t="shared" si="63"/>
        <v/>
      </c>
      <c r="AQ144" s="61" t="str">
        <f t="shared" si="64"/>
        <v/>
      </c>
      <c r="AR144" s="61" t="str">
        <f t="shared" si="65"/>
        <v/>
      </c>
    </row>
    <row r="145" spans="16:44" x14ac:dyDescent="0.25">
      <c r="P145" s="73" t="str">
        <f t="shared" si="47"/>
        <v/>
      </c>
      <c r="Q145" s="73" t="str">
        <f t="shared" si="48"/>
        <v/>
      </c>
      <c r="R145" s="74" t="str">
        <f t="shared" si="49"/>
        <v/>
      </c>
      <c r="S145" s="74" t="str">
        <f t="shared" si="50"/>
        <v/>
      </c>
      <c r="U145" s="74" t="str">
        <f t="shared" si="55"/>
        <v/>
      </c>
      <c r="V145" s="74" t="str">
        <f t="shared" si="55"/>
        <v/>
      </c>
      <c r="W145" s="74" t="str">
        <f t="shared" si="55"/>
        <v/>
      </c>
      <c r="X145" s="74" t="str">
        <f t="shared" si="55"/>
        <v/>
      </c>
      <c r="Y145" s="74" t="str">
        <f t="shared" si="55"/>
        <v/>
      </c>
      <c r="Z145" s="74" t="str">
        <f t="shared" si="51"/>
        <v/>
      </c>
      <c r="AA145" s="74">
        <f t="shared" si="52"/>
        <v>0</v>
      </c>
      <c r="AB145" s="74">
        <f t="shared" si="53"/>
        <v>0</v>
      </c>
      <c r="AC145" s="74" t="str">
        <f t="shared" si="56"/>
        <v/>
      </c>
      <c r="AE145" s="74" t="str">
        <f t="shared" si="66"/>
        <v/>
      </c>
      <c r="AF145" s="74" t="str">
        <f t="shared" si="67"/>
        <v/>
      </c>
      <c r="AG145" s="74" t="str">
        <f t="shared" si="57"/>
        <v/>
      </c>
      <c r="AH145" s="74">
        <f t="shared" si="58"/>
        <v>0</v>
      </c>
      <c r="AI145" s="74" t="str">
        <f>IF(AH145&lt;&gt;0,COUNTIF(AH$3:AH145,1),"")</f>
        <v/>
      </c>
      <c r="AJ145" s="74">
        <f t="shared" si="54"/>
        <v>0</v>
      </c>
      <c r="AK145" s="73" t="str">
        <f t="shared" si="59"/>
        <v/>
      </c>
      <c r="AL145" s="73" t="str">
        <f t="shared" si="60"/>
        <v/>
      </c>
      <c r="AM145" s="73" t="str">
        <f t="shared" si="61"/>
        <v/>
      </c>
      <c r="AN145" s="73" t="str">
        <f t="shared" si="62"/>
        <v/>
      </c>
      <c r="AP145" s="61" t="str">
        <f t="shared" si="63"/>
        <v/>
      </c>
      <c r="AQ145" s="61" t="str">
        <f t="shared" si="64"/>
        <v/>
      </c>
      <c r="AR145" s="61" t="str">
        <f t="shared" si="65"/>
        <v/>
      </c>
    </row>
    <row r="146" spans="16:44" x14ac:dyDescent="0.25">
      <c r="P146" s="73" t="str">
        <f t="shared" si="47"/>
        <v/>
      </c>
      <c r="Q146" s="73" t="str">
        <f t="shared" si="48"/>
        <v/>
      </c>
      <c r="R146" s="74" t="str">
        <f t="shared" si="49"/>
        <v/>
      </c>
      <c r="S146" s="74" t="str">
        <f t="shared" si="50"/>
        <v/>
      </c>
      <c r="U146" s="74" t="str">
        <f t="shared" si="55"/>
        <v/>
      </c>
      <c r="V146" s="74" t="str">
        <f t="shared" si="55"/>
        <v/>
      </c>
      <c r="W146" s="74" t="str">
        <f t="shared" si="55"/>
        <v/>
      </c>
      <c r="X146" s="74" t="str">
        <f t="shared" si="55"/>
        <v/>
      </c>
      <c r="Y146" s="74" t="str">
        <f t="shared" si="55"/>
        <v/>
      </c>
      <c r="Z146" s="74" t="str">
        <f t="shared" si="51"/>
        <v/>
      </c>
      <c r="AA146" s="74">
        <f t="shared" si="52"/>
        <v>0</v>
      </c>
      <c r="AB146" s="74">
        <f t="shared" si="53"/>
        <v>0</v>
      </c>
      <c r="AC146" s="74" t="str">
        <f t="shared" si="56"/>
        <v/>
      </c>
      <c r="AE146" s="74" t="str">
        <f t="shared" si="66"/>
        <v/>
      </c>
      <c r="AF146" s="74" t="str">
        <f t="shared" si="67"/>
        <v/>
      </c>
      <c r="AG146" s="74" t="str">
        <f t="shared" si="57"/>
        <v/>
      </c>
      <c r="AH146" s="74">
        <f t="shared" si="58"/>
        <v>0</v>
      </c>
      <c r="AI146" s="74" t="str">
        <f>IF(AH146&lt;&gt;0,COUNTIF(AH$3:AH146,1),"")</f>
        <v/>
      </c>
      <c r="AJ146" s="74">
        <f t="shared" si="54"/>
        <v>0</v>
      </c>
      <c r="AK146" s="73" t="str">
        <f t="shared" si="59"/>
        <v/>
      </c>
      <c r="AL146" s="73" t="str">
        <f t="shared" si="60"/>
        <v/>
      </c>
      <c r="AM146" s="73" t="str">
        <f t="shared" si="61"/>
        <v/>
      </c>
      <c r="AN146" s="73" t="str">
        <f t="shared" si="62"/>
        <v/>
      </c>
      <c r="AP146" s="61" t="str">
        <f t="shared" si="63"/>
        <v/>
      </c>
      <c r="AQ146" s="61" t="str">
        <f t="shared" si="64"/>
        <v/>
      </c>
      <c r="AR146" s="61" t="str">
        <f t="shared" si="65"/>
        <v/>
      </c>
    </row>
    <row r="147" spans="16:44" x14ac:dyDescent="0.25">
      <c r="P147" s="73" t="str">
        <f t="shared" si="47"/>
        <v/>
      </c>
      <c r="Q147" s="73" t="str">
        <f t="shared" si="48"/>
        <v/>
      </c>
      <c r="R147" s="74" t="str">
        <f t="shared" si="49"/>
        <v/>
      </c>
      <c r="S147" s="74" t="str">
        <f t="shared" si="50"/>
        <v/>
      </c>
      <c r="U147" s="74" t="str">
        <f t="shared" si="55"/>
        <v/>
      </c>
      <c r="V147" s="74" t="str">
        <f t="shared" si="55"/>
        <v/>
      </c>
      <c r="W147" s="74" t="str">
        <f t="shared" si="55"/>
        <v/>
      </c>
      <c r="X147" s="74" t="str">
        <f t="shared" si="55"/>
        <v/>
      </c>
      <c r="Y147" s="74" t="str">
        <f t="shared" si="55"/>
        <v/>
      </c>
      <c r="Z147" s="74" t="str">
        <f t="shared" si="51"/>
        <v/>
      </c>
      <c r="AA147" s="74">
        <f t="shared" si="52"/>
        <v>0</v>
      </c>
      <c r="AB147" s="74">
        <f t="shared" si="53"/>
        <v>0</v>
      </c>
      <c r="AC147" s="74" t="str">
        <f t="shared" si="56"/>
        <v/>
      </c>
      <c r="AE147" s="74" t="str">
        <f t="shared" si="66"/>
        <v/>
      </c>
      <c r="AF147" s="74" t="str">
        <f t="shared" si="67"/>
        <v/>
      </c>
      <c r="AG147" s="74" t="str">
        <f t="shared" si="57"/>
        <v/>
      </c>
      <c r="AH147" s="74">
        <f t="shared" si="58"/>
        <v>0</v>
      </c>
      <c r="AI147" s="74" t="str">
        <f>IF(AH147&lt;&gt;0,COUNTIF(AH$3:AH147,1),"")</f>
        <v/>
      </c>
      <c r="AJ147" s="74">
        <f t="shared" si="54"/>
        <v>0</v>
      </c>
      <c r="AK147" s="73" t="str">
        <f t="shared" si="59"/>
        <v/>
      </c>
      <c r="AL147" s="73" t="str">
        <f t="shared" si="60"/>
        <v/>
      </c>
      <c r="AM147" s="73" t="str">
        <f t="shared" si="61"/>
        <v/>
      </c>
      <c r="AN147" s="73" t="str">
        <f t="shared" si="62"/>
        <v/>
      </c>
      <c r="AP147" s="61" t="str">
        <f t="shared" si="63"/>
        <v/>
      </c>
      <c r="AQ147" s="61" t="str">
        <f t="shared" si="64"/>
        <v/>
      </c>
      <c r="AR147" s="61" t="str">
        <f t="shared" si="65"/>
        <v/>
      </c>
    </row>
    <row r="148" spans="16:44" x14ac:dyDescent="0.25">
      <c r="P148" s="73" t="str">
        <f t="shared" si="47"/>
        <v/>
      </c>
      <c r="Q148" s="73" t="str">
        <f t="shared" si="48"/>
        <v/>
      </c>
      <c r="R148" s="74" t="str">
        <f t="shared" si="49"/>
        <v/>
      </c>
      <c r="S148" s="74" t="str">
        <f t="shared" si="50"/>
        <v/>
      </c>
      <c r="U148" s="74" t="str">
        <f t="shared" si="55"/>
        <v/>
      </c>
      <c r="V148" s="74" t="str">
        <f t="shared" si="55"/>
        <v/>
      </c>
      <c r="W148" s="74" t="str">
        <f t="shared" si="55"/>
        <v/>
      </c>
      <c r="X148" s="74" t="str">
        <f t="shared" si="55"/>
        <v/>
      </c>
      <c r="Y148" s="74" t="str">
        <f t="shared" si="55"/>
        <v/>
      </c>
      <c r="Z148" s="74" t="str">
        <f t="shared" si="51"/>
        <v/>
      </c>
      <c r="AA148" s="74">
        <f t="shared" si="52"/>
        <v>0</v>
      </c>
      <c r="AB148" s="74">
        <f t="shared" si="53"/>
        <v>0</v>
      </c>
      <c r="AC148" s="74" t="str">
        <f t="shared" si="56"/>
        <v/>
      </c>
      <c r="AE148" s="74" t="str">
        <f t="shared" si="66"/>
        <v/>
      </c>
      <c r="AF148" s="74" t="str">
        <f t="shared" si="67"/>
        <v/>
      </c>
      <c r="AG148" s="74" t="str">
        <f t="shared" si="57"/>
        <v/>
      </c>
      <c r="AH148" s="74">
        <f t="shared" si="58"/>
        <v>0</v>
      </c>
      <c r="AI148" s="74" t="str">
        <f>IF(AH148&lt;&gt;0,COUNTIF(AH$3:AH148,1),"")</f>
        <v/>
      </c>
      <c r="AJ148" s="74">
        <f t="shared" si="54"/>
        <v>0</v>
      </c>
      <c r="AK148" s="73" t="str">
        <f t="shared" si="59"/>
        <v/>
      </c>
      <c r="AL148" s="73" t="str">
        <f t="shared" si="60"/>
        <v/>
      </c>
      <c r="AM148" s="73" t="str">
        <f t="shared" si="61"/>
        <v/>
      </c>
      <c r="AN148" s="73" t="str">
        <f t="shared" si="62"/>
        <v/>
      </c>
      <c r="AP148" s="61" t="str">
        <f t="shared" si="63"/>
        <v/>
      </c>
      <c r="AQ148" s="61" t="str">
        <f t="shared" si="64"/>
        <v/>
      </c>
      <c r="AR148" s="61" t="str">
        <f t="shared" si="65"/>
        <v/>
      </c>
    </row>
    <row r="149" spans="16:44" x14ac:dyDescent="0.25">
      <c r="P149" s="73" t="str">
        <f t="shared" ref="P149:P189" si="68">IF(N149&lt;&gt;"",SUBSTITUTE(LEFT(N149,FIND(";",N149)),";",""),"")</f>
        <v/>
      </c>
      <c r="Q149" s="73" t="str">
        <f t="shared" ref="Q149:Q189" si="69">IF(N149&lt;&gt;"",SUBSTITUTE(RIGHT(N149,FIND(";",N149)),";",""),"")</f>
        <v/>
      </c>
      <c r="R149" s="74" t="str">
        <f t="shared" ref="R149:R189" si="70">IF(O149&lt;&gt;"",SUBSTITUTE(LEFT(O149,FIND(";",O149)),";",""),"")</f>
        <v/>
      </c>
      <c r="S149" s="74" t="str">
        <f t="shared" ref="S149:S189" si="71">IF(O149&lt;&gt;"",IFERROR(IF(FIND("OK",O149)&gt;0,TRUE),FALSE),"")</f>
        <v/>
      </c>
      <c r="U149" s="74" t="str">
        <f t="shared" si="55"/>
        <v/>
      </c>
      <c r="V149" s="74" t="str">
        <f t="shared" si="55"/>
        <v/>
      </c>
      <c r="W149" s="74" t="str">
        <f t="shared" si="55"/>
        <v/>
      </c>
      <c r="X149" s="74" t="str">
        <f t="shared" si="55"/>
        <v/>
      </c>
      <c r="Y149" s="74" t="str">
        <f t="shared" si="55"/>
        <v/>
      </c>
      <c r="Z149" s="74" t="str">
        <f t="shared" ref="Z149:Z189" si="72">IF(G149,E149,"")</f>
        <v/>
      </c>
      <c r="AA149" s="74">
        <f t="shared" ref="AA149:AA189" si="73">IF(G149=FALSE,E149,"")</f>
        <v>0</v>
      </c>
      <c r="AB149" s="74">
        <f t="shared" ref="AB149:AB189" si="74">IF(G149,1,0)</f>
        <v>0</v>
      </c>
      <c r="AC149" s="74" t="str">
        <f t="shared" si="56"/>
        <v/>
      </c>
      <c r="AE149" s="74" t="str">
        <f t="shared" si="66"/>
        <v/>
      </c>
      <c r="AF149" s="74" t="str">
        <f t="shared" si="67"/>
        <v/>
      </c>
      <c r="AG149" s="74" t="str">
        <f t="shared" si="57"/>
        <v/>
      </c>
      <c r="AH149" s="74">
        <f t="shared" si="58"/>
        <v>0</v>
      </c>
      <c r="AI149" s="74" t="str">
        <f>IF(AH149&lt;&gt;0,COUNTIF(AH$3:AH149,1),"")</f>
        <v/>
      </c>
      <c r="AJ149" s="74">
        <f t="shared" si="54"/>
        <v>0</v>
      </c>
      <c r="AK149" s="73" t="str">
        <f t="shared" si="59"/>
        <v/>
      </c>
      <c r="AL149" s="73" t="str">
        <f t="shared" si="60"/>
        <v/>
      </c>
      <c r="AM149" s="73" t="str">
        <f t="shared" si="61"/>
        <v/>
      </c>
      <c r="AN149" s="73" t="str">
        <f t="shared" si="62"/>
        <v/>
      </c>
      <c r="AP149" s="61" t="str">
        <f t="shared" si="63"/>
        <v/>
      </c>
      <c r="AQ149" s="61" t="str">
        <f t="shared" si="64"/>
        <v/>
      </c>
      <c r="AR149" s="61" t="str">
        <f t="shared" si="65"/>
        <v/>
      </c>
    </row>
    <row r="150" spans="16:44" x14ac:dyDescent="0.25">
      <c r="P150" s="73" t="str">
        <f t="shared" si="68"/>
        <v/>
      </c>
      <c r="Q150" s="73" t="str">
        <f t="shared" si="69"/>
        <v/>
      </c>
      <c r="R150" s="74" t="str">
        <f t="shared" si="70"/>
        <v/>
      </c>
      <c r="S150" s="74" t="str">
        <f t="shared" si="71"/>
        <v/>
      </c>
      <c r="U150" s="74" t="str">
        <f t="shared" ref="U150:Y189" si="75">IF($F150=U$1,$E150,"")</f>
        <v/>
      </c>
      <c r="V150" s="74" t="str">
        <f t="shared" si="75"/>
        <v/>
      </c>
      <c r="W150" s="74" t="str">
        <f t="shared" si="75"/>
        <v/>
      </c>
      <c r="X150" s="74" t="str">
        <f t="shared" si="75"/>
        <v/>
      </c>
      <c r="Y150" s="74" t="str">
        <f t="shared" si="75"/>
        <v/>
      </c>
      <c r="Z150" s="74" t="str">
        <f t="shared" si="72"/>
        <v/>
      </c>
      <c r="AA150" s="74">
        <f t="shared" si="73"/>
        <v>0</v>
      </c>
      <c r="AB150" s="74">
        <f t="shared" si="74"/>
        <v>0</v>
      </c>
      <c r="AC150" s="74" t="str">
        <f t="shared" si="56"/>
        <v/>
      </c>
      <c r="AE150" s="74" t="str">
        <f t="shared" si="66"/>
        <v/>
      </c>
      <c r="AF150" s="74" t="str">
        <f t="shared" si="67"/>
        <v/>
      </c>
      <c r="AG150" s="74" t="str">
        <f t="shared" si="57"/>
        <v/>
      </c>
      <c r="AH150" s="74">
        <f t="shared" si="58"/>
        <v>0</v>
      </c>
      <c r="AI150" s="74" t="str">
        <f>IF(AH150&lt;&gt;0,COUNTIF(AH$3:AH150,1),"")</f>
        <v/>
      </c>
      <c r="AJ150" s="74">
        <f t="shared" ref="AJ150:AJ189" si="76">L150</f>
        <v>0</v>
      </c>
      <c r="AK150" s="73" t="str">
        <f t="shared" si="59"/>
        <v/>
      </c>
      <c r="AL150" s="73" t="str">
        <f t="shared" si="60"/>
        <v/>
      </c>
      <c r="AM150" s="73" t="str">
        <f t="shared" si="61"/>
        <v/>
      </c>
      <c r="AN150" s="73" t="str">
        <f t="shared" si="62"/>
        <v/>
      </c>
      <c r="AP150" s="61" t="str">
        <f t="shared" si="63"/>
        <v/>
      </c>
      <c r="AQ150" s="61" t="str">
        <f t="shared" si="64"/>
        <v/>
      </c>
      <c r="AR150" s="61" t="str">
        <f t="shared" si="65"/>
        <v/>
      </c>
    </row>
    <row r="151" spans="16:44" x14ac:dyDescent="0.25">
      <c r="P151" s="73" t="str">
        <f t="shared" si="68"/>
        <v/>
      </c>
      <c r="Q151" s="73" t="str">
        <f t="shared" si="69"/>
        <v/>
      </c>
      <c r="R151" s="74" t="str">
        <f t="shared" si="70"/>
        <v/>
      </c>
      <c r="S151" s="74" t="str">
        <f t="shared" si="71"/>
        <v/>
      </c>
      <c r="U151" s="74" t="str">
        <f t="shared" si="75"/>
        <v/>
      </c>
      <c r="V151" s="74" t="str">
        <f t="shared" si="75"/>
        <v/>
      </c>
      <c r="W151" s="74" t="str">
        <f t="shared" si="75"/>
        <v/>
      </c>
      <c r="X151" s="74" t="str">
        <f t="shared" si="75"/>
        <v/>
      </c>
      <c r="Y151" s="74" t="str">
        <f t="shared" si="75"/>
        <v/>
      </c>
      <c r="Z151" s="74" t="str">
        <f t="shared" si="72"/>
        <v/>
      </c>
      <c r="AA151" s="74">
        <f t="shared" si="73"/>
        <v>0</v>
      </c>
      <c r="AB151" s="74">
        <f t="shared" si="74"/>
        <v>0</v>
      </c>
      <c r="AC151" s="74" t="str">
        <f t="shared" si="56"/>
        <v/>
      </c>
      <c r="AE151" s="74" t="str">
        <f t="shared" si="66"/>
        <v/>
      </c>
      <c r="AF151" s="74" t="str">
        <f t="shared" si="67"/>
        <v/>
      </c>
      <c r="AG151" s="74" t="str">
        <f t="shared" si="57"/>
        <v/>
      </c>
      <c r="AH151" s="74">
        <f t="shared" si="58"/>
        <v>0</v>
      </c>
      <c r="AI151" s="74" t="str">
        <f>IF(AH151&lt;&gt;0,COUNTIF(AH$3:AH151,1),"")</f>
        <v/>
      </c>
      <c r="AJ151" s="74">
        <f t="shared" si="76"/>
        <v>0</v>
      </c>
      <c r="AK151" s="73" t="str">
        <f t="shared" si="59"/>
        <v/>
      </c>
      <c r="AL151" s="73" t="str">
        <f t="shared" si="60"/>
        <v/>
      </c>
      <c r="AM151" s="73" t="str">
        <f t="shared" si="61"/>
        <v/>
      </c>
      <c r="AN151" s="73" t="str">
        <f t="shared" si="62"/>
        <v/>
      </c>
      <c r="AP151" s="61" t="str">
        <f t="shared" si="63"/>
        <v/>
      </c>
      <c r="AQ151" s="61" t="str">
        <f t="shared" si="64"/>
        <v/>
      </c>
      <c r="AR151" s="61" t="str">
        <f t="shared" si="65"/>
        <v/>
      </c>
    </row>
    <row r="152" spans="16:44" x14ac:dyDescent="0.25">
      <c r="P152" s="73" t="str">
        <f t="shared" si="68"/>
        <v/>
      </c>
      <c r="Q152" s="73" t="str">
        <f t="shared" si="69"/>
        <v/>
      </c>
      <c r="R152" s="74" t="str">
        <f t="shared" si="70"/>
        <v/>
      </c>
      <c r="S152" s="74" t="str">
        <f t="shared" si="71"/>
        <v/>
      </c>
      <c r="U152" s="74" t="str">
        <f t="shared" si="75"/>
        <v/>
      </c>
      <c r="V152" s="74" t="str">
        <f t="shared" si="75"/>
        <v/>
      </c>
      <c r="W152" s="74" t="str">
        <f t="shared" si="75"/>
        <v/>
      </c>
      <c r="X152" s="74" t="str">
        <f t="shared" si="75"/>
        <v/>
      </c>
      <c r="Y152" s="74" t="str">
        <f t="shared" si="75"/>
        <v/>
      </c>
      <c r="Z152" s="74" t="str">
        <f t="shared" si="72"/>
        <v/>
      </c>
      <c r="AA152" s="74">
        <f t="shared" si="73"/>
        <v>0</v>
      </c>
      <c r="AB152" s="74">
        <f t="shared" si="74"/>
        <v>0</v>
      </c>
      <c r="AC152" s="74" t="str">
        <f t="shared" si="56"/>
        <v/>
      </c>
      <c r="AE152" s="74" t="str">
        <f t="shared" si="66"/>
        <v/>
      </c>
      <c r="AF152" s="74" t="str">
        <f t="shared" si="67"/>
        <v/>
      </c>
      <c r="AG152" s="74" t="str">
        <f t="shared" si="57"/>
        <v/>
      </c>
      <c r="AH152" s="74">
        <f t="shared" si="58"/>
        <v>0</v>
      </c>
      <c r="AI152" s="74" t="str">
        <f>IF(AH152&lt;&gt;0,COUNTIF(AH$3:AH152,1),"")</f>
        <v/>
      </c>
      <c r="AJ152" s="74">
        <f t="shared" si="76"/>
        <v>0</v>
      </c>
      <c r="AK152" s="73" t="str">
        <f t="shared" si="59"/>
        <v/>
      </c>
      <c r="AL152" s="73" t="str">
        <f t="shared" si="60"/>
        <v/>
      </c>
      <c r="AM152" s="73" t="str">
        <f t="shared" si="61"/>
        <v/>
      </c>
      <c r="AN152" s="73" t="str">
        <f t="shared" si="62"/>
        <v/>
      </c>
      <c r="AP152" s="61" t="str">
        <f t="shared" si="63"/>
        <v/>
      </c>
      <c r="AQ152" s="61" t="str">
        <f t="shared" si="64"/>
        <v/>
      </c>
      <c r="AR152" s="61" t="str">
        <f t="shared" si="65"/>
        <v/>
      </c>
    </row>
    <row r="153" spans="16:44" x14ac:dyDescent="0.25">
      <c r="P153" s="73" t="str">
        <f t="shared" si="68"/>
        <v/>
      </c>
      <c r="Q153" s="73" t="str">
        <f t="shared" si="69"/>
        <v/>
      </c>
      <c r="R153" s="74" t="str">
        <f t="shared" si="70"/>
        <v/>
      </c>
      <c r="S153" s="74" t="str">
        <f t="shared" si="71"/>
        <v/>
      </c>
      <c r="U153" s="74" t="str">
        <f t="shared" si="75"/>
        <v/>
      </c>
      <c r="V153" s="74" t="str">
        <f t="shared" si="75"/>
        <v/>
      </c>
      <c r="W153" s="74" t="str">
        <f t="shared" si="75"/>
        <v/>
      </c>
      <c r="X153" s="74" t="str">
        <f t="shared" si="75"/>
        <v/>
      </c>
      <c r="Y153" s="74" t="str">
        <f t="shared" si="75"/>
        <v/>
      </c>
      <c r="Z153" s="74" t="str">
        <f t="shared" si="72"/>
        <v/>
      </c>
      <c r="AA153" s="74">
        <f t="shared" si="73"/>
        <v>0</v>
      </c>
      <c r="AB153" s="74">
        <f t="shared" si="74"/>
        <v>0</v>
      </c>
      <c r="AC153" s="74" t="str">
        <f t="shared" si="56"/>
        <v/>
      </c>
      <c r="AE153" s="74" t="str">
        <f t="shared" si="66"/>
        <v/>
      </c>
      <c r="AF153" s="74" t="str">
        <f t="shared" si="67"/>
        <v/>
      </c>
      <c r="AG153" s="74" t="str">
        <f t="shared" si="57"/>
        <v/>
      </c>
      <c r="AH153" s="74">
        <f t="shared" si="58"/>
        <v>0</v>
      </c>
      <c r="AI153" s="74" t="str">
        <f>IF(AH153&lt;&gt;0,COUNTIF(AH$3:AH153,1),"")</f>
        <v/>
      </c>
      <c r="AJ153" s="74">
        <f t="shared" si="76"/>
        <v>0</v>
      </c>
      <c r="AK153" s="73" t="str">
        <f t="shared" si="59"/>
        <v/>
      </c>
      <c r="AL153" s="73" t="str">
        <f t="shared" si="60"/>
        <v/>
      </c>
      <c r="AM153" s="73" t="str">
        <f t="shared" si="61"/>
        <v/>
      </c>
      <c r="AN153" s="73" t="str">
        <f t="shared" si="62"/>
        <v/>
      </c>
      <c r="AP153" s="61" t="str">
        <f t="shared" si="63"/>
        <v/>
      </c>
      <c r="AQ153" s="61" t="str">
        <f t="shared" si="64"/>
        <v/>
      </c>
      <c r="AR153" s="61" t="str">
        <f t="shared" si="65"/>
        <v/>
      </c>
    </row>
    <row r="154" spans="16:44" x14ac:dyDescent="0.25">
      <c r="P154" s="73" t="str">
        <f t="shared" si="68"/>
        <v/>
      </c>
      <c r="Q154" s="73" t="str">
        <f t="shared" si="69"/>
        <v/>
      </c>
      <c r="R154" s="74" t="str">
        <f t="shared" si="70"/>
        <v/>
      </c>
      <c r="S154" s="74" t="str">
        <f t="shared" si="71"/>
        <v/>
      </c>
      <c r="U154" s="74" t="str">
        <f t="shared" si="75"/>
        <v/>
      </c>
      <c r="V154" s="74" t="str">
        <f t="shared" si="75"/>
        <v/>
      </c>
      <c r="W154" s="74" t="str">
        <f t="shared" si="75"/>
        <v/>
      </c>
      <c r="X154" s="74" t="str">
        <f t="shared" si="75"/>
        <v/>
      </c>
      <c r="Y154" s="74" t="str">
        <f t="shared" si="75"/>
        <v/>
      </c>
      <c r="Z154" s="74" t="str">
        <f t="shared" si="72"/>
        <v/>
      </c>
      <c r="AA154" s="74">
        <f t="shared" si="73"/>
        <v>0</v>
      </c>
      <c r="AB154" s="74">
        <f t="shared" si="74"/>
        <v>0</v>
      </c>
      <c r="AC154" s="74" t="str">
        <f t="shared" si="56"/>
        <v/>
      </c>
      <c r="AE154" s="74" t="str">
        <f t="shared" si="66"/>
        <v/>
      </c>
      <c r="AF154" s="74" t="str">
        <f t="shared" si="67"/>
        <v/>
      </c>
      <c r="AG154" s="74" t="str">
        <f t="shared" si="57"/>
        <v/>
      </c>
      <c r="AH154" s="74">
        <f t="shared" si="58"/>
        <v>0</v>
      </c>
      <c r="AI154" s="74" t="str">
        <f>IF(AH154&lt;&gt;0,COUNTIF(AH$3:AH154,1),"")</f>
        <v/>
      </c>
      <c r="AJ154" s="74">
        <f t="shared" si="76"/>
        <v>0</v>
      </c>
      <c r="AK154" s="73" t="str">
        <f t="shared" si="59"/>
        <v/>
      </c>
      <c r="AL154" s="73" t="str">
        <f t="shared" si="60"/>
        <v/>
      </c>
      <c r="AM154" s="73" t="str">
        <f t="shared" si="61"/>
        <v/>
      </c>
      <c r="AN154" s="73" t="str">
        <f t="shared" si="62"/>
        <v/>
      </c>
      <c r="AP154" s="61" t="str">
        <f t="shared" si="63"/>
        <v/>
      </c>
      <c r="AQ154" s="61" t="str">
        <f t="shared" si="64"/>
        <v/>
      </c>
      <c r="AR154" s="61" t="str">
        <f t="shared" si="65"/>
        <v/>
      </c>
    </row>
    <row r="155" spans="16:44" x14ac:dyDescent="0.25">
      <c r="P155" s="73" t="str">
        <f t="shared" si="68"/>
        <v/>
      </c>
      <c r="Q155" s="73" t="str">
        <f t="shared" si="69"/>
        <v/>
      </c>
      <c r="R155" s="74" t="str">
        <f t="shared" si="70"/>
        <v/>
      </c>
      <c r="S155" s="74" t="str">
        <f t="shared" si="71"/>
        <v/>
      </c>
      <c r="U155" s="74" t="str">
        <f t="shared" si="75"/>
        <v/>
      </c>
      <c r="V155" s="74" t="str">
        <f t="shared" si="75"/>
        <v/>
      </c>
      <c r="W155" s="74" t="str">
        <f t="shared" si="75"/>
        <v/>
      </c>
      <c r="X155" s="74" t="str">
        <f t="shared" si="75"/>
        <v/>
      </c>
      <c r="Y155" s="74" t="str">
        <f t="shared" si="75"/>
        <v/>
      </c>
      <c r="Z155" s="74" t="str">
        <f t="shared" si="72"/>
        <v/>
      </c>
      <c r="AA155" s="74">
        <f t="shared" si="73"/>
        <v>0</v>
      </c>
      <c r="AB155" s="74">
        <f t="shared" si="74"/>
        <v>0</v>
      </c>
      <c r="AC155" s="74" t="str">
        <f t="shared" si="56"/>
        <v/>
      </c>
      <c r="AE155" s="74" t="str">
        <f t="shared" si="66"/>
        <v/>
      </c>
      <c r="AF155" s="74" t="str">
        <f t="shared" si="67"/>
        <v/>
      </c>
      <c r="AG155" s="74" t="str">
        <f t="shared" si="57"/>
        <v/>
      </c>
      <c r="AH155" s="74">
        <f t="shared" si="58"/>
        <v>0</v>
      </c>
      <c r="AI155" s="74" t="str">
        <f>IF(AH155&lt;&gt;0,COUNTIF(AH$3:AH155,1),"")</f>
        <v/>
      </c>
      <c r="AJ155" s="74">
        <f t="shared" si="76"/>
        <v>0</v>
      </c>
      <c r="AK155" s="73" t="str">
        <f t="shared" si="59"/>
        <v/>
      </c>
      <c r="AL155" s="73" t="str">
        <f t="shared" si="60"/>
        <v/>
      </c>
      <c r="AM155" s="73" t="str">
        <f t="shared" si="61"/>
        <v/>
      </c>
      <c r="AN155" s="73" t="str">
        <f t="shared" si="62"/>
        <v/>
      </c>
      <c r="AP155" s="61" t="str">
        <f t="shared" si="63"/>
        <v/>
      </c>
      <c r="AQ155" s="61" t="str">
        <f t="shared" si="64"/>
        <v/>
      </c>
      <c r="AR155" s="61" t="str">
        <f t="shared" si="65"/>
        <v/>
      </c>
    </row>
    <row r="156" spans="16:44" x14ac:dyDescent="0.25">
      <c r="P156" s="73" t="str">
        <f t="shared" si="68"/>
        <v/>
      </c>
      <c r="Q156" s="73" t="str">
        <f t="shared" si="69"/>
        <v/>
      </c>
      <c r="R156" s="74" t="str">
        <f t="shared" si="70"/>
        <v/>
      </c>
      <c r="S156" s="74" t="str">
        <f t="shared" si="71"/>
        <v/>
      </c>
      <c r="U156" s="74" t="str">
        <f t="shared" si="75"/>
        <v/>
      </c>
      <c r="V156" s="74" t="str">
        <f t="shared" si="75"/>
        <v/>
      </c>
      <c r="W156" s="74" t="str">
        <f t="shared" si="75"/>
        <v/>
      </c>
      <c r="X156" s="74" t="str">
        <f t="shared" si="75"/>
        <v/>
      </c>
      <c r="Y156" s="74" t="str">
        <f t="shared" si="75"/>
        <v/>
      </c>
      <c r="Z156" s="74" t="str">
        <f t="shared" si="72"/>
        <v/>
      </c>
      <c r="AA156" s="74">
        <f t="shared" si="73"/>
        <v>0</v>
      </c>
      <c r="AB156" s="74">
        <f t="shared" si="74"/>
        <v>0</v>
      </c>
      <c r="AC156" s="74" t="str">
        <f t="shared" si="56"/>
        <v/>
      </c>
      <c r="AE156" s="74" t="str">
        <f t="shared" si="66"/>
        <v/>
      </c>
      <c r="AF156" s="74" t="str">
        <f t="shared" si="67"/>
        <v/>
      </c>
      <c r="AG156" s="74" t="str">
        <f t="shared" si="57"/>
        <v/>
      </c>
      <c r="AH156" s="74">
        <f t="shared" si="58"/>
        <v>0</v>
      </c>
      <c r="AI156" s="74" t="str">
        <f>IF(AH156&lt;&gt;0,COUNTIF(AH$3:AH156,1),"")</f>
        <v/>
      </c>
      <c r="AJ156" s="74">
        <f t="shared" si="76"/>
        <v>0</v>
      </c>
      <c r="AK156" s="73" t="str">
        <f t="shared" si="59"/>
        <v/>
      </c>
      <c r="AL156" s="73" t="str">
        <f t="shared" si="60"/>
        <v/>
      </c>
      <c r="AM156" s="73" t="str">
        <f t="shared" si="61"/>
        <v/>
      </c>
      <c r="AN156" s="73" t="str">
        <f t="shared" si="62"/>
        <v/>
      </c>
      <c r="AP156" s="61" t="str">
        <f t="shared" si="63"/>
        <v/>
      </c>
      <c r="AQ156" s="61" t="str">
        <f t="shared" si="64"/>
        <v/>
      </c>
      <c r="AR156" s="61" t="str">
        <f t="shared" si="65"/>
        <v/>
      </c>
    </row>
    <row r="157" spans="16:44" x14ac:dyDescent="0.25">
      <c r="P157" s="73" t="str">
        <f t="shared" si="68"/>
        <v/>
      </c>
      <c r="Q157" s="73" t="str">
        <f t="shared" si="69"/>
        <v/>
      </c>
      <c r="R157" s="74" t="str">
        <f t="shared" si="70"/>
        <v/>
      </c>
      <c r="S157" s="74" t="str">
        <f t="shared" si="71"/>
        <v/>
      </c>
      <c r="U157" s="74" t="str">
        <f t="shared" si="75"/>
        <v/>
      </c>
      <c r="V157" s="74" t="str">
        <f t="shared" si="75"/>
        <v/>
      </c>
      <c r="W157" s="74" t="str">
        <f t="shared" si="75"/>
        <v/>
      </c>
      <c r="X157" s="74" t="str">
        <f t="shared" si="75"/>
        <v/>
      </c>
      <c r="Y157" s="74" t="str">
        <f t="shared" si="75"/>
        <v/>
      </c>
      <c r="Z157" s="74" t="str">
        <f t="shared" si="72"/>
        <v/>
      </c>
      <c r="AA157" s="74">
        <f t="shared" si="73"/>
        <v>0</v>
      </c>
      <c r="AB157" s="74">
        <f t="shared" si="74"/>
        <v>0</v>
      </c>
      <c r="AC157" s="74" t="str">
        <f t="shared" si="56"/>
        <v/>
      </c>
      <c r="AE157" s="74" t="str">
        <f t="shared" si="66"/>
        <v/>
      </c>
      <c r="AF157" s="74" t="str">
        <f t="shared" si="67"/>
        <v/>
      </c>
      <c r="AG157" s="74" t="str">
        <f t="shared" si="57"/>
        <v/>
      </c>
      <c r="AH157" s="74">
        <f t="shared" si="58"/>
        <v>0</v>
      </c>
      <c r="AI157" s="74" t="str">
        <f>IF(AH157&lt;&gt;0,COUNTIF(AH$3:AH157,1),"")</f>
        <v/>
      </c>
      <c r="AJ157" s="74">
        <f t="shared" si="76"/>
        <v>0</v>
      </c>
      <c r="AK157" s="73" t="str">
        <f t="shared" si="59"/>
        <v/>
      </c>
      <c r="AL157" s="73" t="str">
        <f t="shared" si="60"/>
        <v/>
      </c>
      <c r="AM157" s="73" t="str">
        <f t="shared" si="61"/>
        <v/>
      </c>
      <c r="AN157" s="73" t="str">
        <f t="shared" si="62"/>
        <v/>
      </c>
      <c r="AP157" s="61" t="str">
        <f t="shared" si="63"/>
        <v/>
      </c>
      <c r="AQ157" s="61" t="str">
        <f t="shared" si="64"/>
        <v/>
      </c>
      <c r="AR157" s="61" t="str">
        <f t="shared" si="65"/>
        <v/>
      </c>
    </row>
    <row r="158" spans="16:44" x14ac:dyDescent="0.25">
      <c r="P158" s="73" t="str">
        <f t="shared" si="68"/>
        <v/>
      </c>
      <c r="Q158" s="73" t="str">
        <f t="shared" si="69"/>
        <v/>
      </c>
      <c r="R158" s="74" t="str">
        <f t="shared" si="70"/>
        <v/>
      </c>
      <c r="S158" s="74" t="str">
        <f t="shared" si="71"/>
        <v/>
      </c>
      <c r="U158" s="74" t="str">
        <f t="shared" si="75"/>
        <v/>
      </c>
      <c r="V158" s="74" t="str">
        <f t="shared" si="75"/>
        <v/>
      </c>
      <c r="W158" s="74" t="str">
        <f t="shared" si="75"/>
        <v/>
      </c>
      <c r="X158" s="74" t="str">
        <f t="shared" si="75"/>
        <v/>
      </c>
      <c r="Y158" s="74" t="str">
        <f t="shared" si="75"/>
        <v/>
      </c>
      <c r="Z158" s="74" t="str">
        <f t="shared" si="72"/>
        <v/>
      </c>
      <c r="AA158" s="74">
        <f t="shared" si="73"/>
        <v>0</v>
      </c>
      <c r="AB158" s="74">
        <f t="shared" si="74"/>
        <v>0</v>
      </c>
      <c r="AC158" s="74" t="str">
        <f t="shared" si="56"/>
        <v/>
      </c>
      <c r="AE158" s="74" t="str">
        <f t="shared" si="66"/>
        <v/>
      </c>
      <c r="AF158" s="74" t="str">
        <f t="shared" si="67"/>
        <v/>
      </c>
      <c r="AG158" s="74" t="str">
        <f t="shared" si="57"/>
        <v/>
      </c>
      <c r="AH158" s="74">
        <f t="shared" si="58"/>
        <v>0</v>
      </c>
      <c r="AI158" s="74" t="str">
        <f>IF(AH158&lt;&gt;0,COUNTIF(AH$3:AH158,1),"")</f>
        <v/>
      </c>
      <c r="AJ158" s="74">
        <f t="shared" si="76"/>
        <v>0</v>
      </c>
      <c r="AK158" s="73" t="str">
        <f t="shared" si="59"/>
        <v/>
      </c>
      <c r="AL158" s="73" t="str">
        <f t="shared" si="60"/>
        <v/>
      </c>
      <c r="AM158" s="73" t="str">
        <f t="shared" si="61"/>
        <v/>
      </c>
      <c r="AN158" s="73" t="str">
        <f t="shared" si="62"/>
        <v/>
      </c>
      <c r="AP158" s="61" t="str">
        <f t="shared" si="63"/>
        <v/>
      </c>
      <c r="AQ158" s="61" t="str">
        <f t="shared" si="64"/>
        <v/>
      </c>
      <c r="AR158" s="61" t="str">
        <f t="shared" si="65"/>
        <v/>
      </c>
    </row>
    <row r="159" spans="16:44" x14ac:dyDescent="0.25">
      <c r="P159" s="73" t="str">
        <f t="shared" si="68"/>
        <v/>
      </c>
      <c r="Q159" s="73" t="str">
        <f t="shared" si="69"/>
        <v/>
      </c>
      <c r="R159" s="74" t="str">
        <f t="shared" si="70"/>
        <v/>
      </c>
      <c r="S159" s="74" t="str">
        <f t="shared" si="71"/>
        <v/>
      </c>
      <c r="U159" s="74" t="str">
        <f t="shared" si="75"/>
        <v/>
      </c>
      <c r="V159" s="74" t="str">
        <f t="shared" si="75"/>
        <v/>
      </c>
      <c r="W159" s="74" t="str">
        <f t="shared" si="75"/>
        <v/>
      </c>
      <c r="X159" s="74" t="str">
        <f t="shared" si="75"/>
        <v/>
      </c>
      <c r="Y159" s="74" t="str">
        <f t="shared" si="75"/>
        <v/>
      </c>
      <c r="Z159" s="74" t="str">
        <f t="shared" si="72"/>
        <v/>
      </c>
      <c r="AA159" s="74">
        <f t="shared" si="73"/>
        <v>0</v>
      </c>
      <c r="AB159" s="74">
        <f t="shared" si="74"/>
        <v>0</v>
      </c>
      <c r="AC159" s="74" t="str">
        <f t="shared" si="56"/>
        <v/>
      </c>
      <c r="AE159" s="74" t="str">
        <f t="shared" si="66"/>
        <v/>
      </c>
      <c r="AF159" s="74" t="str">
        <f t="shared" si="67"/>
        <v/>
      </c>
      <c r="AG159" s="74" t="str">
        <f t="shared" si="57"/>
        <v/>
      </c>
      <c r="AH159" s="74">
        <f t="shared" si="58"/>
        <v>0</v>
      </c>
      <c r="AI159" s="74" t="str">
        <f>IF(AH159&lt;&gt;0,COUNTIF(AH$3:AH159,1),"")</f>
        <v/>
      </c>
      <c r="AJ159" s="74">
        <f t="shared" si="76"/>
        <v>0</v>
      </c>
      <c r="AK159" s="73" t="str">
        <f t="shared" si="59"/>
        <v/>
      </c>
      <c r="AL159" s="73" t="str">
        <f t="shared" si="60"/>
        <v/>
      </c>
      <c r="AM159" s="73" t="str">
        <f t="shared" si="61"/>
        <v/>
      </c>
      <c r="AN159" s="73" t="str">
        <f t="shared" si="62"/>
        <v/>
      </c>
      <c r="AP159" s="61" t="str">
        <f t="shared" si="63"/>
        <v/>
      </c>
      <c r="AQ159" s="61" t="str">
        <f t="shared" si="64"/>
        <v/>
      </c>
      <c r="AR159" s="61" t="str">
        <f t="shared" si="65"/>
        <v/>
      </c>
    </row>
    <row r="160" spans="16:44" x14ac:dyDescent="0.25">
      <c r="P160" s="73" t="str">
        <f t="shared" si="68"/>
        <v/>
      </c>
      <c r="Q160" s="73" t="str">
        <f t="shared" si="69"/>
        <v/>
      </c>
      <c r="R160" s="74" t="str">
        <f t="shared" si="70"/>
        <v/>
      </c>
      <c r="S160" s="74" t="str">
        <f t="shared" si="71"/>
        <v/>
      </c>
      <c r="U160" s="74" t="str">
        <f t="shared" si="75"/>
        <v/>
      </c>
      <c r="V160" s="74" t="str">
        <f t="shared" si="75"/>
        <v/>
      </c>
      <c r="W160" s="74" t="str">
        <f t="shared" si="75"/>
        <v/>
      </c>
      <c r="X160" s="74" t="str">
        <f t="shared" si="75"/>
        <v/>
      </c>
      <c r="Y160" s="74" t="str">
        <f t="shared" si="75"/>
        <v/>
      </c>
      <c r="Z160" s="74" t="str">
        <f t="shared" si="72"/>
        <v/>
      </c>
      <c r="AA160" s="74">
        <f t="shared" si="73"/>
        <v>0</v>
      </c>
      <c r="AB160" s="74">
        <f t="shared" si="74"/>
        <v>0</v>
      </c>
      <c r="AC160" s="74" t="str">
        <f t="shared" si="56"/>
        <v/>
      </c>
      <c r="AE160" s="74" t="str">
        <f t="shared" si="66"/>
        <v/>
      </c>
      <c r="AF160" s="74" t="str">
        <f t="shared" si="67"/>
        <v/>
      </c>
      <c r="AG160" s="74" t="str">
        <f t="shared" si="57"/>
        <v/>
      </c>
      <c r="AH160" s="74">
        <f t="shared" si="58"/>
        <v>0</v>
      </c>
      <c r="AI160" s="74" t="str">
        <f>IF(AH160&lt;&gt;0,COUNTIF(AH$3:AH160,1),"")</f>
        <v/>
      </c>
      <c r="AJ160" s="74">
        <f t="shared" si="76"/>
        <v>0</v>
      </c>
      <c r="AK160" s="73" t="str">
        <f t="shared" si="59"/>
        <v/>
      </c>
      <c r="AL160" s="73" t="str">
        <f t="shared" si="60"/>
        <v/>
      </c>
      <c r="AM160" s="73" t="str">
        <f t="shared" si="61"/>
        <v/>
      </c>
      <c r="AN160" s="73" t="str">
        <f t="shared" si="62"/>
        <v/>
      </c>
      <c r="AP160" s="61" t="str">
        <f t="shared" si="63"/>
        <v/>
      </c>
      <c r="AQ160" s="61" t="str">
        <f t="shared" si="64"/>
        <v/>
      </c>
      <c r="AR160" s="61" t="str">
        <f t="shared" si="65"/>
        <v/>
      </c>
    </row>
    <row r="161" spans="16:44" x14ac:dyDescent="0.25">
      <c r="P161" s="73" t="str">
        <f t="shared" si="68"/>
        <v/>
      </c>
      <c r="Q161" s="73" t="str">
        <f t="shared" si="69"/>
        <v/>
      </c>
      <c r="R161" s="74" t="str">
        <f t="shared" si="70"/>
        <v/>
      </c>
      <c r="S161" s="74" t="str">
        <f t="shared" si="71"/>
        <v/>
      </c>
      <c r="U161" s="74" t="str">
        <f t="shared" si="75"/>
        <v/>
      </c>
      <c r="V161" s="74" t="str">
        <f t="shared" si="75"/>
        <v/>
      </c>
      <c r="W161" s="74" t="str">
        <f t="shared" si="75"/>
        <v/>
      </c>
      <c r="X161" s="74" t="str">
        <f t="shared" si="75"/>
        <v/>
      </c>
      <c r="Y161" s="74" t="str">
        <f t="shared" si="75"/>
        <v/>
      </c>
      <c r="Z161" s="74" t="str">
        <f t="shared" si="72"/>
        <v/>
      </c>
      <c r="AA161" s="74">
        <f t="shared" si="73"/>
        <v>0</v>
      </c>
      <c r="AB161" s="74">
        <f t="shared" si="74"/>
        <v>0</v>
      </c>
      <c r="AC161" s="74" t="str">
        <f t="shared" si="56"/>
        <v/>
      </c>
      <c r="AE161" s="74" t="str">
        <f t="shared" si="66"/>
        <v/>
      </c>
      <c r="AF161" s="74" t="str">
        <f t="shared" si="67"/>
        <v/>
      </c>
      <c r="AG161" s="74" t="str">
        <f t="shared" si="57"/>
        <v/>
      </c>
      <c r="AH161" s="74">
        <f t="shared" si="58"/>
        <v>0</v>
      </c>
      <c r="AI161" s="74" t="str">
        <f>IF(AH161&lt;&gt;0,COUNTIF(AH$3:AH161,1),"")</f>
        <v/>
      </c>
      <c r="AJ161" s="74">
        <f t="shared" si="76"/>
        <v>0</v>
      </c>
      <c r="AK161" s="73" t="str">
        <f t="shared" si="59"/>
        <v/>
      </c>
      <c r="AL161" s="73" t="str">
        <f t="shared" si="60"/>
        <v/>
      </c>
      <c r="AM161" s="73" t="str">
        <f t="shared" si="61"/>
        <v/>
      </c>
      <c r="AN161" s="73" t="str">
        <f t="shared" si="62"/>
        <v/>
      </c>
      <c r="AP161" s="61" t="str">
        <f t="shared" si="63"/>
        <v/>
      </c>
      <c r="AQ161" s="61" t="str">
        <f t="shared" si="64"/>
        <v/>
      </c>
      <c r="AR161" s="61" t="str">
        <f t="shared" si="65"/>
        <v/>
      </c>
    </row>
    <row r="162" spans="16:44" x14ac:dyDescent="0.25">
      <c r="P162" s="73" t="str">
        <f t="shared" si="68"/>
        <v/>
      </c>
      <c r="Q162" s="73" t="str">
        <f t="shared" si="69"/>
        <v/>
      </c>
      <c r="R162" s="74" t="str">
        <f t="shared" si="70"/>
        <v/>
      </c>
      <c r="S162" s="74" t="str">
        <f t="shared" si="71"/>
        <v/>
      </c>
      <c r="U162" s="74" t="str">
        <f t="shared" si="75"/>
        <v/>
      </c>
      <c r="V162" s="74" t="str">
        <f t="shared" si="75"/>
        <v/>
      </c>
      <c r="W162" s="74" t="str">
        <f t="shared" si="75"/>
        <v/>
      </c>
      <c r="X162" s="74" t="str">
        <f t="shared" si="75"/>
        <v/>
      </c>
      <c r="Y162" s="74" t="str">
        <f t="shared" si="75"/>
        <v/>
      </c>
      <c r="Z162" s="74" t="str">
        <f t="shared" si="72"/>
        <v/>
      </c>
      <c r="AA162" s="74">
        <f t="shared" si="73"/>
        <v>0</v>
      </c>
      <c r="AB162" s="74">
        <f t="shared" si="74"/>
        <v>0</v>
      </c>
      <c r="AC162" s="74" t="str">
        <f t="shared" si="56"/>
        <v/>
      </c>
      <c r="AE162" s="74" t="str">
        <f t="shared" si="66"/>
        <v/>
      </c>
      <c r="AF162" s="74" t="str">
        <f t="shared" si="67"/>
        <v/>
      </c>
      <c r="AG162" s="74" t="str">
        <f t="shared" si="57"/>
        <v/>
      </c>
      <c r="AH162" s="74">
        <f t="shared" si="58"/>
        <v>0</v>
      </c>
      <c r="AI162" s="74" t="str">
        <f>IF(AH162&lt;&gt;0,COUNTIF(AH$3:AH162,1),"")</f>
        <v/>
      </c>
      <c r="AJ162" s="74">
        <f t="shared" si="76"/>
        <v>0</v>
      </c>
      <c r="AK162" s="73" t="str">
        <f t="shared" si="59"/>
        <v/>
      </c>
      <c r="AL162" s="73" t="str">
        <f t="shared" si="60"/>
        <v/>
      </c>
      <c r="AM162" s="73" t="str">
        <f t="shared" si="61"/>
        <v/>
      </c>
      <c r="AN162" s="73" t="str">
        <f t="shared" si="62"/>
        <v/>
      </c>
      <c r="AP162" s="61" t="str">
        <f t="shared" si="63"/>
        <v/>
      </c>
      <c r="AQ162" s="61" t="str">
        <f t="shared" si="64"/>
        <v/>
      </c>
      <c r="AR162" s="61" t="str">
        <f t="shared" si="65"/>
        <v/>
      </c>
    </row>
    <row r="163" spans="16:44" x14ac:dyDescent="0.25">
      <c r="P163" s="73" t="str">
        <f t="shared" si="68"/>
        <v/>
      </c>
      <c r="Q163" s="73" t="str">
        <f t="shared" si="69"/>
        <v/>
      </c>
      <c r="R163" s="74" t="str">
        <f t="shared" si="70"/>
        <v/>
      </c>
      <c r="S163" s="74" t="str">
        <f t="shared" si="71"/>
        <v/>
      </c>
      <c r="U163" s="74" t="str">
        <f t="shared" si="75"/>
        <v/>
      </c>
      <c r="V163" s="74" t="str">
        <f t="shared" si="75"/>
        <v/>
      </c>
      <c r="W163" s="74" t="str">
        <f t="shared" si="75"/>
        <v/>
      </c>
      <c r="X163" s="74" t="str">
        <f t="shared" si="75"/>
        <v/>
      </c>
      <c r="Y163" s="74" t="str">
        <f t="shared" si="75"/>
        <v/>
      </c>
      <c r="Z163" s="74" t="str">
        <f t="shared" si="72"/>
        <v/>
      </c>
      <c r="AA163" s="74">
        <f t="shared" si="73"/>
        <v>0</v>
      </c>
      <c r="AB163" s="74">
        <f t="shared" si="74"/>
        <v>0</v>
      </c>
      <c r="AC163" s="74" t="str">
        <f t="shared" si="56"/>
        <v/>
      </c>
      <c r="AE163" s="74" t="str">
        <f t="shared" si="66"/>
        <v/>
      </c>
      <c r="AF163" s="74" t="str">
        <f t="shared" si="67"/>
        <v/>
      </c>
      <c r="AG163" s="74" t="str">
        <f t="shared" si="57"/>
        <v/>
      </c>
      <c r="AH163" s="74">
        <f t="shared" si="58"/>
        <v>0</v>
      </c>
      <c r="AI163" s="74" t="str">
        <f>IF(AH163&lt;&gt;0,COUNTIF(AH$3:AH163,1),"")</f>
        <v/>
      </c>
      <c r="AJ163" s="74">
        <f t="shared" si="76"/>
        <v>0</v>
      </c>
      <c r="AK163" s="73" t="str">
        <f t="shared" si="59"/>
        <v/>
      </c>
      <c r="AL163" s="73" t="str">
        <f t="shared" si="60"/>
        <v/>
      </c>
      <c r="AM163" s="73" t="str">
        <f t="shared" si="61"/>
        <v/>
      </c>
      <c r="AN163" s="73" t="str">
        <f t="shared" si="62"/>
        <v/>
      </c>
      <c r="AP163" s="61" t="str">
        <f t="shared" si="63"/>
        <v/>
      </c>
      <c r="AQ163" s="61" t="str">
        <f t="shared" si="64"/>
        <v/>
      </c>
      <c r="AR163" s="61" t="str">
        <f t="shared" si="65"/>
        <v/>
      </c>
    </row>
    <row r="164" spans="16:44" x14ac:dyDescent="0.25">
      <c r="P164" s="73" t="str">
        <f t="shared" si="68"/>
        <v/>
      </c>
      <c r="Q164" s="73" t="str">
        <f t="shared" si="69"/>
        <v/>
      </c>
      <c r="R164" s="74" t="str">
        <f t="shared" si="70"/>
        <v/>
      </c>
      <c r="S164" s="74" t="str">
        <f t="shared" si="71"/>
        <v/>
      </c>
      <c r="U164" s="74" t="str">
        <f t="shared" si="75"/>
        <v/>
      </c>
      <c r="V164" s="74" t="str">
        <f t="shared" si="75"/>
        <v/>
      </c>
      <c r="W164" s="74" t="str">
        <f t="shared" si="75"/>
        <v/>
      </c>
      <c r="X164" s="74" t="str">
        <f t="shared" si="75"/>
        <v/>
      </c>
      <c r="Y164" s="74" t="str">
        <f t="shared" si="75"/>
        <v/>
      </c>
      <c r="Z164" s="74" t="str">
        <f t="shared" si="72"/>
        <v/>
      </c>
      <c r="AA164" s="74">
        <f t="shared" si="73"/>
        <v>0</v>
      </c>
      <c r="AB164" s="74">
        <f t="shared" si="74"/>
        <v>0</v>
      </c>
      <c r="AC164" s="74" t="str">
        <f t="shared" si="56"/>
        <v/>
      </c>
      <c r="AE164" s="74" t="str">
        <f t="shared" si="66"/>
        <v/>
      </c>
      <c r="AF164" s="74" t="str">
        <f t="shared" si="67"/>
        <v/>
      </c>
      <c r="AG164" s="74" t="str">
        <f t="shared" si="57"/>
        <v/>
      </c>
      <c r="AH164" s="74">
        <f t="shared" si="58"/>
        <v>0</v>
      </c>
      <c r="AI164" s="74" t="str">
        <f>IF(AH164&lt;&gt;0,COUNTIF(AH$3:AH164,1),"")</f>
        <v/>
      </c>
      <c r="AJ164" s="74">
        <f t="shared" si="76"/>
        <v>0</v>
      </c>
      <c r="AK164" s="73" t="str">
        <f t="shared" si="59"/>
        <v/>
      </c>
      <c r="AL164" s="73" t="str">
        <f t="shared" si="60"/>
        <v/>
      </c>
      <c r="AM164" s="73" t="str">
        <f t="shared" si="61"/>
        <v/>
      </c>
      <c r="AN164" s="73" t="str">
        <f t="shared" si="62"/>
        <v/>
      </c>
      <c r="AP164" s="61" t="str">
        <f t="shared" si="63"/>
        <v/>
      </c>
      <c r="AQ164" s="61" t="str">
        <f t="shared" si="64"/>
        <v/>
      </c>
      <c r="AR164" s="61" t="str">
        <f t="shared" si="65"/>
        <v/>
      </c>
    </row>
    <row r="165" spans="16:44" x14ac:dyDescent="0.25">
      <c r="P165" s="73" t="str">
        <f t="shared" si="68"/>
        <v/>
      </c>
      <c r="Q165" s="73" t="str">
        <f t="shared" si="69"/>
        <v/>
      </c>
      <c r="R165" s="74" t="str">
        <f t="shared" si="70"/>
        <v/>
      </c>
      <c r="S165" s="74" t="str">
        <f t="shared" si="71"/>
        <v/>
      </c>
      <c r="U165" s="74" t="str">
        <f t="shared" si="75"/>
        <v/>
      </c>
      <c r="V165" s="74" t="str">
        <f t="shared" si="75"/>
        <v/>
      </c>
      <c r="W165" s="74" t="str">
        <f t="shared" si="75"/>
        <v/>
      </c>
      <c r="X165" s="74" t="str">
        <f t="shared" si="75"/>
        <v/>
      </c>
      <c r="Y165" s="74" t="str">
        <f t="shared" si="75"/>
        <v/>
      </c>
      <c r="Z165" s="74" t="str">
        <f t="shared" si="72"/>
        <v/>
      </c>
      <c r="AA165" s="74">
        <f t="shared" si="73"/>
        <v>0</v>
      </c>
      <c r="AB165" s="74">
        <f t="shared" si="74"/>
        <v>0</v>
      </c>
      <c r="AC165" s="74" t="str">
        <f t="shared" si="56"/>
        <v/>
      </c>
      <c r="AE165" s="74" t="str">
        <f t="shared" si="66"/>
        <v/>
      </c>
      <c r="AF165" s="74" t="str">
        <f t="shared" si="67"/>
        <v/>
      </c>
      <c r="AG165" s="74" t="str">
        <f t="shared" si="57"/>
        <v/>
      </c>
      <c r="AH165" s="74">
        <f t="shared" si="58"/>
        <v>0</v>
      </c>
      <c r="AI165" s="74" t="str">
        <f>IF(AH165&lt;&gt;0,COUNTIF(AH$3:AH165,1),"")</f>
        <v/>
      </c>
      <c r="AJ165" s="74">
        <f t="shared" si="76"/>
        <v>0</v>
      </c>
      <c r="AK165" s="73" t="str">
        <f t="shared" si="59"/>
        <v/>
      </c>
      <c r="AL165" s="73" t="str">
        <f t="shared" si="60"/>
        <v/>
      </c>
      <c r="AM165" s="73" t="str">
        <f t="shared" si="61"/>
        <v/>
      </c>
      <c r="AN165" s="73" t="str">
        <f t="shared" si="62"/>
        <v/>
      </c>
      <c r="AP165" s="61" t="str">
        <f t="shared" si="63"/>
        <v/>
      </c>
      <c r="AQ165" s="61" t="str">
        <f t="shared" si="64"/>
        <v/>
      </c>
      <c r="AR165" s="61" t="str">
        <f t="shared" si="65"/>
        <v/>
      </c>
    </row>
    <row r="166" spans="16:44" x14ac:dyDescent="0.25">
      <c r="P166" s="73" t="str">
        <f t="shared" si="68"/>
        <v/>
      </c>
      <c r="Q166" s="73" t="str">
        <f t="shared" si="69"/>
        <v/>
      </c>
      <c r="R166" s="74" t="str">
        <f t="shared" si="70"/>
        <v/>
      </c>
      <c r="S166" s="74" t="str">
        <f t="shared" si="71"/>
        <v/>
      </c>
      <c r="U166" s="74" t="str">
        <f t="shared" si="75"/>
        <v/>
      </c>
      <c r="V166" s="74" t="str">
        <f t="shared" si="75"/>
        <v/>
      </c>
      <c r="W166" s="74" t="str">
        <f t="shared" si="75"/>
        <v/>
      </c>
      <c r="X166" s="74" t="str">
        <f t="shared" si="75"/>
        <v/>
      </c>
      <c r="Y166" s="74" t="str">
        <f t="shared" si="75"/>
        <v/>
      </c>
      <c r="Z166" s="74" t="str">
        <f t="shared" si="72"/>
        <v/>
      </c>
      <c r="AA166" s="74">
        <f t="shared" si="73"/>
        <v>0</v>
      </c>
      <c r="AB166" s="74">
        <f t="shared" si="74"/>
        <v>0</v>
      </c>
      <c r="AC166" s="74" t="str">
        <f t="shared" si="56"/>
        <v/>
      </c>
      <c r="AE166" s="74" t="str">
        <f t="shared" si="66"/>
        <v/>
      </c>
      <c r="AF166" s="74" t="str">
        <f t="shared" si="67"/>
        <v/>
      </c>
      <c r="AG166" s="74" t="str">
        <f t="shared" si="57"/>
        <v/>
      </c>
      <c r="AH166" s="74">
        <f t="shared" si="58"/>
        <v>0</v>
      </c>
      <c r="AI166" s="74" t="str">
        <f>IF(AH166&lt;&gt;0,COUNTIF(AH$3:AH166,1),"")</f>
        <v/>
      </c>
      <c r="AJ166" s="74">
        <f t="shared" si="76"/>
        <v>0</v>
      </c>
      <c r="AK166" s="73" t="str">
        <f t="shared" si="59"/>
        <v/>
      </c>
      <c r="AL166" s="73" t="str">
        <f t="shared" si="60"/>
        <v/>
      </c>
      <c r="AM166" s="73" t="str">
        <f t="shared" si="61"/>
        <v/>
      </c>
      <c r="AN166" s="73" t="str">
        <f t="shared" si="62"/>
        <v/>
      </c>
      <c r="AP166" s="61" t="str">
        <f t="shared" si="63"/>
        <v/>
      </c>
      <c r="AQ166" s="61" t="str">
        <f t="shared" si="64"/>
        <v/>
      </c>
      <c r="AR166" s="61" t="str">
        <f t="shared" si="65"/>
        <v/>
      </c>
    </row>
    <row r="167" spans="16:44" x14ac:dyDescent="0.25">
      <c r="P167" s="73" t="str">
        <f t="shared" si="68"/>
        <v/>
      </c>
      <c r="Q167" s="73" t="str">
        <f t="shared" si="69"/>
        <v/>
      </c>
      <c r="R167" s="74" t="str">
        <f t="shared" si="70"/>
        <v/>
      </c>
      <c r="S167" s="74" t="str">
        <f t="shared" si="71"/>
        <v/>
      </c>
      <c r="U167" s="74" t="str">
        <f t="shared" si="75"/>
        <v/>
      </c>
      <c r="V167" s="74" t="str">
        <f t="shared" si="75"/>
        <v/>
      </c>
      <c r="W167" s="74" t="str">
        <f t="shared" si="75"/>
        <v/>
      </c>
      <c r="X167" s="74" t="str">
        <f t="shared" si="75"/>
        <v/>
      </c>
      <c r="Y167" s="74" t="str">
        <f t="shared" si="75"/>
        <v/>
      </c>
      <c r="Z167" s="74" t="str">
        <f t="shared" si="72"/>
        <v/>
      </c>
      <c r="AA167" s="74">
        <f t="shared" si="73"/>
        <v>0</v>
      </c>
      <c r="AB167" s="74">
        <f t="shared" si="74"/>
        <v>0</v>
      </c>
      <c r="AC167" s="74" t="str">
        <f t="shared" si="56"/>
        <v/>
      </c>
      <c r="AE167" s="74" t="str">
        <f t="shared" si="66"/>
        <v/>
      </c>
      <c r="AF167" s="74" t="str">
        <f t="shared" si="67"/>
        <v/>
      </c>
      <c r="AG167" s="74" t="str">
        <f t="shared" si="57"/>
        <v/>
      </c>
      <c r="AH167" s="74">
        <f t="shared" si="58"/>
        <v>0</v>
      </c>
      <c r="AI167" s="74" t="str">
        <f>IF(AH167&lt;&gt;0,COUNTIF(AH$3:AH167,1),"")</f>
        <v/>
      </c>
      <c r="AJ167" s="74">
        <f t="shared" si="76"/>
        <v>0</v>
      </c>
      <c r="AK167" s="73" t="str">
        <f t="shared" si="59"/>
        <v/>
      </c>
      <c r="AL167" s="73" t="str">
        <f t="shared" si="60"/>
        <v/>
      </c>
      <c r="AM167" s="73" t="str">
        <f t="shared" si="61"/>
        <v/>
      </c>
      <c r="AN167" s="73" t="str">
        <f t="shared" si="62"/>
        <v/>
      </c>
      <c r="AP167" s="61" t="str">
        <f t="shared" si="63"/>
        <v/>
      </c>
      <c r="AQ167" s="61" t="str">
        <f t="shared" si="64"/>
        <v/>
      </c>
      <c r="AR167" s="61" t="str">
        <f t="shared" si="65"/>
        <v/>
      </c>
    </row>
    <row r="168" spans="16:44" x14ac:dyDescent="0.25">
      <c r="P168" s="73" t="str">
        <f t="shared" si="68"/>
        <v/>
      </c>
      <c r="Q168" s="73" t="str">
        <f t="shared" si="69"/>
        <v/>
      </c>
      <c r="R168" s="74" t="str">
        <f t="shared" si="70"/>
        <v/>
      </c>
      <c r="S168" s="74" t="str">
        <f t="shared" si="71"/>
        <v/>
      </c>
      <c r="U168" s="74" t="str">
        <f t="shared" si="75"/>
        <v/>
      </c>
      <c r="V168" s="74" t="str">
        <f t="shared" si="75"/>
        <v/>
      </c>
      <c r="W168" s="74" t="str">
        <f t="shared" si="75"/>
        <v/>
      </c>
      <c r="X168" s="74" t="str">
        <f t="shared" si="75"/>
        <v/>
      </c>
      <c r="Y168" s="74" t="str">
        <f t="shared" si="75"/>
        <v/>
      </c>
      <c r="Z168" s="74" t="str">
        <f t="shared" si="72"/>
        <v/>
      </c>
      <c r="AA168" s="74">
        <f t="shared" si="73"/>
        <v>0</v>
      </c>
      <c r="AB168" s="74">
        <f t="shared" si="74"/>
        <v>0</v>
      </c>
      <c r="AC168" s="74" t="str">
        <f t="shared" si="56"/>
        <v/>
      </c>
      <c r="AE168" s="74" t="str">
        <f t="shared" si="66"/>
        <v/>
      </c>
      <c r="AF168" s="74" t="str">
        <f t="shared" si="67"/>
        <v/>
      </c>
      <c r="AG168" s="74" t="str">
        <f t="shared" si="57"/>
        <v/>
      </c>
      <c r="AH168" s="74">
        <f t="shared" si="58"/>
        <v>0</v>
      </c>
      <c r="AI168" s="74" t="str">
        <f>IF(AH168&lt;&gt;0,COUNTIF(AH$3:AH168,1),"")</f>
        <v/>
      </c>
      <c r="AJ168" s="74">
        <f t="shared" si="76"/>
        <v>0</v>
      </c>
      <c r="AK168" s="73" t="str">
        <f t="shared" si="59"/>
        <v/>
      </c>
      <c r="AL168" s="73" t="str">
        <f t="shared" si="60"/>
        <v/>
      </c>
      <c r="AM168" s="73" t="str">
        <f t="shared" si="61"/>
        <v/>
      </c>
      <c r="AN168" s="73" t="str">
        <f t="shared" si="62"/>
        <v/>
      </c>
      <c r="AP168" s="61" t="str">
        <f t="shared" si="63"/>
        <v/>
      </c>
      <c r="AQ168" s="61" t="str">
        <f t="shared" si="64"/>
        <v/>
      </c>
      <c r="AR168" s="61" t="str">
        <f t="shared" si="65"/>
        <v/>
      </c>
    </row>
    <row r="169" spans="16:44" x14ac:dyDescent="0.25">
      <c r="P169" s="73" t="str">
        <f t="shared" si="68"/>
        <v/>
      </c>
      <c r="Q169" s="73" t="str">
        <f t="shared" si="69"/>
        <v/>
      </c>
      <c r="R169" s="74" t="str">
        <f t="shared" si="70"/>
        <v/>
      </c>
      <c r="S169" s="74" t="str">
        <f t="shared" si="71"/>
        <v/>
      </c>
      <c r="U169" s="74" t="str">
        <f t="shared" si="75"/>
        <v/>
      </c>
      <c r="V169" s="74" t="str">
        <f t="shared" si="75"/>
        <v/>
      </c>
      <c r="W169" s="74" t="str">
        <f t="shared" si="75"/>
        <v/>
      </c>
      <c r="X169" s="74" t="str">
        <f t="shared" si="75"/>
        <v/>
      </c>
      <c r="Y169" s="74" t="str">
        <f t="shared" si="75"/>
        <v/>
      </c>
      <c r="Z169" s="74" t="str">
        <f t="shared" si="72"/>
        <v/>
      </c>
      <c r="AA169" s="74">
        <f t="shared" si="73"/>
        <v>0</v>
      </c>
      <c r="AB169" s="74">
        <f t="shared" si="74"/>
        <v>0</v>
      </c>
      <c r="AC169" s="74" t="str">
        <f t="shared" si="56"/>
        <v/>
      </c>
      <c r="AE169" s="74" t="str">
        <f t="shared" si="66"/>
        <v/>
      </c>
      <c r="AF169" s="74" t="str">
        <f t="shared" si="67"/>
        <v/>
      </c>
      <c r="AG169" s="74" t="str">
        <f t="shared" si="57"/>
        <v/>
      </c>
      <c r="AH169" s="74">
        <f t="shared" si="58"/>
        <v>0</v>
      </c>
      <c r="AI169" s="74" t="str">
        <f>IF(AH169&lt;&gt;0,COUNTIF(AH$3:AH169,1),"")</f>
        <v/>
      </c>
      <c r="AJ169" s="74">
        <f t="shared" si="76"/>
        <v>0</v>
      </c>
      <c r="AK169" s="73" t="str">
        <f t="shared" si="59"/>
        <v/>
      </c>
      <c r="AL169" s="73" t="str">
        <f t="shared" si="60"/>
        <v/>
      </c>
      <c r="AM169" s="73" t="str">
        <f t="shared" si="61"/>
        <v/>
      </c>
      <c r="AN169" s="73" t="str">
        <f t="shared" si="62"/>
        <v/>
      </c>
      <c r="AP169" s="61" t="str">
        <f t="shared" si="63"/>
        <v/>
      </c>
      <c r="AQ169" s="61" t="str">
        <f t="shared" si="64"/>
        <v/>
      </c>
      <c r="AR169" s="61" t="str">
        <f t="shared" si="65"/>
        <v/>
      </c>
    </row>
    <row r="170" spans="16:44" x14ac:dyDescent="0.25">
      <c r="P170" s="73" t="str">
        <f t="shared" si="68"/>
        <v/>
      </c>
      <c r="Q170" s="73" t="str">
        <f t="shared" si="69"/>
        <v/>
      </c>
      <c r="R170" s="74" t="str">
        <f t="shared" si="70"/>
        <v/>
      </c>
      <c r="S170" s="74" t="str">
        <f t="shared" si="71"/>
        <v/>
      </c>
      <c r="U170" s="74" t="str">
        <f t="shared" si="75"/>
        <v/>
      </c>
      <c r="V170" s="74" t="str">
        <f t="shared" si="75"/>
        <v/>
      </c>
      <c r="W170" s="74" t="str">
        <f t="shared" si="75"/>
        <v/>
      </c>
      <c r="X170" s="74" t="str">
        <f t="shared" si="75"/>
        <v/>
      </c>
      <c r="Y170" s="74" t="str">
        <f t="shared" si="75"/>
        <v/>
      </c>
      <c r="Z170" s="74" t="str">
        <f t="shared" si="72"/>
        <v/>
      </c>
      <c r="AA170" s="74">
        <f t="shared" si="73"/>
        <v>0</v>
      </c>
      <c r="AB170" s="74">
        <f t="shared" si="74"/>
        <v>0</v>
      </c>
      <c r="AC170" s="74" t="str">
        <f t="shared" si="56"/>
        <v/>
      </c>
      <c r="AE170" s="74" t="str">
        <f t="shared" si="66"/>
        <v/>
      </c>
      <c r="AF170" s="74" t="str">
        <f t="shared" si="67"/>
        <v/>
      </c>
      <c r="AG170" s="74" t="str">
        <f t="shared" si="57"/>
        <v/>
      </c>
      <c r="AH170" s="74">
        <f t="shared" si="58"/>
        <v>0</v>
      </c>
      <c r="AI170" s="74" t="str">
        <f>IF(AH170&lt;&gt;0,COUNTIF(AH$3:AH170,1),"")</f>
        <v/>
      </c>
      <c r="AJ170" s="74">
        <f t="shared" si="76"/>
        <v>0</v>
      </c>
      <c r="AK170" s="73" t="str">
        <f t="shared" si="59"/>
        <v/>
      </c>
      <c r="AL170" s="73" t="str">
        <f t="shared" si="60"/>
        <v/>
      </c>
      <c r="AM170" s="73" t="str">
        <f t="shared" si="61"/>
        <v/>
      </c>
      <c r="AN170" s="73" t="str">
        <f t="shared" si="62"/>
        <v/>
      </c>
      <c r="AP170" s="61" t="str">
        <f t="shared" si="63"/>
        <v/>
      </c>
      <c r="AQ170" s="61" t="str">
        <f t="shared" si="64"/>
        <v/>
      </c>
      <c r="AR170" s="61" t="str">
        <f t="shared" si="65"/>
        <v/>
      </c>
    </row>
    <row r="171" spans="16:44" x14ac:dyDescent="0.25">
      <c r="P171" s="73" t="str">
        <f t="shared" si="68"/>
        <v/>
      </c>
      <c r="Q171" s="73" t="str">
        <f t="shared" si="69"/>
        <v/>
      </c>
      <c r="R171" s="74" t="str">
        <f t="shared" si="70"/>
        <v/>
      </c>
      <c r="S171" s="74" t="str">
        <f t="shared" si="71"/>
        <v/>
      </c>
      <c r="U171" s="74" t="str">
        <f t="shared" si="75"/>
        <v/>
      </c>
      <c r="V171" s="74" t="str">
        <f t="shared" si="75"/>
        <v/>
      </c>
      <c r="W171" s="74" t="str">
        <f t="shared" si="75"/>
        <v/>
      </c>
      <c r="X171" s="74" t="str">
        <f t="shared" si="75"/>
        <v/>
      </c>
      <c r="Y171" s="74" t="str">
        <f t="shared" si="75"/>
        <v/>
      </c>
      <c r="Z171" s="74" t="str">
        <f t="shared" si="72"/>
        <v/>
      </c>
      <c r="AA171" s="74">
        <f t="shared" si="73"/>
        <v>0</v>
      </c>
      <c r="AB171" s="74">
        <f t="shared" si="74"/>
        <v>0</v>
      </c>
      <c r="AC171" s="74" t="str">
        <f t="shared" si="56"/>
        <v/>
      </c>
      <c r="AE171" s="74" t="str">
        <f t="shared" si="66"/>
        <v/>
      </c>
      <c r="AF171" s="74" t="str">
        <f t="shared" si="67"/>
        <v/>
      </c>
      <c r="AG171" s="74" t="str">
        <f t="shared" si="57"/>
        <v/>
      </c>
      <c r="AH171" s="74">
        <f t="shared" si="58"/>
        <v>0</v>
      </c>
      <c r="AI171" s="74" t="str">
        <f>IF(AH171&lt;&gt;0,COUNTIF(AH$3:AH171,1),"")</f>
        <v/>
      </c>
      <c r="AJ171" s="74">
        <f t="shared" si="76"/>
        <v>0</v>
      </c>
      <c r="AK171" s="73" t="str">
        <f t="shared" si="59"/>
        <v/>
      </c>
      <c r="AL171" s="73" t="str">
        <f t="shared" si="60"/>
        <v/>
      </c>
      <c r="AM171" s="73" t="str">
        <f t="shared" si="61"/>
        <v/>
      </c>
      <c r="AN171" s="73" t="str">
        <f t="shared" si="62"/>
        <v/>
      </c>
      <c r="AP171" s="61" t="str">
        <f t="shared" si="63"/>
        <v/>
      </c>
      <c r="AQ171" s="61" t="str">
        <f t="shared" si="64"/>
        <v/>
      </c>
      <c r="AR171" s="61" t="str">
        <f t="shared" si="65"/>
        <v/>
      </c>
    </row>
    <row r="172" spans="16:44" x14ac:dyDescent="0.25">
      <c r="P172" s="73" t="str">
        <f t="shared" si="68"/>
        <v/>
      </c>
      <c r="Q172" s="73" t="str">
        <f t="shared" si="69"/>
        <v/>
      </c>
      <c r="R172" s="74" t="str">
        <f t="shared" si="70"/>
        <v/>
      </c>
      <c r="S172" s="74" t="str">
        <f t="shared" si="71"/>
        <v/>
      </c>
      <c r="U172" s="74" t="str">
        <f t="shared" si="75"/>
        <v/>
      </c>
      <c r="V172" s="74" t="str">
        <f t="shared" si="75"/>
        <v/>
      </c>
      <c r="W172" s="74" t="str">
        <f t="shared" si="75"/>
        <v/>
      </c>
      <c r="X172" s="74" t="str">
        <f t="shared" si="75"/>
        <v/>
      </c>
      <c r="Y172" s="74" t="str">
        <f t="shared" si="75"/>
        <v/>
      </c>
      <c r="Z172" s="74" t="str">
        <f t="shared" si="72"/>
        <v/>
      </c>
      <c r="AA172" s="74">
        <f t="shared" si="73"/>
        <v>0</v>
      </c>
      <c r="AB172" s="74">
        <f t="shared" si="74"/>
        <v>0</v>
      </c>
      <c r="AC172" s="74" t="str">
        <f t="shared" si="56"/>
        <v/>
      </c>
      <c r="AE172" s="74" t="str">
        <f t="shared" si="66"/>
        <v/>
      </c>
      <c r="AF172" s="74" t="str">
        <f t="shared" si="67"/>
        <v/>
      </c>
      <c r="AG172" s="74" t="str">
        <f t="shared" si="57"/>
        <v/>
      </c>
      <c r="AH172" s="74">
        <f t="shared" si="58"/>
        <v>0</v>
      </c>
      <c r="AI172" s="74" t="str">
        <f>IF(AH172&lt;&gt;0,COUNTIF(AH$3:AH172,1),"")</f>
        <v/>
      </c>
      <c r="AJ172" s="74">
        <f t="shared" si="76"/>
        <v>0</v>
      </c>
      <c r="AK172" s="73" t="str">
        <f t="shared" si="59"/>
        <v/>
      </c>
      <c r="AL172" s="73" t="str">
        <f t="shared" si="60"/>
        <v/>
      </c>
      <c r="AM172" s="73" t="str">
        <f t="shared" si="61"/>
        <v/>
      </c>
      <c r="AN172" s="73" t="str">
        <f t="shared" si="62"/>
        <v/>
      </c>
      <c r="AP172" s="61" t="str">
        <f t="shared" si="63"/>
        <v/>
      </c>
      <c r="AQ172" s="61" t="str">
        <f t="shared" si="64"/>
        <v/>
      </c>
      <c r="AR172" s="61" t="str">
        <f t="shared" si="65"/>
        <v/>
      </c>
    </row>
    <row r="173" spans="16:44" x14ac:dyDescent="0.25">
      <c r="P173" s="73" t="str">
        <f t="shared" si="68"/>
        <v/>
      </c>
      <c r="Q173" s="73" t="str">
        <f t="shared" si="69"/>
        <v/>
      </c>
      <c r="R173" s="74" t="str">
        <f t="shared" si="70"/>
        <v/>
      </c>
      <c r="S173" s="74" t="str">
        <f t="shared" si="71"/>
        <v/>
      </c>
      <c r="U173" s="74" t="str">
        <f t="shared" si="75"/>
        <v/>
      </c>
      <c r="V173" s="74" t="str">
        <f t="shared" si="75"/>
        <v/>
      </c>
      <c r="W173" s="74" t="str">
        <f t="shared" si="75"/>
        <v/>
      </c>
      <c r="X173" s="74" t="str">
        <f t="shared" si="75"/>
        <v/>
      </c>
      <c r="Y173" s="74" t="str">
        <f t="shared" si="75"/>
        <v/>
      </c>
      <c r="Z173" s="74" t="str">
        <f t="shared" si="72"/>
        <v/>
      </c>
      <c r="AA173" s="74">
        <f t="shared" si="73"/>
        <v>0</v>
      </c>
      <c r="AB173" s="74">
        <f t="shared" si="74"/>
        <v>0</v>
      </c>
      <c r="AC173" s="74" t="str">
        <f t="shared" si="56"/>
        <v/>
      </c>
      <c r="AE173" s="74" t="str">
        <f t="shared" si="66"/>
        <v/>
      </c>
      <c r="AF173" s="74" t="str">
        <f t="shared" si="67"/>
        <v/>
      </c>
      <c r="AG173" s="74" t="str">
        <f t="shared" si="57"/>
        <v/>
      </c>
      <c r="AH173" s="74">
        <f t="shared" si="58"/>
        <v>0</v>
      </c>
      <c r="AI173" s="74" t="str">
        <f>IF(AH173&lt;&gt;0,COUNTIF(AH$3:AH173,1),"")</f>
        <v/>
      </c>
      <c r="AJ173" s="74">
        <f t="shared" si="76"/>
        <v>0</v>
      </c>
      <c r="AK173" s="73" t="str">
        <f t="shared" si="59"/>
        <v/>
      </c>
      <c r="AL173" s="73" t="str">
        <f t="shared" si="60"/>
        <v/>
      </c>
      <c r="AM173" s="73" t="str">
        <f t="shared" si="61"/>
        <v/>
      </c>
      <c r="AN173" s="73" t="str">
        <f t="shared" si="62"/>
        <v/>
      </c>
      <c r="AP173" s="61" t="str">
        <f t="shared" si="63"/>
        <v/>
      </c>
      <c r="AQ173" s="61" t="str">
        <f t="shared" si="64"/>
        <v/>
      </c>
      <c r="AR173" s="61" t="str">
        <f t="shared" si="65"/>
        <v/>
      </c>
    </row>
    <row r="174" spans="16:44" x14ac:dyDescent="0.25">
      <c r="P174" s="73" t="str">
        <f t="shared" si="68"/>
        <v/>
      </c>
      <c r="Q174" s="73" t="str">
        <f t="shared" si="69"/>
        <v/>
      </c>
      <c r="R174" s="74" t="str">
        <f t="shared" si="70"/>
        <v/>
      </c>
      <c r="S174" s="74" t="str">
        <f t="shared" si="71"/>
        <v/>
      </c>
      <c r="U174" s="74" t="str">
        <f t="shared" si="75"/>
        <v/>
      </c>
      <c r="V174" s="74" t="str">
        <f t="shared" si="75"/>
        <v/>
      </c>
      <c r="W174" s="74" t="str">
        <f t="shared" si="75"/>
        <v/>
      </c>
      <c r="X174" s="74" t="str">
        <f t="shared" si="75"/>
        <v/>
      </c>
      <c r="Y174" s="74" t="str">
        <f t="shared" si="75"/>
        <v/>
      </c>
      <c r="Z174" s="74" t="str">
        <f t="shared" si="72"/>
        <v/>
      </c>
      <c r="AA174" s="74">
        <f t="shared" si="73"/>
        <v>0</v>
      </c>
      <c r="AB174" s="74">
        <f t="shared" si="74"/>
        <v>0</v>
      </c>
      <c r="AC174" s="74" t="str">
        <f t="shared" si="56"/>
        <v/>
      </c>
      <c r="AE174" s="74" t="str">
        <f t="shared" si="66"/>
        <v/>
      </c>
      <c r="AF174" s="74" t="str">
        <f t="shared" si="67"/>
        <v/>
      </c>
      <c r="AG174" s="74" t="str">
        <f t="shared" si="57"/>
        <v/>
      </c>
      <c r="AH174" s="74">
        <f t="shared" si="58"/>
        <v>0</v>
      </c>
      <c r="AI174" s="74" t="str">
        <f>IF(AH174&lt;&gt;0,COUNTIF(AH$3:AH174,1),"")</f>
        <v/>
      </c>
      <c r="AJ174" s="74">
        <f t="shared" si="76"/>
        <v>0</v>
      </c>
      <c r="AK174" s="73" t="str">
        <f t="shared" si="59"/>
        <v/>
      </c>
      <c r="AL174" s="73" t="str">
        <f t="shared" si="60"/>
        <v/>
      </c>
      <c r="AM174" s="73" t="str">
        <f t="shared" si="61"/>
        <v/>
      </c>
      <c r="AN174" s="73" t="str">
        <f t="shared" si="62"/>
        <v/>
      </c>
      <c r="AP174" s="61" t="str">
        <f t="shared" si="63"/>
        <v/>
      </c>
      <c r="AQ174" s="61" t="str">
        <f t="shared" si="64"/>
        <v/>
      </c>
      <c r="AR174" s="61" t="str">
        <f t="shared" si="65"/>
        <v/>
      </c>
    </row>
    <row r="175" spans="16:44" x14ac:dyDescent="0.25">
      <c r="P175" s="73" t="str">
        <f t="shared" si="68"/>
        <v/>
      </c>
      <c r="Q175" s="73" t="str">
        <f t="shared" si="69"/>
        <v/>
      </c>
      <c r="R175" s="74" t="str">
        <f t="shared" si="70"/>
        <v/>
      </c>
      <c r="S175" s="74" t="str">
        <f t="shared" si="71"/>
        <v/>
      </c>
      <c r="U175" s="74" t="str">
        <f t="shared" si="75"/>
        <v/>
      </c>
      <c r="V175" s="74" t="str">
        <f t="shared" si="75"/>
        <v/>
      </c>
      <c r="W175" s="74" t="str">
        <f t="shared" si="75"/>
        <v/>
      </c>
      <c r="X175" s="74" t="str">
        <f t="shared" si="75"/>
        <v/>
      </c>
      <c r="Y175" s="74" t="str">
        <f t="shared" si="75"/>
        <v/>
      </c>
      <c r="Z175" s="74" t="str">
        <f t="shared" si="72"/>
        <v/>
      </c>
      <c r="AA175" s="74">
        <f t="shared" si="73"/>
        <v>0</v>
      </c>
      <c r="AB175" s="74">
        <f t="shared" si="74"/>
        <v>0</v>
      </c>
      <c r="AC175" s="74" t="str">
        <f t="shared" si="56"/>
        <v/>
      </c>
      <c r="AE175" s="74" t="str">
        <f t="shared" si="66"/>
        <v/>
      </c>
      <c r="AF175" s="74" t="str">
        <f t="shared" si="67"/>
        <v/>
      </c>
      <c r="AG175" s="74" t="str">
        <f t="shared" si="57"/>
        <v/>
      </c>
      <c r="AH175" s="74">
        <f t="shared" si="58"/>
        <v>0</v>
      </c>
      <c r="AI175" s="74" t="str">
        <f>IF(AH175&lt;&gt;0,COUNTIF(AH$3:AH175,1),"")</f>
        <v/>
      </c>
      <c r="AJ175" s="74">
        <f t="shared" si="76"/>
        <v>0</v>
      </c>
      <c r="AK175" s="73" t="str">
        <f t="shared" si="59"/>
        <v/>
      </c>
      <c r="AL175" s="73" t="str">
        <f t="shared" si="60"/>
        <v/>
      </c>
      <c r="AM175" s="73" t="str">
        <f t="shared" si="61"/>
        <v/>
      </c>
      <c r="AN175" s="73" t="str">
        <f t="shared" si="62"/>
        <v/>
      </c>
      <c r="AP175" s="61" t="str">
        <f t="shared" si="63"/>
        <v/>
      </c>
      <c r="AQ175" s="61" t="str">
        <f t="shared" si="64"/>
        <v/>
      </c>
      <c r="AR175" s="61" t="str">
        <f t="shared" si="65"/>
        <v/>
      </c>
    </row>
    <row r="176" spans="16:44" x14ac:dyDescent="0.25">
      <c r="P176" s="73" t="str">
        <f t="shared" si="68"/>
        <v/>
      </c>
      <c r="Q176" s="73" t="str">
        <f t="shared" si="69"/>
        <v/>
      </c>
      <c r="R176" s="74" t="str">
        <f t="shared" si="70"/>
        <v/>
      </c>
      <c r="S176" s="74" t="str">
        <f t="shared" si="71"/>
        <v/>
      </c>
      <c r="U176" s="74" t="str">
        <f t="shared" si="75"/>
        <v/>
      </c>
      <c r="V176" s="74" t="str">
        <f t="shared" si="75"/>
        <v/>
      </c>
      <c r="W176" s="74" t="str">
        <f t="shared" si="75"/>
        <v/>
      </c>
      <c r="X176" s="74" t="str">
        <f t="shared" si="75"/>
        <v/>
      </c>
      <c r="Y176" s="74" t="str">
        <f t="shared" si="75"/>
        <v/>
      </c>
      <c r="Z176" s="74" t="str">
        <f t="shared" si="72"/>
        <v/>
      </c>
      <c r="AA176" s="74">
        <f t="shared" si="73"/>
        <v>0</v>
      </c>
      <c r="AB176" s="74">
        <f t="shared" si="74"/>
        <v>0</v>
      </c>
      <c r="AC176" s="74" t="str">
        <f t="shared" si="56"/>
        <v/>
      </c>
      <c r="AE176" s="74" t="str">
        <f t="shared" si="66"/>
        <v/>
      </c>
      <c r="AF176" s="74" t="str">
        <f t="shared" si="67"/>
        <v/>
      </c>
      <c r="AG176" s="74" t="str">
        <f t="shared" si="57"/>
        <v/>
      </c>
      <c r="AH176" s="74">
        <f t="shared" si="58"/>
        <v>0</v>
      </c>
      <c r="AI176" s="74" t="str">
        <f>IF(AH176&lt;&gt;0,COUNTIF(AH$3:AH176,1),"")</f>
        <v/>
      </c>
      <c r="AJ176" s="74">
        <f t="shared" si="76"/>
        <v>0</v>
      </c>
      <c r="AK176" s="73" t="str">
        <f t="shared" si="59"/>
        <v/>
      </c>
      <c r="AL176" s="73" t="str">
        <f t="shared" si="60"/>
        <v/>
      </c>
      <c r="AM176" s="73" t="str">
        <f t="shared" si="61"/>
        <v/>
      </c>
      <c r="AN176" s="73" t="str">
        <f t="shared" si="62"/>
        <v/>
      </c>
      <c r="AP176" s="61" t="str">
        <f t="shared" si="63"/>
        <v/>
      </c>
      <c r="AQ176" s="61" t="str">
        <f t="shared" si="64"/>
        <v/>
      </c>
      <c r="AR176" s="61" t="str">
        <f t="shared" si="65"/>
        <v/>
      </c>
    </row>
    <row r="177" spans="16:44" x14ac:dyDescent="0.25">
      <c r="P177" s="73" t="str">
        <f t="shared" si="68"/>
        <v/>
      </c>
      <c r="Q177" s="73" t="str">
        <f t="shared" si="69"/>
        <v/>
      </c>
      <c r="R177" s="74" t="str">
        <f t="shared" si="70"/>
        <v/>
      </c>
      <c r="S177" s="74" t="str">
        <f t="shared" si="71"/>
        <v/>
      </c>
      <c r="U177" s="74" t="str">
        <f t="shared" si="75"/>
        <v/>
      </c>
      <c r="V177" s="74" t="str">
        <f t="shared" si="75"/>
        <v/>
      </c>
      <c r="W177" s="74" t="str">
        <f t="shared" si="75"/>
        <v/>
      </c>
      <c r="X177" s="74" t="str">
        <f t="shared" si="75"/>
        <v/>
      </c>
      <c r="Y177" s="74" t="str">
        <f t="shared" si="75"/>
        <v/>
      </c>
      <c r="Z177" s="74" t="str">
        <f t="shared" si="72"/>
        <v/>
      </c>
      <c r="AA177" s="74">
        <f t="shared" si="73"/>
        <v>0</v>
      </c>
      <c r="AB177" s="74">
        <f t="shared" si="74"/>
        <v>0</v>
      </c>
      <c r="AC177" s="74" t="str">
        <f t="shared" si="56"/>
        <v/>
      </c>
      <c r="AE177" s="74" t="str">
        <f t="shared" si="66"/>
        <v/>
      </c>
      <c r="AF177" s="74" t="str">
        <f t="shared" si="67"/>
        <v/>
      </c>
      <c r="AG177" s="74" t="str">
        <f t="shared" si="57"/>
        <v/>
      </c>
      <c r="AH177" s="74">
        <f t="shared" si="58"/>
        <v>0</v>
      </c>
      <c r="AI177" s="74" t="str">
        <f>IF(AH177&lt;&gt;0,COUNTIF(AH$3:AH177,1),"")</f>
        <v/>
      </c>
      <c r="AJ177" s="74">
        <f t="shared" si="76"/>
        <v>0</v>
      </c>
      <c r="AK177" s="73" t="str">
        <f t="shared" si="59"/>
        <v/>
      </c>
      <c r="AL177" s="73" t="str">
        <f t="shared" si="60"/>
        <v/>
      </c>
      <c r="AM177" s="73" t="str">
        <f t="shared" si="61"/>
        <v/>
      </c>
      <c r="AN177" s="73" t="str">
        <f t="shared" si="62"/>
        <v/>
      </c>
      <c r="AP177" s="61" t="str">
        <f t="shared" si="63"/>
        <v/>
      </c>
      <c r="AQ177" s="61" t="str">
        <f t="shared" si="64"/>
        <v/>
      </c>
      <c r="AR177" s="61" t="str">
        <f t="shared" si="65"/>
        <v/>
      </c>
    </row>
    <row r="178" spans="16:44" x14ac:dyDescent="0.25">
      <c r="P178" s="73" t="str">
        <f t="shared" si="68"/>
        <v/>
      </c>
      <c r="Q178" s="73" t="str">
        <f t="shared" si="69"/>
        <v/>
      </c>
      <c r="R178" s="74" t="str">
        <f t="shared" si="70"/>
        <v/>
      </c>
      <c r="S178" s="74" t="str">
        <f t="shared" si="71"/>
        <v/>
      </c>
      <c r="U178" s="74" t="str">
        <f t="shared" si="75"/>
        <v/>
      </c>
      <c r="V178" s="74" t="str">
        <f t="shared" si="75"/>
        <v/>
      </c>
      <c r="W178" s="74" t="str">
        <f t="shared" si="75"/>
        <v/>
      </c>
      <c r="X178" s="74" t="str">
        <f t="shared" si="75"/>
        <v/>
      </c>
      <c r="Y178" s="74" t="str">
        <f t="shared" si="75"/>
        <v/>
      </c>
      <c r="Z178" s="74" t="str">
        <f t="shared" si="72"/>
        <v/>
      </c>
      <c r="AA178" s="74">
        <f t="shared" si="73"/>
        <v>0</v>
      </c>
      <c r="AB178" s="74">
        <f t="shared" si="74"/>
        <v>0</v>
      </c>
      <c r="AC178" s="74" t="str">
        <f t="shared" si="56"/>
        <v/>
      </c>
      <c r="AE178" s="74" t="str">
        <f t="shared" si="66"/>
        <v/>
      </c>
      <c r="AF178" s="74" t="str">
        <f t="shared" si="67"/>
        <v/>
      </c>
      <c r="AG178" s="74" t="str">
        <f t="shared" si="57"/>
        <v/>
      </c>
      <c r="AH178" s="74">
        <f t="shared" si="58"/>
        <v>0</v>
      </c>
      <c r="AI178" s="74" t="str">
        <f>IF(AH178&lt;&gt;0,COUNTIF(AH$3:AH178,1),"")</f>
        <v/>
      </c>
      <c r="AJ178" s="74">
        <f t="shared" si="76"/>
        <v>0</v>
      </c>
      <c r="AK178" s="73" t="str">
        <f t="shared" si="59"/>
        <v/>
      </c>
      <c r="AL178" s="73" t="str">
        <f t="shared" si="60"/>
        <v/>
      </c>
      <c r="AM178" s="73" t="str">
        <f t="shared" si="61"/>
        <v/>
      </c>
      <c r="AN178" s="73" t="str">
        <f t="shared" si="62"/>
        <v/>
      </c>
      <c r="AP178" s="61" t="str">
        <f t="shared" si="63"/>
        <v/>
      </c>
      <c r="AQ178" s="61" t="str">
        <f t="shared" si="64"/>
        <v/>
      </c>
      <c r="AR178" s="61" t="str">
        <f t="shared" si="65"/>
        <v/>
      </c>
    </row>
    <row r="179" spans="16:44" x14ac:dyDescent="0.25">
      <c r="P179" s="73" t="str">
        <f t="shared" si="68"/>
        <v/>
      </c>
      <c r="Q179" s="73" t="str">
        <f t="shared" si="69"/>
        <v/>
      </c>
      <c r="R179" s="74" t="str">
        <f t="shared" si="70"/>
        <v/>
      </c>
      <c r="S179" s="74" t="str">
        <f t="shared" si="71"/>
        <v/>
      </c>
      <c r="U179" s="74" t="str">
        <f t="shared" si="75"/>
        <v/>
      </c>
      <c r="V179" s="74" t="str">
        <f t="shared" si="75"/>
        <v/>
      </c>
      <c r="W179" s="74" t="str">
        <f t="shared" si="75"/>
        <v/>
      </c>
      <c r="X179" s="74" t="str">
        <f t="shared" si="75"/>
        <v/>
      </c>
      <c r="Y179" s="74" t="str">
        <f t="shared" si="75"/>
        <v/>
      </c>
      <c r="Z179" s="74" t="str">
        <f t="shared" si="72"/>
        <v/>
      </c>
      <c r="AA179" s="74">
        <f t="shared" si="73"/>
        <v>0</v>
      </c>
      <c r="AB179" s="74">
        <f t="shared" si="74"/>
        <v>0</v>
      </c>
      <c r="AC179" s="74" t="str">
        <f t="shared" si="56"/>
        <v/>
      </c>
      <c r="AE179" s="74" t="str">
        <f t="shared" si="66"/>
        <v/>
      </c>
      <c r="AF179" s="74" t="str">
        <f t="shared" si="67"/>
        <v/>
      </c>
      <c r="AG179" s="74" t="str">
        <f t="shared" si="57"/>
        <v/>
      </c>
      <c r="AH179" s="74">
        <f t="shared" si="58"/>
        <v>0</v>
      </c>
      <c r="AI179" s="74" t="str">
        <f>IF(AH179&lt;&gt;0,COUNTIF(AH$3:AH179,1),"")</f>
        <v/>
      </c>
      <c r="AJ179" s="74">
        <f t="shared" si="76"/>
        <v>0</v>
      </c>
      <c r="AK179" s="73" t="str">
        <f t="shared" si="59"/>
        <v/>
      </c>
      <c r="AL179" s="73" t="str">
        <f t="shared" si="60"/>
        <v/>
      </c>
      <c r="AM179" s="73" t="str">
        <f t="shared" si="61"/>
        <v/>
      </c>
      <c r="AN179" s="73" t="str">
        <f t="shared" si="62"/>
        <v/>
      </c>
      <c r="AP179" s="61" t="str">
        <f t="shared" si="63"/>
        <v/>
      </c>
      <c r="AQ179" s="61" t="str">
        <f t="shared" si="64"/>
        <v/>
      </c>
      <c r="AR179" s="61" t="str">
        <f t="shared" si="65"/>
        <v/>
      </c>
    </row>
    <row r="180" spans="16:44" x14ac:dyDescent="0.25">
      <c r="P180" s="73" t="str">
        <f t="shared" si="68"/>
        <v/>
      </c>
      <c r="Q180" s="73" t="str">
        <f t="shared" si="69"/>
        <v/>
      </c>
      <c r="R180" s="74" t="str">
        <f t="shared" si="70"/>
        <v/>
      </c>
      <c r="S180" s="74" t="str">
        <f t="shared" si="71"/>
        <v/>
      </c>
      <c r="U180" s="74" t="str">
        <f t="shared" si="75"/>
        <v/>
      </c>
      <c r="V180" s="74" t="str">
        <f t="shared" si="75"/>
        <v/>
      </c>
      <c r="W180" s="74" t="str">
        <f t="shared" si="75"/>
        <v/>
      </c>
      <c r="X180" s="74" t="str">
        <f t="shared" si="75"/>
        <v/>
      </c>
      <c r="Y180" s="74" t="str">
        <f t="shared" si="75"/>
        <v/>
      </c>
      <c r="Z180" s="74" t="str">
        <f t="shared" si="72"/>
        <v/>
      </c>
      <c r="AA180" s="74">
        <f t="shared" si="73"/>
        <v>0</v>
      </c>
      <c r="AB180" s="74">
        <f t="shared" si="74"/>
        <v>0</v>
      </c>
      <c r="AC180" s="74" t="str">
        <f t="shared" si="56"/>
        <v/>
      </c>
      <c r="AE180" s="74" t="str">
        <f t="shared" si="66"/>
        <v/>
      </c>
      <c r="AF180" s="74" t="str">
        <f t="shared" si="67"/>
        <v/>
      </c>
      <c r="AG180" s="74" t="str">
        <f t="shared" si="57"/>
        <v/>
      </c>
      <c r="AH180" s="74">
        <f t="shared" si="58"/>
        <v>0</v>
      </c>
      <c r="AI180" s="74" t="str">
        <f>IF(AH180&lt;&gt;0,COUNTIF(AH$3:AH180,1),"")</f>
        <v/>
      </c>
      <c r="AJ180" s="74">
        <f t="shared" si="76"/>
        <v>0</v>
      </c>
      <c r="AK180" s="73" t="str">
        <f t="shared" si="59"/>
        <v/>
      </c>
      <c r="AL180" s="73" t="str">
        <f t="shared" si="60"/>
        <v/>
      </c>
      <c r="AM180" s="73" t="str">
        <f t="shared" si="61"/>
        <v/>
      </c>
      <c r="AN180" s="73" t="str">
        <f t="shared" si="62"/>
        <v/>
      </c>
      <c r="AP180" s="61" t="str">
        <f t="shared" si="63"/>
        <v/>
      </c>
      <c r="AQ180" s="61" t="str">
        <f t="shared" si="64"/>
        <v/>
      </c>
      <c r="AR180" s="61" t="str">
        <f t="shared" si="65"/>
        <v/>
      </c>
    </row>
    <row r="181" spans="16:44" x14ac:dyDescent="0.25">
      <c r="P181" s="73" t="str">
        <f t="shared" si="68"/>
        <v/>
      </c>
      <c r="Q181" s="73" t="str">
        <f t="shared" si="69"/>
        <v/>
      </c>
      <c r="R181" s="74" t="str">
        <f t="shared" si="70"/>
        <v/>
      </c>
      <c r="S181" s="74" t="str">
        <f t="shared" si="71"/>
        <v/>
      </c>
      <c r="U181" s="74" t="str">
        <f t="shared" si="75"/>
        <v/>
      </c>
      <c r="V181" s="74" t="str">
        <f t="shared" si="75"/>
        <v/>
      </c>
      <c r="W181" s="74" t="str">
        <f t="shared" si="75"/>
        <v/>
      </c>
      <c r="X181" s="74" t="str">
        <f t="shared" si="75"/>
        <v/>
      </c>
      <c r="Y181" s="74" t="str">
        <f t="shared" si="75"/>
        <v/>
      </c>
      <c r="Z181" s="74" t="str">
        <f t="shared" si="72"/>
        <v/>
      </c>
      <c r="AA181" s="74">
        <f t="shared" si="73"/>
        <v>0</v>
      </c>
      <c r="AB181" s="74">
        <f t="shared" si="74"/>
        <v>0</v>
      </c>
      <c r="AC181" s="74" t="str">
        <f t="shared" si="56"/>
        <v/>
      </c>
      <c r="AE181" s="74" t="str">
        <f t="shared" si="66"/>
        <v/>
      </c>
      <c r="AF181" s="74" t="str">
        <f t="shared" si="67"/>
        <v/>
      </c>
      <c r="AG181" s="74" t="str">
        <f t="shared" si="57"/>
        <v/>
      </c>
      <c r="AH181" s="74">
        <f t="shared" si="58"/>
        <v>0</v>
      </c>
      <c r="AI181" s="74" t="str">
        <f>IF(AH181&lt;&gt;0,COUNTIF(AH$3:AH181,1),"")</f>
        <v/>
      </c>
      <c r="AJ181" s="74">
        <f t="shared" si="76"/>
        <v>0</v>
      </c>
      <c r="AK181" s="73" t="str">
        <f t="shared" si="59"/>
        <v/>
      </c>
      <c r="AL181" s="73" t="str">
        <f t="shared" si="60"/>
        <v/>
      </c>
      <c r="AM181" s="73" t="str">
        <f t="shared" si="61"/>
        <v/>
      </c>
      <c r="AN181" s="73" t="str">
        <f t="shared" si="62"/>
        <v/>
      </c>
      <c r="AP181" s="61" t="str">
        <f t="shared" si="63"/>
        <v/>
      </c>
      <c r="AQ181" s="61" t="str">
        <f t="shared" si="64"/>
        <v/>
      </c>
      <c r="AR181" s="61" t="str">
        <f t="shared" si="65"/>
        <v/>
      </c>
    </row>
    <row r="182" spans="16:44" x14ac:dyDescent="0.25">
      <c r="P182" s="73" t="str">
        <f t="shared" si="68"/>
        <v/>
      </c>
      <c r="Q182" s="73" t="str">
        <f t="shared" si="69"/>
        <v/>
      </c>
      <c r="R182" s="74" t="str">
        <f t="shared" si="70"/>
        <v/>
      </c>
      <c r="S182" s="74" t="str">
        <f t="shared" si="71"/>
        <v/>
      </c>
      <c r="U182" s="74" t="str">
        <f t="shared" si="75"/>
        <v/>
      </c>
      <c r="V182" s="74" t="str">
        <f t="shared" si="75"/>
        <v/>
      </c>
      <c r="W182" s="74" t="str">
        <f t="shared" si="75"/>
        <v/>
      </c>
      <c r="X182" s="74" t="str">
        <f t="shared" si="75"/>
        <v/>
      </c>
      <c r="Y182" s="74" t="str">
        <f t="shared" si="75"/>
        <v/>
      </c>
      <c r="Z182" s="74" t="str">
        <f t="shared" si="72"/>
        <v/>
      </c>
      <c r="AA182" s="74">
        <f t="shared" si="73"/>
        <v>0</v>
      </c>
      <c r="AB182" s="74">
        <f t="shared" si="74"/>
        <v>0</v>
      </c>
      <c r="AC182" s="74" t="str">
        <f t="shared" si="56"/>
        <v/>
      </c>
      <c r="AE182" s="74" t="str">
        <f t="shared" si="66"/>
        <v/>
      </c>
      <c r="AF182" s="74" t="str">
        <f t="shared" si="67"/>
        <v/>
      </c>
      <c r="AG182" s="74" t="str">
        <f t="shared" si="57"/>
        <v/>
      </c>
      <c r="AH182" s="74">
        <f t="shared" si="58"/>
        <v>0</v>
      </c>
      <c r="AI182" s="74" t="str">
        <f>IF(AH182&lt;&gt;0,COUNTIF(AH$3:AH182,1),"")</f>
        <v/>
      </c>
      <c r="AJ182" s="74">
        <f t="shared" si="76"/>
        <v>0</v>
      </c>
      <c r="AK182" s="73" t="str">
        <f t="shared" si="59"/>
        <v/>
      </c>
      <c r="AL182" s="73" t="str">
        <f t="shared" si="60"/>
        <v/>
      </c>
      <c r="AM182" s="73" t="str">
        <f t="shared" si="61"/>
        <v/>
      </c>
      <c r="AN182" s="73" t="str">
        <f t="shared" si="62"/>
        <v/>
      </c>
      <c r="AP182" s="61" t="str">
        <f t="shared" si="63"/>
        <v/>
      </c>
      <c r="AQ182" s="61" t="str">
        <f t="shared" si="64"/>
        <v/>
      </c>
      <c r="AR182" s="61" t="str">
        <f t="shared" si="65"/>
        <v/>
      </c>
    </row>
    <row r="183" spans="16:44" x14ac:dyDescent="0.25">
      <c r="P183" s="73" t="str">
        <f t="shared" si="68"/>
        <v/>
      </c>
      <c r="Q183" s="73" t="str">
        <f t="shared" si="69"/>
        <v/>
      </c>
      <c r="R183" s="74" t="str">
        <f t="shared" si="70"/>
        <v/>
      </c>
      <c r="S183" s="74" t="str">
        <f t="shared" si="71"/>
        <v/>
      </c>
      <c r="U183" s="74" t="str">
        <f t="shared" si="75"/>
        <v/>
      </c>
      <c r="V183" s="74" t="str">
        <f t="shared" si="75"/>
        <v/>
      </c>
      <c r="W183" s="74" t="str">
        <f t="shared" si="75"/>
        <v/>
      </c>
      <c r="X183" s="74" t="str">
        <f t="shared" si="75"/>
        <v/>
      </c>
      <c r="Y183" s="74" t="str">
        <f t="shared" si="75"/>
        <v/>
      </c>
      <c r="Z183" s="74" t="str">
        <f t="shared" si="72"/>
        <v/>
      </c>
      <c r="AA183" s="74">
        <f t="shared" si="73"/>
        <v>0</v>
      </c>
      <c r="AB183" s="74">
        <f t="shared" si="74"/>
        <v>0</v>
      </c>
      <c r="AC183" s="74" t="str">
        <f t="shared" si="56"/>
        <v/>
      </c>
      <c r="AE183" s="74" t="str">
        <f t="shared" si="66"/>
        <v/>
      </c>
      <c r="AF183" s="74" t="str">
        <f t="shared" si="67"/>
        <v/>
      </c>
      <c r="AG183" s="74" t="str">
        <f t="shared" si="57"/>
        <v/>
      </c>
      <c r="AH183" s="74">
        <f t="shared" si="58"/>
        <v>0</v>
      </c>
      <c r="AI183" s="74" t="str">
        <f>IF(AH183&lt;&gt;0,COUNTIF(AH$3:AH183,1),"")</f>
        <v/>
      </c>
      <c r="AJ183" s="74">
        <f t="shared" si="76"/>
        <v>0</v>
      </c>
      <c r="AK183" s="73" t="str">
        <f t="shared" si="59"/>
        <v/>
      </c>
      <c r="AL183" s="73" t="str">
        <f t="shared" si="60"/>
        <v/>
      </c>
      <c r="AM183" s="73" t="str">
        <f t="shared" si="61"/>
        <v/>
      </c>
      <c r="AN183" s="73" t="str">
        <f t="shared" si="62"/>
        <v/>
      </c>
      <c r="AP183" s="61" t="str">
        <f t="shared" si="63"/>
        <v/>
      </c>
      <c r="AQ183" s="61" t="str">
        <f t="shared" si="64"/>
        <v/>
      </c>
      <c r="AR183" s="61" t="str">
        <f t="shared" si="65"/>
        <v/>
      </c>
    </row>
    <row r="184" spans="16:44" x14ac:dyDescent="0.25">
      <c r="P184" s="73" t="str">
        <f t="shared" si="68"/>
        <v/>
      </c>
      <c r="Q184" s="73" t="str">
        <f t="shared" si="69"/>
        <v/>
      </c>
      <c r="R184" s="74" t="str">
        <f t="shared" si="70"/>
        <v/>
      </c>
      <c r="S184" s="74" t="str">
        <f t="shared" si="71"/>
        <v/>
      </c>
      <c r="U184" s="74" t="str">
        <f t="shared" si="75"/>
        <v/>
      </c>
      <c r="V184" s="74" t="str">
        <f t="shared" si="75"/>
        <v/>
      </c>
      <c r="W184" s="74" t="str">
        <f t="shared" si="75"/>
        <v/>
      </c>
      <c r="X184" s="74" t="str">
        <f t="shared" si="75"/>
        <v/>
      </c>
      <c r="Y184" s="74" t="str">
        <f t="shared" si="75"/>
        <v/>
      </c>
      <c r="Z184" s="74" t="str">
        <f t="shared" si="72"/>
        <v/>
      </c>
      <c r="AA184" s="74">
        <f t="shared" si="73"/>
        <v>0</v>
      </c>
      <c r="AB184" s="74">
        <f t="shared" si="74"/>
        <v>0</v>
      </c>
      <c r="AC184" s="74" t="str">
        <f t="shared" si="56"/>
        <v/>
      </c>
      <c r="AE184" s="74" t="str">
        <f t="shared" si="66"/>
        <v/>
      </c>
      <c r="AF184" s="74" t="str">
        <f t="shared" si="67"/>
        <v/>
      </c>
      <c r="AG184" s="74" t="str">
        <f t="shared" si="57"/>
        <v/>
      </c>
      <c r="AH184" s="74">
        <f t="shared" si="58"/>
        <v>0</v>
      </c>
      <c r="AI184" s="74" t="str">
        <f>IF(AH184&lt;&gt;0,COUNTIF(AH$3:AH184,1),"")</f>
        <v/>
      </c>
      <c r="AJ184" s="74">
        <f t="shared" si="76"/>
        <v>0</v>
      </c>
      <c r="AK184" s="73" t="str">
        <f t="shared" si="59"/>
        <v/>
      </c>
      <c r="AL184" s="73" t="str">
        <f t="shared" si="60"/>
        <v/>
      </c>
      <c r="AM184" s="73" t="str">
        <f t="shared" si="61"/>
        <v/>
      </c>
      <c r="AN184" s="73" t="str">
        <f t="shared" si="62"/>
        <v/>
      </c>
      <c r="AP184" s="61" t="str">
        <f t="shared" si="63"/>
        <v/>
      </c>
      <c r="AQ184" s="61" t="str">
        <f t="shared" si="64"/>
        <v/>
      </c>
      <c r="AR184" s="61" t="str">
        <f t="shared" si="65"/>
        <v/>
      </c>
    </row>
    <row r="185" spans="16:44" x14ac:dyDescent="0.25">
      <c r="P185" s="73" t="str">
        <f t="shared" si="68"/>
        <v/>
      </c>
      <c r="Q185" s="73" t="str">
        <f t="shared" si="69"/>
        <v/>
      </c>
      <c r="R185" s="74" t="str">
        <f t="shared" si="70"/>
        <v/>
      </c>
      <c r="S185" s="74" t="str">
        <f t="shared" si="71"/>
        <v/>
      </c>
      <c r="U185" s="74" t="str">
        <f t="shared" si="75"/>
        <v/>
      </c>
      <c r="V185" s="74" t="str">
        <f t="shared" si="75"/>
        <v/>
      </c>
      <c r="W185" s="74" t="str">
        <f t="shared" si="75"/>
        <v/>
      </c>
      <c r="X185" s="74" t="str">
        <f t="shared" si="75"/>
        <v/>
      </c>
      <c r="Y185" s="74" t="str">
        <f t="shared" si="75"/>
        <v/>
      </c>
      <c r="Z185" s="74" t="str">
        <f t="shared" si="72"/>
        <v/>
      </c>
      <c r="AA185" s="74">
        <f t="shared" si="73"/>
        <v>0</v>
      </c>
      <c r="AB185" s="74">
        <f t="shared" si="74"/>
        <v>0</v>
      </c>
      <c r="AC185" s="74" t="str">
        <f t="shared" si="56"/>
        <v/>
      </c>
      <c r="AE185" s="74" t="str">
        <f t="shared" si="66"/>
        <v/>
      </c>
      <c r="AF185" s="74" t="str">
        <f t="shared" si="67"/>
        <v/>
      </c>
      <c r="AG185" s="74" t="str">
        <f t="shared" si="57"/>
        <v/>
      </c>
      <c r="AH185" s="74">
        <f t="shared" si="58"/>
        <v>0</v>
      </c>
      <c r="AI185" s="74" t="str">
        <f>IF(AH185&lt;&gt;0,COUNTIF(AH$3:AH185,1),"")</f>
        <v/>
      </c>
      <c r="AJ185" s="74">
        <f t="shared" si="76"/>
        <v>0</v>
      </c>
      <c r="AK185" s="73" t="str">
        <f t="shared" si="59"/>
        <v/>
      </c>
      <c r="AL185" s="73" t="str">
        <f t="shared" si="60"/>
        <v/>
      </c>
      <c r="AM185" s="73" t="str">
        <f t="shared" si="61"/>
        <v/>
      </c>
      <c r="AN185" s="73" t="str">
        <f t="shared" si="62"/>
        <v/>
      </c>
      <c r="AP185" s="61" t="str">
        <f t="shared" si="63"/>
        <v/>
      </c>
      <c r="AQ185" s="61" t="str">
        <f t="shared" si="64"/>
        <v/>
      </c>
      <c r="AR185" s="61" t="str">
        <f t="shared" si="65"/>
        <v/>
      </c>
    </row>
    <row r="186" spans="16:44" x14ac:dyDescent="0.25">
      <c r="P186" s="73" t="str">
        <f t="shared" si="68"/>
        <v/>
      </c>
      <c r="Q186" s="73" t="str">
        <f t="shared" si="69"/>
        <v/>
      </c>
      <c r="R186" s="74" t="str">
        <f t="shared" si="70"/>
        <v/>
      </c>
      <c r="S186" s="74" t="str">
        <f t="shared" si="71"/>
        <v/>
      </c>
      <c r="U186" s="74" t="str">
        <f t="shared" si="75"/>
        <v/>
      </c>
      <c r="V186" s="74" t="str">
        <f t="shared" si="75"/>
        <v/>
      </c>
      <c r="W186" s="74" t="str">
        <f t="shared" si="75"/>
        <v/>
      </c>
      <c r="X186" s="74" t="str">
        <f t="shared" si="75"/>
        <v/>
      </c>
      <c r="Y186" s="74" t="str">
        <f t="shared" si="75"/>
        <v/>
      </c>
      <c r="Z186" s="74" t="str">
        <f t="shared" si="72"/>
        <v/>
      </c>
      <c r="AA186" s="74">
        <f t="shared" si="73"/>
        <v>0</v>
      </c>
      <c r="AB186" s="74">
        <f t="shared" si="74"/>
        <v>0</v>
      </c>
      <c r="AC186" s="74" t="str">
        <f t="shared" si="56"/>
        <v/>
      </c>
      <c r="AE186" s="74" t="str">
        <f t="shared" si="66"/>
        <v/>
      </c>
      <c r="AF186" s="74" t="str">
        <f t="shared" si="67"/>
        <v/>
      </c>
      <c r="AG186" s="74" t="str">
        <f t="shared" si="57"/>
        <v/>
      </c>
      <c r="AH186" s="74">
        <f t="shared" si="58"/>
        <v>0</v>
      </c>
      <c r="AI186" s="74" t="str">
        <f>IF(AH186&lt;&gt;0,COUNTIF(AH$3:AH186,1),"")</f>
        <v/>
      </c>
      <c r="AJ186" s="74">
        <f t="shared" si="76"/>
        <v>0</v>
      </c>
      <c r="AK186" s="73" t="str">
        <f t="shared" si="59"/>
        <v/>
      </c>
      <c r="AL186" s="73" t="str">
        <f t="shared" si="60"/>
        <v/>
      </c>
      <c r="AM186" s="73" t="str">
        <f t="shared" si="61"/>
        <v/>
      </c>
      <c r="AN186" s="73" t="str">
        <f t="shared" si="62"/>
        <v/>
      </c>
      <c r="AP186" s="61" t="str">
        <f t="shared" si="63"/>
        <v/>
      </c>
      <c r="AQ186" s="61" t="str">
        <f t="shared" si="64"/>
        <v/>
      </c>
      <c r="AR186" s="61" t="str">
        <f t="shared" si="65"/>
        <v/>
      </c>
    </row>
    <row r="187" spans="16:44" x14ac:dyDescent="0.25">
      <c r="P187" s="73" t="str">
        <f t="shared" si="68"/>
        <v/>
      </c>
      <c r="Q187" s="73" t="str">
        <f t="shared" si="69"/>
        <v/>
      </c>
      <c r="R187" s="74" t="str">
        <f t="shared" si="70"/>
        <v/>
      </c>
      <c r="S187" s="74" t="str">
        <f t="shared" si="71"/>
        <v/>
      </c>
      <c r="U187" s="74" t="str">
        <f t="shared" si="75"/>
        <v/>
      </c>
      <c r="V187" s="74" t="str">
        <f t="shared" si="75"/>
        <v/>
      </c>
      <c r="W187" s="74" t="str">
        <f t="shared" si="75"/>
        <v/>
      </c>
      <c r="X187" s="74" t="str">
        <f t="shared" si="75"/>
        <v/>
      </c>
      <c r="Y187" s="74" t="str">
        <f t="shared" si="75"/>
        <v/>
      </c>
      <c r="Z187" s="74" t="str">
        <f t="shared" si="72"/>
        <v/>
      </c>
      <c r="AA187" s="74">
        <f t="shared" si="73"/>
        <v>0</v>
      </c>
      <c r="AB187" s="74">
        <f t="shared" si="74"/>
        <v>0</v>
      </c>
      <c r="AC187" s="74" t="str">
        <f t="shared" si="56"/>
        <v/>
      </c>
      <c r="AE187" s="74" t="str">
        <f t="shared" si="66"/>
        <v/>
      </c>
      <c r="AF187" s="74" t="str">
        <f t="shared" si="67"/>
        <v/>
      </c>
      <c r="AG187" s="74" t="str">
        <f t="shared" si="57"/>
        <v/>
      </c>
      <c r="AH187" s="74">
        <f t="shared" si="58"/>
        <v>0</v>
      </c>
      <c r="AI187" s="74" t="str">
        <f>IF(AH187&lt;&gt;0,COUNTIF(AH$3:AH187,1),"")</f>
        <v/>
      </c>
      <c r="AJ187" s="74">
        <f t="shared" si="76"/>
        <v>0</v>
      </c>
      <c r="AK187" s="73" t="str">
        <f t="shared" si="59"/>
        <v/>
      </c>
      <c r="AL187" s="73" t="str">
        <f t="shared" si="60"/>
        <v/>
      </c>
      <c r="AM187" s="73" t="str">
        <f t="shared" si="61"/>
        <v/>
      </c>
      <c r="AN187" s="73" t="str">
        <f t="shared" si="62"/>
        <v/>
      </c>
      <c r="AP187" s="61" t="str">
        <f t="shared" si="63"/>
        <v/>
      </c>
      <c r="AQ187" s="61" t="str">
        <f t="shared" si="64"/>
        <v/>
      </c>
      <c r="AR187" s="61" t="str">
        <f t="shared" si="65"/>
        <v/>
      </c>
    </row>
    <row r="188" spans="16:44" x14ac:dyDescent="0.25">
      <c r="P188" s="73" t="str">
        <f t="shared" si="68"/>
        <v/>
      </c>
      <c r="Q188" s="73" t="str">
        <f t="shared" si="69"/>
        <v/>
      </c>
      <c r="R188" s="74" t="str">
        <f t="shared" si="70"/>
        <v/>
      </c>
      <c r="S188" s="74" t="str">
        <f t="shared" si="71"/>
        <v/>
      </c>
      <c r="U188" s="74" t="str">
        <f t="shared" si="75"/>
        <v/>
      </c>
      <c r="V188" s="74" t="str">
        <f t="shared" si="75"/>
        <v/>
      </c>
      <c r="W188" s="74" t="str">
        <f t="shared" si="75"/>
        <v/>
      </c>
      <c r="X188" s="74" t="str">
        <f t="shared" si="75"/>
        <v/>
      </c>
      <c r="Y188" s="74" t="str">
        <f t="shared" si="75"/>
        <v/>
      </c>
      <c r="Z188" s="74" t="str">
        <f t="shared" si="72"/>
        <v/>
      </c>
      <c r="AA188" s="74">
        <f t="shared" si="73"/>
        <v>0</v>
      </c>
      <c r="AB188" s="74">
        <f t="shared" si="74"/>
        <v>0</v>
      </c>
      <c r="AC188" s="74" t="str">
        <f t="shared" si="56"/>
        <v/>
      </c>
      <c r="AE188" s="74" t="str">
        <f t="shared" si="66"/>
        <v/>
      </c>
      <c r="AF188" s="74" t="str">
        <f t="shared" si="67"/>
        <v/>
      </c>
      <c r="AG188" s="74" t="str">
        <f t="shared" si="57"/>
        <v/>
      </c>
      <c r="AH188" s="74">
        <f t="shared" si="58"/>
        <v>0</v>
      </c>
      <c r="AI188" s="74" t="str">
        <f>IF(AH188&lt;&gt;0,COUNTIF(AH$3:AH188,1),"")</f>
        <v/>
      </c>
      <c r="AJ188" s="74">
        <f t="shared" si="76"/>
        <v>0</v>
      </c>
      <c r="AK188" s="73" t="str">
        <f t="shared" si="59"/>
        <v/>
      </c>
      <c r="AL188" s="73" t="str">
        <f t="shared" si="60"/>
        <v/>
      </c>
      <c r="AM188" s="73" t="str">
        <f t="shared" si="61"/>
        <v/>
      </c>
      <c r="AN188" s="73" t="str">
        <f t="shared" si="62"/>
        <v/>
      </c>
      <c r="AP188" s="61" t="str">
        <f t="shared" si="63"/>
        <v/>
      </c>
      <c r="AQ188" s="61" t="str">
        <f t="shared" si="64"/>
        <v/>
      </c>
      <c r="AR188" s="61" t="str">
        <f t="shared" si="65"/>
        <v/>
      </c>
    </row>
    <row r="189" spans="16:44" x14ac:dyDescent="0.25">
      <c r="P189" s="73" t="str">
        <f t="shared" si="68"/>
        <v/>
      </c>
      <c r="Q189" s="73" t="str">
        <f t="shared" si="69"/>
        <v/>
      </c>
      <c r="R189" s="74" t="str">
        <f t="shared" si="70"/>
        <v/>
      </c>
      <c r="S189" s="74" t="str">
        <f t="shared" si="71"/>
        <v/>
      </c>
      <c r="U189" s="74" t="str">
        <f t="shared" si="75"/>
        <v/>
      </c>
      <c r="V189" s="74" t="str">
        <f t="shared" si="75"/>
        <v/>
      </c>
      <c r="W189" s="74" t="str">
        <f t="shared" si="75"/>
        <v/>
      </c>
      <c r="X189" s="74" t="str">
        <f t="shared" si="75"/>
        <v/>
      </c>
      <c r="Y189" s="74" t="str">
        <f t="shared" si="75"/>
        <v/>
      </c>
      <c r="Z189" s="74" t="str">
        <f t="shared" si="72"/>
        <v/>
      </c>
      <c r="AA189" s="74">
        <f t="shared" si="73"/>
        <v>0</v>
      </c>
      <c r="AB189" s="74">
        <f t="shared" si="74"/>
        <v>0</v>
      </c>
      <c r="AC189" s="74" t="str">
        <f t="shared" si="56"/>
        <v/>
      </c>
      <c r="AE189" s="74" t="str">
        <f t="shared" si="66"/>
        <v/>
      </c>
      <c r="AF189" s="74" t="str">
        <f t="shared" si="67"/>
        <v/>
      </c>
      <c r="AG189" s="74" t="str">
        <f t="shared" si="57"/>
        <v/>
      </c>
      <c r="AH189" s="74">
        <f t="shared" si="58"/>
        <v>0</v>
      </c>
      <c r="AI189" s="74" t="str">
        <f>IF(AH189&lt;&gt;0,COUNTIF(AH$3:AH189,1),"")</f>
        <v/>
      </c>
      <c r="AJ189" s="74">
        <f t="shared" si="76"/>
        <v>0</v>
      </c>
      <c r="AK189" s="73" t="str">
        <f t="shared" si="59"/>
        <v/>
      </c>
      <c r="AL189" s="73" t="str">
        <f t="shared" si="60"/>
        <v/>
      </c>
      <c r="AM189" s="73" t="str">
        <f t="shared" si="61"/>
        <v/>
      </c>
      <c r="AN189" s="73" t="str">
        <f t="shared" si="62"/>
        <v/>
      </c>
      <c r="AP189" s="61" t="str">
        <f t="shared" si="63"/>
        <v/>
      </c>
      <c r="AQ189" s="61" t="str">
        <f t="shared" si="64"/>
        <v/>
      </c>
      <c r="AR189" s="61" t="str">
        <f t="shared" si="65"/>
        <v/>
      </c>
    </row>
    <row r="190" spans="16:44" x14ac:dyDescent="0.25">
      <c r="P190" s="73" t="str">
        <f t="shared" ref="P190:P253" si="77">IF(N190&lt;&gt;"",SUBSTITUTE(LEFT(N190,FIND(";",N190)),";",""),"")</f>
        <v/>
      </c>
      <c r="Q190" s="73" t="str">
        <f t="shared" ref="Q190:Q253" si="78">IF(N190&lt;&gt;"",SUBSTITUTE(RIGHT(N190,FIND(";",N190)),";",""),"")</f>
        <v/>
      </c>
      <c r="R190" s="74" t="str">
        <f t="shared" ref="R190:R253" si="79">IF(O190&lt;&gt;"",SUBSTITUTE(LEFT(O190,FIND(";",O190)),";",""),"")</f>
        <v/>
      </c>
      <c r="S190" s="74" t="str">
        <f t="shared" ref="S190:S253" si="80">IF(O190&lt;&gt;"",IFERROR(IF(FIND("OK",O190)&gt;0,TRUE),FALSE),"")</f>
        <v/>
      </c>
      <c r="U190" s="74" t="str">
        <f t="shared" ref="U190:Y240" si="81">IF($F190=U$1,$E190,"")</f>
        <v/>
      </c>
      <c r="V190" s="74" t="str">
        <f t="shared" si="81"/>
        <v/>
      </c>
      <c r="W190" s="74" t="str">
        <f t="shared" si="81"/>
        <v/>
      </c>
      <c r="X190" s="74" t="str">
        <f t="shared" si="81"/>
        <v/>
      </c>
      <c r="Y190" s="74" t="str">
        <f t="shared" si="81"/>
        <v/>
      </c>
      <c r="Z190" s="74" t="str">
        <f t="shared" ref="Z190:Z253" si="82">IF(G190,E190,"")</f>
        <v/>
      </c>
      <c r="AA190" s="74">
        <f t="shared" ref="AA190:AA253" si="83">IF(G190=FALSE,E190,"")</f>
        <v>0</v>
      </c>
      <c r="AB190" s="74">
        <f t="shared" ref="AB190:AB253" si="84">IF(G190,1,0)</f>
        <v>0</v>
      </c>
      <c r="AC190" s="74" t="str">
        <f t="shared" ref="AC190:AC253" si="85">IF(A190&lt;&gt;"",IF(G190,0,1),"")</f>
        <v/>
      </c>
      <c r="AE190" s="74" t="str">
        <f t="shared" ref="AE190:AE253" si="86">IF(P190&lt;&gt;"",IF(AND(_xlfn.NUMBERVALUE(P190)&gt;25,_xlfn.NUMBERVALUE(P190)&lt;38),TRUE,FALSE),"")</f>
        <v/>
      </c>
      <c r="AF190" s="74" t="str">
        <f t="shared" ref="AF190:AF253" si="87">IF(Q190&lt;&gt;"",IF(AND(_xlfn.NUMBERVALUE(Q190)&gt;25,_xlfn.NUMBERVALUE(Q190)&lt;38),TRUE,FALSE),"")</f>
        <v/>
      </c>
      <c r="AG190" s="74" t="str">
        <f t="shared" ref="AG190:AG253" si="88">IF(R190&lt;&gt;"",IF(AND(_xlfn.NUMBERVALUE(R190)&gt;262,_xlfn.NUMBERVALUE(R190)&lt;307),TRUE,FALSE),"")</f>
        <v/>
      </c>
      <c r="AH190" s="74">
        <f t="shared" ref="AH190:AH253" si="89">IF(OR(AE190=FALSE,AF190=FALSE,AG190=FALSE),1,0)</f>
        <v>0</v>
      </c>
      <c r="AI190" s="74" t="str">
        <f>IF(AH190&lt;&gt;0,COUNTIF(AH$3:AH190,1),"")</f>
        <v/>
      </c>
      <c r="AJ190" s="74">
        <f t="shared" ref="AJ190:AJ253" si="90">L190</f>
        <v>0</v>
      </c>
      <c r="AK190" s="73" t="str">
        <f t="shared" ref="AK190:AK253" si="91">P190</f>
        <v/>
      </c>
      <c r="AL190" s="73" t="str">
        <f t="shared" ref="AL190:AL253" si="92">Q190</f>
        <v/>
      </c>
      <c r="AM190" s="73" t="str">
        <f t="shared" ref="AM190:AM253" si="93">R190</f>
        <v/>
      </c>
      <c r="AN190" s="73" t="str">
        <f t="shared" ref="AN190:AN253" si="94">S190</f>
        <v/>
      </c>
      <c r="AP190" s="61" t="str">
        <f t="shared" si="63"/>
        <v/>
      </c>
      <c r="AQ190" s="61" t="str">
        <f t="shared" si="64"/>
        <v/>
      </c>
      <c r="AR190" s="61" t="str">
        <f t="shared" si="65"/>
        <v/>
      </c>
    </row>
    <row r="191" spans="16:44" x14ac:dyDescent="0.25">
      <c r="P191" s="73" t="str">
        <f t="shared" si="77"/>
        <v/>
      </c>
      <c r="Q191" s="73" t="str">
        <f t="shared" si="78"/>
        <v/>
      </c>
      <c r="R191" s="74" t="str">
        <f t="shared" si="79"/>
        <v/>
      </c>
      <c r="S191" s="74" t="str">
        <f t="shared" si="80"/>
        <v/>
      </c>
      <c r="U191" s="74" t="str">
        <f t="shared" si="81"/>
        <v/>
      </c>
      <c r="V191" s="74" t="str">
        <f t="shared" si="81"/>
        <v/>
      </c>
      <c r="W191" s="74" t="str">
        <f t="shared" si="81"/>
        <v/>
      </c>
      <c r="X191" s="74" t="str">
        <f t="shared" si="81"/>
        <v/>
      </c>
      <c r="Y191" s="74" t="str">
        <f t="shared" si="81"/>
        <v/>
      </c>
      <c r="Z191" s="74" t="str">
        <f t="shared" si="82"/>
        <v/>
      </c>
      <c r="AA191" s="74">
        <f t="shared" si="83"/>
        <v>0</v>
      </c>
      <c r="AB191" s="74">
        <f t="shared" si="84"/>
        <v>0</v>
      </c>
      <c r="AC191" s="74" t="str">
        <f t="shared" si="85"/>
        <v/>
      </c>
      <c r="AE191" s="74" t="str">
        <f t="shared" si="86"/>
        <v/>
      </c>
      <c r="AF191" s="74" t="str">
        <f t="shared" si="87"/>
        <v/>
      </c>
      <c r="AG191" s="74" t="str">
        <f t="shared" si="88"/>
        <v/>
      </c>
      <c r="AH191" s="74">
        <f t="shared" si="89"/>
        <v>0</v>
      </c>
      <c r="AI191" s="74" t="str">
        <f>IF(AH191&lt;&gt;0,COUNTIF(AH$3:AH191,1),"")</f>
        <v/>
      </c>
      <c r="AJ191" s="74">
        <f t="shared" si="90"/>
        <v>0</v>
      </c>
      <c r="AK191" s="73" t="str">
        <f t="shared" si="91"/>
        <v/>
      </c>
      <c r="AL191" s="73" t="str">
        <f t="shared" si="92"/>
        <v/>
      </c>
      <c r="AM191" s="73" t="str">
        <f t="shared" si="93"/>
        <v/>
      </c>
      <c r="AN191" s="73" t="str">
        <f t="shared" si="94"/>
        <v/>
      </c>
      <c r="AP191" s="61" t="str">
        <f t="shared" si="63"/>
        <v/>
      </c>
      <c r="AQ191" s="61" t="str">
        <f t="shared" si="64"/>
        <v/>
      </c>
      <c r="AR191" s="61" t="str">
        <f t="shared" si="65"/>
        <v/>
      </c>
    </row>
    <row r="192" spans="16:44" x14ac:dyDescent="0.25">
      <c r="P192" s="73" t="str">
        <f t="shared" si="77"/>
        <v/>
      </c>
      <c r="Q192" s="73" t="str">
        <f t="shared" si="78"/>
        <v/>
      </c>
      <c r="R192" s="74" t="str">
        <f t="shared" si="79"/>
        <v/>
      </c>
      <c r="S192" s="74" t="str">
        <f t="shared" si="80"/>
        <v/>
      </c>
      <c r="U192" s="74" t="str">
        <f t="shared" si="81"/>
        <v/>
      </c>
      <c r="V192" s="74" t="str">
        <f t="shared" si="81"/>
        <v/>
      </c>
      <c r="W192" s="74" t="str">
        <f t="shared" si="81"/>
        <v/>
      </c>
      <c r="X192" s="74" t="str">
        <f t="shared" si="81"/>
        <v/>
      </c>
      <c r="Y192" s="74" t="str">
        <f t="shared" si="81"/>
        <v/>
      </c>
      <c r="Z192" s="74" t="str">
        <f t="shared" si="82"/>
        <v/>
      </c>
      <c r="AA192" s="74">
        <f t="shared" si="83"/>
        <v>0</v>
      </c>
      <c r="AB192" s="74">
        <f t="shared" si="84"/>
        <v>0</v>
      </c>
      <c r="AC192" s="74" t="str">
        <f t="shared" si="85"/>
        <v/>
      </c>
      <c r="AE192" s="74" t="str">
        <f t="shared" si="86"/>
        <v/>
      </c>
      <c r="AF192" s="74" t="str">
        <f t="shared" si="87"/>
        <v/>
      </c>
      <c r="AG192" s="74" t="str">
        <f t="shared" si="88"/>
        <v/>
      </c>
      <c r="AH192" s="74">
        <f t="shared" si="89"/>
        <v>0</v>
      </c>
      <c r="AI192" s="74" t="str">
        <f>IF(AH192&lt;&gt;0,COUNTIF(AH$3:AH192,1),"")</f>
        <v/>
      </c>
      <c r="AJ192" s="74">
        <f t="shared" si="90"/>
        <v>0</v>
      </c>
      <c r="AK192" s="73" t="str">
        <f t="shared" si="91"/>
        <v/>
      </c>
      <c r="AL192" s="73" t="str">
        <f t="shared" si="92"/>
        <v/>
      </c>
      <c r="AM192" s="73" t="str">
        <f t="shared" si="93"/>
        <v/>
      </c>
      <c r="AN192" s="73" t="str">
        <f t="shared" si="94"/>
        <v/>
      </c>
      <c r="AP192" s="61" t="str">
        <f t="shared" si="63"/>
        <v/>
      </c>
      <c r="AQ192" s="61" t="str">
        <f t="shared" si="64"/>
        <v/>
      </c>
      <c r="AR192" s="61" t="str">
        <f t="shared" si="65"/>
        <v/>
      </c>
    </row>
    <row r="193" spans="16:44" x14ac:dyDescent="0.25">
      <c r="P193" s="73" t="str">
        <f t="shared" si="77"/>
        <v/>
      </c>
      <c r="Q193" s="73" t="str">
        <f t="shared" si="78"/>
        <v/>
      </c>
      <c r="R193" s="74" t="str">
        <f t="shared" si="79"/>
        <v/>
      </c>
      <c r="S193" s="74" t="str">
        <f t="shared" si="80"/>
        <v/>
      </c>
      <c r="U193" s="74" t="str">
        <f t="shared" si="81"/>
        <v/>
      </c>
      <c r="V193" s="74" t="str">
        <f t="shared" si="81"/>
        <v/>
      </c>
      <c r="W193" s="74" t="str">
        <f t="shared" si="81"/>
        <v/>
      </c>
      <c r="X193" s="74" t="str">
        <f t="shared" si="81"/>
        <v/>
      </c>
      <c r="Y193" s="74" t="str">
        <f t="shared" si="81"/>
        <v/>
      </c>
      <c r="Z193" s="74" t="str">
        <f t="shared" si="82"/>
        <v/>
      </c>
      <c r="AA193" s="74">
        <f t="shared" si="83"/>
        <v>0</v>
      </c>
      <c r="AB193" s="74">
        <f t="shared" si="84"/>
        <v>0</v>
      </c>
      <c r="AC193" s="74" t="str">
        <f t="shared" si="85"/>
        <v/>
      </c>
      <c r="AE193" s="74" t="str">
        <f t="shared" si="86"/>
        <v/>
      </c>
      <c r="AF193" s="74" t="str">
        <f t="shared" si="87"/>
        <v/>
      </c>
      <c r="AG193" s="74" t="str">
        <f t="shared" si="88"/>
        <v/>
      </c>
      <c r="AH193" s="74">
        <f t="shared" si="89"/>
        <v>0</v>
      </c>
      <c r="AI193" s="74" t="str">
        <f>IF(AH193&lt;&gt;0,COUNTIF(AH$3:AH193,1),"")</f>
        <v/>
      </c>
      <c r="AJ193" s="74">
        <f t="shared" si="90"/>
        <v>0</v>
      </c>
      <c r="AK193" s="73" t="str">
        <f t="shared" si="91"/>
        <v/>
      </c>
      <c r="AL193" s="73" t="str">
        <f t="shared" si="92"/>
        <v/>
      </c>
      <c r="AM193" s="73" t="str">
        <f t="shared" si="93"/>
        <v/>
      </c>
      <c r="AN193" s="73" t="str">
        <f t="shared" si="94"/>
        <v/>
      </c>
      <c r="AP193" s="61" t="str">
        <f t="shared" si="63"/>
        <v/>
      </c>
      <c r="AQ193" s="61" t="str">
        <f t="shared" si="64"/>
        <v/>
      </c>
      <c r="AR193" s="61" t="str">
        <f t="shared" si="65"/>
        <v/>
      </c>
    </row>
    <row r="194" spans="16:44" x14ac:dyDescent="0.25">
      <c r="P194" s="73" t="str">
        <f t="shared" si="77"/>
        <v/>
      </c>
      <c r="Q194" s="73" t="str">
        <f t="shared" si="78"/>
        <v/>
      </c>
      <c r="R194" s="74" t="str">
        <f t="shared" si="79"/>
        <v/>
      </c>
      <c r="S194" s="74" t="str">
        <f t="shared" si="80"/>
        <v/>
      </c>
      <c r="U194" s="74" t="str">
        <f t="shared" si="81"/>
        <v/>
      </c>
      <c r="V194" s="74" t="str">
        <f t="shared" si="81"/>
        <v/>
      </c>
      <c r="W194" s="74" t="str">
        <f t="shared" si="81"/>
        <v/>
      </c>
      <c r="X194" s="74" t="str">
        <f t="shared" si="81"/>
        <v/>
      </c>
      <c r="Y194" s="74" t="str">
        <f t="shared" si="81"/>
        <v/>
      </c>
      <c r="Z194" s="74" t="str">
        <f t="shared" si="82"/>
        <v/>
      </c>
      <c r="AA194" s="74">
        <f t="shared" si="83"/>
        <v>0</v>
      </c>
      <c r="AB194" s="74">
        <f t="shared" si="84"/>
        <v>0</v>
      </c>
      <c r="AC194" s="74" t="str">
        <f t="shared" si="85"/>
        <v/>
      </c>
      <c r="AE194" s="74" t="str">
        <f t="shared" si="86"/>
        <v/>
      </c>
      <c r="AF194" s="74" t="str">
        <f t="shared" si="87"/>
        <v/>
      </c>
      <c r="AG194" s="74" t="str">
        <f t="shared" si="88"/>
        <v/>
      </c>
      <c r="AH194" s="74">
        <f t="shared" si="89"/>
        <v>0</v>
      </c>
      <c r="AI194" s="74" t="str">
        <f>IF(AH194&lt;&gt;0,COUNTIF(AH$3:AH194,1),"")</f>
        <v/>
      </c>
      <c r="AJ194" s="74">
        <f t="shared" si="90"/>
        <v>0</v>
      </c>
      <c r="AK194" s="73" t="str">
        <f t="shared" si="91"/>
        <v/>
      </c>
      <c r="AL194" s="73" t="str">
        <f t="shared" si="92"/>
        <v/>
      </c>
      <c r="AM194" s="73" t="str">
        <f t="shared" si="93"/>
        <v/>
      </c>
      <c r="AN194" s="73" t="str">
        <f t="shared" si="94"/>
        <v/>
      </c>
      <c r="AP194" s="61" t="str">
        <f t="shared" si="63"/>
        <v/>
      </c>
      <c r="AQ194" s="61" t="str">
        <f t="shared" si="64"/>
        <v/>
      </c>
      <c r="AR194" s="61" t="str">
        <f t="shared" si="65"/>
        <v/>
      </c>
    </row>
    <row r="195" spans="16:44" x14ac:dyDescent="0.25">
      <c r="P195" s="73" t="str">
        <f t="shared" si="77"/>
        <v/>
      </c>
      <c r="Q195" s="73" t="str">
        <f t="shared" si="78"/>
        <v/>
      </c>
      <c r="R195" s="74" t="str">
        <f t="shared" si="79"/>
        <v/>
      </c>
      <c r="S195" s="74" t="str">
        <f t="shared" si="80"/>
        <v/>
      </c>
      <c r="U195" s="74" t="str">
        <f t="shared" si="81"/>
        <v/>
      </c>
      <c r="V195" s="74" t="str">
        <f t="shared" si="81"/>
        <v/>
      </c>
      <c r="W195" s="74" t="str">
        <f t="shared" si="81"/>
        <v/>
      </c>
      <c r="X195" s="74" t="str">
        <f t="shared" si="81"/>
        <v/>
      </c>
      <c r="Y195" s="74" t="str">
        <f t="shared" si="81"/>
        <v/>
      </c>
      <c r="Z195" s="74" t="str">
        <f t="shared" si="82"/>
        <v/>
      </c>
      <c r="AA195" s="74">
        <f t="shared" si="83"/>
        <v>0</v>
      </c>
      <c r="AB195" s="74">
        <f t="shared" si="84"/>
        <v>0</v>
      </c>
      <c r="AC195" s="74" t="str">
        <f t="shared" si="85"/>
        <v/>
      </c>
      <c r="AE195" s="74" t="str">
        <f t="shared" si="86"/>
        <v/>
      </c>
      <c r="AF195" s="74" t="str">
        <f t="shared" si="87"/>
        <v/>
      </c>
      <c r="AG195" s="74" t="str">
        <f t="shared" si="88"/>
        <v/>
      </c>
      <c r="AH195" s="74">
        <f t="shared" si="89"/>
        <v>0</v>
      </c>
      <c r="AI195" s="74" t="str">
        <f>IF(AH195&lt;&gt;0,COUNTIF(AH$3:AH195,1),"")</f>
        <v/>
      </c>
      <c r="AJ195" s="74">
        <f t="shared" si="90"/>
        <v>0</v>
      </c>
      <c r="AK195" s="73" t="str">
        <f t="shared" si="91"/>
        <v/>
      </c>
      <c r="AL195" s="73" t="str">
        <f t="shared" si="92"/>
        <v/>
      </c>
      <c r="AM195" s="73" t="str">
        <f t="shared" si="93"/>
        <v/>
      </c>
      <c r="AN195" s="73" t="str">
        <f t="shared" si="94"/>
        <v/>
      </c>
      <c r="AP195" s="61" t="str">
        <f t="shared" si="63"/>
        <v/>
      </c>
      <c r="AQ195" s="61" t="str">
        <f t="shared" si="64"/>
        <v/>
      </c>
      <c r="AR195" s="61" t="str">
        <f t="shared" si="65"/>
        <v/>
      </c>
    </row>
    <row r="196" spans="16:44" x14ac:dyDescent="0.25">
      <c r="P196" s="73" t="str">
        <f t="shared" si="77"/>
        <v/>
      </c>
      <c r="Q196" s="73" t="str">
        <f t="shared" si="78"/>
        <v/>
      </c>
      <c r="R196" s="74" t="str">
        <f t="shared" si="79"/>
        <v/>
      </c>
      <c r="S196" s="74" t="str">
        <f t="shared" si="80"/>
        <v/>
      </c>
      <c r="U196" s="74" t="str">
        <f t="shared" si="81"/>
        <v/>
      </c>
      <c r="V196" s="74" t="str">
        <f t="shared" si="81"/>
        <v/>
      </c>
      <c r="W196" s="74" t="str">
        <f t="shared" si="81"/>
        <v/>
      </c>
      <c r="X196" s="74" t="str">
        <f t="shared" si="81"/>
        <v/>
      </c>
      <c r="Y196" s="74" t="str">
        <f t="shared" si="81"/>
        <v/>
      </c>
      <c r="Z196" s="74" t="str">
        <f t="shared" si="82"/>
        <v/>
      </c>
      <c r="AA196" s="74">
        <f t="shared" si="83"/>
        <v>0</v>
      </c>
      <c r="AB196" s="74">
        <f t="shared" si="84"/>
        <v>0</v>
      </c>
      <c r="AC196" s="74" t="str">
        <f t="shared" si="85"/>
        <v/>
      </c>
      <c r="AE196" s="74" t="str">
        <f t="shared" si="86"/>
        <v/>
      </c>
      <c r="AF196" s="74" t="str">
        <f t="shared" si="87"/>
        <v/>
      </c>
      <c r="AG196" s="74" t="str">
        <f t="shared" si="88"/>
        <v/>
      </c>
      <c r="AH196" s="74">
        <f t="shared" si="89"/>
        <v>0</v>
      </c>
      <c r="AI196" s="74" t="str">
        <f>IF(AH196&lt;&gt;0,COUNTIF(AH$3:AH196,1),"")</f>
        <v/>
      </c>
      <c r="AJ196" s="74">
        <f t="shared" si="90"/>
        <v>0</v>
      </c>
      <c r="AK196" s="73" t="str">
        <f t="shared" si="91"/>
        <v/>
      </c>
      <c r="AL196" s="73" t="str">
        <f t="shared" si="92"/>
        <v/>
      </c>
      <c r="AM196" s="73" t="str">
        <f t="shared" si="93"/>
        <v/>
      </c>
      <c r="AN196" s="73" t="str">
        <f t="shared" si="94"/>
        <v/>
      </c>
      <c r="AP196" s="61" t="str">
        <f t="shared" ref="AP196:AP259" si="95">IF(P196&lt;&gt;"",_xlfn.NUMBERVALUE(P196),"")</f>
        <v/>
      </c>
      <c r="AQ196" s="61" t="str">
        <f t="shared" ref="AQ196:AQ259" si="96">IF(Q196&lt;&gt;"",_xlfn.NUMBERVALUE(Q196),"")</f>
        <v/>
      </c>
      <c r="AR196" s="61" t="str">
        <f t="shared" ref="AR196:AR259" si="97">IF(R196&lt;&gt;"",_xlfn.NUMBERVALUE(R196),"")</f>
        <v/>
      </c>
    </row>
    <row r="197" spans="16:44" x14ac:dyDescent="0.25">
      <c r="P197" s="73" t="str">
        <f t="shared" si="77"/>
        <v/>
      </c>
      <c r="Q197" s="73" t="str">
        <f t="shared" si="78"/>
        <v/>
      </c>
      <c r="R197" s="74" t="str">
        <f t="shared" si="79"/>
        <v/>
      </c>
      <c r="S197" s="74" t="str">
        <f t="shared" si="80"/>
        <v/>
      </c>
      <c r="U197" s="74" t="str">
        <f t="shared" si="81"/>
        <v/>
      </c>
      <c r="V197" s="74" t="str">
        <f t="shared" si="81"/>
        <v/>
      </c>
      <c r="W197" s="74" t="str">
        <f t="shared" si="81"/>
        <v/>
      </c>
      <c r="X197" s="74" t="str">
        <f t="shared" si="81"/>
        <v/>
      </c>
      <c r="Y197" s="74" t="str">
        <f t="shared" si="81"/>
        <v/>
      </c>
      <c r="Z197" s="74" t="str">
        <f t="shared" si="82"/>
        <v/>
      </c>
      <c r="AA197" s="74">
        <f t="shared" si="83"/>
        <v>0</v>
      </c>
      <c r="AB197" s="74">
        <f t="shared" si="84"/>
        <v>0</v>
      </c>
      <c r="AC197" s="74" t="str">
        <f t="shared" si="85"/>
        <v/>
      </c>
      <c r="AE197" s="74" t="str">
        <f t="shared" si="86"/>
        <v/>
      </c>
      <c r="AF197" s="74" t="str">
        <f t="shared" si="87"/>
        <v/>
      </c>
      <c r="AG197" s="74" t="str">
        <f t="shared" si="88"/>
        <v/>
      </c>
      <c r="AH197" s="74">
        <f t="shared" si="89"/>
        <v>0</v>
      </c>
      <c r="AI197" s="74" t="str">
        <f>IF(AH197&lt;&gt;0,COUNTIF(AH$3:AH197,1),"")</f>
        <v/>
      </c>
      <c r="AJ197" s="74">
        <f t="shared" si="90"/>
        <v>0</v>
      </c>
      <c r="AK197" s="73" t="str">
        <f t="shared" si="91"/>
        <v/>
      </c>
      <c r="AL197" s="73" t="str">
        <f t="shared" si="92"/>
        <v/>
      </c>
      <c r="AM197" s="73" t="str">
        <f t="shared" si="93"/>
        <v/>
      </c>
      <c r="AN197" s="73" t="str">
        <f t="shared" si="94"/>
        <v/>
      </c>
      <c r="AP197" s="61" t="str">
        <f t="shared" si="95"/>
        <v/>
      </c>
      <c r="AQ197" s="61" t="str">
        <f t="shared" si="96"/>
        <v/>
      </c>
      <c r="AR197" s="61" t="str">
        <f t="shared" si="97"/>
        <v/>
      </c>
    </row>
    <row r="198" spans="16:44" x14ac:dyDescent="0.25">
      <c r="P198" s="73" t="str">
        <f t="shared" si="77"/>
        <v/>
      </c>
      <c r="Q198" s="73" t="str">
        <f t="shared" si="78"/>
        <v/>
      </c>
      <c r="R198" s="74" t="str">
        <f t="shared" si="79"/>
        <v/>
      </c>
      <c r="S198" s="74" t="str">
        <f t="shared" si="80"/>
        <v/>
      </c>
      <c r="U198" s="74" t="str">
        <f t="shared" si="81"/>
        <v/>
      </c>
      <c r="V198" s="74" t="str">
        <f t="shared" si="81"/>
        <v/>
      </c>
      <c r="W198" s="74" t="str">
        <f t="shared" si="81"/>
        <v/>
      </c>
      <c r="X198" s="74" t="str">
        <f t="shared" si="81"/>
        <v/>
      </c>
      <c r="Y198" s="74" t="str">
        <f t="shared" si="81"/>
        <v/>
      </c>
      <c r="Z198" s="74" t="str">
        <f t="shared" si="82"/>
        <v/>
      </c>
      <c r="AA198" s="74">
        <f t="shared" si="83"/>
        <v>0</v>
      </c>
      <c r="AB198" s="74">
        <f t="shared" si="84"/>
        <v>0</v>
      </c>
      <c r="AC198" s="74" t="str">
        <f t="shared" si="85"/>
        <v/>
      </c>
      <c r="AE198" s="74" t="str">
        <f t="shared" si="86"/>
        <v/>
      </c>
      <c r="AF198" s="74" t="str">
        <f t="shared" si="87"/>
        <v/>
      </c>
      <c r="AG198" s="74" t="str">
        <f t="shared" si="88"/>
        <v/>
      </c>
      <c r="AH198" s="74">
        <f t="shared" si="89"/>
        <v>0</v>
      </c>
      <c r="AI198" s="74" t="str">
        <f>IF(AH198&lt;&gt;0,COUNTIF(AH$3:AH198,1),"")</f>
        <v/>
      </c>
      <c r="AJ198" s="74">
        <f t="shared" si="90"/>
        <v>0</v>
      </c>
      <c r="AK198" s="73" t="str">
        <f t="shared" si="91"/>
        <v/>
      </c>
      <c r="AL198" s="73" t="str">
        <f t="shared" si="92"/>
        <v/>
      </c>
      <c r="AM198" s="73" t="str">
        <f t="shared" si="93"/>
        <v/>
      </c>
      <c r="AN198" s="73" t="str">
        <f t="shared" si="94"/>
        <v/>
      </c>
      <c r="AP198" s="61" t="str">
        <f t="shared" si="95"/>
        <v/>
      </c>
      <c r="AQ198" s="61" t="str">
        <f t="shared" si="96"/>
        <v/>
      </c>
      <c r="AR198" s="61" t="str">
        <f t="shared" si="97"/>
        <v/>
      </c>
    </row>
    <row r="199" spans="16:44" x14ac:dyDescent="0.25">
      <c r="P199" s="73" t="str">
        <f t="shared" si="77"/>
        <v/>
      </c>
      <c r="Q199" s="73" t="str">
        <f t="shared" si="78"/>
        <v/>
      </c>
      <c r="R199" s="74" t="str">
        <f t="shared" si="79"/>
        <v/>
      </c>
      <c r="S199" s="74" t="str">
        <f t="shared" si="80"/>
        <v/>
      </c>
      <c r="U199" s="74" t="str">
        <f t="shared" si="81"/>
        <v/>
      </c>
      <c r="V199" s="74" t="str">
        <f t="shared" si="81"/>
        <v/>
      </c>
      <c r="W199" s="74" t="str">
        <f t="shared" si="81"/>
        <v/>
      </c>
      <c r="X199" s="74" t="str">
        <f t="shared" si="81"/>
        <v/>
      </c>
      <c r="Y199" s="74" t="str">
        <f t="shared" si="81"/>
        <v/>
      </c>
      <c r="Z199" s="74" t="str">
        <f t="shared" si="82"/>
        <v/>
      </c>
      <c r="AA199" s="74">
        <f t="shared" si="83"/>
        <v>0</v>
      </c>
      <c r="AB199" s="74">
        <f t="shared" si="84"/>
        <v>0</v>
      </c>
      <c r="AC199" s="74" t="str">
        <f t="shared" si="85"/>
        <v/>
      </c>
      <c r="AE199" s="74" t="str">
        <f t="shared" si="86"/>
        <v/>
      </c>
      <c r="AF199" s="74" t="str">
        <f t="shared" si="87"/>
        <v/>
      </c>
      <c r="AG199" s="74" t="str">
        <f t="shared" si="88"/>
        <v/>
      </c>
      <c r="AH199" s="74">
        <f t="shared" si="89"/>
        <v>0</v>
      </c>
      <c r="AI199" s="74" t="str">
        <f>IF(AH199&lt;&gt;0,COUNTIF(AH$3:AH199,1),"")</f>
        <v/>
      </c>
      <c r="AJ199" s="74">
        <f t="shared" si="90"/>
        <v>0</v>
      </c>
      <c r="AK199" s="73" t="str">
        <f t="shared" si="91"/>
        <v/>
      </c>
      <c r="AL199" s="73" t="str">
        <f t="shared" si="92"/>
        <v/>
      </c>
      <c r="AM199" s="73" t="str">
        <f t="shared" si="93"/>
        <v/>
      </c>
      <c r="AN199" s="73" t="str">
        <f t="shared" si="94"/>
        <v/>
      </c>
      <c r="AP199" s="61" t="str">
        <f t="shared" si="95"/>
        <v/>
      </c>
      <c r="AQ199" s="61" t="str">
        <f t="shared" si="96"/>
        <v/>
      </c>
      <c r="AR199" s="61" t="str">
        <f t="shared" si="97"/>
        <v/>
      </c>
    </row>
    <row r="200" spans="16:44" x14ac:dyDescent="0.25">
      <c r="P200" s="73" t="str">
        <f t="shared" si="77"/>
        <v/>
      </c>
      <c r="Q200" s="73" t="str">
        <f t="shared" si="78"/>
        <v/>
      </c>
      <c r="R200" s="74" t="str">
        <f t="shared" si="79"/>
        <v/>
      </c>
      <c r="S200" s="74" t="str">
        <f t="shared" si="80"/>
        <v/>
      </c>
      <c r="U200" s="74" t="str">
        <f t="shared" si="81"/>
        <v/>
      </c>
      <c r="V200" s="74" t="str">
        <f t="shared" si="81"/>
        <v/>
      </c>
      <c r="W200" s="74" t="str">
        <f t="shared" si="81"/>
        <v/>
      </c>
      <c r="X200" s="74" t="str">
        <f t="shared" si="81"/>
        <v/>
      </c>
      <c r="Y200" s="74" t="str">
        <f t="shared" si="81"/>
        <v/>
      </c>
      <c r="Z200" s="74" t="str">
        <f t="shared" si="82"/>
        <v/>
      </c>
      <c r="AA200" s="74">
        <f t="shared" si="83"/>
        <v>0</v>
      </c>
      <c r="AB200" s="74">
        <f t="shared" si="84"/>
        <v>0</v>
      </c>
      <c r="AC200" s="74" t="str">
        <f t="shared" si="85"/>
        <v/>
      </c>
      <c r="AE200" s="74" t="str">
        <f t="shared" si="86"/>
        <v/>
      </c>
      <c r="AF200" s="74" t="str">
        <f t="shared" si="87"/>
        <v/>
      </c>
      <c r="AG200" s="74" t="str">
        <f t="shared" si="88"/>
        <v/>
      </c>
      <c r="AH200" s="74">
        <f t="shared" si="89"/>
        <v>0</v>
      </c>
      <c r="AI200" s="74" t="str">
        <f>IF(AH200&lt;&gt;0,COUNTIF(AH$3:AH200,1),"")</f>
        <v/>
      </c>
      <c r="AJ200" s="74">
        <f t="shared" si="90"/>
        <v>0</v>
      </c>
      <c r="AK200" s="73" t="str">
        <f t="shared" si="91"/>
        <v/>
      </c>
      <c r="AL200" s="73" t="str">
        <f t="shared" si="92"/>
        <v/>
      </c>
      <c r="AM200" s="73" t="str">
        <f t="shared" si="93"/>
        <v/>
      </c>
      <c r="AN200" s="73" t="str">
        <f t="shared" si="94"/>
        <v/>
      </c>
      <c r="AP200" s="61" t="str">
        <f t="shared" si="95"/>
        <v/>
      </c>
      <c r="AQ200" s="61" t="str">
        <f t="shared" si="96"/>
        <v/>
      </c>
      <c r="AR200" s="61" t="str">
        <f t="shared" si="97"/>
        <v/>
      </c>
    </row>
    <row r="201" spans="16:44" x14ac:dyDescent="0.25">
      <c r="P201" s="73" t="str">
        <f t="shared" si="77"/>
        <v/>
      </c>
      <c r="Q201" s="73" t="str">
        <f t="shared" si="78"/>
        <v/>
      </c>
      <c r="R201" s="74" t="str">
        <f t="shared" si="79"/>
        <v/>
      </c>
      <c r="S201" s="74" t="str">
        <f t="shared" si="80"/>
        <v/>
      </c>
      <c r="U201" s="74" t="str">
        <f t="shared" si="81"/>
        <v/>
      </c>
      <c r="V201" s="74" t="str">
        <f t="shared" si="81"/>
        <v/>
      </c>
      <c r="W201" s="74" t="str">
        <f t="shared" si="81"/>
        <v/>
      </c>
      <c r="X201" s="74" t="str">
        <f t="shared" si="81"/>
        <v/>
      </c>
      <c r="Y201" s="74" t="str">
        <f t="shared" si="81"/>
        <v/>
      </c>
      <c r="Z201" s="74" t="str">
        <f t="shared" si="82"/>
        <v/>
      </c>
      <c r="AA201" s="74">
        <f t="shared" si="83"/>
        <v>0</v>
      </c>
      <c r="AB201" s="74">
        <f t="shared" si="84"/>
        <v>0</v>
      </c>
      <c r="AC201" s="74" t="str">
        <f t="shared" si="85"/>
        <v/>
      </c>
      <c r="AE201" s="74" t="str">
        <f t="shared" si="86"/>
        <v/>
      </c>
      <c r="AF201" s="74" t="str">
        <f t="shared" si="87"/>
        <v/>
      </c>
      <c r="AG201" s="74" t="str">
        <f t="shared" si="88"/>
        <v/>
      </c>
      <c r="AH201" s="74">
        <f t="shared" si="89"/>
        <v>0</v>
      </c>
      <c r="AI201" s="74" t="str">
        <f>IF(AH201&lt;&gt;0,COUNTIF(AH$3:AH201,1),"")</f>
        <v/>
      </c>
      <c r="AJ201" s="74">
        <f t="shared" si="90"/>
        <v>0</v>
      </c>
      <c r="AK201" s="73" t="str">
        <f t="shared" si="91"/>
        <v/>
      </c>
      <c r="AL201" s="73" t="str">
        <f t="shared" si="92"/>
        <v/>
      </c>
      <c r="AM201" s="73" t="str">
        <f t="shared" si="93"/>
        <v/>
      </c>
      <c r="AN201" s="73" t="str">
        <f t="shared" si="94"/>
        <v/>
      </c>
      <c r="AP201" s="61" t="str">
        <f t="shared" si="95"/>
        <v/>
      </c>
      <c r="AQ201" s="61" t="str">
        <f t="shared" si="96"/>
        <v/>
      </c>
      <c r="AR201" s="61" t="str">
        <f t="shared" si="97"/>
        <v/>
      </c>
    </row>
    <row r="202" spans="16:44" x14ac:dyDescent="0.25">
      <c r="P202" s="73" t="str">
        <f t="shared" si="77"/>
        <v/>
      </c>
      <c r="Q202" s="73" t="str">
        <f t="shared" si="78"/>
        <v/>
      </c>
      <c r="R202" s="74" t="str">
        <f t="shared" si="79"/>
        <v/>
      </c>
      <c r="S202" s="74" t="str">
        <f t="shared" si="80"/>
        <v/>
      </c>
      <c r="U202" s="74" t="str">
        <f t="shared" si="81"/>
        <v/>
      </c>
      <c r="V202" s="74" t="str">
        <f t="shared" si="81"/>
        <v/>
      </c>
      <c r="W202" s="74" t="str">
        <f t="shared" si="81"/>
        <v/>
      </c>
      <c r="X202" s="74" t="str">
        <f t="shared" si="81"/>
        <v/>
      </c>
      <c r="Y202" s="74" t="str">
        <f t="shared" si="81"/>
        <v/>
      </c>
      <c r="Z202" s="74" t="str">
        <f t="shared" si="82"/>
        <v/>
      </c>
      <c r="AA202" s="74">
        <f t="shared" si="83"/>
        <v>0</v>
      </c>
      <c r="AB202" s="74">
        <f t="shared" si="84"/>
        <v>0</v>
      </c>
      <c r="AC202" s="74" t="str">
        <f t="shared" si="85"/>
        <v/>
      </c>
      <c r="AE202" s="74" t="str">
        <f t="shared" si="86"/>
        <v/>
      </c>
      <c r="AF202" s="74" t="str">
        <f t="shared" si="87"/>
        <v/>
      </c>
      <c r="AG202" s="74" t="str">
        <f t="shared" si="88"/>
        <v/>
      </c>
      <c r="AH202" s="74">
        <f t="shared" si="89"/>
        <v>0</v>
      </c>
      <c r="AI202" s="74" t="str">
        <f>IF(AH202&lt;&gt;0,COUNTIF(AH$3:AH202,1),"")</f>
        <v/>
      </c>
      <c r="AJ202" s="74">
        <f t="shared" si="90"/>
        <v>0</v>
      </c>
      <c r="AK202" s="73" t="str">
        <f t="shared" si="91"/>
        <v/>
      </c>
      <c r="AL202" s="73" t="str">
        <f t="shared" si="92"/>
        <v/>
      </c>
      <c r="AM202" s="73" t="str">
        <f t="shared" si="93"/>
        <v/>
      </c>
      <c r="AN202" s="73" t="str">
        <f t="shared" si="94"/>
        <v/>
      </c>
      <c r="AP202" s="61" t="str">
        <f t="shared" si="95"/>
        <v/>
      </c>
      <c r="AQ202" s="61" t="str">
        <f t="shared" si="96"/>
        <v/>
      </c>
      <c r="AR202" s="61" t="str">
        <f t="shared" si="97"/>
        <v/>
      </c>
    </row>
    <row r="203" spans="16:44" x14ac:dyDescent="0.25">
      <c r="P203" s="73" t="str">
        <f t="shared" si="77"/>
        <v/>
      </c>
      <c r="Q203" s="73" t="str">
        <f t="shared" si="78"/>
        <v/>
      </c>
      <c r="R203" s="74" t="str">
        <f t="shared" si="79"/>
        <v/>
      </c>
      <c r="S203" s="74" t="str">
        <f t="shared" si="80"/>
        <v/>
      </c>
      <c r="U203" s="74" t="str">
        <f t="shared" si="81"/>
        <v/>
      </c>
      <c r="V203" s="74" t="str">
        <f t="shared" si="81"/>
        <v/>
      </c>
      <c r="W203" s="74" t="str">
        <f t="shared" si="81"/>
        <v/>
      </c>
      <c r="X203" s="74" t="str">
        <f t="shared" si="81"/>
        <v/>
      </c>
      <c r="Y203" s="74" t="str">
        <f t="shared" si="81"/>
        <v/>
      </c>
      <c r="Z203" s="74" t="str">
        <f t="shared" si="82"/>
        <v/>
      </c>
      <c r="AA203" s="74">
        <f t="shared" si="83"/>
        <v>0</v>
      </c>
      <c r="AB203" s="74">
        <f t="shared" si="84"/>
        <v>0</v>
      </c>
      <c r="AC203" s="74" t="str">
        <f t="shared" si="85"/>
        <v/>
      </c>
      <c r="AE203" s="74" t="str">
        <f t="shared" si="86"/>
        <v/>
      </c>
      <c r="AF203" s="74" t="str">
        <f t="shared" si="87"/>
        <v/>
      </c>
      <c r="AG203" s="74" t="str">
        <f t="shared" si="88"/>
        <v/>
      </c>
      <c r="AH203" s="74">
        <f t="shared" si="89"/>
        <v>0</v>
      </c>
      <c r="AI203" s="74" t="str">
        <f>IF(AH203&lt;&gt;0,COUNTIF(AH$3:AH203,1),"")</f>
        <v/>
      </c>
      <c r="AJ203" s="74">
        <f t="shared" si="90"/>
        <v>0</v>
      </c>
      <c r="AK203" s="73" t="str">
        <f t="shared" si="91"/>
        <v/>
      </c>
      <c r="AL203" s="73" t="str">
        <f t="shared" si="92"/>
        <v/>
      </c>
      <c r="AM203" s="73" t="str">
        <f t="shared" si="93"/>
        <v/>
      </c>
      <c r="AN203" s="73" t="str">
        <f t="shared" si="94"/>
        <v/>
      </c>
      <c r="AP203" s="61" t="str">
        <f t="shared" si="95"/>
        <v/>
      </c>
      <c r="AQ203" s="61" t="str">
        <f t="shared" si="96"/>
        <v/>
      </c>
      <c r="AR203" s="61" t="str">
        <f t="shared" si="97"/>
        <v/>
      </c>
    </row>
    <row r="204" spans="16:44" x14ac:dyDescent="0.25">
      <c r="P204" s="73" t="str">
        <f t="shared" si="77"/>
        <v/>
      </c>
      <c r="Q204" s="73" t="str">
        <f t="shared" si="78"/>
        <v/>
      </c>
      <c r="R204" s="74" t="str">
        <f t="shared" si="79"/>
        <v/>
      </c>
      <c r="S204" s="74" t="str">
        <f t="shared" si="80"/>
        <v/>
      </c>
      <c r="U204" s="74" t="str">
        <f t="shared" si="81"/>
        <v/>
      </c>
      <c r="V204" s="74" t="str">
        <f t="shared" si="81"/>
        <v/>
      </c>
      <c r="W204" s="74" t="str">
        <f t="shared" si="81"/>
        <v/>
      </c>
      <c r="X204" s="74" t="str">
        <f t="shared" si="81"/>
        <v/>
      </c>
      <c r="Y204" s="74" t="str">
        <f t="shared" si="81"/>
        <v/>
      </c>
      <c r="Z204" s="74" t="str">
        <f t="shared" si="82"/>
        <v/>
      </c>
      <c r="AA204" s="74">
        <f t="shared" si="83"/>
        <v>0</v>
      </c>
      <c r="AB204" s="74">
        <f t="shared" si="84"/>
        <v>0</v>
      </c>
      <c r="AC204" s="74" t="str">
        <f t="shared" si="85"/>
        <v/>
      </c>
      <c r="AE204" s="74" t="str">
        <f t="shared" si="86"/>
        <v/>
      </c>
      <c r="AF204" s="74" t="str">
        <f t="shared" si="87"/>
        <v/>
      </c>
      <c r="AG204" s="74" t="str">
        <f t="shared" si="88"/>
        <v/>
      </c>
      <c r="AH204" s="74">
        <f t="shared" si="89"/>
        <v>0</v>
      </c>
      <c r="AI204" s="74" t="str">
        <f>IF(AH204&lt;&gt;0,COUNTIF(AH$3:AH204,1),"")</f>
        <v/>
      </c>
      <c r="AJ204" s="74">
        <f t="shared" si="90"/>
        <v>0</v>
      </c>
      <c r="AK204" s="73" t="str">
        <f t="shared" si="91"/>
        <v/>
      </c>
      <c r="AL204" s="73" t="str">
        <f t="shared" si="92"/>
        <v/>
      </c>
      <c r="AM204" s="73" t="str">
        <f t="shared" si="93"/>
        <v/>
      </c>
      <c r="AN204" s="73" t="str">
        <f t="shared" si="94"/>
        <v/>
      </c>
      <c r="AP204" s="61" t="str">
        <f t="shared" si="95"/>
        <v/>
      </c>
      <c r="AQ204" s="61" t="str">
        <f t="shared" si="96"/>
        <v/>
      </c>
      <c r="AR204" s="61" t="str">
        <f t="shared" si="97"/>
        <v/>
      </c>
    </row>
    <row r="205" spans="16:44" x14ac:dyDescent="0.25">
      <c r="P205" s="73" t="str">
        <f t="shared" si="77"/>
        <v/>
      </c>
      <c r="Q205" s="73" t="str">
        <f t="shared" si="78"/>
        <v/>
      </c>
      <c r="R205" s="74" t="str">
        <f t="shared" si="79"/>
        <v/>
      </c>
      <c r="S205" s="74" t="str">
        <f t="shared" si="80"/>
        <v/>
      </c>
      <c r="U205" s="74" t="str">
        <f t="shared" si="81"/>
        <v/>
      </c>
      <c r="V205" s="74" t="str">
        <f t="shared" si="81"/>
        <v/>
      </c>
      <c r="W205" s="74" t="str">
        <f t="shared" si="81"/>
        <v/>
      </c>
      <c r="X205" s="74" t="str">
        <f t="shared" si="81"/>
        <v/>
      </c>
      <c r="Y205" s="74" t="str">
        <f t="shared" si="81"/>
        <v/>
      </c>
      <c r="Z205" s="74" t="str">
        <f t="shared" si="82"/>
        <v/>
      </c>
      <c r="AA205" s="74">
        <f t="shared" si="83"/>
        <v>0</v>
      </c>
      <c r="AB205" s="74">
        <f t="shared" si="84"/>
        <v>0</v>
      </c>
      <c r="AC205" s="74" t="str">
        <f t="shared" si="85"/>
        <v/>
      </c>
      <c r="AE205" s="74" t="str">
        <f t="shared" si="86"/>
        <v/>
      </c>
      <c r="AF205" s="74" t="str">
        <f t="shared" si="87"/>
        <v/>
      </c>
      <c r="AG205" s="74" t="str">
        <f t="shared" si="88"/>
        <v/>
      </c>
      <c r="AH205" s="74">
        <f t="shared" si="89"/>
        <v>0</v>
      </c>
      <c r="AI205" s="74" t="str">
        <f>IF(AH205&lt;&gt;0,COUNTIF(AH$3:AH205,1),"")</f>
        <v/>
      </c>
      <c r="AJ205" s="74">
        <f t="shared" si="90"/>
        <v>0</v>
      </c>
      <c r="AK205" s="73" t="str">
        <f t="shared" si="91"/>
        <v/>
      </c>
      <c r="AL205" s="73" t="str">
        <f t="shared" si="92"/>
        <v/>
      </c>
      <c r="AM205" s="73" t="str">
        <f t="shared" si="93"/>
        <v/>
      </c>
      <c r="AN205" s="73" t="str">
        <f t="shared" si="94"/>
        <v/>
      </c>
      <c r="AP205" s="61" t="str">
        <f t="shared" si="95"/>
        <v/>
      </c>
      <c r="AQ205" s="61" t="str">
        <f t="shared" si="96"/>
        <v/>
      </c>
      <c r="AR205" s="61" t="str">
        <f t="shared" si="97"/>
        <v/>
      </c>
    </row>
    <row r="206" spans="16:44" x14ac:dyDescent="0.25">
      <c r="P206" s="73" t="str">
        <f t="shared" si="77"/>
        <v/>
      </c>
      <c r="Q206" s="73" t="str">
        <f t="shared" si="78"/>
        <v/>
      </c>
      <c r="R206" s="74" t="str">
        <f t="shared" si="79"/>
        <v/>
      </c>
      <c r="S206" s="74" t="str">
        <f t="shared" si="80"/>
        <v/>
      </c>
      <c r="U206" s="74" t="str">
        <f t="shared" si="81"/>
        <v/>
      </c>
      <c r="V206" s="74" t="str">
        <f t="shared" si="81"/>
        <v/>
      </c>
      <c r="W206" s="74" t="str">
        <f t="shared" si="81"/>
        <v/>
      </c>
      <c r="X206" s="74" t="str">
        <f t="shared" si="81"/>
        <v/>
      </c>
      <c r="Y206" s="74" t="str">
        <f t="shared" si="81"/>
        <v/>
      </c>
      <c r="Z206" s="74" t="str">
        <f t="shared" si="82"/>
        <v/>
      </c>
      <c r="AA206" s="74">
        <f t="shared" si="83"/>
        <v>0</v>
      </c>
      <c r="AB206" s="74">
        <f t="shared" si="84"/>
        <v>0</v>
      </c>
      <c r="AC206" s="74" t="str">
        <f t="shared" si="85"/>
        <v/>
      </c>
      <c r="AE206" s="74" t="str">
        <f t="shared" si="86"/>
        <v/>
      </c>
      <c r="AF206" s="74" t="str">
        <f t="shared" si="87"/>
        <v/>
      </c>
      <c r="AG206" s="74" t="str">
        <f t="shared" si="88"/>
        <v/>
      </c>
      <c r="AH206" s="74">
        <f t="shared" si="89"/>
        <v>0</v>
      </c>
      <c r="AI206" s="74" t="str">
        <f>IF(AH206&lt;&gt;0,COUNTIF(AH$3:AH206,1),"")</f>
        <v/>
      </c>
      <c r="AJ206" s="74">
        <f t="shared" si="90"/>
        <v>0</v>
      </c>
      <c r="AK206" s="73" t="str">
        <f t="shared" si="91"/>
        <v/>
      </c>
      <c r="AL206" s="73" t="str">
        <f t="shared" si="92"/>
        <v/>
      </c>
      <c r="AM206" s="73" t="str">
        <f t="shared" si="93"/>
        <v/>
      </c>
      <c r="AN206" s="73" t="str">
        <f t="shared" si="94"/>
        <v/>
      </c>
      <c r="AP206" s="61" t="str">
        <f t="shared" si="95"/>
        <v/>
      </c>
      <c r="AQ206" s="61" t="str">
        <f t="shared" si="96"/>
        <v/>
      </c>
      <c r="AR206" s="61" t="str">
        <f t="shared" si="97"/>
        <v/>
      </c>
    </row>
    <row r="207" spans="16:44" x14ac:dyDescent="0.25">
      <c r="P207" s="73" t="str">
        <f t="shared" si="77"/>
        <v/>
      </c>
      <c r="Q207" s="73" t="str">
        <f t="shared" si="78"/>
        <v/>
      </c>
      <c r="R207" s="74" t="str">
        <f t="shared" si="79"/>
        <v/>
      </c>
      <c r="S207" s="74" t="str">
        <f t="shared" si="80"/>
        <v/>
      </c>
      <c r="U207" s="74" t="str">
        <f t="shared" si="81"/>
        <v/>
      </c>
      <c r="V207" s="74" t="str">
        <f t="shared" si="81"/>
        <v/>
      </c>
      <c r="W207" s="74" t="str">
        <f t="shared" si="81"/>
        <v/>
      </c>
      <c r="X207" s="74" t="str">
        <f t="shared" si="81"/>
        <v/>
      </c>
      <c r="Y207" s="74" t="str">
        <f t="shared" si="81"/>
        <v/>
      </c>
      <c r="Z207" s="74" t="str">
        <f t="shared" si="82"/>
        <v/>
      </c>
      <c r="AA207" s="74">
        <f t="shared" si="83"/>
        <v>0</v>
      </c>
      <c r="AB207" s="74">
        <f t="shared" si="84"/>
        <v>0</v>
      </c>
      <c r="AC207" s="74" t="str">
        <f t="shared" si="85"/>
        <v/>
      </c>
      <c r="AE207" s="74" t="str">
        <f t="shared" si="86"/>
        <v/>
      </c>
      <c r="AF207" s="74" t="str">
        <f t="shared" si="87"/>
        <v/>
      </c>
      <c r="AG207" s="74" t="str">
        <f t="shared" si="88"/>
        <v/>
      </c>
      <c r="AH207" s="74">
        <f t="shared" si="89"/>
        <v>0</v>
      </c>
      <c r="AI207" s="74" t="str">
        <f>IF(AH207&lt;&gt;0,COUNTIF(AH$3:AH207,1),"")</f>
        <v/>
      </c>
      <c r="AJ207" s="74">
        <f t="shared" si="90"/>
        <v>0</v>
      </c>
      <c r="AK207" s="73" t="str">
        <f t="shared" si="91"/>
        <v/>
      </c>
      <c r="AL207" s="73" t="str">
        <f t="shared" si="92"/>
        <v/>
      </c>
      <c r="AM207" s="73" t="str">
        <f t="shared" si="93"/>
        <v/>
      </c>
      <c r="AN207" s="73" t="str">
        <f t="shared" si="94"/>
        <v/>
      </c>
      <c r="AP207" s="61" t="str">
        <f t="shared" si="95"/>
        <v/>
      </c>
      <c r="AQ207" s="61" t="str">
        <f t="shared" si="96"/>
        <v/>
      </c>
      <c r="AR207" s="61" t="str">
        <f t="shared" si="97"/>
        <v/>
      </c>
    </row>
    <row r="208" spans="16:44" x14ac:dyDescent="0.25">
      <c r="P208" s="73" t="str">
        <f t="shared" si="77"/>
        <v/>
      </c>
      <c r="Q208" s="73" t="str">
        <f t="shared" si="78"/>
        <v/>
      </c>
      <c r="R208" s="74" t="str">
        <f t="shared" si="79"/>
        <v/>
      </c>
      <c r="S208" s="74" t="str">
        <f t="shared" si="80"/>
        <v/>
      </c>
      <c r="U208" s="74" t="str">
        <f t="shared" si="81"/>
        <v/>
      </c>
      <c r="V208" s="74" t="str">
        <f t="shared" si="81"/>
        <v/>
      </c>
      <c r="W208" s="74" t="str">
        <f t="shared" si="81"/>
        <v/>
      </c>
      <c r="X208" s="74" t="str">
        <f t="shared" si="81"/>
        <v/>
      </c>
      <c r="Y208" s="74" t="str">
        <f t="shared" si="81"/>
        <v/>
      </c>
      <c r="Z208" s="74" t="str">
        <f t="shared" si="82"/>
        <v/>
      </c>
      <c r="AA208" s="74">
        <f t="shared" si="83"/>
        <v>0</v>
      </c>
      <c r="AB208" s="74">
        <f t="shared" si="84"/>
        <v>0</v>
      </c>
      <c r="AC208" s="74" t="str">
        <f t="shared" si="85"/>
        <v/>
      </c>
      <c r="AE208" s="74" t="str">
        <f t="shared" si="86"/>
        <v/>
      </c>
      <c r="AF208" s="74" t="str">
        <f t="shared" si="87"/>
        <v/>
      </c>
      <c r="AG208" s="74" t="str">
        <f t="shared" si="88"/>
        <v/>
      </c>
      <c r="AH208" s="74">
        <f t="shared" si="89"/>
        <v>0</v>
      </c>
      <c r="AI208" s="74" t="str">
        <f>IF(AH208&lt;&gt;0,COUNTIF(AH$3:AH208,1),"")</f>
        <v/>
      </c>
      <c r="AJ208" s="74">
        <f t="shared" si="90"/>
        <v>0</v>
      </c>
      <c r="AK208" s="73" t="str">
        <f t="shared" si="91"/>
        <v/>
      </c>
      <c r="AL208" s="73" t="str">
        <f t="shared" si="92"/>
        <v/>
      </c>
      <c r="AM208" s="73" t="str">
        <f t="shared" si="93"/>
        <v/>
      </c>
      <c r="AN208" s="73" t="str">
        <f t="shared" si="94"/>
        <v/>
      </c>
      <c r="AP208" s="61" t="str">
        <f t="shared" si="95"/>
        <v/>
      </c>
      <c r="AQ208" s="61" t="str">
        <f t="shared" si="96"/>
        <v/>
      </c>
      <c r="AR208" s="61" t="str">
        <f t="shared" si="97"/>
        <v/>
      </c>
    </row>
    <row r="209" spans="16:44" x14ac:dyDescent="0.25">
      <c r="P209" s="73" t="str">
        <f t="shared" si="77"/>
        <v/>
      </c>
      <c r="Q209" s="73" t="str">
        <f t="shared" si="78"/>
        <v/>
      </c>
      <c r="R209" s="74" t="str">
        <f t="shared" si="79"/>
        <v/>
      </c>
      <c r="S209" s="74" t="str">
        <f t="shared" si="80"/>
        <v/>
      </c>
      <c r="U209" s="74" t="str">
        <f t="shared" si="81"/>
        <v/>
      </c>
      <c r="V209" s="74" t="str">
        <f t="shared" si="81"/>
        <v/>
      </c>
      <c r="W209" s="74" t="str">
        <f t="shared" si="81"/>
        <v/>
      </c>
      <c r="X209" s="74" t="str">
        <f t="shared" si="81"/>
        <v/>
      </c>
      <c r="Y209" s="74" t="str">
        <f t="shared" si="81"/>
        <v/>
      </c>
      <c r="Z209" s="74" t="str">
        <f t="shared" si="82"/>
        <v/>
      </c>
      <c r="AA209" s="74">
        <f t="shared" si="83"/>
        <v>0</v>
      </c>
      <c r="AB209" s="74">
        <f t="shared" si="84"/>
        <v>0</v>
      </c>
      <c r="AC209" s="74" t="str">
        <f t="shared" si="85"/>
        <v/>
      </c>
      <c r="AE209" s="74" t="str">
        <f t="shared" si="86"/>
        <v/>
      </c>
      <c r="AF209" s="74" t="str">
        <f t="shared" si="87"/>
        <v/>
      </c>
      <c r="AG209" s="74" t="str">
        <f t="shared" si="88"/>
        <v/>
      </c>
      <c r="AH209" s="74">
        <f t="shared" si="89"/>
        <v>0</v>
      </c>
      <c r="AI209" s="74" t="str">
        <f>IF(AH209&lt;&gt;0,COUNTIF(AH$3:AH209,1),"")</f>
        <v/>
      </c>
      <c r="AJ209" s="74">
        <f t="shared" si="90"/>
        <v>0</v>
      </c>
      <c r="AK209" s="73" t="str">
        <f t="shared" si="91"/>
        <v/>
      </c>
      <c r="AL209" s="73" t="str">
        <f t="shared" si="92"/>
        <v/>
      </c>
      <c r="AM209" s="73" t="str">
        <f t="shared" si="93"/>
        <v/>
      </c>
      <c r="AN209" s="73" t="str">
        <f t="shared" si="94"/>
        <v/>
      </c>
      <c r="AP209" s="61" t="str">
        <f t="shared" si="95"/>
        <v/>
      </c>
      <c r="AQ209" s="61" t="str">
        <f t="shared" si="96"/>
        <v/>
      </c>
      <c r="AR209" s="61" t="str">
        <f t="shared" si="97"/>
        <v/>
      </c>
    </row>
    <row r="210" spans="16:44" x14ac:dyDescent="0.25">
      <c r="P210" s="73" t="str">
        <f t="shared" si="77"/>
        <v/>
      </c>
      <c r="Q210" s="73" t="str">
        <f t="shared" si="78"/>
        <v/>
      </c>
      <c r="R210" s="74" t="str">
        <f t="shared" si="79"/>
        <v/>
      </c>
      <c r="S210" s="74" t="str">
        <f t="shared" si="80"/>
        <v/>
      </c>
      <c r="U210" s="74" t="str">
        <f t="shared" si="81"/>
        <v/>
      </c>
      <c r="V210" s="74" t="str">
        <f t="shared" si="81"/>
        <v/>
      </c>
      <c r="W210" s="74" t="str">
        <f t="shared" si="81"/>
        <v/>
      </c>
      <c r="X210" s="74" t="str">
        <f t="shared" si="81"/>
        <v/>
      </c>
      <c r="Y210" s="74" t="str">
        <f t="shared" si="81"/>
        <v/>
      </c>
      <c r="Z210" s="74" t="str">
        <f t="shared" si="82"/>
        <v/>
      </c>
      <c r="AA210" s="74">
        <f t="shared" si="83"/>
        <v>0</v>
      </c>
      <c r="AB210" s="74">
        <f t="shared" si="84"/>
        <v>0</v>
      </c>
      <c r="AC210" s="74" t="str">
        <f t="shared" si="85"/>
        <v/>
      </c>
      <c r="AE210" s="74" t="str">
        <f t="shared" si="86"/>
        <v/>
      </c>
      <c r="AF210" s="74" t="str">
        <f t="shared" si="87"/>
        <v/>
      </c>
      <c r="AG210" s="74" t="str">
        <f t="shared" si="88"/>
        <v/>
      </c>
      <c r="AH210" s="74">
        <f t="shared" si="89"/>
        <v>0</v>
      </c>
      <c r="AI210" s="74" t="str">
        <f>IF(AH210&lt;&gt;0,COUNTIF(AH$3:AH210,1),"")</f>
        <v/>
      </c>
      <c r="AJ210" s="74">
        <f t="shared" si="90"/>
        <v>0</v>
      </c>
      <c r="AK210" s="73" t="str">
        <f t="shared" si="91"/>
        <v/>
      </c>
      <c r="AL210" s="73" t="str">
        <f t="shared" si="92"/>
        <v/>
      </c>
      <c r="AM210" s="73" t="str">
        <f t="shared" si="93"/>
        <v/>
      </c>
      <c r="AN210" s="73" t="str">
        <f t="shared" si="94"/>
        <v/>
      </c>
      <c r="AP210" s="61" t="str">
        <f t="shared" si="95"/>
        <v/>
      </c>
      <c r="AQ210" s="61" t="str">
        <f t="shared" si="96"/>
        <v/>
      </c>
      <c r="AR210" s="61" t="str">
        <f t="shared" si="97"/>
        <v/>
      </c>
    </row>
    <row r="211" spans="16:44" x14ac:dyDescent="0.25">
      <c r="P211" s="73" t="str">
        <f t="shared" si="77"/>
        <v/>
      </c>
      <c r="Q211" s="73" t="str">
        <f t="shared" si="78"/>
        <v/>
      </c>
      <c r="R211" s="74" t="str">
        <f t="shared" si="79"/>
        <v/>
      </c>
      <c r="S211" s="74" t="str">
        <f t="shared" si="80"/>
        <v/>
      </c>
      <c r="U211" s="74" t="str">
        <f t="shared" si="81"/>
        <v/>
      </c>
      <c r="V211" s="74" t="str">
        <f t="shared" si="81"/>
        <v/>
      </c>
      <c r="W211" s="74" t="str">
        <f t="shared" si="81"/>
        <v/>
      </c>
      <c r="X211" s="74" t="str">
        <f t="shared" si="81"/>
        <v/>
      </c>
      <c r="Y211" s="74" t="str">
        <f t="shared" si="81"/>
        <v/>
      </c>
      <c r="Z211" s="74" t="str">
        <f t="shared" si="82"/>
        <v/>
      </c>
      <c r="AA211" s="74">
        <f t="shared" si="83"/>
        <v>0</v>
      </c>
      <c r="AB211" s="74">
        <f t="shared" si="84"/>
        <v>0</v>
      </c>
      <c r="AC211" s="74" t="str">
        <f t="shared" si="85"/>
        <v/>
      </c>
      <c r="AE211" s="74" t="str">
        <f t="shared" si="86"/>
        <v/>
      </c>
      <c r="AF211" s="74" t="str">
        <f t="shared" si="87"/>
        <v/>
      </c>
      <c r="AG211" s="74" t="str">
        <f t="shared" si="88"/>
        <v/>
      </c>
      <c r="AH211" s="74">
        <f t="shared" si="89"/>
        <v>0</v>
      </c>
      <c r="AI211" s="74" t="str">
        <f>IF(AH211&lt;&gt;0,COUNTIF(AH$3:AH211,1),"")</f>
        <v/>
      </c>
      <c r="AJ211" s="74">
        <f t="shared" si="90"/>
        <v>0</v>
      </c>
      <c r="AK211" s="73" t="str">
        <f t="shared" si="91"/>
        <v/>
      </c>
      <c r="AL211" s="73" t="str">
        <f t="shared" si="92"/>
        <v/>
      </c>
      <c r="AM211" s="73" t="str">
        <f t="shared" si="93"/>
        <v/>
      </c>
      <c r="AN211" s="73" t="str">
        <f t="shared" si="94"/>
        <v/>
      </c>
      <c r="AP211" s="61" t="str">
        <f t="shared" si="95"/>
        <v/>
      </c>
      <c r="AQ211" s="61" t="str">
        <f t="shared" si="96"/>
        <v/>
      </c>
      <c r="AR211" s="61" t="str">
        <f t="shared" si="97"/>
        <v/>
      </c>
    </row>
    <row r="212" spans="16:44" x14ac:dyDescent="0.25">
      <c r="P212" s="73" t="str">
        <f t="shared" si="77"/>
        <v/>
      </c>
      <c r="Q212" s="73" t="str">
        <f t="shared" si="78"/>
        <v/>
      </c>
      <c r="R212" s="74" t="str">
        <f t="shared" si="79"/>
        <v/>
      </c>
      <c r="S212" s="74" t="str">
        <f t="shared" si="80"/>
        <v/>
      </c>
      <c r="U212" s="74" t="str">
        <f t="shared" si="81"/>
        <v/>
      </c>
      <c r="V212" s="74" t="str">
        <f t="shared" si="81"/>
        <v/>
      </c>
      <c r="W212" s="74" t="str">
        <f t="shared" si="81"/>
        <v/>
      </c>
      <c r="X212" s="74" t="str">
        <f t="shared" si="81"/>
        <v/>
      </c>
      <c r="Y212" s="74" t="str">
        <f t="shared" si="81"/>
        <v/>
      </c>
      <c r="Z212" s="74" t="str">
        <f t="shared" si="82"/>
        <v/>
      </c>
      <c r="AA212" s="74">
        <f t="shared" si="83"/>
        <v>0</v>
      </c>
      <c r="AB212" s="74">
        <f t="shared" si="84"/>
        <v>0</v>
      </c>
      <c r="AC212" s="74" t="str">
        <f t="shared" si="85"/>
        <v/>
      </c>
      <c r="AE212" s="74" t="str">
        <f t="shared" si="86"/>
        <v/>
      </c>
      <c r="AF212" s="74" t="str">
        <f t="shared" si="87"/>
        <v/>
      </c>
      <c r="AG212" s="74" t="str">
        <f t="shared" si="88"/>
        <v/>
      </c>
      <c r="AH212" s="74">
        <f t="shared" si="89"/>
        <v>0</v>
      </c>
      <c r="AI212" s="74" t="str">
        <f>IF(AH212&lt;&gt;0,COUNTIF(AH$3:AH212,1),"")</f>
        <v/>
      </c>
      <c r="AJ212" s="74">
        <f t="shared" si="90"/>
        <v>0</v>
      </c>
      <c r="AK212" s="73" t="str">
        <f t="shared" si="91"/>
        <v/>
      </c>
      <c r="AL212" s="73" t="str">
        <f t="shared" si="92"/>
        <v/>
      </c>
      <c r="AM212" s="73" t="str">
        <f t="shared" si="93"/>
        <v/>
      </c>
      <c r="AN212" s="73" t="str">
        <f t="shared" si="94"/>
        <v/>
      </c>
      <c r="AP212" s="61" t="str">
        <f t="shared" si="95"/>
        <v/>
      </c>
      <c r="AQ212" s="61" t="str">
        <f t="shared" si="96"/>
        <v/>
      </c>
      <c r="AR212" s="61" t="str">
        <f t="shared" si="97"/>
        <v/>
      </c>
    </row>
    <row r="213" spans="16:44" x14ac:dyDescent="0.25">
      <c r="P213" s="73" t="str">
        <f t="shared" si="77"/>
        <v/>
      </c>
      <c r="Q213" s="73" t="str">
        <f t="shared" si="78"/>
        <v/>
      </c>
      <c r="R213" s="74" t="str">
        <f t="shared" si="79"/>
        <v/>
      </c>
      <c r="S213" s="74" t="str">
        <f t="shared" si="80"/>
        <v/>
      </c>
      <c r="U213" s="74" t="str">
        <f t="shared" si="81"/>
        <v/>
      </c>
      <c r="V213" s="74" t="str">
        <f t="shared" si="81"/>
        <v/>
      </c>
      <c r="W213" s="74" t="str">
        <f t="shared" si="81"/>
        <v/>
      </c>
      <c r="X213" s="74" t="str">
        <f t="shared" si="81"/>
        <v/>
      </c>
      <c r="Y213" s="74" t="str">
        <f t="shared" si="81"/>
        <v/>
      </c>
      <c r="Z213" s="74" t="str">
        <f t="shared" si="82"/>
        <v/>
      </c>
      <c r="AA213" s="74">
        <f t="shared" si="83"/>
        <v>0</v>
      </c>
      <c r="AB213" s="74">
        <f t="shared" si="84"/>
        <v>0</v>
      </c>
      <c r="AC213" s="74" t="str">
        <f t="shared" si="85"/>
        <v/>
      </c>
      <c r="AE213" s="74" t="str">
        <f t="shared" si="86"/>
        <v/>
      </c>
      <c r="AF213" s="74" t="str">
        <f t="shared" si="87"/>
        <v/>
      </c>
      <c r="AG213" s="74" t="str">
        <f t="shared" si="88"/>
        <v/>
      </c>
      <c r="AH213" s="74">
        <f t="shared" si="89"/>
        <v>0</v>
      </c>
      <c r="AI213" s="74" t="str">
        <f>IF(AH213&lt;&gt;0,COUNTIF(AH$3:AH213,1),"")</f>
        <v/>
      </c>
      <c r="AJ213" s="74">
        <f t="shared" si="90"/>
        <v>0</v>
      </c>
      <c r="AK213" s="73" t="str">
        <f t="shared" si="91"/>
        <v/>
      </c>
      <c r="AL213" s="73" t="str">
        <f t="shared" si="92"/>
        <v/>
      </c>
      <c r="AM213" s="73" t="str">
        <f t="shared" si="93"/>
        <v/>
      </c>
      <c r="AN213" s="73" t="str">
        <f t="shared" si="94"/>
        <v/>
      </c>
      <c r="AP213" s="61" t="str">
        <f t="shared" si="95"/>
        <v/>
      </c>
      <c r="AQ213" s="61" t="str">
        <f t="shared" si="96"/>
        <v/>
      </c>
      <c r="AR213" s="61" t="str">
        <f t="shared" si="97"/>
        <v/>
      </c>
    </row>
    <row r="214" spans="16:44" x14ac:dyDescent="0.25">
      <c r="P214" s="73" t="str">
        <f t="shared" si="77"/>
        <v/>
      </c>
      <c r="Q214" s="73" t="str">
        <f t="shared" si="78"/>
        <v/>
      </c>
      <c r="R214" s="74" t="str">
        <f t="shared" si="79"/>
        <v/>
      </c>
      <c r="S214" s="74" t="str">
        <f t="shared" si="80"/>
        <v/>
      </c>
      <c r="U214" s="74" t="str">
        <f t="shared" si="81"/>
        <v/>
      </c>
      <c r="V214" s="74" t="str">
        <f t="shared" si="81"/>
        <v/>
      </c>
      <c r="W214" s="74" t="str">
        <f t="shared" si="81"/>
        <v/>
      </c>
      <c r="X214" s="74" t="str">
        <f t="shared" si="81"/>
        <v/>
      </c>
      <c r="Y214" s="74" t="str">
        <f t="shared" si="81"/>
        <v/>
      </c>
      <c r="Z214" s="74" t="str">
        <f t="shared" si="82"/>
        <v/>
      </c>
      <c r="AA214" s="74">
        <f t="shared" si="83"/>
        <v>0</v>
      </c>
      <c r="AB214" s="74">
        <f t="shared" si="84"/>
        <v>0</v>
      </c>
      <c r="AC214" s="74" t="str">
        <f t="shared" si="85"/>
        <v/>
      </c>
      <c r="AE214" s="74" t="str">
        <f t="shared" si="86"/>
        <v/>
      </c>
      <c r="AF214" s="74" t="str">
        <f t="shared" si="87"/>
        <v/>
      </c>
      <c r="AG214" s="74" t="str">
        <f t="shared" si="88"/>
        <v/>
      </c>
      <c r="AH214" s="74">
        <f t="shared" si="89"/>
        <v>0</v>
      </c>
      <c r="AI214" s="74" t="str">
        <f>IF(AH214&lt;&gt;0,COUNTIF(AH$3:AH214,1),"")</f>
        <v/>
      </c>
      <c r="AJ214" s="74">
        <f t="shared" si="90"/>
        <v>0</v>
      </c>
      <c r="AK214" s="73" t="str">
        <f t="shared" si="91"/>
        <v/>
      </c>
      <c r="AL214" s="73" t="str">
        <f t="shared" si="92"/>
        <v/>
      </c>
      <c r="AM214" s="73" t="str">
        <f t="shared" si="93"/>
        <v/>
      </c>
      <c r="AN214" s="73" t="str">
        <f t="shared" si="94"/>
        <v/>
      </c>
      <c r="AP214" s="61" t="str">
        <f t="shared" si="95"/>
        <v/>
      </c>
      <c r="AQ214" s="61" t="str">
        <f t="shared" si="96"/>
        <v/>
      </c>
      <c r="AR214" s="61" t="str">
        <f t="shared" si="97"/>
        <v/>
      </c>
    </row>
    <row r="215" spans="16:44" x14ac:dyDescent="0.25">
      <c r="P215" s="73" t="str">
        <f t="shared" si="77"/>
        <v/>
      </c>
      <c r="Q215" s="73" t="str">
        <f t="shared" si="78"/>
        <v/>
      </c>
      <c r="R215" s="74" t="str">
        <f t="shared" si="79"/>
        <v/>
      </c>
      <c r="S215" s="74" t="str">
        <f t="shared" si="80"/>
        <v/>
      </c>
      <c r="U215" s="74" t="str">
        <f t="shared" si="81"/>
        <v/>
      </c>
      <c r="V215" s="74" t="str">
        <f t="shared" si="81"/>
        <v/>
      </c>
      <c r="W215" s="74" t="str">
        <f t="shared" si="81"/>
        <v/>
      </c>
      <c r="X215" s="74" t="str">
        <f t="shared" si="81"/>
        <v/>
      </c>
      <c r="Y215" s="74" t="str">
        <f t="shared" si="81"/>
        <v/>
      </c>
      <c r="Z215" s="74" t="str">
        <f t="shared" si="82"/>
        <v/>
      </c>
      <c r="AA215" s="74">
        <f t="shared" si="83"/>
        <v>0</v>
      </c>
      <c r="AB215" s="74">
        <f t="shared" si="84"/>
        <v>0</v>
      </c>
      <c r="AC215" s="74" t="str">
        <f t="shared" si="85"/>
        <v/>
      </c>
      <c r="AE215" s="74" t="str">
        <f t="shared" si="86"/>
        <v/>
      </c>
      <c r="AF215" s="74" t="str">
        <f t="shared" si="87"/>
        <v/>
      </c>
      <c r="AG215" s="74" t="str">
        <f t="shared" si="88"/>
        <v/>
      </c>
      <c r="AH215" s="74">
        <f t="shared" si="89"/>
        <v>0</v>
      </c>
      <c r="AI215" s="74" t="str">
        <f>IF(AH215&lt;&gt;0,COUNTIF(AH$3:AH215,1),"")</f>
        <v/>
      </c>
      <c r="AJ215" s="74">
        <f t="shared" si="90"/>
        <v>0</v>
      </c>
      <c r="AK215" s="73" t="str">
        <f t="shared" si="91"/>
        <v/>
      </c>
      <c r="AL215" s="73" t="str">
        <f t="shared" si="92"/>
        <v/>
      </c>
      <c r="AM215" s="73" t="str">
        <f t="shared" si="93"/>
        <v/>
      </c>
      <c r="AN215" s="73" t="str">
        <f t="shared" si="94"/>
        <v/>
      </c>
      <c r="AP215" s="61" t="str">
        <f t="shared" si="95"/>
        <v/>
      </c>
      <c r="AQ215" s="61" t="str">
        <f t="shared" si="96"/>
        <v/>
      </c>
      <c r="AR215" s="61" t="str">
        <f t="shared" si="97"/>
        <v/>
      </c>
    </row>
    <row r="216" spans="16:44" x14ac:dyDescent="0.25">
      <c r="P216" s="73" t="str">
        <f t="shared" si="77"/>
        <v/>
      </c>
      <c r="Q216" s="73" t="str">
        <f t="shared" si="78"/>
        <v/>
      </c>
      <c r="R216" s="74" t="str">
        <f t="shared" si="79"/>
        <v/>
      </c>
      <c r="S216" s="74" t="str">
        <f t="shared" si="80"/>
        <v/>
      </c>
      <c r="U216" s="74" t="str">
        <f t="shared" si="81"/>
        <v/>
      </c>
      <c r="V216" s="74" t="str">
        <f t="shared" si="81"/>
        <v/>
      </c>
      <c r="W216" s="74" t="str">
        <f t="shared" si="81"/>
        <v/>
      </c>
      <c r="X216" s="74" t="str">
        <f t="shared" si="81"/>
        <v/>
      </c>
      <c r="Y216" s="74" t="str">
        <f t="shared" si="81"/>
        <v/>
      </c>
      <c r="Z216" s="74" t="str">
        <f t="shared" si="82"/>
        <v/>
      </c>
      <c r="AA216" s="74">
        <f t="shared" si="83"/>
        <v>0</v>
      </c>
      <c r="AB216" s="74">
        <f t="shared" si="84"/>
        <v>0</v>
      </c>
      <c r="AC216" s="74" t="str">
        <f t="shared" si="85"/>
        <v/>
      </c>
      <c r="AE216" s="74" t="str">
        <f t="shared" si="86"/>
        <v/>
      </c>
      <c r="AF216" s="74" t="str">
        <f t="shared" si="87"/>
        <v/>
      </c>
      <c r="AG216" s="74" t="str">
        <f t="shared" si="88"/>
        <v/>
      </c>
      <c r="AH216" s="74">
        <f t="shared" si="89"/>
        <v>0</v>
      </c>
      <c r="AI216" s="74" t="str">
        <f>IF(AH216&lt;&gt;0,COUNTIF(AH$3:AH216,1),"")</f>
        <v/>
      </c>
      <c r="AJ216" s="74">
        <f t="shared" si="90"/>
        <v>0</v>
      </c>
      <c r="AK216" s="73" t="str">
        <f t="shared" si="91"/>
        <v/>
      </c>
      <c r="AL216" s="73" t="str">
        <f t="shared" si="92"/>
        <v/>
      </c>
      <c r="AM216" s="73" t="str">
        <f t="shared" si="93"/>
        <v/>
      </c>
      <c r="AN216" s="73" t="str">
        <f t="shared" si="94"/>
        <v/>
      </c>
      <c r="AP216" s="61" t="str">
        <f t="shared" si="95"/>
        <v/>
      </c>
      <c r="AQ216" s="61" t="str">
        <f t="shared" si="96"/>
        <v/>
      </c>
      <c r="AR216" s="61" t="str">
        <f t="shared" si="97"/>
        <v/>
      </c>
    </row>
    <row r="217" spans="16:44" x14ac:dyDescent="0.25">
      <c r="P217" s="73" t="str">
        <f t="shared" si="77"/>
        <v/>
      </c>
      <c r="Q217" s="73" t="str">
        <f t="shared" si="78"/>
        <v/>
      </c>
      <c r="R217" s="74" t="str">
        <f t="shared" si="79"/>
        <v/>
      </c>
      <c r="S217" s="74" t="str">
        <f t="shared" si="80"/>
        <v/>
      </c>
      <c r="U217" s="74" t="str">
        <f t="shared" si="81"/>
        <v/>
      </c>
      <c r="V217" s="74" t="str">
        <f t="shared" si="81"/>
        <v/>
      </c>
      <c r="W217" s="74" t="str">
        <f t="shared" si="81"/>
        <v/>
      </c>
      <c r="X217" s="74" t="str">
        <f t="shared" si="81"/>
        <v/>
      </c>
      <c r="Y217" s="74" t="str">
        <f t="shared" si="81"/>
        <v/>
      </c>
      <c r="Z217" s="74" t="str">
        <f t="shared" si="82"/>
        <v/>
      </c>
      <c r="AA217" s="74">
        <f t="shared" si="83"/>
        <v>0</v>
      </c>
      <c r="AB217" s="74">
        <f t="shared" si="84"/>
        <v>0</v>
      </c>
      <c r="AC217" s="74" t="str">
        <f t="shared" si="85"/>
        <v/>
      </c>
      <c r="AE217" s="74" t="str">
        <f t="shared" si="86"/>
        <v/>
      </c>
      <c r="AF217" s="74" t="str">
        <f t="shared" si="87"/>
        <v/>
      </c>
      <c r="AG217" s="74" t="str">
        <f t="shared" si="88"/>
        <v/>
      </c>
      <c r="AH217" s="74">
        <f t="shared" si="89"/>
        <v>0</v>
      </c>
      <c r="AI217" s="74" t="str">
        <f>IF(AH217&lt;&gt;0,COUNTIF(AH$3:AH217,1),"")</f>
        <v/>
      </c>
      <c r="AJ217" s="74">
        <f t="shared" si="90"/>
        <v>0</v>
      </c>
      <c r="AK217" s="73" t="str">
        <f t="shared" si="91"/>
        <v/>
      </c>
      <c r="AL217" s="73" t="str">
        <f t="shared" si="92"/>
        <v/>
      </c>
      <c r="AM217" s="73" t="str">
        <f t="shared" si="93"/>
        <v/>
      </c>
      <c r="AN217" s="73" t="str">
        <f t="shared" si="94"/>
        <v/>
      </c>
      <c r="AP217" s="61" t="str">
        <f t="shared" si="95"/>
        <v/>
      </c>
      <c r="AQ217" s="61" t="str">
        <f t="shared" si="96"/>
        <v/>
      </c>
      <c r="AR217" s="61" t="str">
        <f t="shared" si="97"/>
        <v/>
      </c>
    </row>
    <row r="218" spans="16:44" x14ac:dyDescent="0.25">
      <c r="P218" s="73" t="str">
        <f t="shared" si="77"/>
        <v/>
      </c>
      <c r="Q218" s="73" t="str">
        <f t="shared" si="78"/>
        <v/>
      </c>
      <c r="R218" s="74" t="str">
        <f t="shared" si="79"/>
        <v/>
      </c>
      <c r="S218" s="74" t="str">
        <f t="shared" si="80"/>
        <v/>
      </c>
      <c r="U218" s="74" t="str">
        <f t="shared" si="81"/>
        <v/>
      </c>
      <c r="V218" s="74" t="str">
        <f t="shared" si="81"/>
        <v/>
      </c>
      <c r="W218" s="74" t="str">
        <f t="shared" si="81"/>
        <v/>
      </c>
      <c r="X218" s="74" t="str">
        <f t="shared" si="81"/>
        <v/>
      </c>
      <c r="Y218" s="74" t="str">
        <f t="shared" si="81"/>
        <v/>
      </c>
      <c r="Z218" s="74" t="str">
        <f t="shared" si="82"/>
        <v/>
      </c>
      <c r="AA218" s="74">
        <f t="shared" si="83"/>
        <v>0</v>
      </c>
      <c r="AB218" s="74">
        <f t="shared" si="84"/>
        <v>0</v>
      </c>
      <c r="AC218" s="74" t="str">
        <f t="shared" si="85"/>
        <v/>
      </c>
      <c r="AE218" s="74" t="str">
        <f t="shared" si="86"/>
        <v/>
      </c>
      <c r="AF218" s="74" t="str">
        <f t="shared" si="87"/>
        <v/>
      </c>
      <c r="AG218" s="74" t="str">
        <f t="shared" si="88"/>
        <v/>
      </c>
      <c r="AH218" s="74">
        <f t="shared" si="89"/>
        <v>0</v>
      </c>
      <c r="AI218" s="74" t="str">
        <f>IF(AH218&lt;&gt;0,COUNTIF(AH$3:AH218,1),"")</f>
        <v/>
      </c>
      <c r="AJ218" s="74">
        <f t="shared" si="90"/>
        <v>0</v>
      </c>
      <c r="AK218" s="73" t="str">
        <f t="shared" si="91"/>
        <v/>
      </c>
      <c r="AL218" s="73" t="str">
        <f t="shared" si="92"/>
        <v/>
      </c>
      <c r="AM218" s="73" t="str">
        <f t="shared" si="93"/>
        <v/>
      </c>
      <c r="AN218" s="73" t="str">
        <f t="shared" si="94"/>
        <v/>
      </c>
      <c r="AP218" s="61" t="str">
        <f t="shared" si="95"/>
        <v/>
      </c>
      <c r="AQ218" s="61" t="str">
        <f t="shared" si="96"/>
        <v/>
      </c>
      <c r="AR218" s="61" t="str">
        <f t="shared" si="97"/>
        <v/>
      </c>
    </row>
    <row r="219" spans="16:44" x14ac:dyDescent="0.25">
      <c r="P219" s="73" t="str">
        <f t="shared" si="77"/>
        <v/>
      </c>
      <c r="Q219" s="73" t="str">
        <f t="shared" si="78"/>
        <v/>
      </c>
      <c r="R219" s="74" t="str">
        <f t="shared" si="79"/>
        <v/>
      </c>
      <c r="S219" s="74" t="str">
        <f t="shared" si="80"/>
        <v/>
      </c>
      <c r="U219" s="74" t="str">
        <f t="shared" si="81"/>
        <v/>
      </c>
      <c r="V219" s="74" t="str">
        <f t="shared" si="81"/>
        <v/>
      </c>
      <c r="W219" s="74" t="str">
        <f t="shared" si="81"/>
        <v/>
      </c>
      <c r="X219" s="74" t="str">
        <f t="shared" si="81"/>
        <v/>
      </c>
      <c r="Y219" s="74" t="str">
        <f t="shared" si="81"/>
        <v/>
      </c>
      <c r="Z219" s="74" t="str">
        <f t="shared" si="82"/>
        <v/>
      </c>
      <c r="AA219" s="74">
        <f t="shared" si="83"/>
        <v>0</v>
      </c>
      <c r="AB219" s="74">
        <f t="shared" si="84"/>
        <v>0</v>
      </c>
      <c r="AC219" s="74" t="str">
        <f t="shared" si="85"/>
        <v/>
      </c>
      <c r="AE219" s="74" t="str">
        <f t="shared" si="86"/>
        <v/>
      </c>
      <c r="AF219" s="74" t="str">
        <f t="shared" si="87"/>
        <v/>
      </c>
      <c r="AG219" s="74" t="str">
        <f t="shared" si="88"/>
        <v/>
      </c>
      <c r="AH219" s="74">
        <f t="shared" si="89"/>
        <v>0</v>
      </c>
      <c r="AI219" s="74" t="str">
        <f>IF(AH219&lt;&gt;0,COUNTIF(AH$3:AH219,1),"")</f>
        <v/>
      </c>
      <c r="AJ219" s="74">
        <f t="shared" si="90"/>
        <v>0</v>
      </c>
      <c r="AK219" s="73" t="str">
        <f t="shared" si="91"/>
        <v/>
      </c>
      <c r="AL219" s="73" t="str">
        <f t="shared" si="92"/>
        <v/>
      </c>
      <c r="AM219" s="73" t="str">
        <f t="shared" si="93"/>
        <v/>
      </c>
      <c r="AN219" s="73" t="str">
        <f t="shared" si="94"/>
        <v/>
      </c>
      <c r="AP219" s="61" t="str">
        <f t="shared" si="95"/>
        <v/>
      </c>
      <c r="AQ219" s="61" t="str">
        <f t="shared" si="96"/>
        <v/>
      </c>
      <c r="AR219" s="61" t="str">
        <f t="shared" si="97"/>
        <v/>
      </c>
    </row>
    <row r="220" spans="16:44" x14ac:dyDescent="0.25">
      <c r="P220" s="73" t="str">
        <f t="shared" si="77"/>
        <v/>
      </c>
      <c r="Q220" s="73" t="str">
        <f t="shared" si="78"/>
        <v/>
      </c>
      <c r="R220" s="74" t="str">
        <f t="shared" si="79"/>
        <v/>
      </c>
      <c r="S220" s="74" t="str">
        <f t="shared" si="80"/>
        <v/>
      </c>
      <c r="U220" s="74" t="str">
        <f t="shared" si="81"/>
        <v/>
      </c>
      <c r="V220" s="74" t="str">
        <f t="shared" si="81"/>
        <v/>
      </c>
      <c r="W220" s="74" t="str">
        <f t="shared" si="81"/>
        <v/>
      </c>
      <c r="X220" s="74" t="str">
        <f t="shared" si="81"/>
        <v/>
      </c>
      <c r="Y220" s="74" t="str">
        <f t="shared" si="81"/>
        <v/>
      </c>
      <c r="Z220" s="74" t="str">
        <f t="shared" si="82"/>
        <v/>
      </c>
      <c r="AA220" s="74">
        <f t="shared" si="83"/>
        <v>0</v>
      </c>
      <c r="AB220" s="74">
        <f t="shared" si="84"/>
        <v>0</v>
      </c>
      <c r="AC220" s="74" t="str">
        <f t="shared" si="85"/>
        <v/>
      </c>
      <c r="AE220" s="74" t="str">
        <f t="shared" si="86"/>
        <v/>
      </c>
      <c r="AF220" s="74" t="str">
        <f t="shared" si="87"/>
        <v/>
      </c>
      <c r="AG220" s="74" t="str">
        <f t="shared" si="88"/>
        <v/>
      </c>
      <c r="AH220" s="74">
        <f t="shared" si="89"/>
        <v>0</v>
      </c>
      <c r="AI220" s="74" t="str">
        <f>IF(AH220&lt;&gt;0,COUNTIF(AH$3:AH220,1),"")</f>
        <v/>
      </c>
      <c r="AJ220" s="74">
        <f t="shared" si="90"/>
        <v>0</v>
      </c>
      <c r="AK220" s="73" t="str">
        <f t="shared" si="91"/>
        <v/>
      </c>
      <c r="AL220" s="73" t="str">
        <f t="shared" si="92"/>
        <v/>
      </c>
      <c r="AM220" s="73" t="str">
        <f t="shared" si="93"/>
        <v/>
      </c>
      <c r="AN220" s="73" t="str">
        <f t="shared" si="94"/>
        <v/>
      </c>
      <c r="AP220" s="61" t="str">
        <f t="shared" si="95"/>
        <v/>
      </c>
      <c r="AQ220" s="61" t="str">
        <f t="shared" si="96"/>
        <v/>
      </c>
      <c r="AR220" s="61" t="str">
        <f t="shared" si="97"/>
        <v/>
      </c>
    </row>
    <row r="221" spans="16:44" x14ac:dyDescent="0.25">
      <c r="P221" s="73" t="str">
        <f t="shared" si="77"/>
        <v/>
      </c>
      <c r="Q221" s="73" t="str">
        <f t="shared" si="78"/>
        <v/>
      </c>
      <c r="R221" s="74" t="str">
        <f t="shared" si="79"/>
        <v/>
      </c>
      <c r="S221" s="74" t="str">
        <f t="shared" si="80"/>
        <v/>
      </c>
      <c r="U221" s="74" t="str">
        <f t="shared" si="81"/>
        <v/>
      </c>
      <c r="V221" s="74" t="str">
        <f t="shared" si="81"/>
        <v/>
      </c>
      <c r="W221" s="74" t="str">
        <f t="shared" si="81"/>
        <v/>
      </c>
      <c r="X221" s="74" t="str">
        <f t="shared" si="81"/>
        <v/>
      </c>
      <c r="Y221" s="74" t="str">
        <f t="shared" si="81"/>
        <v/>
      </c>
      <c r="Z221" s="74" t="str">
        <f t="shared" si="82"/>
        <v/>
      </c>
      <c r="AA221" s="74">
        <f t="shared" si="83"/>
        <v>0</v>
      </c>
      <c r="AB221" s="74">
        <f t="shared" si="84"/>
        <v>0</v>
      </c>
      <c r="AC221" s="74" t="str">
        <f t="shared" si="85"/>
        <v/>
      </c>
      <c r="AE221" s="74" t="str">
        <f t="shared" si="86"/>
        <v/>
      </c>
      <c r="AF221" s="74" t="str">
        <f t="shared" si="87"/>
        <v/>
      </c>
      <c r="AG221" s="74" t="str">
        <f t="shared" si="88"/>
        <v/>
      </c>
      <c r="AH221" s="74">
        <f t="shared" si="89"/>
        <v>0</v>
      </c>
      <c r="AI221" s="74" t="str">
        <f>IF(AH221&lt;&gt;0,COUNTIF(AH$3:AH221,1),"")</f>
        <v/>
      </c>
      <c r="AJ221" s="74">
        <f t="shared" si="90"/>
        <v>0</v>
      </c>
      <c r="AK221" s="73" t="str">
        <f t="shared" si="91"/>
        <v/>
      </c>
      <c r="AL221" s="73" t="str">
        <f t="shared" si="92"/>
        <v/>
      </c>
      <c r="AM221" s="73" t="str">
        <f t="shared" si="93"/>
        <v/>
      </c>
      <c r="AN221" s="73" t="str">
        <f t="shared" si="94"/>
        <v/>
      </c>
      <c r="AP221" s="61" t="str">
        <f t="shared" si="95"/>
        <v/>
      </c>
      <c r="AQ221" s="61" t="str">
        <f t="shared" si="96"/>
        <v/>
      </c>
      <c r="AR221" s="61" t="str">
        <f t="shared" si="97"/>
        <v/>
      </c>
    </row>
    <row r="222" spans="16:44" x14ac:dyDescent="0.25">
      <c r="P222" s="73" t="str">
        <f t="shared" si="77"/>
        <v/>
      </c>
      <c r="Q222" s="73" t="str">
        <f t="shared" si="78"/>
        <v/>
      </c>
      <c r="R222" s="74" t="str">
        <f t="shared" si="79"/>
        <v/>
      </c>
      <c r="S222" s="74" t="str">
        <f t="shared" si="80"/>
        <v/>
      </c>
      <c r="U222" s="74" t="str">
        <f t="shared" si="81"/>
        <v/>
      </c>
      <c r="V222" s="74" t="str">
        <f t="shared" si="81"/>
        <v/>
      </c>
      <c r="W222" s="74" t="str">
        <f t="shared" si="81"/>
        <v/>
      </c>
      <c r="X222" s="74" t="str">
        <f t="shared" si="81"/>
        <v/>
      </c>
      <c r="Y222" s="74" t="str">
        <f t="shared" si="81"/>
        <v/>
      </c>
      <c r="Z222" s="74" t="str">
        <f t="shared" si="82"/>
        <v/>
      </c>
      <c r="AA222" s="74">
        <f t="shared" si="83"/>
        <v>0</v>
      </c>
      <c r="AB222" s="74">
        <f t="shared" si="84"/>
        <v>0</v>
      </c>
      <c r="AC222" s="74" t="str">
        <f t="shared" si="85"/>
        <v/>
      </c>
      <c r="AE222" s="74" t="str">
        <f t="shared" si="86"/>
        <v/>
      </c>
      <c r="AF222" s="74" t="str">
        <f t="shared" si="87"/>
        <v/>
      </c>
      <c r="AG222" s="74" t="str">
        <f t="shared" si="88"/>
        <v/>
      </c>
      <c r="AH222" s="74">
        <f t="shared" si="89"/>
        <v>0</v>
      </c>
      <c r="AI222" s="74" t="str">
        <f>IF(AH222&lt;&gt;0,COUNTIF(AH$3:AH222,1),"")</f>
        <v/>
      </c>
      <c r="AJ222" s="74">
        <f t="shared" si="90"/>
        <v>0</v>
      </c>
      <c r="AK222" s="73" t="str">
        <f t="shared" si="91"/>
        <v/>
      </c>
      <c r="AL222" s="73" t="str">
        <f t="shared" si="92"/>
        <v/>
      </c>
      <c r="AM222" s="73" t="str">
        <f t="shared" si="93"/>
        <v/>
      </c>
      <c r="AN222" s="73" t="str">
        <f t="shared" si="94"/>
        <v/>
      </c>
      <c r="AP222" s="61" t="str">
        <f t="shared" si="95"/>
        <v/>
      </c>
      <c r="AQ222" s="61" t="str">
        <f t="shared" si="96"/>
        <v/>
      </c>
      <c r="AR222" s="61" t="str">
        <f t="shared" si="97"/>
        <v/>
      </c>
    </row>
    <row r="223" spans="16:44" x14ac:dyDescent="0.25">
      <c r="P223" s="73" t="str">
        <f t="shared" si="77"/>
        <v/>
      </c>
      <c r="Q223" s="73" t="str">
        <f t="shared" si="78"/>
        <v/>
      </c>
      <c r="R223" s="74" t="str">
        <f t="shared" si="79"/>
        <v/>
      </c>
      <c r="S223" s="74" t="str">
        <f t="shared" si="80"/>
        <v/>
      </c>
      <c r="U223" s="74" t="str">
        <f t="shared" si="81"/>
        <v/>
      </c>
      <c r="V223" s="74" t="str">
        <f t="shared" si="81"/>
        <v/>
      </c>
      <c r="W223" s="74" t="str">
        <f t="shared" si="81"/>
        <v/>
      </c>
      <c r="X223" s="74" t="str">
        <f t="shared" si="81"/>
        <v/>
      </c>
      <c r="Y223" s="74" t="str">
        <f t="shared" si="81"/>
        <v/>
      </c>
      <c r="Z223" s="74" t="str">
        <f t="shared" si="82"/>
        <v/>
      </c>
      <c r="AA223" s="74">
        <f t="shared" si="83"/>
        <v>0</v>
      </c>
      <c r="AB223" s="74">
        <f t="shared" si="84"/>
        <v>0</v>
      </c>
      <c r="AC223" s="74" t="str">
        <f t="shared" si="85"/>
        <v/>
      </c>
      <c r="AE223" s="74" t="str">
        <f t="shared" si="86"/>
        <v/>
      </c>
      <c r="AF223" s="74" t="str">
        <f t="shared" si="87"/>
        <v/>
      </c>
      <c r="AG223" s="74" t="str">
        <f t="shared" si="88"/>
        <v/>
      </c>
      <c r="AH223" s="74">
        <f t="shared" si="89"/>
        <v>0</v>
      </c>
      <c r="AI223" s="74" t="str">
        <f>IF(AH223&lt;&gt;0,COUNTIF(AH$3:AH223,1),"")</f>
        <v/>
      </c>
      <c r="AJ223" s="74">
        <f t="shared" si="90"/>
        <v>0</v>
      </c>
      <c r="AK223" s="73" t="str">
        <f t="shared" si="91"/>
        <v/>
      </c>
      <c r="AL223" s="73" t="str">
        <f t="shared" si="92"/>
        <v/>
      </c>
      <c r="AM223" s="73" t="str">
        <f t="shared" si="93"/>
        <v/>
      </c>
      <c r="AN223" s="73" t="str">
        <f t="shared" si="94"/>
        <v/>
      </c>
      <c r="AP223" s="61" t="str">
        <f t="shared" si="95"/>
        <v/>
      </c>
      <c r="AQ223" s="61" t="str">
        <f t="shared" si="96"/>
        <v/>
      </c>
      <c r="AR223" s="61" t="str">
        <f t="shared" si="97"/>
        <v/>
      </c>
    </row>
    <row r="224" spans="16:44" x14ac:dyDescent="0.25">
      <c r="P224" s="73" t="str">
        <f t="shared" si="77"/>
        <v/>
      </c>
      <c r="Q224" s="73" t="str">
        <f t="shared" si="78"/>
        <v/>
      </c>
      <c r="R224" s="74" t="str">
        <f t="shared" si="79"/>
        <v/>
      </c>
      <c r="S224" s="74" t="str">
        <f t="shared" si="80"/>
        <v/>
      </c>
      <c r="U224" s="74" t="str">
        <f t="shared" si="81"/>
        <v/>
      </c>
      <c r="V224" s="74" t="str">
        <f t="shared" si="81"/>
        <v/>
      </c>
      <c r="W224" s="74" t="str">
        <f t="shared" si="81"/>
        <v/>
      </c>
      <c r="X224" s="74" t="str">
        <f t="shared" si="81"/>
        <v/>
      </c>
      <c r="Y224" s="74" t="str">
        <f t="shared" si="81"/>
        <v/>
      </c>
      <c r="Z224" s="74" t="str">
        <f t="shared" si="82"/>
        <v/>
      </c>
      <c r="AA224" s="74">
        <f t="shared" si="83"/>
        <v>0</v>
      </c>
      <c r="AB224" s="74">
        <f t="shared" si="84"/>
        <v>0</v>
      </c>
      <c r="AC224" s="74" t="str">
        <f t="shared" si="85"/>
        <v/>
      </c>
      <c r="AE224" s="74" t="str">
        <f t="shared" si="86"/>
        <v/>
      </c>
      <c r="AF224" s="74" t="str">
        <f t="shared" si="87"/>
        <v/>
      </c>
      <c r="AG224" s="74" t="str">
        <f t="shared" si="88"/>
        <v/>
      </c>
      <c r="AH224" s="74">
        <f t="shared" si="89"/>
        <v>0</v>
      </c>
      <c r="AI224" s="74" t="str">
        <f>IF(AH224&lt;&gt;0,COUNTIF(AH$3:AH224,1),"")</f>
        <v/>
      </c>
      <c r="AJ224" s="74">
        <f t="shared" si="90"/>
        <v>0</v>
      </c>
      <c r="AK224" s="73" t="str">
        <f t="shared" si="91"/>
        <v/>
      </c>
      <c r="AL224" s="73" t="str">
        <f t="shared" si="92"/>
        <v/>
      </c>
      <c r="AM224" s="73" t="str">
        <f t="shared" si="93"/>
        <v/>
      </c>
      <c r="AN224" s="73" t="str">
        <f t="shared" si="94"/>
        <v/>
      </c>
      <c r="AP224" s="61" t="str">
        <f t="shared" si="95"/>
        <v/>
      </c>
      <c r="AQ224" s="61" t="str">
        <f t="shared" si="96"/>
        <v/>
      </c>
      <c r="AR224" s="61" t="str">
        <f t="shared" si="97"/>
        <v/>
      </c>
    </row>
    <row r="225" spans="16:44" x14ac:dyDescent="0.25">
      <c r="P225" s="73" t="str">
        <f t="shared" si="77"/>
        <v/>
      </c>
      <c r="Q225" s="73" t="str">
        <f t="shared" si="78"/>
        <v/>
      </c>
      <c r="R225" s="74" t="str">
        <f t="shared" si="79"/>
        <v/>
      </c>
      <c r="S225" s="74" t="str">
        <f t="shared" si="80"/>
        <v/>
      </c>
      <c r="U225" s="74" t="str">
        <f t="shared" si="81"/>
        <v/>
      </c>
      <c r="V225" s="74" t="str">
        <f t="shared" si="81"/>
        <v/>
      </c>
      <c r="W225" s="74" t="str">
        <f t="shared" si="81"/>
        <v/>
      </c>
      <c r="X225" s="74" t="str">
        <f t="shared" si="81"/>
        <v/>
      </c>
      <c r="Y225" s="74" t="str">
        <f t="shared" si="81"/>
        <v/>
      </c>
      <c r="Z225" s="74" t="str">
        <f t="shared" si="82"/>
        <v/>
      </c>
      <c r="AA225" s="74">
        <f t="shared" si="83"/>
        <v>0</v>
      </c>
      <c r="AB225" s="74">
        <f t="shared" si="84"/>
        <v>0</v>
      </c>
      <c r="AC225" s="74" t="str">
        <f t="shared" si="85"/>
        <v/>
      </c>
      <c r="AE225" s="74" t="str">
        <f t="shared" si="86"/>
        <v/>
      </c>
      <c r="AF225" s="74" t="str">
        <f t="shared" si="87"/>
        <v/>
      </c>
      <c r="AG225" s="74" t="str">
        <f t="shared" si="88"/>
        <v/>
      </c>
      <c r="AH225" s="74">
        <f t="shared" si="89"/>
        <v>0</v>
      </c>
      <c r="AI225" s="74" t="str">
        <f>IF(AH225&lt;&gt;0,COUNTIF(AH$3:AH225,1),"")</f>
        <v/>
      </c>
      <c r="AJ225" s="74">
        <f t="shared" si="90"/>
        <v>0</v>
      </c>
      <c r="AK225" s="73" t="str">
        <f t="shared" si="91"/>
        <v/>
      </c>
      <c r="AL225" s="73" t="str">
        <f t="shared" si="92"/>
        <v/>
      </c>
      <c r="AM225" s="73" t="str">
        <f t="shared" si="93"/>
        <v/>
      </c>
      <c r="AN225" s="73" t="str">
        <f t="shared" si="94"/>
        <v/>
      </c>
      <c r="AP225" s="61" t="str">
        <f t="shared" si="95"/>
        <v/>
      </c>
      <c r="AQ225" s="61" t="str">
        <f t="shared" si="96"/>
        <v/>
      </c>
      <c r="AR225" s="61" t="str">
        <f t="shared" si="97"/>
        <v/>
      </c>
    </row>
    <row r="226" spans="16:44" x14ac:dyDescent="0.25">
      <c r="P226" s="73" t="str">
        <f t="shared" si="77"/>
        <v/>
      </c>
      <c r="Q226" s="73" t="str">
        <f t="shared" si="78"/>
        <v/>
      </c>
      <c r="R226" s="74" t="str">
        <f t="shared" si="79"/>
        <v/>
      </c>
      <c r="S226" s="74" t="str">
        <f t="shared" si="80"/>
        <v/>
      </c>
      <c r="U226" s="74" t="str">
        <f t="shared" si="81"/>
        <v/>
      </c>
      <c r="V226" s="74" t="str">
        <f t="shared" si="81"/>
        <v/>
      </c>
      <c r="W226" s="74" t="str">
        <f t="shared" si="81"/>
        <v/>
      </c>
      <c r="X226" s="74" t="str">
        <f t="shared" si="81"/>
        <v/>
      </c>
      <c r="Y226" s="74" t="str">
        <f t="shared" si="81"/>
        <v/>
      </c>
      <c r="Z226" s="74" t="str">
        <f t="shared" si="82"/>
        <v/>
      </c>
      <c r="AA226" s="74">
        <f t="shared" si="83"/>
        <v>0</v>
      </c>
      <c r="AB226" s="74">
        <f t="shared" si="84"/>
        <v>0</v>
      </c>
      <c r="AC226" s="74" t="str">
        <f t="shared" si="85"/>
        <v/>
      </c>
      <c r="AE226" s="74" t="str">
        <f t="shared" si="86"/>
        <v/>
      </c>
      <c r="AF226" s="74" t="str">
        <f t="shared" si="87"/>
        <v/>
      </c>
      <c r="AG226" s="74" t="str">
        <f t="shared" si="88"/>
        <v/>
      </c>
      <c r="AH226" s="74">
        <f t="shared" si="89"/>
        <v>0</v>
      </c>
      <c r="AI226" s="74" t="str">
        <f>IF(AH226&lt;&gt;0,COUNTIF(AH$3:AH226,1),"")</f>
        <v/>
      </c>
      <c r="AJ226" s="74">
        <f t="shared" si="90"/>
        <v>0</v>
      </c>
      <c r="AK226" s="73" t="str">
        <f t="shared" si="91"/>
        <v/>
      </c>
      <c r="AL226" s="73" t="str">
        <f t="shared" si="92"/>
        <v/>
      </c>
      <c r="AM226" s="73" t="str">
        <f t="shared" si="93"/>
        <v/>
      </c>
      <c r="AN226" s="73" t="str">
        <f t="shared" si="94"/>
        <v/>
      </c>
      <c r="AP226" s="61" t="str">
        <f t="shared" si="95"/>
        <v/>
      </c>
      <c r="AQ226" s="61" t="str">
        <f t="shared" si="96"/>
        <v/>
      </c>
      <c r="AR226" s="61" t="str">
        <f t="shared" si="97"/>
        <v/>
      </c>
    </row>
    <row r="227" spans="16:44" x14ac:dyDescent="0.25">
      <c r="P227" s="73" t="str">
        <f t="shared" si="77"/>
        <v/>
      </c>
      <c r="Q227" s="73" t="str">
        <f t="shared" si="78"/>
        <v/>
      </c>
      <c r="R227" s="74" t="str">
        <f t="shared" si="79"/>
        <v/>
      </c>
      <c r="S227" s="74" t="str">
        <f t="shared" si="80"/>
        <v/>
      </c>
      <c r="U227" s="74" t="str">
        <f t="shared" si="81"/>
        <v/>
      </c>
      <c r="V227" s="74" t="str">
        <f t="shared" si="81"/>
        <v/>
      </c>
      <c r="W227" s="74" t="str">
        <f t="shared" si="81"/>
        <v/>
      </c>
      <c r="X227" s="74" t="str">
        <f t="shared" si="81"/>
        <v/>
      </c>
      <c r="Y227" s="74" t="str">
        <f t="shared" si="81"/>
        <v/>
      </c>
      <c r="Z227" s="74" t="str">
        <f t="shared" si="82"/>
        <v/>
      </c>
      <c r="AA227" s="74">
        <f t="shared" si="83"/>
        <v>0</v>
      </c>
      <c r="AB227" s="74">
        <f t="shared" si="84"/>
        <v>0</v>
      </c>
      <c r="AC227" s="74" t="str">
        <f t="shared" si="85"/>
        <v/>
      </c>
      <c r="AE227" s="74" t="str">
        <f t="shared" si="86"/>
        <v/>
      </c>
      <c r="AF227" s="74" t="str">
        <f t="shared" si="87"/>
        <v/>
      </c>
      <c r="AG227" s="74" t="str">
        <f t="shared" si="88"/>
        <v/>
      </c>
      <c r="AH227" s="74">
        <f t="shared" si="89"/>
        <v>0</v>
      </c>
      <c r="AI227" s="74" t="str">
        <f>IF(AH227&lt;&gt;0,COUNTIF(AH$3:AH227,1),"")</f>
        <v/>
      </c>
      <c r="AJ227" s="74">
        <f t="shared" si="90"/>
        <v>0</v>
      </c>
      <c r="AK227" s="73" t="str">
        <f t="shared" si="91"/>
        <v/>
      </c>
      <c r="AL227" s="73" t="str">
        <f t="shared" si="92"/>
        <v/>
      </c>
      <c r="AM227" s="73" t="str">
        <f t="shared" si="93"/>
        <v/>
      </c>
      <c r="AN227" s="73" t="str">
        <f t="shared" si="94"/>
        <v/>
      </c>
      <c r="AP227" s="61" t="str">
        <f t="shared" si="95"/>
        <v/>
      </c>
      <c r="AQ227" s="61" t="str">
        <f t="shared" si="96"/>
        <v/>
      </c>
      <c r="AR227" s="61" t="str">
        <f t="shared" si="97"/>
        <v/>
      </c>
    </row>
    <row r="228" spans="16:44" x14ac:dyDescent="0.25">
      <c r="P228" s="73" t="str">
        <f t="shared" si="77"/>
        <v/>
      </c>
      <c r="Q228" s="73" t="str">
        <f t="shared" si="78"/>
        <v/>
      </c>
      <c r="R228" s="74" t="str">
        <f t="shared" si="79"/>
        <v/>
      </c>
      <c r="S228" s="74" t="str">
        <f t="shared" si="80"/>
        <v/>
      </c>
      <c r="U228" s="74" t="str">
        <f t="shared" si="81"/>
        <v/>
      </c>
      <c r="V228" s="74" t="str">
        <f t="shared" si="81"/>
        <v/>
      </c>
      <c r="W228" s="74" t="str">
        <f t="shared" si="81"/>
        <v/>
      </c>
      <c r="X228" s="74" t="str">
        <f t="shared" si="81"/>
        <v/>
      </c>
      <c r="Y228" s="74" t="str">
        <f t="shared" si="81"/>
        <v/>
      </c>
      <c r="Z228" s="74" t="str">
        <f t="shared" si="82"/>
        <v/>
      </c>
      <c r="AA228" s="74">
        <f t="shared" si="83"/>
        <v>0</v>
      </c>
      <c r="AB228" s="74">
        <f t="shared" si="84"/>
        <v>0</v>
      </c>
      <c r="AC228" s="74" t="str">
        <f t="shared" si="85"/>
        <v/>
      </c>
      <c r="AE228" s="74" t="str">
        <f t="shared" si="86"/>
        <v/>
      </c>
      <c r="AF228" s="74" t="str">
        <f t="shared" si="87"/>
        <v/>
      </c>
      <c r="AG228" s="74" t="str">
        <f t="shared" si="88"/>
        <v/>
      </c>
      <c r="AH228" s="74">
        <f t="shared" si="89"/>
        <v>0</v>
      </c>
      <c r="AI228" s="74" t="str">
        <f>IF(AH228&lt;&gt;0,COUNTIF(AH$3:AH228,1),"")</f>
        <v/>
      </c>
      <c r="AJ228" s="74">
        <f t="shared" si="90"/>
        <v>0</v>
      </c>
      <c r="AK228" s="73" t="str">
        <f t="shared" si="91"/>
        <v/>
      </c>
      <c r="AL228" s="73" t="str">
        <f t="shared" si="92"/>
        <v/>
      </c>
      <c r="AM228" s="73" t="str">
        <f t="shared" si="93"/>
        <v/>
      </c>
      <c r="AN228" s="73" t="str">
        <f t="shared" si="94"/>
        <v/>
      </c>
      <c r="AP228" s="61" t="str">
        <f t="shared" si="95"/>
        <v/>
      </c>
      <c r="AQ228" s="61" t="str">
        <f t="shared" si="96"/>
        <v/>
      </c>
      <c r="AR228" s="61" t="str">
        <f t="shared" si="97"/>
        <v/>
      </c>
    </row>
    <row r="229" spans="16:44" x14ac:dyDescent="0.25">
      <c r="P229" s="73" t="str">
        <f t="shared" si="77"/>
        <v/>
      </c>
      <c r="Q229" s="73" t="str">
        <f t="shared" si="78"/>
        <v/>
      </c>
      <c r="R229" s="74" t="str">
        <f t="shared" si="79"/>
        <v/>
      </c>
      <c r="S229" s="74" t="str">
        <f t="shared" si="80"/>
        <v/>
      </c>
      <c r="U229" s="74" t="str">
        <f t="shared" si="81"/>
        <v/>
      </c>
      <c r="V229" s="74" t="str">
        <f t="shared" si="81"/>
        <v/>
      </c>
      <c r="W229" s="74" t="str">
        <f t="shared" si="81"/>
        <v/>
      </c>
      <c r="X229" s="74" t="str">
        <f t="shared" si="81"/>
        <v/>
      </c>
      <c r="Y229" s="74" t="str">
        <f t="shared" si="81"/>
        <v/>
      </c>
      <c r="Z229" s="74" t="str">
        <f t="shared" si="82"/>
        <v/>
      </c>
      <c r="AA229" s="74">
        <f t="shared" si="83"/>
        <v>0</v>
      </c>
      <c r="AB229" s="74">
        <f t="shared" si="84"/>
        <v>0</v>
      </c>
      <c r="AC229" s="74" t="str">
        <f t="shared" si="85"/>
        <v/>
      </c>
      <c r="AE229" s="74" t="str">
        <f t="shared" si="86"/>
        <v/>
      </c>
      <c r="AF229" s="74" t="str">
        <f t="shared" si="87"/>
        <v/>
      </c>
      <c r="AG229" s="74" t="str">
        <f t="shared" si="88"/>
        <v/>
      </c>
      <c r="AH229" s="74">
        <f t="shared" si="89"/>
        <v>0</v>
      </c>
      <c r="AI229" s="74" t="str">
        <f>IF(AH229&lt;&gt;0,COUNTIF(AH$3:AH229,1),"")</f>
        <v/>
      </c>
      <c r="AJ229" s="74">
        <f t="shared" si="90"/>
        <v>0</v>
      </c>
      <c r="AK229" s="73" t="str">
        <f t="shared" si="91"/>
        <v/>
      </c>
      <c r="AL229" s="73" t="str">
        <f t="shared" si="92"/>
        <v/>
      </c>
      <c r="AM229" s="73" t="str">
        <f t="shared" si="93"/>
        <v/>
      </c>
      <c r="AN229" s="73" t="str">
        <f t="shared" si="94"/>
        <v/>
      </c>
      <c r="AP229" s="61" t="str">
        <f t="shared" si="95"/>
        <v/>
      </c>
      <c r="AQ229" s="61" t="str">
        <f t="shared" si="96"/>
        <v/>
      </c>
      <c r="AR229" s="61" t="str">
        <f t="shared" si="97"/>
        <v/>
      </c>
    </row>
    <row r="230" spans="16:44" x14ac:dyDescent="0.25">
      <c r="P230" s="73" t="str">
        <f t="shared" si="77"/>
        <v/>
      </c>
      <c r="Q230" s="73" t="str">
        <f t="shared" si="78"/>
        <v/>
      </c>
      <c r="R230" s="74" t="str">
        <f t="shared" si="79"/>
        <v/>
      </c>
      <c r="S230" s="74" t="str">
        <f t="shared" si="80"/>
        <v/>
      </c>
      <c r="U230" s="74" t="str">
        <f t="shared" si="81"/>
        <v/>
      </c>
      <c r="V230" s="74" t="str">
        <f t="shared" si="81"/>
        <v/>
      </c>
      <c r="W230" s="74" t="str">
        <f t="shared" si="81"/>
        <v/>
      </c>
      <c r="X230" s="74" t="str">
        <f t="shared" si="81"/>
        <v/>
      </c>
      <c r="Y230" s="74" t="str">
        <f t="shared" si="81"/>
        <v/>
      </c>
      <c r="Z230" s="74" t="str">
        <f t="shared" si="82"/>
        <v/>
      </c>
      <c r="AA230" s="74">
        <f t="shared" si="83"/>
        <v>0</v>
      </c>
      <c r="AB230" s="74">
        <f t="shared" si="84"/>
        <v>0</v>
      </c>
      <c r="AC230" s="74" t="str">
        <f t="shared" si="85"/>
        <v/>
      </c>
      <c r="AE230" s="74" t="str">
        <f t="shared" si="86"/>
        <v/>
      </c>
      <c r="AF230" s="74" t="str">
        <f t="shared" si="87"/>
        <v/>
      </c>
      <c r="AG230" s="74" t="str">
        <f t="shared" si="88"/>
        <v/>
      </c>
      <c r="AH230" s="74">
        <f t="shared" si="89"/>
        <v>0</v>
      </c>
      <c r="AI230" s="74" t="str">
        <f>IF(AH230&lt;&gt;0,COUNTIF(AH$3:AH230,1),"")</f>
        <v/>
      </c>
      <c r="AJ230" s="74">
        <f t="shared" si="90"/>
        <v>0</v>
      </c>
      <c r="AK230" s="73" t="str">
        <f t="shared" si="91"/>
        <v/>
      </c>
      <c r="AL230" s="73" t="str">
        <f t="shared" si="92"/>
        <v/>
      </c>
      <c r="AM230" s="73" t="str">
        <f t="shared" si="93"/>
        <v/>
      </c>
      <c r="AN230" s="73" t="str">
        <f t="shared" si="94"/>
        <v/>
      </c>
      <c r="AP230" s="61" t="str">
        <f t="shared" si="95"/>
        <v/>
      </c>
      <c r="AQ230" s="61" t="str">
        <f t="shared" si="96"/>
        <v/>
      </c>
      <c r="AR230" s="61" t="str">
        <f t="shared" si="97"/>
        <v/>
      </c>
    </row>
    <row r="231" spans="16:44" x14ac:dyDescent="0.25">
      <c r="P231" s="73" t="str">
        <f t="shared" si="77"/>
        <v/>
      </c>
      <c r="Q231" s="73" t="str">
        <f t="shared" si="78"/>
        <v/>
      </c>
      <c r="R231" s="74" t="str">
        <f t="shared" si="79"/>
        <v/>
      </c>
      <c r="S231" s="74" t="str">
        <f t="shared" si="80"/>
        <v/>
      </c>
      <c r="U231" s="74" t="str">
        <f t="shared" si="81"/>
        <v/>
      </c>
      <c r="V231" s="74" t="str">
        <f t="shared" si="81"/>
        <v/>
      </c>
      <c r="W231" s="74" t="str">
        <f t="shared" si="81"/>
        <v/>
      </c>
      <c r="X231" s="74" t="str">
        <f t="shared" si="81"/>
        <v/>
      </c>
      <c r="Y231" s="74" t="str">
        <f t="shared" si="81"/>
        <v/>
      </c>
      <c r="Z231" s="74" t="str">
        <f t="shared" si="82"/>
        <v/>
      </c>
      <c r="AA231" s="74">
        <f t="shared" si="83"/>
        <v>0</v>
      </c>
      <c r="AB231" s="74">
        <f t="shared" si="84"/>
        <v>0</v>
      </c>
      <c r="AC231" s="74" t="str">
        <f t="shared" si="85"/>
        <v/>
      </c>
      <c r="AE231" s="74" t="str">
        <f t="shared" si="86"/>
        <v/>
      </c>
      <c r="AF231" s="74" t="str">
        <f t="shared" si="87"/>
        <v/>
      </c>
      <c r="AG231" s="74" t="str">
        <f t="shared" si="88"/>
        <v/>
      </c>
      <c r="AH231" s="74">
        <f t="shared" si="89"/>
        <v>0</v>
      </c>
      <c r="AI231" s="74" t="str">
        <f>IF(AH231&lt;&gt;0,COUNTIF(AH$3:AH231,1),"")</f>
        <v/>
      </c>
      <c r="AJ231" s="74">
        <f t="shared" si="90"/>
        <v>0</v>
      </c>
      <c r="AK231" s="73" t="str">
        <f t="shared" si="91"/>
        <v/>
      </c>
      <c r="AL231" s="73" t="str">
        <f t="shared" si="92"/>
        <v/>
      </c>
      <c r="AM231" s="73" t="str">
        <f t="shared" si="93"/>
        <v/>
      </c>
      <c r="AN231" s="73" t="str">
        <f t="shared" si="94"/>
        <v/>
      </c>
      <c r="AP231" s="61" t="str">
        <f t="shared" si="95"/>
        <v/>
      </c>
      <c r="AQ231" s="61" t="str">
        <f t="shared" si="96"/>
        <v/>
      </c>
      <c r="AR231" s="61" t="str">
        <f t="shared" si="97"/>
        <v/>
      </c>
    </row>
    <row r="232" spans="16:44" x14ac:dyDescent="0.25">
      <c r="P232" s="73" t="str">
        <f t="shared" si="77"/>
        <v/>
      </c>
      <c r="Q232" s="73" t="str">
        <f t="shared" si="78"/>
        <v/>
      </c>
      <c r="R232" s="74" t="str">
        <f t="shared" si="79"/>
        <v/>
      </c>
      <c r="S232" s="74" t="str">
        <f t="shared" si="80"/>
        <v/>
      </c>
      <c r="U232" s="74" t="str">
        <f t="shared" si="81"/>
        <v/>
      </c>
      <c r="V232" s="74" t="str">
        <f t="shared" si="81"/>
        <v/>
      </c>
      <c r="W232" s="74" t="str">
        <f t="shared" si="81"/>
        <v/>
      </c>
      <c r="X232" s="74" t="str">
        <f t="shared" si="81"/>
        <v/>
      </c>
      <c r="Y232" s="74" t="str">
        <f t="shared" si="81"/>
        <v/>
      </c>
      <c r="Z232" s="74" t="str">
        <f t="shared" si="82"/>
        <v/>
      </c>
      <c r="AA232" s="74">
        <f t="shared" si="83"/>
        <v>0</v>
      </c>
      <c r="AB232" s="74">
        <f t="shared" si="84"/>
        <v>0</v>
      </c>
      <c r="AC232" s="74" t="str">
        <f t="shared" si="85"/>
        <v/>
      </c>
      <c r="AE232" s="74" t="str">
        <f t="shared" si="86"/>
        <v/>
      </c>
      <c r="AF232" s="74" t="str">
        <f t="shared" si="87"/>
        <v/>
      </c>
      <c r="AG232" s="74" t="str">
        <f t="shared" si="88"/>
        <v/>
      </c>
      <c r="AH232" s="74">
        <f t="shared" si="89"/>
        <v>0</v>
      </c>
      <c r="AI232" s="74" t="str">
        <f>IF(AH232&lt;&gt;0,COUNTIF(AH$3:AH232,1),"")</f>
        <v/>
      </c>
      <c r="AJ232" s="74">
        <f t="shared" si="90"/>
        <v>0</v>
      </c>
      <c r="AK232" s="73" t="str">
        <f t="shared" si="91"/>
        <v/>
      </c>
      <c r="AL232" s="73" t="str">
        <f t="shared" si="92"/>
        <v/>
      </c>
      <c r="AM232" s="73" t="str">
        <f t="shared" si="93"/>
        <v/>
      </c>
      <c r="AN232" s="73" t="str">
        <f t="shared" si="94"/>
        <v/>
      </c>
      <c r="AP232" s="61" t="str">
        <f t="shared" si="95"/>
        <v/>
      </c>
      <c r="AQ232" s="61" t="str">
        <f t="shared" si="96"/>
        <v/>
      </c>
      <c r="AR232" s="61" t="str">
        <f t="shared" si="97"/>
        <v/>
      </c>
    </row>
    <row r="233" spans="16:44" x14ac:dyDescent="0.25">
      <c r="P233" s="73" t="str">
        <f t="shared" si="77"/>
        <v/>
      </c>
      <c r="Q233" s="73" t="str">
        <f t="shared" si="78"/>
        <v/>
      </c>
      <c r="R233" s="74" t="str">
        <f t="shared" si="79"/>
        <v/>
      </c>
      <c r="S233" s="74" t="str">
        <f t="shared" si="80"/>
        <v/>
      </c>
      <c r="U233" s="74" t="str">
        <f t="shared" si="81"/>
        <v/>
      </c>
      <c r="V233" s="74" t="str">
        <f t="shared" si="81"/>
        <v/>
      </c>
      <c r="W233" s="74" t="str">
        <f t="shared" si="81"/>
        <v/>
      </c>
      <c r="X233" s="74" t="str">
        <f t="shared" si="81"/>
        <v/>
      </c>
      <c r="Y233" s="74" t="str">
        <f t="shared" si="81"/>
        <v/>
      </c>
      <c r="Z233" s="74" t="str">
        <f t="shared" si="82"/>
        <v/>
      </c>
      <c r="AA233" s="74">
        <f t="shared" si="83"/>
        <v>0</v>
      </c>
      <c r="AB233" s="74">
        <f t="shared" si="84"/>
        <v>0</v>
      </c>
      <c r="AC233" s="74" t="str">
        <f t="shared" si="85"/>
        <v/>
      </c>
      <c r="AE233" s="74" t="str">
        <f t="shared" si="86"/>
        <v/>
      </c>
      <c r="AF233" s="74" t="str">
        <f t="shared" si="87"/>
        <v/>
      </c>
      <c r="AG233" s="74" t="str">
        <f t="shared" si="88"/>
        <v/>
      </c>
      <c r="AH233" s="74">
        <f t="shared" si="89"/>
        <v>0</v>
      </c>
      <c r="AI233" s="74" t="str">
        <f>IF(AH233&lt;&gt;0,COUNTIF(AH$3:AH233,1),"")</f>
        <v/>
      </c>
      <c r="AJ233" s="74">
        <f t="shared" si="90"/>
        <v>0</v>
      </c>
      <c r="AK233" s="73" t="str">
        <f t="shared" si="91"/>
        <v/>
      </c>
      <c r="AL233" s="73" t="str">
        <f t="shared" si="92"/>
        <v/>
      </c>
      <c r="AM233" s="73" t="str">
        <f t="shared" si="93"/>
        <v/>
      </c>
      <c r="AN233" s="73" t="str">
        <f t="shared" si="94"/>
        <v/>
      </c>
      <c r="AP233" s="61" t="str">
        <f t="shared" si="95"/>
        <v/>
      </c>
      <c r="AQ233" s="61" t="str">
        <f t="shared" si="96"/>
        <v/>
      </c>
      <c r="AR233" s="61" t="str">
        <f t="shared" si="97"/>
        <v/>
      </c>
    </row>
    <row r="234" spans="16:44" x14ac:dyDescent="0.25">
      <c r="P234" s="73" t="str">
        <f t="shared" si="77"/>
        <v/>
      </c>
      <c r="Q234" s="73" t="str">
        <f t="shared" si="78"/>
        <v/>
      </c>
      <c r="R234" s="74" t="str">
        <f t="shared" si="79"/>
        <v/>
      </c>
      <c r="S234" s="74" t="str">
        <f t="shared" si="80"/>
        <v/>
      </c>
      <c r="U234" s="74" t="str">
        <f t="shared" si="81"/>
        <v/>
      </c>
      <c r="V234" s="74" t="str">
        <f t="shared" si="81"/>
        <v/>
      </c>
      <c r="W234" s="74" t="str">
        <f t="shared" si="81"/>
        <v/>
      </c>
      <c r="X234" s="74" t="str">
        <f t="shared" si="81"/>
        <v/>
      </c>
      <c r="Y234" s="74" t="str">
        <f t="shared" si="81"/>
        <v/>
      </c>
      <c r="Z234" s="74" t="str">
        <f t="shared" si="82"/>
        <v/>
      </c>
      <c r="AA234" s="74">
        <f t="shared" si="83"/>
        <v>0</v>
      </c>
      <c r="AB234" s="74">
        <f t="shared" si="84"/>
        <v>0</v>
      </c>
      <c r="AC234" s="74" t="str">
        <f t="shared" si="85"/>
        <v/>
      </c>
      <c r="AE234" s="74" t="str">
        <f t="shared" si="86"/>
        <v/>
      </c>
      <c r="AF234" s="74" t="str">
        <f t="shared" si="87"/>
        <v/>
      </c>
      <c r="AG234" s="74" t="str">
        <f t="shared" si="88"/>
        <v/>
      </c>
      <c r="AH234" s="74">
        <f t="shared" si="89"/>
        <v>0</v>
      </c>
      <c r="AI234" s="74" t="str">
        <f>IF(AH234&lt;&gt;0,COUNTIF(AH$3:AH234,1),"")</f>
        <v/>
      </c>
      <c r="AJ234" s="74">
        <f t="shared" si="90"/>
        <v>0</v>
      </c>
      <c r="AK234" s="73" t="str">
        <f t="shared" si="91"/>
        <v/>
      </c>
      <c r="AL234" s="73" t="str">
        <f t="shared" si="92"/>
        <v/>
      </c>
      <c r="AM234" s="73" t="str">
        <f t="shared" si="93"/>
        <v/>
      </c>
      <c r="AN234" s="73" t="str">
        <f t="shared" si="94"/>
        <v/>
      </c>
      <c r="AP234" s="61" t="str">
        <f t="shared" si="95"/>
        <v/>
      </c>
      <c r="AQ234" s="61" t="str">
        <f t="shared" si="96"/>
        <v/>
      </c>
      <c r="AR234" s="61" t="str">
        <f t="shared" si="97"/>
        <v/>
      </c>
    </row>
    <row r="235" spans="16:44" x14ac:dyDescent="0.25">
      <c r="P235" s="73" t="str">
        <f t="shared" si="77"/>
        <v/>
      </c>
      <c r="Q235" s="73" t="str">
        <f t="shared" si="78"/>
        <v/>
      </c>
      <c r="R235" s="74" t="str">
        <f t="shared" si="79"/>
        <v/>
      </c>
      <c r="S235" s="74" t="str">
        <f t="shared" si="80"/>
        <v/>
      </c>
      <c r="U235" s="74" t="str">
        <f t="shared" si="81"/>
        <v/>
      </c>
      <c r="V235" s="74" t="str">
        <f t="shared" si="81"/>
        <v/>
      </c>
      <c r="W235" s="74" t="str">
        <f t="shared" si="81"/>
        <v/>
      </c>
      <c r="X235" s="74" t="str">
        <f t="shared" si="81"/>
        <v/>
      </c>
      <c r="Y235" s="74" t="str">
        <f t="shared" si="81"/>
        <v/>
      </c>
      <c r="Z235" s="74" t="str">
        <f t="shared" si="82"/>
        <v/>
      </c>
      <c r="AA235" s="74">
        <f t="shared" si="83"/>
        <v>0</v>
      </c>
      <c r="AB235" s="74">
        <f t="shared" si="84"/>
        <v>0</v>
      </c>
      <c r="AC235" s="74" t="str">
        <f t="shared" si="85"/>
        <v/>
      </c>
      <c r="AE235" s="74" t="str">
        <f t="shared" si="86"/>
        <v/>
      </c>
      <c r="AF235" s="74" t="str">
        <f t="shared" si="87"/>
        <v/>
      </c>
      <c r="AG235" s="74" t="str">
        <f t="shared" si="88"/>
        <v/>
      </c>
      <c r="AH235" s="74">
        <f t="shared" si="89"/>
        <v>0</v>
      </c>
      <c r="AI235" s="74" t="str">
        <f>IF(AH235&lt;&gt;0,COUNTIF(AH$3:AH235,1),"")</f>
        <v/>
      </c>
      <c r="AJ235" s="74">
        <f t="shared" si="90"/>
        <v>0</v>
      </c>
      <c r="AK235" s="73" t="str">
        <f t="shared" si="91"/>
        <v/>
      </c>
      <c r="AL235" s="73" t="str">
        <f t="shared" si="92"/>
        <v/>
      </c>
      <c r="AM235" s="73" t="str">
        <f t="shared" si="93"/>
        <v/>
      </c>
      <c r="AN235" s="73" t="str">
        <f t="shared" si="94"/>
        <v/>
      </c>
      <c r="AP235" s="61" t="str">
        <f t="shared" si="95"/>
        <v/>
      </c>
      <c r="AQ235" s="61" t="str">
        <f t="shared" si="96"/>
        <v/>
      </c>
      <c r="AR235" s="61" t="str">
        <f t="shared" si="97"/>
        <v/>
      </c>
    </row>
    <row r="236" spans="16:44" x14ac:dyDescent="0.25">
      <c r="P236" s="73" t="str">
        <f t="shared" si="77"/>
        <v/>
      </c>
      <c r="Q236" s="73" t="str">
        <f t="shared" si="78"/>
        <v/>
      </c>
      <c r="R236" s="74" t="str">
        <f t="shared" si="79"/>
        <v/>
      </c>
      <c r="S236" s="74" t="str">
        <f t="shared" si="80"/>
        <v/>
      </c>
      <c r="U236" s="74" t="str">
        <f t="shared" si="81"/>
        <v/>
      </c>
      <c r="V236" s="74" t="str">
        <f t="shared" si="81"/>
        <v/>
      </c>
      <c r="W236" s="74" t="str">
        <f t="shared" si="81"/>
        <v/>
      </c>
      <c r="X236" s="74" t="str">
        <f t="shared" si="81"/>
        <v/>
      </c>
      <c r="Y236" s="74" t="str">
        <f t="shared" si="81"/>
        <v/>
      </c>
      <c r="Z236" s="74" t="str">
        <f t="shared" si="82"/>
        <v/>
      </c>
      <c r="AA236" s="74">
        <f t="shared" si="83"/>
        <v>0</v>
      </c>
      <c r="AB236" s="74">
        <f t="shared" si="84"/>
        <v>0</v>
      </c>
      <c r="AC236" s="74" t="str">
        <f t="shared" si="85"/>
        <v/>
      </c>
      <c r="AE236" s="74" t="str">
        <f t="shared" si="86"/>
        <v/>
      </c>
      <c r="AF236" s="74" t="str">
        <f t="shared" si="87"/>
        <v/>
      </c>
      <c r="AG236" s="74" t="str">
        <f t="shared" si="88"/>
        <v/>
      </c>
      <c r="AH236" s="74">
        <f t="shared" si="89"/>
        <v>0</v>
      </c>
      <c r="AI236" s="74" t="str">
        <f>IF(AH236&lt;&gt;0,COUNTIF(AH$3:AH236,1),"")</f>
        <v/>
      </c>
      <c r="AJ236" s="74">
        <f t="shared" si="90"/>
        <v>0</v>
      </c>
      <c r="AK236" s="73" t="str">
        <f t="shared" si="91"/>
        <v/>
      </c>
      <c r="AL236" s="73" t="str">
        <f t="shared" si="92"/>
        <v/>
      </c>
      <c r="AM236" s="73" t="str">
        <f t="shared" si="93"/>
        <v/>
      </c>
      <c r="AN236" s="73" t="str">
        <f t="shared" si="94"/>
        <v/>
      </c>
      <c r="AP236" s="61" t="str">
        <f t="shared" si="95"/>
        <v/>
      </c>
      <c r="AQ236" s="61" t="str">
        <f t="shared" si="96"/>
        <v/>
      </c>
      <c r="AR236" s="61" t="str">
        <f t="shared" si="97"/>
        <v/>
      </c>
    </row>
    <row r="237" spans="16:44" x14ac:dyDescent="0.25">
      <c r="P237" s="73" t="str">
        <f t="shared" si="77"/>
        <v/>
      </c>
      <c r="Q237" s="73" t="str">
        <f t="shared" si="78"/>
        <v/>
      </c>
      <c r="R237" s="74" t="str">
        <f t="shared" si="79"/>
        <v/>
      </c>
      <c r="S237" s="74" t="str">
        <f t="shared" si="80"/>
        <v/>
      </c>
      <c r="U237" s="74" t="str">
        <f t="shared" si="81"/>
        <v/>
      </c>
      <c r="V237" s="74" t="str">
        <f t="shared" si="81"/>
        <v/>
      </c>
      <c r="W237" s="74" t="str">
        <f t="shared" si="81"/>
        <v/>
      </c>
      <c r="X237" s="74" t="str">
        <f t="shared" si="81"/>
        <v/>
      </c>
      <c r="Y237" s="74" t="str">
        <f t="shared" si="81"/>
        <v/>
      </c>
      <c r="Z237" s="74" t="str">
        <f t="shared" si="82"/>
        <v/>
      </c>
      <c r="AA237" s="74">
        <f t="shared" si="83"/>
        <v>0</v>
      </c>
      <c r="AB237" s="74">
        <f t="shared" si="84"/>
        <v>0</v>
      </c>
      <c r="AC237" s="74" t="str">
        <f t="shared" si="85"/>
        <v/>
      </c>
      <c r="AE237" s="74" t="str">
        <f t="shared" si="86"/>
        <v/>
      </c>
      <c r="AF237" s="74" t="str">
        <f t="shared" si="87"/>
        <v/>
      </c>
      <c r="AG237" s="74" t="str">
        <f t="shared" si="88"/>
        <v/>
      </c>
      <c r="AH237" s="74">
        <f t="shared" si="89"/>
        <v>0</v>
      </c>
      <c r="AI237" s="74" t="str">
        <f>IF(AH237&lt;&gt;0,COUNTIF(AH$3:AH237,1),"")</f>
        <v/>
      </c>
      <c r="AJ237" s="74">
        <f t="shared" si="90"/>
        <v>0</v>
      </c>
      <c r="AK237" s="73" t="str">
        <f t="shared" si="91"/>
        <v/>
      </c>
      <c r="AL237" s="73" t="str">
        <f t="shared" si="92"/>
        <v/>
      </c>
      <c r="AM237" s="73" t="str">
        <f t="shared" si="93"/>
        <v/>
      </c>
      <c r="AN237" s="73" t="str">
        <f t="shared" si="94"/>
        <v/>
      </c>
      <c r="AP237" s="61" t="str">
        <f t="shared" si="95"/>
        <v/>
      </c>
      <c r="AQ237" s="61" t="str">
        <f t="shared" si="96"/>
        <v/>
      </c>
      <c r="AR237" s="61" t="str">
        <f t="shared" si="97"/>
        <v/>
      </c>
    </row>
    <row r="238" spans="16:44" x14ac:dyDescent="0.25">
      <c r="P238" s="73" t="str">
        <f t="shared" si="77"/>
        <v/>
      </c>
      <c r="Q238" s="73" t="str">
        <f t="shared" si="78"/>
        <v/>
      </c>
      <c r="R238" s="74" t="str">
        <f t="shared" si="79"/>
        <v/>
      </c>
      <c r="S238" s="74" t="str">
        <f t="shared" si="80"/>
        <v/>
      </c>
      <c r="U238" s="74" t="str">
        <f t="shared" si="81"/>
        <v/>
      </c>
      <c r="V238" s="74" t="str">
        <f t="shared" si="81"/>
        <v/>
      </c>
      <c r="W238" s="74" t="str">
        <f t="shared" si="81"/>
        <v/>
      </c>
      <c r="X238" s="74" t="str">
        <f t="shared" si="81"/>
        <v/>
      </c>
      <c r="Y238" s="74" t="str">
        <f t="shared" si="81"/>
        <v/>
      </c>
      <c r="Z238" s="74" t="str">
        <f t="shared" si="82"/>
        <v/>
      </c>
      <c r="AA238" s="74">
        <f t="shared" si="83"/>
        <v>0</v>
      </c>
      <c r="AB238" s="74">
        <f t="shared" si="84"/>
        <v>0</v>
      </c>
      <c r="AC238" s="74" t="str">
        <f t="shared" si="85"/>
        <v/>
      </c>
      <c r="AE238" s="74" t="str">
        <f t="shared" si="86"/>
        <v/>
      </c>
      <c r="AF238" s="74" t="str">
        <f t="shared" si="87"/>
        <v/>
      </c>
      <c r="AG238" s="74" t="str">
        <f t="shared" si="88"/>
        <v/>
      </c>
      <c r="AH238" s="74">
        <f t="shared" si="89"/>
        <v>0</v>
      </c>
      <c r="AI238" s="74" t="str">
        <f>IF(AH238&lt;&gt;0,COUNTIF(AH$3:AH238,1),"")</f>
        <v/>
      </c>
      <c r="AJ238" s="74">
        <f t="shared" si="90"/>
        <v>0</v>
      </c>
      <c r="AK238" s="73" t="str">
        <f t="shared" si="91"/>
        <v/>
      </c>
      <c r="AL238" s="73" t="str">
        <f t="shared" si="92"/>
        <v/>
      </c>
      <c r="AM238" s="73" t="str">
        <f t="shared" si="93"/>
        <v/>
      </c>
      <c r="AN238" s="73" t="str">
        <f t="shared" si="94"/>
        <v/>
      </c>
      <c r="AP238" s="61" t="str">
        <f t="shared" si="95"/>
        <v/>
      </c>
      <c r="AQ238" s="61" t="str">
        <f t="shared" si="96"/>
        <v/>
      </c>
      <c r="AR238" s="61" t="str">
        <f t="shared" si="97"/>
        <v/>
      </c>
    </row>
    <row r="239" spans="16:44" x14ac:dyDescent="0.25">
      <c r="P239" s="73" t="str">
        <f t="shared" si="77"/>
        <v/>
      </c>
      <c r="Q239" s="73" t="str">
        <f t="shared" si="78"/>
        <v/>
      </c>
      <c r="R239" s="74" t="str">
        <f t="shared" si="79"/>
        <v/>
      </c>
      <c r="S239" s="74" t="str">
        <f t="shared" si="80"/>
        <v/>
      </c>
      <c r="U239" s="74" t="str">
        <f t="shared" si="81"/>
        <v/>
      </c>
      <c r="V239" s="74" t="str">
        <f t="shared" si="81"/>
        <v/>
      </c>
      <c r="W239" s="74" t="str">
        <f t="shared" si="81"/>
        <v/>
      </c>
      <c r="X239" s="74" t="str">
        <f t="shared" si="81"/>
        <v/>
      </c>
      <c r="Y239" s="74" t="str">
        <f t="shared" si="81"/>
        <v/>
      </c>
      <c r="Z239" s="74" t="str">
        <f t="shared" si="82"/>
        <v/>
      </c>
      <c r="AA239" s="74">
        <f t="shared" si="83"/>
        <v>0</v>
      </c>
      <c r="AB239" s="74">
        <f t="shared" si="84"/>
        <v>0</v>
      </c>
      <c r="AC239" s="74" t="str">
        <f t="shared" si="85"/>
        <v/>
      </c>
      <c r="AE239" s="74" t="str">
        <f t="shared" si="86"/>
        <v/>
      </c>
      <c r="AF239" s="74" t="str">
        <f t="shared" si="87"/>
        <v/>
      </c>
      <c r="AG239" s="74" t="str">
        <f t="shared" si="88"/>
        <v/>
      </c>
      <c r="AH239" s="74">
        <f t="shared" si="89"/>
        <v>0</v>
      </c>
      <c r="AI239" s="74" t="str">
        <f>IF(AH239&lt;&gt;0,COUNTIF(AH$3:AH239,1),"")</f>
        <v/>
      </c>
      <c r="AJ239" s="74">
        <f t="shared" si="90"/>
        <v>0</v>
      </c>
      <c r="AK239" s="73" t="str">
        <f t="shared" si="91"/>
        <v/>
      </c>
      <c r="AL239" s="73" t="str">
        <f t="shared" si="92"/>
        <v/>
      </c>
      <c r="AM239" s="73" t="str">
        <f t="shared" si="93"/>
        <v/>
      </c>
      <c r="AN239" s="73" t="str">
        <f t="shared" si="94"/>
        <v/>
      </c>
      <c r="AP239" s="61" t="str">
        <f t="shared" si="95"/>
        <v/>
      </c>
      <c r="AQ239" s="61" t="str">
        <f t="shared" si="96"/>
        <v/>
      </c>
      <c r="AR239" s="61" t="str">
        <f t="shared" si="97"/>
        <v/>
      </c>
    </row>
    <row r="240" spans="16:44" x14ac:dyDescent="0.25">
      <c r="P240" s="73" t="str">
        <f t="shared" si="77"/>
        <v/>
      </c>
      <c r="Q240" s="73" t="str">
        <f t="shared" si="78"/>
        <v/>
      </c>
      <c r="R240" s="74" t="str">
        <f t="shared" si="79"/>
        <v/>
      </c>
      <c r="S240" s="74" t="str">
        <f t="shared" si="80"/>
        <v/>
      </c>
      <c r="U240" s="74" t="str">
        <f t="shared" si="81"/>
        <v/>
      </c>
      <c r="V240" s="74" t="str">
        <f t="shared" si="81"/>
        <v/>
      </c>
      <c r="W240" s="74" t="str">
        <f t="shared" si="81"/>
        <v/>
      </c>
      <c r="X240" s="74" t="str">
        <f t="shared" si="81"/>
        <v/>
      </c>
      <c r="Y240" s="74" t="str">
        <f t="shared" si="81"/>
        <v/>
      </c>
      <c r="Z240" s="74" t="str">
        <f t="shared" si="82"/>
        <v/>
      </c>
      <c r="AA240" s="74">
        <f t="shared" si="83"/>
        <v>0</v>
      </c>
      <c r="AB240" s="74">
        <f t="shared" si="84"/>
        <v>0</v>
      </c>
      <c r="AC240" s="74" t="str">
        <f t="shared" si="85"/>
        <v/>
      </c>
      <c r="AE240" s="74" t="str">
        <f t="shared" si="86"/>
        <v/>
      </c>
      <c r="AF240" s="74" t="str">
        <f t="shared" si="87"/>
        <v/>
      </c>
      <c r="AG240" s="74" t="str">
        <f t="shared" si="88"/>
        <v/>
      </c>
      <c r="AH240" s="74">
        <f t="shared" si="89"/>
        <v>0</v>
      </c>
      <c r="AI240" s="74" t="str">
        <f>IF(AH240&lt;&gt;0,COUNTIF(AH$3:AH240,1),"")</f>
        <v/>
      </c>
      <c r="AJ240" s="74">
        <f t="shared" si="90"/>
        <v>0</v>
      </c>
      <c r="AK240" s="73" t="str">
        <f t="shared" si="91"/>
        <v/>
      </c>
      <c r="AL240" s="73" t="str">
        <f t="shared" si="92"/>
        <v/>
      </c>
      <c r="AM240" s="73" t="str">
        <f t="shared" si="93"/>
        <v/>
      </c>
      <c r="AN240" s="73" t="str">
        <f t="shared" si="94"/>
        <v/>
      </c>
      <c r="AP240" s="61" t="str">
        <f t="shared" si="95"/>
        <v/>
      </c>
      <c r="AQ240" s="61" t="str">
        <f t="shared" si="96"/>
        <v/>
      </c>
      <c r="AR240" s="61" t="str">
        <f t="shared" si="97"/>
        <v/>
      </c>
    </row>
    <row r="241" spans="16:44" x14ac:dyDescent="0.25">
      <c r="P241" s="73" t="str">
        <f t="shared" si="77"/>
        <v/>
      </c>
      <c r="Q241" s="73" t="str">
        <f t="shared" si="78"/>
        <v/>
      </c>
      <c r="R241" s="74" t="str">
        <f t="shared" si="79"/>
        <v/>
      </c>
      <c r="S241" s="74" t="str">
        <f t="shared" si="80"/>
        <v/>
      </c>
      <c r="U241" s="74" t="str">
        <f t="shared" ref="U241:Y291" si="98">IF($F241=U$1,$E241,"")</f>
        <v/>
      </c>
      <c r="V241" s="74" t="str">
        <f t="shared" si="98"/>
        <v/>
      </c>
      <c r="W241" s="74" t="str">
        <f t="shared" si="98"/>
        <v/>
      </c>
      <c r="X241" s="74" t="str">
        <f t="shared" si="98"/>
        <v/>
      </c>
      <c r="Y241" s="74" t="str">
        <f t="shared" si="98"/>
        <v/>
      </c>
      <c r="Z241" s="74" t="str">
        <f t="shared" si="82"/>
        <v/>
      </c>
      <c r="AA241" s="74">
        <f t="shared" si="83"/>
        <v>0</v>
      </c>
      <c r="AB241" s="74">
        <f t="shared" si="84"/>
        <v>0</v>
      </c>
      <c r="AC241" s="74" t="str">
        <f t="shared" si="85"/>
        <v/>
      </c>
      <c r="AE241" s="74" t="str">
        <f t="shared" si="86"/>
        <v/>
      </c>
      <c r="AF241" s="74" t="str">
        <f t="shared" si="87"/>
        <v/>
      </c>
      <c r="AG241" s="74" t="str">
        <f t="shared" si="88"/>
        <v/>
      </c>
      <c r="AH241" s="74">
        <f t="shared" si="89"/>
        <v>0</v>
      </c>
      <c r="AI241" s="74" t="str">
        <f>IF(AH241&lt;&gt;0,COUNTIF(AH$3:AH241,1),"")</f>
        <v/>
      </c>
      <c r="AJ241" s="74">
        <f t="shared" si="90"/>
        <v>0</v>
      </c>
      <c r="AK241" s="73" t="str">
        <f t="shared" si="91"/>
        <v/>
      </c>
      <c r="AL241" s="73" t="str">
        <f t="shared" si="92"/>
        <v/>
      </c>
      <c r="AM241" s="73" t="str">
        <f t="shared" si="93"/>
        <v/>
      </c>
      <c r="AN241" s="73" t="str">
        <f t="shared" si="94"/>
        <v/>
      </c>
      <c r="AP241" s="61" t="str">
        <f t="shared" si="95"/>
        <v/>
      </c>
      <c r="AQ241" s="61" t="str">
        <f t="shared" si="96"/>
        <v/>
      </c>
      <c r="AR241" s="61" t="str">
        <f t="shared" si="97"/>
        <v/>
      </c>
    </row>
    <row r="242" spans="16:44" x14ac:dyDescent="0.25">
      <c r="P242" s="73" t="str">
        <f t="shared" si="77"/>
        <v/>
      </c>
      <c r="Q242" s="73" t="str">
        <f t="shared" si="78"/>
        <v/>
      </c>
      <c r="R242" s="74" t="str">
        <f t="shared" si="79"/>
        <v/>
      </c>
      <c r="S242" s="74" t="str">
        <f t="shared" si="80"/>
        <v/>
      </c>
      <c r="U242" s="74" t="str">
        <f t="shared" si="98"/>
        <v/>
      </c>
      <c r="V242" s="74" t="str">
        <f t="shared" si="98"/>
        <v/>
      </c>
      <c r="W242" s="74" t="str">
        <f t="shared" si="98"/>
        <v/>
      </c>
      <c r="X242" s="74" t="str">
        <f t="shared" si="98"/>
        <v/>
      </c>
      <c r="Y242" s="74" t="str">
        <f t="shared" si="98"/>
        <v/>
      </c>
      <c r="Z242" s="74" t="str">
        <f t="shared" si="82"/>
        <v/>
      </c>
      <c r="AA242" s="74">
        <f t="shared" si="83"/>
        <v>0</v>
      </c>
      <c r="AB242" s="74">
        <f t="shared" si="84"/>
        <v>0</v>
      </c>
      <c r="AC242" s="74" t="str">
        <f t="shared" si="85"/>
        <v/>
      </c>
      <c r="AE242" s="74" t="str">
        <f t="shared" si="86"/>
        <v/>
      </c>
      <c r="AF242" s="74" t="str">
        <f t="shared" si="87"/>
        <v/>
      </c>
      <c r="AG242" s="74" t="str">
        <f t="shared" si="88"/>
        <v/>
      </c>
      <c r="AH242" s="74">
        <f t="shared" si="89"/>
        <v>0</v>
      </c>
      <c r="AI242" s="74" t="str">
        <f>IF(AH242&lt;&gt;0,COUNTIF(AH$3:AH242,1),"")</f>
        <v/>
      </c>
      <c r="AJ242" s="74">
        <f t="shared" si="90"/>
        <v>0</v>
      </c>
      <c r="AK242" s="73" t="str">
        <f t="shared" si="91"/>
        <v/>
      </c>
      <c r="AL242" s="73" t="str">
        <f t="shared" si="92"/>
        <v/>
      </c>
      <c r="AM242" s="73" t="str">
        <f t="shared" si="93"/>
        <v/>
      </c>
      <c r="AN242" s="73" t="str">
        <f t="shared" si="94"/>
        <v/>
      </c>
      <c r="AP242" s="61" t="str">
        <f t="shared" si="95"/>
        <v/>
      </c>
      <c r="AQ242" s="61" t="str">
        <f t="shared" si="96"/>
        <v/>
      </c>
      <c r="AR242" s="61" t="str">
        <f t="shared" si="97"/>
        <v/>
      </c>
    </row>
    <row r="243" spans="16:44" x14ac:dyDescent="0.25">
      <c r="P243" s="73" t="str">
        <f t="shared" si="77"/>
        <v/>
      </c>
      <c r="Q243" s="73" t="str">
        <f t="shared" si="78"/>
        <v/>
      </c>
      <c r="R243" s="74" t="str">
        <f t="shared" si="79"/>
        <v/>
      </c>
      <c r="S243" s="74" t="str">
        <f t="shared" si="80"/>
        <v/>
      </c>
      <c r="U243" s="74" t="str">
        <f t="shared" si="98"/>
        <v/>
      </c>
      <c r="V243" s="74" t="str">
        <f t="shared" si="98"/>
        <v/>
      </c>
      <c r="W243" s="74" t="str">
        <f t="shared" si="98"/>
        <v/>
      </c>
      <c r="X243" s="74" t="str">
        <f t="shared" si="98"/>
        <v/>
      </c>
      <c r="Y243" s="74" t="str">
        <f t="shared" si="98"/>
        <v/>
      </c>
      <c r="Z243" s="74" t="str">
        <f t="shared" si="82"/>
        <v/>
      </c>
      <c r="AA243" s="74">
        <f t="shared" si="83"/>
        <v>0</v>
      </c>
      <c r="AB243" s="74">
        <f t="shared" si="84"/>
        <v>0</v>
      </c>
      <c r="AC243" s="74" t="str">
        <f t="shared" si="85"/>
        <v/>
      </c>
      <c r="AE243" s="74" t="str">
        <f t="shared" si="86"/>
        <v/>
      </c>
      <c r="AF243" s="74" t="str">
        <f t="shared" si="87"/>
        <v/>
      </c>
      <c r="AG243" s="74" t="str">
        <f t="shared" si="88"/>
        <v/>
      </c>
      <c r="AH243" s="74">
        <f t="shared" si="89"/>
        <v>0</v>
      </c>
      <c r="AI243" s="74" t="str">
        <f>IF(AH243&lt;&gt;0,COUNTIF(AH$3:AH243,1),"")</f>
        <v/>
      </c>
      <c r="AJ243" s="74">
        <f t="shared" si="90"/>
        <v>0</v>
      </c>
      <c r="AK243" s="73" t="str">
        <f t="shared" si="91"/>
        <v/>
      </c>
      <c r="AL243" s="73" t="str">
        <f t="shared" si="92"/>
        <v/>
      </c>
      <c r="AM243" s="73" t="str">
        <f t="shared" si="93"/>
        <v/>
      </c>
      <c r="AN243" s="73" t="str">
        <f t="shared" si="94"/>
        <v/>
      </c>
      <c r="AP243" s="61" t="str">
        <f t="shared" si="95"/>
        <v/>
      </c>
      <c r="AQ243" s="61" t="str">
        <f t="shared" si="96"/>
        <v/>
      </c>
      <c r="AR243" s="61" t="str">
        <f t="shared" si="97"/>
        <v/>
      </c>
    </row>
    <row r="244" spans="16:44" x14ac:dyDescent="0.25">
      <c r="P244" s="73" t="str">
        <f t="shared" si="77"/>
        <v/>
      </c>
      <c r="Q244" s="73" t="str">
        <f t="shared" si="78"/>
        <v/>
      </c>
      <c r="R244" s="74" t="str">
        <f t="shared" si="79"/>
        <v/>
      </c>
      <c r="S244" s="74" t="str">
        <f t="shared" si="80"/>
        <v/>
      </c>
      <c r="U244" s="74" t="str">
        <f t="shared" si="98"/>
        <v/>
      </c>
      <c r="V244" s="74" t="str">
        <f t="shared" si="98"/>
        <v/>
      </c>
      <c r="W244" s="74" t="str">
        <f t="shared" si="98"/>
        <v/>
      </c>
      <c r="X244" s="74" t="str">
        <f t="shared" si="98"/>
        <v/>
      </c>
      <c r="Y244" s="74" t="str">
        <f t="shared" si="98"/>
        <v/>
      </c>
      <c r="Z244" s="74" t="str">
        <f t="shared" si="82"/>
        <v/>
      </c>
      <c r="AA244" s="74">
        <f t="shared" si="83"/>
        <v>0</v>
      </c>
      <c r="AB244" s="74">
        <f t="shared" si="84"/>
        <v>0</v>
      </c>
      <c r="AC244" s="74" t="str">
        <f t="shared" si="85"/>
        <v/>
      </c>
      <c r="AE244" s="74" t="str">
        <f t="shared" si="86"/>
        <v/>
      </c>
      <c r="AF244" s="74" t="str">
        <f t="shared" si="87"/>
        <v/>
      </c>
      <c r="AG244" s="74" t="str">
        <f t="shared" si="88"/>
        <v/>
      </c>
      <c r="AH244" s="74">
        <f t="shared" si="89"/>
        <v>0</v>
      </c>
      <c r="AI244" s="74" t="str">
        <f>IF(AH244&lt;&gt;0,COUNTIF(AH$3:AH244,1),"")</f>
        <v/>
      </c>
      <c r="AJ244" s="74">
        <f t="shared" si="90"/>
        <v>0</v>
      </c>
      <c r="AK244" s="73" t="str">
        <f t="shared" si="91"/>
        <v/>
      </c>
      <c r="AL244" s="73" t="str">
        <f t="shared" si="92"/>
        <v/>
      </c>
      <c r="AM244" s="73" t="str">
        <f t="shared" si="93"/>
        <v/>
      </c>
      <c r="AN244" s="73" t="str">
        <f t="shared" si="94"/>
        <v/>
      </c>
      <c r="AP244" s="61" t="str">
        <f t="shared" si="95"/>
        <v/>
      </c>
      <c r="AQ244" s="61" t="str">
        <f t="shared" si="96"/>
        <v/>
      </c>
      <c r="AR244" s="61" t="str">
        <f t="shared" si="97"/>
        <v/>
      </c>
    </row>
    <row r="245" spans="16:44" x14ac:dyDescent="0.25">
      <c r="P245" s="73" t="str">
        <f t="shared" si="77"/>
        <v/>
      </c>
      <c r="Q245" s="73" t="str">
        <f t="shared" si="78"/>
        <v/>
      </c>
      <c r="R245" s="74" t="str">
        <f t="shared" si="79"/>
        <v/>
      </c>
      <c r="S245" s="74" t="str">
        <f t="shared" si="80"/>
        <v/>
      </c>
      <c r="U245" s="74" t="str">
        <f t="shared" si="98"/>
        <v/>
      </c>
      <c r="V245" s="74" t="str">
        <f t="shared" si="98"/>
        <v/>
      </c>
      <c r="W245" s="74" t="str">
        <f t="shared" si="98"/>
        <v/>
      </c>
      <c r="X245" s="74" t="str">
        <f t="shared" si="98"/>
        <v/>
      </c>
      <c r="Y245" s="74" t="str">
        <f t="shared" si="98"/>
        <v/>
      </c>
      <c r="Z245" s="74" t="str">
        <f t="shared" si="82"/>
        <v/>
      </c>
      <c r="AA245" s="74">
        <f t="shared" si="83"/>
        <v>0</v>
      </c>
      <c r="AB245" s="74">
        <f t="shared" si="84"/>
        <v>0</v>
      </c>
      <c r="AC245" s="74" t="str">
        <f t="shared" si="85"/>
        <v/>
      </c>
      <c r="AE245" s="74" t="str">
        <f t="shared" si="86"/>
        <v/>
      </c>
      <c r="AF245" s="74" t="str">
        <f t="shared" si="87"/>
        <v/>
      </c>
      <c r="AG245" s="74" t="str">
        <f t="shared" si="88"/>
        <v/>
      </c>
      <c r="AH245" s="74">
        <f t="shared" si="89"/>
        <v>0</v>
      </c>
      <c r="AI245" s="74" t="str">
        <f>IF(AH245&lt;&gt;0,COUNTIF(AH$3:AH245,1),"")</f>
        <v/>
      </c>
      <c r="AJ245" s="74">
        <f t="shared" si="90"/>
        <v>0</v>
      </c>
      <c r="AK245" s="73" t="str">
        <f t="shared" si="91"/>
        <v/>
      </c>
      <c r="AL245" s="73" t="str">
        <f t="shared" si="92"/>
        <v/>
      </c>
      <c r="AM245" s="73" t="str">
        <f t="shared" si="93"/>
        <v/>
      </c>
      <c r="AN245" s="73" t="str">
        <f t="shared" si="94"/>
        <v/>
      </c>
      <c r="AP245" s="61" t="str">
        <f t="shared" si="95"/>
        <v/>
      </c>
      <c r="AQ245" s="61" t="str">
        <f t="shared" si="96"/>
        <v/>
      </c>
      <c r="AR245" s="61" t="str">
        <f t="shared" si="97"/>
        <v/>
      </c>
    </row>
    <row r="246" spans="16:44" x14ac:dyDescent="0.25">
      <c r="P246" s="73" t="str">
        <f t="shared" si="77"/>
        <v/>
      </c>
      <c r="Q246" s="73" t="str">
        <f t="shared" si="78"/>
        <v/>
      </c>
      <c r="R246" s="74" t="str">
        <f t="shared" si="79"/>
        <v/>
      </c>
      <c r="S246" s="74" t="str">
        <f t="shared" si="80"/>
        <v/>
      </c>
      <c r="U246" s="74" t="str">
        <f t="shared" si="98"/>
        <v/>
      </c>
      <c r="V246" s="74" t="str">
        <f t="shared" si="98"/>
        <v/>
      </c>
      <c r="W246" s="74" t="str">
        <f t="shared" si="98"/>
        <v/>
      </c>
      <c r="X246" s="74" t="str">
        <f t="shared" si="98"/>
        <v/>
      </c>
      <c r="Y246" s="74" t="str">
        <f t="shared" si="98"/>
        <v/>
      </c>
      <c r="Z246" s="74" t="str">
        <f t="shared" si="82"/>
        <v/>
      </c>
      <c r="AA246" s="74">
        <f t="shared" si="83"/>
        <v>0</v>
      </c>
      <c r="AB246" s="74">
        <f t="shared" si="84"/>
        <v>0</v>
      </c>
      <c r="AC246" s="74" t="str">
        <f t="shared" si="85"/>
        <v/>
      </c>
      <c r="AE246" s="74" t="str">
        <f t="shared" si="86"/>
        <v/>
      </c>
      <c r="AF246" s="74" t="str">
        <f t="shared" si="87"/>
        <v/>
      </c>
      <c r="AG246" s="74" t="str">
        <f t="shared" si="88"/>
        <v/>
      </c>
      <c r="AH246" s="74">
        <f t="shared" si="89"/>
        <v>0</v>
      </c>
      <c r="AI246" s="74" t="str">
        <f>IF(AH246&lt;&gt;0,COUNTIF(AH$3:AH246,1),"")</f>
        <v/>
      </c>
      <c r="AJ246" s="74">
        <f t="shared" si="90"/>
        <v>0</v>
      </c>
      <c r="AK246" s="73" t="str">
        <f t="shared" si="91"/>
        <v/>
      </c>
      <c r="AL246" s="73" t="str">
        <f t="shared" si="92"/>
        <v/>
      </c>
      <c r="AM246" s="73" t="str">
        <f t="shared" si="93"/>
        <v/>
      </c>
      <c r="AN246" s="73" t="str">
        <f t="shared" si="94"/>
        <v/>
      </c>
      <c r="AP246" s="61" t="str">
        <f t="shared" si="95"/>
        <v/>
      </c>
      <c r="AQ246" s="61" t="str">
        <f t="shared" si="96"/>
        <v/>
      </c>
      <c r="AR246" s="61" t="str">
        <f t="shared" si="97"/>
        <v/>
      </c>
    </row>
    <row r="247" spans="16:44" x14ac:dyDescent="0.25">
      <c r="P247" s="73" t="str">
        <f t="shared" si="77"/>
        <v/>
      </c>
      <c r="Q247" s="73" t="str">
        <f t="shared" si="78"/>
        <v/>
      </c>
      <c r="R247" s="74" t="str">
        <f t="shared" si="79"/>
        <v/>
      </c>
      <c r="S247" s="74" t="str">
        <f t="shared" si="80"/>
        <v/>
      </c>
      <c r="U247" s="74" t="str">
        <f t="shared" si="98"/>
        <v/>
      </c>
      <c r="V247" s="74" t="str">
        <f t="shared" si="98"/>
        <v/>
      </c>
      <c r="W247" s="74" t="str">
        <f t="shared" si="98"/>
        <v/>
      </c>
      <c r="X247" s="74" t="str">
        <f t="shared" si="98"/>
        <v/>
      </c>
      <c r="Y247" s="74" t="str">
        <f t="shared" si="98"/>
        <v/>
      </c>
      <c r="Z247" s="74" t="str">
        <f t="shared" si="82"/>
        <v/>
      </c>
      <c r="AA247" s="74">
        <f t="shared" si="83"/>
        <v>0</v>
      </c>
      <c r="AB247" s="74">
        <f t="shared" si="84"/>
        <v>0</v>
      </c>
      <c r="AC247" s="74" t="str">
        <f t="shared" si="85"/>
        <v/>
      </c>
      <c r="AE247" s="74" t="str">
        <f t="shared" si="86"/>
        <v/>
      </c>
      <c r="AF247" s="74" t="str">
        <f t="shared" si="87"/>
        <v/>
      </c>
      <c r="AG247" s="74" t="str">
        <f t="shared" si="88"/>
        <v/>
      </c>
      <c r="AH247" s="74">
        <f t="shared" si="89"/>
        <v>0</v>
      </c>
      <c r="AI247" s="74" t="str">
        <f>IF(AH247&lt;&gt;0,COUNTIF(AH$3:AH247,1),"")</f>
        <v/>
      </c>
      <c r="AJ247" s="74">
        <f t="shared" si="90"/>
        <v>0</v>
      </c>
      <c r="AK247" s="73" t="str">
        <f t="shared" si="91"/>
        <v/>
      </c>
      <c r="AL247" s="73" t="str">
        <f t="shared" si="92"/>
        <v/>
      </c>
      <c r="AM247" s="73" t="str">
        <f t="shared" si="93"/>
        <v/>
      </c>
      <c r="AN247" s="73" t="str">
        <f t="shared" si="94"/>
        <v/>
      </c>
      <c r="AP247" s="61" t="str">
        <f t="shared" si="95"/>
        <v/>
      </c>
      <c r="AQ247" s="61" t="str">
        <f t="shared" si="96"/>
        <v/>
      </c>
      <c r="AR247" s="61" t="str">
        <f t="shared" si="97"/>
        <v/>
      </c>
    </row>
    <row r="248" spans="16:44" x14ac:dyDescent="0.25">
      <c r="P248" s="73" t="str">
        <f t="shared" si="77"/>
        <v/>
      </c>
      <c r="Q248" s="73" t="str">
        <f t="shared" si="78"/>
        <v/>
      </c>
      <c r="R248" s="74" t="str">
        <f t="shared" si="79"/>
        <v/>
      </c>
      <c r="S248" s="74" t="str">
        <f t="shared" si="80"/>
        <v/>
      </c>
      <c r="U248" s="74" t="str">
        <f t="shared" si="98"/>
        <v/>
      </c>
      <c r="V248" s="74" t="str">
        <f t="shared" si="98"/>
        <v/>
      </c>
      <c r="W248" s="74" t="str">
        <f t="shared" si="98"/>
        <v/>
      </c>
      <c r="X248" s="74" t="str">
        <f t="shared" si="98"/>
        <v/>
      </c>
      <c r="Y248" s="74" t="str">
        <f t="shared" si="98"/>
        <v/>
      </c>
      <c r="Z248" s="74" t="str">
        <f t="shared" si="82"/>
        <v/>
      </c>
      <c r="AA248" s="74">
        <f t="shared" si="83"/>
        <v>0</v>
      </c>
      <c r="AB248" s="74">
        <f t="shared" si="84"/>
        <v>0</v>
      </c>
      <c r="AC248" s="74" t="str">
        <f t="shared" si="85"/>
        <v/>
      </c>
      <c r="AE248" s="74" t="str">
        <f t="shared" si="86"/>
        <v/>
      </c>
      <c r="AF248" s="74" t="str">
        <f t="shared" si="87"/>
        <v/>
      </c>
      <c r="AG248" s="74" t="str">
        <f t="shared" si="88"/>
        <v/>
      </c>
      <c r="AH248" s="74">
        <f t="shared" si="89"/>
        <v>0</v>
      </c>
      <c r="AI248" s="74" t="str">
        <f>IF(AH248&lt;&gt;0,COUNTIF(AH$3:AH248,1),"")</f>
        <v/>
      </c>
      <c r="AJ248" s="74">
        <f t="shared" si="90"/>
        <v>0</v>
      </c>
      <c r="AK248" s="73" t="str">
        <f t="shared" si="91"/>
        <v/>
      </c>
      <c r="AL248" s="73" t="str">
        <f t="shared" si="92"/>
        <v/>
      </c>
      <c r="AM248" s="73" t="str">
        <f t="shared" si="93"/>
        <v/>
      </c>
      <c r="AN248" s="73" t="str">
        <f t="shared" si="94"/>
        <v/>
      </c>
      <c r="AP248" s="61" t="str">
        <f t="shared" si="95"/>
        <v/>
      </c>
      <c r="AQ248" s="61" t="str">
        <f t="shared" si="96"/>
        <v/>
      </c>
      <c r="AR248" s="61" t="str">
        <f t="shared" si="97"/>
        <v/>
      </c>
    </row>
    <row r="249" spans="16:44" x14ac:dyDescent="0.25">
      <c r="P249" s="73" t="str">
        <f t="shared" si="77"/>
        <v/>
      </c>
      <c r="Q249" s="73" t="str">
        <f t="shared" si="78"/>
        <v/>
      </c>
      <c r="R249" s="74" t="str">
        <f t="shared" si="79"/>
        <v/>
      </c>
      <c r="S249" s="74" t="str">
        <f t="shared" si="80"/>
        <v/>
      </c>
      <c r="U249" s="74" t="str">
        <f t="shared" si="98"/>
        <v/>
      </c>
      <c r="V249" s="74" t="str">
        <f t="shared" si="98"/>
        <v/>
      </c>
      <c r="W249" s="74" t="str">
        <f t="shared" si="98"/>
        <v/>
      </c>
      <c r="X249" s="74" t="str">
        <f t="shared" si="98"/>
        <v/>
      </c>
      <c r="Y249" s="74" t="str">
        <f t="shared" si="98"/>
        <v/>
      </c>
      <c r="Z249" s="74" t="str">
        <f t="shared" si="82"/>
        <v/>
      </c>
      <c r="AA249" s="74">
        <f t="shared" si="83"/>
        <v>0</v>
      </c>
      <c r="AB249" s="74">
        <f t="shared" si="84"/>
        <v>0</v>
      </c>
      <c r="AC249" s="74" t="str">
        <f t="shared" si="85"/>
        <v/>
      </c>
      <c r="AE249" s="74" t="str">
        <f t="shared" si="86"/>
        <v/>
      </c>
      <c r="AF249" s="74" t="str">
        <f t="shared" si="87"/>
        <v/>
      </c>
      <c r="AG249" s="74" t="str">
        <f t="shared" si="88"/>
        <v/>
      </c>
      <c r="AH249" s="74">
        <f t="shared" si="89"/>
        <v>0</v>
      </c>
      <c r="AI249" s="74" t="str">
        <f>IF(AH249&lt;&gt;0,COUNTIF(AH$3:AH249,1),"")</f>
        <v/>
      </c>
      <c r="AJ249" s="74">
        <f t="shared" si="90"/>
        <v>0</v>
      </c>
      <c r="AK249" s="73" t="str">
        <f t="shared" si="91"/>
        <v/>
      </c>
      <c r="AL249" s="73" t="str">
        <f t="shared" si="92"/>
        <v/>
      </c>
      <c r="AM249" s="73" t="str">
        <f t="shared" si="93"/>
        <v/>
      </c>
      <c r="AN249" s="73" t="str">
        <f t="shared" si="94"/>
        <v/>
      </c>
      <c r="AP249" s="61" t="str">
        <f t="shared" si="95"/>
        <v/>
      </c>
      <c r="AQ249" s="61" t="str">
        <f t="shared" si="96"/>
        <v/>
      </c>
      <c r="AR249" s="61" t="str">
        <f t="shared" si="97"/>
        <v/>
      </c>
    </row>
    <row r="250" spans="16:44" x14ac:dyDescent="0.25">
      <c r="P250" s="73" t="str">
        <f t="shared" si="77"/>
        <v/>
      </c>
      <c r="Q250" s="73" t="str">
        <f t="shared" si="78"/>
        <v/>
      </c>
      <c r="R250" s="74" t="str">
        <f t="shared" si="79"/>
        <v/>
      </c>
      <c r="S250" s="74" t="str">
        <f t="shared" si="80"/>
        <v/>
      </c>
      <c r="U250" s="74" t="str">
        <f t="shared" si="98"/>
        <v/>
      </c>
      <c r="V250" s="74" t="str">
        <f t="shared" si="98"/>
        <v/>
      </c>
      <c r="W250" s="74" t="str">
        <f t="shared" si="98"/>
        <v/>
      </c>
      <c r="X250" s="74" t="str">
        <f t="shared" si="98"/>
        <v/>
      </c>
      <c r="Y250" s="74" t="str">
        <f t="shared" si="98"/>
        <v/>
      </c>
      <c r="Z250" s="74" t="str">
        <f t="shared" si="82"/>
        <v/>
      </c>
      <c r="AA250" s="74">
        <f t="shared" si="83"/>
        <v>0</v>
      </c>
      <c r="AB250" s="74">
        <f t="shared" si="84"/>
        <v>0</v>
      </c>
      <c r="AC250" s="74" t="str">
        <f t="shared" si="85"/>
        <v/>
      </c>
      <c r="AE250" s="74" t="str">
        <f t="shared" si="86"/>
        <v/>
      </c>
      <c r="AF250" s="74" t="str">
        <f t="shared" si="87"/>
        <v/>
      </c>
      <c r="AG250" s="74" t="str">
        <f t="shared" si="88"/>
        <v/>
      </c>
      <c r="AH250" s="74">
        <f t="shared" si="89"/>
        <v>0</v>
      </c>
      <c r="AI250" s="74" t="str">
        <f>IF(AH250&lt;&gt;0,COUNTIF(AH$3:AH250,1),"")</f>
        <v/>
      </c>
      <c r="AJ250" s="74">
        <f t="shared" si="90"/>
        <v>0</v>
      </c>
      <c r="AK250" s="73" t="str">
        <f t="shared" si="91"/>
        <v/>
      </c>
      <c r="AL250" s="73" t="str">
        <f t="shared" si="92"/>
        <v/>
      </c>
      <c r="AM250" s="73" t="str">
        <f t="shared" si="93"/>
        <v/>
      </c>
      <c r="AN250" s="73" t="str">
        <f t="shared" si="94"/>
        <v/>
      </c>
      <c r="AP250" s="61" t="str">
        <f t="shared" si="95"/>
        <v/>
      </c>
      <c r="AQ250" s="61" t="str">
        <f t="shared" si="96"/>
        <v/>
      </c>
      <c r="AR250" s="61" t="str">
        <f t="shared" si="97"/>
        <v/>
      </c>
    </row>
    <row r="251" spans="16:44" x14ac:dyDescent="0.25">
      <c r="P251" s="73" t="str">
        <f t="shared" si="77"/>
        <v/>
      </c>
      <c r="Q251" s="73" t="str">
        <f t="shared" si="78"/>
        <v/>
      </c>
      <c r="R251" s="74" t="str">
        <f t="shared" si="79"/>
        <v/>
      </c>
      <c r="S251" s="74" t="str">
        <f t="shared" si="80"/>
        <v/>
      </c>
      <c r="U251" s="74" t="str">
        <f t="shared" si="98"/>
        <v/>
      </c>
      <c r="V251" s="74" t="str">
        <f t="shared" si="98"/>
        <v/>
      </c>
      <c r="W251" s="74" t="str">
        <f t="shared" si="98"/>
        <v/>
      </c>
      <c r="X251" s="74" t="str">
        <f t="shared" si="98"/>
        <v/>
      </c>
      <c r="Y251" s="74" t="str">
        <f t="shared" si="98"/>
        <v/>
      </c>
      <c r="Z251" s="74" t="str">
        <f t="shared" si="82"/>
        <v/>
      </c>
      <c r="AA251" s="74">
        <f t="shared" si="83"/>
        <v>0</v>
      </c>
      <c r="AB251" s="74">
        <f t="shared" si="84"/>
        <v>0</v>
      </c>
      <c r="AC251" s="74" t="str">
        <f t="shared" si="85"/>
        <v/>
      </c>
      <c r="AE251" s="74" t="str">
        <f t="shared" si="86"/>
        <v/>
      </c>
      <c r="AF251" s="74" t="str">
        <f t="shared" si="87"/>
        <v/>
      </c>
      <c r="AG251" s="74" t="str">
        <f t="shared" si="88"/>
        <v/>
      </c>
      <c r="AH251" s="74">
        <f t="shared" si="89"/>
        <v>0</v>
      </c>
      <c r="AI251" s="74" t="str">
        <f>IF(AH251&lt;&gt;0,COUNTIF(AH$3:AH251,1),"")</f>
        <v/>
      </c>
      <c r="AJ251" s="74">
        <f t="shared" si="90"/>
        <v>0</v>
      </c>
      <c r="AK251" s="73" t="str">
        <f t="shared" si="91"/>
        <v/>
      </c>
      <c r="AL251" s="73" t="str">
        <f t="shared" si="92"/>
        <v/>
      </c>
      <c r="AM251" s="73" t="str">
        <f t="shared" si="93"/>
        <v/>
      </c>
      <c r="AN251" s="73" t="str">
        <f t="shared" si="94"/>
        <v/>
      </c>
      <c r="AP251" s="61" t="str">
        <f t="shared" si="95"/>
        <v/>
      </c>
      <c r="AQ251" s="61" t="str">
        <f t="shared" si="96"/>
        <v/>
      </c>
      <c r="AR251" s="61" t="str">
        <f t="shared" si="97"/>
        <v/>
      </c>
    </row>
    <row r="252" spans="16:44" x14ac:dyDescent="0.25">
      <c r="P252" s="73" t="str">
        <f t="shared" si="77"/>
        <v/>
      </c>
      <c r="Q252" s="73" t="str">
        <f t="shared" si="78"/>
        <v/>
      </c>
      <c r="R252" s="74" t="str">
        <f t="shared" si="79"/>
        <v/>
      </c>
      <c r="S252" s="74" t="str">
        <f t="shared" si="80"/>
        <v/>
      </c>
      <c r="U252" s="74" t="str">
        <f t="shared" si="98"/>
        <v/>
      </c>
      <c r="V252" s="74" t="str">
        <f t="shared" si="98"/>
        <v/>
      </c>
      <c r="W252" s="74" t="str">
        <f t="shared" si="98"/>
        <v/>
      </c>
      <c r="X252" s="74" t="str">
        <f t="shared" si="98"/>
        <v/>
      </c>
      <c r="Y252" s="74" t="str">
        <f t="shared" si="98"/>
        <v/>
      </c>
      <c r="Z252" s="74" t="str">
        <f t="shared" si="82"/>
        <v/>
      </c>
      <c r="AA252" s="74">
        <f t="shared" si="83"/>
        <v>0</v>
      </c>
      <c r="AB252" s="74">
        <f t="shared" si="84"/>
        <v>0</v>
      </c>
      <c r="AC252" s="74" t="str">
        <f t="shared" si="85"/>
        <v/>
      </c>
      <c r="AE252" s="74" t="str">
        <f t="shared" si="86"/>
        <v/>
      </c>
      <c r="AF252" s="74" t="str">
        <f t="shared" si="87"/>
        <v/>
      </c>
      <c r="AG252" s="74" t="str">
        <f t="shared" si="88"/>
        <v/>
      </c>
      <c r="AH252" s="74">
        <f t="shared" si="89"/>
        <v>0</v>
      </c>
      <c r="AI252" s="74" t="str">
        <f>IF(AH252&lt;&gt;0,COUNTIF(AH$3:AH252,1),"")</f>
        <v/>
      </c>
      <c r="AJ252" s="74">
        <f t="shared" si="90"/>
        <v>0</v>
      </c>
      <c r="AK252" s="73" t="str">
        <f t="shared" si="91"/>
        <v/>
      </c>
      <c r="AL252" s="73" t="str">
        <f t="shared" si="92"/>
        <v/>
      </c>
      <c r="AM252" s="73" t="str">
        <f t="shared" si="93"/>
        <v/>
      </c>
      <c r="AN252" s="73" t="str">
        <f t="shared" si="94"/>
        <v/>
      </c>
      <c r="AP252" s="61" t="str">
        <f t="shared" si="95"/>
        <v/>
      </c>
      <c r="AQ252" s="61" t="str">
        <f t="shared" si="96"/>
        <v/>
      </c>
      <c r="AR252" s="61" t="str">
        <f t="shared" si="97"/>
        <v/>
      </c>
    </row>
    <row r="253" spans="16:44" x14ac:dyDescent="0.25">
      <c r="P253" s="73" t="str">
        <f t="shared" si="77"/>
        <v/>
      </c>
      <c r="Q253" s="73" t="str">
        <f t="shared" si="78"/>
        <v/>
      </c>
      <c r="R253" s="74" t="str">
        <f t="shared" si="79"/>
        <v/>
      </c>
      <c r="S253" s="74" t="str">
        <f t="shared" si="80"/>
        <v/>
      </c>
      <c r="U253" s="74" t="str">
        <f t="shared" si="98"/>
        <v/>
      </c>
      <c r="V253" s="74" t="str">
        <f t="shared" si="98"/>
        <v/>
      </c>
      <c r="W253" s="74" t="str">
        <f t="shared" si="98"/>
        <v/>
      </c>
      <c r="X253" s="74" t="str">
        <f t="shared" si="98"/>
        <v/>
      </c>
      <c r="Y253" s="74" t="str">
        <f t="shared" si="98"/>
        <v/>
      </c>
      <c r="Z253" s="74" t="str">
        <f t="shared" si="82"/>
        <v/>
      </c>
      <c r="AA253" s="74">
        <f t="shared" si="83"/>
        <v>0</v>
      </c>
      <c r="AB253" s="74">
        <f t="shared" si="84"/>
        <v>0</v>
      </c>
      <c r="AC253" s="74" t="str">
        <f t="shared" si="85"/>
        <v/>
      </c>
      <c r="AE253" s="74" t="str">
        <f t="shared" si="86"/>
        <v/>
      </c>
      <c r="AF253" s="74" t="str">
        <f t="shared" si="87"/>
        <v/>
      </c>
      <c r="AG253" s="74" t="str">
        <f t="shared" si="88"/>
        <v/>
      </c>
      <c r="AH253" s="74">
        <f t="shared" si="89"/>
        <v>0</v>
      </c>
      <c r="AI253" s="74" t="str">
        <f>IF(AH253&lt;&gt;0,COUNTIF(AH$3:AH253,1),"")</f>
        <v/>
      </c>
      <c r="AJ253" s="74">
        <f t="shared" si="90"/>
        <v>0</v>
      </c>
      <c r="AK253" s="73" t="str">
        <f t="shared" si="91"/>
        <v/>
      </c>
      <c r="AL253" s="73" t="str">
        <f t="shared" si="92"/>
        <v/>
      </c>
      <c r="AM253" s="73" t="str">
        <f t="shared" si="93"/>
        <v/>
      </c>
      <c r="AN253" s="73" t="str">
        <f t="shared" si="94"/>
        <v/>
      </c>
      <c r="AP253" s="61" t="str">
        <f t="shared" si="95"/>
        <v/>
      </c>
      <c r="AQ253" s="61" t="str">
        <f t="shared" si="96"/>
        <v/>
      </c>
      <c r="AR253" s="61" t="str">
        <f t="shared" si="97"/>
        <v/>
      </c>
    </row>
    <row r="254" spans="16:44" x14ac:dyDescent="0.25">
      <c r="P254" s="73" t="str">
        <f t="shared" ref="P254:P317" si="99">IF(N254&lt;&gt;"",SUBSTITUTE(LEFT(N254,FIND(";",N254)),";",""),"")</f>
        <v/>
      </c>
      <c r="Q254" s="73" t="str">
        <f t="shared" ref="Q254:Q317" si="100">IF(N254&lt;&gt;"",SUBSTITUTE(RIGHT(N254,FIND(";",N254)),";",""),"")</f>
        <v/>
      </c>
      <c r="R254" s="74" t="str">
        <f t="shared" ref="R254:R317" si="101">IF(O254&lt;&gt;"",SUBSTITUTE(LEFT(O254,FIND(";",O254)),";",""),"")</f>
        <v/>
      </c>
      <c r="S254" s="74" t="str">
        <f t="shared" ref="S254:S317" si="102">IF(O254&lt;&gt;"",IFERROR(IF(FIND("OK",O254)&gt;0,TRUE),FALSE),"")</f>
        <v/>
      </c>
      <c r="U254" s="74" t="str">
        <f t="shared" si="98"/>
        <v/>
      </c>
      <c r="V254" s="74" t="str">
        <f t="shared" si="98"/>
        <v/>
      </c>
      <c r="W254" s="74" t="str">
        <f t="shared" si="98"/>
        <v/>
      </c>
      <c r="X254" s="74" t="str">
        <f t="shared" si="98"/>
        <v/>
      </c>
      <c r="Y254" s="74" t="str">
        <f t="shared" si="98"/>
        <v/>
      </c>
      <c r="Z254" s="74" t="str">
        <f t="shared" ref="Z254:Z317" si="103">IF(G254,E254,"")</f>
        <v/>
      </c>
      <c r="AA254" s="74">
        <f t="shared" ref="AA254:AA317" si="104">IF(G254=FALSE,E254,"")</f>
        <v>0</v>
      </c>
      <c r="AB254" s="74">
        <f t="shared" ref="AB254:AB317" si="105">IF(G254,1,0)</f>
        <v>0</v>
      </c>
      <c r="AC254" s="74" t="str">
        <f t="shared" ref="AC254:AC317" si="106">IF(A254&lt;&gt;"",IF(G254,0,1),"")</f>
        <v/>
      </c>
      <c r="AE254" s="74" t="str">
        <f t="shared" ref="AE254:AE317" si="107">IF(P254&lt;&gt;"",IF(AND(_xlfn.NUMBERVALUE(P254)&gt;25,_xlfn.NUMBERVALUE(P254)&lt;38),TRUE,FALSE),"")</f>
        <v/>
      </c>
      <c r="AF254" s="74" t="str">
        <f t="shared" ref="AF254:AF317" si="108">IF(Q254&lt;&gt;"",IF(AND(_xlfn.NUMBERVALUE(Q254)&gt;25,_xlfn.NUMBERVALUE(Q254)&lt;38),TRUE,FALSE),"")</f>
        <v/>
      </c>
      <c r="AG254" s="74" t="str">
        <f t="shared" ref="AG254:AG317" si="109">IF(R254&lt;&gt;"",IF(AND(_xlfn.NUMBERVALUE(R254)&gt;262,_xlfn.NUMBERVALUE(R254)&lt;307),TRUE,FALSE),"")</f>
        <v/>
      </c>
      <c r="AH254" s="74">
        <f t="shared" ref="AH254:AH317" si="110">IF(OR(AE254=FALSE,AF254=FALSE,AG254=FALSE),1,0)</f>
        <v>0</v>
      </c>
      <c r="AI254" s="74" t="str">
        <f>IF(AH254&lt;&gt;0,COUNTIF(AH$3:AH254,1),"")</f>
        <v/>
      </c>
      <c r="AJ254" s="74">
        <f t="shared" ref="AJ254:AJ317" si="111">L254</f>
        <v>0</v>
      </c>
      <c r="AK254" s="73" t="str">
        <f t="shared" ref="AK254:AK317" si="112">P254</f>
        <v/>
      </c>
      <c r="AL254" s="73" t="str">
        <f t="shared" ref="AL254:AL317" si="113">Q254</f>
        <v/>
      </c>
      <c r="AM254" s="73" t="str">
        <f t="shared" ref="AM254:AM317" si="114">R254</f>
        <v/>
      </c>
      <c r="AN254" s="73" t="str">
        <f t="shared" ref="AN254:AN317" si="115">S254</f>
        <v/>
      </c>
      <c r="AP254" s="61" t="str">
        <f t="shared" si="95"/>
        <v/>
      </c>
      <c r="AQ254" s="61" t="str">
        <f t="shared" si="96"/>
        <v/>
      </c>
      <c r="AR254" s="61" t="str">
        <f t="shared" si="97"/>
        <v/>
      </c>
    </row>
    <row r="255" spans="16:44" x14ac:dyDescent="0.25">
      <c r="P255" s="73" t="str">
        <f t="shared" si="99"/>
        <v/>
      </c>
      <c r="Q255" s="73" t="str">
        <f t="shared" si="100"/>
        <v/>
      </c>
      <c r="R255" s="74" t="str">
        <f t="shared" si="101"/>
        <v/>
      </c>
      <c r="S255" s="74" t="str">
        <f t="shared" si="102"/>
        <v/>
      </c>
      <c r="U255" s="74" t="str">
        <f t="shared" si="98"/>
        <v/>
      </c>
      <c r="V255" s="74" t="str">
        <f t="shared" si="98"/>
        <v/>
      </c>
      <c r="W255" s="74" t="str">
        <f t="shared" si="98"/>
        <v/>
      </c>
      <c r="X255" s="74" t="str">
        <f t="shared" si="98"/>
        <v/>
      </c>
      <c r="Y255" s="74" t="str">
        <f t="shared" si="98"/>
        <v/>
      </c>
      <c r="Z255" s="74" t="str">
        <f t="shared" si="103"/>
        <v/>
      </c>
      <c r="AA255" s="74">
        <f t="shared" si="104"/>
        <v>0</v>
      </c>
      <c r="AB255" s="74">
        <f t="shared" si="105"/>
        <v>0</v>
      </c>
      <c r="AC255" s="74" t="str">
        <f t="shared" si="106"/>
        <v/>
      </c>
      <c r="AE255" s="74" t="str">
        <f t="shared" si="107"/>
        <v/>
      </c>
      <c r="AF255" s="74" t="str">
        <f t="shared" si="108"/>
        <v/>
      </c>
      <c r="AG255" s="74" t="str">
        <f t="shared" si="109"/>
        <v/>
      </c>
      <c r="AH255" s="74">
        <f t="shared" si="110"/>
        <v>0</v>
      </c>
      <c r="AI255" s="74" t="str">
        <f>IF(AH255&lt;&gt;0,COUNTIF(AH$3:AH255,1),"")</f>
        <v/>
      </c>
      <c r="AJ255" s="74">
        <f t="shared" si="111"/>
        <v>0</v>
      </c>
      <c r="AK255" s="73" t="str">
        <f t="shared" si="112"/>
        <v/>
      </c>
      <c r="AL255" s="73" t="str">
        <f t="shared" si="113"/>
        <v/>
      </c>
      <c r="AM255" s="73" t="str">
        <f t="shared" si="114"/>
        <v/>
      </c>
      <c r="AN255" s="73" t="str">
        <f t="shared" si="115"/>
        <v/>
      </c>
      <c r="AP255" s="61" t="str">
        <f t="shared" si="95"/>
        <v/>
      </c>
      <c r="AQ255" s="61" t="str">
        <f t="shared" si="96"/>
        <v/>
      </c>
      <c r="AR255" s="61" t="str">
        <f t="shared" si="97"/>
        <v/>
      </c>
    </row>
    <row r="256" spans="16:44" x14ac:dyDescent="0.25">
      <c r="P256" s="73" t="str">
        <f t="shared" si="99"/>
        <v/>
      </c>
      <c r="Q256" s="73" t="str">
        <f t="shared" si="100"/>
        <v/>
      </c>
      <c r="R256" s="74" t="str">
        <f t="shared" si="101"/>
        <v/>
      </c>
      <c r="S256" s="74" t="str">
        <f t="shared" si="102"/>
        <v/>
      </c>
      <c r="U256" s="74" t="str">
        <f t="shared" si="98"/>
        <v/>
      </c>
      <c r="V256" s="74" t="str">
        <f t="shared" si="98"/>
        <v/>
      </c>
      <c r="W256" s="74" t="str">
        <f t="shared" si="98"/>
        <v/>
      </c>
      <c r="X256" s="74" t="str">
        <f t="shared" si="98"/>
        <v/>
      </c>
      <c r="Y256" s="74" t="str">
        <f t="shared" si="98"/>
        <v/>
      </c>
      <c r="Z256" s="74" t="str">
        <f t="shared" si="103"/>
        <v/>
      </c>
      <c r="AA256" s="74">
        <f t="shared" si="104"/>
        <v>0</v>
      </c>
      <c r="AB256" s="74">
        <f t="shared" si="105"/>
        <v>0</v>
      </c>
      <c r="AC256" s="74" t="str">
        <f t="shared" si="106"/>
        <v/>
      </c>
      <c r="AE256" s="74" t="str">
        <f t="shared" si="107"/>
        <v/>
      </c>
      <c r="AF256" s="74" t="str">
        <f t="shared" si="108"/>
        <v/>
      </c>
      <c r="AG256" s="74" t="str">
        <f t="shared" si="109"/>
        <v/>
      </c>
      <c r="AH256" s="74">
        <f t="shared" si="110"/>
        <v>0</v>
      </c>
      <c r="AI256" s="74" t="str">
        <f>IF(AH256&lt;&gt;0,COUNTIF(AH$3:AH256,1),"")</f>
        <v/>
      </c>
      <c r="AJ256" s="74">
        <f t="shared" si="111"/>
        <v>0</v>
      </c>
      <c r="AK256" s="73" t="str">
        <f t="shared" si="112"/>
        <v/>
      </c>
      <c r="AL256" s="73" t="str">
        <f t="shared" si="113"/>
        <v/>
      </c>
      <c r="AM256" s="73" t="str">
        <f t="shared" si="114"/>
        <v/>
      </c>
      <c r="AN256" s="73" t="str">
        <f t="shared" si="115"/>
        <v/>
      </c>
      <c r="AP256" s="61" t="str">
        <f t="shared" si="95"/>
        <v/>
      </c>
      <c r="AQ256" s="61" t="str">
        <f t="shared" si="96"/>
        <v/>
      </c>
      <c r="AR256" s="61" t="str">
        <f t="shared" si="97"/>
        <v/>
      </c>
    </row>
    <row r="257" spans="16:44" x14ac:dyDescent="0.25">
      <c r="P257" s="73" t="str">
        <f t="shared" si="99"/>
        <v/>
      </c>
      <c r="Q257" s="73" t="str">
        <f t="shared" si="100"/>
        <v/>
      </c>
      <c r="R257" s="74" t="str">
        <f t="shared" si="101"/>
        <v/>
      </c>
      <c r="S257" s="74" t="str">
        <f t="shared" si="102"/>
        <v/>
      </c>
      <c r="U257" s="74" t="str">
        <f t="shared" si="98"/>
        <v/>
      </c>
      <c r="V257" s="74" t="str">
        <f t="shared" si="98"/>
        <v/>
      </c>
      <c r="W257" s="74" t="str">
        <f t="shared" si="98"/>
        <v/>
      </c>
      <c r="X257" s="74" t="str">
        <f t="shared" si="98"/>
        <v/>
      </c>
      <c r="Y257" s="74" t="str">
        <f t="shared" si="98"/>
        <v/>
      </c>
      <c r="Z257" s="74" t="str">
        <f t="shared" si="103"/>
        <v/>
      </c>
      <c r="AA257" s="74">
        <f t="shared" si="104"/>
        <v>0</v>
      </c>
      <c r="AB257" s="74">
        <f t="shared" si="105"/>
        <v>0</v>
      </c>
      <c r="AC257" s="74" t="str">
        <f t="shared" si="106"/>
        <v/>
      </c>
      <c r="AE257" s="74" t="str">
        <f t="shared" si="107"/>
        <v/>
      </c>
      <c r="AF257" s="74" t="str">
        <f t="shared" si="108"/>
        <v/>
      </c>
      <c r="AG257" s="74" t="str">
        <f t="shared" si="109"/>
        <v/>
      </c>
      <c r="AH257" s="74">
        <f t="shared" si="110"/>
        <v>0</v>
      </c>
      <c r="AI257" s="74" t="str">
        <f>IF(AH257&lt;&gt;0,COUNTIF(AH$3:AH257,1),"")</f>
        <v/>
      </c>
      <c r="AJ257" s="74">
        <f t="shared" si="111"/>
        <v>0</v>
      </c>
      <c r="AK257" s="73" t="str">
        <f t="shared" si="112"/>
        <v/>
      </c>
      <c r="AL257" s="73" t="str">
        <f t="shared" si="113"/>
        <v/>
      </c>
      <c r="AM257" s="73" t="str">
        <f t="shared" si="114"/>
        <v/>
      </c>
      <c r="AN257" s="73" t="str">
        <f t="shared" si="115"/>
        <v/>
      </c>
      <c r="AP257" s="61" t="str">
        <f t="shared" si="95"/>
        <v/>
      </c>
      <c r="AQ257" s="61" t="str">
        <f t="shared" si="96"/>
        <v/>
      </c>
      <c r="AR257" s="61" t="str">
        <f t="shared" si="97"/>
        <v/>
      </c>
    </row>
    <row r="258" spans="16:44" x14ac:dyDescent="0.25">
      <c r="P258" s="73" t="str">
        <f t="shared" si="99"/>
        <v/>
      </c>
      <c r="Q258" s="73" t="str">
        <f t="shared" si="100"/>
        <v/>
      </c>
      <c r="R258" s="74" t="str">
        <f t="shared" si="101"/>
        <v/>
      </c>
      <c r="S258" s="74" t="str">
        <f t="shared" si="102"/>
        <v/>
      </c>
      <c r="U258" s="74" t="str">
        <f t="shared" si="98"/>
        <v/>
      </c>
      <c r="V258" s="74" t="str">
        <f t="shared" si="98"/>
        <v/>
      </c>
      <c r="W258" s="74" t="str">
        <f t="shared" si="98"/>
        <v/>
      </c>
      <c r="X258" s="74" t="str">
        <f t="shared" si="98"/>
        <v/>
      </c>
      <c r="Y258" s="74" t="str">
        <f t="shared" si="98"/>
        <v/>
      </c>
      <c r="Z258" s="74" t="str">
        <f t="shared" si="103"/>
        <v/>
      </c>
      <c r="AA258" s="74">
        <f t="shared" si="104"/>
        <v>0</v>
      </c>
      <c r="AB258" s="74">
        <f t="shared" si="105"/>
        <v>0</v>
      </c>
      <c r="AC258" s="74" t="str">
        <f t="shared" si="106"/>
        <v/>
      </c>
      <c r="AE258" s="74" t="str">
        <f t="shared" si="107"/>
        <v/>
      </c>
      <c r="AF258" s="74" t="str">
        <f t="shared" si="108"/>
        <v/>
      </c>
      <c r="AG258" s="74" t="str">
        <f t="shared" si="109"/>
        <v/>
      </c>
      <c r="AH258" s="74">
        <f t="shared" si="110"/>
        <v>0</v>
      </c>
      <c r="AI258" s="74" t="str">
        <f>IF(AH258&lt;&gt;0,COUNTIF(AH$3:AH258,1),"")</f>
        <v/>
      </c>
      <c r="AJ258" s="74">
        <f t="shared" si="111"/>
        <v>0</v>
      </c>
      <c r="AK258" s="73" t="str">
        <f t="shared" si="112"/>
        <v/>
      </c>
      <c r="AL258" s="73" t="str">
        <f t="shared" si="113"/>
        <v/>
      </c>
      <c r="AM258" s="73" t="str">
        <f t="shared" si="114"/>
        <v/>
      </c>
      <c r="AN258" s="73" t="str">
        <f t="shared" si="115"/>
        <v/>
      </c>
      <c r="AP258" s="61" t="str">
        <f t="shared" si="95"/>
        <v/>
      </c>
      <c r="AQ258" s="61" t="str">
        <f t="shared" si="96"/>
        <v/>
      </c>
      <c r="AR258" s="61" t="str">
        <f t="shared" si="97"/>
        <v/>
      </c>
    </row>
    <row r="259" spans="16:44" x14ac:dyDescent="0.25">
      <c r="P259" s="73" t="str">
        <f t="shared" si="99"/>
        <v/>
      </c>
      <c r="Q259" s="73" t="str">
        <f t="shared" si="100"/>
        <v/>
      </c>
      <c r="R259" s="74" t="str">
        <f t="shared" si="101"/>
        <v/>
      </c>
      <c r="S259" s="74" t="str">
        <f t="shared" si="102"/>
        <v/>
      </c>
      <c r="U259" s="74" t="str">
        <f t="shared" si="98"/>
        <v/>
      </c>
      <c r="V259" s="74" t="str">
        <f t="shared" si="98"/>
        <v/>
      </c>
      <c r="W259" s="74" t="str">
        <f t="shared" si="98"/>
        <v/>
      </c>
      <c r="X259" s="74" t="str">
        <f t="shared" si="98"/>
        <v/>
      </c>
      <c r="Y259" s="74" t="str">
        <f t="shared" si="98"/>
        <v/>
      </c>
      <c r="Z259" s="74" t="str">
        <f t="shared" si="103"/>
        <v/>
      </c>
      <c r="AA259" s="74">
        <f t="shared" si="104"/>
        <v>0</v>
      </c>
      <c r="AB259" s="74">
        <f t="shared" si="105"/>
        <v>0</v>
      </c>
      <c r="AC259" s="74" t="str">
        <f t="shared" si="106"/>
        <v/>
      </c>
      <c r="AE259" s="74" t="str">
        <f t="shared" si="107"/>
        <v/>
      </c>
      <c r="AF259" s="74" t="str">
        <f t="shared" si="108"/>
        <v/>
      </c>
      <c r="AG259" s="74" t="str">
        <f t="shared" si="109"/>
        <v/>
      </c>
      <c r="AH259" s="74">
        <f t="shared" si="110"/>
        <v>0</v>
      </c>
      <c r="AI259" s="74" t="str">
        <f>IF(AH259&lt;&gt;0,COUNTIF(AH$3:AH259,1),"")</f>
        <v/>
      </c>
      <c r="AJ259" s="74">
        <f t="shared" si="111"/>
        <v>0</v>
      </c>
      <c r="AK259" s="73" t="str">
        <f t="shared" si="112"/>
        <v/>
      </c>
      <c r="AL259" s="73" t="str">
        <f t="shared" si="113"/>
        <v/>
      </c>
      <c r="AM259" s="73" t="str">
        <f t="shared" si="114"/>
        <v/>
      </c>
      <c r="AN259" s="73" t="str">
        <f t="shared" si="115"/>
        <v/>
      </c>
      <c r="AP259" s="61" t="str">
        <f t="shared" si="95"/>
        <v/>
      </c>
      <c r="AQ259" s="61" t="str">
        <f t="shared" si="96"/>
        <v/>
      </c>
      <c r="AR259" s="61" t="str">
        <f t="shared" si="97"/>
        <v/>
      </c>
    </row>
    <row r="260" spans="16:44" x14ac:dyDescent="0.25">
      <c r="P260" s="73" t="str">
        <f t="shared" si="99"/>
        <v/>
      </c>
      <c r="Q260" s="73" t="str">
        <f t="shared" si="100"/>
        <v/>
      </c>
      <c r="R260" s="74" t="str">
        <f t="shared" si="101"/>
        <v/>
      </c>
      <c r="S260" s="74" t="str">
        <f t="shared" si="102"/>
        <v/>
      </c>
      <c r="U260" s="74" t="str">
        <f t="shared" si="98"/>
        <v/>
      </c>
      <c r="V260" s="74" t="str">
        <f t="shared" si="98"/>
        <v/>
      </c>
      <c r="W260" s="74" t="str">
        <f t="shared" si="98"/>
        <v/>
      </c>
      <c r="X260" s="74" t="str">
        <f t="shared" si="98"/>
        <v/>
      </c>
      <c r="Y260" s="74" t="str">
        <f t="shared" si="98"/>
        <v/>
      </c>
      <c r="Z260" s="74" t="str">
        <f t="shared" si="103"/>
        <v/>
      </c>
      <c r="AA260" s="74">
        <f t="shared" si="104"/>
        <v>0</v>
      </c>
      <c r="AB260" s="74">
        <f t="shared" si="105"/>
        <v>0</v>
      </c>
      <c r="AC260" s="74" t="str">
        <f t="shared" si="106"/>
        <v/>
      </c>
      <c r="AE260" s="74" t="str">
        <f t="shared" si="107"/>
        <v/>
      </c>
      <c r="AF260" s="74" t="str">
        <f t="shared" si="108"/>
        <v/>
      </c>
      <c r="AG260" s="74" t="str">
        <f t="shared" si="109"/>
        <v/>
      </c>
      <c r="AH260" s="74">
        <f t="shared" si="110"/>
        <v>0</v>
      </c>
      <c r="AI260" s="74" t="str">
        <f>IF(AH260&lt;&gt;0,COUNTIF(AH$3:AH260,1),"")</f>
        <v/>
      </c>
      <c r="AJ260" s="74">
        <f t="shared" si="111"/>
        <v>0</v>
      </c>
      <c r="AK260" s="73" t="str">
        <f t="shared" si="112"/>
        <v/>
      </c>
      <c r="AL260" s="73" t="str">
        <f t="shared" si="113"/>
        <v/>
      </c>
      <c r="AM260" s="73" t="str">
        <f t="shared" si="114"/>
        <v/>
      </c>
      <c r="AN260" s="73" t="str">
        <f t="shared" si="115"/>
        <v/>
      </c>
      <c r="AP260" s="61" t="str">
        <f t="shared" ref="AP260:AP323" si="116">IF(P260&lt;&gt;"",_xlfn.NUMBERVALUE(P260),"")</f>
        <v/>
      </c>
      <c r="AQ260" s="61" t="str">
        <f t="shared" ref="AQ260:AQ323" si="117">IF(Q260&lt;&gt;"",_xlfn.NUMBERVALUE(Q260),"")</f>
        <v/>
      </c>
      <c r="AR260" s="61" t="str">
        <f t="shared" ref="AR260:AR323" si="118">IF(R260&lt;&gt;"",_xlfn.NUMBERVALUE(R260),"")</f>
        <v/>
      </c>
    </row>
    <row r="261" spans="16:44" x14ac:dyDescent="0.25">
      <c r="P261" s="73" t="str">
        <f t="shared" si="99"/>
        <v/>
      </c>
      <c r="Q261" s="73" t="str">
        <f t="shared" si="100"/>
        <v/>
      </c>
      <c r="R261" s="74" t="str">
        <f t="shared" si="101"/>
        <v/>
      </c>
      <c r="S261" s="74" t="str">
        <f t="shared" si="102"/>
        <v/>
      </c>
      <c r="U261" s="74" t="str">
        <f t="shared" si="98"/>
        <v/>
      </c>
      <c r="V261" s="74" t="str">
        <f t="shared" si="98"/>
        <v/>
      </c>
      <c r="W261" s="74" t="str">
        <f t="shared" si="98"/>
        <v/>
      </c>
      <c r="X261" s="74" t="str">
        <f t="shared" si="98"/>
        <v/>
      </c>
      <c r="Y261" s="74" t="str">
        <f t="shared" si="98"/>
        <v/>
      </c>
      <c r="Z261" s="74" t="str">
        <f t="shared" si="103"/>
        <v/>
      </c>
      <c r="AA261" s="74">
        <f t="shared" si="104"/>
        <v>0</v>
      </c>
      <c r="AB261" s="74">
        <f t="shared" si="105"/>
        <v>0</v>
      </c>
      <c r="AC261" s="74" t="str">
        <f t="shared" si="106"/>
        <v/>
      </c>
      <c r="AE261" s="74" t="str">
        <f t="shared" si="107"/>
        <v/>
      </c>
      <c r="AF261" s="74" t="str">
        <f t="shared" si="108"/>
        <v/>
      </c>
      <c r="AG261" s="74" t="str">
        <f t="shared" si="109"/>
        <v/>
      </c>
      <c r="AH261" s="74">
        <f t="shared" si="110"/>
        <v>0</v>
      </c>
      <c r="AI261" s="74" t="str">
        <f>IF(AH261&lt;&gt;0,COUNTIF(AH$3:AH261,1),"")</f>
        <v/>
      </c>
      <c r="AJ261" s="74">
        <f t="shared" si="111"/>
        <v>0</v>
      </c>
      <c r="AK261" s="73" t="str">
        <f t="shared" si="112"/>
        <v/>
      </c>
      <c r="AL261" s="73" t="str">
        <f t="shared" si="113"/>
        <v/>
      </c>
      <c r="AM261" s="73" t="str">
        <f t="shared" si="114"/>
        <v/>
      </c>
      <c r="AN261" s="73" t="str">
        <f t="shared" si="115"/>
        <v/>
      </c>
      <c r="AP261" s="61" t="str">
        <f t="shared" si="116"/>
        <v/>
      </c>
      <c r="AQ261" s="61" t="str">
        <f t="shared" si="117"/>
        <v/>
      </c>
      <c r="AR261" s="61" t="str">
        <f t="shared" si="118"/>
        <v/>
      </c>
    </row>
    <row r="262" spans="16:44" x14ac:dyDescent="0.25">
      <c r="P262" s="73" t="str">
        <f t="shared" si="99"/>
        <v/>
      </c>
      <c r="Q262" s="73" t="str">
        <f t="shared" si="100"/>
        <v/>
      </c>
      <c r="R262" s="74" t="str">
        <f t="shared" si="101"/>
        <v/>
      </c>
      <c r="S262" s="74" t="str">
        <f t="shared" si="102"/>
        <v/>
      </c>
      <c r="U262" s="74" t="str">
        <f t="shared" si="98"/>
        <v/>
      </c>
      <c r="V262" s="74" t="str">
        <f t="shared" si="98"/>
        <v/>
      </c>
      <c r="W262" s="74" t="str">
        <f t="shared" si="98"/>
        <v/>
      </c>
      <c r="X262" s="74" t="str">
        <f t="shared" si="98"/>
        <v/>
      </c>
      <c r="Y262" s="74" t="str">
        <f t="shared" si="98"/>
        <v/>
      </c>
      <c r="Z262" s="74" t="str">
        <f t="shared" si="103"/>
        <v/>
      </c>
      <c r="AA262" s="74">
        <f t="shared" si="104"/>
        <v>0</v>
      </c>
      <c r="AB262" s="74">
        <f t="shared" si="105"/>
        <v>0</v>
      </c>
      <c r="AC262" s="74" t="str">
        <f t="shared" si="106"/>
        <v/>
      </c>
      <c r="AE262" s="74" t="str">
        <f t="shared" si="107"/>
        <v/>
      </c>
      <c r="AF262" s="74" t="str">
        <f t="shared" si="108"/>
        <v/>
      </c>
      <c r="AG262" s="74" t="str">
        <f t="shared" si="109"/>
        <v/>
      </c>
      <c r="AH262" s="74">
        <f t="shared" si="110"/>
        <v>0</v>
      </c>
      <c r="AI262" s="74" t="str">
        <f>IF(AH262&lt;&gt;0,COUNTIF(AH$3:AH262,1),"")</f>
        <v/>
      </c>
      <c r="AJ262" s="74">
        <f t="shared" si="111"/>
        <v>0</v>
      </c>
      <c r="AK262" s="73" t="str">
        <f t="shared" si="112"/>
        <v/>
      </c>
      <c r="AL262" s="73" t="str">
        <f t="shared" si="113"/>
        <v/>
      </c>
      <c r="AM262" s="73" t="str">
        <f t="shared" si="114"/>
        <v/>
      </c>
      <c r="AN262" s="73" t="str">
        <f t="shared" si="115"/>
        <v/>
      </c>
      <c r="AP262" s="61" t="str">
        <f t="shared" si="116"/>
        <v/>
      </c>
      <c r="AQ262" s="61" t="str">
        <f t="shared" si="117"/>
        <v/>
      </c>
      <c r="AR262" s="61" t="str">
        <f t="shared" si="118"/>
        <v/>
      </c>
    </row>
    <row r="263" spans="16:44" x14ac:dyDescent="0.25">
      <c r="P263" s="73" t="str">
        <f t="shared" si="99"/>
        <v/>
      </c>
      <c r="Q263" s="73" t="str">
        <f t="shared" si="100"/>
        <v/>
      </c>
      <c r="R263" s="74" t="str">
        <f t="shared" si="101"/>
        <v/>
      </c>
      <c r="S263" s="74" t="str">
        <f t="shared" si="102"/>
        <v/>
      </c>
      <c r="U263" s="74" t="str">
        <f t="shared" si="98"/>
        <v/>
      </c>
      <c r="V263" s="74" t="str">
        <f t="shared" si="98"/>
        <v/>
      </c>
      <c r="W263" s="74" t="str">
        <f t="shared" si="98"/>
        <v/>
      </c>
      <c r="X263" s="74" t="str">
        <f t="shared" si="98"/>
        <v/>
      </c>
      <c r="Y263" s="74" t="str">
        <f t="shared" si="98"/>
        <v/>
      </c>
      <c r="Z263" s="74" t="str">
        <f t="shared" si="103"/>
        <v/>
      </c>
      <c r="AA263" s="74">
        <f t="shared" si="104"/>
        <v>0</v>
      </c>
      <c r="AB263" s="74">
        <f t="shared" si="105"/>
        <v>0</v>
      </c>
      <c r="AC263" s="74" t="str">
        <f t="shared" si="106"/>
        <v/>
      </c>
      <c r="AE263" s="74" t="str">
        <f t="shared" si="107"/>
        <v/>
      </c>
      <c r="AF263" s="74" t="str">
        <f t="shared" si="108"/>
        <v/>
      </c>
      <c r="AG263" s="74" t="str">
        <f t="shared" si="109"/>
        <v/>
      </c>
      <c r="AH263" s="74">
        <f t="shared" si="110"/>
        <v>0</v>
      </c>
      <c r="AI263" s="74" t="str">
        <f>IF(AH263&lt;&gt;0,COUNTIF(AH$3:AH263,1),"")</f>
        <v/>
      </c>
      <c r="AJ263" s="74">
        <f t="shared" si="111"/>
        <v>0</v>
      </c>
      <c r="AK263" s="73" t="str">
        <f t="shared" si="112"/>
        <v/>
      </c>
      <c r="AL263" s="73" t="str">
        <f t="shared" si="113"/>
        <v/>
      </c>
      <c r="AM263" s="73" t="str">
        <f t="shared" si="114"/>
        <v/>
      </c>
      <c r="AN263" s="73" t="str">
        <f t="shared" si="115"/>
        <v/>
      </c>
      <c r="AP263" s="61" t="str">
        <f t="shared" si="116"/>
        <v/>
      </c>
      <c r="AQ263" s="61" t="str">
        <f t="shared" si="117"/>
        <v/>
      </c>
      <c r="AR263" s="61" t="str">
        <f t="shared" si="118"/>
        <v/>
      </c>
    </row>
    <row r="264" spans="16:44" x14ac:dyDescent="0.25">
      <c r="P264" s="73" t="str">
        <f t="shared" si="99"/>
        <v/>
      </c>
      <c r="Q264" s="73" t="str">
        <f t="shared" si="100"/>
        <v/>
      </c>
      <c r="R264" s="74" t="str">
        <f t="shared" si="101"/>
        <v/>
      </c>
      <c r="S264" s="74" t="str">
        <f t="shared" si="102"/>
        <v/>
      </c>
      <c r="U264" s="74" t="str">
        <f t="shared" si="98"/>
        <v/>
      </c>
      <c r="V264" s="74" t="str">
        <f t="shared" si="98"/>
        <v/>
      </c>
      <c r="W264" s="74" t="str">
        <f t="shared" si="98"/>
        <v/>
      </c>
      <c r="X264" s="74" t="str">
        <f t="shared" si="98"/>
        <v/>
      </c>
      <c r="Y264" s="74" t="str">
        <f t="shared" si="98"/>
        <v/>
      </c>
      <c r="Z264" s="74" t="str">
        <f t="shared" si="103"/>
        <v/>
      </c>
      <c r="AA264" s="74">
        <f t="shared" si="104"/>
        <v>0</v>
      </c>
      <c r="AB264" s="74">
        <f t="shared" si="105"/>
        <v>0</v>
      </c>
      <c r="AC264" s="74" t="str">
        <f t="shared" si="106"/>
        <v/>
      </c>
      <c r="AE264" s="74" t="str">
        <f t="shared" si="107"/>
        <v/>
      </c>
      <c r="AF264" s="74" t="str">
        <f t="shared" si="108"/>
        <v/>
      </c>
      <c r="AG264" s="74" t="str">
        <f t="shared" si="109"/>
        <v/>
      </c>
      <c r="AH264" s="74">
        <f t="shared" si="110"/>
        <v>0</v>
      </c>
      <c r="AI264" s="74" t="str">
        <f>IF(AH264&lt;&gt;0,COUNTIF(AH$3:AH264,1),"")</f>
        <v/>
      </c>
      <c r="AJ264" s="74">
        <f t="shared" si="111"/>
        <v>0</v>
      </c>
      <c r="AK264" s="73" t="str">
        <f t="shared" si="112"/>
        <v/>
      </c>
      <c r="AL264" s="73" t="str">
        <f t="shared" si="113"/>
        <v/>
      </c>
      <c r="AM264" s="73" t="str">
        <f t="shared" si="114"/>
        <v/>
      </c>
      <c r="AN264" s="73" t="str">
        <f t="shared" si="115"/>
        <v/>
      </c>
      <c r="AP264" s="61" t="str">
        <f t="shared" si="116"/>
        <v/>
      </c>
      <c r="AQ264" s="61" t="str">
        <f t="shared" si="117"/>
        <v/>
      </c>
      <c r="AR264" s="61" t="str">
        <f t="shared" si="118"/>
        <v/>
      </c>
    </row>
    <row r="265" spans="16:44" x14ac:dyDescent="0.25">
      <c r="P265" s="73" t="str">
        <f t="shared" si="99"/>
        <v/>
      </c>
      <c r="Q265" s="73" t="str">
        <f t="shared" si="100"/>
        <v/>
      </c>
      <c r="R265" s="74" t="str">
        <f t="shared" si="101"/>
        <v/>
      </c>
      <c r="S265" s="74" t="str">
        <f t="shared" si="102"/>
        <v/>
      </c>
      <c r="U265" s="74" t="str">
        <f t="shared" si="98"/>
        <v/>
      </c>
      <c r="V265" s="74" t="str">
        <f t="shared" si="98"/>
        <v/>
      </c>
      <c r="W265" s="74" t="str">
        <f t="shared" si="98"/>
        <v/>
      </c>
      <c r="X265" s="74" t="str">
        <f t="shared" si="98"/>
        <v/>
      </c>
      <c r="Y265" s="74" t="str">
        <f t="shared" si="98"/>
        <v/>
      </c>
      <c r="Z265" s="74" t="str">
        <f t="shared" si="103"/>
        <v/>
      </c>
      <c r="AA265" s="74">
        <f t="shared" si="104"/>
        <v>0</v>
      </c>
      <c r="AB265" s="74">
        <f t="shared" si="105"/>
        <v>0</v>
      </c>
      <c r="AC265" s="74" t="str">
        <f t="shared" si="106"/>
        <v/>
      </c>
      <c r="AE265" s="74" t="str">
        <f t="shared" si="107"/>
        <v/>
      </c>
      <c r="AF265" s="74" t="str">
        <f t="shared" si="108"/>
        <v/>
      </c>
      <c r="AG265" s="74" t="str">
        <f t="shared" si="109"/>
        <v/>
      </c>
      <c r="AH265" s="74">
        <f t="shared" si="110"/>
        <v>0</v>
      </c>
      <c r="AI265" s="74" t="str">
        <f>IF(AH265&lt;&gt;0,COUNTIF(AH$3:AH265,1),"")</f>
        <v/>
      </c>
      <c r="AJ265" s="74">
        <f t="shared" si="111"/>
        <v>0</v>
      </c>
      <c r="AK265" s="73" t="str">
        <f t="shared" si="112"/>
        <v/>
      </c>
      <c r="AL265" s="73" t="str">
        <f t="shared" si="113"/>
        <v/>
      </c>
      <c r="AM265" s="73" t="str">
        <f t="shared" si="114"/>
        <v/>
      </c>
      <c r="AN265" s="73" t="str">
        <f t="shared" si="115"/>
        <v/>
      </c>
      <c r="AP265" s="61" t="str">
        <f t="shared" si="116"/>
        <v/>
      </c>
      <c r="AQ265" s="61" t="str">
        <f t="shared" si="117"/>
        <v/>
      </c>
      <c r="AR265" s="61" t="str">
        <f t="shared" si="118"/>
        <v/>
      </c>
    </row>
    <row r="266" spans="16:44" x14ac:dyDescent="0.25">
      <c r="P266" s="73" t="str">
        <f t="shared" si="99"/>
        <v/>
      </c>
      <c r="Q266" s="73" t="str">
        <f t="shared" si="100"/>
        <v/>
      </c>
      <c r="R266" s="74" t="str">
        <f t="shared" si="101"/>
        <v/>
      </c>
      <c r="S266" s="74" t="str">
        <f t="shared" si="102"/>
        <v/>
      </c>
      <c r="U266" s="74" t="str">
        <f t="shared" si="98"/>
        <v/>
      </c>
      <c r="V266" s="74" t="str">
        <f t="shared" si="98"/>
        <v/>
      </c>
      <c r="W266" s="74" t="str">
        <f t="shared" si="98"/>
        <v/>
      </c>
      <c r="X266" s="74" t="str">
        <f t="shared" si="98"/>
        <v/>
      </c>
      <c r="Y266" s="74" t="str">
        <f t="shared" si="98"/>
        <v/>
      </c>
      <c r="Z266" s="74" t="str">
        <f t="shared" si="103"/>
        <v/>
      </c>
      <c r="AA266" s="74">
        <f t="shared" si="104"/>
        <v>0</v>
      </c>
      <c r="AB266" s="74">
        <f t="shared" si="105"/>
        <v>0</v>
      </c>
      <c r="AC266" s="74" t="str">
        <f t="shared" si="106"/>
        <v/>
      </c>
      <c r="AE266" s="74" t="str">
        <f t="shared" si="107"/>
        <v/>
      </c>
      <c r="AF266" s="74" t="str">
        <f t="shared" si="108"/>
        <v/>
      </c>
      <c r="AG266" s="74" t="str">
        <f t="shared" si="109"/>
        <v/>
      </c>
      <c r="AH266" s="74">
        <f t="shared" si="110"/>
        <v>0</v>
      </c>
      <c r="AI266" s="74" t="str">
        <f>IF(AH266&lt;&gt;0,COUNTIF(AH$3:AH266,1),"")</f>
        <v/>
      </c>
      <c r="AJ266" s="74">
        <f t="shared" si="111"/>
        <v>0</v>
      </c>
      <c r="AK266" s="73" t="str">
        <f t="shared" si="112"/>
        <v/>
      </c>
      <c r="AL266" s="73" t="str">
        <f t="shared" si="113"/>
        <v/>
      </c>
      <c r="AM266" s="73" t="str">
        <f t="shared" si="114"/>
        <v/>
      </c>
      <c r="AN266" s="73" t="str">
        <f t="shared" si="115"/>
        <v/>
      </c>
      <c r="AP266" s="61" t="str">
        <f t="shared" si="116"/>
        <v/>
      </c>
      <c r="AQ266" s="61" t="str">
        <f t="shared" si="117"/>
        <v/>
      </c>
      <c r="AR266" s="61" t="str">
        <f t="shared" si="118"/>
        <v/>
      </c>
    </row>
    <row r="267" spans="16:44" x14ac:dyDescent="0.25">
      <c r="P267" s="73" t="str">
        <f t="shared" si="99"/>
        <v/>
      </c>
      <c r="Q267" s="73" t="str">
        <f t="shared" si="100"/>
        <v/>
      </c>
      <c r="R267" s="74" t="str">
        <f t="shared" si="101"/>
        <v/>
      </c>
      <c r="S267" s="74" t="str">
        <f t="shared" si="102"/>
        <v/>
      </c>
      <c r="U267" s="74" t="str">
        <f t="shared" si="98"/>
        <v/>
      </c>
      <c r="V267" s="74" t="str">
        <f t="shared" si="98"/>
        <v/>
      </c>
      <c r="W267" s="74" t="str">
        <f t="shared" si="98"/>
        <v/>
      </c>
      <c r="X267" s="74" t="str">
        <f t="shared" si="98"/>
        <v/>
      </c>
      <c r="Y267" s="74" t="str">
        <f t="shared" si="98"/>
        <v/>
      </c>
      <c r="Z267" s="74" t="str">
        <f t="shared" si="103"/>
        <v/>
      </c>
      <c r="AA267" s="74">
        <f t="shared" si="104"/>
        <v>0</v>
      </c>
      <c r="AB267" s="74">
        <f t="shared" si="105"/>
        <v>0</v>
      </c>
      <c r="AC267" s="74" t="str">
        <f t="shared" si="106"/>
        <v/>
      </c>
      <c r="AE267" s="74" t="str">
        <f t="shared" si="107"/>
        <v/>
      </c>
      <c r="AF267" s="74" t="str">
        <f t="shared" si="108"/>
        <v/>
      </c>
      <c r="AG267" s="74" t="str">
        <f t="shared" si="109"/>
        <v/>
      </c>
      <c r="AH267" s="74">
        <f t="shared" si="110"/>
        <v>0</v>
      </c>
      <c r="AI267" s="74" t="str">
        <f>IF(AH267&lt;&gt;0,COUNTIF(AH$3:AH267,1),"")</f>
        <v/>
      </c>
      <c r="AJ267" s="74">
        <f t="shared" si="111"/>
        <v>0</v>
      </c>
      <c r="AK267" s="73" t="str">
        <f t="shared" si="112"/>
        <v/>
      </c>
      <c r="AL267" s="73" t="str">
        <f t="shared" si="113"/>
        <v/>
      </c>
      <c r="AM267" s="73" t="str">
        <f t="shared" si="114"/>
        <v/>
      </c>
      <c r="AN267" s="73" t="str">
        <f t="shared" si="115"/>
        <v/>
      </c>
      <c r="AP267" s="61" t="str">
        <f t="shared" si="116"/>
        <v/>
      </c>
      <c r="AQ267" s="61" t="str">
        <f t="shared" si="117"/>
        <v/>
      </c>
      <c r="AR267" s="61" t="str">
        <f t="shared" si="118"/>
        <v/>
      </c>
    </row>
    <row r="268" spans="16:44" x14ac:dyDescent="0.25">
      <c r="P268" s="73" t="str">
        <f t="shared" si="99"/>
        <v/>
      </c>
      <c r="Q268" s="73" t="str">
        <f t="shared" si="100"/>
        <v/>
      </c>
      <c r="R268" s="74" t="str">
        <f t="shared" si="101"/>
        <v/>
      </c>
      <c r="S268" s="74" t="str">
        <f t="shared" si="102"/>
        <v/>
      </c>
      <c r="U268" s="74" t="str">
        <f t="shared" si="98"/>
        <v/>
      </c>
      <c r="V268" s="74" t="str">
        <f t="shared" si="98"/>
        <v/>
      </c>
      <c r="W268" s="74" t="str">
        <f t="shared" si="98"/>
        <v/>
      </c>
      <c r="X268" s="74" t="str">
        <f t="shared" si="98"/>
        <v/>
      </c>
      <c r="Y268" s="74" t="str">
        <f t="shared" si="98"/>
        <v/>
      </c>
      <c r="Z268" s="74" t="str">
        <f t="shared" si="103"/>
        <v/>
      </c>
      <c r="AA268" s="74">
        <f t="shared" si="104"/>
        <v>0</v>
      </c>
      <c r="AB268" s="74">
        <f t="shared" si="105"/>
        <v>0</v>
      </c>
      <c r="AC268" s="74" t="str">
        <f t="shared" si="106"/>
        <v/>
      </c>
      <c r="AE268" s="74" t="str">
        <f t="shared" si="107"/>
        <v/>
      </c>
      <c r="AF268" s="74" t="str">
        <f t="shared" si="108"/>
        <v/>
      </c>
      <c r="AG268" s="74" t="str">
        <f t="shared" si="109"/>
        <v/>
      </c>
      <c r="AH268" s="74">
        <f t="shared" si="110"/>
        <v>0</v>
      </c>
      <c r="AI268" s="74" t="str">
        <f>IF(AH268&lt;&gt;0,COUNTIF(AH$3:AH268,1),"")</f>
        <v/>
      </c>
      <c r="AJ268" s="74">
        <f t="shared" si="111"/>
        <v>0</v>
      </c>
      <c r="AK268" s="73" t="str">
        <f t="shared" si="112"/>
        <v/>
      </c>
      <c r="AL268" s="73" t="str">
        <f t="shared" si="113"/>
        <v/>
      </c>
      <c r="AM268" s="73" t="str">
        <f t="shared" si="114"/>
        <v/>
      </c>
      <c r="AN268" s="73" t="str">
        <f t="shared" si="115"/>
        <v/>
      </c>
      <c r="AP268" s="61" t="str">
        <f t="shared" si="116"/>
        <v/>
      </c>
      <c r="AQ268" s="61" t="str">
        <f t="shared" si="117"/>
        <v/>
      </c>
      <c r="AR268" s="61" t="str">
        <f t="shared" si="118"/>
        <v/>
      </c>
    </row>
    <row r="269" spans="16:44" x14ac:dyDescent="0.25">
      <c r="P269" s="73" t="str">
        <f t="shared" si="99"/>
        <v/>
      </c>
      <c r="Q269" s="73" t="str">
        <f t="shared" si="100"/>
        <v/>
      </c>
      <c r="R269" s="74" t="str">
        <f t="shared" si="101"/>
        <v/>
      </c>
      <c r="S269" s="74" t="str">
        <f t="shared" si="102"/>
        <v/>
      </c>
      <c r="U269" s="74" t="str">
        <f t="shared" si="98"/>
        <v/>
      </c>
      <c r="V269" s="74" t="str">
        <f t="shared" si="98"/>
        <v/>
      </c>
      <c r="W269" s="74" t="str">
        <f t="shared" si="98"/>
        <v/>
      </c>
      <c r="X269" s="74" t="str">
        <f t="shared" si="98"/>
        <v/>
      </c>
      <c r="Y269" s="74" t="str">
        <f t="shared" si="98"/>
        <v/>
      </c>
      <c r="Z269" s="74" t="str">
        <f t="shared" si="103"/>
        <v/>
      </c>
      <c r="AA269" s="74">
        <f t="shared" si="104"/>
        <v>0</v>
      </c>
      <c r="AB269" s="74">
        <f t="shared" si="105"/>
        <v>0</v>
      </c>
      <c r="AC269" s="74" t="str">
        <f t="shared" si="106"/>
        <v/>
      </c>
      <c r="AE269" s="74" t="str">
        <f t="shared" si="107"/>
        <v/>
      </c>
      <c r="AF269" s="74" t="str">
        <f t="shared" si="108"/>
        <v/>
      </c>
      <c r="AG269" s="74" t="str">
        <f t="shared" si="109"/>
        <v/>
      </c>
      <c r="AH269" s="74">
        <f t="shared" si="110"/>
        <v>0</v>
      </c>
      <c r="AI269" s="74" t="str">
        <f>IF(AH269&lt;&gt;0,COUNTIF(AH$3:AH269,1),"")</f>
        <v/>
      </c>
      <c r="AJ269" s="74">
        <f t="shared" si="111"/>
        <v>0</v>
      </c>
      <c r="AK269" s="73" t="str">
        <f t="shared" si="112"/>
        <v/>
      </c>
      <c r="AL269" s="73" t="str">
        <f t="shared" si="113"/>
        <v/>
      </c>
      <c r="AM269" s="73" t="str">
        <f t="shared" si="114"/>
        <v/>
      </c>
      <c r="AN269" s="73" t="str">
        <f t="shared" si="115"/>
        <v/>
      </c>
      <c r="AP269" s="61" t="str">
        <f t="shared" si="116"/>
        <v/>
      </c>
      <c r="AQ269" s="61" t="str">
        <f t="shared" si="117"/>
        <v/>
      </c>
      <c r="AR269" s="61" t="str">
        <f t="shared" si="118"/>
        <v/>
      </c>
    </row>
    <row r="270" spans="16:44" x14ac:dyDescent="0.25">
      <c r="P270" s="73" t="str">
        <f t="shared" si="99"/>
        <v/>
      </c>
      <c r="Q270" s="73" t="str">
        <f t="shared" si="100"/>
        <v/>
      </c>
      <c r="R270" s="74" t="str">
        <f t="shared" si="101"/>
        <v/>
      </c>
      <c r="S270" s="74" t="str">
        <f t="shared" si="102"/>
        <v/>
      </c>
      <c r="U270" s="74" t="str">
        <f t="shared" si="98"/>
        <v/>
      </c>
      <c r="V270" s="74" t="str">
        <f t="shared" si="98"/>
        <v/>
      </c>
      <c r="W270" s="74" t="str">
        <f t="shared" si="98"/>
        <v/>
      </c>
      <c r="X270" s="74" t="str">
        <f t="shared" si="98"/>
        <v/>
      </c>
      <c r="Y270" s="74" t="str">
        <f t="shared" si="98"/>
        <v/>
      </c>
      <c r="Z270" s="74" t="str">
        <f t="shared" si="103"/>
        <v/>
      </c>
      <c r="AA270" s="74">
        <f t="shared" si="104"/>
        <v>0</v>
      </c>
      <c r="AB270" s="74">
        <f t="shared" si="105"/>
        <v>0</v>
      </c>
      <c r="AC270" s="74" t="str">
        <f t="shared" si="106"/>
        <v/>
      </c>
      <c r="AE270" s="74" t="str">
        <f t="shared" si="107"/>
        <v/>
      </c>
      <c r="AF270" s="74" t="str">
        <f t="shared" si="108"/>
        <v/>
      </c>
      <c r="AG270" s="74" t="str">
        <f t="shared" si="109"/>
        <v/>
      </c>
      <c r="AH270" s="74">
        <f t="shared" si="110"/>
        <v>0</v>
      </c>
      <c r="AI270" s="74" t="str">
        <f>IF(AH270&lt;&gt;0,COUNTIF(AH$3:AH270,1),"")</f>
        <v/>
      </c>
      <c r="AJ270" s="74">
        <f t="shared" si="111"/>
        <v>0</v>
      </c>
      <c r="AK270" s="73" t="str">
        <f t="shared" si="112"/>
        <v/>
      </c>
      <c r="AL270" s="73" t="str">
        <f t="shared" si="113"/>
        <v/>
      </c>
      <c r="AM270" s="73" t="str">
        <f t="shared" si="114"/>
        <v/>
      </c>
      <c r="AN270" s="73" t="str">
        <f t="shared" si="115"/>
        <v/>
      </c>
      <c r="AP270" s="61" t="str">
        <f t="shared" si="116"/>
        <v/>
      </c>
      <c r="AQ270" s="61" t="str">
        <f t="shared" si="117"/>
        <v/>
      </c>
      <c r="AR270" s="61" t="str">
        <f t="shared" si="118"/>
        <v/>
      </c>
    </row>
    <row r="271" spans="16:44" x14ac:dyDescent="0.25">
      <c r="P271" s="73" t="str">
        <f t="shared" si="99"/>
        <v/>
      </c>
      <c r="Q271" s="73" t="str">
        <f t="shared" si="100"/>
        <v/>
      </c>
      <c r="R271" s="74" t="str">
        <f t="shared" si="101"/>
        <v/>
      </c>
      <c r="S271" s="74" t="str">
        <f t="shared" si="102"/>
        <v/>
      </c>
      <c r="U271" s="74" t="str">
        <f t="shared" si="98"/>
        <v/>
      </c>
      <c r="V271" s="74" t="str">
        <f t="shared" si="98"/>
        <v/>
      </c>
      <c r="W271" s="74" t="str">
        <f t="shared" si="98"/>
        <v/>
      </c>
      <c r="X271" s="74" t="str">
        <f t="shared" si="98"/>
        <v/>
      </c>
      <c r="Y271" s="74" t="str">
        <f t="shared" si="98"/>
        <v/>
      </c>
      <c r="Z271" s="74" t="str">
        <f t="shared" si="103"/>
        <v/>
      </c>
      <c r="AA271" s="74">
        <f t="shared" si="104"/>
        <v>0</v>
      </c>
      <c r="AB271" s="74">
        <f t="shared" si="105"/>
        <v>0</v>
      </c>
      <c r="AC271" s="74" t="str">
        <f t="shared" si="106"/>
        <v/>
      </c>
      <c r="AE271" s="74" t="str">
        <f t="shared" si="107"/>
        <v/>
      </c>
      <c r="AF271" s="74" t="str">
        <f t="shared" si="108"/>
        <v/>
      </c>
      <c r="AG271" s="74" t="str">
        <f t="shared" si="109"/>
        <v/>
      </c>
      <c r="AH271" s="74">
        <f t="shared" si="110"/>
        <v>0</v>
      </c>
      <c r="AI271" s="74" t="str">
        <f>IF(AH271&lt;&gt;0,COUNTIF(AH$3:AH271,1),"")</f>
        <v/>
      </c>
      <c r="AJ271" s="74">
        <f t="shared" si="111"/>
        <v>0</v>
      </c>
      <c r="AK271" s="73" t="str">
        <f t="shared" si="112"/>
        <v/>
      </c>
      <c r="AL271" s="73" t="str">
        <f t="shared" si="113"/>
        <v/>
      </c>
      <c r="AM271" s="73" t="str">
        <f t="shared" si="114"/>
        <v/>
      </c>
      <c r="AN271" s="73" t="str">
        <f t="shared" si="115"/>
        <v/>
      </c>
      <c r="AP271" s="61" t="str">
        <f t="shared" si="116"/>
        <v/>
      </c>
      <c r="AQ271" s="61" t="str">
        <f t="shared" si="117"/>
        <v/>
      </c>
      <c r="AR271" s="61" t="str">
        <f t="shared" si="118"/>
        <v/>
      </c>
    </row>
    <row r="272" spans="16:44" x14ac:dyDescent="0.25">
      <c r="P272" s="73" t="str">
        <f t="shared" si="99"/>
        <v/>
      </c>
      <c r="Q272" s="73" t="str">
        <f t="shared" si="100"/>
        <v/>
      </c>
      <c r="R272" s="74" t="str">
        <f t="shared" si="101"/>
        <v/>
      </c>
      <c r="S272" s="74" t="str">
        <f t="shared" si="102"/>
        <v/>
      </c>
      <c r="U272" s="74" t="str">
        <f t="shared" si="98"/>
        <v/>
      </c>
      <c r="V272" s="74" t="str">
        <f t="shared" si="98"/>
        <v/>
      </c>
      <c r="W272" s="74" t="str">
        <f t="shared" si="98"/>
        <v/>
      </c>
      <c r="X272" s="74" t="str">
        <f t="shared" si="98"/>
        <v/>
      </c>
      <c r="Y272" s="74" t="str">
        <f t="shared" si="98"/>
        <v/>
      </c>
      <c r="Z272" s="74" t="str">
        <f t="shared" si="103"/>
        <v/>
      </c>
      <c r="AA272" s="74">
        <f t="shared" si="104"/>
        <v>0</v>
      </c>
      <c r="AB272" s="74">
        <f t="shared" si="105"/>
        <v>0</v>
      </c>
      <c r="AC272" s="74" t="str">
        <f t="shared" si="106"/>
        <v/>
      </c>
      <c r="AE272" s="74" t="str">
        <f t="shared" si="107"/>
        <v/>
      </c>
      <c r="AF272" s="74" t="str">
        <f t="shared" si="108"/>
        <v/>
      </c>
      <c r="AG272" s="74" t="str">
        <f t="shared" si="109"/>
        <v/>
      </c>
      <c r="AH272" s="74">
        <f t="shared" si="110"/>
        <v>0</v>
      </c>
      <c r="AI272" s="74" t="str">
        <f>IF(AH272&lt;&gt;0,COUNTIF(AH$3:AH272,1),"")</f>
        <v/>
      </c>
      <c r="AJ272" s="74">
        <f t="shared" si="111"/>
        <v>0</v>
      </c>
      <c r="AK272" s="73" t="str">
        <f t="shared" si="112"/>
        <v/>
      </c>
      <c r="AL272" s="73" t="str">
        <f t="shared" si="113"/>
        <v/>
      </c>
      <c r="AM272" s="73" t="str">
        <f t="shared" si="114"/>
        <v/>
      </c>
      <c r="AN272" s="73" t="str">
        <f t="shared" si="115"/>
        <v/>
      </c>
      <c r="AP272" s="61" t="str">
        <f t="shared" si="116"/>
        <v/>
      </c>
      <c r="AQ272" s="61" t="str">
        <f t="shared" si="117"/>
        <v/>
      </c>
      <c r="AR272" s="61" t="str">
        <f t="shared" si="118"/>
        <v/>
      </c>
    </row>
    <row r="273" spans="16:44" x14ac:dyDescent="0.25">
      <c r="P273" s="73" t="str">
        <f t="shared" si="99"/>
        <v/>
      </c>
      <c r="Q273" s="73" t="str">
        <f t="shared" si="100"/>
        <v/>
      </c>
      <c r="R273" s="74" t="str">
        <f t="shared" si="101"/>
        <v/>
      </c>
      <c r="S273" s="74" t="str">
        <f t="shared" si="102"/>
        <v/>
      </c>
      <c r="U273" s="74" t="str">
        <f t="shared" si="98"/>
        <v/>
      </c>
      <c r="V273" s="74" t="str">
        <f t="shared" si="98"/>
        <v/>
      </c>
      <c r="W273" s="74" t="str">
        <f t="shared" si="98"/>
        <v/>
      </c>
      <c r="X273" s="74" t="str">
        <f t="shared" si="98"/>
        <v/>
      </c>
      <c r="Y273" s="74" t="str">
        <f t="shared" si="98"/>
        <v/>
      </c>
      <c r="Z273" s="74" t="str">
        <f t="shared" si="103"/>
        <v/>
      </c>
      <c r="AA273" s="74">
        <f t="shared" si="104"/>
        <v>0</v>
      </c>
      <c r="AB273" s="74">
        <f t="shared" si="105"/>
        <v>0</v>
      </c>
      <c r="AC273" s="74" t="str">
        <f t="shared" si="106"/>
        <v/>
      </c>
      <c r="AE273" s="74" t="str">
        <f t="shared" si="107"/>
        <v/>
      </c>
      <c r="AF273" s="74" t="str">
        <f t="shared" si="108"/>
        <v/>
      </c>
      <c r="AG273" s="74" t="str">
        <f t="shared" si="109"/>
        <v/>
      </c>
      <c r="AH273" s="74">
        <f t="shared" si="110"/>
        <v>0</v>
      </c>
      <c r="AI273" s="74" t="str">
        <f>IF(AH273&lt;&gt;0,COUNTIF(AH$3:AH273,1),"")</f>
        <v/>
      </c>
      <c r="AJ273" s="74">
        <f t="shared" si="111"/>
        <v>0</v>
      </c>
      <c r="AK273" s="73" t="str">
        <f t="shared" si="112"/>
        <v/>
      </c>
      <c r="AL273" s="73" t="str">
        <f t="shared" si="113"/>
        <v/>
      </c>
      <c r="AM273" s="73" t="str">
        <f t="shared" si="114"/>
        <v/>
      </c>
      <c r="AN273" s="73" t="str">
        <f t="shared" si="115"/>
        <v/>
      </c>
      <c r="AP273" s="61" t="str">
        <f t="shared" si="116"/>
        <v/>
      </c>
      <c r="AQ273" s="61" t="str">
        <f t="shared" si="117"/>
        <v/>
      </c>
      <c r="AR273" s="61" t="str">
        <f t="shared" si="118"/>
        <v/>
      </c>
    </row>
    <row r="274" spans="16:44" x14ac:dyDescent="0.25">
      <c r="P274" s="73" t="str">
        <f t="shared" si="99"/>
        <v/>
      </c>
      <c r="Q274" s="73" t="str">
        <f t="shared" si="100"/>
        <v/>
      </c>
      <c r="R274" s="74" t="str">
        <f t="shared" si="101"/>
        <v/>
      </c>
      <c r="S274" s="74" t="str">
        <f t="shared" si="102"/>
        <v/>
      </c>
      <c r="U274" s="74" t="str">
        <f t="shared" si="98"/>
        <v/>
      </c>
      <c r="V274" s="74" t="str">
        <f t="shared" si="98"/>
        <v/>
      </c>
      <c r="W274" s="74" t="str">
        <f t="shared" si="98"/>
        <v/>
      </c>
      <c r="X274" s="74" t="str">
        <f t="shared" si="98"/>
        <v/>
      </c>
      <c r="Y274" s="74" t="str">
        <f t="shared" si="98"/>
        <v/>
      </c>
      <c r="Z274" s="74" t="str">
        <f t="shared" si="103"/>
        <v/>
      </c>
      <c r="AA274" s="74">
        <f t="shared" si="104"/>
        <v>0</v>
      </c>
      <c r="AB274" s="74">
        <f t="shared" si="105"/>
        <v>0</v>
      </c>
      <c r="AC274" s="74" t="str">
        <f t="shared" si="106"/>
        <v/>
      </c>
      <c r="AE274" s="74" t="str">
        <f t="shared" si="107"/>
        <v/>
      </c>
      <c r="AF274" s="74" t="str">
        <f t="shared" si="108"/>
        <v/>
      </c>
      <c r="AG274" s="74" t="str">
        <f t="shared" si="109"/>
        <v/>
      </c>
      <c r="AH274" s="74">
        <f t="shared" si="110"/>
        <v>0</v>
      </c>
      <c r="AI274" s="74" t="str">
        <f>IF(AH274&lt;&gt;0,COUNTIF(AH$3:AH274,1),"")</f>
        <v/>
      </c>
      <c r="AJ274" s="74">
        <f t="shared" si="111"/>
        <v>0</v>
      </c>
      <c r="AK274" s="73" t="str">
        <f t="shared" si="112"/>
        <v/>
      </c>
      <c r="AL274" s="73" t="str">
        <f t="shared" si="113"/>
        <v/>
      </c>
      <c r="AM274" s="73" t="str">
        <f t="shared" si="114"/>
        <v/>
      </c>
      <c r="AN274" s="73" t="str">
        <f t="shared" si="115"/>
        <v/>
      </c>
      <c r="AP274" s="61" t="str">
        <f t="shared" si="116"/>
        <v/>
      </c>
      <c r="AQ274" s="61" t="str">
        <f t="shared" si="117"/>
        <v/>
      </c>
      <c r="AR274" s="61" t="str">
        <f t="shared" si="118"/>
        <v/>
      </c>
    </row>
    <row r="275" spans="16:44" x14ac:dyDescent="0.25">
      <c r="P275" s="73" t="str">
        <f t="shared" si="99"/>
        <v/>
      </c>
      <c r="Q275" s="73" t="str">
        <f t="shared" si="100"/>
        <v/>
      </c>
      <c r="R275" s="74" t="str">
        <f t="shared" si="101"/>
        <v/>
      </c>
      <c r="S275" s="74" t="str">
        <f t="shared" si="102"/>
        <v/>
      </c>
      <c r="U275" s="74" t="str">
        <f t="shared" si="98"/>
        <v/>
      </c>
      <c r="V275" s="74" t="str">
        <f t="shared" si="98"/>
        <v/>
      </c>
      <c r="W275" s="74" t="str">
        <f t="shared" si="98"/>
        <v/>
      </c>
      <c r="X275" s="74" t="str">
        <f t="shared" si="98"/>
        <v/>
      </c>
      <c r="Y275" s="74" t="str">
        <f t="shared" si="98"/>
        <v/>
      </c>
      <c r="Z275" s="74" t="str">
        <f t="shared" si="103"/>
        <v/>
      </c>
      <c r="AA275" s="74">
        <f t="shared" si="104"/>
        <v>0</v>
      </c>
      <c r="AB275" s="74">
        <f t="shared" si="105"/>
        <v>0</v>
      </c>
      <c r="AC275" s="74" t="str">
        <f t="shared" si="106"/>
        <v/>
      </c>
      <c r="AE275" s="74" t="str">
        <f t="shared" si="107"/>
        <v/>
      </c>
      <c r="AF275" s="74" t="str">
        <f t="shared" si="108"/>
        <v/>
      </c>
      <c r="AG275" s="74" t="str">
        <f t="shared" si="109"/>
        <v/>
      </c>
      <c r="AH275" s="74">
        <f t="shared" si="110"/>
        <v>0</v>
      </c>
      <c r="AI275" s="74" t="str">
        <f>IF(AH275&lt;&gt;0,COUNTIF(AH$3:AH275,1),"")</f>
        <v/>
      </c>
      <c r="AJ275" s="74">
        <f t="shared" si="111"/>
        <v>0</v>
      </c>
      <c r="AK275" s="73" t="str">
        <f t="shared" si="112"/>
        <v/>
      </c>
      <c r="AL275" s="73" t="str">
        <f t="shared" si="113"/>
        <v/>
      </c>
      <c r="AM275" s="73" t="str">
        <f t="shared" si="114"/>
        <v/>
      </c>
      <c r="AN275" s="73" t="str">
        <f t="shared" si="115"/>
        <v/>
      </c>
      <c r="AP275" s="61" t="str">
        <f t="shared" si="116"/>
        <v/>
      </c>
      <c r="AQ275" s="61" t="str">
        <f t="shared" si="117"/>
        <v/>
      </c>
      <c r="AR275" s="61" t="str">
        <f t="shared" si="118"/>
        <v/>
      </c>
    </row>
    <row r="276" spans="16:44" x14ac:dyDescent="0.25">
      <c r="P276" s="73" t="str">
        <f t="shared" si="99"/>
        <v/>
      </c>
      <c r="Q276" s="73" t="str">
        <f t="shared" si="100"/>
        <v/>
      </c>
      <c r="R276" s="74" t="str">
        <f t="shared" si="101"/>
        <v/>
      </c>
      <c r="S276" s="74" t="str">
        <f t="shared" si="102"/>
        <v/>
      </c>
      <c r="U276" s="74" t="str">
        <f t="shared" si="98"/>
        <v/>
      </c>
      <c r="V276" s="74" t="str">
        <f t="shared" si="98"/>
        <v/>
      </c>
      <c r="W276" s="74" t="str">
        <f t="shared" si="98"/>
        <v/>
      </c>
      <c r="X276" s="74" t="str">
        <f t="shared" si="98"/>
        <v/>
      </c>
      <c r="Y276" s="74" t="str">
        <f t="shared" si="98"/>
        <v/>
      </c>
      <c r="Z276" s="74" t="str">
        <f t="shared" si="103"/>
        <v/>
      </c>
      <c r="AA276" s="74">
        <f t="shared" si="104"/>
        <v>0</v>
      </c>
      <c r="AB276" s="74">
        <f t="shared" si="105"/>
        <v>0</v>
      </c>
      <c r="AC276" s="74" t="str">
        <f t="shared" si="106"/>
        <v/>
      </c>
      <c r="AE276" s="74" t="str">
        <f t="shared" si="107"/>
        <v/>
      </c>
      <c r="AF276" s="74" t="str">
        <f t="shared" si="108"/>
        <v/>
      </c>
      <c r="AG276" s="74" t="str">
        <f t="shared" si="109"/>
        <v/>
      </c>
      <c r="AH276" s="74">
        <f t="shared" si="110"/>
        <v>0</v>
      </c>
      <c r="AI276" s="74" t="str">
        <f>IF(AH276&lt;&gt;0,COUNTIF(AH$3:AH276,1),"")</f>
        <v/>
      </c>
      <c r="AJ276" s="74">
        <f t="shared" si="111"/>
        <v>0</v>
      </c>
      <c r="AK276" s="73" t="str">
        <f t="shared" si="112"/>
        <v/>
      </c>
      <c r="AL276" s="73" t="str">
        <f t="shared" si="113"/>
        <v/>
      </c>
      <c r="AM276" s="73" t="str">
        <f t="shared" si="114"/>
        <v/>
      </c>
      <c r="AN276" s="73" t="str">
        <f t="shared" si="115"/>
        <v/>
      </c>
      <c r="AP276" s="61" t="str">
        <f t="shared" si="116"/>
        <v/>
      </c>
      <c r="AQ276" s="61" t="str">
        <f t="shared" si="117"/>
        <v/>
      </c>
      <c r="AR276" s="61" t="str">
        <f t="shared" si="118"/>
        <v/>
      </c>
    </row>
    <row r="277" spans="16:44" x14ac:dyDescent="0.25">
      <c r="P277" s="73" t="str">
        <f t="shared" si="99"/>
        <v/>
      </c>
      <c r="Q277" s="73" t="str">
        <f t="shared" si="100"/>
        <v/>
      </c>
      <c r="R277" s="74" t="str">
        <f t="shared" si="101"/>
        <v/>
      </c>
      <c r="S277" s="74" t="str">
        <f t="shared" si="102"/>
        <v/>
      </c>
      <c r="U277" s="74" t="str">
        <f t="shared" si="98"/>
        <v/>
      </c>
      <c r="V277" s="74" t="str">
        <f t="shared" si="98"/>
        <v/>
      </c>
      <c r="W277" s="74" t="str">
        <f t="shared" si="98"/>
        <v/>
      </c>
      <c r="X277" s="74" t="str">
        <f t="shared" si="98"/>
        <v/>
      </c>
      <c r="Y277" s="74" t="str">
        <f t="shared" si="98"/>
        <v/>
      </c>
      <c r="Z277" s="74" t="str">
        <f t="shared" si="103"/>
        <v/>
      </c>
      <c r="AA277" s="74">
        <f t="shared" si="104"/>
        <v>0</v>
      </c>
      <c r="AB277" s="74">
        <f t="shared" si="105"/>
        <v>0</v>
      </c>
      <c r="AC277" s="74" t="str">
        <f t="shared" si="106"/>
        <v/>
      </c>
      <c r="AE277" s="74" t="str">
        <f t="shared" si="107"/>
        <v/>
      </c>
      <c r="AF277" s="74" t="str">
        <f t="shared" si="108"/>
        <v/>
      </c>
      <c r="AG277" s="74" t="str">
        <f t="shared" si="109"/>
        <v/>
      </c>
      <c r="AH277" s="74">
        <f t="shared" si="110"/>
        <v>0</v>
      </c>
      <c r="AI277" s="74" t="str">
        <f>IF(AH277&lt;&gt;0,COUNTIF(AH$3:AH277,1),"")</f>
        <v/>
      </c>
      <c r="AJ277" s="74">
        <f t="shared" si="111"/>
        <v>0</v>
      </c>
      <c r="AK277" s="73" t="str">
        <f t="shared" si="112"/>
        <v/>
      </c>
      <c r="AL277" s="73" t="str">
        <f t="shared" si="113"/>
        <v/>
      </c>
      <c r="AM277" s="73" t="str">
        <f t="shared" si="114"/>
        <v/>
      </c>
      <c r="AN277" s="73" t="str">
        <f t="shared" si="115"/>
        <v/>
      </c>
      <c r="AP277" s="61" t="str">
        <f t="shared" si="116"/>
        <v/>
      </c>
      <c r="AQ277" s="61" t="str">
        <f t="shared" si="117"/>
        <v/>
      </c>
      <c r="AR277" s="61" t="str">
        <f t="shared" si="118"/>
        <v/>
      </c>
    </row>
    <row r="278" spans="16:44" x14ac:dyDescent="0.25">
      <c r="P278" s="73" t="str">
        <f t="shared" si="99"/>
        <v/>
      </c>
      <c r="Q278" s="73" t="str">
        <f t="shared" si="100"/>
        <v/>
      </c>
      <c r="R278" s="74" t="str">
        <f t="shared" si="101"/>
        <v/>
      </c>
      <c r="S278" s="74" t="str">
        <f t="shared" si="102"/>
        <v/>
      </c>
      <c r="U278" s="74" t="str">
        <f t="shared" si="98"/>
        <v/>
      </c>
      <c r="V278" s="74" t="str">
        <f t="shared" si="98"/>
        <v/>
      </c>
      <c r="W278" s="74" t="str">
        <f t="shared" si="98"/>
        <v/>
      </c>
      <c r="X278" s="74" t="str">
        <f t="shared" si="98"/>
        <v/>
      </c>
      <c r="Y278" s="74" t="str">
        <f t="shared" si="98"/>
        <v/>
      </c>
      <c r="Z278" s="74" t="str">
        <f t="shared" si="103"/>
        <v/>
      </c>
      <c r="AA278" s="74">
        <f t="shared" si="104"/>
        <v>0</v>
      </c>
      <c r="AB278" s="74">
        <f t="shared" si="105"/>
        <v>0</v>
      </c>
      <c r="AC278" s="74" t="str">
        <f t="shared" si="106"/>
        <v/>
      </c>
      <c r="AE278" s="74" t="str">
        <f t="shared" si="107"/>
        <v/>
      </c>
      <c r="AF278" s="74" t="str">
        <f t="shared" si="108"/>
        <v/>
      </c>
      <c r="AG278" s="74" t="str">
        <f t="shared" si="109"/>
        <v/>
      </c>
      <c r="AH278" s="74">
        <f t="shared" si="110"/>
        <v>0</v>
      </c>
      <c r="AI278" s="74" t="str">
        <f>IF(AH278&lt;&gt;0,COUNTIF(AH$3:AH278,1),"")</f>
        <v/>
      </c>
      <c r="AJ278" s="74">
        <f t="shared" si="111"/>
        <v>0</v>
      </c>
      <c r="AK278" s="73" t="str">
        <f t="shared" si="112"/>
        <v/>
      </c>
      <c r="AL278" s="73" t="str">
        <f t="shared" si="113"/>
        <v/>
      </c>
      <c r="AM278" s="73" t="str">
        <f t="shared" si="114"/>
        <v/>
      </c>
      <c r="AN278" s="73" t="str">
        <f t="shared" si="115"/>
        <v/>
      </c>
      <c r="AP278" s="61" t="str">
        <f t="shared" si="116"/>
        <v/>
      </c>
      <c r="AQ278" s="61" t="str">
        <f t="shared" si="117"/>
        <v/>
      </c>
      <c r="AR278" s="61" t="str">
        <f t="shared" si="118"/>
        <v/>
      </c>
    </row>
    <row r="279" spans="16:44" x14ac:dyDescent="0.25">
      <c r="P279" s="73" t="str">
        <f t="shared" si="99"/>
        <v/>
      </c>
      <c r="Q279" s="73" t="str">
        <f t="shared" si="100"/>
        <v/>
      </c>
      <c r="R279" s="74" t="str">
        <f t="shared" si="101"/>
        <v/>
      </c>
      <c r="S279" s="74" t="str">
        <f t="shared" si="102"/>
        <v/>
      </c>
      <c r="U279" s="74" t="str">
        <f t="shared" si="98"/>
        <v/>
      </c>
      <c r="V279" s="74" t="str">
        <f t="shared" si="98"/>
        <v/>
      </c>
      <c r="W279" s="74" t="str">
        <f t="shared" si="98"/>
        <v/>
      </c>
      <c r="X279" s="74" t="str">
        <f t="shared" si="98"/>
        <v/>
      </c>
      <c r="Y279" s="74" t="str">
        <f t="shared" si="98"/>
        <v/>
      </c>
      <c r="Z279" s="74" t="str">
        <f t="shared" si="103"/>
        <v/>
      </c>
      <c r="AA279" s="74">
        <f t="shared" si="104"/>
        <v>0</v>
      </c>
      <c r="AB279" s="74">
        <f t="shared" si="105"/>
        <v>0</v>
      </c>
      <c r="AC279" s="74" t="str">
        <f t="shared" si="106"/>
        <v/>
      </c>
      <c r="AE279" s="74" t="str">
        <f t="shared" si="107"/>
        <v/>
      </c>
      <c r="AF279" s="74" t="str">
        <f t="shared" si="108"/>
        <v/>
      </c>
      <c r="AG279" s="74" t="str">
        <f t="shared" si="109"/>
        <v/>
      </c>
      <c r="AH279" s="74">
        <f t="shared" si="110"/>
        <v>0</v>
      </c>
      <c r="AI279" s="74" t="str">
        <f>IF(AH279&lt;&gt;0,COUNTIF(AH$3:AH279,1),"")</f>
        <v/>
      </c>
      <c r="AJ279" s="74">
        <f t="shared" si="111"/>
        <v>0</v>
      </c>
      <c r="AK279" s="73" t="str">
        <f t="shared" si="112"/>
        <v/>
      </c>
      <c r="AL279" s="73" t="str">
        <f t="shared" si="113"/>
        <v/>
      </c>
      <c r="AM279" s="73" t="str">
        <f t="shared" si="114"/>
        <v/>
      </c>
      <c r="AN279" s="73" t="str">
        <f t="shared" si="115"/>
        <v/>
      </c>
      <c r="AP279" s="61" t="str">
        <f t="shared" si="116"/>
        <v/>
      </c>
      <c r="AQ279" s="61" t="str">
        <f t="shared" si="117"/>
        <v/>
      </c>
      <c r="AR279" s="61" t="str">
        <f t="shared" si="118"/>
        <v/>
      </c>
    </row>
    <row r="280" spans="16:44" x14ac:dyDescent="0.25">
      <c r="P280" s="73" t="str">
        <f t="shared" si="99"/>
        <v/>
      </c>
      <c r="Q280" s="73" t="str">
        <f t="shared" si="100"/>
        <v/>
      </c>
      <c r="R280" s="74" t="str">
        <f t="shared" si="101"/>
        <v/>
      </c>
      <c r="S280" s="74" t="str">
        <f t="shared" si="102"/>
        <v/>
      </c>
      <c r="U280" s="74" t="str">
        <f t="shared" si="98"/>
        <v/>
      </c>
      <c r="V280" s="74" t="str">
        <f t="shared" si="98"/>
        <v/>
      </c>
      <c r="W280" s="74" t="str">
        <f t="shared" si="98"/>
        <v/>
      </c>
      <c r="X280" s="74" t="str">
        <f t="shared" si="98"/>
        <v/>
      </c>
      <c r="Y280" s="74" t="str">
        <f t="shared" si="98"/>
        <v/>
      </c>
      <c r="Z280" s="74" t="str">
        <f t="shared" si="103"/>
        <v/>
      </c>
      <c r="AA280" s="74">
        <f t="shared" si="104"/>
        <v>0</v>
      </c>
      <c r="AB280" s="74">
        <f t="shared" si="105"/>
        <v>0</v>
      </c>
      <c r="AC280" s="74" t="str">
        <f t="shared" si="106"/>
        <v/>
      </c>
      <c r="AE280" s="74" t="str">
        <f t="shared" si="107"/>
        <v/>
      </c>
      <c r="AF280" s="74" t="str">
        <f t="shared" si="108"/>
        <v/>
      </c>
      <c r="AG280" s="74" t="str">
        <f t="shared" si="109"/>
        <v/>
      </c>
      <c r="AH280" s="74">
        <f t="shared" si="110"/>
        <v>0</v>
      </c>
      <c r="AI280" s="74" t="str">
        <f>IF(AH280&lt;&gt;0,COUNTIF(AH$3:AH280,1),"")</f>
        <v/>
      </c>
      <c r="AJ280" s="74">
        <f t="shared" si="111"/>
        <v>0</v>
      </c>
      <c r="AK280" s="73" t="str">
        <f t="shared" si="112"/>
        <v/>
      </c>
      <c r="AL280" s="73" t="str">
        <f t="shared" si="113"/>
        <v/>
      </c>
      <c r="AM280" s="73" t="str">
        <f t="shared" si="114"/>
        <v/>
      </c>
      <c r="AN280" s="73" t="str">
        <f t="shared" si="115"/>
        <v/>
      </c>
      <c r="AP280" s="61" t="str">
        <f t="shared" si="116"/>
        <v/>
      </c>
      <c r="AQ280" s="61" t="str">
        <f t="shared" si="117"/>
        <v/>
      </c>
      <c r="AR280" s="61" t="str">
        <f t="shared" si="118"/>
        <v/>
      </c>
    </row>
    <row r="281" spans="16:44" x14ac:dyDescent="0.25">
      <c r="P281" s="73" t="str">
        <f t="shared" si="99"/>
        <v/>
      </c>
      <c r="Q281" s="73" t="str">
        <f t="shared" si="100"/>
        <v/>
      </c>
      <c r="R281" s="74" t="str">
        <f t="shared" si="101"/>
        <v/>
      </c>
      <c r="S281" s="74" t="str">
        <f t="shared" si="102"/>
        <v/>
      </c>
      <c r="U281" s="74" t="str">
        <f t="shared" si="98"/>
        <v/>
      </c>
      <c r="V281" s="74" t="str">
        <f t="shared" si="98"/>
        <v/>
      </c>
      <c r="W281" s="74" t="str">
        <f t="shared" si="98"/>
        <v/>
      </c>
      <c r="X281" s="74" t="str">
        <f t="shared" si="98"/>
        <v/>
      </c>
      <c r="Y281" s="74" t="str">
        <f t="shared" si="98"/>
        <v/>
      </c>
      <c r="Z281" s="74" t="str">
        <f t="shared" si="103"/>
        <v/>
      </c>
      <c r="AA281" s="74">
        <f t="shared" si="104"/>
        <v>0</v>
      </c>
      <c r="AB281" s="74">
        <f t="shared" si="105"/>
        <v>0</v>
      </c>
      <c r="AC281" s="74" t="str">
        <f t="shared" si="106"/>
        <v/>
      </c>
      <c r="AE281" s="74" t="str">
        <f t="shared" si="107"/>
        <v/>
      </c>
      <c r="AF281" s="74" t="str">
        <f t="shared" si="108"/>
        <v/>
      </c>
      <c r="AG281" s="74" t="str">
        <f t="shared" si="109"/>
        <v/>
      </c>
      <c r="AH281" s="74">
        <f t="shared" si="110"/>
        <v>0</v>
      </c>
      <c r="AI281" s="74" t="str">
        <f>IF(AH281&lt;&gt;0,COUNTIF(AH$3:AH281,1),"")</f>
        <v/>
      </c>
      <c r="AJ281" s="74">
        <f t="shared" si="111"/>
        <v>0</v>
      </c>
      <c r="AK281" s="73" t="str">
        <f t="shared" si="112"/>
        <v/>
      </c>
      <c r="AL281" s="73" t="str">
        <f t="shared" si="113"/>
        <v/>
      </c>
      <c r="AM281" s="73" t="str">
        <f t="shared" si="114"/>
        <v/>
      </c>
      <c r="AN281" s="73" t="str">
        <f t="shared" si="115"/>
        <v/>
      </c>
      <c r="AP281" s="61" t="str">
        <f t="shared" si="116"/>
        <v/>
      </c>
      <c r="AQ281" s="61" t="str">
        <f t="shared" si="117"/>
        <v/>
      </c>
      <c r="AR281" s="61" t="str">
        <f t="shared" si="118"/>
        <v/>
      </c>
    </row>
    <row r="282" spans="16:44" x14ac:dyDescent="0.25">
      <c r="P282" s="73" t="str">
        <f t="shared" si="99"/>
        <v/>
      </c>
      <c r="Q282" s="73" t="str">
        <f t="shared" si="100"/>
        <v/>
      </c>
      <c r="R282" s="74" t="str">
        <f t="shared" si="101"/>
        <v/>
      </c>
      <c r="S282" s="74" t="str">
        <f t="shared" si="102"/>
        <v/>
      </c>
      <c r="U282" s="74" t="str">
        <f t="shared" si="98"/>
        <v/>
      </c>
      <c r="V282" s="74" t="str">
        <f t="shared" si="98"/>
        <v/>
      </c>
      <c r="W282" s="74" t="str">
        <f t="shared" si="98"/>
        <v/>
      </c>
      <c r="X282" s="74" t="str">
        <f t="shared" si="98"/>
        <v/>
      </c>
      <c r="Y282" s="74" t="str">
        <f t="shared" si="98"/>
        <v/>
      </c>
      <c r="Z282" s="74" t="str">
        <f t="shared" si="103"/>
        <v/>
      </c>
      <c r="AA282" s="74">
        <f t="shared" si="104"/>
        <v>0</v>
      </c>
      <c r="AB282" s="74">
        <f t="shared" si="105"/>
        <v>0</v>
      </c>
      <c r="AC282" s="74" t="str">
        <f t="shared" si="106"/>
        <v/>
      </c>
      <c r="AE282" s="74" t="str">
        <f t="shared" si="107"/>
        <v/>
      </c>
      <c r="AF282" s="74" t="str">
        <f t="shared" si="108"/>
        <v/>
      </c>
      <c r="AG282" s="74" t="str">
        <f t="shared" si="109"/>
        <v/>
      </c>
      <c r="AH282" s="74">
        <f t="shared" si="110"/>
        <v>0</v>
      </c>
      <c r="AI282" s="74" t="str">
        <f>IF(AH282&lt;&gt;0,COUNTIF(AH$3:AH282,1),"")</f>
        <v/>
      </c>
      <c r="AJ282" s="74">
        <f t="shared" si="111"/>
        <v>0</v>
      </c>
      <c r="AK282" s="73" t="str">
        <f t="shared" si="112"/>
        <v/>
      </c>
      <c r="AL282" s="73" t="str">
        <f t="shared" si="113"/>
        <v/>
      </c>
      <c r="AM282" s="73" t="str">
        <f t="shared" si="114"/>
        <v/>
      </c>
      <c r="AN282" s="73" t="str">
        <f t="shared" si="115"/>
        <v/>
      </c>
      <c r="AP282" s="61" t="str">
        <f t="shared" si="116"/>
        <v/>
      </c>
      <c r="AQ282" s="61" t="str">
        <f t="shared" si="117"/>
        <v/>
      </c>
      <c r="AR282" s="61" t="str">
        <f t="shared" si="118"/>
        <v/>
      </c>
    </row>
    <row r="283" spans="16:44" x14ac:dyDescent="0.25">
      <c r="P283" s="73" t="str">
        <f t="shared" si="99"/>
        <v/>
      </c>
      <c r="Q283" s="73" t="str">
        <f t="shared" si="100"/>
        <v/>
      </c>
      <c r="R283" s="74" t="str">
        <f t="shared" si="101"/>
        <v/>
      </c>
      <c r="S283" s="74" t="str">
        <f t="shared" si="102"/>
        <v/>
      </c>
      <c r="U283" s="74" t="str">
        <f t="shared" si="98"/>
        <v/>
      </c>
      <c r="V283" s="74" t="str">
        <f t="shared" si="98"/>
        <v/>
      </c>
      <c r="W283" s="74" t="str">
        <f t="shared" si="98"/>
        <v/>
      </c>
      <c r="X283" s="74" t="str">
        <f t="shared" si="98"/>
        <v/>
      </c>
      <c r="Y283" s="74" t="str">
        <f t="shared" si="98"/>
        <v/>
      </c>
      <c r="Z283" s="74" t="str">
        <f t="shared" si="103"/>
        <v/>
      </c>
      <c r="AA283" s="74">
        <f t="shared" si="104"/>
        <v>0</v>
      </c>
      <c r="AB283" s="74">
        <f t="shared" si="105"/>
        <v>0</v>
      </c>
      <c r="AC283" s="74" t="str">
        <f t="shared" si="106"/>
        <v/>
      </c>
      <c r="AE283" s="74" t="str">
        <f t="shared" si="107"/>
        <v/>
      </c>
      <c r="AF283" s="74" t="str">
        <f t="shared" si="108"/>
        <v/>
      </c>
      <c r="AG283" s="74" t="str">
        <f t="shared" si="109"/>
        <v/>
      </c>
      <c r="AH283" s="74">
        <f t="shared" si="110"/>
        <v>0</v>
      </c>
      <c r="AI283" s="74" t="str">
        <f>IF(AH283&lt;&gt;0,COUNTIF(AH$3:AH283,1),"")</f>
        <v/>
      </c>
      <c r="AJ283" s="74">
        <f t="shared" si="111"/>
        <v>0</v>
      </c>
      <c r="AK283" s="73" t="str">
        <f t="shared" si="112"/>
        <v/>
      </c>
      <c r="AL283" s="73" t="str">
        <f t="shared" si="113"/>
        <v/>
      </c>
      <c r="AM283" s="73" t="str">
        <f t="shared" si="114"/>
        <v/>
      </c>
      <c r="AN283" s="73" t="str">
        <f t="shared" si="115"/>
        <v/>
      </c>
      <c r="AP283" s="61" t="str">
        <f t="shared" si="116"/>
        <v/>
      </c>
      <c r="AQ283" s="61" t="str">
        <f t="shared" si="117"/>
        <v/>
      </c>
      <c r="AR283" s="61" t="str">
        <f t="shared" si="118"/>
        <v/>
      </c>
    </row>
    <row r="284" spans="16:44" x14ac:dyDescent="0.25">
      <c r="P284" s="73" t="str">
        <f t="shared" si="99"/>
        <v/>
      </c>
      <c r="Q284" s="73" t="str">
        <f t="shared" si="100"/>
        <v/>
      </c>
      <c r="R284" s="74" t="str">
        <f t="shared" si="101"/>
        <v/>
      </c>
      <c r="S284" s="74" t="str">
        <f t="shared" si="102"/>
        <v/>
      </c>
      <c r="U284" s="74" t="str">
        <f t="shared" si="98"/>
        <v/>
      </c>
      <c r="V284" s="74" t="str">
        <f t="shared" si="98"/>
        <v/>
      </c>
      <c r="W284" s="74" t="str">
        <f t="shared" si="98"/>
        <v/>
      </c>
      <c r="X284" s="74" t="str">
        <f t="shared" si="98"/>
        <v/>
      </c>
      <c r="Y284" s="74" t="str">
        <f t="shared" si="98"/>
        <v/>
      </c>
      <c r="Z284" s="74" t="str">
        <f t="shared" si="103"/>
        <v/>
      </c>
      <c r="AA284" s="74">
        <f t="shared" si="104"/>
        <v>0</v>
      </c>
      <c r="AB284" s="74">
        <f t="shared" si="105"/>
        <v>0</v>
      </c>
      <c r="AC284" s="74" t="str">
        <f t="shared" si="106"/>
        <v/>
      </c>
      <c r="AE284" s="74" t="str">
        <f t="shared" si="107"/>
        <v/>
      </c>
      <c r="AF284" s="74" t="str">
        <f t="shared" si="108"/>
        <v/>
      </c>
      <c r="AG284" s="74" t="str">
        <f t="shared" si="109"/>
        <v/>
      </c>
      <c r="AH284" s="74">
        <f t="shared" si="110"/>
        <v>0</v>
      </c>
      <c r="AI284" s="74" t="str">
        <f>IF(AH284&lt;&gt;0,COUNTIF(AH$3:AH284,1),"")</f>
        <v/>
      </c>
      <c r="AJ284" s="74">
        <f t="shared" si="111"/>
        <v>0</v>
      </c>
      <c r="AK284" s="73" t="str">
        <f t="shared" si="112"/>
        <v/>
      </c>
      <c r="AL284" s="73" t="str">
        <f t="shared" si="113"/>
        <v/>
      </c>
      <c r="AM284" s="73" t="str">
        <f t="shared" si="114"/>
        <v/>
      </c>
      <c r="AN284" s="73" t="str">
        <f t="shared" si="115"/>
        <v/>
      </c>
      <c r="AP284" s="61" t="str">
        <f t="shared" si="116"/>
        <v/>
      </c>
      <c r="AQ284" s="61" t="str">
        <f t="shared" si="117"/>
        <v/>
      </c>
      <c r="AR284" s="61" t="str">
        <f t="shared" si="118"/>
        <v/>
      </c>
    </row>
    <row r="285" spans="16:44" x14ac:dyDescent="0.25">
      <c r="P285" s="73" t="str">
        <f t="shared" si="99"/>
        <v/>
      </c>
      <c r="Q285" s="73" t="str">
        <f t="shared" si="100"/>
        <v/>
      </c>
      <c r="R285" s="74" t="str">
        <f t="shared" si="101"/>
        <v/>
      </c>
      <c r="S285" s="74" t="str">
        <f t="shared" si="102"/>
        <v/>
      </c>
      <c r="U285" s="74" t="str">
        <f t="shared" si="98"/>
        <v/>
      </c>
      <c r="V285" s="74" t="str">
        <f t="shared" si="98"/>
        <v/>
      </c>
      <c r="W285" s="74" t="str">
        <f t="shared" si="98"/>
        <v/>
      </c>
      <c r="X285" s="74" t="str">
        <f t="shared" si="98"/>
        <v/>
      </c>
      <c r="Y285" s="74" t="str">
        <f t="shared" si="98"/>
        <v/>
      </c>
      <c r="Z285" s="74" t="str">
        <f t="shared" si="103"/>
        <v/>
      </c>
      <c r="AA285" s="74">
        <f t="shared" si="104"/>
        <v>0</v>
      </c>
      <c r="AB285" s="74">
        <f t="shared" si="105"/>
        <v>0</v>
      </c>
      <c r="AC285" s="74" t="str">
        <f t="shared" si="106"/>
        <v/>
      </c>
      <c r="AE285" s="74" t="str">
        <f t="shared" si="107"/>
        <v/>
      </c>
      <c r="AF285" s="74" t="str">
        <f t="shared" si="108"/>
        <v/>
      </c>
      <c r="AG285" s="74" t="str">
        <f t="shared" si="109"/>
        <v/>
      </c>
      <c r="AH285" s="74">
        <f t="shared" si="110"/>
        <v>0</v>
      </c>
      <c r="AI285" s="74" t="str">
        <f>IF(AH285&lt;&gt;0,COUNTIF(AH$3:AH285,1),"")</f>
        <v/>
      </c>
      <c r="AJ285" s="74">
        <f t="shared" si="111"/>
        <v>0</v>
      </c>
      <c r="AK285" s="73" t="str">
        <f t="shared" si="112"/>
        <v/>
      </c>
      <c r="AL285" s="73" t="str">
        <f t="shared" si="113"/>
        <v/>
      </c>
      <c r="AM285" s="73" t="str">
        <f t="shared" si="114"/>
        <v/>
      </c>
      <c r="AN285" s="73" t="str">
        <f t="shared" si="115"/>
        <v/>
      </c>
      <c r="AP285" s="61" t="str">
        <f t="shared" si="116"/>
        <v/>
      </c>
      <c r="AQ285" s="61" t="str">
        <f t="shared" si="117"/>
        <v/>
      </c>
      <c r="AR285" s="61" t="str">
        <f t="shared" si="118"/>
        <v/>
      </c>
    </row>
    <row r="286" spans="16:44" x14ac:dyDescent="0.25">
      <c r="P286" s="73" t="str">
        <f t="shared" si="99"/>
        <v/>
      </c>
      <c r="Q286" s="73" t="str">
        <f t="shared" si="100"/>
        <v/>
      </c>
      <c r="R286" s="74" t="str">
        <f t="shared" si="101"/>
        <v/>
      </c>
      <c r="S286" s="74" t="str">
        <f t="shared" si="102"/>
        <v/>
      </c>
      <c r="U286" s="74" t="str">
        <f t="shared" si="98"/>
        <v/>
      </c>
      <c r="V286" s="74" t="str">
        <f t="shared" si="98"/>
        <v/>
      </c>
      <c r="W286" s="74" t="str">
        <f t="shared" si="98"/>
        <v/>
      </c>
      <c r="X286" s="74" t="str">
        <f t="shared" si="98"/>
        <v/>
      </c>
      <c r="Y286" s="74" t="str">
        <f t="shared" si="98"/>
        <v/>
      </c>
      <c r="Z286" s="74" t="str">
        <f t="shared" si="103"/>
        <v/>
      </c>
      <c r="AA286" s="74">
        <f t="shared" si="104"/>
        <v>0</v>
      </c>
      <c r="AB286" s="74">
        <f t="shared" si="105"/>
        <v>0</v>
      </c>
      <c r="AC286" s="74" t="str">
        <f t="shared" si="106"/>
        <v/>
      </c>
      <c r="AE286" s="74" t="str">
        <f t="shared" si="107"/>
        <v/>
      </c>
      <c r="AF286" s="74" t="str">
        <f t="shared" si="108"/>
        <v/>
      </c>
      <c r="AG286" s="74" t="str">
        <f t="shared" si="109"/>
        <v/>
      </c>
      <c r="AH286" s="74">
        <f t="shared" si="110"/>
        <v>0</v>
      </c>
      <c r="AI286" s="74" t="str">
        <f>IF(AH286&lt;&gt;0,COUNTIF(AH$3:AH286,1),"")</f>
        <v/>
      </c>
      <c r="AJ286" s="74">
        <f t="shared" si="111"/>
        <v>0</v>
      </c>
      <c r="AK286" s="73" t="str">
        <f t="shared" si="112"/>
        <v/>
      </c>
      <c r="AL286" s="73" t="str">
        <f t="shared" si="113"/>
        <v/>
      </c>
      <c r="AM286" s="73" t="str">
        <f t="shared" si="114"/>
        <v/>
      </c>
      <c r="AN286" s="73" t="str">
        <f t="shared" si="115"/>
        <v/>
      </c>
      <c r="AP286" s="61" t="str">
        <f t="shared" si="116"/>
        <v/>
      </c>
      <c r="AQ286" s="61" t="str">
        <f t="shared" si="117"/>
        <v/>
      </c>
      <c r="AR286" s="61" t="str">
        <f t="shared" si="118"/>
        <v/>
      </c>
    </row>
    <row r="287" spans="16:44" x14ac:dyDescent="0.25">
      <c r="P287" s="73" t="str">
        <f t="shared" si="99"/>
        <v/>
      </c>
      <c r="Q287" s="73" t="str">
        <f t="shared" si="100"/>
        <v/>
      </c>
      <c r="R287" s="74" t="str">
        <f t="shared" si="101"/>
        <v/>
      </c>
      <c r="S287" s="74" t="str">
        <f t="shared" si="102"/>
        <v/>
      </c>
      <c r="U287" s="74" t="str">
        <f t="shared" si="98"/>
        <v/>
      </c>
      <c r="V287" s="74" t="str">
        <f t="shared" si="98"/>
        <v/>
      </c>
      <c r="W287" s="74" t="str">
        <f t="shared" si="98"/>
        <v/>
      </c>
      <c r="X287" s="74" t="str">
        <f t="shared" si="98"/>
        <v/>
      </c>
      <c r="Y287" s="74" t="str">
        <f t="shared" si="98"/>
        <v/>
      </c>
      <c r="Z287" s="74" t="str">
        <f t="shared" si="103"/>
        <v/>
      </c>
      <c r="AA287" s="74">
        <f t="shared" si="104"/>
        <v>0</v>
      </c>
      <c r="AB287" s="74">
        <f t="shared" si="105"/>
        <v>0</v>
      </c>
      <c r="AC287" s="74" t="str">
        <f t="shared" si="106"/>
        <v/>
      </c>
      <c r="AE287" s="74" t="str">
        <f t="shared" si="107"/>
        <v/>
      </c>
      <c r="AF287" s="74" t="str">
        <f t="shared" si="108"/>
        <v/>
      </c>
      <c r="AG287" s="74" t="str">
        <f t="shared" si="109"/>
        <v/>
      </c>
      <c r="AH287" s="74">
        <f t="shared" si="110"/>
        <v>0</v>
      </c>
      <c r="AI287" s="74" t="str">
        <f>IF(AH287&lt;&gt;0,COUNTIF(AH$3:AH287,1),"")</f>
        <v/>
      </c>
      <c r="AJ287" s="74">
        <f t="shared" si="111"/>
        <v>0</v>
      </c>
      <c r="AK287" s="73" t="str">
        <f t="shared" si="112"/>
        <v/>
      </c>
      <c r="AL287" s="73" t="str">
        <f t="shared" si="113"/>
        <v/>
      </c>
      <c r="AM287" s="73" t="str">
        <f t="shared" si="114"/>
        <v/>
      </c>
      <c r="AN287" s="73" t="str">
        <f t="shared" si="115"/>
        <v/>
      </c>
      <c r="AP287" s="61" t="str">
        <f t="shared" si="116"/>
        <v/>
      </c>
      <c r="AQ287" s="61" t="str">
        <f t="shared" si="117"/>
        <v/>
      </c>
      <c r="AR287" s="61" t="str">
        <f t="shared" si="118"/>
        <v/>
      </c>
    </row>
    <row r="288" spans="16:44" x14ac:dyDescent="0.25">
      <c r="P288" s="73" t="str">
        <f t="shared" si="99"/>
        <v/>
      </c>
      <c r="Q288" s="73" t="str">
        <f t="shared" si="100"/>
        <v/>
      </c>
      <c r="R288" s="74" t="str">
        <f t="shared" si="101"/>
        <v/>
      </c>
      <c r="S288" s="74" t="str">
        <f t="shared" si="102"/>
        <v/>
      </c>
      <c r="U288" s="74" t="str">
        <f t="shared" si="98"/>
        <v/>
      </c>
      <c r="V288" s="74" t="str">
        <f t="shared" si="98"/>
        <v/>
      </c>
      <c r="W288" s="74" t="str">
        <f t="shared" si="98"/>
        <v/>
      </c>
      <c r="X288" s="74" t="str">
        <f t="shared" si="98"/>
        <v/>
      </c>
      <c r="Y288" s="74" t="str">
        <f t="shared" si="98"/>
        <v/>
      </c>
      <c r="Z288" s="74" t="str">
        <f t="shared" si="103"/>
        <v/>
      </c>
      <c r="AA288" s="74">
        <f t="shared" si="104"/>
        <v>0</v>
      </c>
      <c r="AB288" s="74">
        <f t="shared" si="105"/>
        <v>0</v>
      </c>
      <c r="AC288" s="74" t="str">
        <f t="shared" si="106"/>
        <v/>
      </c>
      <c r="AE288" s="74" t="str">
        <f t="shared" si="107"/>
        <v/>
      </c>
      <c r="AF288" s="74" t="str">
        <f t="shared" si="108"/>
        <v/>
      </c>
      <c r="AG288" s="74" t="str">
        <f t="shared" si="109"/>
        <v/>
      </c>
      <c r="AH288" s="74">
        <f t="shared" si="110"/>
        <v>0</v>
      </c>
      <c r="AI288" s="74" t="str">
        <f>IF(AH288&lt;&gt;0,COUNTIF(AH$3:AH288,1),"")</f>
        <v/>
      </c>
      <c r="AJ288" s="74">
        <f t="shared" si="111"/>
        <v>0</v>
      </c>
      <c r="AK288" s="73" t="str">
        <f t="shared" si="112"/>
        <v/>
      </c>
      <c r="AL288" s="73" t="str">
        <f t="shared" si="113"/>
        <v/>
      </c>
      <c r="AM288" s="73" t="str">
        <f t="shared" si="114"/>
        <v/>
      </c>
      <c r="AN288" s="73" t="str">
        <f t="shared" si="115"/>
        <v/>
      </c>
      <c r="AP288" s="61" t="str">
        <f t="shared" si="116"/>
        <v/>
      </c>
      <c r="AQ288" s="61" t="str">
        <f t="shared" si="117"/>
        <v/>
      </c>
      <c r="AR288" s="61" t="str">
        <f t="shared" si="118"/>
        <v/>
      </c>
    </row>
    <row r="289" spans="16:44" x14ac:dyDescent="0.25">
      <c r="P289" s="73" t="str">
        <f t="shared" si="99"/>
        <v/>
      </c>
      <c r="Q289" s="73" t="str">
        <f t="shared" si="100"/>
        <v/>
      </c>
      <c r="R289" s="74" t="str">
        <f t="shared" si="101"/>
        <v/>
      </c>
      <c r="S289" s="74" t="str">
        <f t="shared" si="102"/>
        <v/>
      </c>
      <c r="U289" s="74" t="str">
        <f t="shared" si="98"/>
        <v/>
      </c>
      <c r="V289" s="74" t="str">
        <f t="shared" si="98"/>
        <v/>
      </c>
      <c r="W289" s="74" t="str">
        <f t="shared" si="98"/>
        <v/>
      </c>
      <c r="X289" s="74" t="str">
        <f t="shared" si="98"/>
        <v/>
      </c>
      <c r="Y289" s="74" t="str">
        <f t="shared" si="98"/>
        <v/>
      </c>
      <c r="Z289" s="74" t="str">
        <f t="shared" si="103"/>
        <v/>
      </c>
      <c r="AA289" s="74">
        <f t="shared" si="104"/>
        <v>0</v>
      </c>
      <c r="AB289" s="74">
        <f t="shared" si="105"/>
        <v>0</v>
      </c>
      <c r="AC289" s="74" t="str">
        <f t="shared" si="106"/>
        <v/>
      </c>
      <c r="AE289" s="74" t="str">
        <f t="shared" si="107"/>
        <v/>
      </c>
      <c r="AF289" s="74" t="str">
        <f t="shared" si="108"/>
        <v/>
      </c>
      <c r="AG289" s="74" t="str">
        <f t="shared" si="109"/>
        <v/>
      </c>
      <c r="AH289" s="74">
        <f t="shared" si="110"/>
        <v>0</v>
      </c>
      <c r="AI289" s="74" t="str">
        <f>IF(AH289&lt;&gt;0,COUNTIF(AH$3:AH289,1),"")</f>
        <v/>
      </c>
      <c r="AJ289" s="74">
        <f t="shared" si="111"/>
        <v>0</v>
      </c>
      <c r="AK289" s="73" t="str">
        <f t="shared" si="112"/>
        <v/>
      </c>
      <c r="AL289" s="73" t="str">
        <f t="shared" si="113"/>
        <v/>
      </c>
      <c r="AM289" s="73" t="str">
        <f t="shared" si="114"/>
        <v/>
      </c>
      <c r="AN289" s="73" t="str">
        <f t="shared" si="115"/>
        <v/>
      </c>
      <c r="AP289" s="61" t="str">
        <f t="shared" si="116"/>
        <v/>
      </c>
      <c r="AQ289" s="61" t="str">
        <f t="shared" si="117"/>
        <v/>
      </c>
      <c r="AR289" s="61" t="str">
        <f t="shared" si="118"/>
        <v/>
      </c>
    </row>
    <row r="290" spans="16:44" x14ac:dyDescent="0.25">
      <c r="P290" s="73" t="str">
        <f t="shared" si="99"/>
        <v/>
      </c>
      <c r="Q290" s="73" t="str">
        <f t="shared" si="100"/>
        <v/>
      </c>
      <c r="R290" s="74" t="str">
        <f t="shared" si="101"/>
        <v/>
      </c>
      <c r="S290" s="74" t="str">
        <f t="shared" si="102"/>
        <v/>
      </c>
      <c r="U290" s="74" t="str">
        <f t="shared" si="98"/>
        <v/>
      </c>
      <c r="V290" s="74" t="str">
        <f t="shared" si="98"/>
        <v/>
      </c>
      <c r="W290" s="74" t="str">
        <f t="shared" si="98"/>
        <v/>
      </c>
      <c r="X290" s="74" t="str">
        <f t="shared" si="98"/>
        <v/>
      </c>
      <c r="Y290" s="74" t="str">
        <f t="shared" si="98"/>
        <v/>
      </c>
      <c r="Z290" s="74" t="str">
        <f t="shared" si="103"/>
        <v/>
      </c>
      <c r="AA290" s="74">
        <f t="shared" si="104"/>
        <v>0</v>
      </c>
      <c r="AB290" s="74">
        <f t="shared" si="105"/>
        <v>0</v>
      </c>
      <c r="AC290" s="74" t="str">
        <f t="shared" si="106"/>
        <v/>
      </c>
      <c r="AE290" s="74" t="str">
        <f t="shared" si="107"/>
        <v/>
      </c>
      <c r="AF290" s="74" t="str">
        <f t="shared" si="108"/>
        <v/>
      </c>
      <c r="AG290" s="74" t="str">
        <f t="shared" si="109"/>
        <v/>
      </c>
      <c r="AH290" s="74">
        <f t="shared" si="110"/>
        <v>0</v>
      </c>
      <c r="AI290" s="74" t="str">
        <f>IF(AH290&lt;&gt;0,COUNTIF(AH$3:AH290,1),"")</f>
        <v/>
      </c>
      <c r="AJ290" s="74">
        <f t="shared" si="111"/>
        <v>0</v>
      </c>
      <c r="AK290" s="73" t="str">
        <f t="shared" si="112"/>
        <v/>
      </c>
      <c r="AL290" s="73" t="str">
        <f t="shared" si="113"/>
        <v/>
      </c>
      <c r="AM290" s="73" t="str">
        <f t="shared" si="114"/>
        <v/>
      </c>
      <c r="AN290" s="73" t="str">
        <f t="shared" si="115"/>
        <v/>
      </c>
      <c r="AP290" s="61" t="str">
        <f t="shared" si="116"/>
        <v/>
      </c>
      <c r="AQ290" s="61" t="str">
        <f t="shared" si="117"/>
        <v/>
      </c>
      <c r="AR290" s="61" t="str">
        <f t="shared" si="118"/>
        <v/>
      </c>
    </row>
    <row r="291" spans="16:44" x14ac:dyDescent="0.25">
      <c r="P291" s="73" t="str">
        <f t="shared" si="99"/>
        <v/>
      </c>
      <c r="Q291" s="73" t="str">
        <f t="shared" si="100"/>
        <v/>
      </c>
      <c r="R291" s="74" t="str">
        <f t="shared" si="101"/>
        <v/>
      </c>
      <c r="S291" s="74" t="str">
        <f t="shared" si="102"/>
        <v/>
      </c>
      <c r="U291" s="74" t="str">
        <f t="shared" si="98"/>
        <v/>
      </c>
      <c r="V291" s="74" t="str">
        <f t="shared" si="98"/>
        <v/>
      </c>
      <c r="W291" s="74" t="str">
        <f t="shared" si="98"/>
        <v/>
      </c>
      <c r="X291" s="74" t="str">
        <f t="shared" si="98"/>
        <v/>
      </c>
      <c r="Y291" s="74" t="str">
        <f t="shared" si="98"/>
        <v/>
      </c>
      <c r="Z291" s="74" t="str">
        <f t="shared" si="103"/>
        <v/>
      </c>
      <c r="AA291" s="74">
        <f t="shared" si="104"/>
        <v>0</v>
      </c>
      <c r="AB291" s="74">
        <f t="shared" si="105"/>
        <v>0</v>
      </c>
      <c r="AC291" s="74" t="str">
        <f t="shared" si="106"/>
        <v/>
      </c>
      <c r="AE291" s="74" t="str">
        <f t="shared" si="107"/>
        <v/>
      </c>
      <c r="AF291" s="74" t="str">
        <f t="shared" si="108"/>
        <v/>
      </c>
      <c r="AG291" s="74" t="str">
        <f t="shared" si="109"/>
        <v/>
      </c>
      <c r="AH291" s="74">
        <f t="shared" si="110"/>
        <v>0</v>
      </c>
      <c r="AI291" s="74" t="str">
        <f>IF(AH291&lt;&gt;0,COUNTIF(AH$3:AH291,1),"")</f>
        <v/>
      </c>
      <c r="AJ291" s="74">
        <f t="shared" si="111"/>
        <v>0</v>
      </c>
      <c r="AK291" s="73" t="str">
        <f t="shared" si="112"/>
        <v/>
      </c>
      <c r="AL291" s="73" t="str">
        <f t="shared" si="113"/>
        <v/>
      </c>
      <c r="AM291" s="73" t="str">
        <f t="shared" si="114"/>
        <v/>
      </c>
      <c r="AN291" s="73" t="str">
        <f t="shared" si="115"/>
        <v/>
      </c>
      <c r="AP291" s="61" t="str">
        <f t="shared" si="116"/>
        <v/>
      </c>
      <c r="AQ291" s="61" t="str">
        <f t="shared" si="117"/>
        <v/>
      </c>
      <c r="AR291" s="61" t="str">
        <f t="shared" si="118"/>
        <v/>
      </c>
    </row>
    <row r="292" spans="16:44" x14ac:dyDescent="0.25">
      <c r="P292" s="73" t="str">
        <f t="shared" si="99"/>
        <v/>
      </c>
      <c r="Q292" s="73" t="str">
        <f t="shared" si="100"/>
        <v/>
      </c>
      <c r="R292" s="74" t="str">
        <f t="shared" si="101"/>
        <v/>
      </c>
      <c r="S292" s="74" t="str">
        <f t="shared" si="102"/>
        <v/>
      </c>
      <c r="U292" s="74" t="str">
        <f t="shared" ref="U292:Y342" si="119">IF($F292=U$1,$E292,"")</f>
        <v/>
      </c>
      <c r="V292" s="74" t="str">
        <f t="shared" si="119"/>
        <v/>
      </c>
      <c r="W292" s="74" t="str">
        <f t="shared" si="119"/>
        <v/>
      </c>
      <c r="X292" s="74" t="str">
        <f t="shared" si="119"/>
        <v/>
      </c>
      <c r="Y292" s="74" t="str">
        <f t="shared" si="119"/>
        <v/>
      </c>
      <c r="Z292" s="74" t="str">
        <f t="shared" si="103"/>
        <v/>
      </c>
      <c r="AA292" s="74">
        <f t="shared" si="104"/>
        <v>0</v>
      </c>
      <c r="AB292" s="74">
        <f t="shared" si="105"/>
        <v>0</v>
      </c>
      <c r="AC292" s="74" t="str">
        <f t="shared" si="106"/>
        <v/>
      </c>
      <c r="AE292" s="74" t="str">
        <f t="shared" si="107"/>
        <v/>
      </c>
      <c r="AF292" s="74" t="str">
        <f t="shared" si="108"/>
        <v/>
      </c>
      <c r="AG292" s="74" t="str">
        <f t="shared" si="109"/>
        <v/>
      </c>
      <c r="AH292" s="74">
        <f t="shared" si="110"/>
        <v>0</v>
      </c>
      <c r="AI292" s="74" t="str">
        <f>IF(AH292&lt;&gt;0,COUNTIF(AH$3:AH292,1),"")</f>
        <v/>
      </c>
      <c r="AJ292" s="74">
        <f t="shared" si="111"/>
        <v>0</v>
      </c>
      <c r="AK292" s="73" t="str">
        <f t="shared" si="112"/>
        <v/>
      </c>
      <c r="AL292" s="73" t="str">
        <f t="shared" si="113"/>
        <v/>
      </c>
      <c r="AM292" s="73" t="str">
        <f t="shared" si="114"/>
        <v/>
      </c>
      <c r="AN292" s="73" t="str">
        <f t="shared" si="115"/>
        <v/>
      </c>
      <c r="AP292" s="61" t="str">
        <f t="shared" si="116"/>
        <v/>
      </c>
      <c r="AQ292" s="61" t="str">
        <f t="shared" si="117"/>
        <v/>
      </c>
      <c r="AR292" s="61" t="str">
        <f t="shared" si="118"/>
        <v/>
      </c>
    </row>
    <row r="293" spans="16:44" x14ac:dyDescent="0.25">
      <c r="P293" s="73" t="str">
        <f t="shared" si="99"/>
        <v/>
      </c>
      <c r="Q293" s="73" t="str">
        <f t="shared" si="100"/>
        <v/>
      </c>
      <c r="R293" s="74" t="str">
        <f t="shared" si="101"/>
        <v/>
      </c>
      <c r="S293" s="74" t="str">
        <f t="shared" si="102"/>
        <v/>
      </c>
      <c r="U293" s="74" t="str">
        <f t="shared" si="119"/>
        <v/>
      </c>
      <c r="V293" s="74" t="str">
        <f t="shared" si="119"/>
        <v/>
      </c>
      <c r="W293" s="74" t="str">
        <f t="shared" si="119"/>
        <v/>
      </c>
      <c r="X293" s="74" t="str">
        <f t="shared" si="119"/>
        <v/>
      </c>
      <c r="Y293" s="74" t="str">
        <f t="shared" si="119"/>
        <v/>
      </c>
      <c r="Z293" s="74" t="str">
        <f t="shared" si="103"/>
        <v/>
      </c>
      <c r="AA293" s="74">
        <f t="shared" si="104"/>
        <v>0</v>
      </c>
      <c r="AB293" s="74">
        <f t="shared" si="105"/>
        <v>0</v>
      </c>
      <c r="AC293" s="74" t="str">
        <f t="shared" si="106"/>
        <v/>
      </c>
      <c r="AE293" s="74" t="str">
        <f t="shared" si="107"/>
        <v/>
      </c>
      <c r="AF293" s="74" t="str">
        <f t="shared" si="108"/>
        <v/>
      </c>
      <c r="AG293" s="74" t="str">
        <f t="shared" si="109"/>
        <v/>
      </c>
      <c r="AH293" s="74">
        <f t="shared" si="110"/>
        <v>0</v>
      </c>
      <c r="AI293" s="74" t="str">
        <f>IF(AH293&lt;&gt;0,COUNTIF(AH$3:AH293,1),"")</f>
        <v/>
      </c>
      <c r="AJ293" s="74">
        <f t="shared" si="111"/>
        <v>0</v>
      </c>
      <c r="AK293" s="73" t="str">
        <f t="shared" si="112"/>
        <v/>
      </c>
      <c r="AL293" s="73" t="str">
        <f t="shared" si="113"/>
        <v/>
      </c>
      <c r="AM293" s="73" t="str">
        <f t="shared" si="114"/>
        <v/>
      </c>
      <c r="AN293" s="73" t="str">
        <f t="shared" si="115"/>
        <v/>
      </c>
      <c r="AP293" s="61" t="str">
        <f t="shared" si="116"/>
        <v/>
      </c>
      <c r="AQ293" s="61" t="str">
        <f t="shared" si="117"/>
        <v/>
      </c>
      <c r="AR293" s="61" t="str">
        <f t="shared" si="118"/>
        <v/>
      </c>
    </row>
    <row r="294" spans="16:44" x14ac:dyDescent="0.25">
      <c r="P294" s="73" t="str">
        <f t="shared" si="99"/>
        <v/>
      </c>
      <c r="Q294" s="73" t="str">
        <f t="shared" si="100"/>
        <v/>
      </c>
      <c r="R294" s="74" t="str">
        <f t="shared" si="101"/>
        <v/>
      </c>
      <c r="S294" s="74" t="str">
        <f t="shared" si="102"/>
        <v/>
      </c>
      <c r="U294" s="74" t="str">
        <f t="shared" si="119"/>
        <v/>
      </c>
      <c r="V294" s="74" t="str">
        <f t="shared" si="119"/>
        <v/>
      </c>
      <c r="W294" s="74" t="str">
        <f t="shared" si="119"/>
        <v/>
      </c>
      <c r="X294" s="74" t="str">
        <f t="shared" si="119"/>
        <v/>
      </c>
      <c r="Y294" s="74" t="str">
        <f t="shared" si="119"/>
        <v/>
      </c>
      <c r="Z294" s="74" t="str">
        <f t="shared" si="103"/>
        <v/>
      </c>
      <c r="AA294" s="74">
        <f t="shared" si="104"/>
        <v>0</v>
      </c>
      <c r="AB294" s="74">
        <f t="shared" si="105"/>
        <v>0</v>
      </c>
      <c r="AC294" s="74" t="str">
        <f t="shared" si="106"/>
        <v/>
      </c>
      <c r="AE294" s="74" t="str">
        <f t="shared" si="107"/>
        <v/>
      </c>
      <c r="AF294" s="74" t="str">
        <f t="shared" si="108"/>
        <v/>
      </c>
      <c r="AG294" s="74" t="str">
        <f t="shared" si="109"/>
        <v/>
      </c>
      <c r="AH294" s="74">
        <f t="shared" si="110"/>
        <v>0</v>
      </c>
      <c r="AI294" s="74" t="str">
        <f>IF(AH294&lt;&gt;0,COUNTIF(AH$3:AH294,1),"")</f>
        <v/>
      </c>
      <c r="AJ294" s="74">
        <f t="shared" si="111"/>
        <v>0</v>
      </c>
      <c r="AK294" s="73" t="str">
        <f t="shared" si="112"/>
        <v/>
      </c>
      <c r="AL294" s="73" t="str">
        <f t="shared" si="113"/>
        <v/>
      </c>
      <c r="AM294" s="73" t="str">
        <f t="shared" si="114"/>
        <v/>
      </c>
      <c r="AN294" s="73" t="str">
        <f t="shared" si="115"/>
        <v/>
      </c>
      <c r="AP294" s="61" t="str">
        <f t="shared" si="116"/>
        <v/>
      </c>
      <c r="AQ294" s="61" t="str">
        <f t="shared" si="117"/>
        <v/>
      </c>
      <c r="AR294" s="61" t="str">
        <f t="shared" si="118"/>
        <v/>
      </c>
    </row>
    <row r="295" spans="16:44" x14ac:dyDescent="0.25">
      <c r="P295" s="73" t="str">
        <f t="shared" si="99"/>
        <v/>
      </c>
      <c r="Q295" s="73" t="str">
        <f t="shared" si="100"/>
        <v/>
      </c>
      <c r="R295" s="74" t="str">
        <f t="shared" si="101"/>
        <v/>
      </c>
      <c r="S295" s="74" t="str">
        <f t="shared" si="102"/>
        <v/>
      </c>
      <c r="U295" s="74" t="str">
        <f t="shared" si="119"/>
        <v/>
      </c>
      <c r="V295" s="74" t="str">
        <f t="shared" si="119"/>
        <v/>
      </c>
      <c r="W295" s="74" t="str">
        <f t="shared" si="119"/>
        <v/>
      </c>
      <c r="X295" s="74" t="str">
        <f t="shared" si="119"/>
        <v/>
      </c>
      <c r="Y295" s="74" t="str">
        <f t="shared" si="119"/>
        <v/>
      </c>
      <c r="Z295" s="74" t="str">
        <f t="shared" si="103"/>
        <v/>
      </c>
      <c r="AA295" s="74">
        <f t="shared" si="104"/>
        <v>0</v>
      </c>
      <c r="AB295" s="74">
        <f t="shared" si="105"/>
        <v>0</v>
      </c>
      <c r="AC295" s="74" t="str">
        <f t="shared" si="106"/>
        <v/>
      </c>
      <c r="AE295" s="74" t="str">
        <f t="shared" si="107"/>
        <v/>
      </c>
      <c r="AF295" s="74" t="str">
        <f t="shared" si="108"/>
        <v/>
      </c>
      <c r="AG295" s="74" t="str">
        <f t="shared" si="109"/>
        <v/>
      </c>
      <c r="AH295" s="74">
        <f t="shared" si="110"/>
        <v>0</v>
      </c>
      <c r="AI295" s="74" t="str">
        <f>IF(AH295&lt;&gt;0,COUNTIF(AH$3:AH295,1),"")</f>
        <v/>
      </c>
      <c r="AJ295" s="74">
        <f t="shared" si="111"/>
        <v>0</v>
      </c>
      <c r="AK295" s="73" t="str">
        <f t="shared" si="112"/>
        <v/>
      </c>
      <c r="AL295" s="73" t="str">
        <f t="shared" si="113"/>
        <v/>
      </c>
      <c r="AM295" s="73" t="str">
        <f t="shared" si="114"/>
        <v/>
      </c>
      <c r="AN295" s="73" t="str">
        <f t="shared" si="115"/>
        <v/>
      </c>
      <c r="AP295" s="61" t="str">
        <f t="shared" si="116"/>
        <v/>
      </c>
      <c r="AQ295" s="61" t="str">
        <f t="shared" si="117"/>
        <v/>
      </c>
      <c r="AR295" s="61" t="str">
        <f t="shared" si="118"/>
        <v/>
      </c>
    </row>
    <row r="296" spans="16:44" x14ac:dyDescent="0.25">
      <c r="P296" s="73" t="str">
        <f t="shared" si="99"/>
        <v/>
      </c>
      <c r="Q296" s="73" t="str">
        <f t="shared" si="100"/>
        <v/>
      </c>
      <c r="R296" s="74" t="str">
        <f t="shared" si="101"/>
        <v/>
      </c>
      <c r="S296" s="74" t="str">
        <f t="shared" si="102"/>
        <v/>
      </c>
      <c r="U296" s="74" t="str">
        <f t="shared" si="119"/>
        <v/>
      </c>
      <c r="V296" s="74" t="str">
        <f t="shared" si="119"/>
        <v/>
      </c>
      <c r="W296" s="74" t="str">
        <f t="shared" si="119"/>
        <v/>
      </c>
      <c r="X296" s="74" t="str">
        <f t="shared" si="119"/>
        <v/>
      </c>
      <c r="Y296" s="74" t="str">
        <f t="shared" si="119"/>
        <v/>
      </c>
      <c r="Z296" s="74" t="str">
        <f t="shared" si="103"/>
        <v/>
      </c>
      <c r="AA296" s="74">
        <f t="shared" si="104"/>
        <v>0</v>
      </c>
      <c r="AB296" s="74">
        <f t="shared" si="105"/>
        <v>0</v>
      </c>
      <c r="AC296" s="74" t="str">
        <f t="shared" si="106"/>
        <v/>
      </c>
      <c r="AE296" s="74" t="str">
        <f t="shared" si="107"/>
        <v/>
      </c>
      <c r="AF296" s="74" t="str">
        <f t="shared" si="108"/>
        <v/>
      </c>
      <c r="AG296" s="74" t="str">
        <f t="shared" si="109"/>
        <v/>
      </c>
      <c r="AH296" s="74">
        <f t="shared" si="110"/>
        <v>0</v>
      </c>
      <c r="AI296" s="74" t="str">
        <f>IF(AH296&lt;&gt;0,COUNTIF(AH$3:AH296,1),"")</f>
        <v/>
      </c>
      <c r="AJ296" s="74">
        <f t="shared" si="111"/>
        <v>0</v>
      </c>
      <c r="AK296" s="73" t="str">
        <f t="shared" si="112"/>
        <v/>
      </c>
      <c r="AL296" s="73" t="str">
        <f t="shared" si="113"/>
        <v/>
      </c>
      <c r="AM296" s="73" t="str">
        <f t="shared" si="114"/>
        <v/>
      </c>
      <c r="AN296" s="73" t="str">
        <f t="shared" si="115"/>
        <v/>
      </c>
      <c r="AP296" s="61" t="str">
        <f t="shared" si="116"/>
        <v/>
      </c>
      <c r="AQ296" s="61" t="str">
        <f t="shared" si="117"/>
        <v/>
      </c>
      <c r="AR296" s="61" t="str">
        <f t="shared" si="118"/>
        <v/>
      </c>
    </row>
    <row r="297" spans="16:44" x14ac:dyDescent="0.25">
      <c r="P297" s="73" t="str">
        <f t="shared" si="99"/>
        <v/>
      </c>
      <c r="Q297" s="73" t="str">
        <f t="shared" si="100"/>
        <v/>
      </c>
      <c r="R297" s="74" t="str">
        <f t="shared" si="101"/>
        <v/>
      </c>
      <c r="S297" s="74" t="str">
        <f t="shared" si="102"/>
        <v/>
      </c>
      <c r="U297" s="74" t="str">
        <f t="shared" si="119"/>
        <v/>
      </c>
      <c r="V297" s="74" t="str">
        <f t="shared" si="119"/>
        <v/>
      </c>
      <c r="W297" s="74" t="str">
        <f t="shared" si="119"/>
        <v/>
      </c>
      <c r="X297" s="74" t="str">
        <f t="shared" si="119"/>
        <v/>
      </c>
      <c r="Y297" s="74" t="str">
        <f t="shared" si="119"/>
        <v/>
      </c>
      <c r="Z297" s="74" t="str">
        <f t="shared" si="103"/>
        <v/>
      </c>
      <c r="AA297" s="74">
        <f t="shared" si="104"/>
        <v>0</v>
      </c>
      <c r="AB297" s="74">
        <f t="shared" si="105"/>
        <v>0</v>
      </c>
      <c r="AC297" s="74" t="str">
        <f t="shared" si="106"/>
        <v/>
      </c>
      <c r="AE297" s="74" t="str">
        <f t="shared" si="107"/>
        <v/>
      </c>
      <c r="AF297" s="74" t="str">
        <f t="shared" si="108"/>
        <v/>
      </c>
      <c r="AG297" s="74" t="str">
        <f t="shared" si="109"/>
        <v/>
      </c>
      <c r="AH297" s="74">
        <f t="shared" si="110"/>
        <v>0</v>
      </c>
      <c r="AI297" s="74" t="str">
        <f>IF(AH297&lt;&gt;0,COUNTIF(AH$3:AH297,1),"")</f>
        <v/>
      </c>
      <c r="AJ297" s="74">
        <f t="shared" si="111"/>
        <v>0</v>
      </c>
      <c r="AK297" s="73" t="str">
        <f t="shared" si="112"/>
        <v/>
      </c>
      <c r="AL297" s="73" t="str">
        <f t="shared" si="113"/>
        <v/>
      </c>
      <c r="AM297" s="73" t="str">
        <f t="shared" si="114"/>
        <v/>
      </c>
      <c r="AN297" s="73" t="str">
        <f t="shared" si="115"/>
        <v/>
      </c>
      <c r="AP297" s="61" t="str">
        <f t="shared" si="116"/>
        <v/>
      </c>
      <c r="AQ297" s="61" t="str">
        <f t="shared" si="117"/>
        <v/>
      </c>
      <c r="AR297" s="61" t="str">
        <f t="shared" si="118"/>
        <v/>
      </c>
    </row>
    <row r="298" spans="16:44" x14ac:dyDescent="0.25">
      <c r="P298" s="73" t="str">
        <f t="shared" si="99"/>
        <v/>
      </c>
      <c r="Q298" s="73" t="str">
        <f t="shared" si="100"/>
        <v/>
      </c>
      <c r="R298" s="74" t="str">
        <f t="shared" si="101"/>
        <v/>
      </c>
      <c r="S298" s="74" t="str">
        <f t="shared" si="102"/>
        <v/>
      </c>
      <c r="U298" s="74" t="str">
        <f t="shared" si="119"/>
        <v/>
      </c>
      <c r="V298" s="74" t="str">
        <f t="shared" si="119"/>
        <v/>
      </c>
      <c r="W298" s="74" t="str">
        <f t="shared" si="119"/>
        <v/>
      </c>
      <c r="X298" s="74" t="str">
        <f t="shared" si="119"/>
        <v/>
      </c>
      <c r="Y298" s="74" t="str">
        <f t="shared" si="119"/>
        <v/>
      </c>
      <c r="Z298" s="74" t="str">
        <f t="shared" si="103"/>
        <v/>
      </c>
      <c r="AA298" s="74">
        <f t="shared" si="104"/>
        <v>0</v>
      </c>
      <c r="AB298" s="74">
        <f t="shared" si="105"/>
        <v>0</v>
      </c>
      <c r="AC298" s="74" t="str">
        <f t="shared" si="106"/>
        <v/>
      </c>
      <c r="AE298" s="74" t="str">
        <f t="shared" si="107"/>
        <v/>
      </c>
      <c r="AF298" s="74" t="str">
        <f t="shared" si="108"/>
        <v/>
      </c>
      <c r="AG298" s="74" t="str">
        <f t="shared" si="109"/>
        <v/>
      </c>
      <c r="AH298" s="74">
        <f t="shared" si="110"/>
        <v>0</v>
      </c>
      <c r="AI298" s="74" t="str">
        <f>IF(AH298&lt;&gt;0,COUNTIF(AH$3:AH298,1),"")</f>
        <v/>
      </c>
      <c r="AJ298" s="74">
        <f t="shared" si="111"/>
        <v>0</v>
      </c>
      <c r="AK298" s="73" t="str">
        <f t="shared" si="112"/>
        <v/>
      </c>
      <c r="AL298" s="73" t="str">
        <f t="shared" si="113"/>
        <v/>
      </c>
      <c r="AM298" s="73" t="str">
        <f t="shared" si="114"/>
        <v/>
      </c>
      <c r="AN298" s="73" t="str">
        <f t="shared" si="115"/>
        <v/>
      </c>
      <c r="AP298" s="61" t="str">
        <f t="shared" si="116"/>
        <v/>
      </c>
      <c r="AQ298" s="61" t="str">
        <f t="shared" si="117"/>
        <v/>
      </c>
      <c r="AR298" s="61" t="str">
        <f t="shared" si="118"/>
        <v/>
      </c>
    </row>
    <row r="299" spans="16:44" x14ac:dyDescent="0.25">
      <c r="P299" s="73" t="str">
        <f t="shared" si="99"/>
        <v/>
      </c>
      <c r="Q299" s="73" t="str">
        <f t="shared" si="100"/>
        <v/>
      </c>
      <c r="R299" s="74" t="str">
        <f t="shared" si="101"/>
        <v/>
      </c>
      <c r="S299" s="74" t="str">
        <f t="shared" si="102"/>
        <v/>
      </c>
      <c r="U299" s="74" t="str">
        <f t="shared" si="119"/>
        <v/>
      </c>
      <c r="V299" s="74" t="str">
        <f t="shared" si="119"/>
        <v/>
      </c>
      <c r="W299" s="74" t="str">
        <f t="shared" si="119"/>
        <v/>
      </c>
      <c r="X299" s="74" t="str">
        <f t="shared" si="119"/>
        <v/>
      </c>
      <c r="Y299" s="74" t="str">
        <f t="shared" si="119"/>
        <v/>
      </c>
      <c r="Z299" s="74" t="str">
        <f t="shared" si="103"/>
        <v/>
      </c>
      <c r="AA299" s="74">
        <f t="shared" si="104"/>
        <v>0</v>
      </c>
      <c r="AB299" s="74">
        <f t="shared" si="105"/>
        <v>0</v>
      </c>
      <c r="AC299" s="74" t="str">
        <f t="shared" si="106"/>
        <v/>
      </c>
      <c r="AE299" s="74" t="str">
        <f t="shared" si="107"/>
        <v/>
      </c>
      <c r="AF299" s="74" t="str">
        <f t="shared" si="108"/>
        <v/>
      </c>
      <c r="AG299" s="74" t="str">
        <f t="shared" si="109"/>
        <v/>
      </c>
      <c r="AH299" s="74">
        <f t="shared" si="110"/>
        <v>0</v>
      </c>
      <c r="AI299" s="74" t="str">
        <f>IF(AH299&lt;&gt;0,COUNTIF(AH$3:AH299,1),"")</f>
        <v/>
      </c>
      <c r="AJ299" s="74">
        <f t="shared" si="111"/>
        <v>0</v>
      </c>
      <c r="AK299" s="73" t="str">
        <f t="shared" si="112"/>
        <v/>
      </c>
      <c r="AL299" s="73" t="str">
        <f t="shared" si="113"/>
        <v/>
      </c>
      <c r="AM299" s="73" t="str">
        <f t="shared" si="114"/>
        <v/>
      </c>
      <c r="AN299" s="73" t="str">
        <f t="shared" si="115"/>
        <v/>
      </c>
      <c r="AP299" s="61" t="str">
        <f t="shared" si="116"/>
        <v/>
      </c>
      <c r="AQ299" s="61" t="str">
        <f t="shared" si="117"/>
        <v/>
      </c>
      <c r="AR299" s="61" t="str">
        <f t="shared" si="118"/>
        <v/>
      </c>
    </row>
    <row r="300" spans="16:44" x14ac:dyDescent="0.25">
      <c r="P300" s="73" t="str">
        <f t="shared" si="99"/>
        <v/>
      </c>
      <c r="Q300" s="73" t="str">
        <f t="shared" si="100"/>
        <v/>
      </c>
      <c r="R300" s="74" t="str">
        <f t="shared" si="101"/>
        <v/>
      </c>
      <c r="S300" s="74" t="str">
        <f t="shared" si="102"/>
        <v/>
      </c>
      <c r="U300" s="74" t="str">
        <f t="shared" si="119"/>
        <v/>
      </c>
      <c r="V300" s="74" t="str">
        <f t="shared" si="119"/>
        <v/>
      </c>
      <c r="W300" s="74" t="str">
        <f t="shared" si="119"/>
        <v/>
      </c>
      <c r="X300" s="74" t="str">
        <f t="shared" si="119"/>
        <v/>
      </c>
      <c r="Y300" s="74" t="str">
        <f t="shared" si="119"/>
        <v/>
      </c>
      <c r="Z300" s="74" t="str">
        <f t="shared" si="103"/>
        <v/>
      </c>
      <c r="AA300" s="74">
        <f t="shared" si="104"/>
        <v>0</v>
      </c>
      <c r="AB300" s="74">
        <f t="shared" si="105"/>
        <v>0</v>
      </c>
      <c r="AC300" s="74" t="str">
        <f t="shared" si="106"/>
        <v/>
      </c>
      <c r="AE300" s="74" t="str">
        <f t="shared" si="107"/>
        <v/>
      </c>
      <c r="AF300" s="74" t="str">
        <f t="shared" si="108"/>
        <v/>
      </c>
      <c r="AG300" s="74" t="str">
        <f t="shared" si="109"/>
        <v/>
      </c>
      <c r="AH300" s="74">
        <f t="shared" si="110"/>
        <v>0</v>
      </c>
      <c r="AI300" s="74" t="str">
        <f>IF(AH300&lt;&gt;0,COUNTIF(AH$3:AH300,1),"")</f>
        <v/>
      </c>
      <c r="AJ300" s="74">
        <f t="shared" si="111"/>
        <v>0</v>
      </c>
      <c r="AK300" s="73" t="str">
        <f t="shared" si="112"/>
        <v/>
      </c>
      <c r="AL300" s="73" t="str">
        <f t="shared" si="113"/>
        <v/>
      </c>
      <c r="AM300" s="73" t="str">
        <f t="shared" si="114"/>
        <v/>
      </c>
      <c r="AN300" s="73" t="str">
        <f t="shared" si="115"/>
        <v/>
      </c>
      <c r="AP300" s="61" t="str">
        <f t="shared" si="116"/>
        <v/>
      </c>
      <c r="AQ300" s="61" t="str">
        <f t="shared" si="117"/>
        <v/>
      </c>
      <c r="AR300" s="61" t="str">
        <f t="shared" si="118"/>
        <v/>
      </c>
    </row>
    <row r="301" spans="16:44" x14ac:dyDescent="0.25">
      <c r="P301" s="73" t="str">
        <f t="shared" si="99"/>
        <v/>
      </c>
      <c r="Q301" s="73" t="str">
        <f t="shared" si="100"/>
        <v/>
      </c>
      <c r="R301" s="74" t="str">
        <f t="shared" si="101"/>
        <v/>
      </c>
      <c r="S301" s="74" t="str">
        <f t="shared" si="102"/>
        <v/>
      </c>
      <c r="U301" s="74" t="str">
        <f t="shared" si="119"/>
        <v/>
      </c>
      <c r="V301" s="74" t="str">
        <f t="shared" si="119"/>
        <v/>
      </c>
      <c r="W301" s="74" t="str">
        <f t="shared" si="119"/>
        <v/>
      </c>
      <c r="X301" s="74" t="str">
        <f t="shared" si="119"/>
        <v/>
      </c>
      <c r="Y301" s="74" t="str">
        <f t="shared" si="119"/>
        <v/>
      </c>
      <c r="Z301" s="74" t="str">
        <f t="shared" si="103"/>
        <v/>
      </c>
      <c r="AA301" s="74">
        <f t="shared" si="104"/>
        <v>0</v>
      </c>
      <c r="AB301" s="74">
        <f t="shared" si="105"/>
        <v>0</v>
      </c>
      <c r="AC301" s="74" t="str">
        <f t="shared" si="106"/>
        <v/>
      </c>
      <c r="AE301" s="74" t="str">
        <f t="shared" si="107"/>
        <v/>
      </c>
      <c r="AF301" s="74" t="str">
        <f t="shared" si="108"/>
        <v/>
      </c>
      <c r="AG301" s="74" t="str">
        <f t="shared" si="109"/>
        <v/>
      </c>
      <c r="AH301" s="74">
        <f t="shared" si="110"/>
        <v>0</v>
      </c>
      <c r="AI301" s="74" t="str">
        <f>IF(AH301&lt;&gt;0,COUNTIF(AH$3:AH301,1),"")</f>
        <v/>
      </c>
      <c r="AJ301" s="74">
        <f t="shared" si="111"/>
        <v>0</v>
      </c>
      <c r="AK301" s="73" t="str">
        <f t="shared" si="112"/>
        <v/>
      </c>
      <c r="AL301" s="73" t="str">
        <f t="shared" si="113"/>
        <v/>
      </c>
      <c r="AM301" s="73" t="str">
        <f t="shared" si="114"/>
        <v/>
      </c>
      <c r="AN301" s="73" t="str">
        <f t="shared" si="115"/>
        <v/>
      </c>
      <c r="AP301" s="61" t="str">
        <f t="shared" si="116"/>
        <v/>
      </c>
      <c r="AQ301" s="61" t="str">
        <f t="shared" si="117"/>
        <v/>
      </c>
      <c r="AR301" s="61" t="str">
        <f t="shared" si="118"/>
        <v/>
      </c>
    </row>
    <row r="302" spans="16:44" x14ac:dyDescent="0.25">
      <c r="P302" s="73" t="str">
        <f t="shared" si="99"/>
        <v/>
      </c>
      <c r="Q302" s="73" t="str">
        <f t="shared" si="100"/>
        <v/>
      </c>
      <c r="R302" s="74" t="str">
        <f t="shared" si="101"/>
        <v/>
      </c>
      <c r="S302" s="74" t="str">
        <f t="shared" si="102"/>
        <v/>
      </c>
      <c r="U302" s="74" t="str">
        <f t="shared" si="119"/>
        <v/>
      </c>
      <c r="V302" s="74" t="str">
        <f t="shared" si="119"/>
        <v/>
      </c>
      <c r="W302" s="74" t="str">
        <f t="shared" si="119"/>
        <v/>
      </c>
      <c r="X302" s="74" t="str">
        <f t="shared" si="119"/>
        <v/>
      </c>
      <c r="Y302" s="74" t="str">
        <f t="shared" si="119"/>
        <v/>
      </c>
      <c r="Z302" s="74" t="str">
        <f t="shared" si="103"/>
        <v/>
      </c>
      <c r="AA302" s="74">
        <f t="shared" si="104"/>
        <v>0</v>
      </c>
      <c r="AB302" s="74">
        <f t="shared" si="105"/>
        <v>0</v>
      </c>
      <c r="AC302" s="74" t="str">
        <f t="shared" si="106"/>
        <v/>
      </c>
      <c r="AE302" s="74" t="str">
        <f t="shared" si="107"/>
        <v/>
      </c>
      <c r="AF302" s="74" t="str">
        <f t="shared" si="108"/>
        <v/>
      </c>
      <c r="AG302" s="74" t="str">
        <f t="shared" si="109"/>
        <v/>
      </c>
      <c r="AH302" s="74">
        <f t="shared" si="110"/>
        <v>0</v>
      </c>
      <c r="AI302" s="74" t="str">
        <f>IF(AH302&lt;&gt;0,COUNTIF(AH$3:AH302,1),"")</f>
        <v/>
      </c>
      <c r="AJ302" s="74">
        <f t="shared" si="111"/>
        <v>0</v>
      </c>
      <c r="AK302" s="73" t="str">
        <f t="shared" si="112"/>
        <v/>
      </c>
      <c r="AL302" s="73" t="str">
        <f t="shared" si="113"/>
        <v/>
      </c>
      <c r="AM302" s="73" t="str">
        <f t="shared" si="114"/>
        <v/>
      </c>
      <c r="AN302" s="73" t="str">
        <f t="shared" si="115"/>
        <v/>
      </c>
      <c r="AP302" s="61" t="str">
        <f t="shared" si="116"/>
        <v/>
      </c>
      <c r="AQ302" s="61" t="str">
        <f t="shared" si="117"/>
        <v/>
      </c>
      <c r="AR302" s="61" t="str">
        <f t="shared" si="118"/>
        <v/>
      </c>
    </row>
    <row r="303" spans="16:44" x14ac:dyDescent="0.25">
      <c r="P303" s="73" t="str">
        <f t="shared" si="99"/>
        <v/>
      </c>
      <c r="Q303" s="73" t="str">
        <f t="shared" si="100"/>
        <v/>
      </c>
      <c r="R303" s="74" t="str">
        <f t="shared" si="101"/>
        <v/>
      </c>
      <c r="S303" s="74" t="str">
        <f t="shared" si="102"/>
        <v/>
      </c>
      <c r="U303" s="74" t="str">
        <f t="shared" si="119"/>
        <v/>
      </c>
      <c r="V303" s="74" t="str">
        <f t="shared" si="119"/>
        <v/>
      </c>
      <c r="W303" s="74" t="str">
        <f t="shared" si="119"/>
        <v/>
      </c>
      <c r="X303" s="74" t="str">
        <f t="shared" si="119"/>
        <v/>
      </c>
      <c r="Y303" s="74" t="str">
        <f t="shared" si="119"/>
        <v/>
      </c>
      <c r="Z303" s="74" t="str">
        <f t="shared" si="103"/>
        <v/>
      </c>
      <c r="AA303" s="74">
        <f t="shared" si="104"/>
        <v>0</v>
      </c>
      <c r="AB303" s="74">
        <f t="shared" si="105"/>
        <v>0</v>
      </c>
      <c r="AC303" s="74" t="str">
        <f t="shared" si="106"/>
        <v/>
      </c>
      <c r="AE303" s="74" t="str">
        <f t="shared" si="107"/>
        <v/>
      </c>
      <c r="AF303" s="74" t="str">
        <f t="shared" si="108"/>
        <v/>
      </c>
      <c r="AG303" s="74" t="str">
        <f t="shared" si="109"/>
        <v/>
      </c>
      <c r="AH303" s="74">
        <f t="shared" si="110"/>
        <v>0</v>
      </c>
      <c r="AI303" s="74" t="str">
        <f>IF(AH303&lt;&gt;0,COUNTIF(AH$3:AH303,1),"")</f>
        <v/>
      </c>
      <c r="AJ303" s="74">
        <f t="shared" si="111"/>
        <v>0</v>
      </c>
      <c r="AK303" s="73" t="str">
        <f t="shared" si="112"/>
        <v/>
      </c>
      <c r="AL303" s="73" t="str">
        <f t="shared" si="113"/>
        <v/>
      </c>
      <c r="AM303" s="73" t="str">
        <f t="shared" si="114"/>
        <v/>
      </c>
      <c r="AN303" s="73" t="str">
        <f t="shared" si="115"/>
        <v/>
      </c>
      <c r="AP303" s="61" t="str">
        <f t="shared" si="116"/>
        <v/>
      </c>
      <c r="AQ303" s="61" t="str">
        <f t="shared" si="117"/>
        <v/>
      </c>
      <c r="AR303" s="61" t="str">
        <f t="shared" si="118"/>
        <v/>
      </c>
    </row>
    <row r="304" spans="16:44" x14ac:dyDescent="0.25">
      <c r="P304" s="73" t="str">
        <f t="shared" si="99"/>
        <v/>
      </c>
      <c r="Q304" s="73" t="str">
        <f t="shared" si="100"/>
        <v/>
      </c>
      <c r="R304" s="74" t="str">
        <f t="shared" si="101"/>
        <v/>
      </c>
      <c r="S304" s="74" t="str">
        <f t="shared" si="102"/>
        <v/>
      </c>
      <c r="U304" s="74" t="str">
        <f t="shared" si="119"/>
        <v/>
      </c>
      <c r="V304" s="74" t="str">
        <f t="shared" si="119"/>
        <v/>
      </c>
      <c r="W304" s="74" t="str">
        <f t="shared" si="119"/>
        <v/>
      </c>
      <c r="X304" s="74" t="str">
        <f t="shared" si="119"/>
        <v/>
      </c>
      <c r="Y304" s="74" t="str">
        <f t="shared" si="119"/>
        <v/>
      </c>
      <c r="Z304" s="74" t="str">
        <f t="shared" si="103"/>
        <v/>
      </c>
      <c r="AA304" s="74">
        <f t="shared" si="104"/>
        <v>0</v>
      </c>
      <c r="AB304" s="74">
        <f t="shared" si="105"/>
        <v>0</v>
      </c>
      <c r="AC304" s="74" t="str">
        <f t="shared" si="106"/>
        <v/>
      </c>
      <c r="AE304" s="74" t="str">
        <f t="shared" si="107"/>
        <v/>
      </c>
      <c r="AF304" s="74" t="str">
        <f t="shared" si="108"/>
        <v/>
      </c>
      <c r="AG304" s="74" t="str">
        <f t="shared" si="109"/>
        <v/>
      </c>
      <c r="AH304" s="74">
        <f t="shared" si="110"/>
        <v>0</v>
      </c>
      <c r="AI304" s="74" t="str">
        <f>IF(AH304&lt;&gt;0,COUNTIF(AH$3:AH304,1),"")</f>
        <v/>
      </c>
      <c r="AJ304" s="74">
        <f t="shared" si="111"/>
        <v>0</v>
      </c>
      <c r="AK304" s="73" t="str">
        <f t="shared" si="112"/>
        <v/>
      </c>
      <c r="AL304" s="73" t="str">
        <f t="shared" si="113"/>
        <v/>
      </c>
      <c r="AM304" s="73" t="str">
        <f t="shared" si="114"/>
        <v/>
      </c>
      <c r="AN304" s="73" t="str">
        <f t="shared" si="115"/>
        <v/>
      </c>
      <c r="AP304" s="61" t="str">
        <f t="shared" si="116"/>
        <v/>
      </c>
      <c r="AQ304" s="61" t="str">
        <f t="shared" si="117"/>
        <v/>
      </c>
      <c r="AR304" s="61" t="str">
        <f t="shared" si="118"/>
        <v/>
      </c>
    </row>
    <row r="305" spans="16:44" x14ac:dyDescent="0.25">
      <c r="P305" s="73" t="str">
        <f t="shared" si="99"/>
        <v/>
      </c>
      <c r="Q305" s="73" t="str">
        <f t="shared" si="100"/>
        <v/>
      </c>
      <c r="R305" s="74" t="str">
        <f t="shared" si="101"/>
        <v/>
      </c>
      <c r="S305" s="74" t="str">
        <f t="shared" si="102"/>
        <v/>
      </c>
      <c r="U305" s="74" t="str">
        <f t="shared" si="119"/>
        <v/>
      </c>
      <c r="V305" s="74" t="str">
        <f t="shared" si="119"/>
        <v/>
      </c>
      <c r="W305" s="74" t="str">
        <f t="shared" si="119"/>
        <v/>
      </c>
      <c r="X305" s="74" t="str">
        <f t="shared" si="119"/>
        <v/>
      </c>
      <c r="Y305" s="74" t="str">
        <f t="shared" si="119"/>
        <v/>
      </c>
      <c r="Z305" s="74" t="str">
        <f t="shared" si="103"/>
        <v/>
      </c>
      <c r="AA305" s="74">
        <f t="shared" si="104"/>
        <v>0</v>
      </c>
      <c r="AB305" s="74">
        <f t="shared" si="105"/>
        <v>0</v>
      </c>
      <c r="AC305" s="74" t="str">
        <f t="shared" si="106"/>
        <v/>
      </c>
      <c r="AE305" s="74" t="str">
        <f t="shared" si="107"/>
        <v/>
      </c>
      <c r="AF305" s="74" t="str">
        <f t="shared" si="108"/>
        <v/>
      </c>
      <c r="AG305" s="74" t="str">
        <f t="shared" si="109"/>
        <v/>
      </c>
      <c r="AH305" s="74">
        <f t="shared" si="110"/>
        <v>0</v>
      </c>
      <c r="AI305" s="74" t="str">
        <f>IF(AH305&lt;&gt;0,COUNTIF(AH$3:AH305,1),"")</f>
        <v/>
      </c>
      <c r="AJ305" s="74">
        <f t="shared" si="111"/>
        <v>0</v>
      </c>
      <c r="AK305" s="73" t="str">
        <f t="shared" si="112"/>
        <v/>
      </c>
      <c r="AL305" s="73" t="str">
        <f t="shared" si="113"/>
        <v/>
      </c>
      <c r="AM305" s="73" t="str">
        <f t="shared" si="114"/>
        <v/>
      </c>
      <c r="AN305" s="73" t="str">
        <f t="shared" si="115"/>
        <v/>
      </c>
      <c r="AP305" s="61" t="str">
        <f t="shared" si="116"/>
        <v/>
      </c>
      <c r="AQ305" s="61" t="str">
        <f t="shared" si="117"/>
        <v/>
      </c>
      <c r="AR305" s="61" t="str">
        <f t="shared" si="118"/>
        <v/>
      </c>
    </row>
    <row r="306" spans="16:44" x14ac:dyDescent="0.25">
      <c r="P306" s="73" t="str">
        <f t="shared" si="99"/>
        <v/>
      </c>
      <c r="Q306" s="73" t="str">
        <f t="shared" si="100"/>
        <v/>
      </c>
      <c r="R306" s="74" t="str">
        <f t="shared" si="101"/>
        <v/>
      </c>
      <c r="S306" s="74" t="str">
        <f t="shared" si="102"/>
        <v/>
      </c>
      <c r="U306" s="74" t="str">
        <f t="shared" si="119"/>
        <v/>
      </c>
      <c r="V306" s="74" t="str">
        <f t="shared" si="119"/>
        <v/>
      </c>
      <c r="W306" s="74" t="str">
        <f t="shared" si="119"/>
        <v/>
      </c>
      <c r="X306" s="74" t="str">
        <f t="shared" si="119"/>
        <v/>
      </c>
      <c r="Y306" s="74" t="str">
        <f t="shared" si="119"/>
        <v/>
      </c>
      <c r="Z306" s="74" t="str">
        <f t="shared" si="103"/>
        <v/>
      </c>
      <c r="AA306" s="74">
        <f t="shared" si="104"/>
        <v>0</v>
      </c>
      <c r="AB306" s="74">
        <f t="shared" si="105"/>
        <v>0</v>
      </c>
      <c r="AC306" s="74" t="str">
        <f t="shared" si="106"/>
        <v/>
      </c>
      <c r="AE306" s="74" t="str">
        <f t="shared" si="107"/>
        <v/>
      </c>
      <c r="AF306" s="74" t="str">
        <f t="shared" si="108"/>
        <v/>
      </c>
      <c r="AG306" s="74" t="str">
        <f t="shared" si="109"/>
        <v/>
      </c>
      <c r="AH306" s="74">
        <f t="shared" si="110"/>
        <v>0</v>
      </c>
      <c r="AI306" s="74" t="str">
        <f>IF(AH306&lt;&gt;0,COUNTIF(AH$3:AH306,1),"")</f>
        <v/>
      </c>
      <c r="AJ306" s="74">
        <f t="shared" si="111"/>
        <v>0</v>
      </c>
      <c r="AK306" s="73" t="str">
        <f t="shared" si="112"/>
        <v/>
      </c>
      <c r="AL306" s="73" t="str">
        <f t="shared" si="113"/>
        <v/>
      </c>
      <c r="AM306" s="73" t="str">
        <f t="shared" si="114"/>
        <v/>
      </c>
      <c r="AN306" s="73" t="str">
        <f t="shared" si="115"/>
        <v/>
      </c>
      <c r="AP306" s="61" t="str">
        <f t="shared" si="116"/>
        <v/>
      </c>
      <c r="AQ306" s="61" t="str">
        <f t="shared" si="117"/>
        <v/>
      </c>
      <c r="AR306" s="61" t="str">
        <f t="shared" si="118"/>
        <v/>
      </c>
    </row>
    <row r="307" spans="16:44" x14ac:dyDescent="0.25">
      <c r="P307" s="73" t="str">
        <f t="shared" si="99"/>
        <v/>
      </c>
      <c r="Q307" s="73" t="str">
        <f t="shared" si="100"/>
        <v/>
      </c>
      <c r="R307" s="74" t="str">
        <f t="shared" si="101"/>
        <v/>
      </c>
      <c r="S307" s="74" t="str">
        <f t="shared" si="102"/>
        <v/>
      </c>
      <c r="U307" s="74" t="str">
        <f t="shared" si="119"/>
        <v/>
      </c>
      <c r="V307" s="74" t="str">
        <f t="shared" si="119"/>
        <v/>
      </c>
      <c r="W307" s="74" t="str">
        <f t="shared" si="119"/>
        <v/>
      </c>
      <c r="X307" s="74" t="str">
        <f t="shared" si="119"/>
        <v/>
      </c>
      <c r="Y307" s="74" t="str">
        <f t="shared" si="119"/>
        <v/>
      </c>
      <c r="Z307" s="74" t="str">
        <f t="shared" si="103"/>
        <v/>
      </c>
      <c r="AA307" s="74">
        <f t="shared" si="104"/>
        <v>0</v>
      </c>
      <c r="AB307" s="74">
        <f t="shared" si="105"/>
        <v>0</v>
      </c>
      <c r="AC307" s="74" t="str">
        <f t="shared" si="106"/>
        <v/>
      </c>
      <c r="AE307" s="74" t="str">
        <f t="shared" si="107"/>
        <v/>
      </c>
      <c r="AF307" s="74" t="str">
        <f t="shared" si="108"/>
        <v/>
      </c>
      <c r="AG307" s="74" t="str">
        <f t="shared" si="109"/>
        <v/>
      </c>
      <c r="AH307" s="74">
        <f t="shared" si="110"/>
        <v>0</v>
      </c>
      <c r="AI307" s="74" t="str">
        <f>IF(AH307&lt;&gt;0,COUNTIF(AH$3:AH307,1),"")</f>
        <v/>
      </c>
      <c r="AJ307" s="74">
        <f t="shared" si="111"/>
        <v>0</v>
      </c>
      <c r="AK307" s="73" t="str">
        <f t="shared" si="112"/>
        <v/>
      </c>
      <c r="AL307" s="73" t="str">
        <f t="shared" si="113"/>
        <v/>
      </c>
      <c r="AM307" s="73" t="str">
        <f t="shared" si="114"/>
        <v/>
      </c>
      <c r="AN307" s="73" t="str">
        <f t="shared" si="115"/>
        <v/>
      </c>
      <c r="AP307" s="61" t="str">
        <f t="shared" si="116"/>
        <v/>
      </c>
      <c r="AQ307" s="61" t="str">
        <f t="shared" si="117"/>
        <v/>
      </c>
      <c r="AR307" s="61" t="str">
        <f t="shared" si="118"/>
        <v/>
      </c>
    </row>
    <row r="308" spans="16:44" x14ac:dyDescent="0.25">
      <c r="P308" s="73" t="str">
        <f t="shared" si="99"/>
        <v/>
      </c>
      <c r="Q308" s="73" t="str">
        <f t="shared" si="100"/>
        <v/>
      </c>
      <c r="R308" s="74" t="str">
        <f t="shared" si="101"/>
        <v/>
      </c>
      <c r="S308" s="74" t="str">
        <f t="shared" si="102"/>
        <v/>
      </c>
      <c r="U308" s="74" t="str">
        <f t="shared" si="119"/>
        <v/>
      </c>
      <c r="V308" s="74" t="str">
        <f t="shared" si="119"/>
        <v/>
      </c>
      <c r="W308" s="74" t="str">
        <f t="shared" si="119"/>
        <v/>
      </c>
      <c r="X308" s="74" t="str">
        <f t="shared" si="119"/>
        <v/>
      </c>
      <c r="Y308" s="74" t="str">
        <f t="shared" si="119"/>
        <v/>
      </c>
      <c r="Z308" s="74" t="str">
        <f t="shared" si="103"/>
        <v/>
      </c>
      <c r="AA308" s="74">
        <f t="shared" si="104"/>
        <v>0</v>
      </c>
      <c r="AB308" s="74">
        <f t="shared" si="105"/>
        <v>0</v>
      </c>
      <c r="AC308" s="74" t="str">
        <f t="shared" si="106"/>
        <v/>
      </c>
      <c r="AE308" s="74" t="str">
        <f t="shared" si="107"/>
        <v/>
      </c>
      <c r="AF308" s="74" t="str">
        <f t="shared" si="108"/>
        <v/>
      </c>
      <c r="AG308" s="74" t="str">
        <f t="shared" si="109"/>
        <v/>
      </c>
      <c r="AH308" s="74">
        <f t="shared" si="110"/>
        <v>0</v>
      </c>
      <c r="AI308" s="74" t="str">
        <f>IF(AH308&lt;&gt;0,COUNTIF(AH$3:AH308,1),"")</f>
        <v/>
      </c>
      <c r="AJ308" s="74">
        <f t="shared" si="111"/>
        <v>0</v>
      </c>
      <c r="AK308" s="73" t="str">
        <f t="shared" si="112"/>
        <v/>
      </c>
      <c r="AL308" s="73" t="str">
        <f t="shared" si="113"/>
        <v/>
      </c>
      <c r="AM308" s="73" t="str">
        <f t="shared" si="114"/>
        <v/>
      </c>
      <c r="AN308" s="73" t="str">
        <f t="shared" si="115"/>
        <v/>
      </c>
      <c r="AP308" s="61" t="str">
        <f t="shared" si="116"/>
        <v/>
      </c>
      <c r="AQ308" s="61" t="str">
        <f t="shared" si="117"/>
        <v/>
      </c>
      <c r="AR308" s="61" t="str">
        <f t="shared" si="118"/>
        <v/>
      </c>
    </row>
    <row r="309" spans="16:44" x14ac:dyDescent="0.25">
      <c r="P309" s="73" t="str">
        <f t="shared" si="99"/>
        <v/>
      </c>
      <c r="Q309" s="73" t="str">
        <f t="shared" si="100"/>
        <v/>
      </c>
      <c r="R309" s="74" t="str">
        <f t="shared" si="101"/>
        <v/>
      </c>
      <c r="S309" s="74" t="str">
        <f t="shared" si="102"/>
        <v/>
      </c>
      <c r="U309" s="74" t="str">
        <f t="shared" si="119"/>
        <v/>
      </c>
      <c r="V309" s="74" t="str">
        <f t="shared" si="119"/>
        <v/>
      </c>
      <c r="W309" s="74" t="str">
        <f t="shared" si="119"/>
        <v/>
      </c>
      <c r="X309" s="74" t="str">
        <f t="shared" si="119"/>
        <v/>
      </c>
      <c r="Y309" s="74" t="str">
        <f t="shared" si="119"/>
        <v/>
      </c>
      <c r="Z309" s="74" t="str">
        <f t="shared" si="103"/>
        <v/>
      </c>
      <c r="AA309" s="74">
        <f t="shared" si="104"/>
        <v>0</v>
      </c>
      <c r="AB309" s="74">
        <f t="shared" si="105"/>
        <v>0</v>
      </c>
      <c r="AC309" s="74" t="str">
        <f t="shared" si="106"/>
        <v/>
      </c>
      <c r="AE309" s="74" t="str">
        <f t="shared" si="107"/>
        <v/>
      </c>
      <c r="AF309" s="74" t="str">
        <f t="shared" si="108"/>
        <v/>
      </c>
      <c r="AG309" s="74" t="str">
        <f t="shared" si="109"/>
        <v/>
      </c>
      <c r="AH309" s="74">
        <f t="shared" si="110"/>
        <v>0</v>
      </c>
      <c r="AI309" s="74" t="str">
        <f>IF(AH309&lt;&gt;0,COUNTIF(AH$3:AH309,1),"")</f>
        <v/>
      </c>
      <c r="AJ309" s="74">
        <f t="shared" si="111"/>
        <v>0</v>
      </c>
      <c r="AK309" s="73" t="str">
        <f t="shared" si="112"/>
        <v/>
      </c>
      <c r="AL309" s="73" t="str">
        <f t="shared" si="113"/>
        <v/>
      </c>
      <c r="AM309" s="73" t="str">
        <f t="shared" si="114"/>
        <v/>
      </c>
      <c r="AN309" s="73" t="str">
        <f t="shared" si="115"/>
        <v/>
      </c>
      <c r="AP309" s="61" t="str">
        <f t="shared" si="116"/>
        <v/>
      </c>
      <c r="AQ309" s="61" t="str">
        <f t="shared" si="117"/>
        <v/>
      </c>
      <c r="AR309" s="61" t="str">
        <f t="shared" si="118"/>
        <v/>
      </c>
    </row>
    <row r="310" spans="16:44" x14ac:dyDescent="0.25">
      <c r="P310" s="73" t="str">
        <f t="shared" si="99"/>
        <v/>
      </c>
      <c r="Q310" s="73" t="str">
        <f t="shared" si="100"/>
        <v/>
      </c>
      <c r="R310" s="74" t="str">
        <f t="shared" si="101"/>
        <v/>
      </c>
      <c r="S310" s="74" t="str">
        <f t="shared" si="102"/>
        <v/>
      </c>
      <c r="U310" s="74" t="str">
        <f t="shared" si="119"/>
        <v/>
      </c>
      <c r="V310" s="74" t="str">
        <f t="shared" si="119"/>
        <v/>
      </c>
      <c r="W310" s="74" t="str">
        <f t="shared" si="119"/>
        <v/>
      </c>
      <c r="X310" s="74" t="str">
        <f t="shared" si="119"/>
        <v/>
      </c>
      <c r="Y310" s="74" t="str">
        <f t="shared" si="119"/>
        <v/>
      </c>
      <c r="Z310" s="74" t="str">
        <f t="shared" si="103"/>
        <v/>
      </c>
      <c r="AA310" s="74">
        <f t="shared" si="104"/>
        <v>0</v>
      </c>
      <c r="AB310" s="74">
        <f t="shared" si="105"/>
        <v>0</v>
      </c>
      <c r="AC310" s="74" t="str">
        <f t="shared" si="106"/>
        <v/>
      </c>
      <c r="AE310" s="74" t="str">
        <f t="shared" si="107"/>
        <v/>
      </c>
      <c r="AF310" s="74" t="str">
        <f t="shared" si="108"/>
        <v/>
      </c>
      <c r="AG310" s="74" t="str">
        <f t="shared" si="109"/>
        <v/>
      </c>
      <c r="AH310" s="74">
        <f t="shared" si="110"/>
        <v>0</v>
      </c>
      <c r="AI310" s="74" t="str">
        <f>IF(AH310&lt;&gt;0,COUNTIF(AH$3:AH310,1),"")</f>
        <v/>
      </c>
      <c r="AJ310" s="74">
        <f t="shared" si="111"/>
        <v>0</v>
      </c>
      <c r="AK310" s="73" t="str">
        <f t="shared" si="112"/>
        <v/>
      </c>
      <c r="AL310" s="73" t="str">
        <f t="shared" si="113"/>
        <v/>
      </c>
      <c r="AM310" s="73" t="str">
        <f t="shared" si="114"/>
        <v/>
      </c>
      <c r="AN310" s="73" t="str">
        <f t="shared" si="115"/>
        <v/>
      </c>
      <c r="AP310" s="61" t="str">
        <f t="shared" si="116"/>
        <v/>
      </c>
      <c r="AQ310" s="61" t="str">
        <f t="shared" si="117"/>
        <v/>
      </c>
      <c r="AR310" s="61" t="str">
        <f t="shared" si="118"/>
        <v/>
      </c>
    </row>
    <row r="311" spans="16:44" x14ac:dyDescent="0.25">
      <c r="P311" s="73" t="str">
        <f t="shared" si="99"/>
        <v/>
      </c>
      <c r="Q311" s="73" t="str">
        <f t="shared" si="100"/>
        <v/>
      </c>
      <c r="R311" s="74" t="str">
        <f t="shared" si="101"/>
        <v/>
      </c>
      <c r="S311" s="74" t="str">
        <f t="shared" si="102"/>
        <v/>
      </c>
      <c r="U311" s="74" t="str">
        <f t="shared" si="119"/>
        <v/>
      </c>
      <c r="V311" s="74" t="str">
        <f t="shared" si="119"/>
        <v/>
      </c>
      <c r="W311" s="74" t="str">
        <f t="shared" si="119"/>
        <v/>
      </c>
      <c r="X311" s="74" t="str">
        <f t="shared" si="119"/>
        <v/>
      </c>
      <c r="Y311" s="74" t="str">
        <f t="shared" si="119"/>
        <v/>
      </c>
      <c r="Z311" s="74" t="str">
        <f t="shared" si="103"/>
        <v/>
      </c>
      <c r="AA311" s="74">
        <f t="shared" si="104"/>
        <v>0</v>
      </c>
      <c r="AB311" s="74">
        <f t="shared" si="105"/>
        <v>0</v>
      </c>
      <c r="AC311" s="74" t="str">
        <f t="shared" si="106"/>
        <v/>
      </c>
      <c r="AE311" s="74" t="str">
        <f t="shared" si="107"/>
        <v/>
      </c>
      <c r="AF311" s="74" t="str">
        <f t="shared" si="108"/>
        <v/>
      </c>
      <c r="AG311" s="74" t="str">
        <f t="shared" si="109"/>
        <v/>
      </c>
      <c r="AH311" s="74">
        <f t="shared" si="110"/>
        <v>0</v>
      </c>
      <c r="AI311" s="74" t="str">
        <f>IF(AH311&lt;&gt;0,COUNTIF(AH$3:AH311,1),"")</f>
        <v/>
      </c>
      <c r="AJ311" s="74">
        <f t="shared" si="111"/>
        <v>0</v>
      </c>
      <c r="AK311" s="73" t="str">
        <f t="shared" si="112"/>
        <v/>
      </c>
      <c r="AL311" s="73" t="str">
        <f t="shared" si="113"/>
        <v/>
      </c>
      <c r="AM311" s="73" t="str">
        <f t="shared" si="114"/>
        <v/>
      </c>
      <c r="AN311" s="73" t="str">
        <f t="shared" si="115"/>
        <v/>
      </c>
      <c r="AP311" s="61" t="str">
        <f t="shared" si="116"/>
        <v/>
      </c>
      <c r="AQ311" s="61" t="str">
        <f t="shared" si="117"/>
        <v/>
      </c>
      <c r="AR311" s="61" t="str">
        <f t="shared" si="118"/>
        <v/>
      </c>
    </row>
    <row r="312" spans="16:44" x14ac:dyDescent="0.25">
      <c r="P312" s="73" t="str">
        <f t="shared" si="99"/>
        <v/>
      </c>
      <c r="Q312" s="73" t="str">
        <f t="shared" si="100"/>
        <v/>
      </c>
      <c r="R312" s="74" t="str">
        <f t="shared" si="101"/>
        <v/>
      </c>
      <c r="S312" s="74" t="str">
        <f t="shared" si="102"/>
        <v/>
      </c>
      <c r="U312" s="74" t="str">
        <f t="shared" si="119"/>
        <v/>
      </c>
      <c r="V312" s="74" t="str">
        <f t="shared" si="119"/>
        <v/>
      </c>
      <c r="W312" s="74" t="str">
        <f t="shared" si="119"/>
        <v/>
      </c>
      <c r="X312" s="74" t="str">
        <f t="shared" si="119"/>
        <v/>
      </c>
      <c r="Y312" s="74" t="str">
        <f t="shared" si="119"/>
        <v/>
      </c>
      <c r="Z312" s="74" t="str">
        <f t="shared" si="103"/>
        <v/>
      </c>
      <c r="AA312" s="74">
        <f t="shared" si="104"/>
        <v>0</v>
      </c>
      <c r="AB312" s="74">
        <f t="shared" si="105"/>
        <v>0</v>
      </c>
      <c r="AC312" s="74" t="str">
        <f t="shared" si="106"/>
        <v/>
      </c>
      <c r="AE312" s="74" t="str">
        <f t="shared" si="107"/>
        <v/>
      </c>
      <c r="AF312" s="74" t="str">
        <f t="shared" si="108"/>
        <v/>
      </c>
      <c r="AG312" s="74" t="str">
        <f t="shared" si="109"/>
        <v/>
      </c>
      <c r="AH312" s="74">
        <f t="shared" si="110"/>
        <v>0</v>
      </c>
      <c r="AI312" s="74" t="str">
        <f>IF(AH312&lt;&gt;0,COUNTIF(AH$3:AH312,1),"")</f>
        <v/>
      </c>
      <c r="AJ312" s="74">
        <f t="shared" si="111"/>
        <v>0</v>
      </c>
      <c r="AK312" s="73" t="str">
        <f t="shared" si="112"/>
        <v/>
      </c>
      <c r="AL312" s="73" t="str">
        <f t="shared" si="113"/>
        <v/>
      </c>
      <c r="AM312" s="73" t="str">
        <f t="shared" si="114"/>
        <v/>
      </c>
      <c r="AN312" s="73" t="str">
        <f t="shared" si="115"/>
        <v/>
      </c>
      <c r="AP312" s="61" t="str">
        <f t="shared" si="116"/>
        <v/>
      </c>
      <c r="AQ312" s="61" t="str">
        <f t="shared" si="117"/>
        <v/>
      </c>
      <c r="AR312" s="61" t="str">
        <f t="shared" si="118"/>
        <v/>
      </c>
    </row>
    <row r="313" spans="16:44" x14ac:dyDescent="0.25">
      <c r="P313" s="73" t="str">
        <f t="shared" si="99"/>
        <v/>
      </c>
      <c r="Q313" s="73" t="str">
        <f t="shared" si="100"/>
        <v/>
      </c>
      <c r="R313" s="74" t="str">
        <f t="shared" si="101"/>
        <v/>
      </c>
      <c r="S313" s="74" t="str">
        <f t="shared" si="102"/>
        <v/>
      </c>
      <c r="U313" s="74" t="str">
        <f t="shared" si="119"/>
        <v/>
      </c>
      <c r="V313" s="74" t="str">
        <f t="shared" si="119"/>
        <v/>
      </c>
      <c r="W313" s="74" t="str">
        <f t="shared" si="119"/>
        <v/>
      </c>
      <c r="X313" s="74" t="str">
        <f t="shared" si="119"/>
        <v/>
      </c>
      <c r="Y313" s="74" t="str">
        <f t="shared" si="119"/>
        <v/>
      </c>
      <c r="Z313" s="74" t="str">
        <f t="shared" si="103"/>
        <v/>
      </c>
      <c r="AA313" s="74">
        <f t="shared" si="104"/>
        <v>0</v>
      </c>
      <c r="AB313" s="74">
        <f t="shared" si="105"/>
        <v>0</v>
      </c>
      <c r="AC313" s="74" t="str">
        <f t="shared" si="106"/>
        <v/>
      </c>
      <c r="AE313" s="74" t="str">
        <f t="shared" si="107"/>
        <v/>
      </c>
      <c r="AF313" s="74" t="str">
        <f t="shared" si="108"/>
        <v/>
      </c>
      <c r="AG313" s="74" t="str">
        <f t="shared" si="109"/>
        <v/>
      </c>
      <c r="AH313" s="74">
        <f t="shared" si="110"/>
        <v>0</v>
      </c>
      <c r="AI313" s="74" t="str">
        <f>IF(AH313&lt;&gt;0,COUNTIF(AH$3:AH313,1),"")</f>
        <v/>
      </c>
      <c r="AJ313" s="74">
        <f t="shared" si="111"/>
        <v>0</v>
      </c>
      <c r="AK313" s="73" t="str">
        <f t="shared" si="112"/>
        <v/>
      </c>
      <c r="AL313" s="73" t="str">
        <f t="shared" si="113"/>
        <v/>
      </c>
      <c r="AM313" s="73" t="str">
        <f t="shared" si="114"/>
        <v/>
      </c>
      <c r="AN313" s="73" t="str">
        <f t="shared" si="115"/>
        <v/>
      </c>
      <c r="AP313" s="61" t="str">
        <f t="shared" si="116"/>
        <v/>
      </c>
      <c r="AQ313" s="61" t="str">
        <f t="shared" si="117"/>
        <v/>
      </c>
      <c r="AR313" s="61" t="str">
        <f t="shared" si="118"/>
        <v/>
      </c>
    </row>
    <row r="314" spans="16:44" x14ac:dyDescent="0.25">
      <c r="P314" s="73" t="str">
        <f t="shared" si="99"/>
        <v/>
      </c>
      <c r="Q314" s="73" t="str">
        <f t="shared" si="100"/>
        <v/>
      </c>
      <c r="R314" s="74" t="str">
        <f t="shared" si="101"/>
        <v/>
      </c>
      <c r="S314" s="74" t="str">
        <f t="shared" si="102"/>
        <v/>
      </c>
      <c r="U314" s="74" t="str">
        <f t="shared" si="119"/>
        <v/>
      </c>
      <c r="V314" s="74" t="str">
        <f t="shared" si="119"/>
        <v/>
      </c>
      <c r="W314" s="74" t="str">
        <f t="shared" si="119"/>
        <v/>
      </c>
      <c r="X314" s="74" t="str">
        <f t="shared" si="119"/>
        <v/>
      </c>
      <c r="Y314" s="74" t="str">
        <f t="shared" si="119"/>
        <v/>
      </c>
      <c r="Z314" s="74" t="str">
        <f t="shared" si="103"/>
        <v/>
      </c>
      <c r="AA314" s="74">
        <f t="shared" si="104"/>
        <v>0</v>
      </c>
      <c r="AB314" s="74">
        <f t="shared" si="105"/>
        <v>0</v>
      </c>
      <c r="AC314" s="74" t="str">
        <f t="shared" si="106"/>
        <v/>
      </c>
      <c r="AE314" s="74" t="str">
        <f t="shared" si="107"/>
        <v/>
      </c>
      <c r="AF314" s="74" t="str">
        <f t="shared" si="108"/>
        <v/>
      </c>
      <c r="AG314" s="74" t="str">
        <f t="shared" si="109"/>
        <v/>
      </c>
      <c r="AH314" s="74">
        <f t="shared" si="110"/>
        <v>0</v>
      </c>
      <c r="AI314" s="74" t="str">
        <f>IF(AH314&lt;&gt;0,COUNTIF(AH$3:AH314,1),"")</f>
        <v/>
      </c>
      <c r="AJ314" s="74">
        <f t="shared" si="111"/>
        <v>0</v>
      </c>
      <c r="AK314" s="73" t="str">
        <f t="shared" si="112"/>
        <v/>
      </c>
      <c r="AL314" s="73" t="str">
        <f t="shared" si="113"/>
        <v/>
      </c>
      <c r="AM314" s="73" t="str">
        <f t="shared" si="114"/>
        <v/>
      </c>
      <c r="AN314" s="73" t="str">
        <f t="shared" si="115"/>
        <v/>
      </c>
      <c r="AP314" s="61" t="str">
        <f t="shared" si="116"/>
        <v/>
      </c>
      <c r="AQ314" s="61" t="str">
        <f t="shared" si="117"/>
        <v/>
      </c>
      <c r="AR314" s="61" t="str">
        <f t="shared" si="118"/>
        <v/>
      </c>
    </row>
    <row r="315" spans="16:44" x14ac:dyDescent="0.25">
      <c r="P315" s="73" t="str">
        <f t="shared" si="99"/>
        <v/>
      </c>
      <c r="Q315" s="73" t="str">
        <f t="shared" si="100"/>
        <v/>
      </c>
      <c r="R315" s="74" t="str">
        <f t="shared" si="101"/>
        <v/>
      </c>
      <c r="S315" s="74" t="str">
        <f t="shared" si="102"/>
        <v/>
      </c>
      <c r="U315" s="74" t="str">
        <f t="shared" si="119"/>
        <v/>
      </c>
      <c r="V315" s="74" t="str">
        <f t="shared" si="119"/>
        <v/>
      </c>
      <c r="W315" s="74" t="str">
        <f t="shared" si="119"/>
        <v/>
      </c>
      <c r="X315" s="74" t="str">
        <f t="shared" si="119"/>
        <v/>
      </c>
      <c r="Y315" s="74" t="str">
        <f t="shared" si="119"/>
        <v/>
      </c>
      <c r="Z315" s="74" t="str">
        <f t="shared" si="103"/>
        <v/>
      </c>
      <c r="AA315" s="74">
        <f t="shared" si="104"/>
        <v>0</v>
      </c>
      <c r="AB315" s="74">
        <f t="shared" si="105"/>
        <v>0</v>
      </c>
      <c r="AC315" s="74" t="str">
        <f t="shared" si="106"/>
        <v/>
      </c>
      <c r="AE315" s="74" t="str">
        <f t="shared" si="107"/>
        <v/>
      </c>
      <c r="AF315" s="74" t="str">
        <f t="shared" si="108"/>
        <v/>
      </c>
      <c r="AG315" s="74" t="str">
        <f t="shared" si="109"/>
        <v/>
      </c>
      <c r="AH315" s="74">
        <f t="shared" si="110"/>
        <v>0</v>
      </c>
      <c r="AI315" s="74" t="str">
        <f>IF(AH315&lt;&gt;0,COUNTIF(AH$3:AH315,1),"")</f>
        <v/>
      </c>
      <c r="AJ315" s="74">
        <f t="shared" si="111"/>
        <v>0</v>
      </c>
      <c r="AK315" s="73" t="str">
        <f t="shared" si="112"/>
        <v/>
      </c>
      <c r="AL315" s="73" t="str">
        <f t="shared" si="113"/>
        <v/>
      </c>
      <c r="AM315" s="73" t="str">
        <f t="shared" si="114"/>
        <v/>
      </c>
      <c r="AN315" s="73" t="str">
        <f t="shared" si="115"/>
        <v/>
      </c>
      <c r="AP315" s="61" t="str">
        <f t="shared" si="116"/>
        <v/>
      </c>
      <c r="AQ315" s="61" t="str">
        <f t="shared" si="117"/>
        <v/>
      </c>
      <c r="AR315" s="61" t="str">
        <f t="shared" si="118"/>
        <v/>
      </c>
    </row>
    <row r="316" spans="16:44" x14ac:dyDescent="0.25">
      <c r="P316" s="73" t="str">
        <f t="shared" si="99"/>
        <v/>
      </c>
      <c r="Q316" s="73" t="str">
        <f t="shared" si="100"/>
        <v/>
      </c>
      <c r="R316" s="74" t="str">
        <f t="shared" si="101"/>
        <v/>
      </c>
      <c r="S316" s="74" t="str">
        <f t="shared" si="102"/>
        <v/>
      </c>
      <c r="U316" s="74" t="str">
        <f t="shared" si="119"/>
        <v/>
      </c>
      <c r="V316" s="74" t="str">
        <f t="shared" si="119"/>
        <v/>
      </c>
      <c r="W316" s="74" t="str">
        <f t="shared" si="119"/>
        <v/>
      </c>
      <c r="X316" s="74" t="str">
        <f t="shared" si="119"/>
        <v/>
      </c>
      <c r="Y316" s="74" t="str">
        <f t="shared" si="119"/>
        <v/>
      </c>
      <c r="Z316" s="74" t="str">
        <f t="shared" si="103"/>
        <v/>
      </c>
      <c r="AA316" s="74">
        <f t="shared" si="104"/>
        <v>0</v>
      </c>
      <c r="AB316" s="74">
        <f t="shared" si="105"/>
        <v>0</v>
      </c>
      <c r="AC316" s="74" t="str">
        <f t="shared" si="106"/>
        <v/>
      </c>
      <c r="AE316" s="74" t="str">
        <f t="shared" si="107"/>
        <v/>
      </c>
      <c r="AF316" s="74" t="str">
        <f t="shared" si="108"/>
        <v/>
      </c>
      <c r="AG316" s="74" t="str">
        <f t="shared" si="109"/>
        <v/>
      </c>
      <c r="AH316" s="74">
        <f t="shared" si="110"/>
        <v>0</v>
      </c>
      <c r="AI316" s="74" t="str">
        <f>IF(AH316&lt;&gt;0,COUNTIF(AH$3:AH316,1),"")</f>
        <v/>
      </c>
      <c r="AJ316" s="74">
        <f t="shared" si="111"/>
        <v>0</v>
      </c>
      <c r="AK316" s="73" t="str">
        <f t="shared" si="112"/>
        <v/>
      </c>
      <c r="AL316" s="73" t="str">
        <f t="shared" si="113"/>
        <v/>
      </c>
      <c r="AM316" s="73" t="str">
        <f t="shared" si="114"/>
        <v/>
      </c>
      <c r="AN316" s="73" t="str">
        <f t="shared" si="115"/>
        <v/>
      </c>
      <c r="AP316" s="61" t="str">
        <f t="shared" si="116"/>
        <v/>
      </c>
      <c r="AQ316" s="61" t="str">
        <f t="shared" si="117"/>
        <v/>
      </c>
      <c r="AR316" s="61" t="str">
        <f t="shared" si="118"/>
        <v/>
      </c>
    </row>
    <row r="317" spans="16:44" x14ac:dyDescent="0.25">
      <c r="P317" s="73" t="str">
        <f t="shared" si="99"/>
        <v/>
      </c>
      <c r="Q317" s="73" t="str">
        <f t="shared" si="100"/>
        <v/>
      </c>
      <c r="R317" s="74" t="str">
        <f t="shared" si="101"/>
        <v/>
      </c>
      <c r="S317" s="74" t="str">
        <f t="shared" si="102"/>
        <v/>
      </c>
      <c r="U317" s="74" t="str">
        <f t="shared" si="119"/>
        <v/>
      </c>
      <c r="V317" s="74" t="str">
        <f t="shared" si="119"/>
        <v/>
      </c>
      <c r="W317" s="74" t="str">
        <f t="shared" si="119"/>
        <v/>
      </c>
      <c r="X317" s="74" t="str">
        <f t="shared" si="119"/>
        <v/>
      </c>
      <c r="Y317" s="74" t="str">
        <f t="shared" si="119"/>
        <v/>
      </c>
      <c r="Z317" s="74" t="str">
        <f t="shared" si="103"/>
        <v/>
      </c>
      <c r="AA317" s="74">
        <f t="shared" si="104"/>
        <v>0</v>
      </c>
      <c r="AB317" s="74">
        <f t="shared" si="105"/>
        <v>0</v>
      </c>
      <c r="AC317" s="74" t="str">
        <f t="shared" si="106"/>
        <v/>
      </c>
      <c r="AE317" s="74" t="str">
        <f t="shared" si="107"/>
        <v/>
      </c>
      <c r="AF317" s="74" t="str">
        <f t="shared" si="108"/>
        <v/>
      </c>
      <c r="AG317" s="74" t="str">
        <f t="shared" si="109"/>
        <v/>
      </c>
      <c r="AH317" s="74">
        <f t="shared" si="110"/>
        <v>0</v>
      </c>
      <c r="AI317" s="74" t="str">
        <f>IF(AH317&lt;&gt;0,COUNTIF(AH$3:AH317,1),"")</f>
        <v/>
      </c>
      <c r="AJ317" s="74">
        <f t="shared" si="111"/>
        <v>0</v>
      </c>
      <c r="AK317" s="73" t="str">
        <f t="shared" si="112"/>
        <v/>
      </c>
      <c r="AL317" s="73" t="str">
        <f t="shared" si="113"/>
        <v/>
      </c>
      <c r="AM317" s="73" t="str">
        <f t="shared" si="114"/>
        <v/>
      </c>
      <c r="AN317" s="73" t="str">
        <f t="shared" si="115"/>
        <v/>
      </c>
      <c r="AP317" s="61" t="str">
        <f t="shared" si="116"/>
        <v/>
      </c>
      <c r="AQ317" s="61" t="str">
        <f t="shared" si="117"/>
        <v/>
      </c>
      <c r="AR317" s="61" t="str">
        <f t="shared" si="118"/>
        <v/>
      </c>
    </row>
    <row r="318" spans="16:44" x14ac:dyDescent="0.25">
      <c r="P318" s="73" t="str">
        <f t="shared" ref="P318:P381" si="120">IF(N318&lt;&gt;"",SUBSTITUTE(LEFT(N318,FIND(";",N318)),";",""),"")</f>
        <v/>
      </c>
      <c r="Q318" s="73" t="str">
        <f t="shared" ref="Q318:Q381" si="121">IF(N318&lt;&gt;"",SUBSTITUTE(RIGHT(N318,FIND(";",N318)),";",""),"")</f>
        <v/>
      </c>
      <c r="R318" s="74" t="str">
        <f t="shared" ref="R318:R381" si="122">IF(O318&lt;&gt;"",SUBSTITUTE(LEFT(O318,FIND(";",O318)),";",""),"")</f>
        <v/>
      </c>
      <c r="S318" s="74" t="str">
        <f t="shared" ref="S318:S381" si="123">IF(O318&lt;&gt;"",IFERROR(IF(FIND("OK",O318)&gt;0,TRUE),FALSE),"")</f>
        <v/>
      </c>
      <c r="U318" s="74" t="str">
        <f t="shared" si="119"/>
        <v/>
      </c>
      <c r="V318" s="74" t="str">
        <f t="shared" si="119"/>
        <v/>
      </c>
      <c r="W318" s="74" t="str">
        <f t="shared" si="119"/>
        <v/>
      </c>
      <c r="X318" s="74" t="str">
        <f t="shared" si="119"/>
        <v/>
      </c>
      <c r="Y318" s="74" t="str">
        <f t="shared" si="119"/>
        <v/>
      </c>
      <c r="Z318" s="74" t="str">
        <f t="shared" ref="Z318:Z381" si="124">IF(G318,E318,"")</f>
        <v/>
      </c>
      <c r="AA318" s="74">
        <f t="shared" ref="AA318:AA381" si="125">IF(G318=FALSE,E318,"")</f>
        <v>0</v>
      </c>
      <c r="AB318" s="74">
        <f t="shared" ref="AB318:AB381" si="126">IF(G318,1,0)</f>
        <v>0</v>
      </c>
      <c r="AC318" s="74" t="str">
        <f t="shared" ref="AC318:AC381" si="127">IF(A318&lt;&gt;"",IF(G318,0,1),"")</f>
        <v/>
      </c>
      <c r="AE318" s="74" t="str">
        <f t="shared" ref="AE318:AE381" si="128">IF(P318&lt;&gt;"",IF(AND(_xlfn.NUMBERVALUE(P318)&gt;25,_xlfn.NUMBERVALUE(P318)&lt;38),TRUE,FALSE),"")</f>
        <v/>
      </c>
      <c r="AF318" s="74" t="str">
        <f t="shared" ref="AF318:AF381" si="129">IF(Q318&lt;&gt;"",IF(AND(_xlfn.NUMBERVALUE(Q318)&gt;25,_xlfn.NUMBERVALUE(Q318)&lt;38),TRUE,FALSE),"")</f>
        <v/>
      </c>
      <c r="AG318" s="74" t="str">
        <f t="shared" ref="AG318:AG381" si="130">IF(R318&lt;&gt;"",IF(AND(_xlfn.NUMBERVALUE(R318)&gt;262,_xlfn.NUMBERVALUE(R318)&lt;307),TRUE,FALSE),"")</f>
        <v/>
      </c>
      <c r="AH318" s="74">
        <f t="shared" ref="AH318:AH381" si="131">IF(OR(AE318=FALSE,AF318=FALSE,AG318=FALSE),1,0)</f>
        <v>0</v>
      </c>
      <c r="AI318" s="74" t="str">
        <f>IF(AH318&lt;&gt;0,COUNTIF(AH$3:AH318,1),"")</f>
        <v/>
      </c>
      <c r="AJ318" s="74">
        <f t="shared" ref="AJ318:AJ381" si="132">L318</f>
        <v>0</v>
      </c>
      <c r="AK318" s="73" t="str">
        <f t="shared" ref="AK318:AK381" si="133">P318</f>
        <v/>
      </c>
      <c r="AL318" s="73" t="str">
        <f t="shared" ref="AL318:AL381" si="134">Q318</f>
        <v/>
      </c>
      <c r="AM318" s="73" t="str">
        <f t="shared" ref="AM318:AM381" si="135">R318</f>
        <v/>
      </c>
      <c r="AN318" s="73" t="str">
        <f t="shared" ref="AN318:AN381" si="136">S318</f>
        <v/>
      </c>
      <c r="AP318" s="61" t="str">
        <f t="shared" si="116"/>
        <v/>
      </c>
      <c r="AQ318" s="61" t="str">
        <f t="shared" si="117"/>
        <v/>
      </c>
      <c r="AR318" s="61" t="str">
        <f t="shared" si="118"/>
        <v/>
      </c>
    </row>
    <row r="319" spans="16:44" x14ac:dyDescent="0.25">
      <c r="P319" s="73" t="str">
        <f t="shared" si="120"/>
        <v/>
      </c>
      <c r="Q319" s="73" t="str">
        <f t="shared" si="121"/>
        <v/>
      </c>
      <c r="R319" s="74" t="str">
        <f t="shared" si="122"/>
        <v/>
      </c>
      <c r="S319" s="74" t="str">
        <f t="shared" si="123"/>
        <v/>
      </c>
      <c r="U319" s="74" t="str">
        <f t="shared" si="119"/>
        <v/>
      </c>
      <c r="V319" s="74" t="str">
        <f t="shared" si="119"/>
        <v/>
      </c>
      <c r="W319" s="74" t="str">
        <f t="shared" si="119"/>
        <v/>
      </c>
      <c r="X319" s="74" t="str">
        <f t="shared" si="119"/>
        <v/>
      </c>
      <c r="Y319" s="74" t="str">
        <f t="shared" si="119"/>
        <v/>
      </c>
      <c r="Z319" s="74" t="str">
        <f t="shared" si="124"/>
        <v/>
      </c>
      <c r="AA319" s="74">
        <f t="shared" si="125"/>
        <v>0</v>
      </c>
      <c r="AB319" s="74">
        <f t="shared" si="126"/>
        <v>0</v>
      </c>
      <c r="AC319" s="74" t="str">
        <f t="shared" si="127"/>
        <v/>
      </c>
      <c r="AE319" s="74" t="str">
        <f t="shared" si="128"/>
        <v/>
      </c>
      <c r="AF319" s="74" t="str">
        <f t="shared" si="129"/>
        <v/>
      </c>
      <c r="AG319" s="74" t="str">
        <f t="shared" si="130"/>
        <v/>
      </c>
      <c r="AH319" s="74">
        <f t="shared" si="131"/>
        <v>0</v>
      </c>
      <c r="AI319" s="74" t="str">
        <f>IF(AH319&lt;&gt;0,COUNTIF(AH$3:AH319,1),"")</f>
        <v/>
      </c>
      <c r="AJ319" s="74">
        <f t="shared" si="132"/>
        <v>0</v>
      </c>
      <c r="AK319" s="73" t="str">
        <f t="shared" si="133"/>
        <v/>
      </c>
      <c r="AL319" s="73" t="str">
        <f t="shared" si="134"/>
        <v/>
      </c>
      <c r="AM319" s="73" t="str">
        <f t="shared" si="135"/>
        <v/>
      </c>
      <c r="AN319" s="73" t="str">
        <f t="shared" si="136"/>
        <v/>
      </c>
      <c r="AP319" s="61" t="str">
        <f t="shared" si="116"/>
        <v/>
      </c>
      <c r="AQ319" s="61" t="str">
        <f t="shared" si="117"/>
        <v/>
      </c>
      <c r="AR319" s="61" t="str">
        <f t="shared" si="118"/>
        <v/>
      </c>
    </row>
    <row r="320" spans="16:44" x14ac:dyDescent="0.25">
      <c r="P320" s="73" t="str">
        <f t="shared" si="120"/>
        <v/>
      </c>
      <c r="Q320" s="73" t="str">
        <f t="shared" si="121"/>
        <v/>
      </c>
      <c r="R320" s="74" t="str">
        <f t="shared" si="122"/>
        <v/>
      </c>
      <c r="S320" s="74" t="str">
        <f t="shared" si="123"/>
        <v/>
      </c>
      <c r="U320" s="74" t="str">
        <f t="shared" si="119"/>
        <v/>
      </c>
      <c r="V320" s="74" t="str">
        <f t="shared" si="119"/>
        <v/>
      </c>
      <c r="W320" s="74" t="str">
        <f t="shared" si="119"/>
        <v/>
      </c>
      <c r="X320" s="74" t="str">
        <f t="shared" si="119"/>
        <v/>
      </c>
      <c r="Y320" s="74" t="str">
        <f t="shared" si="119"/>
        <v/>
      </c>
      <c r="Z320" s="74" t="str">
        <f t="shared" si="124"/>
        <v/>
      </c>
      <c r="AA320" s="74">
        <f t="shared" si="125"/>
        <v>0</v>
      </c>
      <c r="AB320" s="74">
        <f t="shared" si="126"/>
        <v>0</v>
      </c>
      <c r="AC320" s="74" t="str">
        <f t="shared" si="127"/>
        <v/>
      </c>
      <c r="AE320" s="74" t="str">
        <f t="shared" si="128"/>
        <v/>
      </c>
      <c r="AF320" s="74" t="str">
        <f t="shared" si="129"/>
        <v/>
      </c>
      <c r="AG320" s="74" t="str">
        <f t="shared" si="130"/>
        <v/>
      </c>
      <c r="AH320" s="74">
        <f t="shared" si="131"/>
        <v>0</v>
      </c>
      <c r="AI320" s="74" t="str">
        <f>IF(AH320&lt;&gt;0,COUNTIF(AH$3:AH320,1),"")</f>
        <v/>
      </c>
      <c r="AJ320" s="74">
        <f t="shared" si="132"/>
        <v>0</v>
      </c>
      <c r="AK320" s="73" t="str">
        <f t="shared" si="133"/>
        <v/>
      </c>
      <c r="AL320" s="73" t="str">
        <f t="shared" si="134"/>
        <v/>
      </c>
      <c r="AM320" s="73" t="str">
        <f t="shared" si="135"/>
        <v/>
      </c>
      <c r="AN320" s="73" t="str">
        <f t="shared" si="136"/>
        <v/>
      </c>
      <c r="AP320" s="61" t="str">
        <f t="shared" si="116"/>
        <v/>
      </c>
      <c r="AQ320" s="61" t="str">
        <f t="shared" si="117"/>
        <v/>
      </c>
      <c r="AR320" s="61" t="str">
        <f t="shared" si="118"/>
        <v/>
      </c>
    </row>
    <row r="321" spans="16:44" x14ac:dyDescent="0.25">
      <c r="P321" s="73" t="str">
        <f t="shared" si="120"/>
        <v/>
      </c>
      <c r="Q321" s="73" t="str">
        <f t="shared" si="121"/>
        <v/>
      </c>
      <c r="R321" s="74" t="str">
        <f t="shared" si="122"/>
        <v/>
      </c>
      <c r="S321" s="74" t="str">
        <f t="shared" si="123"/>
        <v/>
      </c>
      <c r="U321" s="74" t="str">
        <f t="shared" si="119"/>
        <v/>
      </c>
      <c r="V321" s="74" t="str">
        <f t="shared" si="119"/>
        <v/>
      </c>
      <c r="W321" s="74" t="str">
        <f t="shared" si="119"/>
        <v/>
      </c>
      <c r="X321" s="74" t="str">
        <f t="shared" si="119"/>
        <v/>
      </c>
      <c r="Y321" s="74" t="str">
        <f t="shared" si="119"/>
        <v/>
      </c>
      <c r="Z321" s="74" t="str">
        <f t="shared" si="124"/>
        <v/>
      </c>
      <c r="AA321" s="74">
        <f t="shared" si="125"/>
        <v>0</v>
      </c>
      <c r="AB321" s="74">
        <f t="shared" si="126"/>
        <v>0</v>
      </c>
      <c r="AC321" s="74" t="str">
        <f t="shared" si="127"/>
        <v/>
      </c>
      <c r="AE321" s="74" t="str">
        <f t="shared" si="128"/>
        <v/>
      </c>
      <c r="AF321" s="74" t="str">
        <f t="shared" si="129"/>
        <v/>
      </c>
      <c r="AG321" s="74" t="str">
        <f t="shared" si="130"/>
        <v/>
      </c>
      <c r="AH321" s="74">
        <f t="shared" si="131"/>
        <v>0</v>
      </c>
      <c r="AI321" s="74" t="str">
        <f>IF(AH321&lt;&gt;0,COUNTIF(AH$3:AH321,1),"")</f>
        <v/>
      </c>
      <c r="AJ321" s="74">
        <f t="shared" si="132"/>
        <v>0</v>
      </c>
      <c r="AK321" s="73" t="str">
        <f t="shared" si="133"/>
        <v/>
      </c>
      <c r="AL321" s="73" t="str">
        <f t="shared" si="134"/>
        <v/>
      </c>
      <c r="AM321" s="73" t="str">
        <f t="shared" si="135"/>
        <v/>
      </c>
      <c r="AN321" s="73" t="str">
        <f t="shared" si="136"/>
        <v/>
      </c>
      <c r="AP321" s="61" t="str">
        <f t="shared" si="116"/>
        <v/>
      </c>
      <c r="AQ321" s="61" t="str">
        <f t="shared" si="117"/>
        <v/>
      </c>
      <c r="AR321" s="61" t="str">
        <f t="shared" si="118"/>
        <v/>
      </c>
    </row>
    <row r="322" spans="16:44" x14ac:dyDescent="0.25">
      <c r="P322" s="73" t="str">
        <f t="shared" si="120"/>
        <v/>
      </c>
      <c r="Q322" s="73" t="str">
        <f t="shared" si="121"/>
        <v/>
      </c>
      <c r="R322" s="74" t="str">
        <f t="shared" si="122"/>
        <v/>
      </c>
      <c r="S322" s="74" t="str">
        <f t="shared" si="123"/>
        <v/>
      </c>
      <c r="U322" s="74" t="str">
        <f t="shared" si="119"/>
        <v/>
      </c>
      <c r="V322" s="74" t="str">
        <f t="shared" si="119"/>
        <v/>
      </c>
      <c r="W322" s="74" t="str">
        <f t="shared" si="119"/>
        <v/>
      </c>
      <c r="X322" s="74" t="str">
        <f t="shared" si="119"/>
        <v/>
      </c>
      <c r="Y322" s="74" t="str">
        <f t="shared" si="119"/>
        <v/>
      </c>
      <c r="Z322" s="74" t="str">
        <f t="shared" si="124"/>
        <v/>
      </c>
      <c r="AA322" s="74">
        <f t="shared" si="125"/>
        <v>0</v>
      </c>
      <c r="AB322" s="74">
        <f t="shared" si="126"/>
        <v>0</v>
      </c>
      <c r="AC322" s="74" t="str">
        <f t="shared" si="127"/>
        <v/>
      </c>
      <c r="AE322" s="74" t="str">
        <f t="shared" si="128"/>
        <v/>
      </c>
      <c r="AF322" s="74" t="str">
        <f t="shared" si="129"/>
        <v/>
      </c>
      <c r="AG322" s="74" t="str">
        <f t="shared" si="130"/>
        <v/>
      </c>
      <c r="AH322" s="74">
        <f t="shared" si="131"/>
        <v>0</v>
      </c>
      <c r="AI322" s="74" t="str">
        <f>IF(AH322&lt;&gt;0,COUNTIF(AH$3:AH322,1),"")</f>
        <v/>
      </c>
      <c r="AJ322" s="74">
        <f t="shared" si="132"/>
        <v>0</v>
      </c>
      <c r="AK322" s="73" t="str">
        <f t="shared" si="133"/>
        <v/>
      </c>
      <c r="AL322" s="73" t="str">
        <f t="shared" si="134"/>
        <v/>
      </c>
      <c r="AM322" s="73" t="str">
        <f t="shared" si="135"/>
        <v/>
      </c>
      <c r="AN322" s="73" t="str">
        <f t="shared" si="136"/>
        <v/>
      </c>
      <c r="AP322" s="61" t="str">
        <f t="shared" si="116"/>
        <v/>
      </c>
      <c r="AQ322" s="61" t="str">
        <f t="shared" si="117"/>
        <v/>
      </c>
      <c r="AR322" s="61" t="str">
        <f t="shared" si="118"/>
        <v/>
      </c>
    </row>
    <row r="323" spans="16:44" x14ac:dyDescent="0.25">
      <c r="P323" s="73" t="str">
        <f t="shared" si="120"/>
        <v/>
      </c>
      <c r="Q323" s="73" t="str">
        <f t="shared" si="121"/>
        <v/>
      </c>
      <c r="R323" s="74" t="str">
        <f t="shared" si="122"/>
        <v/>
      </c>
      <c r="S323" s="74" t="str">
        <f t="shared" si="123"/>
        <v/>
      </c>
      <c r="U323" s="74" t="str">
        <f t="shared" si="119"/>
        <v/>
      </c>
      <c r="V323" s="74" t="str">
        <f t="shared" si="119"/>
        <v/>
      </c>
      <c r="W323" s="74" t="str">
        <f t="shared" si="119"/>
        <v/>
      </c>
      <c r="X323" s="74" t="str">
        <f t="shared" si="119"/>
        <v/>
      </c>
      <c r="Y323" s="74" t="str">
        <f t="shared" si="119"/>
        <v/>
      </c>
      <c r="Z323" s="74" t="str">
        <f t="shared" si="124"/>
        <v/>
      </c>
      <c r="AA323" s="74">
        <f t="shared" si="125"/>
        <v>0</v>
      </c>
      <c r="AB323" s="74">
        <f t="shared" si="126"/>
        <v>0</v>
      </c>
      <c r="AC323" s="74" t="str">
        <f t="shared" si="127"/>
        <v/>
      </c>
      <c r="AE323" s="74" t="str">
        <f t="shared" si="128"/>
        <v/>
      </c>
      <c r="AF323" s="74" t="str">
        <f t="shared" si="129"/>
        <v/>
      </c>
      <c r="AG323" s="74" t="str">
        <f t="shared" si="130"/>
        <v/>
      </c>
      <c r="AH323" s="74">
        <f t="shared" si="131"/>
        <v>0</v>
      </c>
      <c r="AI323" s="74" t="str">
        <f>IF(AH323&lt;&gt;0,COUNTIF(AH$3:AH323,1),"")</f>
        <v/>
      </c>
      <c r="AJ323" s="74">
        <f t="shared" si="132"/>
        <v>0</v>
      </c>
      <c r="AK323" s="73" t="str">
        <f t="shared" si="133"/>
        <v/>
      </c>
      <c r="AL323" s="73" t="str">
        <f t="shared" si="134"/>
        <v/>
      </c>
      <c r="AM323" s="73" t="str">
        <f t="shared" si="135"/>
        <v/>
      </c>
      <c r="AN323" s="73" t="str">
        <f t="shared" si="136"/>
        <v/>
      </c>
      <c r="AP323" s="61" t="str">
        <f t="shared" si="116"/>
        <v/>
      </c>
      <c r="AQ323" s="61" t="str">
        <f t="shared" si="117"/>
        <v/>
      </c>
      <c r="AR323" s="61" t="str">
        <f t="shared" si="118"/>
        <v/>
      </c>
    </row>
    <row r="324" spans="16:44" x14ac:dyDescent="0.25">
      <c r="P324" s="73" t="str">
        <f t="shared" si="120"/>
        <v/>
      </c>
      <c r="Q324" s="73" t="str">
        <f t="shared" si="121"/>
        <v/>
      </c>
      <c r="R324" s="74" t="str">
        <f t="shared" si="122"/>
        <v/>
      </c>
      <c r="S324" s="74" t="str">
        <f t="shared" si="123"/>
        <v/>
      </c>
      <c r="U324" s="74" t="str">
        <f t="shared" si="119"/>
        <v/>
      </c>
      <c r="V324" s="74" t="str">
        <f t="shared" si="119"/>
        <v/>
      </c>
      <c r="W324" s="74" t="str">
        <f t="shared" si="119"/>
        <v/>
      </c>
      <c r="X324" s="74" t="str">
        <f t="shared" si="119"/>
        <v/>
      </c>
      <c r="Y324" s="74" t="str">
        <f t="shared" si="119"/>
        <v/>
      </c>
      <c r="Z324" s="74" t="str">
        <f t="shared" si="124"/>
        <v/>
      </c>
      <c r="AA324" s="74">
        <f t="shared" si="125"/>
        <v>0</v>
      </c>
      <c r="AB324" s="74">
        <f t="shared" si="126"/>
        <v>0</v>
      </c>
      <c r="AC324" s="74" t="str">
        <f t="shared" si="127"/>
        <v/>
      </c>
      <c r="AE324" s="74" t="str">
        <f t="shared" si="128"/>
        <v/>
      </c>
      <c r="AF324" s="74" t="str">
        <f t="shared" si="129"/>
        <v/>
      </c>
      <c r="AG324" s="74" t="str">
        <f t="shared" si="130"/>
        <v/>
      </c>
      <c r="AH324" s="74">
        <f t="shared" si="131"/>
        <v>0</v>
      </c>
      <c r="AI324" s="74" t="str">
        <f>IF(AH324&lt;&gt;0,COUNTIF(AH$3:AH324,1),"")</f>
        <v/>
      </c>
      <c r="AJ324" s="74">
        <f t="shared" si="132"/>
        <v>0</v>
      </c>
      <c r="AK324" s="73" t="str">
        <f t="shared" si="133"/>
        <v/>
      </c>
      <c r="AL324" s="73" t="str">
        <f t="shared" si="134"/>
        <v/>
      </c>
      <c r="AM324" s="73" t="str">
        <f t="shared" si="135"/>
        <v/>
      </c>
      <c r="AN324" s="73" t="str">
        <f t="shared" si="136"/>
        <v/>
      </c>
      <c r="AP324" s="61" t="str">
        <f t="shared" ref="AP324:AP387" si="137">IF(P324&lt;&gt;"",_xlfn.NUMBERVALUE(P324),"")</f>
        <v/>
      </c>
      <c r="AQ324" s="61" t="str">
        <f t="shared" ref="AQ324:AQ387" si="138">IF(Q324&lt;&gt;"",_xlfn.NUMBERVALUE(Q324),"")</f>
        <v/>
      </c>
      <c r="AR324" s="61" t="str">
        <f t="shared" ref="AR324:AR387" si="139">IF(R324&lt;&gt;"",_xlfn.NUMBERVALUE(R324),"")</f>
        <v/>
      </c>
    </row>
    <row r="325" spans="16:44" x14ac:dyDescent="0.25">
      <c r="P325" s="73" t="str">
        <f t="shared" si="120"/>
        <v/>
      </c>
      <c r="Q325" s="73" t="str">
        <f t="shared" si="121"/>
        <v/>
      </c>
      <c r="R325" s="74" t="str">
        <f t="shared" si="122"/>
        <v/>
      </c>
      <c r="S325" s="74" t="str">
        <f t="shared" si="123"/>
        <v/>
      </c>
      <c r="U325" s="74" t="str">
        <f t="shared" si="119"/>
        <v/>
      </c>
      <c r="V325" s="74" t="str">
        <f t="shared" si="119"/>
        <v/>
      </c>
      <c r="W325" s="74" t="str">
        <f t="shared" si="119"/>
        <v/>
      </c>
      <c r="X325" s="74" t="str">
        <f t="shared" si="119"/>
        <v/>
      </c>
      <c r="Y325" s="74" t="str">
        <f t="shared" si="119"/>
        <v/>
      </c>
      <c r="Z325" s="74" t="str">
        <f t="shared" si="124"/>
        <v/>
      </c>
      <c r="AA325" s="74">
        <f t="shared" si="125"/>
        <v>0</v>
      </c>
      <c r="AB325" s="74">
        <f t="shared" si="126"/>
        <v>0</v>
      </c>
      <c r="AC325" s="74" t="str">
        <f t="shared" si="127"/>
        <v/>
      </c>
      <c r="AE325" s="74" t="str">
        <f t="shared" si="128"/>
        <v/>
      </c>
      <c r="AF325" s="74" t="str">
        <f t="shared" si="129"/>
        <v/>
      </c>
      <c r="AG325" s="74" t="str">
        <f t="shared" si="130"/>
        <v/>
      </c>
      <c r="AH325" s="74">
        <f t="shared" si="131"/>
        <v>0</v>
      </c>
      <c r="AI325" s="74" t="str">
        <f>IF(AH325&lt;&gt;0,COUNTIF(AH$3:AH325,1),"")</f>
        <v/>
      </c>
      <c r="AJ325" s="74">
        <f t="shared" si="132"/>
        <v>0</v>
      </c>
      <c r="AK325" s="73" t="str">
        <f t="shared" si="133"/>
        <v/>
      </c>
      <c r="AL325" s="73" t="str">
        <f t="shared" si="134"/>
        <v/>
      </c>
      <c r="AM325" s="73" t="str">
        <f t="shared" si="135"/>
        <v/>
      </c>
      <c r="AN325" s="73" t="str">
        <f t="shared" si="136"/>
        <v/>
      </c>
      <c r="AP325" s="61" t="str">
        <f t="shared" si="137"/>
        <v/>
      </c>
      <c r="AQ325" s="61" t="str">
        <f t="shared" si="138"/>
        <v/>
      </c>
      <c r="AR325" s="61" t="str">
        <f t="shared" si="139"/>
        <v/>
      </c>
    </row>
    <row r="326" spans="16:44" x14ac:dyDescent="0.25">
      <c r="P326" s="73" t="str">
        <f t="shared" si="120"/>
        <v/>
      </c>
      <c r="Q326" s="73" t="str">
        <f t="shared" si="121"/>
        <v/>
      </c>
      <c r="R326" s="74" t="str">
        <f t="shared" si="122"/>
        <v/>
      </c>
      <c r="S326" s="74" t="str">
        <f t="shared" si="123"/>
        <v/>
      </c>
      <c r="U326" s="74" t="str">
        <f t="shared" si="119"/>
        <v/>
      </c>
      <c r="V326" s="74" t="str">
        <f t="shared" si="119"/>
        <v/>
      </c>
      <c r="W326" s="74" t="str">
        <f t="shared" si="119"/>
        <v/>
      </c>
      <c r="X326" s="74" t="str">
        <f t="shared" si="119"/>
        <v/>
      </c>
      <c r="Y326" s="74" t="str">
        <f t="shared" si="119"/>
        <v/>
      </c>
      <c r="Z326" s="74" t="str">
        <f t="shared" si="124"/>
        <v/>
      </c>
      <c r="AA326" s="74">
        <f t="shared" si="125"/>
        <v>0</v>
      </c>
      <c r="AB326" s="74">
        <f t="shared" si="126"/>
        <v>0</v>
      </c>
      <c r="AC326" s="74" t="str">
        <f t="shared" si="127"/>
        <v/>
      </c>
      <c r="AE326" s="74" t="str">
        <f t="shared" si="128"/>
        <v/>
      </c>
      <c r="AF326" s="74" t="str">
        <f t="shared" si="129"/>
        <v/>
      </c>
      <c r="AG326" s="74" t="str">
        <f t="shared" si="130"/>
        <v/>
      </c>
      <c r="AH326" s="74">
        <f t="shared" si="131"/>
        <v>0</v>
      </c>
      <c r="AI326" s="74" t="str">
        <f>IF(AH326&lt;&gt;0,COUNTIF(AH$3:AH326,1),"")</f>
        <v/>
      </c>
      <c r="AJ326" s="74">
        <f t="shared" si="132"/>
        <v>0</v>
      </c>
      <c r="AK326" s="73" t="str">
        <f t="shared" si="133"/>
        <v/>
      </c>
      <c r="AL326" s="73" t="str">
        <f t="shared" si="134"/>
        <v/>
      </c>
      <c r="AM326" s="73" t="str">
        <f t="shared" si="135"/>
        <v/>
      </c>
      <c r="AN326" s="73" t="str">
        <f t="shared" si="136"/>
        <v/>
      </c>
      <c r="AP326" s="61" t="str">
        <f t="shared" si="137"/>
        <v/>
      </c>
      <c r="AQ326" s="61" t="str">
        <f t="shared" si="138"/>
        <v/>
      </c>
      <c r="AR326" s="61" t="str">
        <f t="shared" si="139"/>
        <v/>
      </c>
    </row>
    <row r="327" spans="16:44" x14ac:dyDescent="0.25">
      <c r="P327" s="73" t="str">
        <f t="shared" si="120"/>
        <v/>
      </c>
      <c r="Q327" s="73" t="str">
        <f t="shared" si="121"/>
        <v/>
      </c>
      <c r="R327" s="74" t="str">
        <f t="shared" si="122"/>
        <v/>
      </c>
      <c r="S327" s="74" t="str">
        <f t="shared" si="123"/>
        <v/>
      </c>
      <c r="U327" s="74" t="str">
        <f t="shared" si="119"/>
        <v/>
      </c>
      <c r="V327" s="74" t="str">
        <f t="shared" si="119"/>
        <v/>
      </c>
      <c r="W327" s="74" t="str">
        <f t="shared" si="119"/>
        <v/>
      </c>
      <c r="X327" s="74" t="str">
        <f t="shared" si="119"/>
        <v/>
      </c>
      <c r="Y327" s="74" t="str">
        <f t="shared" si="119"/>
        <v/>
      </c>
      <c r="Z327" s="74" t="str">
        <f t="shared" si="124"/>
        <v/>
      </c>
      <c r="AA327" s="74">
        <f t="shared" si="125"/>
        <v>0</v>
      </c>
      <c r="AB327" s="74">
        <f t="shared" si="126"/>
        <v>0</v>
      </c>
      <c r="AC327" s="74" t="str">
        <f t="shared" si="127"/>
        <v/>
      </c>
      <c r="AE327" s="74" t="str">
        <f t="shared" si="128"/>
        <v/>
      </c>
      <c r="AF327" s="74" t="str">
        <f t="shared" si="129"/>
        <v/>
      </c>
      <c r="AG327" s="74" t="str">
        <f t="shared" si="130"/>
        <v/>
      </c>
      <c r="AH327" s="74">
        <f t="shared" si="131"/>
        <v>0</v>
      </c>
      <c r="AI327" s="74" t="str">
        <f>IF(AH327&lt;&gt;0,COUNTIF(AH$3:AH327,1),"")</f>
        <v/>
      </c>
      <c r="AJ327" s="74">
        <f t="shared" si="132"/>
        <v>0</v>
      </c>
      <c r="AK327" s="73" t="str">
        <f t="shared" si="133"/>
        <v/>
      </c>
      <c r="AL327" s="73" t="str">
        <f t="shared" si="134"/>
        <v/>
      </c>
      <c r="AM327" s="73" t="str">
        <f t="shared" si="135"/>
        <v/>
      </c>
      <c r="AN327" s="73" t="str">
        <f t="shared" si="136"/>
        <v/>
      </c>
      <c r="AP327" s="61" t="str">
        <f t="shared" si="137"/>
        <v/>
      </c>
      <c r="AQ327" s="61" t="str">
        <f t="shared" si="138"/>
        <v/>
      </c>
      <c r="AR327" s="61" t="str">
        <f t="shared" si="139"/>
        <v/>
      </c>
    </row>
    <row r="328" spans="16:44" x14ac:dyDescent="0.25">
      <c r="P328" s="73" t="str">
        <f t="shared" si="120"/>
        <v/>
      </c>
      <c r="Q328" s="73" t="str">
        <f t="shared" si="121"/>
        <v/>
      </c>
      <c r="R328" s="74" t="str">
        <f t="shared" si="122"/>
        <v/>
      </c>
      <c r="S328" s="74" t="str">
        <f t="shared" si="123"/>
        <v/>
      </c>
      <c r="U328" s="74" t="str">
        <f t="shared" si="119"/>
        <v/>
      </c>
      <c r="V328" s="74" t="str">
        <f t="shared" si="119"/>
        <v/>
      </c>
      <c r="W328" s="74" t="str">
        <f t="shared" si="119"/>
        <v/>
      </c>
      <c r="X328" s="74" t="str">
        <f t="shared" si="119"/>
        <v/>
      </c>
      <c r="Y328" s="74" t="str">
        <f t="shared" si="119"/>
        <v/>
      </c>
      <c r="Z328" s="74" t="str">
        <f t="shared" si="124"/>
        <v/>
      </c>
      <c r="AA328" s="74">
        <f t="shared" si="125"/>
        <v>0</v>
      </c>
      <c r="AB328" s="74">
        <f t="shared" si="126"/>
        <v>0</v>
      </c>
      <c r="AC328" s="74" t="str">
        <f t="shared" si="127"/>
        <v/>
      </c>
      <c r="AE328" s="74" t="str">
        <f t="shared" si="128"/>
        <v/>
      </c>
      <c r="AF328" s="74" t="str">
        <f t="shared" si="129"/>
        <v/>
      </c>
      <c r="AG328" s="74" t="str">
        <f t="shared" si="130"/>
        <v/>
      </c>
      <c r="AH328" s="74">
        <f t="shared" si="131"/>
        <v>0</v>
      </c>
      <c r="AI328" s="74" t="str">
        <f>IF(AH328&lt;&gt;0,COUNTIF(AH$3:AH328,1),"")</f>
        <v/>
      </c>
      <c r="AJ328" s="74">
        <f t="shared" si="132"/>
        <v>0</v>
      </c>
      <c r="AK328" s="73" t="str">
        <f t="shared" si="133"/>
        <v/>
      </c>
      <c r="AL328" s="73" t="str">
        <f t="shared" si="134"/>
        <v/>
      </c>
      <c r="AM328" s="73" t="str">
        <f t="shared" si="135"/>
        <v/>
      </c>
      <c r="AN328" s="73" t="str">
        <f t="shared" si="136"/>
        <v/>
      </c>
      <c r="AP328" s="61" t="str">
        <f t="shared" si="137"/>
        <v/>
      </c>
      <c r="AQ328" s="61" t="str">
        <f t="shared" si="138"/>
        <v/>
      </c>
      <c r="AR328" s="61" t="str">
        <f t="shared" si="139"/>
        <v/>
      </c>
    </row>
    <row r="329" spans="16:44" x14ac:dyDescent="0.25">
      <c r="P329" s="73" t="str">
        <f t="shared" si="120"/>
        <v/>
      </c>
      <c r="Q329" s="73" t="str">
        <f t="shared" si="121"/>
        <v/>
      </c>
      <c r="R329" s="74" t="str">
        <f t="shared" si="122"/>
        <v/>
      </c>
      <c r="S329" s="74" t="str">
        <f t="shared" si="123"/>
        <v/>
      </c>
      <c r="U329" s="74" t="str">
        <f t="shared" si="119"/>
        <v/>
      </c>
      <c r="V329" s="74" t="str">
        <f t="shared" si="119"/>
        <v/>
      </c>
      <c r="W329" s="74" t="str">
        <f t="shared" si="119"/>
        <v/>
      </c>
      <c r="X329" s="74" t="str">
        <f t="shared" si="119"/>
        <v/>
      </c>
      <c r="Y329" s="74" t="str">
        <f t="shared" si="119"/>
        <v/>
      </c>
      <c r="Z329" s="74" t="str">
        <f t="shared" si="124"/>
        <v/>
      </c>
      <c r="AA329" s="74">
        <f t="shared" si="125"/>
        <v>0</v>
      </c>
      <c r="AB329" s="74">
        <f t="shared" si="126"/>
        <v>0</v>
      </c>
      <c r="AC329" s="74" t="str">
        <f t="shared" si="127"/>
        <v/>
      </c>
      <c r="AE329" s="74" t="str">
        <f t="shared" si="128"/>
        <v/>
      </c>
      <c r="AF329" s="74" t="str">
        <f t="shared" si="129"/>
        <v/>
      </c>
      <c r="AG329" s="74" t="str">
        <f t="shared" si="130"/>
        <v/>
      </c>
      <c r="AH329" s="74">
        <f t="shared" si="131"/>
        <v>0</v>
      </c>
      <c r="AI329" s="74" t="str">
        <f>IF(AH329&lt;&gt;0,COUNTIF(AH$3:AH329,1),"")</f>
        <v/>
      </c>
      <c r="AJ329" s="74">
        <f t="shared" si="132"/>
        <v>0</v>
      </c>
      <c r="AK329" s="73" t="str">
        <f t="shared" si="133"/>
        <v/>
      </c>
      <c r="AL329" s="73" t="str">
        <f t="shared" si="134"/>
        <v/>
      </c>
      <c r="AM329" s="73" t="str">
        <f t="shared" si="135"/>
        <v/>
      </c>
      <c r="AN329" s="73" t="str">
        <f t="shared" si="136"/>
        <v/>
      </c>
      <c r="AP329" s="61" t="str">
        <f t="shared" si="137"/>
        <v/>
      </c>
      <c r="AQ329" s="61" t="str">
        <f t="shared" si="138"/>
        <v/>
      </c>
      <c r="AR329" s="61" t="str">
        <f t="shared" si="139"/>
        <v/>
      </c>
    </row>
    <row r="330" spans="16:44" x14ac:dyDescent="0.25">
      <c r="P330" s="73" t="str">
        <f t="shared" si="120"/>
        <v/>
      </c>
      <c r="Q330" s="73" t="str">
        <f t="shared" si="121"/>
        <v/>
      </c>
      <c r="R330" s="74" t="str">
        <f t="shared" si="122"/>
        <v/>
      </c>
      <c r="S330" s="74" t="str">
        <f t="shared" si="123"/>
        <v/>
      </c>
      <c r="U330" s="74" t="str">
        <f t="shared" si="119"/>
        <v/>
      </c>
      <c r="V330" s="74" t="str">
        <f t="shared" si="119"/>
        <v/>
      </c>
      <c r="W330" s="74" t="str">
        <f t="shared" si="119"/>
        <v/>
      </c>
      <c r="X330" s="74" t="str">
        <f t="shared" si="119"/>
        <v/>
      </c>
      <c r="Y330" s="74" t="str">
        <f t="shared" si="119"/>
        <v/>
      </c>
      <c r="Z330" s="74" t="str">
        <f t="shared" si="124"/>
        <v/>
      </c>
      <c r="AA330" s="74">
        <f t="shared" si="125"/>
        <v>0</v>
      </c>
      <c r="AB330" s="74">
        <f t="shared" si="126"/>
        <v>0</v>
      </c>
      <c r="AC330" s="74" t="str">
        <f t="shared" si="127"/>
        <v/>
      </c>
      <c r="AE330" s="74" t="str">
        <f t="shared" si="128"/>
        <v/>
      </c>
      <c r="AF330" s="74" t="str">
        <f t="shared" si="129"/>
        <v/>
      </c>
      <c r="AG330" s="74" t="str">
        <f t="shared" si="130"/>
        <v/>
      </c>
      <c r="AH330" s="74">
        <f t="shared" si="131"/>
        <v>0</v>
      </c>
      <c r="AI330" s="74" t="str">
        <f>IF(AH330&lt;&gt;0,COUNTIF(AH$3:AH330,1),"")</f>
        <v/>
      </c>
      <c r="AJ330" s="74">
        <f t="shared" si="132"/>
        <v>0</v>
      </c>
      <c r="AK330" s="73" t="str">
        <f t="shared" si="133"/>
        <v/>
      </c>
      <c r="AL330" s="73" t="str">
        <f t="shared" si="134"/>
        <v/>
      </c>
      <c r="AM330" s="73" t="str">
        <f t="shared" si="135"/>
        <v/>
      </c>
      <c r="AN330" s="73" t="str">
        <f t="shared" si="136"/>
        <v/>
      </c>
      <c r="AP330" s="61" t="str">
        <f t="shared" si="137"/>
        <v/>
      </c>
      <c r="AQ330" s="61" t="str">
        <f t="shared" si="138"/>
        <v/>
      </c>
      <c r="AR330" s="61" t="str">
        <f t="shared" si="139"/>
        <v/>
      </c>
    </row>
    <row r="331" spans="16:44" x14ac:dyDescent="0.25">
      <c r="P331" s="73" t="str">
        <f t="shared" si="120"/>
        <v/>
      </c>
      <c r="Q331" s="73" t="str">
        <f t="shared" si="121"/>
        <v/>
      </c>
      <c r="R331" s="74" t="str">
        <f t="shared" si="122"/>
        <v/>
      </c>
      <c r="S331" s="74" t="str">
        <f t="shared" si="123"/>
        <v/>
      </c>
      <c r="U331" s="74" t="str">
        <f t="shared" si="119"/>
        <v/>
      </c>
      <c r="V331" s="74" t="str">
        <f t="shared" si="119"/>
        <v/>
      </c>
      <c r="W331" s="74" t="str">
        <f t="shared" si="119"/>
        <v/>
      </c>
      <c r="X331" s="74" t="str">
        <f t="shared" si="119"/>
        <v/>
      </c>
      <c r="Y331" s="74" t="str">
        <f t="shared" si="119"/>
        <v/>
      </c>
      <c r="Z331" s="74" t="str">
        <f t="shared" si="124"/>
        <v/>
      </c>
      <c r="AA331" s="74">
        <f t="shared" si="125"/>
        <v>0</v>
      </c>
      <c r="AB331" s="74">
        <f t="shared" si="126"/>
        <v>0</v>
      </c>
      <c r="AC331" s="74" t="str">
        <f t="shared" si="127"/>
        <v/>
      </c>
      <c r="AE331" s="74" t="str">
        <f t="shared" si="128"/>
        <v/>
      </c>
      <c r="AF331" s="74" t="str">
        <f t="shared" si="129"/>
        <v/>
      </c>
      <c r="AG331" s="74" t="str">
        <f t="shared" si="130"/>
        <v/>
      </c>
      <c r="AH331" s="74">
        <f t="shared" si="131"/>
        <v>0</v>
      </c>
      <c r="AI331" s="74" t="str">
        <f>IF(AH331&lt;&gt;0,COUNTIF(AH$3:AH331,1),"")</f>
        <v/>
      </c>
      <c r="AJ331" s="74">
        <f t="shared" si="132"/>
        <v>0</v>
      </c>
      <c r="AK331" s="73" t="str">
        <f t="shared" si="133"/>
        <v/>
      </c>
      <c r="AL331" s="73" t="str">
        <f t="shared" si="134"/>
        <v/>
      </c>
      <c r="AM331" s="73" t="str">
        <f t="shared" si="135"/>
        <v/>
      </c>
      <c r="AN331" s="73" t="str">
        <f t="shared" si="136"/>
        <v/>
      </c>
      <c r="AP331" s="61" t="str">
        <f t="shared" si="137"/>
        <v/>
      </c>
      <c r="AQ331" s="61" t="str">
        <f t="shared" si="138"/>
        <v/>
      </c>
      <c r="AR331" s="61" t="str">
        <f t="shared" si="139"/>
        <v/>
      </c>
    </row>
    <row r="332" spans="16:44" x14ac:dyDescent="0.25">
      <c r="P332" s="73" t="str">
        <f t="shared" si="120"/>
        <v/>
      </c>
      <c r="Q332" s="73" t="str">
        <f t="shared" si="121"/>
        <v/>
      </c>
      <c r="R332" s="74" t="str">
        <f t="shared" si="122"/>
        <v/>
      </c>
      <c r="S332" s="74" t="str">
        <f t="shared" si="123"/>
        <v/>
      </c>
      <c r="U332" s="74" t="str">
        <f t="shared" si="119"/>
        <v/>
      </c>
      <c r="V332" s="74" t="str">
        <f t="shared" si="119"/>
        <v/>
      </c>
      <c r="W332" s="74" t="str">
        <f t="shared" si="119"/>
        <v/>
      </c>
      <c r="X332" s="74" t="str">
        <f t="shared" si="119"/>
        <v/>
      </c>
      <c r="Y332" s="74" t="str">
        <f t="shared" si="119"/>
        <v/>
      </c>
      <c r="Z332" s="74" t="str">
        <f t="shared" si="124"/>
        <v/>
      </c>
      <c r="AA332" s="74">
        <f t="shared" si="125"/>
        <v>0</v>
      </c>
      <c r="AB332" s="74">
        <f t="shared" si="126"/>
        <v>0</v>
      </c>
      <c r="AC332" s="74" t="str">
        <f t="shared" si="127"/>
        <v/>
      </c>
      <c r="AE332" s="74" t="str">
        <f t="shared" si="128"/>
        <v/>
      </c>
      <c r="AF332" s="74" t="str">
        <f t="shared" si="129"/>
        <v/>
      </c>
      <c r="AG332" s="74" t="str">
        <f t="shared" si="130"/>
        <v/>
      </c>
      <c r="AH332" s="74">
        <f t="shared" si="131"/>
        <v>0</v>
      </c>
      <c r="AI332" s="74" t="str">
        <f>IF(AH332&lt;&gt;0,COUNTIF(AH$3:AH332,1),"")</f>
        <v/>
      </c>
      <c r="AJ332" s="74">
        <f t="shared" si="132"/>
        <v>0</v>
      </c>
      <c r="AK332" s="73" t="str">
        <f t="shared" si="133"/>
        <v/>
      </c>
      <c r="AL332" s="73" t="str">
        <f t="shared" si="134"/>
        <v/>
      </c>
      <c r="AM332" s="73" t="str">
        <f t="shared" si="135"/>
        <v/>
      </c>
      <c r="AN332" s="73" t="str">
        <f t="shared" si="136"/>
        <v/>
      </c>
      <c r="AP332" s="61" t="str">
        <f t="shared" si="137"/>
        <v/>
      </c>
      <c r="AQ332" s="61" t="str">
        <f t="shared" si="138"/>
        <v/>
      </c>
      <c r="AR332" s="61" t="str">
        <f t="shared" si="139"/>
        <v/>
      </c>
    </row>
    <row r="333" spans="16:44" x14ac:dyDescent="0.25">
      <c r="P333" s="73" t="str">
        <f t="shared" si="120"/>
        <v/>
      </c>
      <c r="Q333" s="73" t="str">
        <f t="shared" si="121"/>
        <v/>
      </c>
      <c r="R333" s="74" t="str">
        <f t="shared" si="122"/>
        <v/>
      </c>
      <c r="S333" s="74" t="str">
        <f t="shared" si="123"/>
        <v/>
      </c>
      <c r="U333" s="74" t="str">
        <f t="shared" si="119"/>
        <v/>
      </c>
      <c r="V333" s="74" t="str">
        <f t="shared" si="119"/>
        <v/>
      </c>
      <c r="W333" s="74" t="str">
        <f t="shared" si="119"/>
        <v/>
      </c>
      <c r="X333" s="74" t="str">
        <f t="shared" si="119"/>
        <v/>
      </c>
      <c r="Y333" s="74" t="str">
        <f t="shared" si="119"/>
        <v/>
      </c>
      <c r="Z333" s="74" t="str">
        <f t="shared" si="124"/>
        <v/>
      </c>
      <c r="AA333" s="74">
        <f t="shared" si="125"/>
        <v>0</v>
      </c>
      <c r="AB333" s="74">
        <f t="shared" si="126"/>
        <v>0</v>
      </c>
      <c r="AC333" s="74" t="str">
        <f t="shared" si="127"/>
        <v/>
      </c>
      <c r="AE333" s="74" t="str">
        <f t="shared" si="128"/>
        <v/>
      </c>
      <c r="AF333" s="74" t="str">
        <f t="shared" si="129"/>
        <v/>
      </c>
      <c r="AG333" s="74" t="str">
        <f t="shared" si="130"/>
        <v/>
      </c>
      <c r="AH333" s="74">
        <f t="shared" si="131"/>
        <v>0</v>
      </c>
      <c r="AI333" s="74" t="str">
        <f>IF(AH333&lt;&gt;0,COUNTIF(AH$3:AH333,1),"")</f>
        <v/>
      </c>
      <c r="AJ333" s="74">
        <f t="shared" si="132"/>
        <v>0</v>
      </c>
      <c r="AK333" s="73" t="str">
        <f t="shared" si="133"/>
        <v/>
      </c>
      <c r="AL333" s="73" t="str">
        <f t="shared" si="134"/>
        <v/>
      </c>
      <c r="AM333" s="73" t="str">
        <f t="shared" si="135"/>
        <v/>
      </c>
      <c r="AN333" s="73" t="str">
        <f t="shared" si="136"/>
        <v/>
      </c>
      <c r="AP333" s="61" t="str">
        <f t="shared" si="137"/>
        <v/>
      </c>
      <c r="AQ333" s="61" t="str">
        <f t="shared" si="138"/>
        <v/>
      </c>
      <c r="AR333" s="61" t="str">
        <f t="shared" si="139"/>
        <v/>
      </c>
    </row>
    <row r="334" spans="16:44" x14ac:dyDescent="0.25">
      <c r="P334" s="73" t="str">
        <f t="shared" si="120"/>
        <v/>
      </c>
      <c r="Q334" s="73" t="str">
        <f t="shared" si="121"/>
        <v/>
      </c>
      <c r="R334" s="74" t="str">
        <f t="shared" si="122"/>
        <v/>
      </c>
      <c r="S334" s="74" t="str">
        <f t="shared" si="123"/>
        <v/>
      </c>
      <c r="U334" s="74" t="str">
        <f t="shared" si="119"/>
        <v/>
      </c>
      <c r="V334" s="74" t="str">
        <f t="shared" si="119"/>
        <v/>
      </c>
      <c r="W334" s="74" t="str">
        <f t="shared" si="119"/>
        <v/>
      </c>
      <c r="X334" s="74" t="str">
        <f t="shared" si="119"/>
        <v/>
      </c>
      <c r="Y334" s="74" t="str">
        <f t="shared" si="119"/>
        <v/>
      </c>
      <c r="Z334" s="74" t="str">
        <f t="shared" si="124"/>
        <v/>
      </c>
      <c r="AA334" s="74">
        <f t="shared" si="125"/>
        <v>0</v>
      </c>
      <c r="AB334" s="74">
        <f t="shared" si="126"/>
        <v>0</v>
      </c>
      <c r="AC334" s="74" t="str">
        <f t="shared" si="127"/>
        <v/>
      </c>
      <c r="AE334" s="74" t="str">
        <f t="shared" si="128"/>
        <v/>
      </c>
      <c r="AF334" s="74" t="str">
        <f t="shared" si="129"/>
        <v/>
      </c>
      <c r="AG334" s="74" t="str">
        <f t="shared" si="130"/>
        <v/>
      </c>
      <c r="AH334" s="74">
        <f t="shared" si="131"/>
        <v>0</v>
      </c>
      <c r="AI334" s="74" t="str">
        <f>IF(AH334&lt;&gt;0,COUNTIF(AH$3:AH334,1),"")</f>
        <v/>
      </c>
      <c r="AJ334" s="74">
        <f t="shared" si="132"/>
        <v>0</v>
      </c>
      <c r="AK334" s="73" t="str">
        <f t="shared" si="133"/>
        <v/>
      </c>
      <c r="AL334" s="73" t="str">
        <f t="shared" si="134"/>
        <v/>
      </c>
      <c r="AM334" s="73" t="str">
        <f t="shared" si="135"/>
        <v/>
      </c>
      <c r="AN334" s="73" t="str">
        <f t="shared" si="136"/>
        <v/>
      </c>
      <c r="AP334" s="61" t="str">
        <f t="shared" si="137"/>
        <v/>
      </c>
      <c r="AQ334" s="61" t="str">
        <f t="shared" si="138"/>
        <v/>
      </c>
      <c r="AR334" s="61" t="str">
        <f t="shared" si="139"/>
        <v/>
      </c>
    </row>
    <row r="335" spans="16:44" x14ac:dyDescent="0.25">
      <c r="P335" s="73" t="str">
        <f t="shared" si="120"/>
        <v/>
      </c>
      <c r="Q335" s="73" t="str">
        <f t="shared" si="121"/>
        <v/>
      </c>
      <c r="R335" s="74" t="str">
        <f t="shared" si="122"/>
        <v/>
      </c>
      <c r="S335" s="74" t="str">
        <f t="shared" si="123"/>
        <v/>
      </c>
      <c r="U335" s="74" t="str">
        <f t="shared" si="119"/>
        <v/>
      </c>
      <c r="V335" s="74" t="str">
        <f t="shared" si="119"/>
        <v/>
      </c>
      <c r="W335" s="74" t="str">
        <f t="shared" si="119"/>
        <v/>
      </c>
      <c r="X335" s="74" t="str">
        <f t="shared" si="119"/>
        <v/>
      </c>
      <c r="Y335" s="74" t="str">
        <f t="shared" si="119"/>
        <v/>
      </c>
      <c r="Z335" s="74" t="str">
        <f t="shared" si="124"/>
        <v/>
      </c>
      <c r="AA335" s="74">
        <f t="shared" si="125"/>
        <v>0</v>
      </c>
      <c r="AB335" s="74">
        <f t="shared" si="126"/>
        <v>0</v>
      </c>
      <c r="AC335" s="74" t="str">
        <f t="shared" si="127"/>
        <v/>
      </c>
      <c r="AE335" s="74" t="str">
        <f t="shared" si="128"/>
        <v/>
      </c>
      <c r="AF335" s="74" t="str">
        <f t="shared" si="129"/>
        <v/>
      </c>
      <c r="AG335" s="74" t="str">
        <f t="shared" si="130"/>
        <v/>
      </c>
      <c r="AH335" s="74">
        <f t="shared" si="131"/>
        <v>0</v>
      </c>
      <c r="AI335" s="74" t="str">
        <f>IF(AH335&lt;&gt;0,COUNTIF(AH$3:AH335,1),"")</f>
        <v/>
      </c>
      <c r="AJ335" s="74">
        <f t="shared" si="132"/>
        <v>0</v>
      </c>
      <c r="AK335" s="73" t="str">
        <f t="shared" si="133"/>
        <v/>
      </c>
      <c r="AL335" s="73" t="str">
        <f t="shared" si="134"/>
        <v/>
      </c>
      <c r="AM335" s="73" t="str">
        <f t="shared" si="135"/>
        <v/>
      </c>
      <c r="AN335" s="73" t="str">
        <f t="shared" si="136"/>
        <v/>
      </c>
      <c r="AP335" s="61" t="str">
        <f t="shared" si="137"/>
        <v/>
      </c>
      <c r="AQ335" s="61" t="str">
        <f t="shared" si="138"/>
        <v/>
      </c>
      <c r="AR335" s="61" t="str">
        <f t="shared" si="139"/>
        <v/>
      </c>
    </row>
    <row r="336" spans="16:44" x14ac:dyDescent="0.25">
      <c r="P336" s="73" t="str">
        <f t="shared" si="120"/>
        <v/>
      </c>
      <c r="Q336" s="73" t="str">
        <f t="shared" si="121"/>
        <v/>
      </c>
      <c r="R336" s="74" t="str">
        <f t="shared" si="122"/>
        <v/>
      </c>
      <c r="S336" s="74" t="str">
        <f t="shared" si="123"/>
        <v/>
      </c>
      <c r="U336" s="74" t="str">
        <f t="shared" si="119"/>
        <v/>
      </c>
      <c r="V336" s="74" t="str">
        <f t="shared" si="119"/>
        <v/>
      </c>
      <c r="W336" s="74" t="str">
        <f t="shared" si="119"/>
        <v/>
      </c>
      <c r="X336" s="74" t="str">
        <f t="shared" si="119"/>
        <v/>
      </c>
      <c r="Y336" s="74" t="str">
        <f t="shared" si="119"/>
        <v/>
      </c>
      <c r="Z336" s="74" t="str">
        <f t="shared" si="124"/>
        <v/>
      </c>
      <c r="AA336" s="74">
        <f t="shared" si="125"/>
        <v>0</v>
      </c>
      <c r="AB336" s="74">
        <f t="shared" si="126"/>
        <v>0</v>
      </c>
      <c r="AC336" s="74" t="str">
        <f t="shared" si="127"/>
        <v/>
      </c>
      <c r="AE336" s="74" t="str">
        <f t="shared" si="128"/>
        <v/>
      </c>
      <c r="AF336" s="74" t="str">
        <f t="shared" si="129"/>
        <v/>
      </c>
      <c r="AG336" s="74" t="str">
        <f t="shared" si="130"/>
        <v/>
      </c>
      <c r="AH336" s="74">
        <f t="shared" si="131"/>
        <v>0</v>
      </c>
      <c r="AI336" s="74" t="str">
        <f>IF(AH336&lt;&gt;0,COUNTIF(AH$3:AH336,1),"")</f>
        <v/>
      </c>
      <c r="AJ336" s="74">
        <f t="shared" si="132"/>
        <v>0</v>
      </c>
      <c r="AK336" s="73" t="str">
        <f t="shared" si="133"/>
        <v/>
      </c>
      <c r="AL336" s="73" t="str">
        <f t="shared" si="134"/>
        <v/>
      </c>
      <c r="AM336" s="73" t="str">
        <f t="shared" si="135"/>
        <v/>
      </c>
      <c r="AN336" s="73" t="str">
        <f t="shared" si="136"/>
        <v/>
      </c>
      <c r="AP336" s="61" t="str">
        <f t="shared" si="137"/>
        <v/>
      </c>
      <c r="AQ336" s="61" t="str">
        <f t="shared" si="138"/>
        <v/>
      </c>
      <c r="AR336" s="61" t="str">
        <f t="shared" si="139"/>
        <v/>
      </c>
    </row>
    <row r="337" spans="16:44" x14ac:dyDescent="0.25">
      <c r="P337" s="73" t="str">
        <f t="shared" si="120"/>
        <v/>
      </c>
      <c r="Q337" s="73" t="str">
        <f t="shared" si="121"/>
        <v/>
      </c>
      <c r="R337" s="74" t="str">
        <f t="shared" si="122"/>
        <v/>
      </c>
      <c r="S337" s="74" t="str">
        <f t="shared" si="123"/>
        <v/>
      </c>
      <c r="U337" s="74" t="str">
        <f t="shared" si="119"/>
        <v/>
      </c>
      <c r="V337" s="74" t="str">
        <f t="shared" si="119"/>
        <v/>
      </c>
      <c r="W337" s="74" t="str">
        <f t="shared" si="119"/>
        <v/>
      </c>
      <c r="X337" s="74" t="str">
        <f t="shared" si="119"/>
        <v/>
      </c>
      <c r="Y337" s="74" t="str">
        <f t="shared" si="119"/>
        <v/>
      </c>
      <c r="Z337" s="74" t="str">
        <f t="shared" si="124"/>
        <v/>
      </c>
      <c r="AA337" s="74">
        <f t="shared" si="125"/>
        <v>0</v>
      </c>
      <c r="AB337" s="74">
        <f t="shared" si="126"/>
        <v>0</v>
      </c>
      <c r="AC337" s="74" t="str">
        <f t="shared" si="127"/>
        <v/>
      </c>
      <c r="AE337" s="74" t="str">
        <f t="shared" si="128"/>
        <v/>
      </c>
      <c r="AF337" s="74" t="str">
        <f t="shared" si="129"/>
        <v/>
      </c>
      <c r="AG337" s="74" t="str">
        <f t="shared" si="130"/>
        <v/>
      </c>
      <c r="AH337" s="74">
        <f t="shared" si="131"/>
        <v>0</v>
      </c>
      <c r="AI337" s="74" t="str">
        <f>IF(AH337&lt;&gt;0,COUNTIF(AH$3:AH337,1),"")</f>
        <v/>
      </c>
      <c r="AJ337" s="74">
        <f t="shared" si="132"/>
        <v>0</v>
      </c>
      <c r="AK337" s="73" t="str">
        <f t="shared" si="133"/>
        <v/>
      </c>
      <c r="AL337" s="73" t="str">
        <f t="shared" si="134"/>
        <v/>
      </c>
      <c r="AM337" s="73" t="str">
        <f t="shared" si="135"/>
        <v/>
      </c>
      <c r="AN337" s="73" t="str">
        <f t="shared" si="136"/>
        <v/>
      </c>
      <c r="AP337" s="61" t="str">
        <f t="shared" si="137"/>
        <v/>
      </c>
      <c r="AQ337" s="61" t="str">
        <f t="shared" si="138"/>
        <v/>
      </c>
      <c r="AR337" s="61" t="str">
        <f t="shared" si="139"/>
        <v/>
      </c>
    </row>
    <row r="338" spans="16:44" x14ac:dyDescent="0.25">
      <c r="P338" s="73" t="str">
        <f t="shared" si="120"/>
        <v/>
      </c>
      <c r="Q338" s="73" t="str">
        <f t="shared" si="121"/>
        <v/>
      </c>
      <c r="R338" s="74" t="str">
        <f t="shared" si="122"/>
        <v/>
      </c>
      <c r="S338" s="74" t="str">
        <f t="shared" si="123"/>
        <v/>
      </c>
      <c r="U338" s="74" t="str">
        <f t="shared" si="119"/>
        <v/>
      </c>
      <c r="V338" s="74" t="str">
        <f t="shared" si="119"/>
        <v/>
      </c>
      <c r="W338" s="74" t="str">
        <f t="shared" si="119"/>
        <v/>
      </c>
      <c r="X338" s="74" t="str">
        <f t="shared" si="119"/>
        <v/>
      </c>
      <c r="Y338" s="74" t="str">
        <f t="shared" si="119"/>
        <v/>
      </c>
      <c r="Z338" s="74" t="str">
        <f t="shared" si="124"/>
        <v/>
      </c>
      <c r="AA338" s="74">
        <f t="shared" si="125"/>
        <v>0</v>
      </c>
      <c r="AB338" s="74">
        <f t="shared" si="126"/>
        <v>0</v>
      </c>
      <c r="AC338" s="74" t="str">
        <f t="shared" si="127"/>
        <v/>
      </c>
      <c r="AE338" s="74" t="str">
        <f t="shared" si="128"/>
        <v/>
      </c>
      <c r="AF338" s="74" t="str">
        <f t="shared" si="129"/>
        <v/>
      </c>
      <c r="AG338" s="74" t="str">
        <f t="shared" si="130"/>
        <v/>
      </c>
      <c r="AH338" s="74">
        <f t="shared" si="131"/>
        <v>0</v>
      </c>
      <c r="AI338" s="74" t="str">
        <f>IF(AH338&lt;&gt;0,COUNTIF(AH$3:AH338,1),"")</f>
        <v/>
      </c>
      <c r="AJ338" s="74">
        <f t="shared" si="132"/>
        <v>0</v>
      </c>
      <c r="AK338" s="73" t="str">
        <f t="shared" si="133"/>
        <v/>
      </c>
      <c r="AL338" s="73" t="str">
        <f t="shared" si="134"/>
        <v/>
      </c>
      <c r="AM338" s="73" t="str">
        <f t="shared" si="135"/>
        <v/>
      </c>
      <c r="AN338" s="73" t="str">
        <f t="shared" si="136"/>
        <v/>
      </c>
      <c r="AP338" s="61" t="str">
        <f t="shared" si="137"/>
        <v/>
      </c>
      <c r="AQ338" s="61" t="str">
        <f t="shared" si="138"/>
        <v/>
      </c>
      <c r="AR338" s="61" t="str">
        <f t="shared" si="139"/>
        <v/>
      </c>
    </row>
    <row r="339" spans="16:44" x14ac:dyDescent="0.25">
      <c r="P339" s="73" t="str">
        <f t="shared" si="120"/>
        <v/>
      </c>
      <c r="Q339" s="73" t="str">
        <f t="shared" si="121"/>
        <v/>
      </c>
      <c r="R339" s="74" t="str">
        <f t="shared" si="122"/>
        <v/>
      </c>
      <c r="S339" s="74" t="str">
        <f t="shared" si="123"/>
        <v/>
      </c>
      <c r="U339" s="74" t="str">
        <f t="shared" si="119"/>
        <v/>
      </c>
      <c r="V339" s="74" t="str">
        <f t="shared" si="119"/>
        <v/>
      </c>
      <c r="W339" s="74" t="str">
        <f t="shared" si="119"/>
        <v/>
      </c>
      <c r="X339" s="74" t="str">
        <f t="shared" si="119"/>
        <v/>
      </c>
      <c r="Y339" s="74" t="str">
        <f t="shared" si="119"/>
        <v/>
      </c>
      <c r="Z339" s="74" t="str">
        <f t="shared" si="124"/>
        <v/>
      </c>
      <c r="AA339" s="74">
        <f t="shared" si="125"/>
        <v>0</v>
      </c>
      <c r="AB339" s="74">
        <f t="shared" si="126"/>
        <v>0</v>
      </c>
      <c r="AC339" s="74" t="str">
        <f t="shared" si="127"/>
        <v/>
      </c>
      <c r="AE339" s="74" t="str">
        <f t="shared" si="128"/>
        <v/>
      </c>
      <c r="AF339" s="74" t="str">
        <f t="shared" si="129"/>
        <v/>
      </c>
      <c r="AG339" s="74" t="str">
        <f t="shared" si="130"/>
        <v/>
      </c>
      <c r="AH339" s="74">
        <f t="shared" si="131"/>
        <v>0</v>
      </c>
      <c r="AI339" s="74" t="str">
        <f>IF(AH339&lt;&gt;0,COUNTIF(AH$3:AH339,1),"")</f>
        <v/>
      </c>
      <c r="AJ339" s="74">
        <f t="shared" si="132"/>
        <v>0</v>
      </c>
      <c r="AK339" s="73" t="str">
        <f t="shared" si="133"/>
        <v/>
      </c>
      <c r="AL339" s="73" t="str">
        <f t="shared" si="134"/>
        <v/>
      </c>
      <c r="AM339" s="73" t="str">
        <f t="shared" si="135"/>
        <v/>
      </c>
      <c r="AN339" s="73" t="str">
        <f t="shared" si="136"/>
        <v/>
      </c>
      <c r="AP339" s="61" t="str">
        <f t="shared" si="137"/>
        <v/>
      </c>
      <c r="AQ339" s="61" t="str">
        <f t="shared" si="138"/>
        <v/>
      </c>
      <c r="AR339" s="61" t="str">
        <f t="shared" si="139"/>
        <v/>
      </c>
    </row>
    <row r="340" spans="16:44" x14ac:dyDescent="0.25">
      <c r="P340" s="73" t="str">
        <f t="shared" si="120"/>
        <v/>
      </c>
      <c r="Q340" s="73" t="str">
        <f t="shared" si="121"/>
        <v/>
      </c>
      <c r="R340" s="74" t="str">
        <f t="shared" si="122"/>
        <v/>
      </c>
      <c r="S340" s="74" t="str">
        <f t="shared" si="123"/>
        <v/>
      </c>
      <c r="U340" s="74" t="str">
        <f t="shared" si="119"/>
        <v/>
      </c>
      <c r="V340" s="74" t="str">
        <f t="shared" si="119"/>
        <v/>
      </c>
      <c r="W340" s="74" t="str">
        <f t="shared" si="119"/>
        <v/>
      </c>
      <c r="X340" s="74" t="str">
        <f t="shared" si="119"/>
        <v/>
      </c>
      <c r="Y340" s="74" t="str">
        <f t="shared" si="119"/>
        <v/>
      </c>
      <c r="Z340" s="74" t="str">
        <f t="shared" si="124"/>
        <v/>
      </c>
      <c r="AA340" s="74">
        <f t="shared" si="125"/>
        <v>0</v>
      </c>
      <c r="AB340" s="74">
        <f t="shared" si="126"/>
        <v>0</v>
      </c>
      <c r="AC340" s="74" t="str">
        <f t="shared" si="127"/>
        <v/>
      </c>
      <c r="AE340" s="74" t="str">
        <f t="shared" si="128"/>
        <v/>
      </c>
      <c r="AF340" s="74" t="str">
        <f t="shared" si="129"/>
        <v/>
      </c>
      <c r="AG340" s="74" t="str">
        <f t="shared" si="130"/>
        <v/>
      </c>
      <c r="AH340" s="74">
        <f t="shared" si="131"/>
        <v>0</v>
      </c>
      <c r="AI340" s="74" t="str">
        <f>IF(AH340&lt;&gt;0,COUNTIF(AH$3:AH340,1),"")</f>
        <v/>
      </c>
      <c r="AJ340" s="74">
        <f t="shared" si="132"/>
        <v>0</v>
      </c>
      <c r="AK340" s="73" t="str">
        <f t="shared" si="133"/>
        <v/>
      </c>
      <c r="AL340" s="73" t="str">
        <f t="shared" si="134"/>
        <v/>
      </c>
      <c r="AM340" s="73" t="str">
        <f t="shared" si="135"/>
        <v/>
      </c>
      <c r="AN340" s="73" t="str">
        <f t="shared" si="136"/>
        <v/>
      </c>
      <c r="AP340" s="61" t="str">
        <f t="shared" si="137"/>
        <v/>
      </c>
      <c r="AQ340" s="61" t="str">
        <f t="shared" si="138"/>
        <v/>
      </c>
      <c r="AR340" s="61" t="str">
        <f t="shared" si="139"/>
        <v/>
      </c>
    </row>
    <row r="341" spans="16:44" x14ac:dyDescent="0.25">
      <c r="P341" s="73" t="str">
        <f t="shared" si="120"/>
        <v/>
      </c>
      <c r="Q341" s="73" t="str">
        <f t="shared" si="121"/>
        <v/>
      </c>
      <c r="R341" s="74" t="str">
        <f t="shared" si="122"/>
        <v/>
      </c>
      <c r="S341" s="74" t="str">
        <f t="shared" si="123"/>
        <v/>
      </c>
      <c r="U341" s="74" t="str">
        <f t="shared" si="119"/>
        <v/>
      </c>
      <c r="V341" s="74" t="str">
        <f t="shared" si="119"/>
        <v/>
      </c>
      <c r="W341" s="74" t="str">
        <f t="shared" si="119"/>
        <v/>
      </c>
      <c r="X341" s="74" t="str">
        <f t="shared" si="119"/>
        <v/>
      </c>
      <c r="Y341" s="74" t="str">
        <f t="shared" si="119"/>
        <v/>
      </c>
      <c r="Z341" s="74" t="str">
        <f t="shared" si="124"/>
        <v/>
      </c>
      <c r="AA341" s="74">
        <f t="shared" si="125"/>
        <v>0</v>
      </c>
      <c r="AB341" s="74">
        <f t="shared" si="126"/>
        <v>0</v>
      </c>
      <c r="AC341" s="74" t="str">
        <f t="shared" si="127"/>
        <v/>
      </c>
      <c r="AE341" s="74" t="str">
        <f t="shared" si="128"/>
        <v/>
      </c>
      <c r="AF341" s="74" t="str">
        <f t="shared" si="129"/>
        <v/>
      </c>
      <c r="AG341" s="74" t="str">
        <f t="shared" si="130"/>
        <v/>
      </c>
      <c r="AH341" s="74">
        <f t="shared" si="131"/>
        <v>0</v>
      </c>
      <c r="AI341" s="74" t="str">
        <f>IF(AH341&lt;&gt;0,COUNTIF(AH$3:AH341,1),"")</f>
        <v/>
      </c>
      <c r="AJ341" s="74">
        <f t="shared" si="132"/>
        <v>0</v>
      </c>
      <c r="AK341" s="73" t="str">
        <f t="shared" si="133"/>
        <v/>
      </c>
      <c r="AL341" s="73" t="str">
        <f t="shared" si="134"/>
        <v/>
      </c>
      <c r="AM341" s="73" t="str">
        <f t="shared" si="135"/>
        <v/>
      </c>
      <c r="AN341" s="73" t="str">
        <f t="shared" si="136"/>
        <v/>
      </c>
      <c r="AP341" s="61" t="str">
        <f t="shared" si="137"/>
        <v/>
      </c>
      <c r="AQ341" s="61" t="str">
        <f t="shared" si="138"/>
        <v/>
      </c>
      <c r="AR341" s="61" t="str">
        <f t="shared" si="139"/>
        <v/>
      </c>
    </row>
    <row r="342" spans="16:44" x14ac:dyDescent="0.25">
      <c r="P342" s="73" t="str">
        <f t="shared" si="120"/>
        <v/>
      </c>
      <c r="Q342" s="73" t="str">
        <f t="shared" si="121"/>
        <v/>
      </c>
      <c r="R342" s="74" t="str">
        <f t="shared" si="122"/>
        <v/>
      </c>
      <c r="S342" s="74" t="str">
        <f t="shared" si="123"/>
        <v/>
      </c>
      <c r="U342" s="74" t="str">
        <f t="shared" si="119"/>
        <v/>
      </c>
      <c r="V342" s="74" t="str">
        <f t="shared" si="119"/>
        <v/>
      </c>
      <c r="W342" s="74" t="str">
        <f t="shared" si="119"/>
        <v/>
      </c>
      <c r="X342" s="74" t="str">
        <f t="shared" si="119"/>
        <v/>
      </c>
      <c r="Y342" s="74" t="str">
        <f t="shared" si="119"/>
        <v/>
      </c>
      <c r="Z342" s="74" t="str">
        <f t="shared" si="124"/>
        <v/>
      </c>
      <c r="AA342" s="74">
        <f t="shared" si="125"/>
        <v>0</v>
      </c>
      <c r="AB342" s="74">
        <f t="shared" si="126"/>
        <v>0</v>
      </c>
      <c r="AC342" s="74" t="str">
        <f t="shared" si="127"/>
        <v/>
      </c>
      <c r="AE342" s="74" t="str">
        <f t="shared" si="128"/>
        <v/>
      </c>
      <c r="AF342" s="74" t="str">
        <f t="shared" si="129"/>
        <v/>
      </c>
      <c r="AG342" s="74" t="str">
        <f t="shared" si="130"/>
        <v/>
      </c>
      <c r="AH342" s="74">
        <f t="shared" si="131"/>
        <v>0</v>
      </c>
      <c r="AI342" s="74" t="str">
        <f>IF(AH342&lt;&gt;0,COUNTIF(AH$3:AH342,1),"")</f>
        <v/>
      </c>
      <c r="AJ342" s="74">
        <f t="shared" si="132"/>
        <v>0</v>
      </c>
      <c r="AK342" s="73" t="str">
        <f t="shared" si="133"/>
        <v/>
      </c>
      <c r="AL342" s="73" t="str">
        <f t="shared" si="134"/>
        <v/>
      </c>
      <c r="AM342" s="73" t="str">
        <f t="shared" si="135"/>
        <v/>
      </c>
      <c r="AN342" s="73" t="str">
        <f t="shared" si="136"/>
        <v/>
      </c>
      <c r="AP342" s="61" t="str">
        <f t="shared" si="137"/>
        <v/>
      </c>
      <c r="AQ342" s="61" t="str">
        <f t="shared" si="138"/>
        <v/>
      </c>
      <c r="AR342" s="61" t="str">
        <f t="shared" si="139"/>
        <v/>
      </c>
    </row>
    <row r="343" spans="16:44" x14ac:dyDescent="0.25">
      <c r="P343" s="73" t="str">
        <f t="shared" si="120"/>
        <v/>
      </c>
      <c r="Q343" s="73" t="str">
        <f t="shared" si="121"/>
        <v/>
      </c>
      <c r="R343" s="74" t="str">
        <f t="shared" si="122"/>
        <v/>
      </c>
      <c r="S343" s="74" t="str">
        <f t="shared" si="123"/>
        <v/>
      </c>
      <c r="U343" s="74" t="str">
        <f t="shared" ref="U343:Y393" si="140">IF($F343=U$1,$E343,"")</f>
        <v/>
      </c>
      <c r="V343" s="74" t="str">
        <f t="shared" si="140"/>
        <v/>
      </c>
      <c r="W343" s="74" t="str">
        <f t="shared" si="140"/>
        <v/>
      </c>
      <c r="X343" s="74" t="str">
        <f t="shared" si="140"/>
        <v/>
      </c>
      <c r="Y343" s="74" t="str">
        <f t="shared" si="140"/>
        <v/>
      </c>
      <c r="Z343" s="74" t="str">
        <f t="shared" si="124"/>
        <v/>
      </c>
      <c r="AA343" s="74">
        <f t="shared" si="125"/>
        <v>0</v>
      </c>
      <c r="AB343" s="74">
        <f t="shared" si="126"/>
        <v>0</v>
      </c>
      <c r="AC343" s="74" t="str">
        <f t="shared" si="127"/>
        <v/>
      </c>
      <c r="AE343" s="74" t="str">
        <f t="shared" si="128"/>
        <v/>
      </c>
      <c r="AF343" s="74" t="str">
        <f t="shared" si="129"/>
        <v/>
      </c>
      <c r="AG343" s="74" t="str">
        <f t="shared" si="130"/>
        <v/>
      </c>
      <c r="AH343" s="74">
        <f t="shared" si="131"/>
        <v>0</v>
      </c>
      <c r="AI343" s="74" t="str">
        <f>IF(AH343&lt;&gt;0,COUNTIF(AH$3:AH343,1),"")</f>
        <v/>
      </c>
      <c r="AJ343" s="74">
        <f t="shared" si="132"/>
        <v>0</v>
      </c>
      <c r="AK343" s="73" t="str">
        <f t="shared" si="133"/>
        <v/>
      </c>
      <c r="AL343" s="73" t="str">
        <f t="shared" si="134"/>
        <v/>
      </c>
      <c r="AM343" s="73" t="str">
        <f t="shared" si="135"/>
        <v/>
      </c>
      <c r="AN343" s="73" t="str">
        <f t="shared" si="136"/>
        <v/>
      </c>
      <c r="AP343" s="61" t="str">
        <f t="shared" si="137"/>
        <v/>
      </c>
      <c r="AQ343" s="61" t="str">
        <f t="shared" si="138"/>
        <v/>
      </c>
      <c r="AR343" s="61" t="str">
        <f t="shared" si="139"/>
        <v/>
      </c>
    </row>
    <row r="344" spans="16:44" x14ac:dyDescent="0.25">
      <c r="P344" s="73" t="str">
        <f t="shared" si="120"/>
        <v/>
      </c>
      <c r="Q344" s="73" t="str">
        <f t="shared" si="121"/>
        <v/>
      </c>
      <c r="R344" s="74" t="str">
        <f t="shared" si="122"/>
        <v/>
      </c>
      <c r="S344" s="74" t="str">
        <f t="shared" si="123"/>
        <v/>
      </c>
      <c r="U344" s="74" t="str">
        <f t="shared" si="140"/>
        <v/>
      </c>
      <c r="V344" s="74" t="str">
        <f t="shared" si="140"/>
        <v/>
      </c>
      <c r="W344" s="74" t="str">
        <f t="shared" si="140"/>
        <v/>
      </c>
      <c r="X344" s="74" t="str">
        <f t="shared" si="140"/>
        <v/>
      </c>
      <c r="Y344" s="74" t="str">
        <f t="shared" si="140"/>
        <v/>
      </c>
      <c r="Z344" s="74" t="str">
        <f t="shared" si="124"/>
        <v/>
      </c>
      <c r="AA344" s="74">
        <f t="shared" si="125"/>
        <v>0</v>
      </c>
      <c r="AB344" s="74">
        <f t="shared" si="126"/>
        <v>0</v>
      </c>
      <c r="AC344" s="74" t="str">
        <f t="shared" si="127"/>
        <v/>
      </c>
      <c r="AE344" s="74" t="str">
        <f t="shared" si="128"/>
        <v/>
      </c>
      <c r="AF344" s="74" t="str">
        <f t="shared" si="129"/>
        <v/>
      </c>
      <c r="AG344" s="74" t="str">
        <f t="shared" si="130"/>
        <v/>
      </c>
      <c r="AH344" s="74">
        <f t="shared" si="131"/>
        <v>0</v>
      </c>
      <c r="AI344" s="74" t="str">
        <f>IF(AH344&lt;&gt;0,COUNTIF(AH$3:AH344,1),"")</f>
        <v/>
      </c>
      <c r="AJ344" s="74">
        <f t="shared" si="132"/>
        <v>0</v>
      </c>
      <c r="AK344" s="73" t="str">
        <f t="shared" si="133"/>
        <v/>
      </c>
      <c r="AL344" s="73" t="str">
        <f t="shared" si="134"/>
        <v/>
      </c>
      <c r="AM344" s="73" t="str">
        <f t="shared" si="135"/>
        <v/>
      </c>
      <c r="AN344" s="73" t="str">
        <f t="shared" si="136"/>
        <v/>
      </c>
      <c r="AP344" s="61" t="str">
        <f t="shared" si="137"/>
        <v/>
      </c>
      <c r="AQ344" s="61" t="str">
        <f t="shared" si="138"/>
        <v/>
      </c>
      <c r="AR344" s="61" t="str">
        <f t="shared" si="139"/>
        <v/>
      </c>
    </row>
    <row r="345" spans="16:44" x14ac:dyDescent="0.25">
      <c r="P345" s="73" t="str">
        <f t="shared" si="120"/>
        <v/>
      </c>
      <c r="Q345" s="73" t="str">
        <f t="shared" si="121"/>
        <v/>
      </c>
      <c r="R345" s="74" t="str">
        <f t="shared" si="122"/>
        <v/>
      </c>
      <c r="S345" s="74" t="str">
        <f t="shared" si="123"/>
        <v/>
      </c>
      <c r="U345" s="74" t="str">
        <f t="shared" si="140"/>
        <v/>
      </c>
      <c r="V345" s="74" t="str">
        <f t="shared" si="140"/>
        <v/>
      </c>
      <c r="W345" s="74" t="str">
        <f t="shared" si="140"/>
        <v/>
      </c>
      <c r="X345" s="74" t="str">
        <f t="shared" si="140"/>
        <v/>
      </c>
      <c r="Y345" s="74" t="str">
        <f t="shared" si="140"/>
        <v/>
      </c>
      <c r="Z345" s="74" t="str">
        <f t="shared" si="124"/>
        <v/>
      </c>
      <c r="AA345" s="74">
        <f t="shared" si="125"/>
        <v>0</v>
      </c>
      <c r="AB345" s="74">
        <f t="shared" si="126"/>
        <v>0</v>
      </c>
      <c r="AC345" s="74" t="str">
        <f t="shared" si="127"/>
        <v/>
      </c>
      <c r="AE345" s="74" t="str">
        <f t="shared" si="128"/>
        <v/>
      </c>
      <c r="AF345" s="74" t="str">
        <f t="shared" si="129"/>
        <v/>
      </c>
      <c r="AG345" s="74" t="str">
        <f t="shared" si="130"/>
        <v/>
      </c>
      <c r="AH345" s="74">
        <f t="shared" si="131"/>
        <v>0</v>
      </c>
      <c r="AI345" s="74" t="str">
        <f>IF(AH345&lt;&gt;0,COUNTIF(AH$3:AH345,1),"")</f>
        <v/>
      </c>
      <c r="AJ345" s="74">
        <f t="shared" si="132"/>
        <v>0</v>
      </c>
      <c r="AK345" s="73" t="str">
        <f t="shared" si="133"/>
        <v/>
      </c>
      <c r="AL345" s="73" t="str">
        <f t="shared" si="134"/>
        <v/>
      </c>
      <c r="AM345" s="73" t="str">
        <f t="shared" si="135"/>
        <v/>
      </c>
      <c r="AN345" s="73" t="str">
        <f t="shared" si="136"/>
        <v/>
      </c>
      <c r="AP345" s="61" t="str">
        <f t="shared" si="137"/>
        <v/>
      </c>
      <c r="AQ345" s="61" t="str">
        <f t="shared" si="138"/>
        <v/>
      </c>
      <c r="AR345" s="61" t="str">
        <f t="shared" si="139"/>
        <v/>
      </c>
    </row>
    <row r="346" spans="16:44" x14ac:dyDescent="0.25">
      <c r="P346" s="73" t="str">
        <f t="shared" si="120"/>
        <v/>
      </c>
      <c r="Q346" s="73" t="str">
        <f t="shared" si="121"/>
        <v/>
      </c>
      <c r="R346" s="74" t="str">
        <f t="shared" si="122"/>
        <v/>
      </c>
      <c r="S346" s="74" t="str">
        <f t="shared" si="123"/>
        <v/>
      </c>
      <c r="U346" s="74" t="str">
        <f t="shared" si="140"/>
        <v/>
      </c>
      <c r="V346" s="74" t="str">
        <f t="shared" si="140"/>
        <v/>
      </c>
      <c r="W346" s="74" t="str">
        <f t="shared" si="140"/>
        <v/>
      </c>
      <c r="X346" s="74" t="str">
        <f t="shared" si="140"/>
        <v/>
      </c>
      <c r="Y346" s="74" t="str">
        <f t="shared" si="140"/>
        <v/>
      </c>
      <c r="Z346" s="74" t="str">
        <f t="shared" si="124"/>
        <v/>
      </c>
      <c r="AA346" s="74">
        <f t="shared" si="125"/>
        <v>0</v>
      </c>
      <c r="AB346" s="74">
        <f t="shared" si="126"/>
        <v>0</v>
      </c>
      <c r="AC346" s="74" t="str">
        <f t="shared" si="127"/>
        <v/>
      </c>
      <c r="AE346" s="74" t="str">
        <f t="shared" si="128"/>
        <v/>
      </c>
      <c r="AF346" s="74" t="str">
        <f t="shared" si="129"/>
        <v/>
      </c>
      <c r="AG346" s="74" t="str">
        <f t="shared" si="130"/>
        <v/>
      </c>
      <c r="AH346" s="74">
        <f t="shared" si="131"/>
        <v>0</v>
      </c>
      <c r="AI346" s="74" t="str">
        <f>IF(AH346&lt;&gt;0,COUNTIF(AH$3:AH346,1),"")</f>
        <v/>
      </c>
      <c r="AJ346" s="74">
        <f t="shared" si="132"/>
        <v>0</v>
      </c>
      <c r="AK346" s="73" t="str">
        <f t="shared" si="133"/>
        <v/>
      </c>
      <c r="AL346" s="73" t="str">
        <f t="shared" si="134"/>
        <v/>
      </c>
      <c r="AM346" s="73" t="str">
        <f t="shared" si="135"/>
        <v/>
      </c>
      <c r="AN346" s="73" t="str">
        <f t="shared" si="136"/>
        <v/>
      </c>
      <c r="AP346" s="61" t="str">
        <f t="shared" si="137"/>
        <v/>
      </c>
      <c r="AQ346" s="61" t="str">
        <f t="shared" si="138"/>
        <v/>
      </c>
      <c r="AR346" s="61" t="str">
        <f t="shared" si="139"/>
        <v/>
      </c>
    </row>
    <row r="347" spans="16:44" x14ac:dyDescent="0.25">
      <c r="P347" s="73" t="str">
        <f t="shared" si="120"/>
        <v/>
      </c>
      <c r="Q347" s="73" t="str">
        <f t="shared" si="121"/>
        <v/>
      </c>
      <c r="R347" s="74" t="str">
        <f t="shared" si="122"/>
        <v/>
      </c>
      <c r="S347" s="74" t="str">
        <f t="shared" si="123"/>
        <v/>
      </c>
      <c r="U347" s="74" t="str">
        <f t="shared" si="140"/>
        <v/>
      </c>
      <c r="V347" s="74" t="str">
        <f t="shared" si="140"/>
        <v/>
      </c>
      <c r="W347" s="74" t="str">
        <f t="shared" si="140"/>
        <v/>
      </c>
      <c r="X347" s="74" t="str">
        <f t="shared" si="140"/>
        <v/>
      </c>
      <c r="Y347" s="74" t="str">
        <f t="shared" si="140"/>
        <v/>
      </c>
      <c r="Z347" s="74" t="str">
        <f t="shared" si="124"/>
        <v/>
      </c>
      <c r="AA347" s="74">
        <f t="shared" si="125"/>
        <v>0</v>
      </c>
      <c r="AB347" s="74">
        <f t="shared" si="126"/>
        <v>0</v>
      </c>
      <c r="AC347" s="74" t="str">
        <f t="shared" si="127"/>
        <v/>
      </c>
      <c r="AE347" s="74" t="str">
        <f t="shared" si="128"/>
        <v/>
      </c>
      <c r="AF347" s="74" t="str">
        <f t="shared" si="129"/>
        <v/>
      </c>
      <c r="AG347" s="74" t="str">
        <f t="shared" si="130"/>
        <v/>
      </c>
      <c r="AH347" s="74">
        <f t="shared" si="131"/>
        <v>0</v>
      </c>
      <c r="AI347" s="74" t="str">
        <f>IF(AH347&lt;&gt;0,COUNTIF(AH$3:AH347,1),"")</f>
        <v/>
      </c>
      <c r="AJ347" s="74">
        <f t="shared" si="132"/>
        <v>0</v>
      </c>
      <c r="AK347" s="73" t="str">
        <f t="shared" si="133"/>
        <v/>
      </c>
      <c r="AL347" s="73" t="str">
        <f t="shared" si="134"/>
        <v/>
      </c>
      <c r="AM347" s="73" t="str">
        <f t="shared" si="135"/>
        <v/>
      </c>
      <c r="AN347" s="73" t="str">
        <f t="shared" si="136"/>
        <v/>
      </c>
      <c r="AP347" s="61" t="str">
        <f t="shared" si="137"/>
        <v/>
      </c>
      <c r="AQ347" s="61" t="str">
        <f t="shared" si="138"/>
        <v/>
      </c>
      <c r="AR347" s="61" t="str">
        <f t="shared" si="139"/>
        <v/>
      </c>
    </row>
    <row r="348" spans="16:44" x14ac:dyDescent="0.25">
      <c r="P348" s="73" t="str">
        <f t="shared" si="120"/>
        <v/>
      </c>
      <c r="Q348" s="73" t="str">
        <f t="shared" si="121"/>
        <v/>
      </c>
      <c r="R348" s="74" t="str">
        <f t="shared" si="122"/>
        <v/>
      </c>
      <c r="S348" s="74" t="str">
        <f t="shared" si="123"/>
        <v/>
      </c>
      <c r="U348" s="74" t="str">
        <f t="shared" si="140"/>
        <v/>
      </c>
      <c r="V348" s="74" t="str">
        <f t="shared" si="140"/>
        <v/>
      </c>
      <c r="W348" s="74" t="str">
        <f t="shared" si="140"/>
        <v/>
      </c>
      <c r="X348" s="74" t="str">
        <f t="shared" si="140"/>
        <v/>
      </c>
      <c r="Y348" s="74" t="str">
        <f t="shared" si="140"/>
        <v/>
      </c>
      <c r="Z348" s="74" t="str">
        <f t="shared" si="124"/>
        <v/>
      </c>
      <c r="AA348" s="74">
        <f t="shared" si="125"/>
        <v>0</v>
      </c>
      <c r="AB348" s="74">
        <f t="shared" si="126"/>
        <v>0</v>
      </c>
      <c r="AC348" s="74" t="str">
        <f t="shared" si="127"/>
        <v/>
      </c>
      <c r="AE348" s="74" t="str">
        <f t="shared" si="128"/>
        <v/>
      </c>
      <c r="AF348" s="74" t="str">
        <f t="shared" si="129"/>
        <v/>
      </c>
      <c r="AG348" s="74" t="str">
        <f t="shared" si="130"/>
        <v/>
      </c>
      <c r="AH348" s="74">
        <f t="shared" si="131"/>
        <v>0</v>
      </c>
      <c r="AI348" s="74" t="str">
        <f>IF(AH348&lt;&gt;0,COUNTIF(AH$3:AH348,1),"")</f>
        <v/>
      </c>
      <c r="AJ348" s="74">
        <f t="shared" si="132"/>
        <v>0</v>
      </c>
      <c r="AK348" s="73" t="str">
        <f t="shared" si="133"/>
        <v/>
      </c>
      <c r="AL348" s="73" t="str">
        <f t="shared" si="134"/>
        <v/>
      </c>
      <c r="AM348" s="73" t="str">
        <f t="shared" si="135"/>
        <v/>
      </c>
      <c r="AN348" s="73" t="str">
        <f t="shared" si="136"/>
        <v/>
      </c>
      <c r="AP348" s="61" t="str">
        <f t="shared" si="137"/>
        <v/>
      </c>
      <c r="AQ348" s="61" t="str">
        <f t="shared" si="138"/>
        <v/>
      </c>
      <c r="AR348" s="61" t="str">
        <f t="shared" si="139"/>
        <v/>
      </c>
    </row>
    <row r="349" spans="16:44" x14ac:dyDescent="0.25">
      <c r="P349" s="73" t="str">
        <f t="shared" si="120"/>
        <v/>
      </c>
      <c r="Q349" s="73" t="str">
        <f t="shared" si="121"/>
        <v/>
      </c>
      <c r="R349" s="74" t="str">
        <f t="shared" si="122"/>
        <v/>
      </c>
      <c r="S349" s="74" t="str">
        <f t="shared" si="123"/>
        <v/>
      </c>
      <c r="U349" s="74" t="str">
        <f t="shared" si="140"/>
        <v/>
      </c>
      <c r="V349" s="74" t="str">
        <f t="shared" si="140"/>
        <v/>
      </c>
      <c r="W349" s="74" t="str">
        <f t="shared" si="140"/>
        <v/>
      </c>
      <c r="X349" s="74" t="str">
        <f t="shared" si="140"/>
        <v/>
      </c>
      <c r="Y349" s="74" t="str">
        <f t="shared" si="140"/>
        <v/>
      </c>
      <c r="Z349" s="74" t="str">
        <f t="shared" si="124"/>
        <v/>
      </c>
      <c r="AA349" s="74">
        <f t="shared" si="125"/>
        <v>0</v>
      </c>
      <c r="AB349" s="74">
        <f t="shared" si="126"/>
        <v>0</v>
      </c>
      <c r="AC349" s="74" t="str">
        <f t="shared" si="127"/>
        <v/>
      </c>
      <c r="AE349" s="74" t="str">
        <f t="shared" si="128"/>
        <v/>
      </c>
      <c r="AF349" s="74" t="str">
        <f t="shared" si="129"/>
        <v/>
      </c>
      <c r="AG349" s="74" t="str">
        <f t="shared" si="130"/>
        <v/>
      </c>
      <c r="AH349" s="74">
        <f t="shared" si="131"/>
        <v>0</v>
      </c>
      <c r="AI349" s="74" t="str">
        <f>IF(AH349&lt;&gt;0,COUNTIF(AH$3:AH349,1),"")</f>
        <v/>
      </c>
      <c r="AJ349" s="74">
        <f t="shared" si="132"/>
        <v>0</v>
      </c>
      <c r="AK349" s="73" t="str">
        <f t="shared" si="133"/>
        <v/>
      </c>
      <c r="AL349" s="73" t="str">
        <f t="shared" si="134"/>
        <v/>
      </c>
      <c r="AM349" s="73" t="str">
        <f t="shared" si="135"/>
        <v/>
      </c>
      <c r="AN349" s="73" t="str">
        <f t="shared" si="136"/>
        <v/>
      </c>
      <c r="AP349" s="61" t="str">
        <f t="shared" si="137"/>
        <v/>
      </c>
      <c r="AQ349" s="61" t="str">
        <f t="shared" si="138"/>
        <v/>
      </c>
      <c r="AR349" s="61" t="str">
        <f t="shared" si="139"/>
        <v/>
      </c>
    </row>
    <row r="350" spans="16:44" x14ac:dyDescent="0.25">
      <c r="P350" s="73" t="str">
        <f t="shared" si="120"/>
        <v/>
      </c>
      <c r="Q350" s="73" t="str">
        <f t="shared" si="121"/>
        <v/>
      </c>
      <c r="R350" s="74" t="str">
        <f t="shared" si="122"/>
        <v/>
      </c>
      <c r="S350" s="74" t="str">
        <f t="shared" si="123"/>
        <v/>
      </c>
      <c r="U350" s="74" t="str">
        <f t="shared" si="140"/>
        <v/>
      </c>
      <c r="V350" s="74" t="str">
        <f t="shared" si="140"/>
        <v/>
      </c>
      <c r="W350" s="74" t="str">
        <f t="shared" si="140"/>
        <v/>
      </c>
      <c r="X350" s="74" t="str">
        <f t="shared" si="140"/>
        <v/>
      </c>
      <c r="Y350" s="74" t="str">
        <f t="shared" si="140"/>
        <v/>
      </c>
      <c r="Z350" s="74" t="str">
        <f t="shared" si="124"/>
        <v/>
      </c>
      <c r="AA350" s="74">
        <f t="shared" si="125"/>
        <v>0</v>
      </c>
      <c r="AB350" s="74">
        <f t="shared" si="126"/>
        <v>0</v>
      </c>
      <c r="AC350" s="74" t="str">
        <f t="shared" si="127"/>
        <v/>
      </c>
      <c r="AE350" s="74" t="str">
        <f t="shared" si="128"/>
        <v/>
      </c>
      <c r="AF350" s="74" t="str">
        <f t="shared" si="129"/>
        <v/>
      </c>
      <c r="AG350" s="74" t="str">
        <f t="shared" si="130"/>
        <v/>
      </c>
      <c r="AH350" s="74">
        <f t="shared" si="131"/>
        <v>0</v>
      </c>
      <c r="AI350" s="74" t="str">
        <f>IF(AH350&lt;&gt;0,COUNTIF(AH$3:AH350,1),"")</f>
        <v/>
      </c>
      <c r="AJ350" s="74">
        <f t="shared" si="132"/>
        <v>0</v>
      </c>
      <c r="AK350" s="73" t="str">
        <f t="shared" si="133"/>
        <v/>
      </c>
      <c r="AL350" s="73" t="str">
        <f t="shared" si="134"/>
        <v/>
      </c>
      <c r="AM350" s="73" t="str">
        <f t="shared" si="135"/>
        <v/>
      </c>
      <c r="AN350" s="73" t="str">
        <f t="shared" si="136"/>
        <v/>
      </c>
      <c r="AP350" s="61" t="str">
        <f t="shared" si="137"/>
        <v/>
      </c>
      <c r="AQ350" s="61" t="str">
        <f t="shared" si="138"/>
        <v/>
      </c>
      <c r="AR350" s="61" t="str">
        <f t="shared" si="139"/>
        <v/>
      </c>
    </row>
    <row r="351" spans="16:44" x14ac:dyDescent="0.25">
      <c r="P351" s="73" t="str">
        <f t="shared" si="120"/>
        <v/>
      </c>
      <c r="Q351" s="73" t="str">
        <f t="shared" si="121"/>
        <v/>
      </c>
      <c r="R351" s="74" t="str">
        <f t="shared" si="122"/>
        <v/>
      </c>
      <c r="S351" s="74" t="str">
        <f t="shared" si="123"/>
        <v/>
      </c>
      <c r="U351" s="74" t="str">
        <f t="shared" si="140"/>
        <v/>
      </c>
      <c r="V351" s="74" t="str">
        <f t="shared" si="140"/>
        <v/>
      </c>
      <c r="W351" s="74" t="str">
        <f t="shared" si="140"/>
        <v/>
      </c>
      <c r="X351" s="74" t="str">
        <f t="shared" si="140"/>
        <v/>
      </c>
      <c r="Y351" s="74" t="str">
        <f t="shared" si="140"/>
        <v/>
      </c>
      <c r="Z351" s="74" t="str">
        <f t="shared" si="124"/>
        <v/>
      </c>
      <c r="AA351" s="74">
        <f t="shared" si="125"/>
        <v>0</v>
      </c>
      <c r="AB351" s="74">
        <f t="shared" si="126"/>
        <v>0</v>
      </c>
      <c r="AC351" s="74" t="str">
        <f t="shared" si="127"/>
        <v/>
      </c>
      <c r="AE351" s="74" t="str">
        <f t="shared" si="128"/>
        <v/>
      </c>
      <c r="AF351" s="74" t="str">
        <f t="shared" si="129"/>
        <v/>
      </c>
      <c r="AG351" s="74" t="str">
        <f t="shared" si="130"/>
        <v/>
      </c>
      <c r="AH351" s="74">
        <f t="shared" si="131"/>
        <v>0</v>
      </c>
      <c r="AI351" s="74" t="str">
        <f>IF(AH351&lt;&gt;0,COUNTIF(AH$3:AH351,1),"")</f>
        <v/>
      </c>
      <c r="AJ351" s="74">
        <f t="shared" si="132"/>
        <v>0</v>
      </c>
      <c r="AK351" s="73" t="str">
        <f t="shared" si="133"/>
        <v/>
      </c>
      <c r="AL351" s="73" t="str">
        <f t="shared" si="134"/>
        <v/>
      </c>
      <c r="AM351" s="73" t="str">
        <f t="shared" si="135"/>
        <v/>
      </c>
      <c r="AN351" s="73" t="str">
        <f t="shared" si="136"/>
        <v/>
      </c>
      <c r="AP351" s="61" t="str">
        <f t="shared" si="137"/>
        <v/>
      </c>
      <c r="AQ351" s="61" t="str">
        <f t="shared" si="138"/>
        <v/>
      </c>
      <c r="AR351" s="61" t="str">
        <f t="shared" si="139"/>
        <v/>
      </c>
    </row>
    <row r="352" spans="16:44" x14ac:dyDescent="0.25">
      <c r="P352" s="73" t="str">
        <f t="shared" si="120"/>
        <v/>
      </c>
      <c r="Q352" s="73" t="str">
        <f t="shared" si="121"/>
        <v/>
      </c>
      <c r="R352" s="74" t="str">
        <f t="shared" si="122"/>
        <v/>
      </c>
      <c r="S352" s="74" t="str">
        <f t="shared" si="123"/>
        <v/>
      </c>
      <c r="U352" s="74" t="str">
        <f t="shared" si="140"/>
        <v/>
      </c>
      <c r="V352" s="74" t="str">
        <f t="shared" si="140"/>
        <v/>
      </c>
      <c r="W352" s="74" t="str">
        <f t="shared" si="140"/>
        <v/>
      </c>
      <c r="X352" s="74" t="str">
        <f t="shared" si="140"/>
        <v/>
      </c>
      <c r="Y352" s="74" t="str">
        <f t="shared" si="140"/>
        <v/>
      </c>
      <c r="Z352" s="74" t="str">
        <f t="shared" si="124"/>
        <v/>
      </c>
      <c r="AA352" s="74">
        <f t="shared" si="125"/>
        <v>0</v>
      </c>
      <c r="AB352" s="74">
        <f t="shared" si="126"/>
        <v>0</v>
      </c>
      <c r="AC352" s="74" t="str">
        <f t="shared" si="127"/>
        <v/>
      </c>
      <c r="AE352" s="74" t="str">
        <f t="shared" si="128"/>
        <v/>
      </c>
      <c r="AF352" s="74" t="str">
        <f t="shared" si="129"/>
        <v/>
      </c>
      <c r="AG352" s="74" t="str">
        <f t="shared" si="130"/>
        <v/>
      </c>
      <c r="AH352" s="74">
        <f t="shared" si="131"/>
        <v>0</v>
      </c>
      <c r="AI352" s="74" t="str">
        <f>IF(AH352&lt;&gt;0,COUNTIF(AH$3:AH352,1),"")</f>
        <v/>
      </c>
      <c r="AJ352" s="74">
        <f t="shared" si="132"/>
        <v>0</v>
      </c>
      <c r="AK352" s="73" t="str">
        <f t="shared" si="133"/>
        <v/>
      </c>
      <c r="AL352" s="73" t="str">
        <f t="shared" si="134"/>
        <v/>
      </c>
      <c r="AM352" s="73" t="str">
        <f t="shared" si="135"/>
        <v/>
      </c>
      <c r="AN352" s="73" t="str">
        <f t="shared" si="136"/>
        <v/>
      </c>
      <c r="AP352" s="61" t="str">
        <f t="shared" si="137"/>
        <v/>
      </c>
      <c r="AQ352" s="61" t="str">
        <f t="shared" si="138"/>
        <v/>
      </c>
      <c r="AR352" s="61" t="str">
        <f t="shared" si="139"/>
        <v/>
      </c>
    </row>
    <row r="353" spans="16:44" x14ac:dyDescent="0.25">
      <c r="P353" s="73" t="str">
        <f t="shared" si="120"/>
        <v/>
      </c>
      <c r="Q353" s="73" t="str">
        <f t="shared" si="121"/>
        <v/>
      </c>
      <c r="R353" s="74" t="str">
        <f t="shared" si="122"/>
        <v/>
      </c>
      <c r="S353" s="74" t="str">
        <f t="shared" si="123"/>
        <v/>
      </c>
      <c r="U353" s="74" t="str">
        <f t="shared" si="140"/>
        <v/>
      </c>
      <c r="V353" s="74" t="str">
        <f t="shared" si="140"/>
        <v/>
      </c>
      <c r="W353" s="74" t="str">
        <f t="shared" si="140"/>
        <v/>
      </c>
      <c r="X353" s="74" t="str">
        <f t="shared" si="140"/>
        <v/>
      </c>
      <c r="Y353" s="74" t="str">
        <f t="shared" si="140"/>
        <v/>
      </c>
      <c r="Z353" s="74" t="str">
        <f t="shared" si="124"/>
        <v/>
      </c>
      <c r="AA353" s="74">
        <f t="shared" si="125"/>
        <v>0</v>
      </c>
      <c r="AB353" s="74">
        <f t="shared" si="126"/>
        <v>0</v>
      </c>
      <c r="AC353" s="74" t="str">
        <f t="shared" si="127"/>
        <v/>
      </c>
      <c r="AE353" s="74" t="str">
        <f t="shared" si="128"/>
        <v/>
      </c>
      <c r="AF353" s="74" t="str">
        <f t="shared" si="129"/>
        <v/>
      </c>
      <c r="AG353" s="74" t="str">
        <f t="shared" si="130"/>
        <v/>
      </c>
      <c r="AH353" s="74">
        <f t="shared" si="131"/>
        <v>0</v>
      </c>
      <c r="AI353" s="74" t="str">
        <f>IF(AH353&lt;&gt;0,COUNTIF(AH$3:AH353,1),"")</f>
        <v/>
      </c>
      <c r="AJ353" s="74">
        <f t="shared" si="132"/>
        <v>0</v>
      </c>
      <c r="AK353" s="73" t="str">
        <f t="shared" si="133"/>
        <v/>
      </c>
      <c r="AL353" s="73" t="str">
        <f t="shared" si="134"/>
        <v/>
      </c>
      <c r="AM353" s="73" t="str">
        <f t="shared" si="135"/>
        <v/>
      </c>
      <c r="AN353" s="73" t="str">
        <f t="shared" si="136"/>
        <v/>
      </c>
      <c r="AP353" s="61" t="str">
        <f t="shared" si="137"/>
        <v/>
      </c>
      <c r="AQ353" s="61" t="str">
        <f t="shared" si="138"/>
        <v/>
      </c>
      <c r="AR353" s="61" t="str">
        <f t="shared" si="139"/>
        <v/>
      </c>
    </row>
    <row r="354" spans="16:44" x14ac:dyDescent="0.25">
      <c r="P354" s="73" t="str">
        <f t="shared" si="120"/>
        <v/>
      </c>
      <c r="Q354" s="73" t="str">
        <f t="shared" si="121"/>
        <v/>
      </c>
      <c r="R354" s="74" t="str">
        <f t="shared" si="122"/>
        <v/>
      </c>
      <c r="S354" s="74" t="str">
        <f t="shared" si="123"/>
        <v/>
      </c>
      <c r="U354" s="74" t="str">
        <f t="shared" si="140"/>
        <v/>
      </c>
      <c r="V354" s="74" t="str">
        <f t="shared" si="140"/>
        <v/>
      </c>
      <c r="W354" s="74" t="str">
        <f t="shared" si="140"/>
        <v/>
      </c>
      <c r="X354" s="74" t="str">
        <f t="shared" si="140"/>
        <v/>
      </c>
      <c r="Y354" s="74" t="str">
        <f t="shared" si="140"/>
        <v/>
      </c>
      <c r="Z354" s="74" t="str">
        <f t="shared" si="124"/>
        <v/>
      </c>
      <c r="AA354" s="74">
        <f t="shared" si="125"/>
        <v>0</v>
      </c>
      <c r="AB354" s="74">
        <f t="shared" si="126"/>
        <v>0</v>
      </c>
      <c r="AC354" s="74" t="str">
        <f t="shared" si="127"/>
        <v/>
      </c>
      <c r="AE354" s="74" t="str">
        <f t="shared" si="128"/>
        <v/>
      </c>
      <c r="AF354" s="74" t="str">
        <f t="shared" si="129"/>
        <v/>
      </c>
      <c r="AG354" s="74" t="str">
        <f t="shared" si="130"/>
        <v/>
      </c>
      <c r="AH354" s="74">
        <f t="shared" si="131"/>
        <v>0</v>
      </c>
      <c r="AI354" s="74" t="str">
        <f>IF(AH354&lt;&gt;0,COUNTIF(AH$3:AH354,1),"")</f>
        <v/>
      </c>
      <c r="AJ354" s="74">
        <f t="shared" si="132"/>
        <v>0</v>
      </c>
      <c r="AK354" s="73" t="str">
        <f t="shared" si="133"/>
        <v/>
      </c>
      <c r="AL354" s="73" t="str">
        <f t="shared" si="134"/>
        <v/>
      </c>
      <c r="AM354" s="73" t="str">
        <f t="shared" si="135"/>
        <v/>
      </c>
      <c r="AN354" s="73" t="str">
        <f t="shared" si="136"/>
        <v/>
      </c>
      <c r="AP354" s="61" t="str">
        <f t="shared" si="137"/>
        <v/>
      </c>
      <c r="AQ354" s="61" t="str">
        <f t="shared" si="138"/>
        <v/>
      </c>
      <c r="AR354" s="61" t="str">
        <f t="shared" si="139"/>
        <v/>
      </c>
    </row>
    <row r="355" spans="16:44" x14ac:dyDescent="0.25">
      <c r="P355" s="73" t="str">
        <f t="shared" si="120"/>
        <v/>
      </c>
      <c r="Q355" s="73" t="str">
        <f t="shared" si="121"/>
        <v/>
      </c>
      <c r="R355" s="74" t="str">
        <f t="shared" si="122"/>
        <v/>
      </c>
      <c r="S355" s="74" t="str">
        <f t="shared" si="123"/>
        <v/>
      </c>
      <c r="U355" s="74" t="str">
        <f t="shared" si="140"/>
        <v/>
      </c>
      <c r="V355" s="74" t="str">
        <f t="shared" si="140"/>
        <v/>
      </c>
      <c r="W355" s="74" t="str">
        <f t="shared" si="140"/>
        <v/>
      </c>
      <c r="X355" s="74" t="str">
        <f t="shared" si="140"/>
        <v/>
      </c>
      <c r="Y355" s="74" t="str">
        <f t="shared" si="140"/>
        <v/>
      </c>
      <c r="Z355" s="74" t="str">
        <f t="shared" si="124"/>
        <v/>
      </c>
      <c r="AA355" s="74">
        <f t="shared" si="125"/>
        <v>0</v>
      </c>
      <c r="AB355" s="74">
        <f t="shared" si="126"/>
        <v>0</v>
      </c>
      <c r="AC355" s="74" t="str">
        <f t="shared" si="127"/>
        <v/>
      </c>
      <c r="AE355" s="74" t="str">
        <f t="shared" si="128"/>
        <v/>
      </c>
      <c r="AF355" s="74" t="str">
        <f t="shared" si="129"/>
        <v/>
      </c>
      <c r="AG355" s="74" t="str">
        <f t="shared" si="130"/>
        <v/>
      </c>
      <c r="AH355" s="74">
        <f t="shared" si="131"/>
        <v>0</v>
      </c>
      <c r="AI355" s="74" t="str">
        <f>IF(AH355&lt;&gt;0,COUNTIF(AH$3:AH355,1),"")</f>
        <v/>
      </c>
      <c r="AJ355" s="74">
        <f t="shared" si="132"/>
        <v>0</v>
      </c>
      <c r="AK355" s="73" t="str">
        <f t="shared" si="133"/>
        <v/>
      </c>
      <c r="AL355" s="73" t="str">
        <f t="shared" si="134"/>
        <v/>
      </c>
      <c r="AM355" s="73" t="str">
        <f t="shared" si="135"/>
        <v/>
      </c>
      <c r="AN355" s="73" t="str">
        <f t="shared" si="136"/>
        <v/>
      </c>
      <c r="AP355" s="61" t="str">
        <f t="shared" si="137"/>
        <v/>
      </c>
      <c r="AQ355" s="61" t="str">
        <f t="shared" si="138"/>
        <v/>
      </c>
      <c r="AR355" s="61" t="str">
        <f t="shared" si="139"/>
        <v/>
      </c>
    </row>
    <row r="356" spans="16:44" x14ac:dyDescent="0.25">
      <c r="P356" s="73" t="str">
        <f t="shared" si="120"/>
        <v/>
      </c>
      <c r="Q356" s="73" t="str">
        <f t="shared" si="121"/>
        <v/>
      </c>
      <c r="R356" s="74" t="str">
        <f t="shared" si="122"/>
        <v/>
      </c>
      <c r="S356" s="74" t="str">
        <f t="shared" si="123"/>
        <v/>
      </c>
      <c r="U356" s="74" t="str">
        <f t="shared" si="140"/>
        <v/>
      </c>
      <c r="V356" s="74" t="str">
        <f t="shared" si="140"/>
        <v/>
      </c>
      <c r="W356" s="74" t="str">
        <f t="shared" si="140"/>
        <v/>
      </c>
      <c r="X356" s="74" t="str">
        <f t="shared" si="140"/>
        <v/>
      </c>
      <c r="Y356" s="74" t="str">
        <f t="shared" si="140"/>
        <v/>
      </c>
      <c r="Z356" s="74" t="str">
        <f t="shared" si="124"/>
        <v/>
      </c>
      <c r="AA356" s="74">
        <f t="shared" si="125"/>
        <v>0</v>
      </c>
      <c r="AB356" s="74">
        <f t="shared" si="126"/>
        <v>0</v>
      </c>
      <c r="AC356" s="74" t="str">
        <f t="shared" si="127"/>
        <v/>
      </c>
      <c r="AE356" s="74" t="str">
        <f t="shared" si="128"/>
        <v/>
      </c>
      <c r="AF356" s="74" t="str">
        <f t="shared" si="129"/>
        <v/>
      </c>
      <c r="AG356" s="74" t="str">
        <f t="shared" si="130"/>
        <v/>
      </c>
      <c r="AH356" s="74">
        <f t="shared" si="131"/>
        <v>0</v>
      </c>
      <c r="AI356" s="74" t="str">
        <f>IF(AH356&lt;&gt;0,COUNTIF(AH$3:AH356,1),"")</f>
        <v/>
      </c>
      <c r="AJ356" s="74">
        <f t="shared" si="132"/>
        <v>0</v>
      </c>
      <c r="AK356" s="73" t="str">
        <f t="shared" si="133"/>
        <v/>
      </c>
      <c r="AL356" s="73" t="str">
        <f t="shared" si="134"/>
        <v/>
      </c>
      <c r="AM356" s="73" t="str">
        <f t="shared" si="135"/>
        <v/>
      </c>
      <c r="AN356" s="73" t="str">
        <f t="shared" si="136"/>
        <v/>
      </c>
      <c r="AP356" s="61" t="str">
        <f t="shared" si="137"/>
        <v/>
      </c>
      <c r="AQ356" s="61" t="str">
        <f t="shared" si="138"/>
        <v/>
      </c>
      <c r="AR356" s="61" t="str">
        <f t="shared" si="139"/>
        <v/>
      </c>
    </row>
    <row r="357" spans="16:44" x14ac:dyDescent="0.25">
      <c r="P357" s="73" t="str">
        <f t="shared" si="120"/>
        <v/>
      </c>
      <c r="Q357" s="73" t="str">
        <f t="shared" si="121"/>
        <v/>
      </c>
      <c r="R357" s="74" t="str">
        <f t="shared" si="122"/>
        <v/>
      </c>
      <c r="S357" s="74" t="str">
        <f t="shared" si="123"/>
        <v/>
      </c>
      <c r="U357" s="74" t="str">
        <f t="shared" si="140"/>
        <v/>
      </c>
      <c r="V357" s="74" t="str">
        <f t="shared" si="140"/>
        <v/>
      </c>
      <c r="W357" s="74" t="str">
        <f t="shared" si="140"/>
        <v/>
      </c>
      <c r="X357" s="74" t="str">
        <f t="shared" si="140"/>
        <v/>
      </c>
      <c r="Y357" s="74" t="str">
        <f t="shared" si="140"/>
        <v/>
      </c>
      <c r="Z357" s="74" t="str">
        <f t="shared" si="124"/>
        <v/>
      </c>
      <c r="AA357" s="74">
        <f t="shared" si="125"/>
        <v>0</v>
      </c>
      <c r="AB357" s="74">
        <f t="shared" si="126"/>
        <v>0</v>
      </c>
      <c r="AC357" s="74" t="str">
        <f t="shared" si="127"/>
        <v/>
      </c>
      <c r="AE357" s="74" t="str">
        <f t="shared" si="128"/>
        <v/>
      </c>
      <c r="AF357" s="74" t="str">
        <f t="shared" si="129"/>
        <v/>
      </c>
      <c r="AG357" s="74" t="str">
        <f t="shared" si="130"/>
        <v/>
      </c>
      <c r="AH357" s="74">
        <f t="shared" si="131"/>
        <v>0</v>
      </c>
      <c r="AI357" s="74" t="str">
        <f>IF(AH357&lt;&gt;0,COUNTIF(AH$3:AH357,1),"")</f>
        <v/>
      </c>
      <c r="AJ357" s="74">
        <f t="shared" si="132"/>
        <v>0</v>
      </c>
      <c r="AK357" s="73" t="str">
        <f t="shared" si="133"/>
        <v/>
      </c>
      <c r="AL357" s="73" t="str">
        <f t="shared" si="134"/>
        <v/>
      </c>
      <c r="AM357" s="73" t="str">
        <f t="shared" si="135"/>
        <v/>
      </c>
      <c r="AN357" s="73" t="str">
        <f t="shared" si="136"/>
        <v/>
      </c>
      <c r="AP357" s="61" t="str">
        <f t="shared" si="137"/>
        <v/>
      </c>
      <c r="AQ357" s="61" t="str">
        <f t="shared" si="138"/>
        <v/>
      </c>
      <c r="AR357" s="61" t="str">
        <f t="shared" si="139"/>
        <v/>
      </c>
    </row>
    <row r="358" spans="16:44" x14ac:dyDescent="0.25">
      <c r="P358" s="73" t="str">
        <f t="shared" si="120"/>
        <v/>
      </c>
      <c r="Q358" s="73" t="str">
        <f t="shared" si="121"/>
        <v/>
      </c>
      <c r="R358" s="74" t="str">
        <f t="shared" si="122"/>
        <v/>
      </c>
      <c r="S358" s="74" t="str">
        <f t="shared" si="123"/>
        <v/>
      </c>
      <c r="U358" s="74" t="str">
        <f t="shared" si="140"/>
        <v/>
      </c>
      <c r="V358" s="74" t="str">
        <f t="shared" si="140"/>
        <v/>
      </c>
      <c r="W358" s="74" t="str">
        <f t="shared" si="140"/>
        <v/>
      </c>
      <c r="X358" s="74" t="str">
        <f t="shared" si="140"/>
        <v/>
      </c>
      <c r="Y358" s="74" t="str">
        <f t="shared" si="140"/>
        <v/>
      </c>
      <c r="Z358" s="74" t="str">
        <f t="shared" si="124"/>
        <v/>
      </c>
      <c r="AA358" s="74">
        <f t="shared" si="125"/>
        <v>0</v>
      </c>
      <c r="AB358" s="74">
        <f t="shared" si="126"/>
        <v>0</v>
      </c>
      <c r="AC358" s="74" t="str">
        <f t="shared" si="127"/>
        <v/>
      </c>
      <c r="AE358" s="74" t="str">
        <f t="shared" si="128"/>
        <v/>
      </c>
      <c r="AF358" s="74" t="str">
        <f t="shared" si="129"/>
        <v/>
      </c>
      <c r="AG358" s="74" t="str">
        <f t="shared" si="130"/>
        <v/>
      </c>
      <c r="AH358" s="74">
        <f t="shared" si="131"/>
        <v>0</v>
      </c>
      <c r="AI358" s="74" t="str">
        <f>IF(AH358&lt;&gt;0,COUNTIF(AH$3:AH358,1),"")</f>
        <v/>
      </c>
      <c r="AJ358" s="74">
        <f t="shared" si="132"/>
        <v>0</v>
      </c>
      <c r="AK358" s="73" t="str">
        <f t="shared" si="133"/>
        <v/>
      </c>
      <c r="AL358" s="73" t="str">
        <f t="shared" si="134"/>
        <v/>
      </c>
      <c r="AM358" s="73" t="str">
        <f t="shared" si="135"/>
        <v/>
      </c>
      <c r="AN358" s="73" t="str">
        <f t="shared" si="136"/>
        <v/>
      </c>
      <c r="AP358" s="61" t="str">
        <f t="shared" si="137"/>
        <v/>
      </c>
      <c r="AQ358" s="61" t="str">
        <f t="shared" si="138"/>
        <v/>
      </c>
      <c r="AR358" s="61" t="str">
        <f t="shared" si="139"/>
        <v/>
      </c>
    </row>
    <row r="359" spans="16:44" x14ac:dyDescent="0.25">
      <c r="P359" s="73" t="str">
        <f t="shared" si="120"/>
        <v/>
      </c>
      <c r="Q359" s="73" t="str">
        <f t="shared" si="121"/>
        <v/>
      </c>
      <c r="R359" s="74" t="str">
        <f t="shared" si="122"/>
        <v/>
      </c>
      <c r="S359" s="74" t="str">
        <f t="shared" si="123"/>
        <v/>
      </c>
      <c r="U359" s="74" t="str">
        <f t="shared" si="140"/>
        <v/>
      </c>
      <c r="V359" s="74" t="str">
        <f t="shared" si="140"/>
        <v/>
      </c>
      <c r="W359" s="74" t="str">
        <f t="shared" si="140"/>
        <v/>
      </c>
      <c r="X359" s="74" t="str">
        <f t="shared" si="140"/>
        <v/>
      </c>
      <c r="Y359" s="74" t="str">
        <f t="shared" si="140"/>
        <v/>
      </c>
      <c r="Z359" s="74" t="str">
        <f t="shared" si="124"/>
        <v/>
      </c>
      <c r="AA359" s="74">
        <f t="shared" si="125"/>
        <v>0</v>
      </c>
      <c r="AB359" s="74">
        <f t="shared" si="126"/>
        <v>0</v>
      </c>
      <c r="AC359" s="74" t="str">
        <f t="shared" si="127"/>
        <v/>
      </c>
      <c r="AE359" s="74" t="str">
        <f t="shared" si="128"/>
        <v/>
      </c>
      <c r="AF359" s="74" t="str">
        <f t="shared" si="129"/>
        <v/>
      </c>
      <c r="AG359" s="74" t="str">
        <f t="shared" si="130"/>
        <v/>
      </c>
      <c r="AH359" s="74">
        <f t="shared" si="131"/>
        <v>0</v>
      </c>
      <c r="AI359" s="74" t="str">
        <f>IF(AH359&lt;&gt;0,COUNTIF(AH$3:AH359,1),"")</f>
        <v/>
      </c>
      <c r="AJ359" s="74">
        <f t="shared" si="132"/>
        <v>0</v>
      </c>
      <c r="AK359" s="73" t="str">
        <f t="shared" si="133"/>
        <v/>
      </c>
      <c r="AL359" s="73" t="str">
        <f t="shared" si="134"/>
        <v/>
      </c>
      <c r="AM359" s="73" t="str">
        <f t="shared" si="135"/>
        <v/>
      </c>
      <c r="AN359" s="73" t="str">
        <f t="shared" si="136"/>
        <v/>
      </c>
      <c r="AP359" s="61" t="str">
        <f t="shared" si="137"/>
        <v/>
      </c>
      <c r="AQ359" s="61" t="str">
        <f t="shared" si="138"/>
        <v/>
      </c>
      <c r="AR359" s="61" t="str">
        <f t="shared" si="139"/>
        <v/>
      </c>
    </row>
    <row r="360" spans="16:44" x14ac:dyDescent="0.25">
      <c r="P360" s="73" t="str">
        <f t="shared" si="120"/>
        <v/>
      </c>
      <c r="Q360" s="73" t="str">
        <f t="shared" si="121"/>
        <v/>
      </c>
      <c r="R360" s="74" t="str">
        <f t="shared" si="122"/>
        <v/>
      </c>
      <c r="S360" s="74" t="str">
        <f t="shared" si="123"/>
        <v/>
      </c>
      <c r="U360" s="74" t="str">
        <f t="shared" si="140"/>
        <v/>
      </c>
      <c r="V360" s="74" t="str">
        <f t="shared" si="140"/>
        <v/>
      </c>
      <c r="W360" s="74" t="str">
        <f t="shared" si="140"/>
        <v/>
      </c>
      <c r="X360" s="74" t="str">
        <f t="shared" si="140"/>
        <v/>
      </c>
      <c r="Y360" s="74" t="str">
        <f t="shared" si="140"/>
        <v/>
      </c>
      <c r="Z360" s="74" t="str">
        <f t="shared" si="124"/>
        <v/>
      </c>
      <c r="AA360" s="74">
        <f t="shared" si="125"/>
        <v>0</v>
      </c>
      <c r="AB360" s="74">
        <f t="shared" si="126"/>
        <v>0</v>
      </c>
      <c r="AC360" s="74" t="str">
        <f t="shared" si="127"/>
        <v/>
      </c>
      <c r="AE360" s="74" t="str">
        <f t="shared" si="128"/>
        <v/>
      </c>
      <c r="AF360" s="74" t="str">
        <f t="shared" si="129"/>
        <v/>
      </c>
      <c r="AG360" s="74" t="str">
        <f t="shared" si="130"/>
        <v/>
      </c>
      <c r="AH360" s="74">
        <f t="shared" si="131"/>
        <v>0</v>
      </c>
      <c r="AI360" s="74" t="str">
        <f>IF(AH360&lt;&gt;0,COUNTIF(AH$3:AH360,1),"")</f>
        <v/>
      </c>
      <c r="AJ360" s="74">
        <f t="shared" si="132"/>
        <v>0</v>
      </c>
      <c r="AK360" s="73" t="str">
        <f t="shared" si="133"/>
        <v/>
      </c>
      <c r="AL360" s="73" t="str">
        <f t="shared" si="134"/>
        <v/>
      </c>
      <c r="AM360" s="73" t="str">
        <f t="shared" si="135"/>
        <v/>
      </c>
      <c r="AN360" s="73" t="str">
        <f t="shared" si="136"/>
        <v/>
      </c>
      <c r="AP360" s="61" t="str">
        <f t="shared" si="137"/>
        <v/>
      </c>
      <c r="AQ360" s="61" t="str">
        <f t="shared" si="138"/>
        <v/>
      </c>
      <c r="AR360" s="61" t="str">
        <f t="shared" si="139"/>
        <v/>
      </c>
    </row>
    <row r="361" spans="16:44" x14ac:dyDescent="0.25">
      <c r="P361" s="73" t="str">
        <f t="shared" si="120"/>
        <v/>
      </c>
      <c r="Q361" s="73" t="str">
        <f t="shared" si="121"/>
        <v/>
      </c>
      <c r="R361" s="74" t="str">
        <f t="shared" si="122"/>
        <v/>
      </c>
      <c r="S361" s="74" t="str">
        <f t="shared" si="123"/>
        <v/>
      </c>
      <c r="U361" s="74" t="str">
        <f t="shared" si="140"/>
        <v/>
      </c>
      <c r="V361" s="74" t="str">
        <f t="shared" si="140"/>
        <v/>
      </c>
      <c r="W361" s="74" t="str">
        <f t="shared" si="140"/>
        <v/>
      </c>
      <c r="X361" s="74" t="str">
        <f t="shared" si="140"/>
        <v/>
      </c>
      <c r="Y361" s="74" t="str">
        <f t="shared" si="140"/>
        <v/>
      </c>
      <c r="Z361" s="74" t="str">
        <f t="shared" si="124"/>
        <v/>
      </c>
      <c r="AA361" s="74">
        <f t="shared" si="125"/>
        <v>0</v>
      </c>
      <c r="AB361" s="74">
        <f t="shared" si="126"/>
        <v>0</v>
      </c>
      <c r="AC361" s="74" t="str">
        <f t="shared" si="127"/>
        <v/>
      </c>
      <c r="AE361" s="74" t="str">
        <f t="shared" si="128"/>
        <v/>
      </c>
      <c r="AF361" s="74" t="str">
        <f t="shared" si="129"/>
        <v/>
      </c>
      <c r="AG361" s="74" t="str">
        <f t="shared" si="130"/>
        <v/>
      </c>
      <c r="AH361" s="74">
        <f t="shared" si="131"/>
        <v>0</v>
      </c>
      <c r="AI361" s="74" t="str">
        <f>IF(AH361&lt;&gt;0,COUNTIF(AH$3:AH361,1),"")</f>
        <v/>
      </c>
      <c r="AJ361" s="74">
        <f t="shared" si="132"/>
        <v>0</v>
      </c>
      <c r="AK361" s="73" t="str">
        <f t="shared" si="133"/>
        <v/>
      </c>
      <c r="AL361" s="73" t="str">
        <f t="shared" si="134"/>
        <v/>
      </c>
      <c r="AM361" s="73" t="str">
        <f t="shared" si="135"/>
        <v/>
      </c>
      <c r="AN361" s="73" t="str">
        <f t="shared" si="136"/>
        <v/>
      </c>
      <c r="AP361" s="61" t="str">
        <f t="shared" si="137"/>
        <v/>
      </c>
      <c r="AQ361" s="61" t="str">
        <f t="shared" si="138"/>
        <v/>
      </c>
      <c r="AR361" s="61" t="str">
        <f t="shared" si="139"/>
        <v/>
      </c>
    </row>
    <row r="362" spans="16:44" x14ac:dyDescent="0.25">
      <c r="P362" s="73" t="str">
        <f t="shared" si="120"/>
        <v/>
      </c>
      <c r="Q362" s="73" t="str">
        <f t="shared" si="121"/>
        <v/>
      </c>
      <c r="R362" s="74" t="str">
        <f t="shared" si="122"/>
        <v/>
      </c>
      <c r="S362" s="74" t="str">
        <f t="shared" si="123"/>
        <v/>
      </c>
      <c r="U362" s="74" t="str">
        <f t="shared" si="140"/>
        <v/>
      </c>
      <c r="V362" s="74" t="str">
        <f t="shared" si="140"/>
        <v/>
      </c>
      <c r="W362" s="74" t="str">
        <f t="shared" si="140"/>
        <v/>
      </c>
      <c r="X362" s="74" t="str">
        <f t="shared" si="140"/>
        <v/>
      </c>
      <c r="Y362" s="74" t="str">
        <f t="shared" si="140"/>
        <v/>
      </c>
      <c r="Z362" s="74" t="str">
        <f t="shared" si="124"/>
        <v/>
      </c>
      <c r="AA362" s="74">
        <f t="shared" si="125"/>
        <v>0</v>
      </c>
      <c r="AB362" s="74">
        <f t="shared" si="126"/>
        <v>0</v>
      </c>
      <c r="AC362" s="74" t="str">
        <f t="shared" si="127"/>
        <v/>
      </c>
      <c r="AE362" s="74" t="str">
        <f t="shared" si="128"/>
        <v/>
      </c>
      <c r="AF362" s="74" t="str">
        <f t="shared" si="129"/>
        <v/>
      </c>
      <c r="AG362" s="74" t="str">
        <f t="shared" si="130"/>
        <v/>
      </c>
      <c r="AH362" s="74">
        <f t="shared" si="131"/>
        <v>0</v>
      </c>
      <c r="AI362" s="74" t="str">
        <f>IF(AH362&lt;&gt;0,COUNTIF(AH$3:AH362,1),"")</f>
        <v/>
      </c>
      <c r="AJ362" s="74">
        <f t="shared" si="132"/>
        <v>0</v>
      </c>
      <c r="AK362" s="73" t="str">
        <f t="shared" si="133"/>
        <v/>
      </c>
      <c r="AL362" s="73" t="str">
        <f t="shared" si="134"/>
        <v/>
      </c>
      <c r="AM362" s="73" t="str">
        <f t="shared" si="135"/>
        <v/>
      </c>
      <c r="AN362" s="73" t="str">
        <f t="shared" si="136"/>
        <v/>
      </c>
      <c r="AP362" s="61" t="str">
        <f t="shared" si="137"/>
        <v/>
      </c>
      <c r="AQ362" s="61" t="str">
        <f t="shared" si="138"/>
        <v/>
      </c>
      <c r="AR362" s="61" t="str">
        <f t="shared" si="139"/>
        <v/>
      </c>
    </row>
    <row r="363" spans="16:44" x14ac:dyDescent="0.25">
      <c r="P363" s="73" t="str">
        <f t="shared" si="120"/>
        <v/>
      </c>
      <c r="Q363" s="73" t="str">
        <f t="shared" si="121"/>
        <v/>
      </c>
      <c r="R363" s="74" t="str">
        <f t="shared" si="122"/>
        <v/>
      </c>
      <c r="S363" s="74" t="str">
        <f t="shared" si="123"/>
        <v/>
      </c>
      <c r="U363" s="74" t="str">
        <f t="shared" si="140"/>
        <v/>
      </c>
      <c r="V363" s="74" t="str">
        <f t="shared" si="140"/>
        <v/>
      </c>
      <c r="W363" s="74" t="str">
        <f t="shared" si="140"/>
        <v/>
      </c>
      <c r="X363" s="74" t="str">
        <f t="shared" si="140"/>
        <v/>
      </c>
      <c r="Y363" s="74" t="str">
        <f t="shared" si="140"/>
        <v/>
      </c>
      <c r="Z363" s="74" t="str">
        <f t="shared" si="124"/>
        <v/>
      </c>
      <c r="AA363" s="74">
        <f t="shared" si="125"/>
        <v>0</v>
      </c>
      <c r="AB363" s="74">
        <f t="shared" si="126"/>
        <v>0</v>
      </c>
      <c r="AC363" s="74" t="str">
        <f t="shared" si="127"/>
        <v/>
      </c>
      <c r="AE363" s="74" t="str">
        <f t="shared" si="128"/>
        <v/>
      </c>
      <c r="AF363" s="74" t="str">
        <f t="shared" si="129"/>
        <v/>
      </c>
      <c r="AG363" s="74" t="str">
        <f t="shared" si="130"/>
        <v/>
      </c>
      <c r="AH363" s="74">
        <f t="shared" si="131"/>
        <v>0</v>
      </c>
      <c r="AI363" s="74" t="str">
        <f>IF(AH363&lt;&gt;0,COUNTIF(AH$3:AH363,1),"")</f>
        <v/>
      </c>
      <c r="AJ363" s="74">
        <f t="shared" si="132"/>
        <v>0</v>
      </c>
      <c r="AK363" s="73" t="str">
        <f t="shared" si="133"/>
        <v/>
      </c>
      <c r="AL363" s="73" t="str">
        <f t="shared" si="134"/>
        <v/>
      </c>
      <c r="AM363" s="73" t="str">
        <f t="shared" si="135"/>
        <v/>
      </c>
      <c r="AN363" s="73" t="str">
        <f t="shared" si="136"/>
        <v/>
      </c>
      <c r="AP363" s="61" t="str">
        <f t="shared" si="137"/>
        <v/>
      </c>
      <c r="AQ363" s="61" t="str">
        <f t="shared" si="138"/>
        <v/>
      </c>
      <c r="AR363" s="61" t="str">
        <f t="shared" si="139"/>
        <v/>
      </c>
    </row>
    <row r="364" spans="16:44" x14ac:dyDescent="0.25">
      <c r="P364" s="73" t="str">
        <f t="shared" si="120"/>
        <v/>
      </c>
      <c r="Q364" s="73" t="str">
        <f t="shared" si="121"/>
        <v/>
      </c>
      <c r="R364" s="74" t="str">
        <f t="shared" si="122"/>
        <v/>
      </c>
      <c r="S364" s="74" t="str">
        <f t="shared" si="123"/>
        <v/>
      </c>
      <c r="U364" s="74" t="str">
        <f t="shared" si="140"/>
        <v/>
      </c>
      <c r="V364" s="74" t="str">
        <f t="shared" si="140"/>
        <v/>
      </c>
      <c r="W364" s="74" t="str">
        <f t="shared" si="140"/>
        <v/>
      </c>
      <c r="X364" s="74" t="str">
        <f t="shared" si="140"/>
        <v/>
      </c>
      <c r="Y364" s="74" t="str">
        <f t="shared" si="140"/>
        <v/>
      </c>
      <c r="Z364" s="74" t="str">
        <f t="shared" si="124"/>
        <v/>
      </c>
      <c r="AA364" s="74">
        <f t="shared" si="125"/>
        <v>0</v>
      </c>
      <c r="AB364" s="74">
        <f t="shared" si="126"/>
        <v>0</v>
      </c>
      <c r="AC364" s="74" t="str">
        <f t="shared" si="127"/>
        <v/>
      </c>
      <c r="AE364" s="74" t="str">
        <f t="shared" si="128"/>
        <v/>
      </c>
      <c r="AF364" s="74" t="str">
        <f t="shared" si="129"/>
        <v/>
      </c>
      <c r="AG364" s="74" t="str">
        <f t="shared" si="130"/>
        <v/>
      </c>
      <c r="AH364" s="74">
        <f t="shared" si="131"/>
        <v>0</v>
      </c>
      <c r="AI364" s="74" t="str">
        <f>IF(AH364&lt;&gt;0,COUNTIF(AH$3:AH364,1),"")</f>
        <v/>
      </c>
      <c r="AJ364" s="74">
        <f t="shared" si="132"/>
        <v>0</v>
      </c>
      <c r="AK364" s="73" t="str">
        <f t="shared" si="133"/>
        <v/>
      </c>
      <c r="AL364" s="73" t="str">
        <f t="shared" si="134"/>
        <v/>
      </c>
      <c r="AM364" s="73" t="str">
        <f t="shared" si="135"/>
        <v/>
      </c>
      <c r="AN364" s="73" t="str">
        <f t="shared" si="136"/>
        <v/>
      </c>
      <c r="AP364" s="61" t="str">
        <f t="shared" si="137"/>
        <v/>
      </c>
      <c r="AQ364" s="61" t="str">
        <f t="shared" si="138"/>
        <v/>
      </c>
      <c r="AR364" s="61" t="str">
        <f t="shared" si="139"/>
        <v/>
      </c>
    </row>
    <row r="365" spans="16:44" x14ac:dyDescent="0.25">
      <c r="P365" s="73" t="str">
        <f t="shared" si="120"/>
        <v/>
      </c>
      <c r="Q365" s="73" t="str">
        <f t="shared" si="121"/>
        <v/>
      </c>
      <c r="R365" s="74" t="str">
        <f t="shared" si="122"/>
        <v/>
      </c>
      <c r="S365" s="74" t="str">
        <f t="shared" si="123"/>
        <v/>
      </c>
      <c r="U365" s="74" t="str">
        <f t="shared" si="140"/>
        <v/>
      </c>
      <c r="V365" s="74" t="str">
        <f t="shared" si="140"/>
        <v/>
      </c>
      <c r="W365" s="74" t="str">
        <f t="shared" si="140"/>
        <v/>
      </c>
      <c r="X365" s="74" t="str">
        <f t="shared" si="140"/>
        <v/>
      </c>
      <c r="Y365" s="74" t="str">
        <f t="shared" si="140"/>
        <v/>
      </c>
      <c r="Z365" s="74" t="str">
        <f t="shared" si="124"/>
        <v/>
      </c>
      <c r="AA365" s="74">
        <f t="shared" si="125"/>
        <v>0</v>
      </c>
      <c r="AB365" s="74">
        <f t="shared" si="126"/>
        <v>0</v>
      </c>
      <c r="AC365" s="74" t="str">
        <f t="shared" si="127"/>
        <v/>
      </c>
      <c r="AE365" s="74" t="str">
        <f t="shared" si="128"/>
        <v/>
      </c>
      <c r="AF365" s="74" t="str">
        <f t="shared" si="129"/>
        <v/>
      </c>
      <c r="AG365" s="74" t="str">
        <f t="shared" si="130"/>
        <v/>
      </c>
      <c r="AH365" s="74">
        <f t="shared" si="131"/>
        <v>0</v>
      </c>
      <c r="AI365" s="74" t="str">
        <f>IF(AH365&lt;&gt;0,COUNTIF(AH$3:AH365,1),"")</f>
        <v/>
      </c>
      <c r="AJ365" s="74">
        <f t="shared" si="132"/>
        <v>0</v>
      </c>
      <c r="AK365" s="73" t="str">
        <f t="shared" si="133"/>
        <v/>
      </c>
      <c r="AL365" s="73" t="str">
        <f t="shared" si="134"/>
        <v/>
      </c>
      <c r="AM365" s="73" t="str">
        <f t="shared" si="135"/>
        <v/>
      </c>
      <c r="AN365" s="73" t="str">
        <f t="shared" si="136"/>
        <v/>
      </c>
      <c r="AP365" s="61" t="str">
        <f t="shared" si="137"/>
        <v/>
      </c>
      <c r="AQ365" s="61" t="str">
        <f t="shared" si="138"/>
        <v/>
      </c>
      <c r="AR365" s="61" t="str">
        <f t="shared" si="139"/>
        <v/>
      </c>
    </row>
    <row r="366" spans="16:44" x14ac:dyDescent="0.25">
      <c r="P366" s="73" t="str">
        <f t="shared" si="120"/>
        <v/>
      </c>
      <c r="Q366" s="73" t="str">
        <f t="shared" si="121"/>
        <v/>
      </c>
      <c r="R366" s="74" t="str">
        <f t="shared" si="122"/>
        <v/>
      </c>
      <c r="S366" s="74" t="str">
        <f t="shared" si="123"/>
        <v/>
      </c>
      <c r="U366" s="74" t="str">
        <f t="shared" si="140"/>
        <v/>
      </c>
      <c r="V366" s="74" t="str">
        <f t="shared" si="140"/>
        <v/>
      </c>
      <c r="W366" s="74" t="str">
        <f t="shared" si="140"/>
        <v/>
      </c>
      <c r="X366" s="74" t="str">
        <f t="shared" si="140"/>
        <v/>
      </c>
      <c r="Y366" s="74" t="str">
        <f t="shared" si="140"/>
        <v/>
      </c>
      <c r="Z366" s="74" t="str">
        <f t="shared" si="124"/>
        <v/>
      </c>
      <c r="AA366" s="74">
        <f t="shared" si="125"/>
        <v>0</v>
      </c>
      <c r="AB366" s="74">
        <f t="shared" si="126"/>
        <v>0</v>
      </c>
      <c r="AC366" s="74" t="str">
        <f t="shared" si="127"/>
        <v/>
      </c>
      <c r="AE366" s="74" t="str">
        <f t="shared" si="128"/>
        <v/>
      </c>
      <c r="AF366" s="74" t="str">
        <f t="shared" si="129"/>
        <v/>
      </c>
      <c r="AG366" s="74" t="str">
        <f t="shared" si="130"/>
        <v/>
      </c>
      <c r="AH366" s="74">
        <f t="shared" si="131"/>
        <v>0</v>
      </c>
      <c r="AI366" s="74" t="str">
        <f>IF(AH366&lt;&gt;0,COUNTIF(AH$3:AH366,1),"")</f>
        <v/>
      </c>
      <c r="AJ366" s="74">
        <f t="shared" si="132"/>
        <v>0</v>
      </c>
      <c r="AK366" s="73" t="str">
        <f t="shared" si="133"/>
        <v/>
      </c>
      <c r="AL366" s="73" t="str">
        <f t="shared" si="134"/>
        <v/>
      </c>
      <c r="AM366" s="73" t="str">
        <f t="shared" si="135"/>
        <v/>
      </c>
      <c r="AN366" s="73" t="str">
        <f t="shared" si="136"/>
        <v/>
      </c>
      <c r="AP366" s="61" t="str">
        <f t="shared" si="137"/>
        <v/>
      </c>
      <c r="AQ366" s="61" t="str">
        <f t="shared" si="138"/>
        <v/>
      </c>
      <c r="AR366" s="61" t="str">
        <f t="shared" si="139"/>
        <v/>
      </c>
    </row>
    <row r="367" spans="16:44" x14ac:dyDescent="0.25">
      <c r="P367" s="73" t="str">
        <f t="shared" si="120"/>
        <v/>
      </c>
      <c r="Q367" s="73" t="str">
        <f t="shared" si="121"/>
        <v/>
      </c>
      <c r="R367" s="74" t="str">
        <f t="shared" si="122"/>
        <v/>
      </c>
      <c r="S367" s="74" t="str">
        <f t="shared" si="123"/>
        <v/>
      </c>
      <c r="U367" s="74" t="str">
        <f t="shared" si="140"/>
        <v/>
      </c>
      <c r="V367" s="74" t="str">
        <f t="shared" si="140"/>
        <v/>
      </c>
      <c r="W367" s="74" t="str">
        <f t="shared" si="140"/>
        <v/>
      </c>
      <c r="X367" s="74" t="str">
        <f t="shared" si="140"/>
        <v/>
      </c>
      <c r="Y367" s="74" t="str">
        <f t="shared" si="140"/>
        <v/>
      </c>
      <c r="Z367" s="74" t="str">
        <f t="shared" si="124"/>
        <v/>
      </c>
      <c r="AA367" s="74">
        <f t="shared" si="125"/>
        <v>0</v>
      </c>
      <c r="AB367" s="74">
        <f t="shared" si="126"/>
        <v>0</v>
      </c>
      <c r="AC367" s="74" t="str">
        <f t="shared" si="127"/>
        <v/>
      </c>
      <c r="AE367" s="74" t="str">
        <f t="shared" si="128"/>
        <v/>
      </c>
      <c r="AF367" s="74" t="str">
        <f t="shared" si="129"/>
        <v/>
      </c>
      <c r="AG367" s="74" t="str">
        <f t="shared" si="130"/>
        <v/>
      </c>
      <c r="AH367" s="74">
        <f t="shared" si="131"/>
        <v>0</v>
      </c>
      <c r="AI367" s="74" t="str">
        <f>IF(AH367&lt;&gt;0,COUNTIF(AH$3:AH367,1),"")</f>
        <v/>
      </c>
      <c r="AJ367" s="74">
        <f t="shared" si="132"/>
        <v>0</v>
      </c>
      <c r="AK367" s="73" t="str">
        <f t="shared" si="133"/>
        <v/>
      </c>
      <c r="AL367" s="73" t="str">
        <f t="shared" si="134"/>
        <v/>
      </c>
      <c r="AM367" s="73" t="str">
        <f t="shared" si="135"/>
        <v/>
      </c>
      <c r="AN367" s="73" t="str">
        <f t="shared" si="136"/>
        <v/>
      </c>
      <c r="AP367" s="61" t="str">
        <f t="shared" si="137"/>
        <v/>
      </c>
      <c r="AQ367" s="61" t="str">
        <f t="shared" si="138"/>
        <v/>
      </c>
      <c r="AR367" s="61" t="str">
        <f t="shared" si="139"/>
        <v/>
      </c>
    </row>
    <row r="368" spans="16:44" x14ac:dyDescent="0.25">
      <c r="P368" s="73" t="str">
        <f t="shared" si="120"/>
        <v/>
      </c>
      <c r="Q368" s="73" t="str">
        <f t="shared" si="121"/>
        <v/>
      </c>
      <c r="R368" s="74" t="str">
        <f t="shared" si="122"/>
        <v/>
      </c>
      <c r="S368" s="74" t="str">
        <f t="shared" si="123"/>
        <v/>
      </c>
      <c r="U368" s="74" t="str">
        <f t="shared" si="140"/>
        <v/>
      </c>
      <c r="V368" s="74" t="str">
        <f t="shared" si="140"/>
        <v/>
      </c>
      <c r="W368" s="74" t="str">
        <f t="shared" si="140"/>
        <v/>
      </c>
      <c r="X368" s="74" t="str">
        <f t="shared" si="140"/>
        <v/>
      </c>
      <c r="Y368" s="74" t="str">
        <f t="shared" si="140"/>
        <v/>
      </c>
      <c r="Z368" s="74" t="str">
        <f t="shared" si="124"/>
        <v/>
      </c>
      <c r="AA368" s="74">
        <f t="shared" si="125"/>
        <v>0</v>
      </c>
      <c r="AB368" s="74">
        <f t="shared" si="126"/>
        <v>0</v>
      </c>
      <c r="AC368" s="74" t="str">
        <f t="shared" si="127"/>
        <v/>
      </c>
      <c r="AE368" s="74" t="str">
        <f t="shared" si="128"/>
        <v/>
      </c>
      <c r="AF368" s="74" t="str">
        <f t="shared" si="129"/>
        <v/>
      </c>
      <c r="AG368" s="74" t="str">
        <f t="shared" si="130"/>
        <v/>
      </c>
      <c r="AH368" s="74">
        <f t="shared" si="131"/>
        <v>0</v>
      </c>
      <c r="AI368" s="74" t="str">
        <f>IF(AH368&lt;&gt;0,COUNTIF(AH$3:AH368,1),"")</f>
        <v/>
      </c>
      <c r="AJ368" s="74">
        <f t="shared" si="132"/>
        <v>0</v>
      </c>
      <c r="AK368" s="73" t="str">
        <f t="shared" si="133"/>
        <v/>
      </c>
      <c r="AL368" s="73" t="str">
        <f t="shared" si="134"/>
        <v/>
      </c>
      <c r="AM368" s="73" t="str">
        <f t="shared" si="135"/>
        <v/>
      </c>
      <c r="AN368" s="73" t="str">
        <f t="shared" si="136"/>
        <v/>
      </c>
      <c r="AP368" s="61" t="str">
        <f t="shared" si="137"/>
        <v/>
      </c>
      <c r="AQ368" s="61" t="str">
        <f t="shared" si="138"/>
        <v/>
      </c>
      <c r="AR368" s="61" t="str">
        <f t="shared" si="139"/>
        <v/>
      </c>
    </row>
    <row r="369" spans="16:44" x14ac:dyDescent="0.25">
      <c r="P369" s="73" t="str">
        <f t="shared" si="120"/>
        <v/>
      </c>
      <c r="Q369" s="73" t="str">
        <f t="shared" si="121"/>
        <v/>
      </c>
      <c r="R369" s="74" t="str">
        <f t="shared" si="122"/>
        <v/>
      </c>
      <c r="S369" s="74" t="str">
        <f t="shared" si="123"/>
        <v/>
      </c>
      <c r="U369" s="74" t="str">
        <f t="shared" si="140"/>
        <v/>
      </c>
      <c r="V369" s="74" t="str">
        <f t="shared" si="140"/>
        <v/>
      </c>
      <c r="W369" s="74" t="str">
        <f t="shared" si="140"/>
        <v/>
      </c>
      <c r="X369" s="74" t="str">
        <f t="shared" si="140"/>
        <v/>
      </c>
      <c r="Y369" s="74" t="str">
        <f t="shared" si="140"/>
        <v/>
      </c>
      <c r="Z369" s="74" t="str">
        <f t="shared" si="124"/>
        <v/>
      </c>
      <c r="AA369" s="74">
        <f t="shared" si="125"/>
        <v>0</v>
      </c>
      <c r="AB369" s="74">
        <f t="shared" si="126"/>
        <v>0</v>
      </c>
      <c r="AC369" s="74" t="str">
        <f t="shared" si="127"/>
        <v/>
      </c>
      <c r="AE369" s="74" t="str">
        <f t="shared" si="128"/>
        <v/>
      </c>
      <c r="AF369" s="74" t="str">
        <f t="shared" si="129"/>
        <v/>
      </c>
      <c r="AG369" s="74" t="str">
        <f t="shared" si="130"/>
        <v/>
      </c>
      <c r="AH369" s="74">
        <f t="shared" si="131"/>
        <v>0</v>
      </c>
      <c r="AI369" s="74" t="str">
        <f>IF(AH369&lt;&gt;0,COUNTIF(AH$3:AH369,1),"")</f>
        <v/>
      </c>
      <c r="AJ369" s="74">
        <f t="shared" si="132"/>
        <v>0</v>
      </c>
      <c r="AK369" s="73" t="str">
        <f t="shared" si="133"/>
        <v/>
      </c>
      <c r="AL369" s="73" t="str">
        <f t="shared" si="134"/>
        <v/>
      </c>
      <c r="AM369" s="73" t="str">
        <f t="shared" si="135"/>
        <v/>
      </c>
      <c r="AN369" s="73" t="str">
        <f t="shared" si="136"/>
        <v/>
      </c>
      <c r="AP369" s="61" t="str">
        <f t="shared" si="137"/>
        <v/>
      </c>
      <c r="AQ369" s="61" t="str">
        <f t="shared" si="138"/>
        <v/>
      </c>
      <c r="AR369" s="61" t="str">
        <f t="shared" si="139"/>
        <v/>
      </c>
    </row>
    <row r="370" spans="16:44" x14ac:dyDescent="0.25">
      <c r="P370" s="73" t="str">
        <f t="shared" si="120"/>
        <v/>
      </c>
      <c r="Q370" s="73" t="str">
        <f t="shared" si="121"/>
        <v/>
      </c>
      <c r="R370" s="74" t="str">
        <f t="shared" si="122"/>
        <v/>
      </c>
      <c r="S370" s="74" t="str">
        <f t="shared" si="123"/>
        <v/>
      </c>
      <c r="U370" s="74" t="str">
        <f t="shared" si="140"/>
        <v/>
      </c>
      <c r="V370" s="74" t="str">
        <f t="shared" si="140"/>
        <v/>
      </c>
      <c r="W370" s="74" t="str">
        <f t="shared" si="140"/>
        <v/>
      </c>
      <c r="X370" s="74" t="str">
        <f t="shared" si="140"/>
        <v/>
      </c>
      <c r="Y370" s="74" t="str">
        <f t="shared" si="140"/>
        <v/>
      </c>
      <c r="Z370" s="74" t="str">
        <f t="shared" si="124"/>
        <v/>
      </c>
      <c r="AA370" s="74">
        <f t="shared" si="125"/>
        <v>0</v>
      </c>
      <c r="AB370" s="74">
        <f t="shared" si="126"/>
        <v>0</v>
      </c>
      <c r="AC370" s="74" t="str">
        <f t="shared" si="127"/>
        <v/>
      </c>
      <c r="AE370" s="74" t="str">
        <f t="shared" si="128"/>
        <v/>
      </c>
      <c r="AF370" s="74" t="str">
        <f t="shared" si="129"/>
        <v/>
      </c>
      <c r="AG370" s="74" t="str">
        <f t="shared" si="130"/>
        <v/>
      </c>
      <c r="AH370" s="74">
        <f t="shared" si="131"/>
        <v>0</v>
      </c>
      <c r="AI370" s="74" t="str">
        <f>IF(AH370&lt;&gt;0,COUNTIF(AH$3:AH370,1),"")</f>
        <v/>
      </c>
      <c r="AJ370" s="74">
        <f t="shared" si="132"/>
        <v>0</v>
      </c>
      <c r="AK370" s="73" t="str">
        <f t="shared" si="133"/>
        <v/>
      </c>
      <c r="AL370" s="73" t="str">
        <f t="shared" si="134"/>
        <v/>
      </c>
      <c r="AM370" s="73" t="str">
        <f t="shared" si="135"/>
        <v/>
      </c>
      <c r="AN370" s="73" t="str">
        <f t="shared" si="136"/>
        <v/>
      </c>
      <c r="AP370" s="61" t="str">
        <f t="shared" si="137"/>
        <v/>
      </c>
      <c r="AQ370" s="61" t="str">
        <f t="shared" si="138"/>
        <v/>
      </c>
      <c r="AR370" s="61" t="str">
        <f t="shared" si="139"/>
        <v/>
      </c>
    </row>
    <row r="371" spans="16:44" x14ac:dyDescent="0.25">
      <c r="P371" s="73" t="str">
        <f t="shared" si="120"/>
        <v/>
      </c>
      <c r="Q371" s="73" t="str">
        <f t="shared" si="121"/>
        <v/>
      </c>
      <c r="R371" s="74" t="str">
        <f t="shared" si="122"/>
        <v/>
      </c>
      <c r="S371" s="74" t="str">
        <f t="shared" si="123"/>
        <v/>
      </c>
      <c r="U371" s="74" t="str">
        <f t="shared" si="140"/>
        <v/>
      </c>
      <c r="V371" s="74" t="str">
        <f t="shared" si="140"/>
        <v/>
      </c>
      <c r="W371" s="74" t="str">
        <f t="shared" si="140"/>
        <v/>
      </c>
      <c r="X371" s="74" t="str">
        <f t="shared" si="140"/>
        <v/>
      </c>
      <c r="Y371" s="74" t="str">
        <f t="shared" si="140"/>
        <v/>
      </c>
      <c r="Z371" s="74" t="str">
        <f t="shared" si="124"/>
        <v/>
      </c>
      <c r="AA371" s="74">
        <f t="shared" si="125"/>
        <v>0</v>
      </c>
      <c r="AB371" s="74">
        <f t="shared" si="126"/>
        <v>0</v>
      </c>
      <c r="AC371" s="74" t="str">
        <f t="shared" si="127"/>
        <v/>
      </c>
      <c r="AE371" s="74" t="str">
        <f t="shared" si="128"/>
        <v/>
      </c>
      <c r="AF371" s="74" t="str">
        <f t="shared" si="129"/>
        <v/>
      </c>
      <c r="AG371" s="74" t="str">
        <f t="shared" si="130"/>
        <v/>
      </c>
      <c r="AH371" s="74">
        <f t="shared" si="131"/>
        <v>0</v>
      </c>
      <c r="AI371" s="74" t="str">
        <f>IF(AH371&lt;&gt;0,COUNTIF(AH$3:AH371,1),"")</f>
        <v/>
      </c>
      <c r="AJ371" s="74">
        <f t="shared" si="132"/>
        <v>0</v>
      </c>
      <c r="AK371" s="73" t="str">
        <f t="shared" si="133"/>
        <v/>
      </c>
      <c r="AL371" s="73" t="str">
        <f t="shared" si="134"/>
        <v/>
      </c>
      <c r="AM371" s="73" t="str">
        <f t="shared" si="135"/>
        <v/>
      </c>
      <c r="AN371" s="73" t="str">
        <f t="shared" si="136"/>
        <v/>
      </c>
      <c r="AP371" s="61" t="str">
        <f t="shared" si="137"/>
        <v/>
      </c>
      <c r="AQ371" s="61" t="str">
        <f t="shared" si="138"/>
        <v/>
      </c>
      <c r="AR371" s="61" t="str">
        <f t="shared" si="139"/>
        <v/>
      </c>
    </row>
    <row r="372" spans="16:44" x14ac:dyDescent="0.25">
      <c r="P372" s="73" t="str">
        <f t="shared" si="120"/>
        <v/>
      </c>
      <c r="Q372" s="73" t="str">
        <f t="shared" si="121"/>
        <v/>
      </c>
      <c r="R372" s="74" t="str">
        <f t="shared" si="122"/>
        <v/>
      </c>
      <c r="S372" s="74" t="str">
        <f t="shared" si="123"/>
        <v/>
      </c>
      <c r="U372" s="74" t="str">
        <f t="shared" si="140"/>
        <v/>
      </c>
      <c r="V372" s="74" t="str">
        <f t="shared" si="140"/>
        <v/>
      </c>
      <c r="W372" s="74" t="str">
        <f t="shared" si="140"/>
        <v/>
      </c>
      <c r="X372" s="74" t="str">
        <f t="shared" si="140"/>
        <v/>
      </c>
      <c r="Y372" s="74" t="str">
        <f t="shared" si="140"/>
        <v/>
      </c>
      <c r="Z372" s="74" t="str">
        <f t="shared" si="124"/>
        <v/>
      </c>
      <c r="AA372" s="74">
        <f t="shared" si="125"/>
        <v>0</v>
      </c>
      <c r="AB372" s="74">
        <f t="shared" si="126"/>
        <v>0</v>
      </c>
      <c r="AC372" s="74" t="str">
        <f t="shared" si="127"/>
        <v/>
      </c>
      <c r="AE372" s="74" t="str">
        <f t="shared" si="128"/>
        <v/>
      </c>
      <c r="AF372" s="74" t="str">
        <f t="shared" si="129"/>
        <v/>
      </c>
      <c r="AG372" s="74" t="str">
        <f t="shared" si="130"/>
        <v/>
      </c>
      <c r="AH372" s="74">
        <f t="shared" si="131"/>
        <v>0</v>
      </c>
      <c r="AI372" s="74" t="str">
        <f>IF(AH372&lt;&gt;0,COUNTIF(AH$3:AH372,1),"")</f>
        <v/>
      </c>
      <c r="AJ372" s="74">
        <f t="shared" si="132"/>
        <v>0</v>
      </c>
      <c r="AK372" s="73" t="str">
        <f t="shared" si="133"/>
        <v/>
      </c>
      <c r="AL372" s="73" t="str">
        <f t="shared" si="134"/>
        <v/>
      </c>
      <c r="AM372" s="73" t="str">
        <f t="shared" si="135"/>
        <v/>
      </c>
      <c r="AN372" s="73" t="str">
        <f t="shared" si="136"/>
        <v/>
      </c>
      <c r="AP372" s="61" t="str">
        <f t="shared" si="137"/>
        <v/>
      </c>
      <c r="AQ372" s="61" t="str">
        <f t="shared" si="138"/>
        <v/>
      </c>
      <c r="AR372" s="61" t="str">
        <f t="shared" si="139"/>
        <v/>
      </c>
    </row>
    <row r="373" spans="16:44" x14ac:dyDescent="0.25">
      <c r="P373" s="73" t="str">
        <f t="shared" si="120"/>
        <v/>
      </c>
      <c r="Q373" s="73" t="str">
        <f t="shared" si="121"/>
        <v/>
      </c>
      <c r="R373" s="74" t="str">
        <f t="shared" si="122"/>
        <v/>
      </c>
      <c r="S373" s="74" t="str">
        <f t="shared" si="123"/>
        <v/>
      </c>
      <c r="U373" s="74" t="str">
        <f t="shared" si="140"/>
        <v/>
      </c>
      <c r="V373" s="74" t="str">
        <f t="shared" si="140"/>
        <v/>
      </c>
      <c r="W373" s="74" t="str">
        <f t="shared" si="140"/>
        <v/>
      </c>
      <c r="X373" s="74" t="str">
        <f t="shared" si="140"/>
        <v/>
      </c>
      <c r="Y373" s="74" t="str">
        <f t="shared" si="140"/>
        <v/>
      </c>
      <c r="Z373" s="74" t="str">
        <f t="shared" si="124"/>
        <v/>
      </c>
      <c r="AA373" s="74">
        <f t="shared" si="125"/>
        <v>0</v>
      </c>
      <c r="AB373" s="74">
        <f t="shared" si="126"/>
        <v>0</v>
      </c>
      <c r="AC373" s="74" t="str">
        <f t="shared" si="127"/>
        <v/>
      </c>
      <c r="AE373" s="74" t="str">
        <f t="shared" si="128"/>
        <v/>
      </c>
      <c r="AF373" s="74" t="str">
        <f t="shared" si="129"/>
        <v/>
      </c>
      <c r="AG373" s="74" t="str">
        <f t="shared" si="130"/>
        <v/>
      </c>
      <c r="AH373" s="74">
        <f t="shared" si="131"/>
        <v>0</v>
      </c>
      <c r="AI373" s="74" t="str">
        <f>IF(AH373&lt;&gt;0,COUNTIF(AH$3:AH373,1),"")</f>
        <v/>
      </c>
      <c r="AJ373" s="74">
        <f t="shared" si="132"/>
        <v>0</v>
      </c>
      <c r="AK373" s="73" t="str">
        <f t="shared" si="133"/>
        <v/>
      </c>
      <c r="AL373" s="73" t="str">
        <f t="shared" si="134"/>
        <v/>
      </c>
      <c r="AM373" s="73" t="str">
        <f t="shared" si="135"/>
        <v/>
      </c>
      <c r="AN373" s="73" t="str">
        <f t="shared" si="136"/>
        <v/>
      </c>
      <c r="AP373" s="61" t="str">
        <f t="shared" si="137"/>
        <v/>
      </c>
      <c r="AQ373" s="61" t="str">
        <f t="shared" si="138"/>
        <v/>
      </c>
      <c r="AR373" s="61" t="str">
        <f t="shared" si="139"/>
        <v/>
      </c>
    </row>
    <row r="374" spans="16:44" x14ac:dyDescent="0.25">
      <c r="P374" s="73" t="str">
        <f t="shared" si="120"/>
        <v/>
      </c>
      <c r="Q374" s="73" t="str">
        <f t="shared" si="121"/>
        <v/>
      </c>
      <c r="R374" s="74" t="str">
        <f t="shared" si="122"/>
        <v/>
      </c>
      <c r="S374" s="74" t="str">
        <f t="shared" si="123"/>
        <v/>
      </c>
      <c r="U374" s="74" t="str">
        <f t="shared" si="140"/>
        <v/>
      </c>
      <c r="V374" s="74" t="str">
        <f t="shared" si="140"/>
        <v/>
      </c>
      <c r="W374" s="74" t="str">
        <f t="shared" si="140"/>
        <v/>
      </c>
      <c r="X374" s="74" t="str">
        <f t="shared" si="140"/>
        <v/>
      </c>
      <c r="Y374" s="74" t="str">
        <f t="shared" si="140"/>
        <v/>
      </c>
      <c r="Z374" s="74" t="str">
        <f t="shared" si="124"/>
        <v/>
      </c>
      <c r="AA374" s="74">
        <f t="shared" si="125"/>
        <v>0</v>
      </c>
      <c r="AB374" s="74">
        <f t="shared" si="126"/>
        <v>0</v>
      </c>
      <c r="AC374" s="74" t="str">
        <f t="shared" si="127"/>
        <v/>
      </c>
      <c r="AE374" s="74" t="str">
        <f t="shared" si="128"/>
        <v/>
      </c>
      <c r="AF374" s="74" t="str">
        <f t="shared" si="129"/>
        <v/>
      </c>
      <c r="AG374" s="74" t="str">
        <f t="shared" si="130"/>
        <v/>
      </c>
      <c r="AH374" s="74">
        <f t="shared" si="131"/>
        <v>0</v>
      </c>
      <c r="AI374" s="74" t="str">
        <f>IF(AH374&lt;&gt;0,COUNTIF(AH$3:AH374,1),"")</f>
        <v/>
      </c>
      <c r="AJ374" s="74">
        <f t="shared" si="132"/>
        <v>0</v>
      </c>
      <c r="AK374" s="73" t="str">
        <f t="shared" si="133"/>
        <v/>
      </c>
      <c r="AL374" s="73" t="str">
        <f t="shared" si="134"/>
        <v/>
      </c>
      <c r="AM374" s="73" t="str">
        <f t="shared" si="135"/>
        <v/>
      </c>
      <c r="AN374" s="73" t="str">
        <f t="shared" si="136"/>
        <v/>
      </c>
      <c r="AP374" s="61" t="str">
        <f t="shared" si="137"/>
        <v/>
      </c>
      <c r="AQ374" s="61" t="str">
        <f t="shared" si="138"/>
        <v/>
      </c>
      <c r="AR374" s="61" t="str">
        <f t="shared" si="139"/>
        <v/>
      </c>
    </row>
    <row r="375" spans="16:44" x14ac:dyDescent="0.25">
      <c r="P375" s="73" t="str">
        <f t="shared" si="120"/>
        <v/>
      </c>
      <c r="Q375" s="73" t="str">
        <f t="shared" si="121"/>
        <v/>
      </c>
      <c r="R375" s="74" t="str">
        <f t="shared" si="122"/>
        <v/>
      </c>
      <c r="S375" s="74" t="str">
        <f t="shared" si="123"/>
        <v/>
      </c>
      <c r="U375" s="74" t="str">
        <f t="shared" si="140"/>
        <v/>
      </c>
      <c r="V375" s="74" t="str">
        <f t="shared" si="140"/>
        <v/>
      </c>
      <c r="W375" s="74" t="str">
        <f t="shared" si="140"/>
        <v/>
      </c>
      <c r="X375" s="74" t="str">
        <f t="shared" si="140"/>
        <v/>
      </c>
      <c r="Y375" s="74" t="str">
        <f t="shared" si="140"/>
        <v/>
      </c>
      <c r="Z375" s="74" t="str">
        <f t="shared" si="124"/>
        <v/>
      </c>
      <c r="AA375" s="74">
        <f t="shared" si="125"/>
        <v>0</v>
      </c>
      <c r="AB375" s="74">
        <f t="shared" si="126"/>
        <v>0</v>
      </c>
      <c r="AC375" s="74" t="str">
        <f t="shared" si="127"/>
        <v/>
      </c>
      <c r="AE375" s="74" t="str">
        <f t="shared" si="128"/>
        <v/>
      </c>
      <c r="AF375" s="74" t="str">
        <f t="shared" si="129"/>
        <v/>
      </c>
      <c r="AG375" s="74" t="str">
        <f t="shared" si="130"/>
        <v/>
      </c>
      <c r="AH375" s="74">
        <f t="shared" si="131"/>
        <v>0</v>
      </c>
      <c r="AI375" s="74" t="str">
        <f>IF(AH375&lt;&gt;0,COUNTIF(AH$3:AH375,1),"")</f>
        <v/>
      </c>
      <c r="AJ375" s="74">
        <f t="shared" si="132"/>
        <v>0</v>
      </c>
      <c r="AK375" s="73" t="str">
        <f t="shared" si="133"/>
        <v/>
      </c>
      <c r="AL375" s="73" t="str">
        <f t="shared" si="134"/>
        <v/>
      </c>
      <c r="AM375" s="73" t="str">
        <f t="shared" si="135"/>
        <v/>
      </c>
      <c r="AN375" s="73" t="str">
        <f t="shared" si="136"/>
        <v/>
      </c>
      <c r="AP375" s="61" t="str">
        <f t="shared" si="137"/>
        <v/>
      </c>
      <c r="AQ375" s="61" t="str">
        <f t="shared" si="138"/>
        <v/>
      </c>
      <c r="AR375" s="61" t="str">
        <f t="shared" si="139"/>
        <v/>
      </c>
    </row>
    <row r="376" spans="16:44" x14ac:dyDescent="0.25">
      <c r="P376" s="73" t="str">
        <f t="shared" si="120"/>
        <v/>
      </c>
      <c r="Q376" s="73" t="str">
        <f t="shared" si="121"/>
        <v/>
      </c>
      <c r="R376" s="74" t="str">
        <f t="shared" si="122"/>
        <v/>
      </c>
      <c r="S376" s="74" t="str">
        <f t="shared" si="123"/>
        <v/>
      </c>
      <c r="U376" s="74" t="str">
        <f t="shared" si="140"/>
        <v/>
      </c>
      <c r="V376" s="74" t="str">
        <f t="shared" si="140"/>
        <v/>
      </c>
      <c r="W376" s="74" t="str">
        <f t="shared" si="140"/>
        <v/>
      </c>
      <c r="X376" s="74" t="str">
        <f t="shared" si="140"/>
        <v/>
      </c>
      <c r="Y376" s="74" t="str">
        <f t="shared" si="140"/>
        <v/>
      </c>
      <c r="Z376" s="74" t="str">
        <f t="shared" si="124"/>
        <v/>
      </c>
      <c r="AA376" s="74">
        <f t="shared" si="125"/>
        <v>0</v>
      </c>
      <c r="AB376" s="74">
        <f t="shared" si="126"/>
        <v>0</v>
      </c>
      <c r="AC376" s="74" t="str">
        <f t="shared" si="127"/>
        <v/>
      </c>
      <c r="AE376" s="74" t="str">
        <f t="shared" si="128"/>
        <v/>
      </c>
      <c r="AF376" s="74" t="str">
        <f t="shared" si="129"/>
        <v/>
      </c>
      <c r="AG376" s="74" t="str">
        <f t="shared" si="130"/>
        <v/>
      </c>
      <c r="AH376" s="74">
        <f t="shared" si="131"/>
        <v>0</v>
      </c>
      <c r="AI376" s="74" t="str">
        <f>IF(AH376&lt;&gt;0,COUNTIF(AH$3:AH376,1),"")</f>
        <v/>
      </c>
      <c r="AJ376" s="74">
        <f t="shared" si="132"/>
        <v>0</v>
      </c>
      <c r="AK376" s="73" t="str">
        <f t="shared" si="133"/>
        <v/>
      </c>
      <c r="AL376" s="73" t="str">
        <f t="shared" si="134"/>
        <v/>
      </c>
      <c r="AM376" s="73" t="str">
        <f t="shared" si="135"/>
        <v/>
      </c>
      <c r="AN376" s="73" t="str">
        <f t="shared" si="136"/>
        <v/>
      </c>
      <c r="AP376" s="61" t="str">
        <f t="shared" si="137"/>
        <v/>
      </c>
      <c r="AQ376" s="61" t="str">
        <f t="shared" si="138"/>
        <v/>
      </c>
      <c r="AR376" s="61" t="str">
        <f t="shared" si="139"/>
        <v/>
      </c>
    </row>
    <row r="377" spans="16:44" x14ac:dyDescent="0.25">
      <c r="P377" s="73" t="str">
        <f t="shared" si="120"/>
        <v/>
      </c>
      <c r="Q377" s="73" t="str">
        <f t="shared" si="121"/>
        <v/>
      </c>
      <c r="R377" s="74" t="str">
        <f t="shared" si="122"/>
        <v/>
      </c>
      <c r="S377" s="74" t="str">
        <f t="shared" si="123"/>
        <v/>
      </c>
      <c r="U377" s="74" t="str">
        <f t="shared" si="140"/>
        <v/>
      </c>
      <c r="V377" s="74" t="str">
        <f t="shared" si="140"/>
        <v/>
      </c>
      <c r="W377" s="74" t="str">
        <f t="shared" si="140"/>
        <v/>
      </c>
      <c r="X377" s="74" t="str">
        <f t="shared" si="140"/>
        <v/>
      </c>
      <c r="Y377" s="74" t="str">
        <f t="shared" si="140"/>
        <v/>
      </c>
      <c r="Z377" s="74" t="str">
        <f t="shared" si="124"/>
        <v/>
      </c>
      <c r="AA377" s="74">
        <f t="shared" si="125"/>
        <v>0</v>
      </c>
      <c r="AB377" s="74">
        <f t="shared" si="126"/>
        <v>0</v>
      </c>
      <c r="AC377" s="74" t="str">
        <f t="shared" si="127"/>
        <v/>
      </c>
      <c r="AE377" s="74" t="str">
        <f t="shared" si="128"/>
        <v/>
      </c>
      <c r="AF377" s="74" t="str">
        <f t="shared" si="129"/>
        <v/>
      </c>
      <c r="AG377" s="74" t="str">
        <f t="shared" si="130"/>
        <v/>
      </c>
      <c r="AH377" s="74">
        <f t="shared" si="131"/>
        <v>0</v>
      </c>
      <c r="AI377" s="74" t="str">
        <f>IF(AH377&lt;&gt;0,COUNTIF(AH$3:AH377,1),"")</f>
        <v/>
      </c>
      <c r="AJ377" s="74">
        <f t="shared" si="132"/>
        <v>0</v>
      </c>
      <c r="AK377" s="73" t="str">
        <f t="shared" si="133"/>
        <v/>
      </c>
      <c r="AL377" s="73" t="str">
        <f t="shared" si="134"/>
        <v/>
      </c>
      <c r="AM377" s="73" t="str">
        <f t="shared" si="135"/>
        <v/>
      </c>
      <c r="AN377" s="73" t="str">
        <f t="shared" si="136"/>
        <v/>
      </c>
      <c r="AP377" s="61" t="str">
        <f t="shared" si="137"/>
        <v/>
      </c>
      <c r="AQ377" s="61" t="str">
        <f t="shared" si="138"/>
        <v/>
      </c>
      <c r="AR377" s="61" t="str">
        <f t="shared" si="139"/>
        <v/>
      </c>
    </row>
    <row r="378" spans="16:44" x14ac:dyDescent="0.25">
      <c r="P378" s="73" t="str">
        <f t="shared" si="120"/>
        <v/>
      </c>
      <c r="Q378" s="73" t="str">
        <f t="shared" si="121"/>
        <v/>
      </c>
      <c r="R378" s="74" t="str">
        <f t="shared" si="122"/>
        <v/>
      </c>
      <c r="S378" s="74" t="str">
        <f t="shared" si="123"/>
        <v/>
      </c>
      <c r="U378" s="74" t="str">
        <f t="shared" si="140"/>
        <v/>
      </c>
      <c r="V378" s="74" t="str">
        <f t="shared" si="140"/>
        <v/>
      </c>
      <c r="W378" s="74" t="str">
        <f t="shared" si="140"/>
        <v/>
      </c>
      <c r="X378" s="74" t="str">
        <f t="shared" si="140"/>
        <v/>
      </c>
      <c r="Y378" s="74" t="str">
        <f t="shared" si="140"/>
        <v/>
      </c>
      <c r="Z378" s="74" t="str">
        <f t="shared" si="124"/>
        <v/>
      </c>
      <c r="AA378" s="74">
        <f t="shared" si="125"/>
        <v>0</v>
      </c>
      <c r="AB378" s="74">
        <f t="shared" si="126"/>
        <v>0</v>
      </c>
      <c r="AC378" s="74" t="str">
        <f t="shared" si="127"/>
        <v/>
      </c>
      <c r="AE378" s="74" t="str">
        <f t="shared" si="128"/>
        <v/>
      </c>
      <c r="AF378" s="74" t="str">
        <f t="shared" si="129"/>
        <v/>
      </c>
      <c r="AG378" s="74" t="str">
        <f t="shared" si="130"/>
        <v/>
      </c>
      <c r="AH378" s="74">
        <f t="shared" si="131"/>
        <v>0</v>
      </c>
      <c r="AI378" s="74" t="str">
        <f>IF(AH378&lt;&gt;0,COUNTIF(AH$3:AH378,1),"")</f>
        <v/>
      </c>
      <c r="AJ378" s="74">
        <f t="shared" si="132"/>
        <v>0</v>
      </c>
      <c r="AK378" s="73" t="str">
        <f t="shared" si="133"/>
        <v/>
      </c>
      <c r="AL378" s="73" t="str">
        <f t="shared" si="134"/>
        <v/>
      </c>
      <c r="AM378" s="73" t="str">
        <f t="shared" si="135"/>
        <v/>
      </c>
      <c r="AN378" s="73" t="str">
        <f t="shared" si="136"/>
        <v/>
      </c>
      <c r="AP378" s="61" t="str">
        <f t="shared" si="137"/>
        <v/>
      </c>
      <c r="AQ378" s="61" t="str">
        <f t="shared" si="138"/>
        <v/>
      </c>
      <c r="AR378" s="61" t="str">
        <f t="shared" si="139"/>
        <v/>
      </c>
    </row>
    <row r="379" spans="16:44" x14ac:dyDescent="0.25">
      <c r="P379" s="73" t="str">
        <f t="shared" si="120"/>
        <v/>
      </c>
      <c r="Q379" s="73" t="str">
        <f t="shared" si="121"/>
        <v/>
      </c>
      <c r="R379" s="74" t="str">
        <f t="shared" si="122"/>
        <v/>
      </c>
      <c r="S379" s="74" t="str">
        <f t="shared" si="123"/>
        <v/>
      </c>
      <c r="U379" s="74" t="str">
        <f t="shared" si="140"/>
        <v/>
      </c>
      <c r="V379" s="74" t="str">
        <f t="shared" si="140"/>
        <v/>
      </c>
      <c r="W379" s="74" t="str">
        <f t="shared" si="140"/>
        <v/>
      </c>
      <c r="X379" s="74" t="str">
        <f t="shared" si="140"/>
        <v/>
      </c>
      <c r="Y379" s="74" t="str">
        <f t="shared" si="140"/>
        <v/>
      </c>
      <c r="Z379" s="74" t="str">
        <f t="shared" si="124"/>
        <v/>
      </c>
      <c r="AA379" s="74">
        <f t="shared" si="125"/>
        <v>0</v>
      </c>
      <c r="AB379" s="74">
        <f t="shared" si="126"/>
        <v>0</v>
      </c>
      <c r="AC379" s="74" t="str">
        <f t="shared" si="127"/>
        <v/>
      </c>
      <c r="AE379" s="74" t="str">
        <f t="shared" si="128"/>
        <v/>
      </c>
      <c r="AF379" s="74" t="str">
        <f t="shared" si="129"/>
        <v/>
      </c>
      <c r="AG379" s="74" t="str">
        <f t="shared" si="130"/>
        <v/>
      </c>
      <c r="AH379" s="74">
        <f t="shared" si="131"/>
        <v>0</v>
      </c>
      <c r="AI379" s="74" t="str">
        <f>IF(AH379&lt;&gt;0,COUNTIF(AH$3:AH379,1),"")</f>
        <v/>
      </c>
      <c r="AJ379" s="74">
        <f t="shared" si="132"/>
        <v>0</v>
      </c>
      <c r="AK379" s="73" t="str">
        <f t="shared" si="133"/>
        <v/>
      </c>
      <c r="AL379" s="73" t="str">
        <f t="shared" si="134"/>
        <v/>
      </c>
      <c r="AM379" s="73" t="str">
        <f t="shared" si="135"/>
        <v/>
      </c>
      <c r="AN379" s="73" t="str">
        <f t="shared" si="136"/>
        <v/>
      </c>
      <c r="AP379" s="61" t="str">
        <f t="shared" si="137"/>
        <v/>
      </c>
      <c r="AQ379" s="61" t="str">
        <f t="shared" si="138"/>
        <v/>
      </c>
      <c r="AR379" s="61" t="str">
        <f t="shared" si="139"/>
        <v/>
      </c>
    </row>
    <row r="380" spans="16:44" x14ac:dyDescent="0.25">
      <c r="P380" s="73" t="str">
        <f t="shared" si="120"/>
        <v/>
      </c>
      <c r="Q380" s="73" t="str">
        <f t="shared" si="121"/>
        <v/>
      </c>
      <c r="R380" s="74" t="str">
        <f t="shared" si="122"/>
        <v/>
      </c>
      <c r="S380" s="74" t="str">
        <f t="shared" si="123"/>
        <v/>
      </c>
      <c r="U380" s="74" t="str">
        <f t="shared" si="140"/>
        <v/>
      </c>
      <c r="V380" s="74" t="str">
        <f t="shared" si="140"/>
        <v/>
      </c>
      <c r="W380" s="74" t="str">
        <f t="shared" si="140"/>
        <v/>
      </c>
      <c r="X380" s="74" t="str">
        <f t="shared" si="140"/>
        <v/>
      </c>
      <c r="Y380" s="74" t="str">
        <f t="shared" si="140"/>
        <v/>
      </c>
      <c r="Z380" s="74" t="str">
        <f t="shared" si="124"/>
        <v/>
      </c>
      <c r="AA380" s="74">
        <f t="shared" si="125"/>
        <v>0</v>
      </c>
      <c r="AB380" s="74">
        <f t="shared" si="126"/>
        <v>0</v>
      </c>
      <c r="AC380" s="74" t="str">
        <f t="shared" si="127"/>
        <v/>
      </c>
      <c r="AE380" s="74" t="str">
        <f t="shared" si="128"/>
        <v/>
      </c>
      <c r="AF380" s="74" t="str">
        <f t="shared" si="129"/>
        <v/>
      </c>
      <c r="AG380" s="74" t="str">
        <f t="shared" si="130"/>
        <v/>
      </c>
      <c r="AH380" s="74">
        <f t="shared" si="131"/>
        <v>0</v>
      </c>
      <c r="AI380" s="74" t="str">
        <f>IF(AH380&lt;&gt;0,COUNTIF(AH$3:AH380,1),"")</f>
        <v/>
      </c>
      <c r="AJ380" s="74">
        <f t="shared" si="132"/>
        <v>0</v>
      </c>
      <c r="AK380" s="73" t="str">
        <f t="shared" si="133"/>
        <v/>
      </c>
      <c r="AL380" s="73" t="str">
        <f t="shared" si="134"/>
        <v/>
      </c>
      <c r="AM380" s="73" t="str">
        <f t="shared" si="135"/>
        <v/>
      </c>
      <c r="AN380" s="73" t="str">
        <f t="shared" si="136"/>
        <v/>
      </c>
      <c r="AP380" s="61" t="str">
        <f t="shared" si="137"/>
        <v/>
      </c>
      <c r="AQ380" s="61" t="str">
        <f t="shared" si="138"/>
        <v/>
      </c>
      <c r="AR380" s="61" t="str">
        <f t="shared" si="139"/>
        <v/>
      </c>
    </row>
    <row r="381" spans="16:44" x14ac:dyDescent="0.25">
      <c r="P381" s="73" t="str">
        <f t="shared" si="120"/>
        <v/>
      </c>
      <c r="Q381" s="73" t="str">
        <f t="shared" si="121"/>
        <v/>
      </c>
      <c r="R381" s="74" t="str">
        <f t="shared" si="122"/>
        <v/>
      </c>
      <c r="S381" s="74" t="str">
        <f t="shared" si="123"/>
        <v/>
      </c>
      <c r="U381" s="74" t="str">
        <f t="shared" si="140"/>
        <v/>
      </c>
      <c r="V381" s="74" t="str">
        <f t="shared" si="140"/>
        <v/>
      </c>
      <c r="W381" s="74" t="str">
        <f t="shared" si="140"/>
        <v/>
      </c>
      <c r="X381" s="74" t="str">
        <f t="shared" si="140"/>
        <v/>
      </c>
      <c r="Y381" s="74" t="str">
        <f t="shared" si="140"/>
        <v/>
      </c>
      <c r="Z381" s="74" t="str">
        <f t="shared" si="124"/>
        <v/>
      </c>
      <c r="AA381" s="74">
        <f t="shared" si="125"/>
        <v>0</v>
      </c>
      <c r="AB381" s="74">
        <f t="shared" si="126"/>
        <v>0</v>
      </c>
      <c r="AC381" s="74" t="str">
        <f t="shared" si="127"/>
        <v/>
      </c>
      <c r="AE381" s="74" t="str">
        <f t="shared" si="128"/>
        <v/>
      </c>
      <c r="AF381" s="74" t="str">
        <f t="shared" si="129"/>
        <v/>
      </c>
      <c r="AG381" s="74" t="str">
        <f t="shared" si="130"/>
        <v/>
      </c>
      <c r="AH381" s="74">
        <f t="shared" si="131"/>
        <v>0</v>
      </c>
      <c r="AI381" s="74" t="str">
        <f>IF(AH381&lt;&gt;0,COUNTIF(AH$3:AH381,1),"")</f>
        <v/>
      </c>
      <c r="AJ381" s="74">
        <f t="shared" si="132"/>
        <v>0</v>
      </c>
      <c r="AK381" s="73" t="str">
        <f t="shared" si="133"/>
        <v/>
      </c>
      <c r="AL381" s="73" t="str">
        <f t="shared" si="134"/>
        <v/>
      </c>
      <c r="AM381" s="73" t="str">
        <f t="shared" si="135"/>
        <v/>
      </c>
      <c r="AN381" s="73" t="str">
        <f t="shared" si="136"/>
        <v/>
      </c>
      <c r="AP381" s="61" t="str">
        <f t="shared" si="137"/>
        <v/>
      </c>
      <c r="AQ381" s="61" t="str">
        <f t="shared" si="138"/>
        <v/>
      </c>
      <c r="AR381" s="61" t="str">
        <f t="shared" si="139"/>
        <v/>
      </c>
    </row>
    <row r="382" spans="16:44" x14ac:dyDescent="0.25">
      <c r="P382" s="73" t="str">
        <f t="shared" ref="P382:P445" si="141">IF(N382&lt;&gt;"",SUBSTITUTE(LEFT(N382,FIND(";",N382)),";",""),"")</f>
        <v/>
      </c>
      <c r="Q382" s="73" t="str">
        <f t="shared" ref="Q382:Q445" si="142">IF(N382&lt;&gt;"",SUBSTITUTE(RIGHT(N382,FIND(";",N382)),";",""),"")</f>
        <v/>
      </c>
      <c r="R382" s="74" t="str">
        <f t="shared" ref="R382:R445" si="143">IF(O382&lt;&gt;"",SUBSTITUTE(LEFT(O382,FIND(";",O382)),";",""),"")</f>
        <v/>
      </c>
      <c r="S382" s="74" t="str">
        <f t="shared" ref="S382:S445" si="144">IF(O382&lt;&gt;"",IFERROR(IF(FIND("OK",O382)&gt;0,TRUE),FALSE),"")</f>
        <v/>
      </c>
      <c r="U382" s="74" t="str">
        <f t="shared" si="140"/>
        <v/>
      </c>
      <c r="V382" s="74" t="str">
        <f t="shared" si="140"/>
        <v/>
      </c>
      <c r="W382" s="74" t="str">
        <f t="shared" si="140"/>
        <v/>
      </c>
      <c r="X382" s="74" t="str">
        <f t="shared" si="140"/>
        <v/>
      </c>
      <c r="Y382" s="74" t="str">
        <f t="shared" si="140"/>
        <v/>
      </c>
      <c r="Z382" s="74" t="str">
        <f t="shared" ref="Z382:Z445" si="145">IF(G382,E382,"")</f>
        <v/>
      </c>
      <c r="AA382" s="74">
        <f t="shared" ref="AA382:AA445" si="146">IF(G382=FALSE,E382,"")</f>
        <v>0</v>
      </c>
      <c r="AB382" s="74">
        <f t="shared" ref="AB382:AB445" si="147">IF(G382,1,0)</f>
        <v>0</v>
      </c>
      <c r="AC382" s="74" t="str">
        <f t="shared" ref="AC382:AC445" si="148">IF(A382&lt;&gt;"",IF(G382,0,1),"")</f>
        <v/>
      </c>
      <c r="AE382" s="74" t="str">
        <f t="shared" ref="AE382:AE445" si="149">IF(P382&lt;&gt;"",IF(AND(_xlfn.NUMBERVALUE(P382)&gt;25,_xlfn.NUMBERVALUE(P382)&lt;38),TRUE,FALSE),"")</f>
        <v/>
      </c>
      <c r="AF382" s="74" t="str">
        <f t="shared" ref="AF382:AF445" si="150">IF(Q382&lt;&gt;"",IF(AND(_xlfn.NUMBERVALUE(Q382)&gt;25,_xlfn.NUMBERVALUE(Q382)&lt;38),TRUE,FALSE),"")</f>
        <v/>
      </c>
      <c r="AG382" s="74" t="str">
        <f t="shared" ref="AG382:AG445" si="151">IF(R382&lt;&gt;"",IF(AND(_xlfn.NUMBERVALUE(R382)&gt;262,_xlfn.NUMBERVALUE(R382)&lt;307),TRUE,FALSE),"")</f>
        <v/>
      </c>
      <c r="AH382" s="74">
        <f t="shared" ref="AH382:AH445" si="152">IF(OR(AE382=FALSE,AF382=FALSE,AG382=FALSE),1,0)</f>
        <v>0</v>
      </c>
      <c r="AI382" s="74" t="str">
        <f>IF(AH382&lt;&gt;0,COUNTIF(AH$3:AH382,1),"")</f>
        <v/>
      </c>
      <c r="AJ382" s="74">
        <f t="shared" ref="AJ382:AJ445" si="153">L382</f>
        <v>0</v>
      </c>
      <c r="AK382" s="73" t="str">
        <f t="shared" ref="AK382:AK445" si="154">P382</f>
        <v/>
      </c>
      <c r="AL382" s="73" t="str">
        <f t="shared" ref="AL382:AL445" si="155">Q382</f>
        <v/>
      </c>
      <c r="AM382" s="73" t="str">
        <f t="shared" ref="AM382:AM445" si="156">R382</f>
        <v/>
      </c>
      <c r="AN382" s="73" t="str">
        <f t="shared" ref="AN382:AN445" si="157">S382</f>
        <v/>
      </c>
      <c r="AP382" s="61" t="str">
        <f t="shared" si="137"/>
        <v/>
      </c>
      <c r="AQ382" s="61" t="str">
        <f t="shared" si="138"/>
        <v/>
      </c>
      <c r="AR382" s="61" t="str">
        <f t="shared" si="139"/>
        <v/>
      </c>
    </row>
    <row r="383" spans="16:44" x14ac:dyDescent="0.25">
      <c r="P383" s="73" t="str">
        <f t="shared" si="141"/>
        <v/>
      </c>
      <c r="Q383" s="73" t="str">
        <f t="shared" si="142"/>
        <v/>
      </c>
      <c r="R383" s="74" t="str">
        <f t="shared" si="143"/>
        <v/>
      </c>
      <c r="S383" s="74" t="str">
        <f t="shared" si="144"/>
        <v/>
      </c>
      <c r="U383" s="74" t="str">
        <f t="shared" si="140"/>
        <v/>
      </c>
      <c r="V383" s="74" t="str">
        <f t="shared" si="140"/>
        <v/>
      </c>
      <c r="W383" s="74" t="str">
        <f t="shared" si="140"/>
        <v/>
      </c>
      <c r="X383" s="74" t="str">
        <f t="shared" si="140"/>
        <v/>
      </c>
      <c r="Y383" s="74" t="str">
        <f t="shared" si="140"/>
        <v/>
      </c>
      <c r="Z383" s="74" t="str">
        <f t="shared" si="145"/>
        <v/>
      </c>
      <c r="AA383" s="74">
        <f t="shared" si="146"/>
        <v>0</v>
      </c>
      <c r="AB383" s="74">
        <f t="shared" si="147"/>
        <v>0</v>
      </c>
      <c r="AC383" s="74" t="str">
        <f t="shared" si="148"/>
        <v/>
      </c>
      <c r="AE383" s="74" t="str">
        <f t="shared" si="149"/>
        <v/>
      </c>
      <c r="AF383" s="74" t="str">
        <f t="shared" si="150"/>
        <v/>
      </c>
      <c r="AG383" s="74" t="str">
        <f t="shared" si="151"/>
        <v/>
      </c>
      <c r="AH383" s="74">
        <f t="shared" si="152"/>
        <v>0</v>
      </c>
      <c r="AI383" s="74" t="str">
        <f>IF(AH383&lt;&gt;0,COUNTIF(AH$3:AH383,1),"")</f>
        <v/>
      </c>
      <c r="AJ383" s="74">
        <f t="shared" si="153"/>
        <v>0</v>
      </c>
      <c r="AK383" s="73" t="str">
        <f t="shared" si="154"/>
        <v/>
      </c>
      <c r="AL383" s="73" t="str">
        <f t="shared" si="155"/>
        <v/>
      </c>
      <c r="AM383" s="73" t="str">
        <f t="shared" si="156"/>
        <v/>
      </c>
      <c r="AN383" s="73" t="str">
        <f t="shared" si="157"/>
        <v/>
      </c>
      <c r="AP383" s="61" t="str">
        <f t="shared" si="137"/>
        <v/>
      </c>
      <c r="AQ383" s="61" t="str">
        <f t="shared" si="138"/>
        <v/>
      </c>
      <c r="AR383" s="61" t="str">
        <f t="shared" si="139"/>
        <v/>
      </c>
    </row>
    <row r="384" spans="16:44" x14ac:dyDescent="0.25">
      <c r="P384" s="73" t="str">
        <f t="shared" si="141"/>
        <v/>
      </c>
      <c r="Q384" s="73" t="str">
        <f t="shared" si="142"/>
        <v/>
      </c>
      <c r="R384" s="74" t="str">
        <f t="shared" si="143"/>
        <v/>
      </c>
      <c r="S384" s="74" t="str">
        <f t="shared" si="144"/>
        <v/>
      </c>
      <c r="U384" s="74" t="str">
        <f t="shared" si="140"/>
        <v/>
      </c>
      <c r="V384" s="74" t="str">
        <f t="shared" si="140"/>
        <v/>
      </c>
      <c r="W384" s="74" t="str">
        <f t="shared" si="140"/>
        <v/>
      </c>
      <c r="X384" s="74" t="str">
        <f t="shared" si="140"/>
        <v/>
      </c>
      <c r="Y384" s="74" t="str">
        <f t="shared" si="140"/>
        <v/>
      </c>
      <c r="Z384" s="74" t="str">
        <f t="shared" si="145"/>
        <v/>
      </c>
      <c r="AA384" s="74">
        <f t="shared" si="146"/>
        <v>0</v>
      </c>
      <c r="AB384" s="74">
        <f t="shared" si="147"/>
        <v>0</v>
      </c>
      <c r="AC384" s="74" t="str">
        <f t="shared" si="148"/>
        <v/>
      </c>
      <c r="AE384" s="74" t="str">
        <f t="shared" si="149"/>
        <v/>
      </c>
      <c r="AF384" s="74" t="str">
        <f t="shared" si="150"/>
        <v/>
      </c>
      <c r="AG384" s="74" t="str">
        <f t="shared" si="151"/>
        <v/>
      </c>
      <c r="AH384" s="74">
        <f t="shared" si="152"/>
        <v>0</v>
      </c>
      <c r="AI384" s="74" t="str">
        <f>IF(AH384&lt;&gt;0,COUNTIF(AH$3:AH384,1),"")</f>
        <v/>
      </c>
      <c r="AJ384" s="74">
        <f t="shared" si="153"/>
        <v>0</v>
      </c>
      <c r="AK384" s="73" t="str">
        <f t="shared" si="154"/>
        <v/>
      </c>
      <c r="AL384" s="73" t="str">
        <f t="shared" si="155"/>
        <v/>
      </c>
      <c r="AM384" s="73" t="str">
        <f t="shared" si="156"/>
        <v/>
      </c>
      <c r="AN384" s="73" t="str">
        <f t="shared" si="157"/>
        <v/>
      </c>
      <c r="AP384" s="61" t="str">
        <f t="shared" si="137"/>
        <v/>
      </c>
      <c r="AQ384" s="61" t="str">
        <f t="shared" si="138"/>
        <v/>
      </c>
      <c r="AR384" s="61" t="str">
        <f t="shared" si="139"/>
        <v/>
      </c>
    </row>
    <row r="385" spans="16:44" x14ac:dyDescent="0.25">
      <c r="P385" s="73" t="str">
        <f t="shared" si="141"/>
        <v/>
      </c>
      <c r="Q385" s="73" t="str">
        <f t="shared" si="142"/>
        <v/>
      </c>
      <c r="R385" s="74" t="str">
        <f t="shared" si="143"/>
        <v/>
      </c>
      <c r="S385" s="74" t="str">
        <f t="shared" si="144"/>
        <v/>
      </c>
      <c r="U385" s="74" t="str">
        <f t="shared" si="140"/>
        <v/>
      </c>
      <c r="V385" s="74" t="str">
        <f t="shared" si="140"/>
        <v/>
      </c>
      <c r="W385" s="74" t="str">
        <f t="shared" si="140"/>
        <v/>
      </c>
      <c r="X385" s="74" t="str">
        <f t="shared" si="140"/>
        <v/>
      </c>
      <c r="Y385" s="74" t="str">
        <f t="shared" si="140"/>
        <v/>
      </c>
      <c r="Z385" s="74" t="str">
        <f t="shared" si="145"/>
        <v/>
      </c>
      <c r="AA385" s="74">
        <f t="shared" si="146"/>
        <v>0</v>
      </c>
      <c r="AB385" s="74">
        <f t="shared" si="147"/>
        <v>0</v>
      </c>
      <c r="AC385" s="74" t="str">
        <f t="shared" si="148"/>
        <v/>
      </c>
      <c r="AE385" s="74" t="str">
        <f t="shared" si="149"/>
        <v/>
      </c>
      <c r="AF385" s="74" t="str">
        <f t="shared" si="150"/>
        <v/>
      </c>
      <c r="AG385" s="74" t="str">
        <f t="shared" si="151"/>
        <v/>
      </c>
      <c r="AH385" s="74">
        <f t="shared" si="152"/>
        <v>0</v>
      </c>
      <c r="AI385" s="74" t="str">
        <f>IF(AH385&lt;&gt;0,COUNTIF(AH$3:AH385,1),"")</f>
        <v/>
      </c>
      <c r="AJ385" s="74">
        <f t="shared" si="153"/>
        <v>0</v>
      </c>
      <c r="AK385" s="73" t="str">
        <f t="shared" si="154"/>
        <v/>
      </c>
      <c r="AL385" s="73" t="str">
        <f t="shared" si="155"/>
        <v/>
      </c>
      <c r="AM385" s="73" t="str">
        <f t="shared" si="156"/>
        <v/>
      </c>
      <c r="AN385" s="73" t="str">
        <f t="shared" si="157"/>
        <v/>
      </c>
      <c r="AP385" s="61" t="str">
        <f t="shared" si="137"/>
        <v/>
      </c>
      <c r="AQ385" s="61" t="str">
        <f t="shared" si="138"/>
        <v/>
      </c>
      <c r="AR385" s="61" t="str">
        <f t="shared" si="139"/>
        <v/>
      </c>
    </row>
    <row r="386" spans="16:44" x14ac:dyDescent="0.25">
      <c r="P386" s="73" t="str">
        <f t="shared" si="141"/>
        <v/>
      </c>
      <c r="Q386" s="73" t="str">
        <f t="shared" si="142"/>
        <v/>
      </c>
      <c r="R386" s="74" t="str">
        <f t="shared" si="143"/>
        <v/>
      </c>
      <c r="S386" s="74" t="str">
        <f t="shared" si="144"/>
        <v/>
      </c>
      <c r="U386" s="74" t="str">
        <f t="shared" si="140"/>
        <v/>
      </c>
      <c r="V386" s="74" t="str">
        <f t="shared" si="140"/>
        <v/>
      </c>
      <c r="W386" s="74" t="str">
        <f t="shared" si="140"/>
        <v/>
      </c>
      <c r="X386" s="74" t="str">
        <f t="shared" si="140"/>
        <v/>
      </c>
      <c r="Y386" s="74" t="str">
        <f t="shared" si="140"/>
        <v/>
      </c>
      <c r="Z386" s="74" t="str">
        <f t="shared" si="145"/>
        <v/>
      </c>
      <c r="AA386" s="74">
        <f t="shared" si="146"/>
        <v>0</v>
      </c>
      <c r="AB386" s="74">
        <f t="shared" si="147"/>
        <v>0</v>
      </c>
      <c r="AC386" s="74" t="str">
        <f t="shared" si="148"/>
        <v/>
      </c>
      <c r="AE386" s="74" t="str">
        <f t="shared" si="149"/>
        <v/>
      </c>
      <c r="AF386" s="74" t="str">
        <f t="shared" si="150"/>
        <v/>
      </c>
      <c r="AG386" s="74" t="str">
        <f t="shared" si="151"/>
        <v/>
      </c>
      <c r="AH386" s="74">
        <f t="shared" si="152"/>
        <v>0</v>
      </c>
      <c r="AI386" s="74" t="str">
        <f>IF(AH386&lt;&gt;0,COUNTIF(AH$3:AH386,1),"")</f>
        <v/>
      </c>
      <c r="AJ386" s="74">
        <f t="shared" si="153"/>
        <v>0</v>
      </c>
      <c r="AK386" s="73" t="str">
        <f t="shared" si="154"/>
        <v/>
      </c>
      <c r="AL386" s="73" t="str">
        <f t="shared" si="155"/>
        <v/>
      </c>
      <c r="AM386" s="73" t="str">
        <f t="shared" si="156"/>
        <v/>
      </c>
      <c r="AN386" s="73" t="str">
        <f t="shared" si="157"/>
        <v/>
      </c>
      <c r="AP386" s="61" t="str">
        <f t="shared" si="137"/>
        <v/>
      </c>
      <c r="AQ386" s="61" t="str">
        <f t="shared" si="138"/>
        <v/>
      </c>
      <c r="AR386" s="61" t="str">
        <f t="shared" si="139"/>
        <v/>
      </c>
    </row>
    <row r="387" spans="16:44" x14ac:dyDescent="0.25">
      <c r="P387" s="73" t="str">
        <f t="shared" si="141"/>
        <v/>
      </c>
      <c r="Q387" s="73" t="str">
        <f t="shared" si="142"/>
        <v/>
      </c>
      <c r="R387" s="74" t="str">
        <f t="shared" si="143"/>
        <v/>
      </c>
      <c r="S387" s="74" t="str">
        <f t="shared" si="144"/>
        <v/>
      </c>
      <c r="U387" s="74" t="str">
        <f t="shared" si="140"/>
        <v/>
      </c>
      <c r="V387" s="74" t="str">
        <f t="shared" si="140"/>
        <v/>
      </c>
      <c r="W387" s="74" t="str">
        <f t="shared" si="140"/>
        <v/>
      </c>
      <c r="X387" s="74" t="str">
        <f t="shared" si="140"/>
        <v/>
      </c>
      <c r="Y387" s="74" t="str">
        <f t="shared" si="140"/>
        <v/>
      </c>
      <c r="Z387" s="74" t="str">
        <f t="shared" si="145"/>
        <v/>
      </c>
      <c r="AA387" s="74">
        <f t="shared" si="146"/>
        <v>0</v>
      </c>
      <c r="AB387" s="74">
        <f t="shared" si="147"/>
        <v>0</v>
      </c>
      <c r="AC387" s="74" t="str">
        <f t="shared" si="148"/>
        <v/>
      </c>
      <c r="AE387" s="74" t="str">
        <f t="shared" si="149"/>
        <v/>
      </c>
      <c r="AF387" s="74" t="str">
        <f t="shared" si="150"/>
        <v/>
      </c>
      <c r="AG387" s="74" t="str">
        <f t="shared" si="151"/>
        <v/>
      </c>
      <c r="AH387" s="74">
        <f t="shared" si="152"/>
        <v>0</v>
      </c>
      <c r="AI387" s="74" t="str">
        <f>IF(AH387&lt;&gt;0,COUNTIF(AH$3:AH387,1),"")</f>
        <v/>
      </c>
      <c r="AJ387" s="74">
        <f t="shared" si="153"/>
        <v>0</v>
      </c>
      <c r="AK387" s="73" t="str">
        <f t="shared" si="154"/>
        <v/>
      </c>
      <c r="AL387" s="73" t="str">
        <f t="shared" si="155"/>
        <v/>
      </c>
      <c r="AM387" s="73" t="str">
        <f t="shared" si="156"/>
        <v/>
      </c>
      <c r="AN387" s="73" t="str">
        <f t="shared" si="157"/>
        <v/>
      </c>
      <c r="AP387" s="61" t="str">
        <f t="shared" si="137"/>
        <v/>
      </c>
      <c r="AQ387" s="61" t="str">
        <f t="shared" si="138"/>
        <v/>
      </c>
      <c r="AR387" s="61" t="str">
        <f t="shared" si="139"/>
        <v/>
      </c>
    </row>
    <row r="388" spans="16:44" x14ac:dyDescent="0.25">
      <c r="P388" s="73" t="str">
        <f t="shared" si="141"/>
        <v/>
      </c>
      <c r="Q388" s="73" t="str">
        <f t="shared" si="142"/>
        <v/>
      </c>
      <c r="R388" s="74" t="str">
        <f t="shared" si="143"/>
        <v/>
      </c>
      <c r="S388" s="74" t="str">
        <f t="shared" si="144"/>
        <v/>
      </c>
      <c r="U388" s="74" t="str">
        <f t="shared" si="140"/>
        <v/>
      </c>
      <c r="V388" s="74" t="str">
        <f t="shared" si="140"/>
        <v/>
      </c>
      <c r="W388" s="74" t="str">
        <f t="shared" si="140"/>
        <v/>
      </c>
      <c r="X388" s="74" t="str">
        <f t="shared" si="140"/>
        <v/>
      </c>
      <c r="Y388" s="74" t="str">
        <f t="shared" si="140"/>
        <v/>
      </c>
      <c r="Z388" s="74" t="str">
        <f t="shared" si="145"/>
        <v/>
      </c>
      <c r="AA388" s="74">
        <f t="shared" si="146"/>
        <v>0</v>
      </c>
      <c r="AB388" s="74">
        <f t="shared" si="147"/>
        <v>0</v>
      </c>
      <c r="AC388" s="74" t="str">
        <f t="shared" si="148"/>
        <v/>
      </c>
      <c r="AE388" s="74" t="str">
        <f t="shared" si="149"/>
        <v/>
      </c>
      <c r="AF388" s="74" t="str">
        <f t="shared" si="150"/>
        <v/>
      </c>
      <c r="AG388" s="74" t="str">
        <f t="shared" si="151"/>
        <v/>
      </c>
      <c r="AH388" s="74">
        <f t="shared" si="152"/>
        <v>0</v>
      </c>
      <c r="AI388" s="74" t="str">
        <f>IF(AH388&lt;&gt;0,COUNTIF(AH$3:AH388,1),"")</f>
        <v/>
      </c>
      <c r="AJ388" s="74">
        <f t="shared" si="153"/>
        <v>0</v>
      </c>
      <c r="AK388" s="73" t="str">
        <f t="shared" si="154"/>
        <v/>
      </c>
      <c r="AL388" s="73" t="str">
        <f t="shared" si="155"/>
        <v/>
      </c>
      <c r="AM388" s="73" t="str">
        <f t="shared" si="156"/>
        <v/>
      </c>
      <c r="AN388" s="73" t="str">
        <f t="shared" si="157"/>
        <v/>
      </c>
      <c r="AP388" s="61" t="str">
        <f t="shared" ref="AP388:AP451" si="158">IF(P388&lt;&gt;"",_xlfn.NUMBERVALUE(P388),"")</f>
        <v/>
      </c>
      <c r="AQ388" s="61" t="str">
        <f t="shared" ref="AQ388:AQ451" si="159">IF(Q388&lt;&gt;"",_xlfn.NUMBERVALUE(Q388),"")</f>
        <v/>
      </c>
      <c r="AR388" s="61" t="str">
        <f t="shared" ref="AR388:AR451" si="160">IF(R388&lt;&gt;"",_xlfn.NUMBERVALUE(R388),"")</f>
        <v/>
      </c>
    </row>
    <row r="389" spans="16:44" x14ac:dyDescent="0.25">
      <c r="P389" s="73" t="str">
        <f t="shared" si="141"/>
        <v/>
      </c>
      <c r="Q389" s="73" t="str">
        <f t="shared" si="142"/>
        <v/>
      </c>
      <c r="R389" s="74" t="str">
        <f t="shared" si="143"/>
        <v/>
      </c>
      <c r="S389" s="74" t="str">
        <f t="shared" si="144"/>
        <v/>
      </c>
      <c r="U389" s="74" t="str">
        <f t="shared" si="140"/>
        <v/>
      </c>
      <c r="V389" s="74" t="str">
        <f t="shared" si="140"/>
        <v/>
      </c>
      <c r="W389" s="74" t="str">
        <f t="shared" si="140"/>
        <v/>
      </c>
      <c r="X389" s="74" t="str">
        <f t="shared" si="140"/>
        <v/>
      </c>
      <c r="Y389" s="74" t="str">
        <f t="shared" si="140"/>
        <v/>
      </c>
      <c r="Z389" s="74" t="str">
        <f t="shared" si="145"/>
        <v/>
      </c>
      <c r="AA389" s="74">
        <f t="shared" si="146"/>
        <v>0</v>
      </c>
      <c r="AB389" s="74">
        <f t="shared" si="147"/>
        <v>0</v>
      </c>
      <c r="AC389" s="74" t="str">
        <f t="shared" si="148"/>
        <v/>
      </c>
      <c r="AE389" s="74" t="str">
        <f t="shared" si="149"/>
        <v/>
      </c>
      <c r="AF389" s="74" t="str">
        <f t="shared" si="150"/>
        <v/>
      </c>
      <c r="AG389" s="74" t="str">
        <f t="shared" si="151"/>
        <v/>
      </c>
      <c r="AH389" s="74">
        <f t="shared" si="152"/>
        <v>0</v>
      </c>
      <c r="AI389" s="74" t="str">
        <f>IF(AH389&lt;&gt;0,COUNTIF(AH$3:AH389,1),"")</f>
        <v/>
      </c>
      <c r="AJ389" s="74">
        <f t="shared" si="153"/>
        <v>0</v>
      </c>
      <c r="AK389" s="73" t="str">
        <f t="shared" si="154"/>
        <v/>
      </c>
      <c r="AL389" s="73" t="str">
        <f t="shared" si="155"/>
        <v/>
      </c>
      <c r="AM389" s="73" t="str">
        <f t="shared" si="156"/>
        <v/>
      </c>
      <c r="AN389" s="73" t="str">
        <f t="shared" si="157"/>
        <v/>
      </c>
      <c r="AP389" s="61" t="str">
        <f t="shared" si="158"/>
        <v/>
      </c>
      <c r="AQ389" s="61" t="str">
        <f t="shared" si="159"/>
        <v/>
      </c>
      <c r="AR389" s="61" t="str">
        <f t="shared" si="160"/>
        <v/>
      </c>
    </row>
    <row r="390" spans="16:44" x14ac:dyDescent="0.25">
      <c r="P390" s="73" t="str">
        <f t="shared" si="141"/>
        <v/>
      </c>
      <c r="Q390" s="73" t="str">
        <f t="shared" si="142"/>
        <v/>
      </c>
      <c r="R390" s="74" t="str">
        <f t="shared" si="143"/>
        <v/>
      </c>
      <c r="S390" s="74" t="str">
        <f t="shared" si="144"/>
        <v/>
      </c>
      <c r="U390" s="74" t="str">
        <f t="shared" si="140"/>
        <v/>
      </c>
      <c r="V390" s="74" t="str">
        <f t="shared" si="140"/>
        <v/>
      </c>
      <c r="W390" s="74" t="str">
        <f t="shared" si="140"/>
        <v/>
      </c>
      <c r="X390" s="74" t="str">
        <f t="shared" si="140"/>
        <v/>
      </c>
      <c r="Y390" s="74" t="str">
        <f t="shared" si="140"/>
        <v/>
      </c>
      <c r="Z390" s="74" t="str">
        <f t="shared" si="145"/>
        <v/>
      </c>
      <c r="AA390" s="74">
        <f t="shared" si="146"/>
        <v>0</v>
      </c>
      <c r="AB390" s="74">
        <f t="shared" si="147"/>
        <v>0</v>
      </c>
      <c r="AC390" s="74" t="str">
        <f t="shared" si="148"/>
        <v/>
      </c>
      <c r="AE390" s="74" t="str">
        <f t="shared" si="149"/>
        <v/>
      </c>
      <c r="AF390" s="74" t="str">
        <f t="shared" si="150"/>
        <v/>
      </c>
      <c r="AG390" s="74" t="str">
        <f t="shared" si="151"/>
        <v/>
      </c>
      <c r="AH390" s="74">
        <f t="shared" si="152"/>
        <v>0</v>
      </c>
      <c r="AI390" s="74" t="str">
        <f>IF(AH390&lt;&gt;0,COUNTIF(AH$3:AH390,1),"")</f>
        <v/>
      </c>
      <c r="AJ390" s="74">
        <f t="shared" si="153"/>
        <v>0</v>
      </c>
      <c r="AK390" s="73" t="str">
        <f t="shared" si="154"/>
        <v/>
      </c>
      <c r="AL390" s="73" t="str">
        <f t="shared" si="155"/>
        <v/>
      </c>
      <c r="AM390" s="73" t="str">
        <f t="shared" si="156"/>
        <v/>
      </c>
      <c r="AN390" s="73" t="str">
        <f t="shared" si="157"/>
        <v/>
      </c>
      <c r="AP390" s="61" t="str">
        <f t="shared" si="158"/>
        <v/>
      </c>
      <c r="AQ390" s="61" t="str">
        <f t="shared" si="159"/>
        <v/>
      </c>
      <c r="AR390" s="61" t="str">
        <f t="shared" si="160"/>
        <v/>
      </c>
    </row>
    <row r="391" spans="16:44" x14ac:dyDescent="0.25">
      <c r="P391" s="73" t="str">
        <f t="shared" si="141"/>
        <v/>
      </c>
      <c r="Q391" s="73" t="str">
        <f t="shared" si="142"/>
        <v/>
      </c>
      <c r="R391" s="74" t="str">
        <f t="shared" si="143"/>
        <v/>
      </c>
      <c r="S391" s="74" t="str">
        <f t="shared" si="144"/>
        <v/>
      </c>
      <c r="U391" s="74" t="str">
        <f t="shared" si="140"/>
        <v/>
      </c>
      <c r="V391" s="74" t="str">
        <f t="shared" si="140"/>
        <v/>
      </c>
      <c r="W391" s="74" t="str">
        <f t="shared" si="140"/>
        <v/>
      </c>
      <c r="X391" s="74" t="str">
        <f t="shared" si="140"/>
        <v/>
      </c>
      <c r="Y391" s="74" t="str">
        <f t="shared" si="140"/>
        <v/>
      </c>
      <c r="Z391" s="74" t="str">
        <f t="shared" si="145"/>
        <v/>
      </c>
      <c r="AA391" s="74">
        <f t="shared" si="146"/>
        <v>0</v>
      </c>
      <c r="AB391" s="74">
        <f t="shared" si="147"/>
        <v>0</v>
      </c>
      <c r="AC391" s="74" t="str">
        <f t="shared" si="148"/>
        <v/>
      </c>
      <c r="AE391" s="74" t="str">
        <f t="shared" si="149"/>
        <v/>
      </c>
      <c r="AF391" s="74" t="str">
        <f t="shared" si="150"/>
        <v/>
      </c>
      <c r="AG391" s="74" t="str">
        <f t="shared" si="151"/>
        <v/>
      </c>
      <c r="AH391" s="74">
        <f t="shared" si="152"/>
        <v>0</v>
      </c>
      <c r="AI391" s="74" t="str">
        <f>IF(AH391&lt;&gt;0,COUNTIF(AH$3:AH391,1),"")</f>
        <v/>
      </c>
      <c r="AJ391" s="74">
        <f t="shared" si="153"/>
        <v>0</v>
      </c>
      <c r="AK391" s="73" t="str">
        <f t="shared" si="154"/>
        <v/>
      </c>
      <c r="AL391" s="73" t="str">
        <f t="shared" si="155"/>
        <v/>
      </c>
      <c r="AM391" s="73" t="str">
        <f t="shared" si="156"/>
        <v/>
      </c>
      <c r="AN391" s="73" t="str">
        <f t="shared" si="157"/>
        <v/>
      </c>
      <c r="AP391" s="61" t="str">
        <f t="shared" si="158"/>
        <v/>
      </c>
      <c r="AQ391" s="61" t="str">
        <f t="shared" si="159"/>
        <v/>
      </c>
      <c r="AR391" s="61" t="str">
        <f t="shared" si="160"/>
        <v/>
      </c>
    </row>
    <row r="392" spans="16:44" x14ac:dyDescent="0.25">
      <c r="P392" s="73" t="str">
        <f t="shared" si="141"/>
        <v/>
      </c>
      <c r="Q392" s="73" t="str">
        <f t="shared" si="142"/>
        <v/>
      </c>
      <c r="R392" s="74" t="str">
        <f t="shared" si="143"/>
        <v/>
      </c>
      <c r="S392" s="74" t="str">
        <f t="shared" si="144"/>
        <v/>
      </c>
      <c r="U392" s="74" t="str">
        <f t="shared" si="140"/>
        <v/>
      </c>
      <c r="V392" s="74" t="str">
        <f t="shared" si="140"/>
        <v/>
      </c>
      <c r="W392" s="74" t="str">
        <f t="shared" si="140"/>
        <v/>
      </c>
      <c r="X392" s="74" t="str">
        <f t="shared" si="140"/>
        <v/>
      </c>
      <c r="Y392" s="74" t="str">
        <f t="shared" si="140"/>
        <v/>
      </c>
      <c r="Z392" s="74" t="str">
        <f t="shared" si="145"/>
        <v/>
      </c>
      <c r="AA392" s="74">
        <f t="shared" si="146"/>
        <v>0</v>
      </c>
      <c r="AB392" s="74">
        <f t="shared" si="147"/>
        <v>0</v>
      </c>
      <c r="AC392" s="74" t="str">
        <f t="shared" si="148"/>
        <v/>
      </c>
      <c r="AE392" s="74" t="str">
        <f t="shared" si="149"/>
        <v/>
      </c>
      <c r="AF392" s="74" t="str">
        <f t="shared" si="150"/>
        <v/>
      </c>
      <c r="AG392" s="74" t="str">
        <f t="shared" si="151"/>
        <v/>
      </c>
      <c r="AH392" s="74">
        <f t="shared" si="152"/>
        <v>0</v>
      </c>
      <c r="AI392" s="74" t="str">
        <f>IF(AH392&lt;&gt;0,COUNTIF(AH$3:AH392,1),"")</f>
        <v/>
      </c>
      <c r="AJ392" s="74">
        <f t="shared" si="153"/>
        <v>0</v>
      </c>
      <c r="AK392" s="73" t="str">
        <f t="shared" si="154"/>
        <v/>
      </c>
      <c r="AL392" s="73" t="str">
        <f t="shared" si="155"/>
        <v/>
      </c>
      <c r="AM392" s="73" t="str">
        <f t="shared" si="156"/>
        <v/>
      </c>
      <c r="AN392" s="73" t="str">
        <f t="shared" si="157"/>
        <v/>
      </c>
      <c r="AP392" s="61" t="str">
        <f t="shared" si="158"/>
        <v/>
      </c>
      <c r="AQ392" s="61" t="str">
        <f t="shared" si="159"/>
        <v/>
      </c>
      <c r="AR392" s="61" t="str">
        <f t="shared" si="160"/>
        <v/>
      </c>
    </row>
    <row r="393" spans="16:44" x14ac:dyDescent="0.25">
      <c r="P393" s="73" t="str">
        <f t="shared" si="141"/>
        <v/>
      </c>
      <c r="Q393" s="73" t="str">
        <f t="shared" si="142"/>
        <v/>
      </c>
      <c r="R393" s="74" t="str">
        <f t="shared" si="143"/>
        <v/>
      </c>
      <c r="S393" s="74" t="str">
        <f t="shared" si="144"/>
        <v/>
      </c>
      <c r="U393" s="74" t="str">
        <f t="shared" si="140"/>
        <v/>
      </c>
      <c r="V393" s="74" t="str">
        <f t="shared" si="140"/>
        <v/>
      </c>
      <c r="W393" s="74" t="str">
        <f t="shared" si="140"/>
        <v/>
      </c>
      <c r="X393" s="74" t="str">
        <f t="shared" si="140"/>
        <v/>
      </c>
      <c r="Y393" s="74" t="str">
        <f t="shared" si="140"/>
        <v/>
      </c>
      <c r="Z393" s="74" t="str">
        <f t="shared" si="145"/>
        <v/>
      </c>
      <c r="AA393" s="74">
        <f t="shared" si="146"/>
        <v>0</v>
      </c>
      <c r="AB393" s="74">
        <f t="shared" si="147"/>
        <v>0</v>
      </c>
      <c r="AC393" s="74" t="str">
        <f t="shared" si="148"/>
        <v/>
      </c>
      <c r="AE393" s="74" t="str">
        <f t="shared" si="149"/>
        <v/>
      </c>
      <c r="AF393" s="74" t="str">
        <f t="shared" si="150"/>
        <v/>
      </c>
      <c r="AG393" s="74" t="str">
        <f t="shared" si="151"/>
        <v/>
      </c>
      <c r="AH393" s="74">
        <f t="shared" si="152"/>
        <v>0</v>
      </c>
      <c r="AI393" s="74" t="str">
        <f>IF(AH393&lt;&gt;0,COUNTIF(AH$3:AH393,1),"")</f>
        <v/>
      </c>
      <c r="AJ393" s="74">
        <f t="shared" si="153"/>
        <v>0</v>
      </c>
      <c r="AK393" s="73" t="str">
        <f t="shared" si="154"/>
        <v/>
      </c>
      <c r="AL393" s="73" t="str">
        <f t="shared" si="155"/>
        <v/>
      </c>
      <c r="AM393" s="73" t="str">
        <f t="shared" si="156"/>
        <v/>
      </c>
      <c r="AN393" s="73" t="str">
        <f t="shared" si="157"/>
        <v/>
      </c>
      <c r="AP393" s="61" t="str">
        <f t="shared" si="158"/>
        <v/>
      </c>
      <c r="AQ393" s="61" t="str">
        <f t="shared" si="159"/>
        <v/>
      </c>
      <c r="AR393" s="61" t="str">
        <f t="shared" si="160"/>
        <v/>
      </c>
    </row>
    <row r="394" spans="16:44" x14ac:dyDescent="0.25">
      <c r="P394" s="73" t="str">
        <f t="shared" si="141"/>
        <v/>
      </c>
      <c r="Q394" s="73" t="str">
        <f t="shared" si="142"/>
        <v/>
      </c>
      <c r="R394" s="74" t="str">
        <f t="shared" si="143"/>
        <v/>
      </c>
      <c r="S394" s="74" t="str">
        <f t="shared" si="144"/>
        <v/>
      </c>
      <c r="U394" s="74" t="str">
        <f t="shared" ref="U394:Y444" si="161">IF($F394=U$1,$E394,"")</f>
        <v/>
      </c>
      <c r="V394" s="74" t="str">
        <f t="shared" si="161"/>
        <v/>
      </c>
      <c r="W394" s="74" t="str">
        <f t="shared" si="161"/>
        <v/>
      </c>
      <c r="X394" s="74" t="str">
        <f t="shared" si="161"/>
        <v/>
      </c>
      <c r="Y394" s="74" t="str">
        <f t="shared" si="161"/>
        <v/>
      </c>
      <c r="Z394" s="74" t="str">
        <f t="shared" si="145"/>
        <v/>
      </c>
      <c r="AA394" s="74">
        <f t="shared" si="146"/>
        <v>0</v>
      </c>
      <c r="AB394" s="74">
        <f t="shared" si="147"/>
        <v>0</v>
      </c>
      <c r="AC394" s="74" t="str">
        <f t="shared" si="148"/>
        <v/>
      </c>
      <c r="AE394" s="74" t="str">
        <f t="shared" si="149"/>
        <v/>
      </c>
      <c r="AF394" s="74" t="str">
        <f t="shared" si="150"/>
        <v/>
      </c>
      <c r="AG394" s="74" t="str">
        <f t="shared" si="151"/>
        <v/>
      </c>
      <c r="AH394" s="74">
        <f t="shared" si="152"/>
        <v>0</v>
      </c>
      <c r="AI394" s="74" t="str">
        <f>IF(AH394&lt;&gt;0,COUNTIF(AH$3:AH394,1),"")</f>
        <v/>
      </c>
      <c r="AJ394" s="74">
        <f t="shared" si="153"/>
        <v>0</v>
      </c>
      <c r="AK394" s="73" t="str">
        <f t="shared" si="154"/>
        <v/>
      </c>
      <c r="AL394" s="73" t="str">
        <f t="shared" si="155"/>
        <v/>
      </c>
      <c r="AM394" s="73" t="str">
        <f t="shared" si="156"/>
        <v/>
      </c>
      <c r="AN394" s="73" t="str">
        <f t="shared" si="157"/>
        <v/>
      </c>
      <c r="AP394" s="61" t="str">
        <f t="shared" si="158"/>
        <v/>
      </c>
      <c r="AQ394" s="61" t="str">
        <f t="shared" si="159"/>
        <v/>
      </c>
      <c r="AR394" s="61" t="str">
        <f t="shared" si="160"/>
        <v/>
      </c>
    </row>
    <row r="395" spans="16:44" x14ac:dyDescent="0.25">
      <c r="P395" s="73" t="str">
        <f t="shared" si="141"/>
        <v/>
      </c>
      <c r="Q395" s="73" t="str">
        <f t="shared" si="142"/>
        <v/>
      </c>
      <c r="R395" s="74" t="str">
        <f t="shared" si="143"/>
        <v/>
      </c>
      <c r="S395" s="74" t="str">
        <f t="shared" si="144"/>
        <v/>
      </c>
      <c r="U395" s="74" t="str">
        <f t="shared" si="161"/>
        <v/>
      </c>
      <c r="V395" s="74" t="str">
        <f t="shared" si="161"/>
        <v/>
      </c>
      <c r="W395" s="74" t="str">
        <f t="shared" si="161"/>
        <v/>
      </c>
      <c r="X395" s="74" t="str">
        <f t="shared" si="161"/>
        <v/>
      </c>
      <c r="Y395" s="74" t="str">
        <f t="shared" si="161"/>
        <v/>
      </c>
      <c r="Z395" s="74" t="str">
        <f t="shared" si="145"/>
        <v/>
      </c>
      <c r="AA395" s="74">
        <f t="shared" si="146"/>
        <v>0</v>
      </c>
      <c r="AB395" s="74">
        <f t="shared" si="147"/>
        <v>0</v>
      </c>
      <c r="AC395" s="74" t="str">
        <f t="shared" si="148"/>
        <v/>
      </c>
      <c r="AE395" s="74" t="str">
        <f t="shared" si="149"/>
        <v/>
      </c>
      <c r="AF395" s="74" t="str">
        <f t="shared" si="150"/>
        <v/>
      </c>
      <c r="AG395" s="74" t="str">
        <f t="shared" si="151"/>
        <v/>
      </c>
      <c r="AH395" s="74">
        <f t="shared" si="152"/>
        <v>0</v>
      </c>
      <c r="AI395" s="74" t="str">
        <f>IF(AH395&lt;&gt;0,COUNTIF(AH$3:AH395,1),"")</f>
        <v/>
      </c>
      <c r="AJ395" s="74">
        <f t="shared" si="153"/>
        <v>0</v>
      </c>
      <c r="AK395" s="73" t="str">
        <f t="shared" si="154"/>
        <v/>
      </c>
      <c r="AL395" s="73" t="str">
        <f t="shared" si="155"/>
        <v/>
      </c>
      <c r="AM395" s="73" t="str">
        <f t="shared" si="156"/>
        <v/>
      </c>
      <c r="AN395" s="73" t="str">
        <f t="shared" si="157"/>
        <v/>
      </c>
      <c r="AP395" s="61" t="str">
        <f t="shared" si="158"/>
        <v/>
      </c>
      <c r="AQ395" s="61" t="str">
        <f t="shared" si="159"/>
        <v/>
      </c>
      <c r="AR395" s="61" t="str">
        <f t="shared" si="160"/>
        <v/>
      </c>
    </row>
    <row r="396" spans="16:44" x14ac:dyDescent="0.25">
      <c r="P396" s="73" t="str">
        <f t="shared" si="141"/>
        <v/>
      </c>
      <c r="Q396" s="73" t="str">
        <f t="shared" si="142"/>
        <v/>
      </c>
      <c r="R396" s="74" t="str">
        <f t="shared" si="143"/>
        <v/>
      </c>
      <c r="S396" s="74" t="str">
        <f t="shared" si="144"/>
        <v/>
      </c>
      <c r="U396" s="74" t="str">
        <f t="shared" si="161"/>
        <v/>
      </c>
      <c r="V396" s="74" t="str">
        <f t="shared" si="161"/>
        <v/>
      </c>
      <c r="W396" s="74" t="str">
        <f t="shared" si="161"/>
        <v/>
      </c>
      <c r="X396" s="74" t="str">
        <f t="shared" si="161"/>
        <v/>
      </c>
      <c r="Y396" s="74" t="str">
        <f t="shared" si="161"/>
        <v/>
      </c>
      <c r="Z396" s="74" t="str">
        <f t="shared" si="145"/>
        <v/>
      </c>
      <c r="AA396" s="74">
        <f t="shared" si="146"/>
        <v>0</v>
      </c>
      <c r="AB396" s="74">
        <f t="shared" si="147"/>
        <v>0</v>
      </c>
      <c r="AC396" s="74" t="str">
        <f t="shared" si="148"/>
        <v/>
      </c>
      <c r="AE396" s="74" t="str">
        <f t="shared" si="149"/>
        <v/>
      </c>
      <c r="AF396" s="74" t="str">
        <f t="shared" si="150"/>
        <v/>
      </c>
      <c r="AG396" s="74" t="str">
        <f t="shared" si="151"/>
        <v/>
      </c>
      <c r="AH396" s="74">
        <f t="shared" si="152"/>
        <v>0</v>
      </c>
      <c r="AI396" s="74" t="str">
        <f>IF(AH396&lt;&gt;0,COUNTIF(AH$3:AH396,1),"")</f>
        <v/>
      </c>
      <c r="AJ396" s="74">
        <f t="shared" si="153"/>
        <v>0</v>
      </c>
      <c r="AK396" s="73" t="str">
        <f t="shared" si="154"/>
        <v/>
      </c>
      <c r="AL396" s="73" t="str">
        <f t="shared" si="155"/>
        <v/>
      </c>
      <c r="AM396" s="73" t="str">
        <f t="shared" si="156"/>
        <v/>
      </c>
      <c r="AN396" s="73" t="str">
        <f t="shared" si="157"/>
        <v/>
      </c>
      <c r="AP396" s="61" t="str">
        <f t="shared" si="158"/>
        <v/>
      </c>
      <c r="AQ396" s="61" t="str">
        <f t="shared" si="159"/>
        <v/>
      </c>
      <c r="AR396" s="61" t="str">
        <f t="shared" si="160"/>
        <v/>
      </c>
    </row>
    <row r="397" spans="16:44" x14ac:dyDescent="0.25">
      <c r="P397" s="73" t="str">
        <f t="shared" si="141"/>
        <v/>
      </c>
      <c r="Q397" s="73" t="str">
        <f t="shared" si="142"/>
        <v/>
      </c>
      <c r="R397" s="74" t="str">
        <f t="shared" si="143"/>
        <v/>
      </c>
      <c r="S397" s="74" t="str">
        <f t="shared" si="144"/>
        <v/>
      </c>
      <c r="U397" s="74" t="str">
        <f t="shared" si="161"/>
        <v/>
      </c>
      <c r="V397" s="74" t="str">
        <f t="shared" si="161"/>
        <v/>
      </c>
      <c r="W397" s="74" t="str">
        <f t="shared" si="161"/>
        <v/>
      </c>
      <c r="X397" s="74" t="str">
        <f t="shared" si="161"/>
        <v/>
      </c>
      <c r="Y397" s="74" t="str">
        <f t="shared" si="161"/>
        <v/>
      </c>
      <c r="Z397" s="74" t="str">
        <f t="shared" si="145"/>
        <v/>
      </c>
      <c r="AA397" s="74">
        <f t="shared" si="146"/>
        <v>0</v>
      </c>
      <c r="AB397" s="74">
        <f t="shared" si="147"/>
        <v>0</v>
      </c>
      <c r="AC397" s="74" t="str">
        <f t="shared" si="148"/>
        <v/>
      </c>
      <c r="AE397" s="74" t="str">
        <f t="shared" si="149"/>
        <v/>
      </c>
      <c r="AF397" s="74" t="str">
        <f t="shared" si="150"/>
        <v/>
      </c>
      <c r="AG397" s="74" t="str">
        <f t="shared" si="151"/>
        <v/>
      </c>
      <c r="AH397" s="74">
        <f t="shared" si="152"/>
        <v>0</v>
      </c>
      <c r="AI397" s="74" t="str">
        <f>IF(AH397&lt;&gt;0,COUNTIF(AH$3:AH397,1),"")</f>
        <v/>
      </c>
      <c r="AJ397" s="74">
        <f t="shared" si="153"/>
        <v>0</v>
      </c>
      <c r="AK397" s="73" t="str">
        <f t="shared" si="154"/>
        <v/>
      </c>
      <c r="AL397" s="73" t="str">
        <f t="shared" si="155"/>
        <v/>
      </c>
      <c r="AM397" s="73" t="str">
        <f t="shared" si="156"/>
        <v/>
      </c>
      <c r="AN397" s="73" t="str">
        <f t="shared" si="157"/>
        <v/>
      </c>
      <c r="AP397" s="61" t="str">
        <f t="shared" si="158"/>
        <v/>
      </c>
      <c r="AQ397" s="61" t="str">
        <f t="shared" si="159"/>
        <v/>
      </c>
      <c r="AR397" s="61" t="str">
        <f t="shared" si="160"/>
        <v/>
      </c>
    </row>
    <row r="398" spans="16:44" x14ac:dyDescent="0.25">
      <c r="P398" s="73" t="str">
        <f t="shared" si="141"/>
        <v/>
      </c>
      <c r="Q398" s="73" t="str">
        <f t="shared" si="142"/>
        <v/>
      </c>
      <c r="R398" s="74" t="str">
        <f t="shared" si="143"/>
        <v/>
      </c>
      <c r="S398" s="74" t="str">
        <f t="shared" si="144"/>
        <v/>
      </c>
      <c r="U398" s="74" t="str">
        <f t="shared" si="161"/>
        <v/>
      </c>
      <c r="V398" s="74" t="str">
        <f t="shared" si="161"/>
        <v/>
      </c>
      <c r="W398" s="74" t="str">
        <f t="shared" si="161"/>
        <v/>
      </c>
      <c r="X398" s="74" t="str">
        <f t="shared" si="161"/>
        <v/>
      </c>
      <c r="Y398" s="74" t="str">
        <f t="shared" si="161"/>
        <v/>
      </c>
      <c r="Z398" s="74" t="str">
        <f t="shared" si="145"/>
        <v/>
      </c>
      <c r="AA398" s="74">
        <f t="shared" si="146"/>
        <v>0</v>
      </c>
      <c r="AB398" s="74">
        <f t="shared" si="147"/>
        <v>0</v>
      </c>
      <c r="AC398" s="74" t="str">
        <f t="shared" si="148"/>
        <v/>
      </c>
      <c r="AE398" s="74" t="str">
        <f t="shared" si="149"/>
        <v/>
      </c>
      <c r="AF398" s="74" t="str">
        <f t="shared" si="150"/>
        <v/>
      </c>
      <c r="AG398" s="74" t="str">
        <f t="shared" si="151"/>
        <v/>
      </c>
      <c r="AH398" s="74">
        <f t="shared" si="152"/>
        <v>0</v>
      </c>
      <c r="AI398" s="74" t="str">
        <f>IF(AH398&lt;&gt;0,COUNTIF(AH$3:AH398,1),"")</f>
        <v/>
      </c>
      <c r="AJ398" s="74">
        <f t="shared" si="153"/>
        <v>0</v>
      </c>
      <c r="AK398" s="73" t="str">
        <f t="shared" si="154"/>
        <v/>
      </c>
      <c r="AL398" s="73" t="str">
        <f t="shared" si="155"/>
        <v/>
      </c>
      <c r="AM398" s="73" t="str">
        <f t="shared" si="156"/>
        <v/>
      </c>
      <c r="AN398" s="73" t="str">
        <f t="shared" si="157"/>
        <v/>
      </c>
      <c r="AP398" s="61" t="str">
        <f t="shared" si="158"/>
        <v/>
      </c>
      <c r="AQ398" s="61" t="str">
        <f t="shared" si="159"/>
        <v/>
      </c>
      <c r="AR398" s="61" t="str">
        <f t="shared" si="160"/>
        <v/>
      </c>
    </row>
    <row r="399" spans="16:44" x14ac:dyDescent="0.25">
      <c r="P399" s="73" t="str">
        <f t="shared" si="141"/>
        <v/>
      </c>
      <c r="Q399" s="73" t="str">
        <f t="shared" si="142"/>
        <v/>
      </c>
      <c r="R399" s="74" t="str">
        <f t="shared" si="143"/>
        <v/>
      </c>
      <c r="S399" s="74" t="str">
        <f t="shared" si="144"/>
        <v/>
      </c>
      <c r="U399" s="74" t="str">
        <f t="shared" si="161"/>
        <v/>
      </c>
      <c r="V399" s="74" t="str">
        <f t="shared" si="161"/>
        <v/>
      </c>
      <c r="W399" s="74" t="str">
        <f t="shared" si="161"/>
        <v/>
      </c>
      <c r="X399" s="74" t="str">
        <f t="shared" si="161"/>
        <v/>
      </c>
      <c r="Y399" s="74" t="str">
        <f t="shared" si="161"/>
        <v/>
      </c>
      <c r="Z399" s="74" t="str">
        <f t="shared" si="145"/>
        <v/>
      </c>
      <c r="AA399" s="74">
        <f t="shared" si="146"/>
        <v>0</v>
      </c>
      <c r="AB399" s="74">
        <f t="shared" si="147"/>
        <v>0</v>
      </c>
      <c r="AC399" s="74" t="str">
        <f t="shared" si="148"/>
        <v/>
      </c>
      <c r="AE399" s="74" t="str">
        <f t="shared" si="149"/>
        <v/>
      </c>
      <c r="AF399" s="74" t="str">
        <f t="shared" si="150"/>
        <v/>
      </c>
      <c r="AG399" s="74" t="str">
        <f t="shared" si="151"/>
        <v/>
      </c>
      <c r="AH399" s="74">
        <f t="shared" si="152"/>
        <v>0</v>
      </c>
      <c r="AI399" s="74" t="str">
        <f>IF(AH399&lt;&gt;0,COUNTIF(AH$3:AH399,1),"")</f>
        <v/>
      </c>
      <c r="AJ399" s="74">
        <f t="shared" si="153"/>
        <v>0</v>
      </c>
      <c r="AK399" s="73" t="str">
        <f t="shared" si="154"/>
        <v/>
      </c>
      <c r="AL399" s="73" t="str">
        <f t="shared" si="155"/>
        <v/>
      </c>
      <c r="AM399" s="73" t="str">
        <f t="shared" si="156"/>
        <v/>
      </c>
      <c r="AN399" s="73" t="str">
        <f t="shared" si="157"/>
        <v/>
      </c>
      <c r="AP399" s="61" t="str">
        <f t="shared" si="158"/>
        <v/>
      </c>
      <c r="AQ399" s="61" t="str">
        <f t="shared" si="159"/>
        <v/>
      </c>
      <c r="AR399" s="61" t="str">
        <f t="shared" si="160"/>
        <v/>
      </c>
    </row>
    <row r="400" spans="16:44" x14ac:dyDescent="0.25">
      <c r="P400" s="73" t="str">
        <f t="shared" si="141"/>
        <v/>
      </c>
      <c r="Q400" s="73" t="str">
        <f t="shared" si="142"/>
        <v/>
      </c>
      <c r="R400" s="74" t="str">
        <f t="shared" si="143"/>
        <v/>
      </c>
      <c r="S400" s="74" t="str">
        <f t="shared" si="144"/>
        <v/>
      </c>
      <c r="U400" s="74" t="str">
        <f t="shared" si="161"/>
        <v/>
      </c>
      <c r="V400" s="74" t="str">
        <f t="shared" si="161"/>
        <v/>
      </c>
      <c r="W400" s="74" t="str">
        <f t="shared" si="161"/>
        <v/>
      </c>
      <c r="X400" s="74" t="str">
        <f t="shared" si="161"/>
        <v/>
      </c>
      <c r="Y400" s="74" t="str">
        <f t="shared" si="161"/>
        <v/>
      </c>
      <c r="Z400" s="74" t="str">
        <f t="shared" si="145"/>
        <v/>
      </c>
      <c r="AA400" s="74">
        <f t="shared" si="146"/>
        <v>0</v>
      </c>
      <c r="AB400" s="74">
        <f t="shared" si="147"/>
        <v>0</v>
      </c>
      <c r="AC400" s="74" t="str">
        <f t="shared" si="148"/>
        <v/>
      </c>
      <c r="AE400" s="74" t="str">
        <f t="shared" si="149"/>
        <v/>
      </c>
      <c r="AF400" s="74" t="str">
        <f t="shared" si="150"/>
        <v/>
      </c>
      <c r="AG400" s="74" t="str">
        <f t="shared" si="151"/>
        <v/>
      </c>
      <c r="AH400" s="74">
        <f t="shared" si="152"/>
        <v>0</v>
      </c>
      <c r="AI400" s="74" t="str">
        <f>IF(AH400&lt;&gt;0,COUNTIF(AH$3:AH400,1),"")</f>
        <v/>
      </c>
      <c r="AJ400" s="74">
        <f t="shared" si="153"/>
        <v>0</v>
      </c>
      <c r="AK400" s="73" t="str">
        <f t="shared" si="154"/>
        <v/>
      </c>
      <c r="AL400" s="73" t="str">
        <f t="shared" si="155"/>
        <v/>
      </c>
      <c r="AM400" s="73" t="str">
        <f t="shared" si="156"/>
        <v/>
      </c>
      <c r="AN400" s="73" t="str">
        <f t="shared" si="157"/>
        <v/>
      </c>
      <c r="AP400" s="61" t="str">
        <f t="shared" si="158"/>
        <v/>
      </c>
      <c r="AQ400" s="61" t="str">
        <f t="shared" si="159"/>
        <v/>
      </c>
      <c r="AR400" s="61" t="str">
        <f t="shared" si="160"/>
        <v/>
      </c>
    </row>
    <row r="401" spans="16:44" x14ac:dyDescent="0.25">
      <c r="P401" s="73" t="str">
        <f t="shared" si="141"/>
        <v/>
      </c>
      <c r="Q401" s="73" t="str">
        <f t="shared" si="142"/>
        <v/>
      </c>
      <c r="R401" s="74" t="str">
        <f t="shared" si="143"/>
        <v/>
      </c>
      <c r="S401" s="74" t="str">
        <f t="shared" si="144"/>
        <v/>
      </c>
      <c r="U401" s="74" t="str">
        <f t="shared" si="161"/>
        <v/>
      </c>
      <c r="V401" s="74" t="str">
        <f t="shared" si="161"/>
        <v/>
      </c>
      <c r="W401" s="74" t="str">
        <f t="shared" si="161"/>
        <v/>
      </c>
      <c r="X401" s="74" t="str">
        <f t="shared" si="161"/>
        <v/>
      </c>
      <c r="Y401" s="74" t="str">
        <f t="shared" si="161"/>
        <v/>
      </c>
      <c r="Z401" s="74" t="str">
        <f t="shared" si="145"/>
        <v/>
      </c>
      <c r="AA401" s="74">
        <f t="shared" si="146"/>
        <v>0</v>
      </c>
      <c r="AB401" s="74">
        <f t="shared" si="147"/>
        <v>0</v>
      </c>
      <c r="AC401" s="74" t="str">
        <f t="shared" si="148"/>
        <v/>
      </c>
      <c r="AE401" s="74" t="str">
        <f t="shared" si="149"/>
        <v/>
      </c>
      <c r="AF401" s="74" t="str">
        <f t="shared" si="150"/>
        <v/>
      </c>
      <c r="AG401" s="74" t="str">
        <f t="shared" si="151"/>
        <v/>
      </c>
      <c r="AH401" s="74">
        <f t="shared" si="152"/>
        <v>0</v>
      </c>
      <c r="AI401" s="74" t="str">
        <f>IF(AH401&lt;&gt;0,COUNTIF(AH$3:AH401,1),"")</f>
        <v/>
      </c>
      <c r="AJ401" s="74">
        <f t="shared" si="153"/>
        <v>0</v>
      </c>
      <c r="AK401" s="73" t="str">
        <f t="shared" si="154"/>
        <v/>
      </c>
      <c r="AL401" s="73" t="str">
        <f t="shared" si="155"/>
        <v/>
      </c>
      <c r="AM401" s="73" t="str">
        <f t="shared" si="156"/>
        <v/>
      </c>
      <c r="AN401" s="73" t="str">
        <f t="shared" si="157"/>
        <v/>
      </c>
      <c r="AP401" s="61" t="str">
        <f t="shared" si="158"/>
        <v/>
      </c>
      <c r="AQ401" s="61" t="str">
        <f t="shared" si="159"/>
        <v/>
      </c>
      <c r="AR401" s="61" t="str">
        <f t="shared" si="160"/>
        <v/>
      </c>
    </row>
    <row r="402" spans="16:44" x14ac:dyDescent="0.25">
      <c r="P402" s="73" t="str">
        <f t="shared" si="141"/>
        <v/>
      </c>
      <c r="Q402" s="73" t="str">
        <f t="shared" si="142"/>
        <v/>
      </c>
      <c r="R402" s="74" t="str">
        <f t="shared" si="143"/>
        <v/>
      </c>
      <c r="S402" s="74" t="str">
        <f t="shared" si="144"/>
        <v/>
      </c>
      <c r="U402" s="74" t="str">
        <f t="shared" si="161"/>
        <v/>
      </c>
      <c r="V402" s="74" t="str">
        <f t="shared" si="161"/>
        <v/>
      </c>
      <c r="W402" s="74" t="str">
        <f t="shared" si="161"/>
        <v/>
      </c>
      <c r="X402" s="74" t="str">
        <f t="shared" si="161"/>
        <v/>
      </c>
      <c r="Y402" s="74" t="str">
        <f t="shared" si="161"/>
        <v/>
      </c>
      <c r="Z402" s="74" t="str">
        <f t="shared" si="145"/>
        <v/>
      </c>
      <c r="AA402" s="74">
        <f t="shared" si="146"/>
        <v>0</v>
      </c>
      <c r="AB402" s="74">
        <f t="shared" si="147"/>
        <v>0</v>
      </c>
      <c r="AC402" s="74" t="str">
        <f t="shared" si="148"/>
        <v/>
      </c>
      <c r="AE402" s="74" t="str">
        <f t="shared" si="149"/>
        <v/>
      </c>
      <c r="AF402" s="74" t="str">
        <f t="shared" si="150"/>
        <v/>
      </c>
      <c r="AG402" s="74" t="str">
        <f t="shared" si="151"/>
        <v/>
      </c>
      <c r="AH402" s="74">
        <f t="shared" si="152"/>
        <v>0</v>
      </c>
      <c r="AI402" s="74" t="str">
        <f>IF(AH402&lt;&gt;0,COUNTIF(AH$3:AH402,1),"")</f>
        <v/>
      </c>
      <c r="AJ402" s="74">
        <f t="shared" si="153"/>
        <v>0</v>
      </c>
      <c r="AK402" s="73" t="str">
        <f t="shared" si="154"/>
        <v/>
      </c>
      <c r="AL402" s="73" t="str">
        <f t="shared" si="155"/>
        <v/>
      </c>
      <c r="AM402" s="73" t="str">
        <f t="shared" si="156"/>
        <v/>
      </c>
      <c r="AN402" s="73" t="str">
        <f t="shared" si="157"/>
        <v/>
      </c>
      <c r="AP402" s="61" t="str">
        <f t="shared" si="158"/>
        <v/>
      </c>
      <c r="AQ402" s="61" t="str">
        <f t="shared" si="159"/>
        <v/>
      </c>
      <c r="AR402" s="61" t="str">
        <f t="shared" si="160"/>
        <v/>
      </c>
    </row>
    <row r="403" spans="16:44" x14ac:dyDescent="0.25">
      <c r="P403" s="73" t="str">
        <f t="shared" si="141"/>
        <v/>
      </c>
      <c r="Q403" s="73" t="str">
        <f t="shared" si="142"/>
        <v/>
      </c>
      <c r="R403" s="74" t="str">
        <f t="shared" si="143"/>
        <v/>
      </c>
      <c r="S403" s="74" t="str">
        <f t="shared" si="144"/>
        <v/>
      </c>
      <c r="U403" s="74" t="str">
        <f t="shared" si="161"/>
        <v/>
      </c>
      <c r="V403" s="74" t="str">
        <f t="shared" si="161"/>
        <v/>
      </c>
      <c r="W403" s="74" t="str">
        <f t="shared" si="161"/>
        <v/>
      </c>
      <c r="X403" s="74" t="str">
        <f t="shared" si="161"/>
        <v/>
      </c>
      <c r="Y403" s="74" t="str">
        <f t="shared" si="161"/>
        <v/>
      </c>
      <c r="Z403" s="74" t="str">
        <f t="shared" si="145"/>
        <v/>
      </c>
      <c r="AA403" s="74">
        <f t="shared" si="146"/>
        <v>0</v>
      </c>
      <c r="AB403" s="74">
        <f t="shared" si="147"/>
        <v>0</v>
      </c>
      <c r="AC403" s="74" t="str">
        <f t="shared" si="148"/>
        <v/>
      </c>
      <c r="AE403" s="74" t="str">
        <f t="shared" si="149"/>
        <v/>
      </c>
      <c r="AF403" s="74" t="str">
        <f t="shared" si="150"/>
        <v/>
      </c>
      <c r="AG403" s="74" t="str">
        <f t="shared" si="151"/>
        <v/>
      </c>
      <c r="AH403" s="74">
        <f t="shared" si="152"/>
        <v>0</v>
      </c>
      <c r="AI403" s="74" t="str">
        <f>IF(AH403&lt;&gt;0,COUNTIF(AH$3:AH403,1),"")</f>
        <v/>
      </c>
      <c r="AJ403" s="74">
        <f t="shared" si="153"/>
        <v>0</v>
      </c>
      <c r="AK403" s="73" t="str">
        <f t="shared" si="154"/>
        <v/>
      </c>
      <c r="AL403" s="73" t="str">
        <f t="shared" si="155"/>
        <v/>
      </c>
      <c r="AM403" s="73" t="str">
        <f t="shared" si="156"/>
        <v/>
      </c>
      <c r="AN403" s="73" t="str">
        <f t="shared" si="157"/>
        <v/>
      </c>
      <c r="AP403" s="61" t="str">
        <f t="shared" si="158"/>
        <v/>
      </c>
      <c r="AQ403" s="61" t="str">
        <f t="shared" si="159"/>
        <v/>
      </c>
      <c r="AR403" s="61" t="str">
        <f t="shared" si="160"/>
        <v/>
      </c>
    </row>
    <row r="404" spans="16:44" x14ac:dyDescent="0.25">
      <c r="P404" s="73" t="str">
        <f t="shared" si="141"/>
        <v/>
      </c>
      <c r="Q404" s="73" t="str">
        <f t="shared" si="142"/>
        <v/>
      </c>
      <c r="R404" s="74" t="str">
        <f t="shared" si="143"/>
        <v/>
      </c>
      <c r="S404" s="74" t="str">
        <f t="shared" si="144"/>
        <v/>
      </c>
      <c r="U404" s="74" t="str">
        <f t="shared" si="161"/>
        <v/>
      </c>
      <c r="V404" s="74" t="str">
        <f t="shared" si="161"/>
        <v/>
      </c>
      <c r="W404" s="74" t="str">
        <f t="shared" si="161"/>
        <v/>
      </c>
      <c r="X404" s="74" t="str">
        <f t="shared" si="161"/>
        <v/>
      </c>
      <c r="Y404" s="74" t="str">
        <f t="shared" si="161"/>
        <v/>
      </c>
      <c r="Z404" s="74" t="str">
        <f t="shared" si="145"/>
        <v/>
      </c>
      <c r="AA404" s="74">
        <f t="shared" si="146"/>
        <v>0</v>
      </c>
      <c r="AB404" s="74">
        <f t="shared" si="147"/>
        <v>0</v>
      </c>
      <c r="AC404" s="74" t="str">
        <f t="shared" si="148"/>
        <v/>
      </c>
      <c r="AE404" s="74" t="str">
        <f t="shared" si="149"/>
        <v/>
      </c>
      <c r="AF404" s="74" t="str">
        <f t="shared" si="150"/>
        <v/>
      </c>
      <c r="AG404" s="74" t="str">
        <f t="shared" si="151"/>
        <v/>
      </c>
      <c r="AH404" s="74">
        <f t="shared" si="152"/>
        <v>0</v>
      </c>
      <c r="AI404" s="74" t="str">
        <f>IF(AH404&lt;&gt;0,COUNTIF(AH$3:AH404,1),"")</f>
        <v/>
      </c>
      <c r="AJ404" s="74">
        <f t="shared" si="153"/>
        <v>0</v>
      </c>
      <c r="AK404" s="73" t="str">
        <f t="shared" si="154"/>
        <v/>
      </c>
      <c r="AL404" s="73" t="str">
        <f t="shared" si="155"/>
        <v/>
      </c>
      <c r="AM404" s="73" t="str">
        <f t="shared" si="156"/>
        <v/>
      </c>
      <c r="AN404" s="73" t="str">
        <f t="shared" si="157"/>
        <v/>
      </c>
      <c r="AP404" s="61" t="str">
        <f t="shared" si="158"/>
        <v/>
      </c>
      <c r="AQ404" s="61" t="str">
        <f t="shared" si="159"/>
        <v/>
      </c>
      <c r="AR404" s="61" t="str">
        <f t="shared" si="160"/>
        <v/>
      </c>
    </row>
    <row r="405" spans="16:44" x14ac:dyDescent="0.25">
      <c r="P405" s="73" t="str">
        <f t="shared" si="141"/>
        <v/>
      </c>
      <c r="Q405" s="73" t="str">
        <f t="shared" si="142"/>
        <v/>
      </c>
      <c r="R405" s="74" t="str">
        <f t="shared" si="143"/>
        <v/>
      </c>
      <c r="S405" s="74" t="str">
        <f t="shared" si="144"/>
        <v/>
      </c>
      <c r="U405" s="74" t="str">
        <f t="shared" si="161"/>
        <v/>
      </c>
      <c r="V405" s="74" t="str">
        <f t="shared" si="161"/>
        <v/>
      </c>
      <c r="W405" s="74" t="str">
        <f t="shared" si="161"/>
        <v/>
      </c>
      <c r="X405" s="74" t="str">
        <f t="shared" si="161"/>
        <v/>
      </c>
      <c r="Y405" s="74" t="str">
        <f t="shared" si="161"/>
        <v/>
      </c>
      <c r="Z405" s="74" t="str">
        <f t="shared" si="145"/>
        <v/>
      </c>
      <c r="AA405" s="74">
        <f t="shared" si="146"/>
        <v>0</v>
      </c>
      <c r="AB405" s="74">
        <f t="shared" si="147"/>
        <v>0</v>
      </c>
      <c r="AC405" s="74" t="str">
        <f t="shared" si="148"/>
        <v/>
      </c>
      <c r="AE405" s="74" t="str">
        <f t="shared" si="149"/>
        <v/>
      </c>
      <c r="AF405" s="74" t="str">
        <f t="shared" si="150"/>
        <v/>
      </c>
      <c r="AG405" s="74" t="str">
        <f t="shared" si="151"/>
        <v/>
      </c>
      <c r="AH405" s="74">
        <f t="shared" si="152"/>
        <v>0</v>
      </c>
      <c r="AI405" s="74" t="str">
        <f>IF(AH405&lt;&gt;0,COUNTIF(AH$3:AH405,1),"")</f>
        <v/>
      </c>
      <c r="AJ405" s="74">
        <f t="shared" si="153"/>
        <v>0</v>
      </c>
      <c r="AK405" s="73" t="str">
        <f t="shared" si="154"/>
        <v/>
      </c>
      <c r="AL405" s="73" t="str">
        <f t="shared" si="155"/>
        <v/>
      </c>
      <c r="AM405" s="73" t="str">
        <f t="shared" si="156"/>
        <v/>
      </c>
      <c r="AN405" s="73" t="str">
        <f t="shared" si="157"/>
        <v/>
      </c>
      <c r="AP405" s="61" t="str">
        <f t="shared" si="158"/>
        <v/>
      </c>
      <c r="AQ405" s="61" t="str">
        <f t="shared" si="159"/>
        <v/>
      </c>
      <c r="AR405" s="61" t="str">
        <f t="shared" si="160"/>
        <v/>
      </c>
    </row>
    <row r="406" spans="16:44" x14ac:dyDescent="0.25">
      <c r="P406" s="73" t="str">
        <f t="shared" si="141"/>
        <v/>
      </c>
      <c r="Q406" s="73" t="str">
        <f t="shared" si="142"/>
        <v/>
      </c>
      <c r="R406" s="74" t="str">
        <f t="shared" si="143"/>
        <v/>
      </c>
      <c r="S406" s="74" t="str">
        <f t="shared" si="144"/>
        <v/>
      </c>
      <c r="U406" s="74" t="str">
        <f t="shared" si="161"/>
        <v/>
      </c>
      <c r="V406" s="74" t="str">
        <f t="shared" si="161"/>
        <v/>
      </c>
      <c r="W406" s="74" t="str">
        <f t="shared" si="161"/>
        <v/>
      </c>
      <c r="X406" s="74" t="str">
        <f t="shared" si="161"/>
        <v/>
      </c>
      <c r="Y406" s="74" t="str">
        <f t="shared" si="161"/>
        <v/>
      </c>
      <c r="Z406" s="74" t="str">
        <f t="shared" si="145"/>
        <v/>
      </c>
      <c r="AA406" s="74">
        <f t="shared" si="146"/>
        <v>0</v>
      </c>
      <c r="AB406" s="74">
        <f t="shared" si="147"/>
        <v>0</v>
      </c>
      <c r="AC406" s="74" t="str">
        <f t="shared" si="148"/>
        <v/>
      </c>
      <c r="AE406" s="74" t="str">
        <f t="shared" si="149"/>
        <v/>
      </c>
      <c r="AF406" s="74" t="str">
        <f t="shared" si="150"/>
        <v/>
      </c>
      <c r="AG406" s="74" t="str">
        <f t="shared" si="151"/>
        <v/>
      </c>
      <c r="AH406" s="74">
        <f t="shared" si="152"/>
        <v>0</v>
      </c>
      <c r="AI406" s="74" t="str">
        <f>IF(AH406&lt;&gt;0,COUNTIF(AH$3:AH406,1),"")</f>
        <v/>
      </c>
      <c r="AJ406" s="74">
        <f t="shared" si="153"/>
        <v>0</v>
      </c>
      <c r="AK406" s="73" t="str">
        <f t="shared" si="154"/>
        <v/>
      </c>
      <c r="AL406" s="73" t="str">
        <f t="shared" si="155"/>
        <v/>
      </c>
      <c r="AM406" s="73" t="str">
        <f t="shared" si="156"/>
        <v/>
      </c>
      <c r="AN406" s="73" t="str">
        <f t="shared" si="157"/>
        <v/>
      </c>
      <c r="AP406" s="61" t="str">
        <f t="shared" si="158"/>
        <v/>
      </c>
      <c r="AQ406" s="61" t="str">
        <f t="shared" si="159"/>
        <v/>
      </c>
      <c r="AR406" s="61" t="str">
        <f t="shared" si="160"/>
        <v/>
      </c>
    </row>
    <row r="407" spans="16:44" x14ac:dyDescent="0.25">
      <c r="P407" s="73" t="str">
        <f t="shared" si="141"/>
        <v/>
      </c>
      <c r="Q407" s="73" t="str">
        <f t="shared" si="142"/>
        <v/>
      </c>
      <c r="R407" s="74" t="str">
        <f t="shared" si="143"/>
        <v/>
      </c>
      <c r="S407" s="74" t="str">
        <f t="shared" si="144"/>
        <v/>
      </c>
      <c r="U407" s="74" t="str">
        <f t="shared" si="161"/>
        <v/>
      </c>
      <c r="V407" s="74" t="str">
        <f t="shared" si="161"/>
        <v/>
      </c>
      <c r="W407" s="74" t="str">
        <f t="shared" si="161"/>
        <v/>
      </c>
      <c r="X407" s="74" t="str">
        <f t="shared" si="161"/>
        <v/>
      </c>
      <c r="Y407" s="74" t="str">
        <f t="shared" si="161"/>
        <v/>
      </c>
      <c r="Z407" s="74" t="str">
        <f t="shared" si="145"/>
        <v/>
      </c>
      <c r="AA407" s="74">
        <f t="shared" si="146"/>
        <v>0</v>
      </c>
      <c r="AB407" s="74">
        <f t="shared" si="147"/>
        <v>0</v>
      </c>
      <c r="AC407" s="74" t="str">
        <f t="shared" si="148"/>
        <v/>
      </c>
      <c r="AE407" s="74" t="str">
        <f t="shared" si="149"/>
        <v/>
      </c>
      <c r="AF407" s="74" t="str">
        <f t="shared" si="150"/>
        <v/>
      </c>
      <c r="AG407" s="74" t="str">
        <f t="shared" si="151"/>
        <v/>
      </c>
      <c r="AH407" s="74">
        <f t="shared" si="152"/>
        <v>0</v>
      </c>
      <c r="AI407" s="74" t="str">
        <f>IF(AH407&lt;&gt;0,COUNTIF(AH$3:AH407,1),"")</f>
        <v/>
      </c>
      <c r="AJ407" s="74">
        <f t="shared" si="153"/>
        <v>0</v>
      </c>
      <c r="AK407" s="73" t="str">
        <f t="shared" si="154"/>
        <v/>
      </c>
      <c r="AL407" s="73" t="str">
        <f t="shared" si="155"/>
        <v/>
      </c>
      <c r="AM407" s="73" t="str">
        <f t="shared" si="156"/>
        <v/>
      </c>
      <c r="AN407" s="73" t="str">
        <f t="shared" si="157"/>
        <v/>
      </c>
      <c r="AP407" s="61" t="str">
        <f t="shared" si="158"/>
        <v/>
      </c>
      <c r="AQ407" s="61" t="str">
        <f t="shared" si="159"/>
        <v/>
      </c>
      <c r="AR407" s="61" t="str">
        <f t="shared" si="160"/>
        <v/>
      </c>
    </row>
    <row r="408" spans="16:44" x14ac:dyDescent="0.25">
      <c r="P408" s="73" t="str">
        <f t="shared" si="141"/>
        <v/>
      </c>
      <c r="Q408" s="73" t="str">
        <f t="shared" si="142"/>
        <v/>
      </c>
      <c r="R408" s="74" t="str">
        <f t="shared" si="143"/>
        <v/>
      </c>
      <c r="S408" s="74" t="str">
        <f t="shared" si="144"/>
        <v/>
      </c>
      <c r="U408" s="74" t="str">
        <f t="shared" si="161"/>
        <v/>
      </c>
      <c r="V408" s="74" t="str">
        <f t="shared" si="161"/>
        <v/>
      </c>
      <c r="W408" s="74" t="str">
        <f t="shared" si="161"/>
        <v/>
      </c>
      <c r="X408" s="74" t="str">
        <f t="shared" si="161"/>
        <v/>
      </c>
      <c r="Y408" s="74" t="str">
        <f t="shared" si="161"/>
        <v/>
      </c>
      <c r="Z408" s="74" t="str">
        <f t="shared" si="145"/>
        <v/>
      </c>
      <c r="AA408" s="74">
        <f t="shared" si="146"/>
        <v>0</v>
      </c>
      <c r="AB408" s="74">
        <f t="shared" si="147"/>
        <v>0</v>
      </c>
      <c r="AC408" s="74" t="str">
        <f t="shared" si="148"/>
        <v/>
      </c>
      <c r="AE408" s="74" t="str">
        <f t="shared" si="149"/>
        <v/>
      </c>
      <c r="AF408" s="74" t="str">
        <f t="shared" si="150"/>
        <v/>
      </c>
      <c r="AG408" s="74" t="str">
        <f t="shared" si="151"/>
        <v/>
      </c>
      <c r="AH408" s="74">
        <f t="shared" si="152"/>
        <v>0</v>
      </c>
      <c r="AI408" s="74" t="str">
        <f>IF(AH408&lt;&gt;0,COUNTIF(AH$3:AH408,1),"")</f>
        <v/>
      </c>
      <c r="AJ408" s="74">
        <f t="shared" si="153"/>
        <v>0</v>
      </c>
      <c r="AK408" s="73" t="str">
        <f t="shared" si="154"/>
        <v/>
      </c>
      <c r="AL408" s="73" t="str">
        <f t="shared" si="155"/>
        <v/>
      </c>
      <c r="AM408" s="73" t="str">
        <f t="shared" si="156"/>
        <v/>
      </c>
      <c r="AN408" s="73" t="str">
        <f t="shared" si="157"/>
        <v/>
      </c>
      <c r="AP408" s="61" t="str">
        <f t="shared" si="158"/>
        <v/>
      </c>
      <c r="AQ408" s="61" t="str">
        <f t="shared" si="159"/>
        <v/>
      </c>
      <c r="AR408" s="61" t="str">
        <f t="shared" si="160"/>
        <v/>
      </c>
    </row>
    <row r="409" spans="16:44" x14ac:dyDescent="0.25">
      <c r="P409" s="73" t="str">
        <f t="shared" si="141"/>
        <v/>
      </c>
      <c r="Q409" s="73" t="str">
        <f t="shared" si="142"/>
        <v/>
      </c>
      <c r="R409" s="74" t="str">
        <f t="shared" si="143"/>
        <v/>
      </c>
      <c r="S409" s="74" t="str">
        <f t="shared" si="144"/>
        <v/>
      </c>
      <c r="U409" s="74" t="str">
        <f t="shared" si="161"/>
        <v/>
      </c>
      <c r="V409" s="74" t="str">
        <f t="shared" si="161"/>
        <v/>
      </c>
      <c r="W409" s="74" t="str">
        <f t="shared" si="161"/>
        <v/>
      </c>
      <c r="X409" s="74" t="str">
        <f t="shared" si="161"/>
        <v/>
      </c>
      <c r="Y409" s="74" t="str">
        <f t="shared" si="161"/>
        <v/>
      </c>
      <c r="Z409" s="74" t="str">
        <f t="shared" si="145"/>
        <v/>
      </c>
      <c r="AA409" s="74">
        <f t="shared" si="146"/>
        <v>0</v>
      </c>
      <c r="AB409" s="74">
        <f t="shared" si="147"/>
        <v>0</v>
      </c>
      <c r="AC409" s="74" t="str">
        <f t="shared" si="148"/>
        <v/>
      </c>
      <c r="AE409" s="74" t="str">
        <f t="shared" si="149"/>
        <v/>
      </c>
      <c r="AF409" s="74" t="str">
        <f t="shared" si="150"/>
        <v/>
      </c>
      <c r="AG409" s="74" t="str">
        <f t="shared" si="151"/>
        <v/>
      </c>
      <c r="AH409" s="74">
        <f t="shared" si="152"/>
        <v>0</v>
      </c>
      <c r="AI409" s="74" t="str">
        <f>IF(AH409&lt;&gt;0,COUNTIF(AH$3:AH409,1),"")</f>
        <v/>
      </c>
      <c r="AJ409" s="74">
        <f t="shared" si="153"/>
        <v>0</v>
      </c>
      <c r="AK409" s="73" t="str">
        <f t="shared" si="154"/>
        <v/>
      </c>
      <c r="AL409" s="73" t="str">
        <f t="shared" si="155"/>
        <v/>
      </c>
      <c r="AM409" s="73" t="str">
        <f t="shared" si="156"/>
        <v/>
      </c>
      <c r="AN409" s="73" t="str">
        <f t="shared" si="157"/>
        <v/>
      </c>
      <c r="AP409" s="61" t="str">
        <f t="shared" si="158"/>
        <v/>
      </c>
      <c r="AQ409" s="61" t="str">
        <f t="shared" si="159"/>
        <v/>
      </c>
      <c r="AR409" s="61" t="str">
        <f t="shared" si="160"/>
        <v/>
      </c>
    </row>
    <row r="410" spans="16:44" x14ac:dyDescent="0.25">
      <c r="P410" s="73" t="str">
        <f t="shared" si="141"/>
        <v/>
      </c>
      <c r="Q410" s="73" t="str">
        <f t="shared" si="142"/>
        <v/>
      </c>
      <c r="R410" s="74" t="str">
        <f t="shared" si="143"/>
        <v/>
      </c>
      <c r="S410" s="74" t="str">
        <f t="shared" si="144"/>
        <v/>
      </c>
      <c r="U410" s="74" t="str">
        <f t="shared" si="161"/>
        <v/>
      </c>
      <c r="V410" s="74" t="str">
        <f t="shared" si="161"/>
        <v/>
      </c>
      <c r="W410" s="74" t="str">
        <f t="shared" si="161"/>
        <v/>
      </c>
      <c r="X410" s="74" t="str">
        <f t="shared" si="161"/>
        <v/>
      </c>
      <c r="Y410" s="74" t="str">
        <f t="shared" si="161"/>
        <v/>
      </c>
      <c r="Z410" s="74" t="str">
        <f t="shared" si="145"/>
        <v/>
      </c>
      <c r="AA410" s="74">
        <f t="shared" si="146"/>
        <v>0</v>
      </c>
      <c r="AB410" s="74">
        <f t="shared" si="147"/>
        <v>0</v>
      </c>
      <c r="AC410" s="74" t="str">
        <f t="shared" si="148"/>
        <v/>
      </c>
      <c r="AE410" s="74" t="str">
        <f t="shared" si="149"/>
        <v/>
      </c>
      <c r="AF410" s="74" t="str">
        <f t="shared" si="150"/>
        <v/>
      </c>
      <c r="AG410" s="74" t="str">
        <f t="shared" si="151"/>
        <v/>
      </c>
      <c r="AH410" s="74">
        <f t="shared" si="152"/>
        <v>0</v>
      </c>
      <c r="AI410" s="74" t="str">
        <f>IF(AH410&lt;&gt;0,COUNTIF(AH$3:AH410,1),"")</f>
        <v/>
      </c>
      <c r="AJ410" s="74">
        <f t="shared" si="153"/>
        <v>0</v>
      </c>
      <c r="AK410" s="73" t="str">
        <f t="shared" si="154"/>
        <v/>
      </c>
      <c r="AL410" s="73" t="str">
        <f t="shared" si="155"/>
        <v/>
      </c>
      <c r="AM410" s="73" t="str">
        <f t="shared" si="156"/>
        <v/>
      </c>
      <c r="AN410" s="73" t="str">
        <f t="shared" si="157"/>
        <v/>
      </c>
      <c r="AP410" s="61" t="str">
        <f t="shared" si="158"/>
        <v/>
      </c>
      <c r="AQ410" s="61" t="str">
        <f t="shared" si="159"/>
        <v/>
      </c>
      <c r="AR410" s="61" t="str">
        <f t="shared" si="160"/>
        <v/>
      </c>
    </row>
    <row r="411" spans="16:44" x14ac:dyDescent="0.25">
      <c r="P411" s="73" t="str">
        <f t="shared" si="141"/>
        <v/>
      </c>
      <c r="Q411" s="73" t="str">
        <f t="shared" si="142"/>
        <v/>
      </c>
      <c r="R411" s="74" t="str">
        <f t="shared" si="143"/>
        <v/>
      </c>
      <c r="S411" s="74" t="str">
        <f t="shared" si="144"/>
        <v/>
      </c>
      <c r="U411" s="74" t="str">
        <f t="shared" si="161"/>
        <v/>
      </c>
      <c r="V411" s="74" t="str">
        <f t="shared" si="161"/>
        <v/>
      </c>
      <c r="W411" s="74" t="str">
        <f t="shared" si="161"/>
        <v/>
      </c>
      <c r="X411" s="74" t="str">
        <f t="shared" si="161"/>
        <v/>
      </c>
      <c r="Y411" s="74" t="str">
        <f t="shared" si="161"/>
        <v/>
      </c>
      <c r="Z411" s="74" t="str">
        <f t="shared" si="145"/>
        <v/>
      </c>
      <c r="AA411" s="74">
        <f t="shared" si="146"/>
        <v>0</v>
      </c>
      <c r="AB411" s="74">
        <f t="shared" si="147"/>
        <v>0</v>
      </c>
      <c r="AC411" s="74" t="str">
        <f t="shared" si="148"/>
        <v/>
      </c>
      <c r="AE411" s="74" t="str">
        <f t="shared" si="149"/>
        <v/>
      </c>
      <c r="AF411" s="74" t="str">
        <f t="shared" si="150"/>
        <v/>
      </c>
      <c r="AG411" s="74" t="str">
        <f t="shared" si="151"/>
        <v/>
      </c>
      <c r="AH411" s="74">
        <f t="shared" si="152"/>
        <v>0</v>
      </c>
      <c r="AI411" s="74" t="str">
        <f>IF(AH411&lt;&gt;0,COUNTIF(AH$3:AH411,1),"")</f>
        <v/>
      </c>
      <c r="AJ411" s="74">
        <f t="shared" si="153"/>
        <v>0</v>
      </c>
      <c r="AK411" s="73" t="str">
        <f t="shared" si="154"/>
        <v/>
      </c>
      <c r="AL411" s="73" t="str">
        <f t="shared" si="155"/>
        <v/>
      </c>
      <c r="AM411" s="73" t="str">
        <f t="shared" si="156"/>
        <v/>
      </c>
      <c r="AN411" s="73" t="str">
        <f t="shared" si="157"/>
        <v/>
      </c>
      <c r="AP411" s="61" t="str">
        <f t="shared" si="158"/>
        <v/>
      </c>
      <c r="AQ411" s="61" t="str">
        <f t="shared" si="159"/>
        <v/>
      </c>
      <c r="AR411" s="61" t="str">
        <f t="shared" si="160"/>
        <v/>
      </c>
    </row>
    <row r="412" spans="16:44" x14ac:dyDescent="0.25">
      <c r="P412" s="73" t="str">
        <f t="shared" si="141"/>
        <v/>
      </c>
      <c r="Q412" s="73" t="str">
        <f t="shared" si="142"/>
        <v/>
      </c>
      <c r="R412" s="74" t="str">
        <f t="shared" si="143"/>
        <v/>
      </c>
      <c r="S412" s="74" t="str">
        <f t="shared" si="144"/>
        <v/>
      </c>
      <c r="U412" s="74" t="str">
        <f t="shared" si="161"/>
        <v/>
      </c>
      <c r="V412" s="74" t="str">
        <f t="shared" si="161"/>
        <v/>
      </c>
      <c r="W412" s="74" t="str">
        <f t="shared" si="161"/>
        <v/>
      </c>
      <c r="X412" s="74" t="str">
        <f t="shared" si="161"/>
        <v/>
      </c>
      <c r="Y412" s="74" t="str">
        <f t="shared" si="161"/>
        <v/>
      </c>
      <c r="Z412" s="74" t="str">
        <f t="shared" si="145"/>
        <v/>
      </c>
      <c r="AA412" s="74">
        <f t="shared" si="146"/>
        <v>0</v>
      </c>
      <c r="AB412" s="74">
        <f t="shared" si="147"/>
        <v>0</v>
      </c>
      <c r="AC412" s="74" t="str">
        <f t="shared" si="148"/>
        <v/>
      </c>
      <c r="AE412" s="74" t="str">
        <f t="shared" si="149"/>
        <v/>
      </c>
      <c r="AF412" s="74" t="str">
        <f t="shared" si="150"/>
        <v/>
      </c>
      <c r="AG412" s="74" t="str">
        <f t="shared" si="151"/>
        <v/>
      </c>
      <c r="AH412" s="74">
        <f t="shared" si="152"/>
        <v>0</v>
      </c>
      <c r="AI412" s="74" t="str">
        <f>IF(AH412&lt;&gt;0,COUNTIF(AH$3:AH412,1),"")</f>
        <v/>
      </c>
      <c r="AJ412" s="74">
        <f t="shared" si="153"/>
        <v>0</v>
      </c>
      <c r="AK412" s="73" t="str">
        <f t="shared" si="154"/>
        <v/>
      </c>
      <c r="AL412" s="73" t="str">
        <f t="shared" si="155"/>
        <v/>
      </c>
      <c r="AM412" s="73" t="str">
        <f t="shared" si="156"/>
        <v/>
      </c>
      <c r="AN412" s="73" t="str">
        <f t="shared" si="157"/>
        <v/>
      </c>
      <c r="AP412" s="61" t="str">
        <f t="shared" si="158"/>
        <v/>
      </c>
      <c r="AQ412" s="61" t="str">
        <f t="shared" si="159"/>
        <v/>
      </c>
      <c r="AR412" s="61" t="str">
        <f t="shared" si="160"/>
        <v/>
      </c>
    </row>
    <row r="413" spans="16:44" x14ac:dyDescent="0.25">
      <c r="P413" s="73" t="str">
        <f t="shared" si="141"/>
        <v/>
      </c>
      <c r="Q413" s="73" t="str">
        <f t="shared" si="142"/>
        <v/>
      </c>
      <c r="R413" s="74" t="str">
        <f t="shared" si="143"/>
        <v/>
      </c>
      <c r="S413" s="74" t="str">
        <f t="shared" si="144"/>
        <v/>
      </c>
      <c r="U413" s="74" t="str">
        <f t="shared" si="161"/>
        <v/>
      </c>
      <c r="V413" s="74" t="str">
        <f t="shared" si="161"/>
        <v/>
      </c>
      <c r="W413" s="74" t="str">
        <f t="shared" si="161"/>
        <v/>
      </c>
      <c r="X413" s="74" t="str">
        <f t="shared" si="161"/>
        <v/>
      </c>
      <c r="Y413" s="74" t="str">
        <f t="shared" si="161"/>
        <v/>
      </c>
      <c r="Z413" s="74" t="str">
        <f t="shared" si="145"/>
        <v/>
      </c>
      <c r="AA413" s="74">
        <f t="shared" si="146"/>
        <v>0</v>
      </c>
      <c r="AB413" s="74">
        <f t="shared" si="147"/>
        <v>0</v>
      </c>
      <c r="AC413" s="74" t="str">
        <f t="shared" si="148"/>
        <v/>
      </c>
      <c r="AE413" s="74" t="str">
        <f t="shared" si="149"/>
        <v/>
      </c>
      <c r="AF413" s="74" t="str">
        <f t="shared" si="150"/>
        <v/>
      </c>
      <c r="AG413" s="74" t="str">
        <f t="shared" si="151"/>
        <v/>
      </c>
      <c r="AH413" s="74">
        <f t="shared" si="152"/>
        <v>0</v>
      </c>
      <c r="AI413" s="74" t="str">
        <f>IF(AH413&lt;&gt;0,COUNTIF(AH$3:AH413,1),"")</f>
        <v/>
      </c>
      <c r="AJ413" s="74">
        <f t="shared" si="153"/>
        <v>0</v>
      </c>
      <c r="AK413" s="73" t="str">
        <f t="shared" si="154"/>
        <v/>
      </c>
      <c r="AL413" s="73" t="str">
        <f t="shared" si="155"/>
        <v/>
      </c>
      <c r="AM413" s="73" t="str">
        <f t="shared" si="156"/>
        <v/>
      </c>
      <c r="AN413" s="73" t="str">
        <f t="shared" si="157"/>
        <v/>
      </c>
      <c r="AP413" s="61" t="str">
        <f t="shared" si="158"/>
        <v/>
      </c>
      <c r="AQ413" s="61" t="str">
        <f t="shared" si="159"/>
        <v/>
      </c>
      <c r="AR413" s="61" t="str">
        <f t="shared" si="160"/>
        <v/>
      </c>
    </row>
    <row r="414" spans="16:44" x14ac:dyDescent="0.25">
      <c r="P414" s="73" t="str">
        <f t="shared" si="141"/>
        <v/>
      </c>
      <c r="Q414" s="73" t="str">
        <f t="shared" si="142"/>
        <v/>
      </c>
      <c r="R414" s="74" t="str">
        <f t="shared" si="143"/>
        <v/>
      </c>
      <c r="S414" s="74" t="str">
        <f t="shared" si="144"/>
        <v/>
      </c>
      <c r="U414" s="74" t="str">
        <f t="shared" si="161"/>
        <v/>
      </c>
      <c r="V414" s="74" t="str">
        <f t="shared" si="161"/>
        <v/>
      </c>
      <c r="W414" s="74" t="str">
        <f t="shared" si="161"/>
        <v/>
      </c>
      <c r="X414" s="74" t="str">
        <f t="shared" si="161"/>
        <v/>
      </c>
      <c r="Y414" s="74" t="str">
        <f t="shared" si="161"/>
        <v/>
      </c>
      <c r="Z414" s="74" t="str">
        <f t="shared" si="145"/>
        <v/>
      </c>
      <c r="AA414" s="74">
        <f t="shared" si="146"/>
        <v>0</v>
      </c>
      <c r="AB414" s="74">
        <f t="shared" si="147"/>
        <v>0</v>
      </c>
      <c r="AC414" s="74" t="str">
        <f t="shared" si="148"/>
        <v/>
      </c>
      <c r="AE414" s="74" t="str">
        <f t="shared" si="149"/>
        <v/>
      </c>
      <c r="AF414" s="74" t="str">
        <f t="shared" si="150"/>
        <v/>
      </c>
      <c r="AG414" s="74" t="str">
        <f t="shared" si="151"/>
        <v/>
      </c>
      <c r="AH414" s="74">
        <f t="shared" si="152"/>
        <v>0</v>
      </c>
      <c r="AI414" s="74" t="str">
        <f>IF(AH414&lt;&gt;0,COUNTIF(AH$3:AH414,1),"")</f>
        <v/>
      </c>
      <c r="AJ414" s="74">
        <f t="shared" si="153"/>
        <v>0</v>
      </c>
      <c r="AK414" s="73" t="str">
        <f t="shared" si="154"/>
        <v/>
      </c>
      <c r="AL414" s="73" t="str">
        <f t="shared" si="155"/>
        <v/>
      </c>
      <c r="AM414" s="73" t="str">
        <f t="shared" si="156"/>
        <v/>
      </c>
      <c r="AN414" s="73" t="str">
        <f t="shared" si="157"/>
        <v/>
      </c>
      <c r="AP414" s="61" t="str">
        <f t="shared" si="158"/>
        <v/>
      </c>
      <c r="AQ414" s="61" t="str">
        <f t="shared" si="159"/>
        <v/>
      </c>
      <c r="AR414" s="61" t="str">
        <f t="shared" si="160"/>
        <v/>
      </c>
    </row>
    <row r="415" spans="16:44" x14ac:dyDescent="0.25">
      <c r="P415" s="73" t="str">
        <f t="shared" si="141"/>
        <v/>
      </c>
      <c r="Q415" s="73" t="str">
        <f t="shared" si="142"/>
        <v/>
      </c>
      <c r="R415" s="74" t="str">
        <f t="shared" si="143"/>
        <v/>
      </c>
      <c r="S415" s="74" t="str">
        <f t="shared" si="144"/>
        <v/>
      </c>
      <c r="U415" s="74" t="str">
        <f t="shared" si="161"/>
        <v/>
      </c>
      <c r="V415" s="74" t="str">
        <f t="shared" si="161"/>
        <v/>
      </c>
      <c r="W415" s="74" t="str">
        <f t="shared" si="161"/>
        <v/>
      </c>
      <c r="X415" s="74" t="str">
        <f t="shared" si="161"/>
        <v/>
      </c>
      <c r="Y415" s="74" t="str">
        <f t="shared" si="161"/>
        <v/>
      </c>
      <c r="Z415" s="74" t="str">
        <f t="shared" si="145"/>
        <v/>
      </c>
      <c r="AA415" s="74">
        <f t="shared" si="146"/>
        <v>0</v>
      </c>
      <c r="AB415" s="74">
        <f t="shared" si="147"/>
        <v>0</v>
      </c>
      <c r="AC415" s="74" t="str">
        <f t="shared" si="148"/>
        <v/>
      </c>
      <c r="AE415" s="74" t="str">
        <f t="shared" si="149"/>
        <v/>
      </c>
      <c r="AF415" s="74" t="str">
        <f t="shared" si="150"/>
        <v/>
      </c>
      <c r="AG415" s="74" t="str">
        <f t="shared" si="151"/>
        <v/>
      </c>
      <c r="AH415" s="74">
        <f t="shared" si="152"/>
        <v>0</v>
      </c>
      <c r="AI415" s="74" t="str">
        <f>IF(AH415&lt;&gt;0,COUNTIF(AH$3:AH415,1),"")</f>
        <v/>
      </c>
      <c r="AJ415" s="74">
        <f t="shared" si="153"/>
        <v>0</v>
      </c>
      <c r="AK415" s="73" t="str">
        <f t="shared" si="154"/>
        <v/>
      </c>
      <c r="AL415" s="73" t="str">
        <f t="shared" si="155"/>
        <v/>
      </c>
      <c r="AM415" s="73" t="str">
        <f t="shared" si="156"/>
        <v/>
      </c>
      <c r="AN415" s="73" t="str">
        <f t="shared" si="157"/>
        <v/>
      </c>
      <c r="AP415" s="61" t="str">
        <f t="shared" si="158"/>
        <v/>
      </c>
      <c r="AQ415" s="61" t="str">
        <f t="shared" si="159"/>
        <v/>
      </c>
      <c r="AR415" s="61" t="str">
        <f t="shared" si="160"/>
        <v/>
      </c>
    </row>
    <row r="416" spans="16:44" x14ac:dyDescent="0.25">
      <c r="P416" s="73" t="str">
        <f t="shared" si="141"/>
        <v/>
      </c>
      <c r="Q416" s="73" t="str">
        <f t="shared" si="142"/>
        <v/>
      </c>
      <c r="R416" s="74" t="str">
        <f t="shared" si="143"/>
        <v/>
      </c>
      <c r="S416" s="74" t="str">
        <f t="shared" si="144"/>
        <v/>
      </c>
      <c r="U416" s="74" t="str">
        <f t="shared" si="161"/>
        <v/>
      </c>
      <c r="V416" s="74" t="str">
        <f t="shared" si="161"/>
        <v/>
      </c>
      <c r="W416" s="74" t="str">
        <f t="shared" si="161"/>
        <v/>
      </c>
      <c r="X416" s="74" t="str">
        <f t="shared" si="161"/>
        <v/>
      </c>
      <c r="Y416" s="74" t="str">
        <f t="shared" si="161"/>
        <v/>
      </c>
      <c r="Z416" s="74" t="str">
        <f t="shared" si="145"/>
        <v/>
      </c>
      <c r="AA416" s="74">
        <f t="shared" si="146"/>
        <v>0</v>
      </c>
      <c r="AB416" s="74">
        <f t="shared" si="147"/>
        <v>0</v>
      </c>
      <c r="AC416" s="74" t="str">
        <f t="shared" si="148"/>
        <v/>
      </c>
      <c r="AE416" s="74" t="str">
        <f t="shared" si="149"/>
        <v/>
      </c>
      <c r="AF416" s="74" t="str">
        <f t="shared" si="150"/>
        <v/>
      </c>
      <c r="AG416" s="74" t="str">
        <f t="shared" si="151"/>
        <v/>
      </c>
      <c r="AH416" s="74">
        <f t="shared" si="152"/>
        <v>0</v>
      </c>
      <c r="AI416" s="74" t="str">
        <f>IF(AH416&lt;&gt;0,COUNTIF(AH$3:AH416,1),"")</f>
        <v/>
      </c>
      <c r="AJ416" s="74">
        <f t="shared" si="153"/>
        <v>0</v>
      </c>
      <c r="AK416" s="73" t="str">
        <f t="shared" si="154"/>
        <v/>
      </c>
      <c r="AL416" s="73" t="str">
        <f t="shared" si="155"/>
        <v/>
      </c>
      <c r="AM416" s="73" t="str">
        <f t="shared" si="156"/>
        <v/>
      </c>
      <c r="AN416" s="73" t="str">
        <f t="shared" si="157"/>
        <v/>
      </c>
      <c r="AP416" s="61" t="str">
        <f t="shared" si="158"/>
        <v/>
      </c>
      <c r="AQ416" s="61" t="str">
        <f t="shared" si="159"/>
        <v/>
      </c>
      <c r="AR416" s="61" t="str">
        <f t="shared" si="160"/>
        <v/>
      </c>
    </row>
    <row r="417" spans="16:44" x14ac:dyDescent="0.25">
      <c r="P417" s="73" t="str">
        <f t="shared" si="141"/>
        <v/>
      </c>
      <c r="Q417" s="73" t="str">
        <f t="shared" si="142"/>
        <v/>
      </c>
      <c r="R417" s="74" t="str">
        <f t="shared" si="143"/>
        <v/>
      </c>
      <c r="S417" s="74" t="str">
        <f t="shared" si="144"/>
        <v/>
      </c>
      <c r="U417" s="74" t="str">
        <f t="shared" si="161"/>
        <v/>
      </c>
      <c r="V417" s="74" t="str">
        <f t="shared" si="161"/>
        <v/>
      </c>
      <c r="W417" s="74" t="str">
        <f t="shared" si="161"/>
        <v/>
      </c>
      <c r="X417" s="74" t="str">
        <f t="shared" si="161"/>
        <v/>
      </c>
      <c r="Y417" s="74" t="str">
        <f t="shared" si="161"/>
        <v/>
      </c>
      <c r="Z417" s="74" t="str">
        <f t="shared" si="145"/>
        <v/>
      </c>
      <c r="AA417" s="74">
        <f t="shared" si="146"/>
        <v>0</v>
      </c>
      <c r="AB417" s="74">
        <f t="shared" si="147"/>
        <v>0</v>
      </c>
      <c r="AC417" s="74" t="str">
        <f t="shared" si="148"/>
        <v/>
      </c>
      <c r="AE417" s="74" t="str">
        <f t="shared" si="149"/>
        <v/>
      </c>
      <c r="AF417" s="74" t="str">
        <f t="shared" si="150"/>
        <v/>
      </c>
      <c r="AG417" s="74" t="str">
        <f t="shared" si="151"/>
        <v/>
      </c>
      <c r="AH417" s="74">
        <f t="shared" si="152"/>
        <v>0</v>
      </c>
      <c r="AI417" s="74" t="str">
        <f>IF(AH417&lt;&gt;0,COUNTIF(AH$3:AH417,1),"")</f>
        <v/>
      </c>
      <c r="AJ417" s="74">
        <f t="shared" si="153"/>
        <v>0</v>
      </c>
      <c r="AK417" s="73" t="str">
        <f t="shared" si="154"/>
        <v/>
      </c>
      <c r="AL417" s="73" t="str">
        <f t="shared" si="155"/>
        <v/>
      </c>
      <c r="AM417" s="73" t="str">
        <f t="shared" si="156"/>
        <v/>
      </c>
      <c r="AN417" s="73" t="str">
        <f t="shared" si="157"/>
        <v/>
      </c>
      <c r="AP417" s="61" t="str">
        <f t="shared" si="158"/>
        <v/>
      </c>
      <c r="AQ417" s="61" t="str">
        <f t="shared" si="159"/>
        <v/>
      </c>
      <c r="AR417" s="61" t="str">
        <f t="shared" si="160"/>
        <v/>
      </c>
    </row>
    <row r="418" spans="16:44" x14ac:dyDescent="0.25">
      <c r="P418" s="73" t="str">
        <f t="shared" si="141"/>
        <v/>
      </c>
      <c r="Q418" s="73" t="str">
        <f t="shared" si="142"/>
        <v/>
      </c>
      <c r="R418" s="74" t="str">
        <f t="shared" si="143"/>
        <v/>
      </c>
      <c r="S418" s="74" t="str">
        <f t="shared" si="144"/>
        <v/>
      </c>
      <c r="U418" s="74" t="str">
        <f t="shared" si="161"/>
        <v/>
      </c>
      <c r="V418" s="74" t="str">
        <f t="shared" si="161"/>
        <v/>
      </c>
      <c r="W418" s="74" t="str">
        <f t="shared" si="161"/>
        <v/>
      </c>
      <c r="X418" s="74" t="str">
        <f t="shared" si="161"/>
        <v/>
      </c>
      <c r="Y418" s="74" t="str">
        <f t="shared" si="161"/>
        <v/>
      </c>
      <c r="Z418" s="74" t="str">
        <f t="shared" si="145"/>
        <v/>
      </c>
      <c r="AA418" s="74">
        <f t="shared" si="146"/>
        <v>0</v>
      </c>
      <c r="AB418" s="74">
        <f t="shared" si="147"/>
        <v>0</v>
      </c>
      <c r="AC418" s="74" t="str">
        <f t="shared" si="148"/>
        <v/>
      </c>
      <c r="AE418" s="74" t="str">
        <f t="shared" si="149"/>
        <v/>
      </c>
      <c r="AF418" s="74" t="str">
        <f t="shared" si="150"/>
        <v/>
      </c>
      <c r="AG418" s="74" t="str">
        <f t="shared" si="151"/>
        <v/>
      </c>
      <c r="AH418" s="74">
        <f t="shared" si="152"/>
        <v>0</v>
      </c>
      <c r="AI418" s="74" t="str">
        <f>IF(AH418&lt;&gt;0,COUNTIF(AH$3:AH418,1),"")</f>
        <v/>
      </c>
      <c r="AJ418" s="74">
        <f t="shared" si="153"/>
        <v>0</v>
      </c>
      <c r="AK418" s="73" t="str">
        <f t="shared" si="154"/>
        <v/>
      </c>
      <c r="AL418" s="73" t="str">
        <f t="shared" si="155"/>
        <v/>
      </c>
      <c r="AM418" s="73" t="str">
        <f t="shared" si="156"/>
        <v/>
      </c>
      <c r="AN418" s="73" t="str">
        <f t="shared" si="157"/>
        <v/>
      </c>
      <c r="AP418" s="61" t="str">
        <f t="shared" si="158"/>
        <v/>
      </c>
      <c r="AQ418" s="61" t="str">
        <f t="shared" si="159"/>
        <v/>
      </c>
      <c r="AR418" s="61" t="str">
        <f t="shared" si="160"/>
        <v/>
      </c>
    </row>
    <row r="419" spans="16:44" x14ac:dyDescent="0.25">
      <c r="P419" s="73" t="str">
        <f t="shared" si="141"/>
        <v/>
      </c>
      <c r="Q419" s="73" t="str">
        <f t="shared" si="142"/>
        <v/>
      </c>
      <c r="R419" s="74" t="str">
        <f t="shared" si="143"/>
        <v/>
      </c>
      <c r="S419" s="74" t="str">
        <f t="shared" si="144"/>
        <v/>
      </c>
      <c r="U419" s="74" t="str">
        <f t="shared" si="161"/>
        <v/>
      </c>
      <c r="V419" s="74" t="str">
        <f t="shared" si="161"/>
        <v/>
      </c>
      <c r="W419" s="74" t="str">
        <f t="shared" si="161"/>
        <v/>
      </c>
      <c r="X419" s="74" t="str">
        <f t="shared" si="161"/>
        <v/>
      </c>
      <c r="Y419" s="74" t="str">
        <f t="shared" si="161"/>
        <v/>
      </c>
      <c r="Z419" s="74" t="str">
        <f t="shared" si="145"/>
        <v/>
      </c>
      <c r="AA419" s="74">
        <f t="shared" si="146"/>
        <v>0</v>
      </c>
      <c r="AB419" s="74">
        <f t="shared" si="147"/>
        <v>0</v>
      </c>
      <c r="AC419" s="74" t="str">
        <f t="shared" si="148"/>
        <v/>
      </c>
      <c r="AE419" s="74" t="str">
        <f t="shared" si="149"/>
        <v/>
      </c>
      <c r="AF419" s="74" t="str">
        <f t="shared" si="150"/>
        <v/>
      </c>
      <c r="AG419" s="74" t="str">
        <f t="shared" si="151"/>
        <v/>
      </c>
      <c r="AH419" s="74">
        <f t="shared" si="152"/>
        <v>0</v>
      </c>
      <c r="AI419" s="74" t="str">
        <f>IF(AH419&lt;&gt;0,COUNTIF(AH$3:AH419,1),"")</f>
        <v/>
      </c>
      <c r="AJ419" s="74">
        <f t="shared" si="153"/>
        <v>0</v>
      </c>
      <c r="AK419" s="73" t="str">
        <f t="shared" si="154"/>
        <v/>
      </c>
      <c r="AL419" s="73" t="str">
        <f t="shared" si="155"/>
        <v/>
      </c>
      <c r="AM419" s="73" t="str">
        <f t="shared" si="156"/>
        <v/>
      </c>
      <c r="AN419" s="73" t="str">
        <f t="shared" si="157"/>
        <v/>
      </c>
      <c r="AP419" s="61" t="str">
        <f t="shared" si="158"/>
        <v/>
      </c>
      <c r="AQ419" s="61" t="str">
        <f t="shared" si="159"/>
        <v/>
      </c>
      <c r="AR419" s="61" t="str">
        <f t="shared" si="160"/>
        <v/>
      </c>
    </row>
    <row r="420" spans="16:44" x14ac:dyDescent="0.25">
      <c r="P420" s="73" t="str">
        <f t="shared" si="141"/>
        <v/>
      </c>
      <c r="Q420" s="73" t="str">
        <f t="shared" si="142"/>
        <v/>
      </c>
      <c r="R420" s="74" t="str">
        <f t="shared" si="143"/>
        <v/>
      </c>
      <c r="S420" s="74" t="str">
        <f t="shared" si="144"/>
        <v/>
      </c>
      <c r="U420" s="74" t="str">
        <f t="shared" si="161"/>
        <v/>
      </c>
      <c r="V420" s="74" t="str">
        <f t="shared" si="161"/>
        <v/>
      </c>
      <c r="W420" s="74" t="str">
        <f t="shared" si="161"/>
        <v/>
      </c>
      <c r="X420" s="74" t="str">
        <f t="shared" si="161"/>
        <v/>
      </c>
      <c r="Y420" s="74" t="str">
        <f t="shared" si="161"/>
        <v/>
      </c>
      <c r="Z420" s="74" t="str">
        <f t="shared" si="145"/>
        <v/>
      </c>
      <c r="AA420" s="74">
        <f t="shared" si="146"/>
        <v>0</v>
      </c>
      <c r="AB420" s="74">
        <f t="shared" si="147"/>
        <v>0</v>
      </c>
      <c r="AC420" s="74" t="str">
        <f t="shared" si="148"/>
        <v/>
      </c>
      <c r="AE420" s="74" t="str">
        <f t="shared" si="149"/>
        <v/>
      </c>
      <c r="AF420" s="74" t="str">
        <f t="shared" si="150"/>
        <v/>
      </c>
      <c r="AG420" s="74" t="str">
        <f t="shared" si="151"/>
        <v/>
      </c>
      <c r="AH420" s="74">
        <f t="shared" si="152"/>
        <v>0</v>
      </c>
      <c r="AI420" s="74" t="str">
        <f>IF(AH420&lt;&gt;0,COUNTIF(AH$3:AH420,1),"")</f>
        <v/>
      </c>
      <c r="AJ420" s="74">
        <f t="shared" si="153"/>
        <v>0</v>
      </c>
      <c r="AK420" s="73" t="str">
        <f t="shared" si="154"/>
        <v/>
      </c>
      <c r="AL420" s="73" t="str">
        <f t="shared" si="155"/>
        <v/>
      </c>
      <c r="AM420" s="73" t="str">
        <f t="shared" si="156"/>
        <v/>
      </c>
      <c r="AN420" s="73" t="str">
        <f t="shared" si="157"/>
        <v/>
      </c>
      <c r="AP420" s="61" t="str">
        <f t="shared" si="158"/>
        <v/>
      </c>
      <c r="AQ420" s="61" t="str">
        <f t="shared" si="159"/>
        <v/>
      </c>
      <c r="AR420" s="61" t="str">
        <f t="shared" si="160"/>
        <v/>
      </c>
    </row>
    <row r="421" spans="16:44" x14ac:dyDescent="0.25">
      <c r="P421" s="73" t="str">
        <f t="shared" si="141"/>
        <v/>
      </c>
      <c r="Q421" s="73" t="str">
        <f t="shared" si="142"/>
        <v/>
      </c>
      <c r="R421" s="74" t="str">
        <f t="shared" si="143"/>
        <v/>
      </c>
      <c r="S421" s="74" t="str">
        <f t="shared" si="144"/>
        <v/>
      </c>
      <c r="U421" s="74" t="str">
        <f t="shared" si="161"/>
        <v/>
      </c>
      <c r="V421" s="74" t="str">
        <f t="shared" si="161"/>
        <v/>
      </c>
      <c r="W421" s="74" t="str">
        <f t="shared" si="161"/>
        <v/>
      </c>
      <c r="X421" s="74" t="str">
        <f t="shared" si="161"/>
        <v/>
      </c>
      <c r="Y421" s="74" t="str">
        <f t="shared" si="161"/>
        <v/>
      </c>
      <c r="Z421" s="74" t="str">
        <f t="shared" si="145"/>
        <v/>
      </c>
      <c r="AA421" s="74">
        <f t="shared" si="146"/>
        <v>0</v>
      </c>
      <c r="AB421" s="74">
        <f t="shared" si="147"/>
        <v>0</v>
      </c>
      <c r="AC421" s="74" t="str">
        <f t="shared" si="148"/>
        <v/>
      </c>
      <c r="AE421" s="74" t="str">
        <f t="shared" si="149"/>
        <v/>
      </c>
      <c r="AF421" s="74" t="str">
        <f t="shared" si="150"/>
        <v/>
      </c>
      <c r="AG421" s="74" t="str">
        <f t="shared" si="151"/>
        <v/>
      </c>
      <c r="AH421" s="74">
        <f t="shared" si="152"/>
        <v>0</v>
      </c>
      <c r="AI421" s="74" t="str">
        <f>IF(AH421&lt;&gt;0,COUNTIF(AH$3:AH421,1),"")</f>
        <v/>
      </c>
      <c r="AJ421" s="74">
        <f t="shared" si="153"/>
        <v>0</v>
      </c>
      <c r="AK421" s="73" t="str">
        <f t="shared" si="154"/>
        <v/>
      </c>
      <c r="AL421" s="73" t="str">
        <f t="shared" si="155"/>
        <v/>
      </c>
      <c r="AM421" s="73" t="str">
        <f t="shared" si="156"/>
        <v/>
      </c>
      <c r="AN421" s="73" t="str">
        <f t="shared" si="157"/>
        <v/>
      </c>
      <c r="AP421" s="61" t="str">
        <f t="shared" si="158"/>
        <v/>
      </c>
      <c r="AQ421" s="61" t="str">
        <f t="shared" si="159"/>
        <v/>
      </c>
      <c r="AR421" s="61" t="str">
        <f t="shared" si="160"/>
        <v/>
      </c>
    </row>
    <row r="422" spans="16:44" x14ac:dyDescent="0.25">
      <c r="P422" s="73" t="str">
        <f t="shared" si="141"/>
        <v/>
      </c>
      <c r="Q422" s="73" t="str">
        <f t="shared" si="142"/>
        <v/>
      </c>
      <c r="R422" s="74" t="str">
        <f t="shared" si="143"/>
        <v/>
      </c>
      <c r="S422" s="74" t="str">
        <f t="shared" si="144"/>
        <v/>
      </c>
      <c r="U422" s="74" t="str">
        <f t="shared" si="161"/>
        <v/>
      </c>
      <c r="V422" s="74" t="str">
        <f t="shared" si="161"/>
        <v/>
      </c>
      <c r="W422" s="74" t="str">
        <f t="shared" si="161"/>
        <v/>
      </c>
      <c r="X422" s="74" t="str">
        <f t="shared" si="161"/>
        <v/>
      </c>
      <c r="Y422" s="74" t="str">
        <f t="shared" si="161"/>
        <v/>
      </c>
      <c r="Z422" s="74" t="str">
        <f t="shared" si="145"/>
        <v/>
      </c>
      <c r="AA422" s="74">
        <f t="shared" si="146"/>
        <v>0</v>
      </c>
      <c r="AB422" s="74">
        <f t="shared" si="147"/>
        <v>0</v>
      </c>
      <c r="AC422" s="74" t="str">
        <f t="shared" si="148"/>
        <v/>
      </c>
      <c r="AE422" s="74" t="str">
        <f t="shared" si="149"/>
        <v/>
      </c>
      <c r="AF422" s="74" t="str">
        <f t="shared" si="150"/>
        <v/>
      </c>
      <c r="AG422" s="74" t="str">
        <f t="shared" si="151"/>
        <v/>
      </c>
      <c r="AH422" s="74">
        <f t="shared" si="152"/>
        <v>0</v>
      </c>
      <c r="AI422" s="74" t="str">
        <f>IF(AH422&lt;&gt;0,COUNTIF(AH$3:AH422,1),"")</f>
        <v/>
      </c>
      <c r="AJ422" s="74">
        <f t="shared" si="153"/>
        <v>0</v>
      </c>
      <c r="AK422" s="73" t="str">
        <f t="shared" si="154"/>
        <v/>
      </c>
      <c r="AL422" s="73" t="str">
        <f t="shared" si="155"/>
        <v/>
      </c>
      <c r="AM422" s="73" t="str">
        <f t="shared" si="156"/>
        <v/>
      </c>
      <c r="AN422" s="73" t="str">
        <f t="shared" si="157"/>
        <v/>
      </c>
      <c r="AP422" s="61" t="str">
        <f t="shared" si="158"/>
        <v/>
      </c>
      <c r="AQ422" s="61" t="str">
        <f t="shared" si="159"/>
        <v/>
      </c>
      <c r="AR422" s="61" t="str">
        <f t="shared" si="160"/>
        <v/>
      </c>
    </row>
    <row r="423" spans="16:44" x14ac:dyDescent="0.25">
      <c r="P423" s="73" t="str">
        <f t="shared" si="141"/>
        <v/>
      </c>
      <c r="Q423" s="73" t="str">
        <f t="shared" si="142"/>
        <v/>
      </c>
      <c r="R423" s="74" t="str">
        <f t="shared" si="143"/>
        <v/>
      </c>
      <c r="S423" s="74" t="str">
        <f t="shared" si="144"/>
        <v/>
      </c>
      <c r="U423" s="74" t="str">
        <f t="shared" si="161"/>
        <v/>
      </c>
      <c r="V423" s="74" t="str">
        <f t="shared" si="161"/>
        <v/>
      </c>
      <c r="W423" s="74" t="str">
        <f t="shared" si="161"/>
        <v/>
      </c>
      <c r="X423" s="74" t="str">
        <f t="shared" si="161"/>
        <v/>
      </c>
      <c r="Y423" s="74" t="str">
        <f t="shared" si="161"/>
        <v/>
      </c>
      <c r="Z423" s="74" t="str">
        <f t="shared" si="145"/>
        <v/>
      </c>
      <c r="AA423" s="74">
        <f t="shared" si="146"/>
        <v>0</v>
      </c>
      <c r="AB423" s="74">
        <f t="shared" si="147"/>
        <v>0</v>
      </c>
      <c r="AC423" s="74" t="str">
        <f t="shared" si="148"/>
        <v/>
      </c>
      <c r="AE423" s="74" t="str">
        <f t="shared" si="149"/>
        <v/>
      </c>
      <c r="AF423" s="74" t="str">
        <f t="shared" si="150"/>
        <v/>
      </c>
      <c r="AG423" s="74" t="str">
        <f t="shared" si="151"/>
        <v/>
      </c>
      <c r="AH423" s="74">
        <f t="shared" si="152"/>
        <v>0</v>
      </c>
      <c r="AI423" s="74" t="str">
        <f>IF(AH423&lt;&gt;0,COUNTIF(AH$3:AH423,1),"")</f>
        <v/>
      </c>
      <c r="AJ423" s="74">
        <f t="shared" si="153"/>
        <v>0</v>
      </c>
      <c r="AK423" s="73" t="str">
        <f t="shared" si="154"/>
        <v/>
      </c>
      <c r="AL423" s="73" t="str">
        <f t="shared" si="155"/>
        <v/>
      </c>
      <c r="AM423" s="73" t="str">
        <f t="shared" si="156"/>
        <v/>
      </c>
      <c r="AN423" s="73" t="str">
        <f t="shared" si="157"/>
        <v/>
      </c>
      <c r="AP423" s="61" t="str">
        <f t="shared" si="158"/>
        <v/>
      </c>
      <c r="AQ423" s="61" t="str">
        <f t="shared" si="159"/>
        <v/>
      </c>
      <c r="AR423" s="61" t="str">
        <f t="shared" si="160"/>
        <v/>
      </c>
    </row>
    <row r="424" spans="16:44" x14ac:dyDescent="0.25">
      <c r="P424" s="73" t="str">
        <f t="shared" si="141"/>
        <v/>
      </c>
      <c r="Q424" s="73" t="str">
        <f t="shared" si="142"/>
        <v/>
      </c>
      <c r="R424" s="74" t="str">
        <f t="shared" si="143"/>
        <v/>
      </c>
      <c r="S424" s="74" t="str">
        <f t="shared" si="144"/>
        <v/>
      </c>
      <c r="U424" s="74" t="str">
        <f t="shared" si="161"/>
        <v/>
      </c>
      <c r="V424" s="74" t="str">
        <f t="shared" si="161"/>
        <v/>
      </c>
      <c r="W424" s="74" t="str">
        <f t="shared" si="161"/>
        <v/>
      </c>
      <c r="X424" s="74" t="str">
        <f t="shared" si="161"/>
        <v/>
      </c>
      <c r="Y424" s="74" t="str">
        <f t="shared" si="161"/>
        <v/>
      </c>
      <c r="Z424" s="74" t="str">
        <f t="shared" si="145"/>
        <v/>
      </c>
      <c r="AA424" s="74">
        <f t="shared" si="146"/>
        <v>0</v>
      </c>
      <c r="AB424" s="74">
        <f t="shared" si="147"/>
        <v>0</v>
      </c>
      <c r="AC424" s="74" t="str">
        <f t="shared" si="148"/>
        <v/>
      </c>
      <c r="AE424" s="74" t="str">
        <f t="shared" si="149"/>
        <v/>
      </c>
      <c r="AF424" s="74" t="str">
        <f t="shared" si="150"/>
        <v/>
      </c>
      <c r="AG424" s="74" t="str">
        <f t="shared" si="151"/>
        <v/>
      </c>
      <c r="AH424" s="74">
        <f t="shared" si="152"/>
        <v>0</v>
      </c>
      <c r="AI424" s="74" t="str">
        <f>IF(AH424&lt;&gt;0,COUNTIF(AH$3:AH424,1),"")</f>
        <v/>
      </c>
      <c r="AJ424" s="74">
        <f t="shared" si="153"/>
        <v>0</v>
      </c>
      <c r="AK424" s="73" t="str">
        <f t="shared" si="154"/>
        <v/>
      </c>
      <c r="AL424" s="73" t="str">
        <f t="shared" si="155"/>
        <v/>
      </c>
      <c r="AM424" s="73" t="str">
        <f t="shared" si="156"/>
        <v/>
      </c>
      <c r="AN424" s="73" t="str">
        <f t="shared" si="157"/>
        <v/>
      </c>
      <c r="AP424" s="61" t="str">
        <f t="shared" si="158"/>
        <v/>
      </c>
      <c r="AQ424" s="61" t="str">
        <f t="shared" si="159"/>
        <v/>
      </c>
      <c r="AR424" s="61" t="str">
        <f t="shared" si="160"/>
        <v/>
      </c>
    </row>
    <row r="425" spans="16:44" x14ac:dyDescent="0.25">
      <c r="P425" s="73" t="str">
        <f t="shared" si="141"/>
        <v/>
      </c>
      <c r="Q425" s="73" t="str">
        <f t="shared" si="142"/>
        <v/>
      </c>
      <c r="R425" s="74" t="str">
        <f t="shared" si="143"/>
        <v/>
      </c>
      <c r="S425" s="74" t="str">
        <f t="shared" si="144"/>
        <v/>
      </c>
      <c r="U425" s="74" t="str">
        <f t="shared" si="161"/>
        <v/>
      </c>
      <c r="V425" s="74" t="str">
        <f t="shared" si="161"/>
        <v/>
      </c>
      <c r="W425" s="74" t="str">
        <f t="shared" si="161"/>
        <v/>
      </c>
      <c r="X425" s="74" t="str">
        <f t="shared" si="161"/>
        <v/>
      </c>
      <c r="Y425" s="74" t="str">
        <f t="shared" si="161"/>
        <v/>
      </c>
      <c r="Z425" s="74" t="str">
        <f t="shared" si="145"/>
        <v/>
      </c>
      <c r="AA425" s="74">
        <f t="shared" si="146"/>
        <v>0</v>
      </c>
      <c r="AB425" s="74">
        <f t="shared" si="147"/>
        <v>0</v>
      </c>
      <c r="AC425" s="74" t="str">
        <f t="shared" si="148"/>
        <v/>
      </c>
      <c r="AE425" s="74" t="str">
        <f t="shared" si="149"/>
        <v/>
      </c>
      <c r="AF425" s="74" t="str">
        <f t="shared" si="150"/>
        <v/>
      </c>
      <c r="AG425" s="74" t="str">
        <f t="shared" si="151"/>
        <v/>
      </c>
      <c r="AH425" s="74">
        <f t="shared" si="152"/>
        <v>0</v>
      </c>
      <c r="AI425" s="74" t="str">
        <f>IF(AH425&lt;&gt;0,COUNTIF(AH$3:AH425,1),"")</f>
        <v/>
      </c>
      <c r="AJ425" s="74">
        <f t="shared" si="153"/>
        <v>0</v>
      </c>
      <c r="AK425" s="73" t="str">
        <f t="shared" si="154"/>
        <v/>
      </c>
      <c r="AL425" s="73" t="str">
        <f t="shared" si="155"/>
        <v/>
      </c>
      <c r="AM425" s="73" t="str">
        <f t="shared" si="156"/>
        <v/>
      </c>
      <c r="AN425" s="73" t="str">
        <f t="shared" si="157"/>
        <v/>
      </c>
      <c r="AP425" s="61" t="str">
        <f t="shared" si="158"/>
        <v/>
      </c>
      <c r="AQ425" s="61" t="str">
        <f t="shared" si="159"/>
        <v/>
      </c>
      <c r="AR425" s="61" t="str">
        <f t="shared" si="160"/>
        <v/>
      </c>
    </row>
    <row r="426" spans="16:44" x14ac:dyDescent="0.25">
      <c r="P426" s="73" t="str">
        <f t="shared" si="141"/>
        <v/>
      </c>
      <c r="Q426" s="73" t="str">
        <f t="shared" si="142"/>
        <v/>
      </c>
      <c r="R426" s="74" t="str">
        <f t="shared" si="143"/>
        <v/>
      </c>
      <c r="S426" s="74" t="str">
        <f t="shared" si="144"/>
        <v/>
      </c>
      <c r="U426" s="74" t="str">
        <f t="shared" si="161"/>
        <v/>
      </c>
      <c r="V426" s="74" t="str">
        <f t="shared" si="161"/>
        <v/>
      </c>
      <c r="W426" s="74" t="str">
        <f t="shared" si="161"/>
        <v/>
      </c>
      <c r="X426" s="74" t="str">
        <f t="shared" si="161"/>
        <v/>
      </c>
      <c r="Y426" s="74" t="str">
        <f t="shared" si="161"/>
        <v/>
      </c>
      <c r="Z426" s="74" t="str">
        <f t="shared" si="145"/>
        <v/>
      </c>
      <c r="AA426" s="74">
        <f t="shared" si="146"/>
        <v>0</v>
      </c>
      <c r="AB426" s="74">
        <f t="shared" si="147"/>
        <v>0</v>
      </c>
      <c r="AC426" s="74" t="str">
        <f t="shared" si="148"/>
        <v/>
      </c>
      <c r="AE426" s="74" t="str">
        <f t="shared" si="149"/>
        <v/>
      </c>
      <c r="AF426" s="74" t="str">
        <f t="shared" si="150"/>
        <v/>
      </c>
      <c r="AG426" s="74" t="str">
        <f t="shared" si="151"/>
        <v/>
      </c>
      <c r="AH426" s="74">
        <f t="shared" si="152"/>
        <v>0</v>
      </c>
      <c r="AI426" s="74" t="str">
        <f>IF(AH426&lt;&gt;0,COUNTIF(AH$3:AH426,1),"")</f>
        <v/>
      </c>
      <c r="AJ426" s="74">
        <f t="shared" si="153"/>
        <v>0</v>
      </c>
      <c r="AK426" s="73" t="str">
        <f t="shared" si="154"/>
        <v/>
      </c>
      <c r="AL426" s="73" t="str">
        <f t="shared" si="155"/>
        <v/>
      </c>
      <c r="AM426" s="73" t="str">
        <f t="shared" si="156"/>
        <v/>
      </c>
      <c r="AN426" s="73" t="str">
        <f t="shared" si="157"/>
        <v/>
      </c>
      <c r="AP426" s="61" t="str">
        <f t="shared" si="158"/>
        <v/>
      </c>
      <c r="AQ426" s="61" t="str">
        <f t="shared" si="159"/>
        <v/>
      </c>
      <c r="AR426" s="61" t="str">
        <f t="shared" si="160"/>
        <v/>
      </c>
    </row>
    <row r="427" spans="16:44" x14ac:dyDescent="0.25">
      <c r="P427" s="73" t="str">
        <f t="shared" si="141"/>
        <v/>
      </c>
      <c r="Q427" s="73" t="str">
        <f t="shared" si="142"/>
        <v/>
      </c>
      <c r="R427" s="74" t="str">
        <f t="shared" si="143"/>
        <v/>
      </c>
      <c r="S427" s="74" t="str">
        <f t="shared" si="144"/>
        <v/>
      </c>
      <c r="U427" s="74" t="str">
        <f t="shared" si="161"/>
        <v/>
      </c>
      <c r="V427" s="74" t="str">
        <f t="shared" si="161"/>
        <v/>
      </c>
      <c r="W427" s="74" t="str">
        <f t="shared" si="161"/>
        <v/>
      </c>
      <c r="X427" s="74" t="str">
        <f t="shared" si="161"/>
        <v/>
      </c>
      <c r="Y427" s="74" t="str">
        <f t="shared" si="161"/>
        <v/>
      </c>
      <c r="Z427" s="74" t="str">
        <f t="shared" si="145"/>
        <v/>
      </c>
      <c r="AA427" s="74">
        <f t="shared" si="146"/>
        <v>0</v>
      </c>
      <c r="AB427" s="74">
        <f t="shared" si="147"/>
        <v>0</v>
      </c>
      <c r="AC427" s="74" t="str">
        <f t="shared" si="148"/>
        <v/>
      </c>
      <c r="AE427" s="74" t="str">
        <f t="shared" si="149"/>
        <v/>
      </c>
      <c r="AF427" s="74" t="str">
        <f t="shared" si="150"/>
        <v/>
      </c>
      <c r="AG427" s="74" t="str">
        <f t="shared" si="151"/>
        <v/>
      </c>
      <c r="AH427" s="74">
        <f t="shared" si="152"/>
        <v>0</v>
      </c>
      <c r="AI427" s="74" t="str">
        <f>IF(AH427&lt;&gt;0,COUNTIF(AH$3:AH427,1),"")</f>
        <v/>
      </c>
      <c r="AJ427" s="74">
        <f t="shared" si="153"/>
        <v>0</v>
      </c>
      <c r="AK427" s="73" t="str">
        <f t="shared" si="154"/>
        <v/>
      </c>
      <c r="AL427" s="73" t="str">
        <f t="shared" si="155"/>
        <v/>
      </c>
      <c r="AM427" s="73" t="str">
        <f t="shared" si="156"/>
        <v/>
      </c>
      <c r="AN427" s="73" t="str">
        <f t="shared" si="157"/>
        <v/>
      </c>
      <c r="AP427" s="61" t="str">
        <f t="shared" si="158"/>
        <v/>
      </c>
      <c r="AQ427" s="61" t="str">
        <f t="shared" si="159"/>
        <v/>
      </c>
      <c r="AR427" s="61" t="str">
        <f t="shared" si="160"/>
        <v/>
      </c>
    </row>
    <row r="428" spans="16:44" x14ac:dyDescent="0.25">
      <c r="P428" s="73" t="str">
        <f t="shared" si="141"/>
        <v/>
      </c>
      <c r="Q428" s="73" t="str">
        <f t="shared" si="142"/>
        <v/>
      </c>
      <c r="R428" s="74" t="str">
        <f t="shared" si="143"/>
        <v/>
      </c>
      <c r="S428" s="74" t="str">
        <f t="shared" si="144"/>
        <v/>
      </c>
      <c r="U428" s="74" t="str">
        <f t="shared" si="161"/>
        <v/>
      </c>
      <c r="V428" s="74" t="str">
        <f t="shared" si="161"/>
        <v/>
      </c>
      <c r="W428" s="74" t="str">
        <f t="shared" si="161"/>
        <v/>
      </c>
      <c r="X428" s="74" t="str">
        <f t="shared" si="161"/>
        <v/>
      </c>
      <c r="Y428" s="74" t="str">
        <f t="shared" si="161"/>
        <v/>
      </c>
      <c r="Z428" s="74" t="str">
        <f t="shared" si="145"/>
        <v/>
      </c>
      <c r="AA428" s="74">
        <f t="shared" si="146"/>
        <v>0</v>
      </c>
      <c r="AB428" s="74">
        <f t="shared" si="147"/>
        <v>0</v>
      </c>
      <c r="AC428" s="74" t="str">
        <f t="shared" si="148"/>
        <v/>
      </c>
      <c r="AE428" s="74" t="str">
        <f t="shared" si="149"/>
        <v/>
      </c>
      <c r="AF428" s="74" t="str">
        <f t="shared" si="150"/>
        <v/>
      </c>
      <c r="AG428" s="74" t="str">
        <f t="shared" si="151"/>
        <v/>
      </c>
      <c r="AH428" s="74">
        <f t="shared" si="152"/>
        <v>0</v>
      </c>
      <c r="AI428" s="74" t="str">
        <f>IF(AH428&lt;&gt;0,COUNTIF(AH$3:AH428,1),"")</f>
        <v/>
      </c>
      <c r="AJ428" s="74">
        <f t="shared" si="153"/>
        <v>0</v>
      </c>
      <c r="AK428" s="73" t="str">
        <f t="shared" si="154"/>
        <v/>
      </c>
      <c r="AL428" s="73" t="str">
        <f t="shared" si="155"/>
        <v/>
      </c>
      <c r="AM428" s="73" t="str">
        <f t="shared" si="156"/>
        <v/>
      </c>
      <c r="AN428" s="73" t="str">
        <f t="shared" si="157"/>
        <v/>
      </c>
      <c r="AP428" s="61" t="str">
        <f t="shared" si="158"/>
        <v/>
      </c>
      <c r="AQ428" s="61" t="str">
        <f t="shared" si="159"/>
        <v/>
      </c>
      <c r="AR428" s="61" t="str">
        <f t="shared" si="160"/>
        <v/>
      </c>
    </row>
    <row r="429" spans="16:44" x14ac:dyDescent="0.25">
      <c r="P429" s="73" t="str">
        <f t="shared" si="141"/>
        <v/>
      </c>
      <c r="Q429" s="73" t="str">
        <f t="shared" si="142"/>
        <v/>
      </c>
      <c r="R429" s="74" t="str">
        <f t="shared" si="143"/>
        <v/>
      </c>
      <c r="S429" s="74" t="str">
        <f t="shared" si="144"/>
        <v/>
      </c>
      <c r="U429" s="74" t="str">
        <f t="shared" si="161"/>
        <v/>
      </c>
      <c r="V429" s="74" t="str">
        <f t="shared" si="161"/>
        <v/>
      </c>
      <c r="W429" s="74" t="str">
        <f t="shared" si="161"/>
        <v/>
      </c>
      <c r="X429" s="74" t="str">
        <f t="shared" si="161"/>
        <v/>
      </c>
      <c r="Y429" s="74" t="str">
        <f t="shared" si="161"/>
        <v/>
      </c>
      <c r="Z429" s="74" t="str">
        <f t="shared" si="145"/>
        <v/>
      </c>
      <c r="AA429" s="74">
        <f t="shared" si="146"/>
        <v>0</v>
      </c>
      <c r="AB429" s="74">
        <f t="shared" si="147"/>
        <v>0</v>
      </c>
      <c r="AC429" s="74" t="str">
        <f t="shared" si="148"/>
        <v/>
      </c>
      <c r="AE429" s="74" t="str">
        <f t="shared" si="149"/>
        <v/>
      </c>
      <c r="AF429" s="74" t="str">
        <f t="shared" si="150"/>
        <v/>
      </c>
      <c r="AG429" s="74" t="str">
        <f t="shared" si="151"/>
        <v/>
      </c>
      <c r="AH429" s="74">
        <f t="shared" si="152"/>
        <v>0</v>
      </c>
      <c r="AI429" s="74" t="str">
        <f>IF(AH429&lt;&gt;0,COUNTIF(AH$3:AH429,1),"")</f>
        <v/>
      </c>
      <c r="AJ429" s="74">
        <f t="shared" si="153"/>
        <v>0</v>
      </c>
      <c r="AK429" s="73" t="str">
        <f t="shared" si="154"/>
        <v/>
      </c>
      <c r="AL429" s="73" t="str">
        <f t="shared" si="155"/>
        <v/>
      </c>
      <c r="AM429" s="73" t="str">
        <f t="shared" si="156"/>
        <v/>
      </c>
      <c r="AN429" s="73" t="str">
        <f t="shared" si="157"/>
        <v/>
      </c>
      <c r="AP429" s="61" t="str">
        <f t="shared" si="158"/>
        <v/>
      </c>
      <c r="AQ429" s="61" t="str">
        <f t="shared" si="159"/>
        <v/>
      </c>
      <c r="AR429" s="61" t="str">
        <f t="shared" si="160"/>
        <v/>
      </c>
    </row>
    <row r="430" spans="16:44" x14ac:dyDescent="0.25">
      <c r="P430" s="73" t="str">
        <f t="shared" si="141"/>
        <v/>
      </c>
      <c r="Q430" s="73" t="str">
        <f t="shared" si="142"/>
        <v/>
      </c>
      <c r="R430" s="74" t="str">
        <f t="shared" si="143"/>
        <v/>
      </c>
      <c r="S430" s="74" t="str">
        <f t="shared" si="144"/>
        <v/>
      </c>
      <c r="U430" s="74" t="str">
        <f t="shared" si="161"/>
        <v/>
      </c>
      <c r="V430" s="74" t="str">
        <f t="shared" si="161"/>
        <v/>
      </c>
      <c r="W430" s="74" t="str">
        <f t="shared" si="161"/>
        <v/>
      </c>
      <c r="X430" s="74" t="str">
        <f t="shared" si="161"/>
        <v/>
      </c>
      <c r="Y430" s="74" t="str">
        <f t="shared" si="161"/>
        <v/>
      </c>
      <c r="Z430" s="74" t="str">
        <f t="shared" si="145"/>
        <v/>
      </c>
      <c r="AA430" s="74">
        <f t="shared" si="146"/>
        <v>0</v>
      </c>
      <c r="AB430" s="74">
        <f t="shared" si="147"/>
        <v>0</v>
      </c>
      <c r="AC430" s="74" t="str">
        <f t="shared" si="148"/>
        <v/>
      </c>
      <c r="AE430" s="74" t="str">
        <f t="shared" si="149"/>
        <v/>
      </c>
      <c r="AF430" s="74" t="str">
        <f t="shared" si="150"/>
        <v/>
      </c>
      <c r="AG430" s="74" t="str">
        <f t="shared" si="151"/>
        <v/>
      </c>
      <c r="AH430" s="74">
        <f t="shared" si="152"/>
        <v>0</v>
      </c>
      <c r="AI430" s="74" t="str">
        <f>IF(AH430&lt;&gt;0,COUNTIF(AH$3:AH430,1),"")</f>
        <v/>
      </c>
      <c r="AJ430" s="74">
        <f t="shared" si="153"/>
        <v>0</v>
      </c>
      <c r="AK430" s="73" t="str">
        <f t="shared" si="154"/>
        <v/>
      </c>
      <c r="AL430" s="73" t="str">
        <f t="shared" si="155"/>
        <v/>
      </c>
      <c r="AM430" s="73" t="str">
        <f t="shared" si="156"/>
        <v/>
      </c>
      <c r="AN430" s="73" t="str">
        <f t="shared" si="157"/>
        <v/>
      </c>
      <c r="AP430" s="61" t="str">
        <f t="shared" si="158"/>
        <v/>
      </c>
      <c r="AQ430" s="61" t="str">
        <f t="shared" si="159"/>
        <v/>
      </c>
      <c r="AR430" s="61" t="str">
        <f t="shared" si="160"/>
        <v/>
      </c>
    </row>
    <row r="431" spans="16:44" x14ac:dyDescent="0.25">
      <c r="P431" s="73" t="str">
        <f t="shared" si="141"/>
        <v/>
      </c>
      <c r="Q431" s="73" t="str">
        <f t="shared" si="142"/>
        <v/>
      </c>
      <c r="R431" s="74" t="str">
        <f t="shared" si="143"/>
        <v/>
      </c>
      <c r="S431" s="74" t="str">
        <f t="shared" si="144"/>
        <v/>
      </c>
      <c r="U431" s="74" t="str">
        <f t="shared" si="161"/>
        <v/>
      </c>
      <c r="V431" s="74" t="str">
        <f t="shared" si="161"/>
        <v/>
      </c>
      <c r="W431" s="74" t="str">
        <f t="shared" si="161"/>
        <v/>
      </c>
      <c r="X431" s="74" t="str">
        <f t="shared" si="161"/>
        <v/>
      </c>
      <c r="Y431" s="74" t="str">
        <f t="shared" si="161"/>
        <v/>
      </c>
      <c r="Z431" s="74" t="str">
        <f t="shared" si="145"/>
        <v/>
      </c>
      <c r="AA431" s="74">
        <f t="shared" si="146"/>
        <v>0</v>
      </c>
      <c r="AB431" s="74">
        <f t="shared" si="147"/>
        <v>0</v>
      </c>
      <c r="AC431" s="74" t="str">
        <f t="shared" si="148"/>
        <v/>
      </c>
      <c r="AE431" s="74" t="str">
        <f t="shared" si="149"/>
        <v/>
      </c>
      <c r="AF431" s="74" t="str">
        <f t="shared" si="150"/>
        <v/>
      </c>
      <c r="AG431" s="74" t="str">
        <f t="shared" si="151"/>
        <v/>
      </c>
      <c r="AH431" s="74">
        <f t="shared" si="152"/>
        <v>0</v>
      </c>
      <c r="AI431" s="74" t="str">
        <f>IF(AH431&lt;&gt;0,COUNTIF(AH$3:AH431,1),"")</f>
        <v/>
      </c>
      <c r="AJ431" s="74">
        <f t="shared" si="153"/>
        <v>0</v>
      </c>
      <c r="AK431" s="73" t="str">
        <f t="shared" si="154"/>
        <v/>
      </c>
      <c r="AL431" s="73" t="str">
        <f t="shared" si="155"/>
        <v/>
      </c>
      <c r="AM431" s="73" t="str">
        <f t="shared" si="156"/>
        <v/>
      </c>
      <c r="AN431" s="73" t="str">
        <f t="shared" si="157"/>
        <v/>
      </c>
      <c r="AP431" s="61" t="str">
        <f t="shared" si="158"/>
        <v/>
      </c>
      <c r="AQ431" s="61" t="str">
        <f t="shared" si="159"/>
        <v/>
      </c>
      <c r="AR431" s="61" t="str">
        <f t="shared" si="160"/>
        <v/>
      </c>
    </row>
    <row r="432" spans="16:44" x14ac:dyDescent="0.25">
      <c r="P432" s="73" t="str">
        <f t="shared" si="141"/>
        <v/>
      </c>
      <c r="Q432" s="73" t="str">
        <f t="shared" si="142"/>
        <v/>
      </c>
      <c r="R432" s="74" t="str">
        <f t="shared" si="143"/>
        <v/>
      </c>
      <c r="S432" s="74" t="str">
        <f t="shared" si="144"/>
        <v/>
      </c>
      <c r="U432" s="74" t="str">
        <f t="shared" si="161"/>
        <v/>
      </c>
      <c r="V432" s="74" t="str">
        <f t="shared" si="161"/>
        <v/>
      </c>
      <c r="W432" s="74" t="str">
        <f t="shared" si="161"/>
        <v/>
      </c>
      <c r="X432" s="74" t="str">
        <f t="shared" si="161"/>
        <v/>
      </c>
      <c r="Y432" s="74" t="str">
        <f t="shared" si="161"/>
        <v/>
      </c>
      <c r="Z432" s="74" t="str">
        <f t="shared" si="145"/>
        <v/>
      </c>
      <c r="AA432" s="74">
        <f t="shared" si="146"/>
        <v>0</v>
      </c>
      <c r="AB432" s="74">
        <f t="shared" si="147"/>
        <v>0</v>
      </c>
      <c r="AC432" s="74" t="str">
        <f t="shared" si="148"/>
        <v/>
      </c>
      <c r="AE432" s="74" t="str">
        <f t="shared" si="149"/>
        <v/>
      </c>
      <c r="AF432" s="74" t="str">
        <f t="shared" si="150"/>
        <v/>
      </c>
      <c r="AG432" s="74" t="str">
        <f t="shared" si="151"/>
        <v/>
      </c>
      <c r="AH432" s="74">
        <f t="shared" si="152"/>
        <v>0</v>
      </c>
      <c r="AI432" s="74" t="str">
        <f>IF(AH432&lt;&gt;0,COUNTIF(AH$3:AH432,1),"")</f>
        <v/>
      </c>
      <c r="AJ432" s="74">
        <f t="shared" si="153"/>
        <v>0</v>
      </c>
      <c r="AK432" s="73" t="str">
        <f t="shared" si="154"/>
        <v/>
      </c>
      <c r="AL432" s="73" t="str">
        <f t="shared" si="155"/>
        <v/>
      </c>
      <c r="AM432" s="73" t="str">
        <f t="shared" si="156"/>
        <v/>
      </c>
      <c r="AN432" s="73" t="str">
        <f t="shared" si="157"/>
        <v/>
      </c>
      <c r="AP432" s="61" t="str">
        <f t="shared" si="158"/>
        <v/>
      </c>
      <c r="AQ432" s="61" t="str">
        <f t="shared" si="159"/>
        <v/>
      </c>
      <c r="AR432" s="61" t="str">
        <f t="shared" si="160"/>
        <v/>
      </c>
    </row>
    <row r="433" spans="16:44" x14ac:dyDescent="0.25">
      <c r="P433" s="73" t="str">
        <f t="shared" si="141"/>
        <v/>
      </c>
      <c r="Q433" s="73" t="str">
        <f t="shared" si="142"/>
        <v/>
      </c>
      <c r="R433" s="74" t="str">
        <f t="shared" si="143"/>
        <v/>
      </c>
      <c r="S433" s="74" t="str">
        <f t="shared" si="144"/>
        <v/>
      </c>
      <c r="U433" s="74" t="str">
        <f t="shared" si="161"/>
        <v/>
      </c>
      <c r="V433" s="74" t="str">
        <f t="shared" si="161"/>
        <v/>
      </c>
      <c r="W433" s="74" t="str">
        <f t="shared" si="161"/>
        <v/>
      </c>
      <c r="X433" s="74" t="str">
        <f t="shared" si="161"/>
        <v/>
      </c>
      <c r="Y433" s="74" t="str">
        <f t="shared" si="161"/>
        <v/>
      </c>
      <c r="Z433" s="74" t="str">
        <f t="shared" si="145"/>
        <v/>
      </c>
      <c r="AA433" s="74">
        <f t="shared" si="146"/>
        <v>0</v>
      </c>
      <c r="AB433" s="74">
        <f t="shared" si="147"/>
        <v>0</v>
      </c>
      <c r="AC433" s="74" t="str">
        <f t="shared" si="148"/>
        <v/>
      </c>
      <c r="AE433" s="74" t="str">
        <f t="shared" si="149"/>
        <v/>
      </c>
      <c r="AF433" s="74" t="str">
        <f t="shared" si="150"/>
        <v/>
      </c>
      <c r="AG433" s="74" t="str">
        <f t="shared" si="151"/>
        <v/>
      </c>
      <c r="AH433" s="74">
        <f t="shared" si="152"/>
        <v>0</v>
      </c>
      <c r="AI433" s="74" t="str">
        <f>IF(AH433&lt;&gt;0,COUNTIF(AH$3:AH433,1),"")</f>
        <v/>
      </c>
      <c r="AJ433" s="74">
        <f t="shared" si="153"/>
        <v>0</v>
      </c>
      <c r="AK433" s="73" t="str">
        <f t="shared" si="154"/>
        <v/>
      </c>
      <c r="AL433" s="73" t="str">
        <f t="shared" si="155"/>
        <v/>
      </c>
      <c r="AM433" s="73" t="str">
        <f t="shared" si="156"/>
        <v/>
      </c>
      <c r="AN433" s="73" t="str">
        <f t="shared" si="157"/>
        <v/>
      </c>
      <c r="AP433" s="61" t="str">
        <f t="shared" si="158"/>
        <v/>
      </c>
      <c r="AQ433" s="61" t="str">
        <f t="shared" si="159"/>
        <v/>
      </c>
      <c r="AR433" s="61" t="str">
        <f t="shared" si="160"/>
        <v/>
      </c>
    </row>
    <row r="434" spans="16:44" x14ac:dyDescent="0.25">
      <c r="P434" s="73" t="str">
        <f t="shared" si="141"/>
        <v/>
      </c>
      <c r="Q434" s="73" t="str">
        <f t="shared" si="142"/>
        <v/>
      </c>
      <c r="R434" s="74" t="str">
        <f t="shared" si="143"/>
        <v/>
      </c>
      <c r="S434" s="74" t="str">
        <f t="shared" si="144"/>
        <v/>
      </c>
      <c r="U434" s="74" t="str">
        <f t="shared" si="161"/>
        <v/>
      </c>
      <c r="V434" s="74" t="str">
        <f t="shared" si="161"/>
        <v/>
      </c>
      <c r="W434" s="74" t="str">
        <f t="shared" si="161"/>
        <v/>
      </c>
      <c r="X434" s="74" t="str">
        <f t="shared" si="161"/>
        <v/>
      </c>
      <c r="Y434" s="74" t="str">
        <f t="shared" si="161"/>
        <v/>
      </c>
      <c r="Z434" s="74" t="str">
        <f t="shared" si="145"/>
        <v/>
      </c>
      <c r="AA434" s="74">
        <f t="shared" si="146"/>
        <v>0</v>
      </c>
      <c r="AB434" s="74">
        <f t="shared" si="147"/>
        <v>0</v>
      </c>
      <c r="AC434" s="74" t="str">
        <f t="shared" si="148"/>
        <v/>
      </c>
      <c r="AE434" s="74" t="str">
        <f t="shared" si="149"/>
        <v/>
      </c>
      <c r="AF434" s="74" t="str">
        <f t="shared" si="150"/>
        <v/>
      </c>
      <c r="AG434" s="74" t="str">
        <f t="shared" si="151"/>
        <v/>
      </c>
      <c r="AH434" s="74">
        <f t="shared" si="152"/>
        <v>0</v>
      </c>
      <c r="AI434" s="74" t="str">
        <f>IF(AH434&lt;&gt;0,COUNTIF(AH$3:AH434,1),"")</f>
        <v/>
      </c>
      <c r="AJ434" s="74">
        <f t="shared" si="153"/>
        <v>0</v>
      </c>
      <c r="AK434" s="73" t="str">
        <f t="shared" si="154"/>
        <v/>
      </c>
      <c r="AL434" s="73" t="str">
        <f t="shared" si="155"/>
        <v/>
      </c>
      <c r="AM434" s="73" t="str">
        <f t="shared" si="156"/>
        <v/>
      </c>
      <c r="AN434" s="73" t="str">
        <f t="shared" si="157"/>
        <v/>
      </c>
      <c r="AP434" s="61" t="str">
        <f t="shared" si="158"/>
        <v/>
      </c>
      <c r="AQ434" s="61" t="str">
        <f t="shared" si="159"/>
        <v/>
      </c>
      <c r="AR434" s="61" t="str">
        <f t="shared" si="160"/>
        <v/>
      </c>
    </row>
    <row r="435" spans="16:44" x14ac:dyDescent="0.25">
      <c r="P435" s="73" t="str">
        <f t="shared" si="141"/>
        <v/>
      </c>
      <c r="Q435" s="73" t="str">
        <f t="shared" si="142"/>
        <v/>
      </c>
      <c r="R435" s="74" t="str">
        <f t="shared" si="143"/>
        <v/>
      </c>
      <c r="S435" s="74" t="str">
        <f t="shared" si="144"/>
        <v/>
      </c>
      <c r="U435" s="74" t="str">
        <f t="shared" si="161"/>
        <v/>
      </c>
      <c r="V435" s="74" t="str">
        <f t="shared" si="161"/>
        <v/>
      </c>
      <c r="W435" s="74" t="str">
        <f t="shared" si="161"/>
        <v/>
      </c>
      <c r="X435" s="74" t="str">
        <f t="shared" si="161"/>
        <v/>
      </c>
      <c r="Y435" s="74" t="str">
        <f t="shared" si="161"/>
        <v/>
      </c>
      <c r="Z435" s="74" t="str">
        <f t="shared" si="145"/>
        <v/>
      </c>
      <c r="AA435" s="74">
        <f t="shared" si="146"/>
        <v>0</v>
      </c>
      <c r="AB435" s="74">
        <f t="shared" si="147"/>
        <v>0</v>
      </c>
      <c r="AC435" s="74" t="str">
        <f t="shared" si="148"/>
        <v/>
      </c>
      <c r="AE435" s="74" t="str">
        <f t="shared" si="149"/>
        <v/>
      </c>
      <c r="AF435" s="74" t="str">
        <f t="shared" si="150"/>
        <v/>
      </c>
      <c r="AG435" s="74" t="str">
        <f t="shared" si="151"/>
        <v/>
      </c>
      <c r="AH435" s="74">
        <f t="shared" si="152"/>
        <v>0</v>
      </c>
      <c r="AI435" s="74" t="str">
        <f>IF(AH435&lt;&gt;0,COUNTIF(AH$3:AH435,1),"")</f>
        <v/>
      </c>
      <c r="AJ435" s="74">
        <f t="shared" si="153"/>
        <v>0</v>
      </c>
      <c r="AK435" s="73" t="str">
        <f t="shared" si="154"/>
        <v/>
      </c>
      <c r="AL435" s="73" t="str">
        <f t="shared" si="155"/>
        <v/>
      </c>
      <c r="AM435" s="73" t="str">
        <f t="shared" si="156"/>
        <v/>
      </c>
      <c r="AN435" s="73" t="str">
        <f t="shared" si="157"/>
        <v/>
      </c>
      <c r="AP435" s="61" t="str">
        <f t="shared" si="158"/>
        <v/>
      </c>
      <c r="AQ435" s="61" t="str">
        <f t="shared" si="159"/>
        <v/>
      </c>
      <c r="AR435" s="61" t="str">
        <f t="shared" si="160"/>
        <v/>
      </c>
    </row>
    <row r="436" spans="16:44" x14ac:dyDescent="0.25">
      <c r="P436" s="73" t="str">
        <f t="shared" si="141"/>
        <v/>
      </c>
      <c r="Q436" s="73" t="str">
        <f t="shared" si="142"/>
        <v/>
      </c>
      <c r="R436" s="74" t="str">
        <f t="shared" si="143"/>
        <v/>
      </c>
      <c r="S436" s="74" t="str">
        <f t="shared" si="144"/>
        <v/>
      </c>
      <c r="U436" s="74" t="str">
        <f t="shared" si="161"/>
        <v/>
      </c>
      <c r="V436" s="74" t="str">
        <f t="shared" si="161"/>
        <v/>
      </c>
      <c r="W436" s="74" t="str">
        <f t="shared" si="161"/>
        <v/>
      </c>
      <c r="X436" s="74" t="str">
        <f t="shared" si="161"/>
        <v/>
      </c>
      <c r="Y436" s="74" t="str">
        <f t="shared" si="161"/>
        <v/>
      </c>
      <c r="Z436" s="74" t="str">
        <f t="shared" si="145"/>
        <v/>
      </c>
      <c r="AA436" s="74">
        <f t="shared" si="146"/>
        <v>0</v>
      </c>
      <c r="AB436" s="74">
        <f t="shared" si="147"/>
        <v>0</v>
      </c>
      <c r="AC436" s="74" t="str">
        <f t="shared" si="148"/>
        <v/>
      </c>
      <c r="AE436" s="74" t="str">
        <f t="shared" si="149"/>
        <v/>
      </c>
      <c r="AF436" s="74" t="str">
        <f t="shared" si="150"/>
        <v/>
      </c>
      <c r="AG436" s="74" t="str">
        <f t="shared" si="151"/>
        <v/>
      </c>
      <c r="AH436" s="74">
        <f t="shared" si="152"/>
        <v>0</v>
      </c>
      <c r="AI436" s="74" t="str">
        <f>IF(AH436&lt;&gt;0,COUNTIF(AH$3:AH436,1),"")</f>
        <v/>
      </c>
      <c r="AJ436" s="74">
        <f t="shared" si="153"/>
        <v>0</v>
      </c>
      <c r="AK436" s="73" t="str">
        <f t="shared" si="154"/>
        <v/>
      </c>
      <c r="AL436" s="73" t="str">
        <f t="shared" si="155"/>
        <v/>
      </c>
      <c r="AM436" s="73" t="str">
        <f t="shared" si="156"/>
        <v/>
      </c>
      <c r="AN436" s="73" t="str">
        <f t="shared" si="157"/>
        <v/>
      </c>
      <c r="AP436" s="61" t="str">
        <f t="shared" si="158"/>
        <v/>
      </c>
      <c r="AQ436" s="61" t="str">
        <f t="shared" si="159"/>
        <v/>
      </c>
      <c r="AR436" s="61" t="str">
        <f t="shared" si="160"/>
        <v/>
      </c>
    </row>
    <row r="437" spans="16:44" x14ac:dyDescent="0.25">
      <c r="P437" s="73" t="str">
        <f t="shared" si="141"/>
        <v/>
      </c>
      <c r="Q437" s="73" t="str">
        <f t="shared" si="142"/>
        <v/>
      </c>
      <c r="R437" s="74" t="str">
        <f t="shared" si="143"/>
        <v/>
      </c>
      <c r="S437" s="74" t="str">
        <f t="shared" si="144"/>
        <v/>
      </c>
      <c r="U437" s="74" t="str">
        <f t="shared" si="161"/>
        <v/>
      </c>
      <c r="V437" s="74" t="str">
        <f t="shared" si="161"/>
        <v/>
      </c>
      <c r="W437" s="74" t="str">
        <f t="shared" si="161"/>
        <v/>
      </c>
      <c r="X437" s="74" t="str">
        <f t="shared" si="161"/>
        <v/>
      </c>
      <c r="Y437" s="74" t="str">
        <f t="shared" si="161"/>
        <v/>
      </c>
      <c r="Z437" s="74" t="str">
        <f t="shared" si="145"/>
        <v/>
      </c>
      <c r="AA437" s="74">
        <f t="shared" si="146"/>
        <v>0</v>
      </c>
      <c r="AB437" s="74">
        <f t="shared" si="147"/>
        <v>0</v>
      </c>
      <c r="AC437" s="74" t="str">
        <f t="shared" si="148"/>
        <v/>
      </c>
      <c r="AE437" s="74" t="str">
        <f t="shared" si="149"/>
        <v/>
      </c>
      <c r="AF437" s="74" t="str">
        <f t="shared" si="150"/>
        <v/>
      </c>
      <c r="AG437" s="74" t="str">
        <f t="shared" si="151"/>
        <v/>
      </c>
      <c r="AH437" s="74">
        <f t="shared" si="152"/>
        <v>0</v>
      </c>
      <c r="AI437" s="74" t="str">
        <f>IF(AH437&lt;&gt;0,COUNTIF(AH$3:AH437,1),"")</f>
        <v/>
      </c>
      <c r="AJ437" s="74">
        <f t="shared" si="153"/>
        <v>0</v>
      </c>
      <c r="AK437" s="73" t="str">
        <f t="shared" si="154"/>
        <v/>
      </c>
      <c r="AL437" s="73" t="str">
        <f t="shared" si="155"/>
        <v/>
      </c>
      <c r="AM437" s="73" t="str">
        <f t="shared" si="156"/>
        <v/>
      </c>
      <c r="AN437" s="73" t="str">
        <f t="shared" si="157"/>
        <v/>
      </c>
      <c r="AP437" s="61" t="str">
        <f t="shared" si="158"/>
        <v/>
      </c>
      <c r="AQ437" s="61" t="str">
        <f t="shared" si="159"/>
        <v/>
      </c>
      <c r="AR437" s="61" t="str">
        <f t="shared" si="160"/>
        <v/>
      </c>
    </row>
    <row r="438" spans="16:44" x14ac:dyDescent="0.25">
      <c r="P438" s="73" t="str">
        <f t="shared" si="141"/>
        <v/>
      </c>
      <c r="Q438" s="73" t="str">
        <f t="shared" si="142"/>
        <v/>
      </c>
      <c r="R438" s="74" t="str">
        <f t="shared" si="143"/>
        <v/>
      </c>
      <c r="S438" s="74" t="str">
        <f t="shared" si="144"/>
        <v/>
      </c>
      <c r="U438" s="74" t="str">
        <f t="shared" si="161"/>
        <v/>
      </c>
      <c r="V438" s="74" t="str">
        <f t="shared" si="161"/>
        <v/>
      </c>
      <c r="W438" s="74" t="str">
        <f t="shared" si="161"/>
        <v/>
      </c>
      <c r="X438" s="74" t="str">
        <f t="shared" si="161"/>
        <v/>
      </c>
      <c r="Y438" s="74" t="str">
        <f t="shared" si="161"/>
        <v/>
      </c>
      <c r="Z438" s="74" t="str">
        <f t="shared" si="145"/>
        <v/>
      </c>
      <c r="AA438" s="74">
        <f t="shared" si="146"/>
        <v>0</v>
      </c>
      <c r="AB438" s="74">
        <f t="shared" si="147"/>
        <v>0</v>
      </c>
      <c r="AC438" s="74" t="str">
        <f t="shared" si="148"/>
        <v/>
      </c>
      <c r="AE438" s="74" t="str">
        <f t="shared" si="149"/>
        <v/>
      </c>
      <c r="AF438" s="74" t="str">
        <f t="shared" si="150"/>
        <v/>
      </c>
      <c r="AG438" s="74" t="str">
        <f t="shared" si="151"/>
        <v/>
      </c>
      <c r="AH438" s="74">
        <f t="shared" si="152"/>
        <v>0</v>
      </c>
      <c r="AI438" s="74" t="str">
        <f>IF(AH438&lt;&gt;0,COUNTIF(AH$3:AH438,1),"")</f>
        <v/>
      </c>
      <c r="AJ438" s="74">
        <f t="shared" si="153"/>
        <v>0</v>
      </c>
      <c r="AK438" s="73" t="str">
        <f t="shared" si="154"/>
        <v/>
      </c>
      <c r="AL438" s="73" t="str">
        <f t="shared" si="155"/>
        <v/>
      </c>
      <c r="AM438" s="73" t="str">
        <f t="shared" si="156"/>
        <v/>
      </c>
      <c r="AN438" s="73" t="str">
        <f t="shared" si="157"/>
        <v/>
      </c>
      <c r="AP438" s="61" t="str">
        <f t="shared" si="158"/>
        <v/>
      </c>
      <c r="AQ438" s="61" t="str">
        <f t="shared" si="159"/>
        <v/>
      </c>
      <c r="AR438" s="61" t="str">
        <f t="shared" si="160"/>
        <v/>
      </c>
    </row>
    <row r="439" spans="16:44" x14ac:dyDescent="0.25">
      <c r="P439" s="73" t="str">
        <f t="shared" si="141"/>
        <v/>
      </c>
      <c r="Q439" s="73" t="str">
        <f t="shared" si="142"/>
        <v/>
      </c>
      <c r="R439" s="74" t="str">
        <f t="shared" si="143"/>
        <v/>
      </c>
      <c r="S439" s="74" t="str">
        <f t="shared" si="144"/>
        <v/>
      </c>
      <c r="U439" s="74" t="str">
        <f t="shared" si="161"/>
        <v/>
      </c>
      <c r="V439" s="74" t="str">
        <f t="shared" si="161"/>
        <v/>
      </c>
      <c r="W439" s="74" t="str">
        <f t="shared" si="161"/>
        <v/>
      </c>
      <c r="X439" s="74" t="str">
        <f t="shared" si="161"/>
        <v/>
      </c>
      <c r="Y439" s="74" t="str">
        <f t="shared" si="161"/>
        <v/>
      </c>
      <c r="Z439" s="74" t="str">
        <f t="shared" si="145"/>
        <v/>
      </c>
      <c r="AA439" s="74">
        <f t="shared" si="146"/>
        <v>0</v>
      </c>
      <c r="AB439" s="74">
        <f t="shared" si="147"/>
        <v>0</v>
      </c>
      <c r="AC439" s="74" t="str">
        <f t="shared" si="148"/>
        <v/>
      </c>
      <c r="AE439" s="74" t="str">
        <f t="shared" si="149"/>
        <v/>
      </c>
      <c r="AF439" s="74" t="str">
        <f t="shared" si="150"/>
        <v/>
      </c>
      <c r="AG439" s="74" t="str">
        <f t="shared" si="151"/>
        <v/>
      </c>
      <c r="AH439" s="74">
        <f t="shared" si="152"/>
        <v>0</v>
      </c>
      <c r="AI439" s="74" t="str">
        <f>IF(AH439&lt;&gt;0,COUNTIF(AH$3:AH439,1),"")</f>
        <v/>
      </c>
      <c r="AJ439" s="74">
        <f t="shared" si="153"/>
        <v>0</v>
      </c>
      <c r="AK439" s="73" t="str">
        <f t="shared" si="154"/>
        <v/>
      </c>
      <c r="AL439" s="73" t="str">
        <f t="shared" si="155"/>
        <v/>
      </c>
      <c r="AM439" s="73" t="str">
        <f t="shared" si="156"/>
        <v/>
      </c>
      <c r="AN439" s="73" t="str">
        <f t="shared" si="157"/>
        <v/>
      </c>
      <c r="AP439" s="61" t="str">
        <f t="shared" si="158"/>
        <v/>
      </c>
      <c r="AQ439" s="61" t="str">
        <f t="shared" si="159"/>
        <v/>
      </c>
      <c r="AR439" s="61" t="str">
        <f t="shared" si="160"/>
        <v/>
      </c>
    </row>
    <row r="440" spans="16:44" x14ac:dyDescent="0.25">
      <c r="P440" s="73" t="str">
        <f t="shared" si="141"/>
        <v/>
      </c>
      <c r="Q440" s="73" t="str">
        <f t="shared" si="142"/>
        <v/>
      </c>
      <c r="R440" s="74" t="str">
        <f t="shared" si="143"/>
        <v/>
      </c>
      <c r="S440" s="74" t="str">
        <f t="shared" si="144"/>
        <v/>
      </c>
      <c r="U440" s="74" t="str">
        <f t="shared" si="161"/>
        <v/>
      </c>
      <c r="V440" s="74" t="str">
        <f t="shared" si="161"/>
        <v/>
      </c>
      <c r="W440" s="74" t="str">
        <f t="shared" si="161"/>
        <v/>
      </c>
      <c r="X440" s="74" t="str">
        <f t="shared" si="161"/>
        <v/>
      </c>
      <c r="Y440" s="74" t="str">
        <f t="shared" si="161"/>
        <v/>
      </c>
      <c r="Z440" s="74" t="str">
        <f t="shared" si="145"/>
        <v/>
      </c>
      <c r="AA440" s="74">
        <f t="shared" si="146"/>
        <v>0</v>
      </c>
      <c r="AB440" s="74">
        <f t="shared" si="147"/>
        <v>0</v>
      </c>
      <c r="AC440" s="74" t="str">
        <f t="shared" si="148"/>
        <v/>
      </c>
      <c r="AE440" s="74" t="str">
        <f t="shared" si="149"/>
        <v/>
      </c>
      <c r="AF440" s="74" t="str">
        <f t="shared" si="150"/>
        <v/>
      </c>
      <c r="AG440" s="74" t="str">
        <f t="shared" si="151"/>
        <v/>
      </c>
      <c r="AH440" s="74">
        <f t="shared" si="152"/>
        <v>0</v>
      </c>
      <c r="AI440" s="74" t="str">
        <f>IF(AH440&lt;&gt;0,COUNTIF(AH$3:AH440,1),"")</f>
        <v/>
      </c>
      <c r="AJ440" s="74">
        <f t="shared" si="153"/>
        <v>0</v>
      </c>
      <c r="AK440" s="73" t="str">
        <f t="shared" si="154"/>
        <v/>
      </c>
      <c r="AL440" s="73" t="str">
        <f t="shared" si="155"/>
        <v/>
      </c>
      <c r="AM440" s="73" t="str">
        <f t="shared" si="156"/>
        <v/>
      </c>
      <c r="AN440" s="73" t="str">
        <f t="shared" si="157"/>
        <v/>
      </c>
      <c r="AP440" s="61" t="str">
        <f t="shared" si="158"/>
        <v/>
      </c>
      <c r="AQ440" s="61" t="str">
        <f t="shared" si="159"/>
        <v/>
      </c>
      <c r="AR440" s="61" t="str">
        <f t="shared" si="160"/>
        <v/>
      </c>
    </row>
    <row r="441" spans="16:44" x14ac:dyDescent="0.25">
      <c r="P441" s="73" t="str">
        <f t="shared" si="141"/>
        <v/>
      </c>
      <c r="Q441" s="73" t="str">
        <f t="shared" si="142"/>
        <v/>
      </c>
      <c r="R441" s="74" t="str">
        <f t="shared" si="143"/>
        <v/>
      </c>
      <c r="S441" s="74" t="str">
        <f t="shared" si="144"/>
        <v/>
      </c>
      <c r="U441" s="74" t="str">
        <f t="shared" si="161"/>
        <v/>
      </c>
      <c r="V441" s="74" t="str">
        <f t="shared" si="161"/>
        <v/>
      </c>
      <c r="W441" s="74" t="str">
        <f t="shared" si="161"/>
        <v/>
      </c>
      <c r="X441" s="74" t="str">
        <f t="shared" si="161"/>
        <v/>
      </c>
      <c r="Y441" s="74" t="str">
        <f t="shared" si="161"/>
        <v/>
      </c>
      <c r="Z441" s="74" t="str">
        <f t="shared" si="145"/>
        <v/>
      </c>
      <c r="AA441" s="74">
        <f t="shared" si="146"/>
        <v>0</v>
      </c>
      <c r="AB441" s="74">
        <f t="shared" si="147"/>
        <v>0</v>
      </c>
      <c r="AC441" s="74" t="str">
        <f t="shared" si="148"/>
        <v/>
      </c>
      <c r="AE441" s="74" t="str">
        <f t="shared" si="149"/>
        <v/>
      </c>
      <c r="AF441" s="74" t="str">
        <f t="shared" si="150"/>
        <v/>
      </c>
      <c r="AG441" s="74" t="str">
        <f t="shared" si="151"/>
        <v/>
      </c>
      <c r="AH441" s="74">
        <f t="shared" si="152"/>
        <v>0</v>
      </c>
      <c r="AI441" s="74" t="str">
        <f>IF(AH441&lt;&gt;0,COUNTIF(AH$3:AH441,1),"")</f>
        <v/>
      </c>
      <c r="AJ441" s="74">
        <f t="shared" si="153"/>
        <v>0</v>
      </c>
      <c r="AK441" s="73" t="str">
        <f t="shared" si="154"/>
        <v/>
      </c>
      <c r="AL441" s="73" t="str">
        <f t="shared" si="155"/>
        <v/>
      </c>
      <c r="AM441" s="73" t="str">
        <f t="shared" si="156"/>
        <v/>
      </c>
      <c r="AN441" s="73" t="str">
        <f t="shared" si="157"/>
        <v/>
      </c>
      <c r="AP441" s="61" t="str">
        <f t="shared" si="158"/>
        <v/>
      </c>
      <c r="AQ441" s="61" t="str">
        <f t="shared" si="159"/>
        <v/>
      </c>
      <c r="AR441" s="61" t="str">
        <f t="shared" si="160"/>
        <v/>
      </c>
    </row>
    <row r="442" spans="16:44" x14ac:dyDescent="0.25">
      <c r="P442" s="73" t="str">
        <f t="shared" si="141"/>
        <v/>
      </c>
      <c r="Q442" s="73" t="str">
        <f t="shared" si="142"/>
        <v/>
      </c>
      <c r="R442" s="74" t="str">
        <f t="shared" si="143"/>
        <v/>
      </c>
      <c r="S442" s="74" t="str">
        <f t="shared" si="144"/>
        <v/>
      </c>
      <c r="U442" s="74" t="str">
        <f t="shared" si="161"/>
        <v/>
      </c>
      <c r="V442" s="74" t="str">
        <f t="shared" si="161"/>
        <v/>
      </c>
      <c r="W442" s="74" t="str">
        <f t="shared" si="161"/>
        <v/>
      </c>
      <c r="X442" s="74" t="str">
        <f t="shared" si="161"/>
        <v/>
      </c>
      <c r="Y442" s="74" t="str">
        <f t="shared" si="161"/>
        <v/>
      </c>
      <c r="Z442" s="74" t="str">
        <f t="shared" si="145"/>
        <v/>
      </c>
      <c r="AA442" s="74">
        <f t="shared" si="146"/>
        <v>0</v>
      </c>
      <c r="AB442" s="74">
        <f t="shared" si="147"/>
        <v>0</v>
      </c>
      <c r="AC442" s="74" t="str">
        <f t="shared" si="148"/>
        <v/>
      </c>
      <c r="AE442" s="74" t="str">
        <f t="shared" si="149"/>
        <v/>
      </c>
      <c r="AF442" s="74" t="str">
        <f t="shared" si="150"/>
        <v/>
      </c>
      <c r="AG442" s="74" t="str">
        <f t="shared" si="151"/>
        <v/>
      </c>
      <c r="AH442" s="74">
        <f t="shared" si="152"/>
        <v>0</v>
      </c>
      <c r="AI442" s="74" t="str">
        <f>IF(AH442&lt;&gt;0,COUNTIF(AH$3:AH442,1),"")</f>
        <v/>
      </c>
      <c r="AJ442" s="74">
        <f t="shared" si="153"/>
        <v>0</v>
      </c>
      <c r="AK442" s="73" t="str">
        <f t="shared" si="154"/>
        <v/>
      </c>
      <c r="AL442" s="73" t="str">
        <f t="shared" si="155"/>
        <v/>
      </c>
      <c r="AM442" s="73" t="str">
        <f t="shared" si="156"/>
        <v/>
      </c>
      <c r="AN442" s="73" t="str">
        <f t="shared" si="157"/>
        <v/>
      </c>
      <c r="AP442" s="61" t="str">
        <f t="shared" si="158"/>
        <v/>
      </c>
      <c r="AQ442" s="61" t="str">
        <f t="shared" si="159"/>
        <v/>
      </c>
      <c r="AR442" s="61" t="str">
        <f t="shared" si="160"/>
        <v/>
      </c>
    </row>
    <row r="443" spans="16:44" x14ac:dyDescent="0.25">
      <c r="P443" s="73" t="str">
        <f t="shared" si="141"/>
        <v/>
      </c>
      <c r="Q443" s="73" t="str">
        <f t="shared" si="142"/>
        <v/>
      </c>
      <c r="R443" s="74" t="str">
        <f t="shared" si="143"/>
        <v/>
      </c>
      <c r="S443" s="74" t="str">
        <f t="shared" si="144"/>
        <v/>
      </c>
      <c r="U443" s="74" t="str">
        <f t="shared" si="161"/>
        <v/>
      </c>
      <c r="V443" s="74" t="str">
        <f t="shared" si="161"/>
        <v/>
      </c>
      <c r="W443" s="74" t="str">
        <f t="shared" si="161"/>
        <v/>
      </c>
      <c r="X443" s="74" t="str">
        <f t="shared" si="161"/>
        <v/>
      </c>
      <c r="Y443" s="74" t="str">
        <f t="shared" si="161"/>
        <v/>
      </c>
      <c r="Z443" s="74" t="str">
        <f t="shared" si="145"/>
        <v/>
      </c>
      <c r="AA443" s="74">
        <f t="shared" si="146"/>
        <v>0</v>
      </c>
      <c r="AB443" s="74">
        <f t="shared" si="147"/>
        <v>0</v>
      </c>
      <c r="AC443" s="74" t="str">
        <f t="shared" si="148"/>
        <v/>
      </c>
      <c r="AE443" s="74" t="str">
        <f t="shared" si="149"/>
        <v/>
      </c>
      <c r="AF443" s="74" t="str">
        <f t="shared" si="150"/>
        <v/>
      </c>
      <c r="AG443" s="74" t="str">
        <f t="shared" si="151"/>
        <v/>
      </c>
      <c r="AH443" s="74">
        <f t="shared" si="152"/>
        <v>0</v>
      </c>
      <c r="AI443" s="74" t="str">
        <f>IF(AH443&lt;&gt;0,COUNTIF(AH$3:AH443,1),"")</f>
        <v/>
      </c>
      <c r="AJ443" s="74">
        <f t="shared" si="153"/>
        <v>0</v>
      </c>
      <c r="AK443" s="73" t="str">
        <f t="shared" si="154"/>
        <v/>
      </c>
      <c r="AL443" s="73" t="str">
        <f t="shared" si="155"/>
        <v/>
      </c>
      <c r="AM443" s="73" t="str">
        <f t="shared" si="156"/>
        <v/>
      </c>
      <c r="AN443" s="73" t="str">
        <f t="shared" si="157"/>
        <v/>
      </c>
      <c r="AP443" s="61" t="str">
        <f t="shared" si="158"/>
        <v/>
      </c>
      <c r="AQ443" s="61" t="str">
        <f t="shared" si="159"/>
        <v/>
      </c>
      <c r="AR443" s="61" t="str">
        <f t="shared" si="160"/>
        <v/>
      </c>
    </row>
    <row r="444" spans="16:44" x14ac:dyDescent="0.25">
      <c r="P444" s="73" t="str">
        <f t="shared" si="141"/>
        <v/>
      </c>
      <c r="Q444" s="73" t="str">
        <f t="shared" si="142"/>
        <v/>
      </c>
      <c r="R444" s="74" t="str">
        <f t="shared" si="143"/>
        <v/>
      </c>
      <c r="S444" s="74" t="str">
        <f t="shared" si="144"/>
        <v/>
      </c>
      <c r="U444" s="74" t="str">
        <f t="shared" si="161"/>
        <v/>
      </c>
      <c r="V444" s="74" t="str">
        <f t="shared" si="161"/>
        <v/>
      </c>
      <c r="W444" s="74" t="str">
        <f t="shared" si="161"/>
        <v/>
      </c>
      <c r="X444" s="74" t="str">
        <f t="shared" si="161"/>
        <v/>
      </c>
      <c r="Y444" s="74" t="str">
        <f t="shared" si="161"/>
        <v/>
      </c>
      <c r="Z444" s="74" t="str">
        <f t="shared" si="145"/>
        <v/>
      </c>
      <c r="AA444" s="74">
        <f t="shared" si="146"/>
        <v>0</v>
      </c>
      <c r="AB444" s="74">
        <f t="shared" si="147"/>
        <v>0</v>
      </c>
      <c r="AC444" s="74" t="str">
        <f t="shared" si="148"/>
        <v/>
      </c>
      <c r="AE444" s="74" t="str">
        <f t="shared" si="149"/>
        <v/>
      </c>
      <c r="AF444" s="74" t="str">
        <f t="shared" si="150"/>
        <v/>
      </c>
      <c r="AG444" s="74" t="str">
        <f t="shared" si="151"/>
        <v/>
      </c>
      <c r="AH444" s="74">
        <f t="shared" si="152"/>
        <v>0</v>
      </c>
      <c r="AI444" s="74" t="str">
        <f>IF(AH444&lt;&gt;0,COUNTIF(AH$3:AH444,1),"")</f>
        <v/>
      </c>
      <c r="AJ444" s="74">
        <f t="shared" si="153"/>
        <v>0</v>
      </c>
      <c r="AK444" s="73" t="str">
        <f t="shared" si="154"/>
        <v/>
      </c>
      <c r="AL444" s="73" t="str">
        <f t="shared" si="155"/>
        <v/>
      </c>
      <c r="AM444" s="73" t="str">
        <f t="shared" si="156"/>
        <v/>
      </c>
      <c r="AN444" s="73" t="str">
        <f t="shared" si="157"/>
        <v/>
      </c>
      <c r="AP444" s="61" t="str">
        <f t="shared" si="158"/>
        <v/>
      </c>
      <c r="AQ444" s="61" t="str">
        <f t="shared" si="159"/>
        <v/>
      </c>
      <c r="AR444" s="61" t="str">
        <f t="shared" si="160"/>
        <v/>
      </c>
    </row>
    <row r="445" spans="16:44" x14ac:dyDescent="0.25">
      <c r="P445" s="73" t="str">
        <f t="shared" si="141"/>
        <v/>
      </c>
      <c r="Q445" s="73" t="str">
        <f t="shared" si="142"/>
        <v/>
      </c>
      <c r="R445" s="74" t="str">
        <f t="shared" si="143"/>
        <v/>
      </c>
      <c r="S445" s="74" t="str">
        <f t="shared" si="144"/>
        <v/>
      </c>
      <c r="U445" s="74" t="str">
        <f t="shared" ref="U445:Y495" si="162">IF($F445=U$1,$E445,"")</f>
        <v/>
      </c>
      <c r="V445" s="74" t="str">
        <f t="shared" si="162"/>
        <v/>
      </c>
      <c r="W445" s="74" t="str">
        <f t="shared" si="162"/>
        <v/>
      </c>
      <c r="X445" s="74" t="str">
        <f t="shared" si="162"/>
        <v/>
      </c>
      <c r="Y445" s="74" t="str">
        <f t="shared" si="162"/>
        <v/>
      </c>
      <c r="Z445" s="74" t="str">
        <f t="shared" si="145"/>
        <v/>
      </c>
      <c r="AA445" s="74">
        <f t="shared" si="146"/>
        <v>0</v>
      </c>
      <c r="AB445" s="74">
        <f t="shared" si="147"/>
        <v>0</v>
      </c>
      <c r="AC445" s="74" t="str">
        <f t="shared" si="148"/>
        <v/>
      </c>
      <c r="AE445" s="74" t="str">
        <f t="shared" si="149"/>
        <v/>
      </c>
      <c r="AF445" s="74" t="str">
        <f t="shared" si="150"/>
        <v/>
      </c>
      <c r="AG445" s="74" t="str">
        <f t="shared" si="151"/>
        <v/>
      </c>
      <c r="AH445" s="74">
        <f t="shared" si="152"/>
        <v>0</v>
      </c>
      <c r="AI445" s="74" t="str">
        <f>IF(AH445&lt;&gt;0,COUNTIF(AH$3:AH445,1),"")</f>
        <v/>
      </c>
      <c r="AJ445" s="74">
        <f t="shared" si="153"/>
        <v>0</v>
      </c>
      <c r="AK445" s="73" t="str">
        <f t="shared" si="154"/>
        <v/>
      </c>
      <c r="AL445" s="73" t="str">
        <f t="shared" si="155"/>
        <v/>
      </c>
      <c r="AM445" s="73" t="str">
        <f t="shared" si="156"/>
        <v/>
      </c>
      <c r="AN445" s="73" t="str">
        <f t="shared" si="157"/>
        <v/>
      </c>
      <c r="AP445" s="61" t="str">
        <f t="shared" si="158"/>
        <v/>
      </c>
      <c r="AQ445" s="61" t="str">
        <f t="shared" si="159"/>
        <v/>
      </c>
      <c r="AR445" s="61" t="str">
        <f t="shared" si="160"/>
        <v/>
      </c>
    </row>
    <row r="446" spans="16:44" x14ac:dyDescent="0.25">
      <c r="P446" s="73" t="str">
        <f t="shared" ref="P446:P509" si="163">IF(N446&lt;&gt;"",SUBSTITUTE(LEFT(N446,FIND(";",N446)),";",""),"")</f>
        <v/>
      </c>
      <c r="Q446" s="73" t="str">
        <f t="shared" ref="Q446:Q509" si="164">IF(N446&lt;&gt;"",SUBSTITUTE(RIGHT(N446,FIND(";",N446)),";",""),"")</f>
        <v/>
      </c>
      <c r="R446" s="74" t="str">
        <f t="shared" ref="R446:R509" si="165">IF(O446&lt;&gt;"",SUBSTITUTE(LEFT(O446,FIND(";",O446)),";",""),"")</f>
        <v/>
      </c>
      <c r="S446" s="74" t="str">
        <f t="shared" ref="S446:S509" si="166">IF(O446&lt;&gt;"",IFERROR(IF(FIND("OK",O446)&gt;0,TRUE),FALSE),"")</f>
        <v/>
      </c>
      <c r="U446" s="74" t="str">
        <f t="shared" si="162"/>
        <v/>
      </c>
      <c r="V446" s="74" t="str">
        <f t="shared" si="162"/>
        <v/>
      </c>
      <c r="W446" s="74" t="str">
        <f t="shared" si="162"/>
        <v/>
      </c>
      <c r="X446" s="74" t="str">
        <f t="shared" si="162"/>
        <v/>
      </c>
      <c r="Y446" s="74" t="str">
        <f t="shared" si="162"/>
        <v/>
      </c>
      <c r="Z446" s="74" t="str">
        <f t="shared" ref="Z446:Z509" si="167">IF(G446,E446,"")</f>
        <v/>
      </c>
      <c r="AA446" s="74">
        <f t="shared" ref="AA446:AA509" si="168">IF(G446=FALSE,E446,"")</f>
        <v>0</v>
      </c>
      <c r="AB446" s="74">
        <f t="shared" ref="AB446:AB509" si="169">IF(G446,1,0)</f>
        <v>0</v>
      </c>
      <c r="AC446" s="74" t="str">
        <f t="shared" ref="AC446:AC509" si="170">IF(A446&lt;&gt;"",IF(G446,0,1),"")</f>
        <v/>
      </c>
      <c r="AE446" s="74" t="str">
        <f t="shared" ref="AE446:AE509" si="171">IF(P446&lt;&gt;"",IF(AND(_xlfn.NUMBERVALUE(P446)&gt;25,_xlfn.NUMBERVALUE(P446)&lt;38),TRUE,FALSE),"")</f>
        <v/>
      </c>
      <c r="AF446" s="74" t="str">
        <f t="shared" ref="AF446:AF509" si="172">IF(Q446&lt;&gt;"",IF(AND(_xlfn.NUMBERVALUE(Q446)&gt;25,_xlfn.NUMBERVALUE(Q446)&lt;38),TRUE,FALSE),"")</f>
        <v/>
      </c>
      <c r="AG446" s="74" t="str">
        <f t="shared" ref="AG446:AG509" si="173">IF(R446&lt;&gt;"",IF(AND(_xlfn.NUMBERVALUE(R446)&gt;262,_xlfn.NUMBERVALUE(R446)&lt;307),TRUE,FALSE),"")</f>
        <v/>
      </c>
      <c r="AH446" s="74">
        <f t="shared" ref="AH446:AH509" si="174">IF(OR(AE446=FALSE,AF446=FALSE,AG446=FALSE),1,0)</f>
        <v>0</v>
      </c>
      <c r="AI446" s="74" t="str">
        <f>IF(AH446&lt;&gt;0,COUNTIF(AH$3:AH446,1),"")</f>
        <v/>
      </c>
      <c r="AJ446" s="74">
        <f t="shared" ref="AJ446:AJ509" si="175">L446</f>
        <v>0</v>
      </c>
      <c r="AK446" s="73" t="str">
        <f t="shared" ref="AK446:AK509" si="176">P446</f>
        <v/>
      </c>
      <c r="AL446" s="73" t="str">
        <f t="shared" ref="AL446:AL509" si="177">Q446</f>
        <v/>
      </c>
      <c r="AM446" s="73" t="str">
        <f t="shared" ref="AM446:AM509" si="178">R446</f>
        <v/>
      </c>
      <c r="AN446" s="73" t="str">
        <f t="shared" ref="AN446:AN509" si="179">S446</f>
        <v/>
      </c>
      <c r="AP446" s="61" t="str">
        <f t="shared" si="158"/>
        <v/>
      </c>
      <c r="AQ446" s="61" t="str">
        <f t="shared" si="159"/>
        <v/>
      </c>
      <c r="AR446" s="61" t="str">
        <f t="shared" si="160"/>
        <v/>
      </c>
    </row>
    <row r="447" spans="16:44" x14ac:dyDescent="0.25">
      <c r="P447" s="73" t="str">
        <f t="shared" si="163"/>
        <v/>
      </c>
      <c r="Q447" s="73" t="str">
        <f t="shared" si="164"/>
        <v/>
      </c>
      <c r="R447" s="74" t="str">
        <f t="shared" si="165"/>
        <v/>
      </c>
      <c r="S447" s="74" t="str">
        <f t="shared" si="166"/>
        <v/>
      </c>
      <c r="U447" s="74" t="str">
        <f t="shared" si="162"/>
        <v/>
      </c>
      <c r="V447" s="74" t="str">
        <f t="shared" si="162"/>
        <v/>
      </c>
      <c r="W447" s="74" t="str">
        <f t="shared" si="162"/>
        <v/>
      </c>
      <c r="X447" s="74" t="str">
        <f t="shared" si="162"/>
        <v/>
      </c>
      <c r="Y447" s="74" t="str">
        <f t="shared" si="162"/>
        <v/>
      </c>
      <c r="Z447" s="74" t="str">
        <f t="shared" si="167"/>
        <v/>
      </c>
      <c r="AA447" s="74">
        <f t="shared" si="168"/>
        <v>0</v>
      </c>
      <c r="AB447" s="74">
        <f t="shared" si="169"/>
        <v>0</v>
      </c>
      <c r="AC447" s="74" t="str">
        <f t="shared" si="170"/>
        <v/>
      </c>
      <c r="AE447" s="74" t="str">
        <f t="shared" si="171"/>
        <v/>
      </c>
      <c r="AF447" s="74" t="str">
        <f t="shared" si="172"/>
        <v/>
      </c>
      <c r="AG447" s="74" t="str">
        <f t="shared" si="173"/>
        <v/>
      </c>
      <c r="AH447" s="74">
        <f t="shared" si="174"/>
        <v>0</v>
      </c>
      <c r="AI447" s="74" t="str">
        <f>IF(AH447&lt;&gt;0,COUNTIF(AH$3:AH447,1),"")</f>
        <v/>
      </c>
      <c r="AJ447" s="74">
        <f t="shared" si="175"/>
        <v>0</v>
      </c>
      <c r="AK447" s="73" t="str">
        <f t="shared" si="176"/>
        <v/>
      </c>
      <c r="AL447" s="73" t="str">
        <f t="shared" si="177"/>
        <v/>
      </c>
      <c r="AM447" s="73" t="str">
        <f t="shared" si="178"/>
        <v/>
      </c>
      <c r="AN447" s="73" t="str">
        <f t="shared" si="179"/>
        <v/>
      </c>
      <c r="AP447" s="61" t="str">
        <f t="shared" si="158"/>
        <v/>
      </c>
      <c r="AQ447" s="61" t="str">
        <f t="shared" si="159"/>
        <v/>
      </c>
      <c r="AR447" s="61" t="str">
        <f t="shared" si="160"/>
        <v/>
      </c>
    </row>
    <row r="448" spans="16:44" x14ac:dyDescent="0.25">
      <c r="P448" s="73" t="str">
        <f t="shared" si="163"/>
        <v/>
      </c>
      <c r="Q448" s="73" t="str">
        <f t="shared" si="164"/>
        <v/>
      </c>
      <c r="R448" s="74" t="str">
        <f t="shared" si="165"/>
        <v/>
      </c>
      <c r="S448" s="74" t="str">
        <f t="shared" si="166"/>
        <v/>
      </c>
      <c r="U448" s="74" t="str">
        <f t="shared" si="162"/>
        <v/>
      </c>
      <c r="V448" s="74" t="str">
        <f t="shared" si="162"/>
        <v/>
      </c>
      <c r="W448" s="74" t="str">
        <f t="shared" si="162"/>
        <v/>
      </c>
      <c r="X448" s="74" t="str">
        <f t="shared" si="162"/>
        <v/>
      </c>
      <c r="Y448" s="74" t="str">
        <f t="shared" si="162"/>
        <v/>
      </c>
      <c r="Z448" s="74" t="str">
        <f t="shared" si="167"/>
        <v/>
      </c>
      <c r="AA448" s="74">
        <f t="shared" si="168"/>
        <v>0</v>
      </c>
      <c r="AB448" s="74">
        <f t="shared" si="169"/>
        <v>0</v>
      </c>
      <c r="AC448" s="74" t="str">
        <f t="shared" si="170"/>
        <v/>
      </c>
      <c r="AE448" s="74" t="str">
        <f t="shared" si="171"/>
        <v/>
      </c>
      <c r="AF448" s="74" t="str">
        <f t="shared" si="172"/>
        <v/>
      </c>
      <c r="AG448" s="74" t="str">
        <f t="shared" si="173"/>
        <v/>
      </c>
      <c r="AH448" s="74">
        <f t="shared" si="174"/>
        <v>0</v>
      </c>
      <c r="AI448" s="74" t="str">
        <f>IF(AH448&lt;&gt;0,COUNTIF(AH$3:AH448,1),"")</f>
        <v/>
      </c>
      <c r="AJ448" s="74">
        <f t="shared" si="175"/>
        <v>0</v>
      </c>
      <c r="AK448" s="73" t="str">
        <f t="shared" si="176"/>
        <v/>
      </c>
      <c r="AL448" s="73" t="str">
        <f t="shared" si="177"/>
        <v/>
      </c>
      <c r="AM448" s="73" t="str">
        <f t="shared" si="178"/>
        <v/>
      </c>
      <c r="AN448" s="73" t="str">
        <f t="shared" si="179"/>
        <v/>
      </c>
      <c r="AP448" s="61" t="str">
        <f t="shared" si="158"/>
        <v/>
      </c>
      <c r="AQ448" s="61" t="str">
        <f t="shared" si="159"/>
        <v/>
      </c>
      <c r="AR448" s="61" t="str">
        <f t="shared" si="160"/>
        <v/>
      </c>
    </row>
    <row r="449" spans="16:44" x14ac:dyDescent="0.25">
      <c r="P449" s="73" t="str">
        <f t="shared" si="163"/>
        <v/>
      </c>
      <c r="Q449" s="73" t="str">
        <f t="shared" si="164"/>
        <v/>
      </c>
      <c r="R449" s="74" t="str">
        <f t="shared" si="165"/>
        <v/>
      </c>
      <c r="S449" s="74" t="str">
        <f t="shared" si="166"/>
        <v/>
      </c>
      <c r="U449" s="74" t="str">
        <f t="shared" si="162"/>
        <v/>
      </c>
      <c r="V449" s="74" t="str">
        <f t="shared" si="162"/>
        <v/>
      </c>
      <c r="W449" s="74" t="str">
        <f t="shared" si="162"/>
        <v/>
      </c>
      <c r="X449" s="74" t="str">
        <f t="shared" si="162"/>
        <v/>
      </c>
      <c r="Y449" s="74" t="str">
        <f t="shared" si="162"/>
        <v/>
      </c>
      <c r="Z449" s="74" t="str">
        <f t="shared" si="167"/>
        <v/>
      </c>
      <c r="AA449" s="74">
        <f t="shared" si="168"/>
        <v>0</v>
      </c>
      <c r="AB449" s="74">
        <f t="shared" si="169"/>
        <v>0</v>
      </c>
      <c r="AC449" s="74" t="str">
        <f t="shared" si="170"/>
        <v/>
      </c>
      <c r="AE449" s="74" t="str">
        <f t="shared" si="171"/>
        <v/>
      </c>
      <c r="AF449" s="74" t="str">
        <f t="shared" si="172"/>
        <v/>
      </c>
      <c r="AG449" s="74" t="str">
        <f t="shared" si="173"/>
        <v/>
      </c>
      <c r="AH449" s="74">
        <f t="shared" si="174"/>
        <v>0</v>
      </c>
      <c r="AI449" s="74" t="str">
        <f>IF(AH449&lt;&gt;0,COUNTIF(AH$3:AH449,1),"")</f>
        <v/>
      </c>
      <c r="AJ449" s="74">
        <f t="shared" si="175"/>
        <v>0</v>
      </c>
      <c r="AK449" s="73" t="str">
        <f t="shared" si="176"/>
        <v/>
      </c>
      <c r="AL449" s="73" t="str">
        <f t="shared" si="177"/>
        <v/>
      </c>
      <c r="AM449" s="73" t="str">
        <f t="shared" si="178"/>
        <v/>
      </c>
      <c r="AN449" s="73" t="str">
        <f t="shared" si="179"/>
        <v/>
      </c>
      <c r="AP449" s="61" t="str">
        <f t="shared" si="158"/>
        <v/>
      </c>
      <c r="AQ449" s="61" t="str">
        <f t="shared" si="159"/>
        <v/>
      </c>
      <c r="AR449" s="61" t="str">
        <f t="shared" si="160"/>
        <v/>
      </c>
    </row>
    <row r="450" spans="16:44" x14ac:dyDescent="0.25">
      <c r="P450" s="73" t="str">
        <f t="shared" si="163"/>
        <v/>
      </c>
      <c r="Q450" s="73" t="str">
        <f t="shared" si="164"/>
        <v/>
      </c>
      <c r="R450" s="74" t="str">
        <f t="shared" si="165"/>
        <v/>
      </c>
      <c r="S450" s="74" t="str">
        <f t="shared" si="166"/>
        <v/>
      </c>
      <c r="U450" s="74" t="str">
        <f t="shared" si="162"/>
        <v/>
      </c>
      <c r="V450" s="74" t="str">
        <f t="shared" si="162"/>
        <v/>
      </c>
      <c r="W450" s="74" t="str">
        <f t="shared" si="162"/>
        <v/>
      </c>
      <c r="X450" s="74" t="str">
        <f t="shared" si="162"/>
        <v/>
      </c>
      <c r="Y450" s="74" t="str">
        <f t="shared" si="162"/>
        <v/>
      </c>
      <c r="Z450" s="74" t="str">
        <f t="shared" si="167"/>
        <v/>
      </c>
      <c r="AA450" s="74">
        <f t="shared" si="168"/>
        <v>0</v>
      </c>
      <c r="AB450" s="74">
        <f t="shared" si="169"/>
        <v>0</v>
      </c>
      <c r="AC450" s="74" t="str">
        <f t="shared" si="170"/>
        <v/>
      </c>
      <c r="AE450" s="74" t="str">
        <f t="shared" si="171"/>
        <v/>
      </c>
      <c r="AF450" s="74" t="str">
        <f t="shared" si="172"/>
        <v/>
      </c>
      <c r="AG450" s="74" t="str">
        <f t="shared" si="173"/>
        <v/>
      </c>
      <c r="AH450" s="74">
        <f t="shared" si="174"/>
        <v>0</v>
      </c>
      <c r="AI450" s="74" t="str">
        <f>IF(AH450&lt;&gt;0,COUNTIF(AH$3:AH450,1),"")</f>
        <v/>
      </c>
      <c r="AJ450" s="74">
        <f t="shared" si="175"/>
        <v>0</v>
      </c>
      <c r="AK450" s="73" t="str">
        <f t="shared" si="176"/>
        <v/>
      </c>
      <c r="AL450" s="73" t="str">
        <f t="shared" si="177"/>
        <v/>
      </c>
      <c r="AM450" s="73" t="str">
        <f t="shared" si="178"/>
        <v/>
      </c>
      <c r="AN450" s="73" t="str">
        <f t="shared" si="179"/>
        <v/>
      </c>
      <c r="AP450" s="61" t="str">
        <f t="shared" si="158"/>
        <v/>
      </c>
      <c r="AQ450" s="61" t="str">
        <f t="shared" si="159"/>
        <v/>
      </c>
      <c r="AR450" s="61" t="str">
        <f t="shared" si="160"/>
        <v/>
      </c>
    </row>
    <row r="451" spans="16:44" x14ac:dyDescent="0.25">
      <c r="P451" s="73" t="str">
        <f t="shared" si="163"/>
        <v/>
      </c>
      <c r="Q451" s="73" t="str">
        <f t="shared" si="164"/>
        <v/>
      </c>
      <c r="R451" s="74" t="str">
        <f t="shared" si="165"/>
        <v/>
      </c>
      <c r="S451" s="74" t="str">
        <f t="shared" si="166"/>
        <v/>
      </c>
      <c r="U451" s="74" t="str">
        <f t="shared" si="162"/>
        <v/>
      </c>
      <c r="V451" s="74" t="str">
        <f t="shared" si="162"/>
        <v/>
      </c>
      <c r="W451" s="74" t="str">
        <f t="shared" si="162"/>
        <v/>
      </c>
      <c r="X451" s="74" t="str">
        <f t="shared" si="162"/>
        <v/>
      </c>
      <c r="Y451" s="74" t="str">
        <f t="shared" si="162"/>
        <v/>
      </c>
      <c r="Z451" s="74" t="str">
        <f t="shared" si="167"/>
        <v/>
      </c>
      <c r="AA451" s="74">
        <f t="shared" si="168"/>
        <v>0</v>
      </c>
      <c r="AB451" s="74">
        <f t="shared" si="169"/>
        <v>0</v>
      </c>
      <c r="AC451" s="74" t="str">
        <f t="shared" si="170"/>
        <v/>
      </c>
      <c r="AE451" s="74" t="str">
        <f t="shared" si="171"/>
        <v/>
      </c>
      <c r="AF451" s="74" t="str">
        <f t="shared" si="172"/>
        <v/>
      </c>
      <c r="AG451" s="74" t="str">
        <f t="shared" si="173"/>
        <v/>
      </c>
      <c r="AH451" s="74">
        <f t="shared" si="174"/>
        <v>0</v>
      </c>
      <c r="AI451" s="74" t="str">
        <f>IF(AH451&lt;&gt;0,COUNTIF(AH$3:AH451,1),"")</f>
        <v/>
      </c>
      <c r="AJ451" s="74">
        <f t="shared" si="175"/>
        <v>0</v>
      </c>
      <c r="AK451" s="73" t="str">
        <f t="shared" si="176"/>
        <v/>
      </c>
      <c r="AL451" s="73" t="str">
        <f t="shared" si="177"/>
        <v/>
      </c>
      <c r="AM451" s="73" t="str">
        <f t="shared" si="178"/>
        <v/>
      </c>
      <c r="AN451" s="73" t="str">
        <f t="shared" si="179"/>
        <v/>
      </c>
      <c r="AP451" s="61" t="str">
        <f t="shared" si="158"/>
        <v/>
      </c>
      <c r="AQ451" s="61" t="str">
        <f t="shared" si="159"/>
        <v/>
      </c>
      <c r="AR451" s="61" t="str">
        <f t="shared" si="160"/>
        <v/>
      </c>
    </row>
    <row r="452" spans="16:44" x14ac:dyDescent="0.25">
      <c r="P452" s="73" t="str">
        <f t="shared" si="163"/>
        <v/>
      </c>
      <c r="Q452" s="73" t="str">
        <f t="shared" si="164"/>
        <v/>
      </c>
      <c r="R452" s="74" t="str">
        <f t="shared" si="165"/>
        <v/>
      </c>
      <c r="S452" s="74" t="str">
        <f t="shared" si="166"/>
        <v/>
      </c>
      <c r="U452" s="74" t="str">
        <f t="shared" si="162"/>
        <v/>
      </c>
      <c r="V452" s="74" t="str">
        <f t="shared" si="162"/>
        <v/>
      </c>
      <c r="W452" s="74" t="str">
        <f t="shared" si="162"/>
        <v/>
      </c>
      <c r="X452" s="74" t="str">
        <f t="shared" si="162"/>
        <v/>
      </c>
      <c r="Y452" s="74" t="str">
        <f t="shared" si="162"/>
        <v/>
      </c>
      <c r="Z452" s="74" t="str">
        <f t="shared" si="167"/>
        <v/>
      </c>
      <c r="AA452" s="74">
        <f t="shared" si="168"/>
        <v>0</v>
      </c>
      <c r="AB452" s="74">
        <f t="shared" si="169"/>
        <v>0</v>
      </c>
      <c r="AC452" s="74" t="str">
        <f t="shared" si="170"/>
        <v/>
      </c>
      <c r="AE452" s="74" t="str">
        <f t="shared" si="171"/>
        <v/>
      </c>
      <c r="AF452" s="74" t="str">
        <f t="shared" si="172"/>
        <v/>
      </c>
      <c r="AG452" s="74" t="str">
        <f t="shared" si="173"/>
        <v/>
      </c>
      <c r="AH452" s="74">
        <f t="shared" si="174"/>
        <v>0</v>
      </c>
      <c r="AI452" s="74" t="str">
        <f>IF(AH452&lt;&gt;0,COUNTIF(AH$3:AH452,1),"")</f>
        <v/>
      </c>
      <c r="AJ452" s="74">
        <f t="shared" si="175"/>
        <v>0</v>
      </c>
      <c r="AK452" s="73" t="str">
        <f t="shared" si="176"/>
        <v/>
      </c>
      <c r="AL452" s="73" t="str">
        <f t="shared" si="177"/>
        <v/>
      </c>
      <c r="AM452" s="73" t="str">
        <f t="shared" si="178"/>
        <v/>
      </c>
      <c r="AN452" s="73" t="str">
        <f t="shared" si="179"/>
        <v/>
      </c>
      <c r="AP452" s="61" t="str">
        <f t="shared" ref="AP452:AP515" si="180">IF(P452&lt;&gt;"",_xlfn.NUMBERVALUE(P452),"")</f>
        <v/>
      </c>
      <c r="AQ452" s="61" t="str">
        <f t="shared" ref="AQ452:AQ515" si="181">IF(Q452&lt;&gt;"",_xlfn.NUMBERVALUE(Q452),"")</f>
        <v/>
      </c>
      <c r="AR452" s="61" t="str">
        <f t="shared" ref="AR452:AR515" si="182">IF(R452&lt;&gt;"",_xlfn.NUMBERVALUE(R452),"")</f>
        <v/>
      </c>
    </row>
    <row r="453" spans="16:44" x14ac:dyDescent="0.25">
      <c r="P453" s="73" t="str">
        <f t="shared" si="163"/>
        <v/>
      </c>
      <c r="Q453" s="73" t="str">
        <f t="shared" si="164"/>
        <v/>
      </c>
      <c r="R453" s="74" t="str">
        <f t="shared" si="165"/>
        <v/>
      </c>
      <c r="S453" s="74" t="str">
        <f t="shared" si="166"/>
        <v/>
      </c>
      <c r="U453" s="74" t="str">
        <f t="shared" si="162"/>
        <v/>
      </c>
      <c r="V453" s="74" t="str">
        <f t="shared" si="162"/>
        <v/>
      </c>
      <c r="W453" s="74" t="str">
        <f t="shared" si="162"/>
        <v/>
      </c>
      <c r="X453" s="74" t="str">
        <f t="shared" si="162"/>
        <v/>
      </c>
      <c r="Y453" s="74" t="str">
        <f t="shared" si="162"/>
        <v/>
      </c>
      <c r="Z453" s="74" t="str">
        <f t="shared" si="167"/>
        <v/>
      </c>
      <c r="AA453" s="74">
        <f t="shared" si="168"/>
        <v>0</v>
      </c>
      <c r="AB453" s="74">
        <f t="shared" si="169"/>
        <v>0</v>
      </c>
      <c r="AC453" s="74" t="str">
        <f t="shared" si="170"/>
        <v/>
      </c>
      <c r="AE453" s="74" t="str">
        <f t="shared" si="171"/>
        <v/>
      </c>
      <c r="AF453" s="74" t="str">
        <f t="shared" si="172"/>
        <v/>
      </c>
      <c r="AG453" s="74" t="str">
        <f t="shared" si="173"/>
        <v/>
      </c>
      <c r="AH453" s="74">
        <f t="shared" si="174"/>
        <v>0</v>
      </c>
      <c r="AI453" s="74" t="str">
        <f>IF(AH453&lt;&gt;0,COUNTIF(AH$3:AH453,1),"")</f>
        <v/>
      </c>
      <c r="AJ453" s="74">
        <f t="shared" si="175"/>
        <v>0</v>
      </c>
      <c r="AK453" s="73" t="str">
        <f t="shared" si="176"/>
        <v/>
      </c>
      <c r="AL453" s="73" t="str">
        <f t="shared" si="177"/>
        <v/>
      </c>
      <c r="AM453" s="73" t="str">
        <f t="shared" si="178"/>
        <v/>
      </c>
      <c r="AN453" s="73" t="str">
        <f t="shared" si="179"/>
        <v/>
      </c>
      <c r="AP453" s="61" t="str">
        <f t="shared" si="180"/>
        <v/>
      </c>
      <c r="AQ453" s="61" t="str">
        <f t="shared" si="181"/>
        <v/>
      </c>
      <c r="AR453" s="61" t="str">
        <f t="shared" si="182"/>
        <v/>
      </c>
    </row>
    <row r="454" spans="16:44" x14ac:dyDescent="0.25">
      <c r="P454" s="73" t="str">
        <f t="shared" si="163"/>
        <v/>
      </c>
      <c r="Q454" s="73" t="str">
        <f t="shared" si="164"/>
        <v/>
      </c>
      <c r="R454" s="74" t="str">
        <f t="shared" si="165"/>
        <v/>
      </c>
      <c r="S454" s="74" t="str">
        <f t="shared" si="166"/>
        <v/>
      </c>
      <c r="U454" s="74" t="str">
        <f t="shared" si="162"/>
        <v/>
      </c>
      <c r="V454" s="74" t="str">
        <f t="shared" si="162"/>
        <v/>
      </c>
      <c r="W454" s="74" t="str">
        <f t="shared" si="162"/>
        <v/>
      </c>
      <c r="X454" s="74" t="str">
        <f t="shared" si="162"/>
        <v/>
      </c>
      <c r="Y454" s="74" t="str">
        <f t="shared" si="162"/>
        <v/>
      </c>
      <c r="Z454" s="74" t="str">
        <f t="shared" si="167"/>
        <v/>
      </c>
      <c r="AA454" s="74">
        <f t="shared" si="168"/>
        <v>0</v>
      </c>
      <c r="AB454" s="74">
        <f t="shared" si="169"/>
        <v>0</v>
      </c>
      <c r="AC454" s="74" t="str">
        <f t="shared" si="170"/>
        <v/>
      </c>
      <c r="AE454" s="74" t="str">
        <f t="shared" si="171"/>
        <v/>
      </c>
      <c r="AF454" s="74" t="str">
        <f t="shared" si="172"/>
        <v/>
      </c>
      <c r="AG454" s="74" t="str">
        <f t="shared" si="173"/>
        <v/>
      </c>
      <c r="AH454" s="74">
        <f t="shared" si="174"/>
        <v>0</v>
      </c>
      <c r="AI454" s="74" t="str">
        <f>IF(AH454&lt;&gt;0,COUNTIF(AH$3:AH454,1),"")</f>
        <v/>
      </c>
      <c r="AJ454" s="74">
        <f t="shared" si="175"/>
        <v>0</v>
      </c>
      <c r="AK454" s="73" t="str">
        <f t="shared" si="176"/>
        <v/>
      </c>
      <c r="AL454" s="73" t="str">
        <f t="shared" si="177"/>
        <v/>
      </c>
      <c r="AM454" s="73" t="str">
        <f t="shared" si="178"/>
        <v/>
      </c>
      <c r="AN454" s="73" t="str">
        <f t="shared" si="179"/>
        <v/>
      </c>
      <c r="AP454" s="61" t="str">
        <f t="shared" si="180"/>
        <v/>
      </c>
      <c r="AQ454" s="61" t="str">
        <f t="shared" si="181"/>
        <v/>
      </c>
      <c r="AR454" s="61" t="str">
        <f t="shared" si="182"/>
        <v/>
      </c>
    </row>
    <row r="455" spans="16:44" x14ac:dyDescent="0.25">
      <c r="P455" s="73" t="str">
        <f t="shared" si="163"/>
        <v/>
      </c>
      <c r="Q455" s="73" t="str">
        <f t="shared" si="164"/>
        <v/>
      </c>
      <c r="R455" s="74" t="str">
        <f t="shared" si="165"/>
        <v/>
      </c>
      <c r="S455" s="74" t="str">
        <f t="shared" si="166"/>
        <v/>
      </c>
      <c r="U455" s="74" t="str">
        <f t="shared" si="162"/>
        <v/>
      </c>
      <c r="V455" s="74" t="str">
        <f t="shared" si="162"/>
        <v/>
      </c>
      <c r="W455" s="74" t="str">
        <f t="shared" si="162"/>
        <v/>
      </c>
      <c r="X455" s="74" t="str">
        <f t="shared" si="162"/>
        <v/>
      </c>
      <c r="Y455" s="74" t="str">
        <f t="shared" si="162"/>
        <v/>
      </c>
      <c r="Z455" s="74" t="str">
        <f t="shared" si="167"/>
        <v/>
      </c>
      <c r="AA455" s="74">
        <f t="shared" si="168"/>
        <v>0</v>
      </c>
      <c r="AB455" s="74">
        <f t="shared" si="169"/>
        <v>0</v>
      </c>
      <c r="AC455" s="74" t="str">
        <f t="shared" si="170"/>
        <v/>
      </c>
      <c r="AE455" s="74" t="str">
        <f t="shared" si="171"/>
        <v/>
      </c>
      <c r="AF455" s="74" t="str">
        <f t="shared" si="172"/>
        <v/>
      </c>
      <c r="AG455" s="74" t="str">
        <f t="shared" si="173"/>
        <v/>
      </c>
      <c r="AH455" s="74">
        <f t="shared" si="174"/>
        <v>0</v>
      </c>
      <c r="AI455" s="74" t="str">
        <f>IF(AH455&lt;&gt;0,COUNTIF(AH$3:AH455,1),"")</f>
        <v/>
      </c>
      <c r="AJ455" s="74">
        <f t="shared" si="175"/>
        <v>0</v>
      </c>
      <c r="AK455" s="73" t="str">
        <f t="shared" si="176"/>
        <v/>
      </c>
      <c r="AL455" s="73" t="str">
        <f t="shared" si="177"/>
        <v/>
      </c>
      <c r="AM455" s="73" t="str">
        <f t="shared" si="178"/>
        <v/>
      </c>
      <c r="AN455" s="73" t="str">
        <f t="shared" si="179"/>
        <v/>
      </c>
      <c r="AP455" s="61" t="str">
        <f t="shared" si="180"/>
        <v/>
      </c>
      <c r="AQ455" s="61" t="str">
        <f t="shared" si="181"/>
        <v/>
      </c>
      <c r="AR455" s="61" t="str">
        <f t="shared" si="182"/>
        <v/>
      </c>
    </row>
    <row r="456" spans="16:44" x14ac:dyDescent="0.25">
      <c r="P456" s="73" t="str">
        <f t="shared" si="163"/>
        <v/>
      </c>
      <c r="Q456" s="73" t="str">
        <f t="shared" si="164"/>
        <v/>
      </c>
      <c r="R456" s="74" t="str">
        <f t="shared" si="165"/>
        <v/>
      </c>
      <c r="S456" s="74" t="str">
        <f t="shared" si="166"/>
        <v/>
      </c>
      <c r="U456" s="74" t="str">
        <f t="shared" si="162"/>
        <v/>
      </c>
      <c r="V456" s="74" t="str">
        <f t="shared" si="162"/>
        <v/>
      </c>
      <c r="W456" s="74" t="str">
        <f t="shared" si="162"/>
        <v/>
      </c>
      <c r="X456" s="74" t="str">
        <f t="shared" si="162"/>
        <v/>
      </c>
      <c r="Y456" s="74" t="str">
        <f t="shared" si="162"/>
        <v/>
      </c>
      <c r="Z456" s="74" t="str">
        <f t="shared" si="167"/>
        <v/>
      </c>
      <c r="AA456" s="74">
        <f t="shared" si="168"/>
        <v>0</v>
      </c>
      <c r="AB456" s="74">
        <f t="shared" si="169"/>
        <v>0</v>
      </c>
      <c r="AC456" s="74" t="str">
        <f t="shared" si="170"/>
        <v/>
      </c>
      <c r="AE456" s="74" t="str">
        <f t="shared" si="171"/>
        <v/>
      </c>
      <c r="AF456" s="74" t="str">
        <f t="shared" si="172"/>
        <v/>
      </c>
      <c r="AG456" s="74" t="str">
        <f t="shared" si="173"/>
        <v/>
      </c>
      <c r="AH456" s="74">
        <f t="shared" si="174"/>
        <v>0</v>
      </c>
      <c r="AI456" s="74" t="str">
        <f>IF(AH456&lt;&gt;0,COUNTIF(AH$3:AH456,1),"")</f>
        <v/>
      </c>
      <c r="AJ456" s="74">
        <f t="shared" si="175"/>
        <v>0</v>
      </c>
      <c r="AK456" s="73" t="str">
        <f t="shared" si="176"/>
        <v/>
      </c>
      <c r="AL456" s="73" t="str">
        <f t="shared" si="177"/>
        <v/>
      </c>
      <c r="AM456" s="73" t="str">
        <f t="shared" si="178"/>
        <v/>
      </c>
      <c r="AN456" s="73" t="str">
        <f t="shared" si="179"/>
        <v/>
      </c>
      <c r="AP456" s="61" t="str">
        <f t="shared" si="180"/>
        <v/>
      </c>
      <c r="AQ456" s="61" t="str">
        <f t="shared" si="181"/>
        <v/>
      </c>
      <c r="AR456" s="61" t="str">
        <f t="shared" si="182"/>
        <v/>
      </c>
    </row>
    <row r="457" spans="16:44" x14ac:dyDescent="0.25">
      <c r="P457" s="73" t="str">
        <f t="shared" si="163"/>
        <v/>
      </c>
      <c r="Q457" s="73" t="str">
        <f t="shared" si="164"/>
        <v/>
      </c>
      <c r="R457" s="74" t="str">
        <f t="shared" si="165"/>
        <v/>
      </c>
      <c r="S457" s="74" t="str">
        <f t="shared" si="166"/>
        <v/>
      </c>
      <c r="U457" s="74" t="str">
        <f t="shared" si="162"/>
        <v/>
      </c>
      <c r="V457" s="74" t="str">
        <f t="shared" si="162"/>
        <v/>
      </c>
      <c r="W457" s="74" t="str">
        <f t="shared" si="162"/>
        <v/>
      </c>
      <c r="X457" s="74" t="str">
        <f t="shared" si="162"/>
        <v/>
      </c>
      <c r="Y457" s="74" t="str">
        <f t="shared" si="162"/>
        <v/>
      </c>
      <c r="Z457" s="74" t="str">
        <f t="shared" si="167"/>
        <v/>
      </c>
      <c r="AA457" s="74">
        <f t="shared" si="168"/>
        <v>0</v>
      </c>
      <c r="AB457" s="74">
        <f t="shared" si="169"/>
        <v>0</v>
      </c>
      <c r="AC457" s="74" t="str">
        <f t="shared" si="170"/>
        <v/>
      </c>
      <c r="AE457" s="74" t="str">
        <f t="shared" si="171"/>
        <v/>
      </c>
      <c r="AF457" s="74" t="str">
        <f t="shared" si="172"/>
        <v/>
      </c>
      <c r="AG457" s="74" t="str">
        <f t="shared" si="173"/>
        <v/>
      </c>
      <c r="AH457" s="74">
        <f t="shared" si="174"/>
        <v>0</v>
      </c>
      <c r="AI457" s="74" t="str">
        <f>IF(AH457&lt;&gt;0,COUNTIF(AH$3:AH457,1),"")</f>
        <v/>
      </c>
      <c r="AJ457" s="74">
        <f t="shared" si="175"/>
        <v>0</v>
      </c>
      <c r="AK457" s="73" t="str">
        <f t="shared" si="176"/>
        <v/>
      </c>
      <c r="AL457" s="73" t="str">
        <f t="shared" si="177"/>
        <v/>
      </c>
      <c r="AM457" s="73" t="str">
        <f t="shared" si="178"/>
        <v/>
      </c>
      <c r="AN457" s="73" t="str">
        <f t="shared" si="179"/>
        <v/>
      </c>
      <c r="AP457" s="61" t="str">
        <f t="shared" si="180"/>
        <v/>
      </c>
      <c r="AQ457" s="61" t="str">
        <f t="shared" si="181"/>
        <v/>
      </c>
      <c r="AR457" s="61" t="str">
        <f t="shared" si="182"/>
        <v/>
      </c>
    </row>
    <row r="458" spans="16:44" x14ac:dyDescent="0.25">
      <c r="P458" s="73" t="str">
        <f t="shared" si="163"/>
        <v/>
      </c>
      <c r="Q458" s="73" t="str">
        <f t="shared" si="164"/>
        <v/>
      </c>
      <c r="R458" s="74" t="str">
        <f t="shared" si="165"/>
        <v/>
      </c>
      <c r="S458" s="74" t="str">
        <f t="shared" si="166"/>
        <v/>
      </c>
      <c r="U458" s="74" t="str">
        <f t="shared" si="162"/>
        <v/>
      </c>
      <c r="V458" s="74" t="str">
        <f t="shared" si="162"/>
        <v/>
      </c>
      <c r="W458" s="74" t="str">
        <f t="shared" si="162"/>
        <v/>
      </c>
      <c r="X458" s="74" t="str">
        <f t="shared" si="162"/>
        <v/>
      </c>
      <c r="Y458" s="74" t="str">
        <f t="shared" si="162"/>
        <v/>
      </c>
      <c r="Z458" s="74" t="str">
        <f t="shared" si="167"/>
        <v/>
      </c>
      <c r="AA458" s="74">
        <f t="shared" si="168"/>
        <v>0</v>
      </c>
      <c r="AB458" s="74">
        <f t="shared" si="169"/>
        <v>0</v>
      </c>
      <c r="AC458" s="74" t="str">
        <f t="shared" si="170"/>
        <v/>
      </c>
      <c r="AE458" s="74" t="str">
        <f t="shared" si="171"/>
        <v/>
      </c>
      <c r="AF458" s="74" t="str">
        <f t="shared" si="172"/>
        <v/>
      </c>
      <c r="AG458" s="74" t="str">
        <f t="shared" si="173"/>
        <v/>
      </c>
      <c r="AH458" s="74">
        <f t="shared" si="174"/>
        <v>0</v>
      </c>
      <c r="AI458" s="74" t="str">
        <f>IF(AH458&lt;&gt;0,COUNTIF(AH$3:AH458,1),"")</f>
        <v/>
      </c>
      <c r="AJ458" s="74">
        <f t="shared" si="175"/>
        <v>0</v>
      </c>
      <c r="AK458" s="73" t="str">
        <f t="shared" si="176"/>
        <v/>
      </c>
      <c r="AL458" s="73" t="str">
        <f t="shared" si="177"/>
        <v/>
      </c>
      <c r="AM458" s="73" t="str">
        <f t="shared" si="178"/>
        <v/>
      </c>
      <c r="AN458" s="73" t="str">
        <f t="shared" si="179"/>
        <v/>
      </c>
      <c r="AP458" s="61" t="str">
        <f t="shared" si="180"/>
        <v/>
      </c>
      <c r="AQ458" s="61" t="str">
        <f t="shared" si="181"/>
        <v/>
      </c>
      <c r="AR458" s="61" t="str">
        <f t="shared" si="182"/>
        <v/>
      </c>
    </row>
    <row r="459" spans="16:44" x14ac:dyDescent="0.25">
      <c r="P459" s="73" t="str">
        <f t="shared" si="163"/>
        <v/>
      </c>
      <c r="Q459" s="73" t="str">
        <f t="shared" si="164"/>
        <v/>
      </c>
      <c r="R459" s="74" t="str">
        <f t="shared" si="165"/>
        <v/>
      </c>
      <c r="S459" s="74" t="str">
        <f t="shared" si="166"/>
        <v/>
      </c>
      <c r="U459" s="74" t="str">
        <f t="shared" si="162"/>
        <v/>
      </c>
      <c r="V459" s="74" t="str">
        <f t="shared" si="162"/>
        <v/>
      </c>
      <c r="W459" s="74" t="str">
        <f t="shared" si="162"/>
        <v/>
      </c>
      <c r="X459" s="74" t="str">
        <f t="shared" si="162"/>
        <v/>
      </c>
      <c r="Y459" s="74" t="str">
        <f t="shared" si="162"/>
        <v/>
      </c>
      <c r="Z459" s="74" t="str">
        <f t="shared" si="167"/>
        <v/>
      </c>
      <c r="AA459" s="74">
        <f t="shared" si="168"/>
        <v>0</v>
      </c>
      <c r="AB459" s="74">
        <f t="shared" si="169"/>
        <v>0</v>
      </c>
      <c r="AC459" s="74" t="str">
        <f t="shared" si="170"/>
        <v/>
      </c>
      <c r="AE459" s="74" t="str">
        <f t="shared" si="171"/>
        <v/>
      </c>
      <c r="AF459" s="74" t="str">
        <f t="shared" si="172"/>
        <v/>
      </c>
      <c r="AG459" s="74" t="str">
        <f t="shared" si="173"/>
        <v/>
      </c>
      <c r="AH459" s="74">
        <f t="shared" si="174"/>
        <v>0</v>
      </c>
      <c r="AI459" s="74" t="str">
        <f>IF(AH459&lt;&gt;0,COUNTIF(AH$3:AH459,1),"")</f>
        <v/>
      </c>
      <c r="AJ459" s="74">
        <f t="shared" si="175"/>
        <v>0</v>
      </c>
      <c r="AK459" s="73" t="str">
        <f t="shared" si="176"/>
        <v/>
      </c>
      <c r="AL459" s="73" t="str">
        <f t="shared" si="177"/>
        <v/>
      </c>
      <c r="AM459" s="73" t="str">
        <f t="shared" si="178"/>
        <v/>
      </c>
      <c r="AN459" s="73" t="str">
        <f t="shared" si="179"/>
        <v/>
      </c>
      <c r="AP459" s="61" t="str">
        <f t="shared" si="180"/>
        <v/>
      </c>
      <c r="AQ459" s="61" t="str">
        <f t="shared" si="181"/>
        <v/>
      </c>
      <c r="AR459" s="61" t="str">
        <f t="shared" si="182"/>
        <v/>
      </c>
    </row>
    <row r="460" spans="16:44" x14ac:dyDescent="0.25">
      <c r="P460" s="73" t="str">
        <f t="shared" si="163"/>
        <v/>
      </c>
      <c r="Q460" s="73" t="str">
        <f t="shared" si="164"/>
        <v/>
      </c>
      <c r="R460" s="74" t="str">
        <f t="shared" si="165"/>
        <v/>
      </c>
      <c r="S460" s="74" t="str">
        <f t="shared" si="166"/>
        <v/>
      </c>
      <c r="U460" s="74" t="str">
        <f t="shared" si="162"/>
        <v/>
      </c>
      <c r="V460" s="74" t="str">
        <f t="shared" si="162"/>
        <v/>
      </c>
      <c r="W460" s="74" t="str">
        <f t="shared" si="162"/>
        <v/>
      </c>
      <c r="X460" s="74" t="str">
        <f t="shared" si="162"/>
        <v/>
      </c>
      <c r="Y460" s="74" t="str">
        <f t="shared" si="162"/>
        <v/>
      </c>
      <c r="Z460" s="74" t="str">
        <f t="shared" si="167"/>
        <v/>
      </c>
      <c r="AA460" s="74">
        <f t="shared" si="168"/>
        <v>0</v>
      </c>
      <c r="AB460" s="74">
        <f t="shared" si="169"/>
        <v>0</v>
      </c>
      <c r="AC460" s="74" t="str">
        <f t="shared" si="170"/>
        <v/>
      </c>
      <c r="AE460" s="74" t="str">
        <f t="shared" si="171"/>
        <v/>
      </c>
      <c r="AF460" s="74" t="str">
        <f t="shared" si="172"/>
        <v/>
      </c>
      <c r="AG460" s="74" t="str">
        <f t="shared" si="173"/>
        <v/>
      </c>
      <c r="AH460" s="74">
        <f t="shared" si="174"/>
        <v>0</v>
      </c>
      <c r="AI460" s="74" t="str">
        <f>IF(AH460&lt;&gt;0,COUNTIF(AH$3:AH460,1),"")</f>
        <v/>
      </c>
      <c r="AJ460" s="74">
        <f t="shared" si="175"/>
        <v>0</v>
      </c>
      <c r="AK460" s="73" t="str">
        <f t="shared" si="176"/>
        <v/>
      </c>
      <c r="AL460" s="73" t="str">
        <f t="shared" si="177"/>
        <v/>
      </c>
      <c r="AM460" s="73" t="str">
        <f t="shared" si="178"/>
        <v/>
      </c>
      <c r="AN460" s="73" t="str">
        <f t="shared" si="179"/>
        <v/>
      </c>
      <c r="AP460" s="61" t="str">
        <f t="shared" si="180"/>
        <v/>
      </c>
      <c r="AQ460" s="61" t="str">
        <f t="shared" si="181"/>
        <v/>
      </c>
      <c r="AR460" s="61" t="str">
        <f t="shared" si="182"/>
        <v/>
      </c>
    </row>
    <row r="461" spans="16:44" x14ac:dyDescent="0.25">
      <c r="P461" s="73" t="str">
        <f t="shared" si="163"/>
        <v/>
      </c>
      <c r="Q461" s="73" t="str">
        <f t="shared" si="164"/>
        <v/>
      </c>
      <c r="R461" s="74" t="str">
        <f t="shared" si="165"/>
        <v/>
      </c>
      <c r="S461" s="74" t="str">
        <f t="shared" si="166"/>
        <v/>
      </c>
      <c r="U461" s="74" t="str">
        <f t="shared" si="162"/>
        <v/>
      </c>
      <c r="V461" s="74" t="str">
        <f t="shared" si="162"/>
        <v/>
      </c>
      <c r="W461" s="74" t="str">
        <f t="shared" si="162"/>
        <v/>
      </c>
      <c r="X461" s="74" t="str">
        <f t="shared" si="162"/>
        <v/>
      </c>
      <c r="Y461" s="74" t="str">
        <f t="shared" si="162"/>
        <v/>
      </c>
      <c r="Z461" s="74" t="str">
        <f t="shared" si="167"/>
        <v/>
      </c>
      <c r="AA461" s="74">
        <f t="shared" si="168"/>
        <v>0</v>
      </c>
      <c r="AB461" s="74">
        <f t="shared" si="169"/>
        <v>0</v>
      </c>
      <c r="AC461" s="74" t="str">
        <f t="shared" si="170"/>
        <v/>
      </c>
      <c r="AE461" s="74" t="str">
        <f t="shared" si="171"/>
        <v/>
      </c>
      <c r="AF461" s="74" t="str">
        <f t="shared" si="172"/>
        <v/>
      </c>
      <c r="AG461" s="74" t="str">
        <f t="shared" si="173"/>
        <v/>
      </c>
      <c r="AH461" s="74">
        <f t="shared" si="174"/>
        <v>0</v>
      </c>
      <c r="AI461" s="74" t="str">
        <f>IF(AH461&lt;&gt;0,COUNTIF(AH$3:AH461,1),"")</f>
        <v/>
      </c>
      <c r="AJ461" s="74">
        <f t="shared" si="175"/>
        <v>0</v>
      </c>
      <c r="AK461" s="73" t="str">
        <f t="shared" si="176"/>
        <v/>
      </c>
      <c r="AL461" s="73" t="str">
        <f t="shared" si="177"/>
        <v/>
      </c>
      <c r="AM461" s="73" t="str">
        <f t="shared" si="178"/>
        <v/>
      </c>
      <c r="AN461" s="73" t="str">
        <f t="shared" si="179"/>
        <v/>
      </c>
      <c r="AP461" s="61" t="str">
        <f t="shared" si="180"/>
        <v/>
      </c>
      <c r="AQ461" s="61" t="str">
        <f t="shared" si="181"/>
        <v/>
      </c>
      <c r="AR461" s="61" t="str">
        <f t="shared" si="182"/>
        <v/>
      </c>
    </row>
    <row r="462" spans="16:44" x14ac:dyDescent="0.25">
      <c r="P462" s="73" t="str">
        <f t="shared" si="163"/>
        <v/>
      </c>
      <c r="Q462" s="73" t="str">
        <f t="shared" si="164"/>
        <v/>
      </c>
      <c r="R462" s="74" t="str">
        <f t="shared" si="165"/>
        <v/>
      </c>
      <c r="S462" s="74" t="str">
        <f t="shared" si="166"/>
        <v/>
      </c>
      <c r="U462" s="74" t="str">
        <f t="shared" si="162"/>
        <v/>
      </c>
      <c r="V462" s="74" t="str">
        <f t="shared" si="162"/>
        <v/>
      </c>
      <c r="W462" s="74" t="str">
        <f t="shared" si="162"/>
        <v/>
      </c>
      <c r="X462" s="74" t="str">
        <f t="shared" si="162"/>
        <v/>
      </c>
      <c r="Y462" s="74" t="str">
        <f t="shared" si="162"/>
        <v/>
      </c>
      <c r="Z462" s="74" t="str">
        <f t="shared" si="167"/>
        <v/>
      </c>
      <c r="AA462" s="74">
        <f t="shared" si="168"/>
        <v>0</v>
      </c>
      <c r="AB462" s="74">
        <f t="shared" si="169"/>
        <v>0</v>
      </c>
      <c r="AC462" s="74" t="str">
        <f t="shared" si="170"/>
        <v/>
      </c>
      <c r="AE462" s="74" t="str">
        <f t="shared" si="171"/>
        <v/>
      </c>
      <c r="AF462" s="74" t="str">
        <f t="shared" si="172"/>
        <v/>
      </c>
      <c r="AG462" s="74" t="str">
        <f t="shared" si="173"/>
        <v/>
      </c>
      <c r="AH462" s="74">
        <f t="shared" si="174"/>
        <v>0</v>
      </c>
      <c r="AI462" s="74" t="str">
        <f>IF(AH462&lt;&gt;0,COUNTIF(AH$3:AH462,1),"")</f>
        <v/>
      </c>
      <c r="AJ462" s="74">
        <f t="shared" si="175"/>
        <v>0</v>
      </c>
      <c r="AK462" s="73" t="str">
        <f t="shared" si="176"/>
        <v/>
      </c>
      <c r="AL462" s="73" t="str">
        <f t="shared" si="177"/>
        <v/>
      </c>
      <c r="AM462" s="73" t="str">
        <f t="shared" si="178"/>
        <v/>
      </c>
      <c r="AN462" s="73" t="str">
        <f t="shared" si="179"/>
        <v/>
      </c>
      <c r="AP462" s="61" t="str">
        <f t="shared" si="180"/>
        <v/>
      </c>
      <c r="AQ462" s="61" t="str">
        <f t="shared" si="181"/>
        <v/>
      </c>
      <c r="AR462" s="61" t="str">
        <f t="shared" si="182"/>
        <v/>
      </c>
    </row>
    <row r="463" spans="16:44" x14ac:dyDescent="0.25">
      <c r="P463" s="73" t="str">
        <f t="shared" si="163"/>
        <v/>
      </c>
      <c r="Q463" s="73" t="str">
        <f t="shared" si="164"/>
        <v/>
      </c>
      <c r="R463" s="74" t="str">
        <f t="shared" si="165"/>
        <v/>
      </c>
      <c r="S463" s="74" t="str">
        <f t="shared" si="166"/>
        <v/>
      </c>
      <c r="U463" s="74" t="str">
        <f t="shared" si="162"/>
        <v/>
      </c>
      <c r="V463" s="74" t="str">
        <f t="shared" si="162"/>
        <v/>
      </c>
      <c r="W463" s="74" t="str">
        <f t="shared" si="162"/>
        <v/>
      </c>
      <c r="X463" s="74" t="str">
        <f t="shared" si="162"/>
        <v/>
      </c>
      <c r="Y463" s="74" t="str">
        <f t="shared" si="162"/>
        <v/>
      </c>
      <c r="Z463" s="74" t="str">
        <f t="shared" si="167"/>
        <v/>
      </c>
      <c r="AA463" s="74">
        <f t="shared" si="168"/>
        <v>0</v>
      </c>
      <c r="AB463" s="74">
        <f t="shared" si="169"/>
        <v>0</v>
      </c>
      <c r="AC463" s="74" t="str">
        <f t="shared" si="170"/>
        <v/>
      </c>
      <c r="AE463" s="74" t="str">
        <f t="shared" si="171"/>
        <v/>
      </c>
      <c r="AF463" s="74" t="str">
        <f t="shared" si="172"/>
        <v/>
      </c>
      <c r="AG463" s="74" t="str">
        <f t="shared" si="173"/>
        <v/>
      </c>
      <c r="AH463" s="74">
        <f t="shared" si="174"/>
        <v>0</v>
      </c>
      <c r="AI463" s="74" t="str">
        <f>IF(AH463&lt;&gt;0,COUNTIF(AH$3:AH463,1),"")</f>
        <v/>
      </c>
      <c r="AJ463" s="74">
        <f t="shared" si="175"/>
        <v>0</v>
      </c>
      <c r="AK463" s="73" t="str">
        <f t="shared" si="176"/>
        <v/>
      </c>
      <c r="AL463" s="73" t="str">
        <f t="shared" si="177"/>
        <v/>
      </c>
      <c r="AM463" s="73" t="str">
        <f t="shared" si="178"/>
        <v/>
      </c>
      <c r="AN463" s="73" t="str">
        <f t="shared" si="179"/>
        <v/>
      </c>
      <c r="AP463" s="61" t="str">
        <f t="shared" si="180"/>
        <v/>
      </c>
      <c r="AQ463" s="61" t="str">
        <f t="shared" si="181"/>
        <v/>
      </c>
      <c r="AR463" s="61" t="str">
        <f t="shared" si="182"/>
        <v/>
      </c>
    </row>
    <row r="464" spans="16:44" x14ac:dyDescent="0.25">
      <c r="P464" s="73" t="str">
        <f t="shared" si="163"/>
        <v/>
      </c>
      <c r="Q464" s="73" t="str">
        <f t="shared" si="164"/>
        <v/>
      </c>
      <c r="R464" s="74" t="str">
        <f t="shared" si="165"/>
        <v/>
      </c>
      <c r="S464" s="74" t="str">
        <f t="shared" si="166"/>
        <v/>
      </c>
      <c r="U464" s="74" t="str">
        <f t="shared" si="162"/>
        <v/>
      </c>
      <c r="V464" s="74" t="str">
        <f t="shared" si="162"/>
        <v/>
      </c>
      <c r="W464" s="74" t="str">
        <f t="shared" si="162"/>
        <v/>
      </c>
      <c r="X464" s="74" t="str">
        <f t="shared" si="162"/>
        <v/>
      </c>
      <c r="Y464" s="74" t="str">
        <f t="shared" si="162"/>
        <v/>
      </c>
      <c r="Z464" s="74" t="str">
        <f t="shared" si="167"/>
        <v/>
      </c>
      <c r="AA464" s="74">
        <f t="shared" si="168"/>
        <v>0</v>
      </c>
      <c r="AB464" s="74">
        <f t="shared" si="169"/>
        <v>0</v>
      </c>
      <c r="AC464" s="74" t="str">
        <f t="shared" si="170"/>
        <v/>
      </c>
      <c r="AE464" s="74" t="str">
        <f t="shared" si="171"/>
        <v/>
      </c>
      <c r="AF464" s="74" t="str">
        <f t="shared" si="172"/>
        <v/>
      </c>
      <c r="AG464" s="74" t="str">
        <f t="shared" si="173"/>
        <v/>
      </c>
      <c r="AH464" s="74">
        <f t="shared" si="174"/>
        <v>0</v>
      </c>
      <c r="AI464" s="74" t="str">
        <f>IF(AH464&lt;&gt;0,COUNTIF(AH$3:AH464,1),"")</f>
        <v/>
      </c>
      <c r="AJ464" s="74">
        <f t="shared" si="175"/>
        <v>0</v>
      </c>
      <c r="AK464" s="73" t="str">
        <f t="shared" si="176"/>
        <v/>
      </c>
      <c r="AL464" s="73" t="str">
        <f t="shared" si="177"/>
        <v/>
      </c>
      <c r="AM464" s="73" t="str">
        <f t="shared" si="178"/>
        <v/>
      </c>
      <c r="AN464" s="73" t="str">
        <f t="shared" si="179"/>
        <v/>
      </c>
      <c r="AP464" s="61" t="str">
        <f t="shared" si="180"/>
        <v/>
      </c>
      <c r="AQ464" s="61" t="str">
        <f t="shared" si="181"/>
        <v/>
      </c>
      <c r="AR464" s="61" t="str">
        <f t="shared" si="182"/>
        <v/>
      </c>
    </row>
    <row r="465" spans="16:44" x14ac:dyDescent="0.25">
      <c r="P465" s="73" t="str">
        <f t="shared" si="163"/>
        <v/>
      </c>
      <c r="Q465" s="73" t="str">
        <f t="shared" si="164"/>
        <v/>
      </c>
      <c r="R465" s="74" t="str">
        <f t="shared" si="165"/>
        <v/>
      </c>
      <c r="S465" s="74" t="str">
        <f t="shared" si="166"/>
        <v/>
      </c>
      <c r="U465" s="74" t="str">
        <f t="shared" si="162"/>
        <v/>
      </c>
      <c r="V465" s="74" t="str">
        <f t="shared" si="162"/>
        <v/>
      </c>
      <c r="W465" s="74" t="str">
        <f t="shared" si="162"/>
        <v/>
      </c>
      <c r="X465" s="74" t="str">
        <f t="shared" si="162"/>
        <v/>
      </c>
      <c r="Y465" s="74" t="str">
        <f t="shared" si="162"/>
        <v/>
      </c>
      <c r="Z465" s="74" t="str">
        <f t="shared" si="167"/>
        <v/>
      </c>
      <c r="AA465" s="74">
        <f t="shared" si="168"/>
        <v>0</v>
      </c>
      <c r="AB465" s="74">
        <f t="shared" si="169"/>
        <v>0</v>
      </c>
      <c r="AC465" s="74" t="str">
        <f t="shared" si="170"/>
        <v/>
      </c>
      <c r="AE465" s="74" t="str">
        <f t="shared" si="171"/>
        <v/>
      </c>
      <c r="AF465" s="74" t="str">
        <f t="shared" si="172"/>
        <v/>
      </c>
      <c r="AG465" s="74" t="str">
        <f t="shared" si="173"/>
        <v/>
      </c>
      <c r="AH465" s="74">
        <f t="shared" si="174"/>
        <v>0</v>
      </c>
      <c r="AI465" s="74" t="str">
        <f>IF(AH465&lt;&gt;0,COUNTIF(AH$3:AH465,1),"")</f>
        <v/>
      </c>
      <c r="AJ465" s="74">
        <f t="shared" si="175"/>
        <v>0</v>
      </c>
      <c r="AK465" s="73" t="str">
        <f t="shared" si="176"/>
        <v/>
      </c>
      <c r="AL465" s="73" t="str">
        <f t="shared" si="177"/>
        <v/>
      </c>
      <c r="AM465" s="73" t="str">
        <f t="shared" si="178"/>
        <v/>
      </c>
      <c r="AN465" s="73" t="str">
        <f t="shared" si="179"/>
        <v/>
      </c>
      <c r="AP465" s="61" t="str">
        <f t="shared" si="180"/>
        <v/>
      </c>
      <c r="AQ465" s="61" t="str">
        <f t="shared" si="181"/>
        <v/>
      </c>
      <c r="AR465" s="61" t="str">
        <f t="shared" si="182"/>
        <v/>
      </c>
    </row>
    <row r="466" spans="16:44" x14ac:dyDescent="0.25">
      <c r="P466" s="73" t="str">
        <f t="shared" si="163"/>
        <v/>
      </c>
      <c r="Q466" s="73" t="str">
        <f t="shared" si="164"/>
        <v/>
      </c>
      <c r="R466" s="74" t="str">
        <f t="shared" si="165"/>
        <v/>
      </c>
      <c r="S466" s="74" t="str">
        <f t="shared" si="166"/>
        <v/>
      </c>
      <c r="U466" s="74" t="str">
        <f t="shared" si="162"/>
        <v/>
      </c>
      <c r="V466" s="74" t="str">
        <f t="shared" si="162"/>
        <v/>
      </c>
      <c r="W466" s="74" t="str">
        <f t="shared" si="162"/>
        <v/>
      </c>
      <c r="X466" s="74" t="str">
        <f t="shared" si="162"/>
        <v/>
      </c>
      <c r="Y466" s="74" t="str">
        <f t="shared" si="162"/>
        <v/>
      </c>
      <c r="Z466" s="74" t="str">
        <f t="shared" si="167"/>
        <v/>
      </c>
      <c r="AA466" s="74">
        <f t="shared" si="168"/>
        <v>0</v>
      </c>
      <c r="AB466" s="74">
        <f t="shared" si="169"/>
        <v>0</v>
      </c>
      <c r="AC466" s="74" t="str">
        <f t="shared" si="170"/>
        <v/>
      </c>
      <c r="AE466" s="74" t="str">
        <f t="shared" si="171"/>
        <v/>
      </c>
      <c r="AF466" s="74" t="str">
        <f t="shared" si="172"/>
        <v/>
      </c>
      <c r="AG466" s="74" t="str">
        <f t="shared" si="173"/>
        <v/>
      </c>
      <c r="AH466" s="74">
        <f t="shared" si="174"/>
        <v>0</v>
      </c>
      <c r="AI466" s="74" t="str">
        <f>IF(AH466&lt;&gt;0,COUNTIF(AH$3:AH466,1),"")</f>
        <v/>
      </c>
      <c r="AJ466" s="74">
        <f t="shared" si="175"/>
        <v>0</v>
      </c>
      <c r="AK466" s="73" t="str">
        <f t="shared" si="176"/>
        <v/>
      </c>
      <c r="AL466" s="73" t="str">
        <f t="shared" si="177"/>
        <v/>
      </c>
      <c r="AM466" s="73" t="str">
        <f t="shared" si="178"/>
        <v/>
      </c>
      <c r="AN466" s="73" t="str">
        <f t="shared" si="179"/>
        <v/>
      </c>
      <c r="AP466" s="61" t="str">
        <f t="shared" si="180"/>
        <v/>
      </c>
      <c r="AQ466" s="61" t="str">
        <f t="shared" si="181"/>
        <v/>
      </c>
      <c r="AR466" s="61" t="str">
        <f t="shared" si="182"/>
        <v/>
      </c>
    </row>
    <row r="467" spans="16:44" x14ac:dyDescent="0.25">
      <c r="P467" s="73" t="str">
        <f t="shared" si="163"/>
        <v/>
      </c>
      <c r="Q467" s="73" t="str">
        <f t="shared" si="164"/>
        <v/>
      </c>
      <c r="R467" s="74" t="str">
        <f t="shared" si="165"/>
        <v/>
      </c>
      <c r="S467" s="74" t="str">
        <f t="shared" si="166"/>
        <v/>
      </c>
      <c r="U467" s="74" t="str">
        <f t="shared" si="162"/>
        <v/>
      </c>
      <c r="V467" s="74" t="str">
        <f t="shared" si="162"/>
        <v/>
      </c>
      <c r="W467" s="74" t="str">
        <f t="shared" si="162"/>
        <v/>
      </c>
      <c r="X467" s="74" t="str">
        <f t="shared" si="162"/>
        <v/>
      </c>
      <c r="Y467" s="74" t="str">
        <f t="shared" si="162"/>
        <v/>
      </c>
      <c r="Z467" s="74" t="str">
        <f t="shared" si="167"/>
        <v/>
      </c>
      <c r="AA467" s="74">
        <f t="shared" si="168"/>
        <v>0</v>
      </c>
      <c r="AB467" s="74">
        <f t="shared" si="169"/>
        <v>0</v>
      </c>
      <c r="AC467" s="74" t="str">
        <f t="shared" si="170"/>
        <v/>
      </c>
      <c r="AE467" s="74" t="str">
        <f t="shared" si="171"/>
        <v/>
      </c>
      <c r="AF467" s="74" t="str">
        <f t="shared" si="172"/>
        <v/>
      </c>
      <c r="AG467" s="74" t="str">
        <f t="shared" si="173"/>
        <v/>
      </c>
      <c r="AH467" s="74">
        <f t="shared" si="174"/>
        <v>0</v>
      </c>
      <c r="AI467" s="74" t="str">
        <f>IF(AH467&lt;&gt;0,COUNTIF(AH$3:AH467,1),"")</f>
        <v/>
      </c>
      <c r="AJ467" s="74">
        <f t="shared" si="175"/>
        <v>0</v>
      </c>
      <c r="AK467" s="73" t="str">
        <f t="shared" si="176"/>
        <v/>
      </c>
      <c r="AL467" s="73" t="str">
        <f t="shared" si="177"/>
        <v/>
      </c>
      <c r="AM467" s="73" t="str">
        <f t="shared" si="178"/>
        <v/>
      </c>
      <c r="AN467" s="73" t="str">
        <f t="shared" si="179"/>
        <v/>
      </c>
      <c r="AP467" s="61" t="str">
        <f t="shared" si="180"/>
        <v/>
      </c>
      <c r="AQ467" s="61" t="str">
        <f t="shared" si="181"/>
        <v/>
      </c>
      <c r="AR467" s="61" t="str">
        <f t="shared" si="182"/>
        <v/>
      </c>
    </row>
    <row r="468" spans="16:44" x14ac:dyDescent="0.25">
      <c r="P468" s="73" t="str">
        <f t="shared" si="163"/>
        <v/>
      </c>
      <c r="Q468" s="73" t="str">
        <f t="shared" si="164"/>
        <v/>
      </c>
      <c r="R468" s="74" t="str">
        <f t="shared" si="165"/>
        <v/>
      </c>
      <c r="S468" s="74" t="str">
        <f t="shared" si="166"/>
        <v/>
      </c>
      <c r="U468" s="74" t="str">
        <f t="shared" si="162"/>
        <v/>
      </c>
      <c r="V468" s="74" t="str">
        <f t="shared" si="162"/>
        <v/>
      </c>
      <c r="W468" s="74" t="str">
        <f t="shared" si="162"/>
        <v/>
      </c>
      <c r="X468" s="74" t="str">
        <f t="shared" si="162"/>
        <v/>
      </c>
      <c r="Y468" s="74" t="str">
        <f t="shared" si="162"/>
        <v/>
      </c>
      <c r="Z468" s="74" t="str">
        <f t="shared" si="167"/>
        <v/>
      </c>
      <c r="AA468" s="74">
        <f t="shared" si="168"/>
        <v>0</v>
      </c>
      <c r="AB468" s="74">
        <f t="shared" si="169"/>
        <v>0</v>
      </c>
      <c r="AC468" s="74" t="str">
        <f t="shared" si="170"/>
        <v/>
      </c>
      <c r="AE468" s="74" t="str">
        <f t="shared" si="171"/>
        <v/>
      </c>
      <c r="AF468" s="74" t="str">
        <f t="shared" si="172"/>
        <v/>
      </c>
      <c r="AG468" s="74" t="str">
        <f t="shared" si="173"/>
        <v/>
      </c>
      <c r="AH468" s="74">
        <f t="shared" si="174"/>
        <v>0</v>
      </c>
      <c r="AI468" s="74" t="str">
        <f>IF(AH468&lt;&gt;0,COUNTIF(AH$3:AH468,1),"")</f>
        <v/>
      </c>
      <c r="AJ468" s="74">
        <f t="shared" si="175"/>
        <v>0</v>
      </c>
      <c r="AK468" s="73" t="str">
        <f t="shared" si="176"/>
        <v/>
      </c>
      <c r="AL468" s="73" t="str">
        <f t="shared" si="177"/>
        <v/>
      </c>
      <c r="AM468" s="73" t="str">
        <f t="shared" si="178"/>
        <v/>
      </c>
      <c r="AN468" s="73" t="str">
        <f t="shared" si="179"/>
        <v/>
      </c>
      <c r="AP468" s="61" t="str">
        <f t="shared" si="180"/>
        <v/>
      </c>
      <c r="AQ468" s="61" t="str">
        <f t="shared" si="181"/>
        <v/>
      </c>
      <c r="AR468" s="61" t="str">
        <f t="shared" si="182"/>
        <v/>
      </c>
    </row>
    <row r="469" spans="16:44" x14ac:dyDescent="0.25">
      <c r="P469" s="73" t="str">
        <f t="shared" si="163"/>
        <v/>
      </c>
      <c r="Q469" s="73" t="str">
        <f t="shared" si="164"/>
        <v/>
      </c>
      <c r="R469" s="74" t="str">
        <f t="shared" si="165"/>
        <v/>
      </c>
      <c r="S469" s="74" t="str">
        <f t="shared" si="166"/>
        <v/>
      </c>
      <c r="U469" s="74" t="str">
        <f t="shared" si="162"/>
        <v/>
      </c>
      <c r="V469" s="74" t="str">
        <f t="shared" si="162"/>
        <v/>
      </c>
      <c r="W469" s="74" t="str">
        <f t="shared" si="162"/>
        <v/>
      </c>
      <c r="X469" s="74" t="str">
        <f t="shared" si="162"/>
        <v/>
      </c>
      <c r="Y469" s="74" t="str">
        <f t="shared" si="162"/>
        <v/>
      </c>
      <c r="Z469" s="74" t="str">
        <f t="shared" si="167"/>
        <v/>
      </c>
      <c r="AA469" s="74">
        <f t="shared" si="168"/>
        <v>0</v>
      </c>
      <c r="AB469" s="74">
        <f t="shared" si="169"/>
        <v>0</v>
      </c>
      <c r="AC469" s="74" t="str">
        <f t="shared" si="170"/>
        <v/>
      </c>
      <c r="AE469" s="74" t="str">
        <f t="shared" si="171"/>
        <v/>
      </c>
      <c r="AF469" s="74" t="str">
        <f t="shared" si="172"/>
        <v/>
      </c>
      <c r="AG469" s="74" t="str">
        <f t="shared" si="173"/>
        <v/>
      </c>
      <c r="AH469" s="74">
        <f t="shared" si="174"/>
        <v>0</v>
      </c>
      <c r="AI469" s="74" t="str">
        <f>IF(AH469&lt;&gt;0,COUNTIF(AH$3:AH469,1),"")</f>
        <v/>
      </c>
      <c r="AJ469" s="74">
        <f t="shared" si="175"/>
        <v>0</v>
      </c>
      <c r="AK469" s="73" t="str">
        <f t="shared" si="176"/>
        <v/>
      </c>
      <c r="AL469" s="73" t="str">
        <f t="shared" si="177"/>
        <v/>
      </c>
      <c r="AM469" s="73" t="str">
        <f t="shared" si="178"/>
        <v/>
      </c>
      <c r="AN469" s="73" t="str">
        <f t="shared" si="179"/>
        <v/>
      </c>
      <c r="AP469" s="61" t="str">
        <f t="shared" si="180"/>
        <v/>
      </c>
      <c r="AQ469" s="61" t="str">
        <f t="shared" si="181"/>
        <v/>
      </c>
      <c r="AR469" s="61" t="str">
        <f t="shared" si="182"/>
        <v/>
      </c>
    </row>
    <row r="470" spans="16:44" x14ac:dyDescent="0.25">
      <c r="P470" s="73" t="str">
        <f t="shared" si="163"/>
        <v/>
      </c>
      <c r="Q470" s="73" t="str">
        <f t="shared" si="164"/>
        <v/>
      </c>
      <c r="R470" s="74" t="str">
        <f t="shared" si="165"/>
        <v/>
      </c>
      <c r="S470" s="74" t="str">
        <f t="shared" si="166"/>
        <v/>
      </c>
      <c r="U470" s="74" t="str">
        <f t="shared" si="162"/>
        <v/>
      </c>
      <c r="V470" s="74" t="str">
        <f t="shared" si="162"/>
        <v/>
      </c>
      <c r="W470" s="74" t="str">
        <f t="shared" si="162"/>
        <v/>
      </c>
      <c r="X470" s="74" t="str">
        <f t="shared" si="162"/>
        <v/>
      </c>
      <c r="Y470" s="74" t="str">
        <f t="shared" si="162"/>
        <v/>
      </c>
      <c r="Z470" s="74" t="str">
        <f t="shared" si="167"/>
        <v/>
      </c>
      <c r="AA470" s="74">
        <f t="shared" si="168"/>
        <v>0</v>
      </c>
      <c r="AB470" s="74">
        <f t="shared" si="169"/>
        <v>0</v>
      </c>
      <c r="AC470" s="74" t="str">
        <f t="shared" si="170"/>
        <v/>
      </c>
      <c r="AE470" s="74" t="str">
        <f t="shared" si="171"/>
        <v/>
      </c>
      <c r="AF470" s="74" t="str">
        <f t="shared" si="172"/>
        <v/>
      </c>
      <c r="AG470" s="74" t="str">
        <f t="shared" si="173"/>
        <v/>
      </c>
      <c r="AH470" s="74">
        <f t="shared" si="174"/>
        <v>0</v>
      </c>
      <c r="AI470" s="74" t="str">
        <f>IF(AH470&lt;&gt;0,COUNTIF(AH$3:AH470,1),"")</f>
        <v/>
      </c>
      <c r="AJ470" s="74">
        <f t="shared" si="175"/>
        <v>0</v>
      </c>
      <c r="AK470" s="73" t="str">
        <f t="shared" si="176"/>
        <v/>
      </c>
      <c r="AL470" s="73" t="str">
        <f t="shared" si="177"/>
        <v/>
      </c>
      <c r="AM470" s="73" t="str">
        <f t="shared" si="178"/>
        <v/>
      </c>
      <c r="AN470" s="73" t="str">
        <f t="shared" si="179"/>
        <v/>
      </c>
      <c r="AP470" s="61" t="str">
        <f t="shared" si="180"/>
        <v/>
      </c>
      <c r="AQ470" s="61" t="str">
        <f t="shared" si="181"/>
        <v/>
      </c>
      <c r="AR470" s="61" t="str">
        <f t="shared" si="182"/>
        <v/>
      </c>
    </row>
    <row r="471" spans="16:44" x14ac:dyDescent="0.25">
      <c r="P471" s="73" t="str">
        <f t="shared" si="163"/>
        <v/>
      </c>
      <c r="Q471" s="73" t="str">
        <f t="shared" si="164"/>
        <v/>
      </c>
      <c r="R471" s="74" t="str">
        <f t="shared" si="165"/>
        <v/>
      </c>
      <c r="S471" s="74" t="str">
        <f t="shared" si="166"/>
        <v/>
      </c>
      <c r="U471" s="74" t="str">
        <f t="shared" si="162"/>
        <v/>
      </c>
      <c r="V471" s="74" t="str">
        <f t="shared" si="162"/>
        <v/>
      </c>
      <c r="W471" s="74" t="str">
        <f t="shared" si="162"/>
        <v/>
      </c>
      <c r="X471" s="74" t="str">
        <f t="shared" si="162"/>
        <v/>
      </c>
      <c r="Y471" s="74" t="str">
        <f t="shared" si="162"/>
        <v/>
      </c>
      <c r="Z471" s="74" t="str">
        <f t="shared" si="167"/>
        <v/>
      </c>
      <c r="AA471" s="74">
        <f t="shared" si="168"/>
        <v>0</v>
      </c>
      <c r="AB471" s="74">
        <f t="shared" si="169"/>
        <v>0</v>
      </c>
      <c r="AC471" s="74" t="str">
        <f t="shared" si="170"/>
        <v/>
      </c>
      <c r="AE471" s="74" t="str">
        <f t="shared" si="171"/>
        <v/>
      </c>
      <c r="AF471" s="74" t="str">
        <f t="shared" si="172"/>
        <v/>
      </c>
      <c r="AG471" s="74" t="str">
        <f t="shared" si="173"/>
        <v/>
      </c>
      <c r="AH471" s="74">
        <f t="shared" si="174"/>
        <v>0</v>
      </c>
      <c r="AI471" s="74" t="str">
        <f>IF(AH471&lt;&gt;0,COUNTIF(AH$3:AH471,1),"")</f>
        <v/>
      </c>
      <c r="AJ471" s="74">
        <f t="shared" si="175"/>
        <v>0</v>
      </c>
      <c r="AK471" s="73" t="str">
        <f t="shared" si="176"/>
        <v/>
      </c>
      <c r="AL471" s="73" t="str">
        <f t="shared" si="177"/>
        <v/>
      </c>
      <c r="AM471" s="73" t="str">
        <f t="shared" si="178"/>
        <v/>
      </c>
      <c r="AN471" s="73" t="str">
        <f t="shared" si="179"/>
        <v/>
      </c>
      <c r="AP471" s="61" t="str">
        <f t="shared" si="180"/>
        <v/>
      </c>
      <c r="AQ471" s="61" t="str">
        <f t="shared" si="181"/>
        <v/>
      </c>
      <c r="AR471" s="61" t="str">
        <f t="shared" si="182"/>
        <v/>
      </c>
    </row>
    <row r="472" spans="16:44" x14ac:dyDescent="0.25">
      <c r="P472" s="73" t="str">
        <f t="shared" si="163"/>
        <v/>
      </c>
      <c r="Q472" s="73" t="str">
        <f t="shared" si="164"/>
        <v/>
      </c>
      <c r="R472" s="74" t="str">
        <f t="shared" si="165"/>
        <v/>
      </c>
      <c r="S472" s="74" t="str">
        <f t="shared" si="166"/>
        <v/>
      </c>
      <c r="U472" s="74" t="str">
        <f t="shared" si="162"/>
        <v/>
      </c>
      <c r="V472" s="74" t="str">
        <f t="shared" si="162"/>
        <v/>
      </c>
      <c r="W472" s="74" t="str">
        <f t="shared" si="162"/>
        <v/>
      </c>
      <c r="X472" s="74" t="str">
        <f t="shared" si="162"/>
        <v/>
      </c>
      <c r="Y472" s="74" t="str">
        <f t="shared" si="162"/>
        <v/>
      </c>
      <c r="Z472" s="74" t="str">
        <f t="shared" si="167"/>
        <v/>
      </c>
      <c r="AA472" s="74">
        <f t="shared" si="168"/>
        <v>0</v>
      </c>
      <c r="AB472" s="74">
        <f t="shared" si="169"/>
        <v>0</v>
      </c>
      <c r="AC472" s="74" t="str">
        <f t="shared" si="170"/>
        <v/>
      </c>
      <c r="AE472" s="74" t="str">
        <f t="shared" si="171"/>
        <v/>
      </c>
      <c r="AF472" s="74" t="str">
        <f t="shared" si="172"/>
        <v/>
      </c>
      <c r="AG472" s="74" t="str">
        <f t="shared" si="173"/>
        <v/>
      </c>
      <c r="AH472" s="74">
        <f t="shared" si="174"/>
        <v>0</v>
      </c>
      <c r="AI472" s="74" t="str">
        <f>IF(AH472&lt;&gt;0,COUNTIF(AH$3:AH472,1),"")</f>
        <v/>
      </c>
      <c r="AJ472" s="74">
        <f t="shared" si="175"/>
        <v>0</v>
      </c>
      <c r="AK472" s="73" t="str">
        <f t="shared" si="176"/>
        <v/>
      </c>
      <c r="AL472" s="73" t="str">
        <f t="shared" si="177"/>
        <v/>
      </c>
      <c r="AM472" s="73" t="str">
        <f t="shared" si="178"/>
        <v/>
      </c>
      <c r="AN472" s="73" t="str">
        <f t="shared" si="179"/>
        <v/>
      </c>
      <c r="AP472" s="61" t="str">
        <f t="shared" si="180"/>
        <v/>
      </c>
      <c r="AQ472" s="61" t="str">
        <f t="shared" si="181"/>
        <v/>
      </c>
      <c r="AR472" s="61" t="str">
        <f t="shared" si="182"/>
        <v/>
      </c>
    </row>
    <row r="473" spans="16:44" x14ac:dyDescent="0.25">
      <c r="P473" s="73" t="str">
        <f t="shared" si="163"/>
        <v/>
      </c>
      <c r="Q473" s="73" t="str">
        <f t="shared" si="164"/>
        <v/>
      </c>
      <c r="R473" s="74" t="str">
        <f t="shared" si="165"/>
        <v/>
      </c>
      <c r="S473" s="74" t="str">
        <f t="shared" si="166"/>
        <v/>
      </c>
      <c r="U473" s="74" t="str">
        <f t="shared" si="162"/>
        <v/>
      </c>
      <c r="V473" s="74" t="str">
        <f t="shared" si="162"/>
        <v/>
      </c>
      <c r="W473" s="74" t="str">
        <f t="shared" si="162"/>
        <v/>
      </c>
      <c r="X473" s="74" t="str">
        <f t="shared" si="162"/>
        <v/>
      </c>
      <c r="Y473" s="74" t="str">
        <f t="shared" si="162"/>
        <v/>
      </c>
      <c r="Z473" s="74" t="str">
        <f t="shared" si="167"/>
        <v/>
      </c>
      <c r="AA473" s="74">
        <f t="shared" si="168"/>
        <v>0</v>
      </c>
      <c r="AB473" s="74">
        <f t="shared" si="169"/>
        <v>0</v>
      </c>
      <c r="AC473" s="74" t="str">
        <f t="shared" si="170"/>
        <v/>
      </c>
      <c r="AE473" s="74" t="str">
        <f t="shared" si="171"/>
        <v/>
      </c>
      <c r="AF473" s="74" t="str">
        <f t="shared" si="172"/>
        <v/>
      </c>
      <c r="AG473" s="74" t="str">
        <f t="shared" si="173"/>
        <v/>
      </c>
      <c r="AH473" s="74">
        <f t="shared" si="174"/>
        <v>0</v>
      </c>
      <c r="AI473" s="74" t="str">
        <f>IF(AH473&lt;&gt;0,COUNTIF(AH$3:AH473,1),"")</f>
        <v/>
      </c>
      <c r="AJ473" s="74">
        <f t="shared" si="175"/>
        <v>0</v>
      </c>
      <c r="AK473" s="73" t="str">
        <f t="shared" si="176"/>
        <v/>
      </c>
      <c r="AL473" s="73" t="str">
        <f t="shared" si="177"/>
        <v/>
      </c>
      <c r="AM473" s="73" t="str">
        <f t="shared" si="178"/>
        <v/>
      </c>
      <c r="AN473" s="73" t="str">
        <f t="shared" si="179"/>
        <v/>
      </c>
      <c r="AP473" s="61" t="str">
        <f t="shared" si="180"/>
        <v/>
      </c>
      <c r="AQ473" s="61" t="str">
        <f t="shared" si="181"/>
        <v/>
      </c>
      <c r="AR473" s="61" t="str">
        <f t="shared" si="182"/>
        <v/>
      </c>
    </row>
    <row r="474" spans="16:44" x14ac:dyDescent="0.25">
      <c r="P474" s="73" t="str">
        <f t="shared" si="163"/>
        <v/>
      </c>
      <c r="Q474" s="73" t="str">
        <f t="shared" si="164"/>
        <v/>
      </c>
      <c r="R474" s="74" t="str">
        <f t="shared" si="165"/>
        <v/>
      </c>
      <c r="S474" s="74" t="str">
        <f t="shared" si="166"/>
        <v/>
      </c>
      <c r="U474" s="74" t="str">
        <f t="shared" si="162"/>
        <v/>
      </c>
      <c r="V474" s="74" t="str">
        <f t="shared" si="162"/>
        <v/>
      </c>
      <c r="W474" s="74" t="str">
        <f t="shared" si="162"/>
        <v/>
      </c>
      <c r="X474" s="74" t="str">
        <f t="shared" si="162"/>
        <v/>
      </c>
      <c r="Y474" s="74" t="str">
        <f t="shared" si="162"/>
        <v/>
      </c>
      <c r="Z474" s="74" t="str">
        <f t="shared" si="167"/>
        <v/>
      </c>
      <c r="AA474" s="74">
        <f t="shared" si="168"/>
        <v>0</v>
      </c>
      <c r="AB474" s="74">
        <f t="shared" si="169"/>
        <v>0</v>
      </c>
      <c r="AC474" s="74" t="str">
        <f t="shared" si="170"/>
        <v/>
      </c>
      <c r="AE474" s="74" t="str">
        <f t="shared" si="171"/>
        <v/>
      </c>
      <c r="AF474" s="74" t="str">
        <f t="shared" si="172"/>
        <v/>
      </c>
      <c r="AG474" s="74" t="str">
        <f t="shared" si="173"/>
        <v/>
      </c>
      <c r="AH474" s="74">
        <f t="shared" si="174"/>
        <v>0</v>
      </c>
      <c r="AI474" s="74" t="str">
        <f>IF(AH474&lt;&gt;0,COUNTIF(AH$3:AH474,1),"")</f>
        <v/>
      </c>
      <c r="AJ474" s="74">
        <f t="shared" si="175"/>
        <v>0</v>
      </c>
      <c r="AK474" s="73" t="str">
        <f t="shared" si="176"/>
        <v/>
      </c>
      <c r="AL474" s="73" t="str">
        <f t="shared" si="177"/>
        <v/>
      </c>
      <c r="AM474" s="73" t="str">
        <f t="shared" si="178"/>
        <v/>
      </c>
      <c r="AN474" s="73" t="str">
        <f t="shared" si="179"/>
        <v/>
      </c>
      <c r="AP474" s="61" t="str">
        <f t="shared" si="180"/>
        <v/>
      </c>
      <c r="AQ474" s="61" t="str">
        <f t="shared" si="181"/>
        <v/>
      </c>
      <c r="AR474" s="61" t="str">
        <f t="shared" si="182"/>
        <v/>
      </c>
    </row>
    <row r="475" spans="16:44" x14ac:dyDescent="0.25">
      <c r="P475" s="73" t="str">
        <f t="shared" si="163"/>
        <v/>
      </c>
      <c r="Q475" s="73" t="str">
        <f t="shared" si="164"/>
        <v/>
      </c>
      <c r="R475" s="74" t="str">
        <f t="shared" si="165"/>
        <v/>
      </c>
      <c r="S475" s="74" t="str">
        <f t="shared" si="166"/>
        <v/>
      </c>
      <c r="U475" s="74" t="str">
        <f t="shared" si="162"/>
        <v/>
      </c>
      <c r="V475" s="74" t="str">
        <f t="shared" si="162"/>
        <v/>
      </c>
      <c r="W475" s="74" t="str">
        <f t="shared" si="162"/>
        <v/>
      </c>
      <c r="X475" s="74" t="str">
        <f t="shared" si="162"/>
        <v/>
      </c>
      <c r="Y475" s="74" t="str">
        <f t="shared" si="162"/>
        <v/>
      </c>
      <c r="Z475" s="74" t="str">
        <f t="shared" si="167"/>
        <v/>
      </c>
      <c r="AA475" s="74">
        <f t="shared" si="168"/>
        <v>0</v>
      </c>
      <c r="AB475" s="74">
        <f t="shared" si="169"/>
        <v>0</v>
      </c>
      <c r="AC475" s="74" t="str">
        <f t="shared" si="170"/>
        <v/>
      </c>
      <c r="AE475" s="74" t="str">
        <f t="shared" si="171"/>
        <v/>
      </c>
      <c r="AF475" s="74" t="str">
        <f t="shared" si="172"/>
        <v/>
      </c>
      <c r="AG475" s="74" t="str">
        <f t="shared" si="173"/>
        <v/>
      </c>
      <c r="AH475" s="74">
        <f t="shared" si="174"/>
        <v>0</v>
      </c>
      <c r="AI475" s="74" t="str">
        <f>IF(AH475&lt;&gt;0,COUNTIF(AH$3:AH475,1),"")</f>
        <v/>
      </c>
      <c r="AJ475" s="74">
        <f t="shared" si="175"/>
        <v>0</v>
      </c>
      <c r="AK475" s="73" t="str">
        <f t="shared" si="176"/>
        <v/>
      </c>
      <c r="AL475" s="73" t="str">
        <f t="shared" si="177"/>
        <v/>
      </c>
      <c r="AM475" s="73" t="str">
        <f t="shared" si="178"/>
        <v/>
      </c>
      <c r="AN475" s="73" t="str">
        <f t="shared" si="179"/>
        <v/>
      </c>
      <c r="AP475" s="61" t="str">
        <f t="shared" si="180"/>
        <v/>
      </c>
      <c r="AQ475" s="61" t="str">
        <f t="shared" si="181"/>
        <v/>
      </c>
      <c r="AR475" s="61" t="str">
        <f t="shared" si="182"/>
        <v/>
      </c>
    </row>
    <row r="476" spans="16:44" x14ac:dyDescent="0.25">
      <c r="P476" s="73" t="str">
        <f t="shared" si="163"/>
        <v/>
      </c>
      <c r="Q476" s="73" t="str">
        <f t="shared" si="164"/>
        <v/>
      </c>
      <c r="R476" s="74" t="str">
        <f t="shared" si="165"/>
        <v/>
      </c>
      <c r="S476" s="74" t="str">
        <f t="shared" si="166"/>
        <v/>
      </c>
      <c r="U476" s="74" t="str">
        <f t="shared" si="162"/>
        <v/>
      </c>
      <c r="V476" s="74" t="str">
        <f t="shared" si="162"/>
        <v/>
      </c>
      <c r="W476" s="74" t="str">
        <f t="shared" si="162"/>
        <v/>
      </c>
      <c r="X476" s="74" t="str">
        <f t="shared" si="162"/>
        <v/>
      </c>
      <c r="Y476" s="74" t="str">
        <f t="shared" si="162"/>
        <v/>
      </c>
      <c r="Z476" s="74" t="str">
        <f t="shared" si="167"/>
        <v/>
      </c>
      <c r="AA476" s="74">
        <f t="shared" si="168"/>
        <v>0</v>
      </c>
      <c r="AB476" s="74">
        <f t="shared" si="169"/>
        <v>0</v>
      </c>
      <c r="AC476" s="74" t="str">
        <f t="shared" si="170"/>
        <v/>
      </c>
      <c r="AE476" s="74" t="str">
        <f t="shared" si="171"/>
        <v/>
      </c>
      <c r="AF476" s="74" t="str">
        <f t="shared" si="172"/>
        <v/>
      </c>
      <c r="AG476" s="74" t="str">
        <f t="shared" si="173"/>
        <v/>
      </c>
      <c r="AH476" s="74">
        <f t="shared" si="174"/>
        <v>0</v>
      </c>
      <c r="AI476" s="74" t="str">
        <f>IF(AH476&lt;&gt;0,COUNTIF(AH$3:AH476,1),"")</f>
        <v/>
      </c>
      <c r="AJ476" s="74">
        <f t="shared" si="175"/>
        <v>0</v>
      </c>
      <c r="AK476" s="73" t="str">
        <f t="shared" si="176"/>
        <v/>
      </c>
      <c r="AL476" s="73" t="str">
        <f t="shared" si="177"/>
        <v/>
      </c>
      <c r="AM476" s="73" t="str">
        <f t="shared" si="178"/>
        <v/>
      </c>
      <c r="AN476" s="73" t="str">
        <f t="shared" si="179"/>
        <v/>
      </c>
      <c r="AP476" s="61" t="str">
        <f t="shared" si="180"/>
        <v/>
      </c>
      <c r="AQ476" s="61" t="str">
        <f t="shared" si="181"/>
        <v/>
      </c>
      <c r="AR476" s="61" t="str">
        <f t="shared" si="182"/>
        <v/>
      </c>
    </row>
    <row r="477" spans="16:44" x14ac:dyDescent="0.25">
      <c r="P477" s="73" t="str">
        <f t="shared" si="163"/>
        <v/>
      </c>
      <c r="Q477" s="73" t="str">
        <f t="shared" si="164"/>
        <v/>
      </c>
      <c r="R477" s="74" t="str">
        <f t="shared" si="165"/>
        <v/>
      </c>
      <c r="S477" s="74" t="str">
        <f t="shared" si="166"/>
        <v/>
      </c>
      <c r="U477" s="74" t="str">
        <f t="shared" si="162"/>
        <v/>
      </c>
      <c r="V477" s="74" t="str">
        <f t="shared" si="162"/>
        <v/>
      </c>
      <c r="W477" s="74" t="str">
        <f t="shared" si="162"/>
        <v/>
      </c>
      <c r="X477" s="74" t="str">
        <f t="shared" si="162"/>
        <v/>
      </c>
      <c r="Y477" s="74" t="str">
        <f t="shared" si="162"/>
        <v/>
      </c>
      <c r="Z477" s="74" t="str">
        <f t="shared" si="167"/>
        <v/>
      </c>
      <c r="AA477" s="74">
        <f t="shared" si="168"/>
        <v>0</v>
      </c>
      <c r="AB477" s="74">
        <f t="shared" si="169"/>
        <v>0</v>
      </c>
      <c r="AC477" s="74" t="str">
        <f t="shared" si="170"/>
        <v/>
      </c>
      <c r="AE477" s="74" t="str">
        <f t="shared" si="171"/>
        <v/>
      </c>
      <c r="AF477" s="74" t="str">
        <f t="shared" si="172"/>
        <v/>
      </c>
      <c r="AG477" s="74" t="str">
        <f t="shared" si="173"/>
        <v/>
      </c>
      <c r="AH477" s="74">
        <f t="shared" si="174"/>
        <v>0</v>
      </c>
      <c r="AI477" s="74" t="str">
        <f>IF(AH477&lt;&gt;0,COUNTIF(AH$3:AH477,1),"")</f>
        <v/>
      </c>
      <c r="AJ477" s="74">
        <f t="shared" si="175"/>
        <v>0</v>
      </c>
      <c r="AK477" s="73" t="str">
        <f t="shared" si="176"/>
        <v/>
      </c>
      <c r="AL477" s="73" t="str">
        <f t="shared" si="177"/>
        <v/>
      </c>
      <c r="AM477" s="73" t="str">
        <f t="shared" si="178"/>
        <v/>
      </c>
      <c r="AN477" s="73" t="str">
        <f t="shared" si="179"/>
        <v/>
      </c>
      <c r="AP477" s="61" t="str">
        <f t="shared" si="180"/>
        <v/>
      </c>
      <c r="AQ477" s="61" t="str">
        <f t="shared" si="181"/>
        <v/>
      </c>
      <c r="AR477" s="61" t="str">
        <f t="shared" si="182"/>
        <v/>
      </c>
    </row>
    <row r="478" spans="16:44" x14ac:dyDescent="0.25">
      <c r="P478" s="73" t="str">
        <f t="shared" si="163"/>
        <v/>
      </c>
      <c r="Q478" s="73" t="str">
        <f t="shared" si="164"/>
        <v/>
      </c>
      <c r="R478" s="74" t="str">
        <f t="shared" si="165"/>
        <v/>
      </c>
      <c r="S478" s="74" t="str">
        <f t="shared" si="166"/>
        <v/>
      </c>
      <c r="U478" s="74" t="str">
        <f t="shared" si="162"/>
        <v/>
      </c>
      <c r="V478" s="74" t="str">
        <f t="shared" si="162"/>
        <v/>
      </c>
      <c r="W478" s="74" t="str">
        <f t="shared" si="162"/>
        <v/>
      </c>
      <c r="X478" s="74" t="str">
        <f t="shared" si="162"/>
        <v/>
      </c>
      <c r="Y478" s="74" t="str">
        <f t="shared" si="162"/>
        <v/>
      </c>
      <c r="Z478" s="74" t="str">
        <f t="shared" si="167"/>
        <v/>
      </c>
      <c r="AA478" s="74">
        <f t="shared" si="168"/>
        <v>0</v>
      </c>
      <c r="AB478" s="74">
        <f t="shared" si="169"/>
        <v>0</v>
      </c>
      <c r="AC478" s="74" t="str">
        <f t="shared" si="170"/>
        <v/>
      </c>
      <c r="AE478" s="74" t="str">
        <f t="shared" si="171"/>
        <v/>
      </c>
      <c r="AF478" s="74" t="str">
        <f t="shared" si="172"/>
        <v/>
      </c>
      <c r="AG478" s="74" t="str">
        <f t="shared" si="173"/>
        <v/>
      </c>
      <c r="AH478" s="74">
        <f t="shared" si="174"/>
        <v>0</v>
      </c>
      <c r="AI478" s="74" t="str">
        <f>IF(AH478&lt;&gt;0,COUNTIF(AH$3:AH478,1),"")</f>
        <v/>
      </c>
      <c r="AJ478" s="74">
        <f t="shared" si="175"/>
        <v>0</v>
      </c>
      <c r="AK478" s="73" t="str">
        <f t="shared" si="176"/>
        <v/>
      </c>
      <c r="AL478" s="73" t="str">
        <f t="shared" si="177"/>
        <v/>
      </c>
      <c r="AM478" s="73" t="str">
        <f t="shared" si="178"/>
        <v/>
      </c>
      <c r="AN478" s="73" t="str">
        <f t="shared" si="179"/>
        <v/>
      </c>
      <c r="AP478" s="61" t="str">
        <f t="shared" si="180"/>
        <v/>
      </c>
      <c r="AQ478" s="61" t="str">
        <f t="shared" si="181"/>
        <v/>
      </c>
      <c r="AR478" s="61" t="str">
        <f t="shared" si="182"/>
        <v/>
      </c>
    </row>
    <row r="479" spans="16:44" x14ac:dyDescent="0.25">
      <c r="P479" s="73" t="str">
        <f t="shared" si="163"/>
        <v/>
      </c>
      <c r="Q479" s="73" t="str">
        <f t="shared" si="164"/>
        <v/>
      </c>
      <c r="R479" s="74" t="str">
        <f t="shared" si="165"/>
        <v/>
      </c>
      <c r="S479" s="74" t="str">
        <f t="shared" si="166"/>
        <v/>
      </c>
      <c r="U479" s="74" t="str">
        <f t="shared" si="162"/>
        <v/>
      </c>
      <c r="V479" s="74" t="str">
        <f t="shared" si="162"/>
        <v/>
      </c>
      <c r="W479" s="74" t="str">
        <f t="shared" si="162"/>
        <v/>
      </c>
      <c r="X479" s="74" t="str">
        <f t="shared" si="162"/>
        <v/>
      </c>
      <c r="Y479" s="74" t="str">
        <f t="shared" si="162"/>
        <v/>
      </c>
      <c r="Z479" s="74" t="str">
        <f t="shared" si="167"/>
        <v/>
      </c>
      <c r="AA479" s="74">
        <f t="shared" si="168"/>
        <v>0</v>
      </c>
      <c r="AB479" s="74">
        <f t="shared" si="169"/>
        <v>0</v>
      </c>
      <c r="AC479" s="74" t="str">
        <f t="shared" si="170"/>
        <v/>
      </c>
      <c r="AE479" s="74" t="str">
        <f t="shared" si="171"/>
        <v/>
      </c>
      <c r="AF479" s="74" t="str">
        <f t="shared" si="172"/>
        <v/>
      </c>
      <c r="AG479" s="74" t="str">
        <f t="shared" si="173"/>
        <v/>
      </c>
      <c r="AH479" s="74">
        <f t="shared" si="174"/>
        <v>0</v>
      </c>
      <c r="AI479" s="74" t="str">
        <f>IF(AH479&lt;&gt;0,COUNTIF(AH$3:AH479,1),"")</f>
        <v/>
      </c>
      <c r="AJ479" s="74">
        <f t="shared" si="175"/>
        <v>0</v>
      </c>
      <c r="AK479" s="73" t="str">
        <f t="shared" si="176"/>
        <v/>
      </c>
      <c r="AL479" s="73" t="str">
        <f t="shared" si="177"/>
        <v/>
      </c>
      <c r="AM479" s="73" t="str">
        <f t="shared" si="178"/>
        <v/>
      </c>
      <c r="AN479" s="73" t="str">
        <f t="shared" si="179"/>
        <v/>
      </c>
      <c r="AP479" s="61" t="str">
        <f t="shared" si="180"/>
        <v/>
      </c>
      <c r="AQ479" s="61" t="str">
        <f t="shared" si="181"/>
        <v/>
      </c>
      <c r="AR479" s="61" t="str">
        <f t="shared" si="182"/>
        <v/>
      </c>
    </row>
    <row r="480" spans="16:44" x14ac:dyDescent="0.25">
      <c r="P480" s="73" t="str">
        <f t="shared" si="163"/>
        <v/>
      </c>
      <c r="Q480" s="73" t="str">
        <f t="shared" si="164"/>
        <v/>
      </c>
      <c r="R480" s="74" t="str">
        <f t="shared" si="165"/>
        <v/>
      </c>
      <c r="S480" s="74" t="str">
        <f t="shared" si="166"/>
        <v/>
      </c>
      <c r="U480" s="74" t="str">
        <f t="shared" si="162"/>
        <v/>
      </c>
      <c r="V480" s="74" t="str">
        <f t="shared" si="162"/>
        <v/>
      </c>
      <c r="W480" s="74" t="str">
        <f t="shared" si="162"/>
        <v/>
      </c>
      <c r="X480" s="74" t="str">
        <f t="shared" si="162"/>
        <v/>
      </c>
      <c r="Y480" s="74" t="str">
        <f t="shared" si="162"/>
        <v/>
      </c>
      <c r="Z480" s="74" t="str">
        <f t="shared" si="167"/>
        <v/>
      </c>
      <c r="AA480" s="74">
        <f t="shared" si="168"/>
        <v>0</v>
      </c>
      <c r="AB480" s="74">
        <f t="shared" si="169"/>
        <v>0</v>
      </c>
      <c r="AC480" s="74" t="str">
        <f t="shared" si="170"/>
        <v/>
      </c>
      <c r="AE480" s="74" t="str">
        <f t="shared" si="171"/>
        <v/>
      </c>
      <c r="AF480" s="74" t="str">
        <f t="shared" si="172"/>
        <v/>
      </c>
      <c r="AG480" s="74" t="str">
        <f t="shared" si="173"/>
        <v/>
      </c>
      <c r="AH480" s="74">
        <f t="shared" si="174"/>
        <v>0</v>
      </c>
      <c r="AI480" s="74" t="str">
        <f>IF(AH480&lt;&gt;0,COUNTIF(AH$3:AH480,1),"")</f>
        <v/>
      </c>
      <c r="AJ480" s="74">
        <f t="shared" si="175"/>
        <v>0</v>
      </c>
      <c r="AK480" s="73" t="str">
        <f t="shared" si="176"/>
        <v/>
      </c>
      <c r="AL480" s="73" t="str">
        <f t="shared" si="177"/>
        <v/>
      </c>
      <c r="AM480" s="73" t="str">
        <f t="shared" si="178"/>
        <v/>
      </c>
      <c r="AN480" s="73" t="str">
        <f t="shared" si="179"/>
        <v/>
      </c>
      <c r="AP480" s="61" t="str">
        <f t="shared" si="180"/>
        <v/>
      </c>
      <c r="AQ480" s="61" t="str">
        <f t="shared" si="181"/>
        <v/>
      </c>
      <c r="AR480" s="61" t="str">
        <f t="shared" si="182"/>
        <v/>
      </c>
    </row>
    <row r="481" spans="16:44" x14ac:dyDescent="0.25">
      <c r="P481" s="73" t="str">
        <f t="shared" si="163"/>
        <v/>
      </c>
      <c r="Q481" s="73" t="str">
        <f t="shared" si="164"/>
        <v/>
      </c>
      <c r="R481" s="74" t="str">
        <f t="shared" si="165"/>
        <v/>
      </c>
      <c r="S481" s="74" t="str">
        <f t="shared" si="166"/>
        <v/>
      </c>
      <c r="U481" s="74" t="str">
        <f t="shared" si="162"/>
        <v/>
      </c>
      <c r="V481" s="74" t="str">
        <f t="shared" si="162"/>
        <v/>
      </c>
      <c r="W481" s="74" t="str">
        <f t="shared" si="162"/>
        <v/>
      </c>
      <c r="X481" s="74" t="str">
        <f t="shared" si="162"/>
        <v/>
      </c>
      <c r="Y481" s="74" t="str">
        <f t="shared" si="162"/>
        <v/>
      </c>
      <c r="Z481" s="74" t="str">
        <f t="shared" si="167"/>
        <v/>
      </c>
      <c r="AA481" s="74">
        <f t="shared" si="168"/>
        <v>0</v>
      </c>
      <c r="AB481" s="74">
        <f t="shared" si="169"/>
        <v>0</v>
      </c>
      <c r="AC481" s="74" t="str">
        <f t="shared" si="170"/>
        <v/>
      </c>
      <c r="AE481" s="74" t="str">
        <f t="shared" si="171"/>
        <v/>
      </c>
      <c r="AF481" s="74" t="str">
        <f t="shared" si="172"/>
        <v/>
      </c>
      <c r="AG481" s="74" t="str">
        <f t="shared" si="173"/>
        <v/>
      </c>
      <c r="AH481" s="74">
        <f t="shared" si="174"/>
        <v>0</v>
      </c>
      <c r="AI481" s="74" t="str">
        <f>IF(AH481&lt;&gt;0,COUNTIF(AH$3:AH481,1),"")</f>
        <v/>
      </c>
      <c r="AJ481" s="74">
        <f t="shared" si="175"/>
        <v>0</v>
      </c>
      <c r="AK481" s="73" t="str">
        <f t="shared" si="176"/>
        <v/>
      </c>
      <c r="AL481" s="73" t="str">
        <f t="shared" si="177"/>
        <v/>
      </c>
      <c r="AM481" s="73" t="str">
        <f t="shared" si="178"/>
        <v/>
      </c>
      <c r="AN481" s="73" t="str">
        <f t="shared" si="179"/>
        <v/>
      </c>
      <c r="AP481" s="61" t="str">
        <f t="shared" si="180"/>
        <v/>
      </c>
      <c r="AQ481" s="61" t="str">
        <f t="shared" si="181"/>
        <v/>
      </c>
      <c r="AR481" s="61" t="str">
        <f t="shared" si="182"/>
        <v/>
      </c>
    </row>
    <row r="482" spans="16:44" x14ac:dyDescent="0.25">
      <c r="P482" s="73" t="str">
        <f t="shared" si="163"/>
        <v/>
      </c>
      <c r="Q482" s="73" t="str">
        <f t="shared" si="164"/>
        <v/>
      </c>
      <c r="R482" s="74" t="str">
        <f t="shared" si="165"/>
        <v/>
      </c>
      <c r="S482" s="74" t="str">
        <f t="shared" si="166"/>
        <v/>
      </c>
      <c r="U482" s="74" t="str">
        <f t="shared" si="162"/>
        <v/>
      </c>
      <c r="V482" s="74" t="str">
        <f t="shared" si="162"/>
        <v/>
      </c>
      <c r="W482" s="74" t="str">
        <f t="shared" si="162"/>
        <v/>
      </c>
      <c r="X482" s="74" t="str">
        <f t="shared" si="162"/>
        <v/>
      </c>
      <c r="Y482" s="74" t="str">
        <f t="shared" si="162"/>
        <v/>
      </c>
      <c r="Z482" s="74" t="str">
        <f t="shared" si="167"/>
        <v/>
      </c>
      <c r="AA482" s="74">
        <f t="shared" si="168"/>
        <v>0</v>
      </c>
      <c r="AB482" s="74">
        <f t="shared" si="169"/>
        <v>0</v>
      </c>
      <c r="AC482" s="74" t="str">
        <f t="shared" si="170"/>
        <v/>
      </c>
      <c r="AE482" s="74" t="str">
        <f t="shared" si="171"/>
        <v/>
      </c>
      <c r="AF482" s="74" t="str">
        <f t="shared" si="172"/>
        <v/>
      </c>
      <c r="AG482" s="74" t="str">
        <f t="shared" si="173"/>
        <v/>
      </c>
      <c r="AH482" s="74">
        <f t="shared" si="174"/>
        <v>0</v>
      </c>
      <c r="AI482" s="74" t="str">
        <f>IF(AH482&lt;&gt;0,COUNTIF(AH$3:AH482,1),"")</f>
        <v/>
      </c>
      <c r="AJ482" s="74">
        <f t="shared" si="175"/>
        <v>0</v>
      </c>
      <c r="AK482" s="73" t="str">
        <f t="shared" si="176"/>
        <v/>
      </c>
      <c r="AL482" s="73" t="str">
        <f t="shared" si="177"/>
        <v/>
      </c>
      <c r="AM482" s="73" t="str">
        <f t="shared" si="178"/>
        <v/>
      </c>
      <c r="AN482" s="73" t="str">
        <f t="shared" si="179"/>
        <v/>
      </c>
      <c r="AP482" s="61" t="str">
        <f t="shared" si="180"/>
        <v/>
      </c>
      <c r="AQ482" s="61" t="str">
        <f t="shared" si="181"/>
        <v/>
      </c>
      <c r="AR482" s="61" t="str">
        <f t="shared" si="182"/>
        <v/>
      </c>
    </row>
    <row r="483" spans="16:44" x14ac:dyDescent="0.25">
      <c r="P483" s="73" t="str">
        <f t="shared" si="163"/>
        <v/>
      </c>
      <c r="Q483" s="73" t="str">
        <f t="shared" si="164"/>
        <v/>
      </c>
      <c r="R483" s="74" t="str">
        <f t="shared" si="165"/>
        <v/>
      </c>
      <c r="S483" s="74" t="str">
        <f t="shared" si="166"/>
        <v/>
      </c>
      <c r="U483" s="74" t="str">
        <f t="shared" si="162"/>
        <v/>
      </c>
      <c r="V483" s="74" t="str">
        <f t="shared" si="162"/>
        <v/>
      </c>
      <c r="W483" s="74" t="str">
        <f t="shared" si="162"/>
        <v/>
      </c>
      <c r="X483" s="74" t="str">
        <f t="shared" si="162"/>
        <v/>
      </c>
      <c r="Y483" s="74" t="str">
        <f t="shared" si="162"/>
        <v/>
      </c>
      <c r="Z483" s="74" t="str">
        <f t="shared" si="167"/>
        <v/>
      </c>
      <c r="AA483" s="74">
        <f t="shared" si="168"/>
        <v>0</v>
      </c>
      <c r="AB483" s="74">
        <f t="shared" si="169"/>
        <v>0</v>
      </c>
      <c r="AC483" s="74" t="str">
        <f t="shared" si="170"/>
        <v/>
      </c>
      <c r="AE483" s="74" t="str">
        <f t="shared" si="171"/>
        <v/>
      </c>
      <c r="AF483" s="74" t="str">
        <f t="shared" si="172"/>
        <v/>
      </c>
      <c r="AG483" s="74" t="str">
        <f t="shared" si="173"/>
        <v/>
      </c>
      <c r="AH483" s="74">
        <f t="shared" si="174"/>
        <v>0</v>
      </c>
      <c r="AI483" s="74" t="str">
        <f>IF(AH483&lt;&gt;0,COUNTIF(AH$3:AH483,1),"")</f>
        <v/>
      </c>
      <c r="AJ483" s="74">
        <f t="shared" si="175"/>
        <v>0</v>
      </c>
      <c r="AK483" s="73" t="str">
        <f t="shared" si="176"/>
        <v/>
      </c>
      <c r="AL483" s="73" t="str">
        <f t="shared" si="177"/>
        <v/>
      </c>
      <c r="AM483" s="73" t="str">
        <f t="shared" si="178"/>
        <v/>
      </c>
      <c r="AN483" s="73" t="str">
        <f t="shared" si="179"/>
        <v/>
      </c>
      <c r="AP483" s="61" t="str">
        <f t="shared" si="180"/>
        <v/>
      </c>
      <c r="AQ483" s="61" t="str">
        <f t="shared" si="181"/>
        <v/>
      </c>
      <c r="AR483" s="61" t="str">
        <f t="shared" si="182"/>
        <v/>
      </c>
    </row>
    <row r="484" spans="16:44" x14ac:dyDescent="0.25">
      <c r="P484" s="73" t="str">
        <f t="shared" si="163"/>
        <v/>
      </c>
      <c r="Q484" s="73" t="str">
        <f t="shared" si="164"/>
        <v/>
      </c>
      <c r="R484" s="74" t="str">
        <f t="shared" si="165"/>
        <v/>
      </c>
      <c r="S484" s="74" t="str">
        <f t="shared" si="166"/>
        <v/>
      </c>
      <c r="U484" s="74" t="str">
        <f t="shared" si="162"/>
        <v/>
      </c>
      <c r="V484" s="74" t="str">
        <f t="shared" si="162"/>
        <v/>
      </c>
      <c r="W484" s="74" t="str">
        <f t="shared" si="162"/>
        <v/>
      </c>
      <c r="X484" s="74" t="str">
        <f t="shared" si="162"/>
        <v/>
      </c>
      <c r="Y484" s="74" t="str">
        <f t="shared" si="162"/>
        <v/>
      </c>
      <c r="Z484" s="74" t="str">
        <f t="shared" si="167"/>
        <v/>
      </c>
      <c r="AA484" s="74">
        <f t="shared" si="168"/>
        <v>0</v>
      </c>
      <c r="AB484" s="74">
        <f t="shared" si="169"/>
        <v>0</v>
      </c>
      <c r="AC484" s="74" t="str">
        <f t="shared" si="170"/>
        <v/>
      </c>
      <c r="AE484" s="74" t="str">
        <f t="shared" si="171"/>
        <v/>
      </c>
      <c r="AF484" s="74" t="str">
        <f t="shared" si="172"/>
        <v/>
      </c>
      <c r="AG484" s="74" t="str">
        <f t="shared" si="173"/>
        <v/>
      </c>
      <c r="AH484" s="74">
        <f t="shared" si="174"/>
        <v>0</v>
      </c>
      <c r="AI484" s="74" t="str">
        <f>IF(AH484&lt;&gt;0,COUNTIF(AH$3:AH484,1),"")</f>
        <v/>
      </c>
      <c r="AJ484" s="74">
        <f t="shared" si="175"/>
        <v>0</v>
      </c>
      <c r="AK484" s="73" t="str">
        <f t="shared" si="176"/>
        <v/>
      </c>
      <c r="AL484" s="73" t="str">
        <f t="shared" si="177"/>
        <v/>
      </c>
      <c r="AM484" s="73" t="str">
        <f t="shared" si="178"/>
        <v/>
      </c>
      <c r="AN484" s="73" t="str">
        <f t="shared" si="179"/>
        <v/>
      </c>
      <c r="AP484" s="61" t="str">
        <f t="shared" si="180"/>
        <v/>
      </c>
      <c r="AQ484" s="61" t="str">
        <f t="shared" si="181"/>
        <v/>
      </c>
      <c r="AR484" s="61" t="str">
        <f t="shared" si="182"/>
        <v/>
      </c>
    </row>
    <row r="485" spans="16:44" x14ac:dyDescent="0.25">
      <c r="P485" s="73" t="str">
        <f t="shared" si="163"/>
        <v/>
      </c>
      <c r="Q485" s="73" t="str">
        <f t="shared" si="164"/>
        <v/>
      </c>
      <c r="R485" s="74" t="str">
        <f t="shared" si="165"/>
        <v/>
      </c>
      <c r="S485" s="74" t="str">
        <f t="shared" si="166"/>
        <v/>
      </c>
      <c r="U485" s="74" t="str">
        <f t="shared" si="162"/>
        <v/>
      </c>
      <c r="V485" s="74" t="str">
        <f t="shared" si="162"/>
        <v/>
      </c>
      <c r="W485" s="74" t="str">
        <f t="shared" si="162"/>
        <v/>
      </c>
      <c r="X485" s="74" t="str">
        <f t="shared" si="162"/>
        <v/>
      </c>
      <c r="Y485" s="74" t="str">
        <f t="shared" si="162"/>
        <v/>
      </c>
      <c r="Z485" s="74" t="str">
        <f t="shared" si="167"/>
        <v/>
      </c>
      <c r="AA485" s="74">
        <f t="shared" si="168"/>
        <v>0</v>
      </c>
      <c r="AB485" s="74">
        <f t="shared" si="169"/>
        <v>0</v>
      </c>
      <c r="AC485" s="74" t="str">
        <f t="shared" si="170"/>
        <v/>
      </c>
      <c r="AE485" s="74" t="str">
        <f t="shared" si="171"/>
        <v/>
      </c>
      <c r="AF485" s="74" t="str">
        <f t="shared" si="172"/>
        <v/>
      </c>
      <c r="AG485" s="74" t="str">
        <f t="shared" si="173"/>
        <v/>
      </c>
      <c r="AH485" s="74">
        <f t="shared" si="174"/>
        <v>0</v>
      </c>
      <c r="AI485" s="74" t="str">
        <f>IF(AH485&lt;&gt;0,COUNTIF(AH$3:AH485,1),"")</f>
        <v/>
      </c>
      <c r="AJ485" s="74">
        <f t="shared" si="175"/>
        <v>0</v>
      </c>
      <c r="AK485" s="73" t="str">
        <f t="shared" si="176"/>
        <v/>
      </c>
      <c r="AL485" s="73" t="str">
        <f t="shared" si="177"/>
        <v/>
      </c>
      <c r="AM485" s="73" t="str">
        <f t="shared" si="178"/>
        <v/>
      </c>
      <c r="AN485" s="73" t="str">
        <f t="shared" si="179"/>
        <v/>
      </c>
      <c r="AP485" s="61" t="str">
        <f t="shared" si="180"/>
        <v/>
      </c>
      <c r="AQ485" s="61" t="str">
        <f t="shared" si="181"/>
        <v/>
      </c>
      <c r="AR485" s="61" t="str">
        <f t="shared" si="182"/>
        <v/>
      </c>
    </row>
    <row r="486" spans="16:44" x14ac:dyDescent="0.25">
      <c r="P486" s="73" t="str">
        <f t="shared" si="163"/>
        <v/>
      </c>
      <c r="Q486" s="73" t="str">
        <f t="shared" si="164"/>
        <v/>
      </c>
      <c r="R486" s="74" t="str">
        <f t="shared" si="165"/>
        <v/>
      </c>
      <c r="S486" s="74" t="str">
        <f t="shared" si="166"/>
        <v/>
      </c>
      <c r="U486" s="74" t="str">
        <f t="shared" si="162"/>
        <v/>
      </c>
      <c r="V486" s="74" t="str">
        <f t="shared" si="162"/>
        <v/>
      </c>
      <c r="W486" s="74" t="str">
        <f t="shared" si="162"/>
        <v/>
      </c>
      <c r="X486" s="74" t="str">
        <f t="shared" si="162"/>
        <v/>
      </c>
      <c r="Y486" s="74" t="str">
        <f t="shared" si="162"/>
        <v/>
      </c>
      <c r="Z486" s="74" t="str">
        <f t="shared" si="167"/>
        <v/>
      </c>
      <c r="AA486" s="74">
        <f t="shared" si="168"/>
        <v>0</v>
      </c>
      <c r="AB486" s="74">
        <f t="shared" si="169"/>
        <v>0</v>
      </c>
      <c r="AC486" s="74" t="str">
        <f t="shared" si="170"/>
        <v/>
      </c>
      <c r="AE486" s="74" t="str">
        <f t="shared" si="171"/>
        <v/>
      </c>
      <c r="AF486" s="74" t="str">
        <f t="shared" si="172"/>
        <v/>
      </c>
      <c r="AG486" s="74" t="str">
        <f t="shared" si="173"/>
        <v/>
      </c>
      <c r="AH486" s="74">
        <f t="shared" si="174"/>
        <v>0</v>
      </c>
      <c r="AI486" s="74" t="str">
        <f>IF(AH486&lt;&gt;0,COUNTIF(AH$3:AH486,1),"")</f>
        <v/>
      </c>
      <c r="AJ486" s="74">
        <f t="shared" si="175"/>
        <v>0</v>
      </c>
      <c r="AK486" s="73" t="str">
        <f t="shared" si="176"/>
        <v/>
      </c>
      <c r="AL486" s="73" t="str">
        <f t="shared" si="177"/>
        <v/>
      </c>
      <c r="AM486" s="73" t="str">
        <f t="shared" si="178"/>
        <v/>
      </c>
      <c r="AN486" s="73" t="str">
        <f t="shared" si="179"/>
        <v/>
      </c>
      <c r="AP486" s="61" t="str">
        <f t="shared" si="180"/>
        <v/>
      </c>
      <c r="AQ486" s="61" t="str">
        <f t="shared" si="181"/>
        <v/>
      </c>
      <c r="AR486" s="61" t="str">
        <f t="shared" si="182"/>
        <v/>
      </c>
    </row>
    <row r="487" spans="16:44" x14ac:dyDescent="0.25">
      <c r="P487" s="73" t="str">
        <f t="shared" si="163"/>
        <v/>
      </c>
      <c r="Q487" s="73" t="str">
        <f t="shared" si="164"/>
        <v/>
      </c>
      <c r="R487" s="74" t="str">
        <f t="shared" si="165"/>
        <v/>
      </c>
      <c r="S487" s="74" t="str">
        <f t="shared" si="166"/>
        <v/>
      </c>
      <c r="U487" s="74" t="str">
        <f t="shared" si="162"/>
        <v/>
      </c>
      <c r="V487" s="74" t="str">
        <f t="shared" si="162"/>
        <v/>
      </c>
      <c r="W487" s="74" t="str">
        <f t="shared" si="162"/>
        <v/>
      </c>
      <c r="X487" s="74" t="str">
        <f t="shared" si="162"/>
        <v/>
      </c>
      <c r="Y487" s="74" t="str">
        <f t="shared" si="162"/>
        <v/>
      </c>
      <c r="Z487" s="74" t="str">
        <f t="shared" si="167"/>
        <v/>
      </c>
      <c r="AA487" s="74">
        <f t="shared" si="168"/>
        <v>0</v>
      </c>
      <c r="AB487" s="74">
        <f t="shared" si="169"/>
        <v>0</v>
      </c>
      <c r="AC487" s="74" t="str">
        <f t="shared" si="170"/>
        <v/>
      </c>
      <c r="AE487" s="74" t="str">
        <f t="shared" si="171"/>
        <v/>
      </c>
      <c r="AF487" s="74" t="str">
        <f t="shared" si="172"/>
        <v/>
      </c>
      <c r="AG487" s="74" t="str">
        <f t="shared" si="173"/>
        <v/>
      </c>
      <c r="AH487" s="74">
        <f t="shared" si="174"/>
        <v>0</v>
      </c>
      <c r="AI487" s="74" t="str">
        <f>IF(AH487&lt;&gt;0,COUNTIF(AH$3:AH487,1),"")</f>
        <v/>
      </c>
      <c r="AJ487" s="74">
        <f t="shared" si="175"/>
        <v>0</v>
      </c>
      <c r="AK487" s="73" t="str">
        <f t="shared" si="176"/>
        <v/>
      </c>
      <c r="AL487" s="73" t="str">
        <f t="shared" si="177"/>
        <v/>
      </c>
      <c r="AM487" s="73" t="str">
        <f t="shared" si="178"/>
        <v/>
      </c>
      <c r="AN487" s="73" t="str">
        <f t="shared" si="179"/>
        <v/>
      </c>
      <c r="AP487" s="61" t="str">
        <f t="shared" si="180"/>
        <v/>
      </c>
      <c r="AQ487" s="61" t="str">
        <f t="shared" si="181"/>
        <v/>
      </c>
      <c r="AR487" s="61" t="str">
        <f t="shared" si="182"/>
        <v/>
      </c>
    </row>
    <row r="488" spans="16:44" x14ac:dyDescent="0.25">
      <c r="P488" s="73" t="str">
        <f t="shared" si="163"/>
        <v/>
      </c>
      <c r="Q488" s="73" t="str">
        <f t="shared" si="164"/>
        <v/>
      </c>
      <c r="R488" s="74" t="str">
        <f t="shared" si="165"/>
        <v/>
      </c>
      <c r="S488" s="74" t="str">
        <f t="shared" si="166"/>
        <v/>
      </c>
      <c r="U488" s="74" t="str">
        <f t="shared" si="162"/>
        <v/>
      </c>
      <c r="V488" s="74" t="str">
        <f t="shared" si="162"/>
        <v/>
      </c>
      <c r="W488" s="74" t="str">
        <f t="shared" si="162"/>
        <v/>
      </c>
      <c r="X488" s="74" t="str">
        <f t="shared" si="162"/>
        <v/>
      </c>
      <c r="Y488" s="74" t="str">
        <f t="shared" si="162"/>
        <v/>
      </c>
      <c r="Z488" s="74" t="str">
        <f t="shared" si="167"/>
        <v/>
      </c>
      <c r="AA488" s="74">
        <f t="shared" si="168"/>
        <v>0</v>
      </c>
      <c r="AB488" s="74">
        <f t="shared" si="169"/>
        <v>0</v>
      </c>
      <c r="AC488" s="74" t="str">
        <f t="shared" si="170"/>
        <v/>
      </c>
      <c r="AE488" s="74" t="str">
        <f t="shared" si="171"/>
        <v/>
      </c>
      <c r="AF488" s="74" t="str">
        <f t="shared" si="172"/>
        <v/>
      </c>
      <c r="AG488" s="74" t="str">
        <f t="shared" si="173"/>
        <v/>
      </c>
      <c r="AH488" s="74">
        <f t="shared" si="174"/>
        <v>0</v>
      </c>
      <c r="AI488" s="74" t="str">
        <f>IF(AH488&lt;&gt;0,COUNTIF(AH$3:AH488,1),"")</f>
        <v/>
      </c>
      <c r="AJ488" s="74">
        <f t="shared" si="175"/>
        <v>0</v>
      </c>
      <c r="AK488" s="73" t="str">
        <f t="shared" si="176"/>
        <v/>
      </c>
      <c r="AL488" s="73" t="str">
        <f t="shared" si="177"/>
        <v/>
      </c>
      <c r="AM488" s="73" t="str">
        <f t="shared" si="178"/>
        <v/>
      </c>
      <c r="AN488" s="73" t="str">
        <f t="shared" si="179"/>
        <v/>
      </c>
      <c r="AP488" s="61" t="str">
        <f t="shared" si="180"/>
        <v/>
      </c>
      <c r="AQ488" s="61" t="str">
        <f t="shared" si="181"/>
        <v/>
      </c>
      <c r="AR488" s="61" t="str">
        <f t="shared" si="182"/>
        <v/>
      </c>
    </row>
    <row r="489" spans="16:44" x14ac:dyDescent="0.25">
      <c r="P489" s="73" t="str">
        <f t="shared" si="163"/>
        <v/>
      </c>
      <c r="Q489" s="73" t="str">
        <f t="shared" si="164"/>
        <v/>
      </c>
      <c r="R489" s="74" t="str">
        <f t="shared" si="165"/>
        <v/>
      </c>
      <c r="S489" s="74" t="str">
        <f t="shared" si="166"/>
        <v/>
      </c>
      <c r="U489" s="74" t="str">
        <f t="shared" si="162"/>
        <v/>
      </c>
      <c r="V489" s="74" t="str">
        <f t="shared" si="162"/>
        <v/>
      </c>
      <c r="W489" s="74" t="str">
        <f t="shared" si="162"/>
        <v/>
      </c>
      <c r="X489" s="74" t="str">
        <f t="shared" si="162"/>
        <v/>
      </c>
      <c r="Y489" s="74" t="str">
        <f t="shared" si="162"/>
        <v/>
      </c>
      <c r="Z489" s="74" t="str">
        <f t="shared" si="167"/>
        <v/>
      </c>
      <c r="AA489" s="74">
        <f t="shared" si="168"/>
        <v>0</v>
      </c>
      <c r="AB489" s="74">
        <f t="shared" si="169"/>
        <v>0</v>
      </c>
      <c r="AC489" s="74" t="str">
        <f t="shared" si="170"/>
        <v/>
      </c>
      <c r="AE489" s="74" t="str">
        <f t="shared" si="171"/>
        <v/>
      </c>
      <c r="AF489" s="74" t="str">
        <f t="shared" si="172"/>
        <v/>
      </c>
      <c r="AG489" s="74" t="str">
        <f t="shared" si="173"/>
        <v/>
      </c>
      <c r="AH489" s="74">
        <f t="shared" si="174"/>
        <v>0</v>
      </c>
      <c r="AI489" s="74" t="str">
        <f>IF(AH489&lt;&gt;0,COUNTIF(AH$3:AH489,1),"")</f>
        <v/>
      </c>
      <c r="AJ489" s="74">
        <f t="shared" si="175"/>
        <v>0</v>
      </c>
      <c r="AK489" s="73" t="str">
        <f t="shared" si="176"/>
        <v/>
      </c>
      <c r="AL489" s="73" t="str">
        <f t="shared" si="177"/>
        <v/>
      </c>
      <c r="AM489" s="73" t="str">
        <f t="shared" si="178"/>
        <v/>
      </c>
      <c r="AN489" s="73" t="str">
        <f t="shared" si="179"/>
        <v/>
      </c>
      <c r="AP489" s="61" t="str">
        <f t="shared" si="180"/>
        <v/>
      </c>
      <c r="AQ489" s="61" t="str">
        <f t="shared" si="181"/>
        <v/>
      </c>
      <c r="AR489" s="61" t="str">
        <f t="shared" si="182"/>
        <v/>
      </c>
    </row>
    <row r="490" spans="16:44" x14ac:dyDescent="0.25">
      <c r="P490" s="73" t="str">
        <f t="shared" si="163"/>
        <v/>
      </c>
      <c r="Q490" s="73" t="str">
        <f t="shared" si="164"/>
        <v/>
      </c>
      <c r="R490" s="74" t="str">
        <f t="shared" si="165"/>
        <v/>
      </c>
      <c r="S490" s="74" t="str">
        <f t="shared" si="166"/>
        <v/>
      </c>
      <c r="U490" s="74" t="str">
        <f t="shared" si="162"/>
        <v/>
      </c>
      <c r="V490" s="74" t="str">
        <f t="shared" si="162"/>
        <v/>
      </c>
      <c r="W490" s="74" t="str">
        <f t="shared" si="162"/>
        <v/>
      </c>
      <c r="X490" s="74" t="str">
        <f t="shared" si="162"/>
        <v/>
      </c>
      <c r="Y490" s="74" t="str">
        <f t="shared" si="162"/>
        <v/>
      </c>
      <c r="Z490" s="74" t="str">
        <f t="shared" si="167"/>
        <v/>
      </c>
      <c r="AA490" s="74">
        <f t="shared" si="168"/>
        <v>0</v>
      </c>
      <c r="AB490" s="74">
        <f t="shared" si="169"/>
        <v>0</v>
      </c>
      <c r="AC490" s="74" t="str">
        <f t="shared" si="170"/>
        <v/>
      </c>
      <c r="AE490" s="74" t="str">
        <f t="shared" si="171"/>
        <v/>
      </c>
      <c r="AF490" s="74" t="str">
        <f t="shared" si="172"/>
        <v/>
      </c>
      <c r="AG490" s="74" t="str">
        <f t="shared" si="173"/>
        <v/>
      </c>
      <c r="AH490" s="74">
        <f t="shared" si="174"/>
        <v>0</v>
      </c>
      <c r="AI490" s="74" t="str">
        <f>IF(AH490&lt;&gt;0,COUNTIF(AH$3:AH490,1),"")</f>
        <v/>
      </c>
      <c r="AJ490" s="74">
        <f t="shared" si="175"/>
        <v>0</v>
      </c>
      <c r="AK490" s="73" t="str">
        <f t="shared" si="176"/>
        <v/>
      </c>
      <c r="AL490" s="73" t="str">
        <f t="shared" si="177"/>
        <v/>
      </c>
      <c r="AM490" s="73" t="str">
        <f t="shared" si="178"/>
        <v/>
      </c>
      <c r="AN490" s="73" t="str">
        <f t="shared" si="179"/>
        <v/>
      </c>
      <c r="AP490" s="61" t="str">
        <f t="shared" si="180"/>
        <v/>
      </c>
      <c r="AQ490" s="61" t="str">
        <f t="shared" si="181"/>
        <v/>
      </c>
      <c r="AR490" s="61" t="str">
        <f t="shared" si="182"/>
        <v/>
      </c>
    </row>
    <row r="491" spans="16:44" x14ac:dyDescent="0.25">
      <c r="P491" s="73" t="str">
        <f t="shared" si="163"/>
        <v/>
      </c>
      <c r="Q491" s="73" t="str">
        <f t="shared" si="164"/>
        <v/>
      </c>
      <c r="R491" s="74" t="str">
        <f t="shared" si="165"/>
        <v/>
      </c>
      <c r="S491" s="74" t="str">
        <f t="shared" si="166"/>
        <v/>
      </c>
      <c r="U491" s="74" t="str">
        <f t="shared" si="162"/>
        <v/>
      </c>
      <c r="V491" s="74" t="str">
        <f t="shared" si="162"/>
        <v/>
      </c>
      <c r="W491" s="74" t="str">
        <f t="shared" si="162"/>
        <v/>
      </c>
      <c r="X491" s="74" t="str">
        <f t="shared" si="162"/>
        <v/>
      </c>
      <c r="Y491" s="74" t="str">
        <f t="shared" si="162"/>
        <v/>
      </c>
      <c r="Z491" s="74" t="str">
        <f t="shared" si="167"/>
        <v/>
      </c>
      <c r="AA491" s="74">
        <f t="shared" si="168"/>
        <v>0</v>
      </c>
      <c r="AB491" s="74">
        <f t="shared" si="169"/>
        <v>0</v>
      </c>
      <c r="AC491" s="74" t="str">
        <f t="shared" si="170"/>
        <v/>
      </c>
      <c r="AE491" s="74" t="str">
        <f t="shared" si="171"/>
        <v/>
      </c>
      <c r="AF491" s="74" t="str">
        <f t="shared" si="172"/>
        <v/>
      </c>
      <c r="AG491" s="74" t="str">
        <f t="shared" si="173"/>
        <v/>
      </c>
      <c r="AH491" s="74">
        <f t="shared" si="174"/>
        <v>0</v>
      </c>
      <c r="AI491" s="74" t="str">
        <f>IF(AH491&lt;&gt;0,COUNTIF(AH$3:AH491,1),"")</f>
        <v/>
      </c>
      <c r="AJ491" s="74">
        <f t="shared" si="175"/>
        <v>0</v>
      </c>
      <c r="AK491" s="73" t="str">
        <f t="shared" si="176"/>
        <v/>
      </c>
      <c r="AL491" s="73" t="str">
        <f t="shared" si="177"/>
        <v/>
      </c>
      <c r="AM491" s="73" t="str">
        <f t="shared" si="178"/>
        <v/>
      </c>
      <c r="AN491" s="73" t="str">
        <f t="shared" si="179"/>
        <v/>
      </c>
      <c r="AP491" s="61" t="str">
        <f t="shared" si="180"/>
        <v/>
      </c>
      <c r="AQ491" s="61" t="str">
        <f t="shared" si="181"/>
        <v/>
      </c>
      <c r="AR491" s="61" t="str">
        <f t="shared" si="182"/>
        <v/>
      </c>
    </row>
    <row r="492" spans="16:44" x14ac:dyDescent="0.25">
      <c r="P492" s="73" t="str">
        <f t="shared" si="163"/>
        <v/>
      </c>
      <c r="Q492" s="73" t="str">
        <f t="shared" si="164"/>
        <v/>
      </c>
      <c r="R492" s="74" t="str">
        <f t="shared" si="165"/>
        <v/>
      </c>
      <c r="S492" s="74" t="str">
        <f t="shared" si="166"/>
        <v/>
      </c>
      <c r="U492" s="74" t="str">
        <f t="shared" si="162"/>
        <v/>
      </c>
      <c r="V492" s="74" t="str">
        <f t="shared" si="162"/>
        <v/>
      </c>
      <c r="W492" s="74" t="str">
        <f t="shared" si="162"/>
        <v/>
      </c>
      <c r="X492" s="74" t="str">
        <f t="shared" si="162"/>
        <v/>
      </c>
      <c r="Y492" s="74" t="str">
        <f t="shared" si="162"/>
        <v/>
      </c>
      <c r="Z492" s="74" t="str">
        <f t="shared" si="167"/>
        <v/>
      </c>
      <c r="AA492" s="74">
        <f t="shared" si="168"/>
        <v>0</v>
      </c>
      <c r="AB492" s="74">
        <f t="shared" si="169"/>
        <v>0</v>
      </c>
      <c r="AC492" s="74" t="str">
        <f t="shared" si="170"/>
        <v/>
      </c>
      <c r="AE492" s="74" t="str">
        <f t="shared" si="171"/>
        <v/>
      </c>
      <c r="AF492" s="74" t="str">
        <f t="shared" si="172"/>
        <v/>
      </c>
      <c r="AG492" s="74" t="str">
        <f t="shared" si="173"/>
        <v/>
      </c>
      <c r="AH492" s="74">
        <f t="shared" si="174"/>
        <v>0</v>
      </c>
      <c r="AI492" s="74" t="str">
        <f>IF(AH492&lt;&gt;0,COUNTIF(AH$3:AH492,1),"")</f>
        <v/>
      </c>
      <c r="AJ492" s="74">
        <f t="shared" si="175"/>
        <v>0</v>
      </c>
      <c r="AK492" s="73" t="str">
        <f t="shared" si="176"/>
        <v/>
      </c>
      <c r="AL492" s="73" t="str">
        <f t="shared" si="177"/>
        <v/>
      </c>
      <c r="AM492" s="73" t="str">
        <f t="shared" si="178"/>
        <v/>
      </c>
      <c r="AN492" s="73" t="str">
        <f t="shared" si="179"/>
        <v/>
      </c>
      <c r="AP492" s="61" t="str">
        <f t="shared" si="180"/>
        <v/>
      </c>
      <c r="AQ492" s="61" t="str">
        <f t="shared" si="181"/>
        <v/>
      </c>
      <c r="AR492" s="61" t="str">
        <f t="shared" si="182"/>
        <v/>
      </c>
    </row>
    <row r="493" spans="16:44" x14ac:dyDescent="0.25">
      <c r="P493" s="73" t="str">
        <f t="shared" si="163"/>
        <v/>
      </c>
      <c r="Q493" s="73" t="str">
        <f t="shared" si="164"/>
        <v/>
      </c>
      <c r="R493" s="74" t="str">
        <f t="shared" si="165"/>
        <v/>
      </c>
      <c r="S493" s="74" t="str">
        <f t="shared" si="166"/>
        <v/>
      </c>
      <c r="U493" s="74" t="str">
        <f t="shared" si="162"/>
        <v/>
      </c>
      <c r="V493" s="74" t="str">
        <f t="shared" si="162"/>
        <v/>
      </c>
      <c r="W493" s="74" t="str">
        <f t="shared" si="162"/>
        <v/>
      </c>
      <c r="X493" s="74" t="str">
        <f t="shared" si="162"/>
        <v/>
      </c>
      <c r="Y493" s="74" t="str">
        <f t="shared" si="162"/>
        <v/>
      </c>
      <c r="Z493" s="74" t="str">
        <f t="shared" si="167"/>
        <v/>
      </c>
      <c r="AA493" s="74">
        <f t="shared" si="168"/>
        <v>0</v>
      </c>
      <c r="AB493" s="74">
        <f t="shared" si="169"/>
        <v>0</v>
      </c>
      <c r="AC493" s="74" t="str">
        <f t="shared" si="170"/>
        <v/>
      </c>
      <c r="AE493" s="74" t="str">
        <f t="shared" si="171"/>
        <v/>
      </c>
      <c r="AF493" s="74" t="str">
        <f t="shared" si="172"/>
        <v/>
      </c>
      <c r="AG493" s="74" t="str">
        <f t="shared" si="173"/>
        <v/>
      </c>
      <c r="AH493" s="74">
        <f t="shared" si="174"/>
        <v>0</v>
      </c>
      <c r="AI493" s="74" t="str">
        <f>IF(AH493&lt;&gt;0,COUNTIF(AH$3:AH493,1),"")</f>
        <v/>
      </c>
      <c r="AJ493" s="74">
        <f t="shared" si="175"/>
        <v>0</v>
      </c>
      <c r="AK493" s="73" t="str">
        <f t="shared" si="176"/>
        <v/>
      </c>
      <c r="AL493" s="73" t="str">
        <f t="shared" si="177"/>
        <v/>
      </c>
      <c r="AM493" s="73" t="str">
        <f t="shared" si="178"/>
        <v/>
      </c>
      <c r="AN493" s="73" t="str">
        <f t="shared" si="179"/>
        <v/>
      </c>
      <c r="AP493" s="61" t="str">
        <f t="shared" si="180"/>
        <v/>
      </c>
      <c r="AQ493" s="61" t="str">
        <f t="shared" si="181"/>
        <v/>
      </c>
      <c r="AR493" s="61" t="str">
        <f t="shared" si="182"/>
        <v/>
      </c>
    </row>
    <row r="494" spans="16:44" x14ac:dyDescent="0.25">
      <c r="P494" s="73" t="str">
        <f t="shared" si="163"/>
        <v/>
      </c>
      <c r="Q494" s="73" t="str">
        <f t="shared" si="164"/>
        <v/>
      </c>
      <c r="R494" s="74" t="str">
        <f t="shared" si="165"/>
        <v/>
      </c>
      <c r="S494" s="74" t="str">
        <f t="shared" si="166"/>
        <v/>
      </c>
      <c r="U494" s="74" t="str">
        <f t="shared" si="162"/>
        <v/>
      </c>
      <c r="V494" s="74" t="str">
        <f t="shared" si="162"/>
        <v/>
      </c>
      <c r="W494" s="74" t="str">
        <f t="shared" si="162"/>
        <v/>
      </c>
      <c r="X494" s="74" t="str">
        <f t="shared" si="162"/>
        <v/>
      </c>
      <c r="Y494" s="74" t="str">
        <f t="shared" si="162"/>
        <v/>
      </c>
      <c r="Z494" s="74" t="str">
        <f t="shared" si="167"/>
        <v/>
      </c>
      <c r="AA494" s="74">
        <f t="shared" si="168"/>
        <v>0</v>
      </c>
      <c r="AB494" s="74">
        <f t="shared" si="169"/>
        <v>0</v>
      </c>
      <c r="AC494" s="74" t="str">
        <f t="shared" si="170"/>
        <v/>
      </c>
      <c r="AE494" s="74" t="str">
        <f t="shared" si="171"/>
        <v/>
      </c>
      <c r="AF494" s="74" t="str">
        <f t="shared" si="172"/>
        <v/>
      </c>
      <c r="AG494" s="74" t="str">
        <f t="shared" si="173"/>
        <v/>
      </c>
      <c r="AH494" s="74">
        <f t="shared" si="174"/>
        <v>0</v>
      </c>
      <c r="AI494" s="74" t="str">
        <f>IF(AH494&lt;&gt;0,COUNTIF(AH$3:AH494,1),"")</f>
        <v/>
      </c>
      <c r="AJ494" s="74">
        <f t="shared" si="175"/>
        <v>0</v>
      </c>
      <c r="AK494" s="73" t="str">
        <f t="shared" si="176"/>
        <v/>
      </c>
      <c r="AL494" s="73" t="str">
        <f t="shared" si="177"/>
        <v/>
      </c>
      <c r="AM494" s="73" t="str">
        <f t="shared" si="178"/>
        <v/>
      </c>
      <c r="AN494" s="73" t="str">
        <f t="shared" si="179"/>
        <v/>
      </c>
      <c r="AP494" s="61" t="str">
        <f t="shared" si="180"/>
        <v/>
      </c>
      <c r="AQ494" s="61" t="str">
        <f t="shared" si="181"/>
        <v/>
      </c>
      <c r="AR494" s="61" t="str">
        <f t="shared" si="182"/>
        <v/>
      </c>
    </row>
    <row r="495" spans="16:44" x14ac:dyDescent="0.25">
      <c r="P495" s="73" t="str">
        <f t="shared" si="163"/>
        <v/>
      </c>
      <c r="Q495" s="73" t="str">
        <f t="shared" si="164"/>
        <v/>
      </c>
      <c r="R495" s="74" t="str">
        <f t="shared" si="165"/>
        <v/>
      </c>
      <c r="S495" s="74" t="str">
        <f t="shared" si="166"/>
        <v/>
      </c>
      <c r="U495" s="74" t="str">
        <f t="shared" si="162"/>
        <v/>
      </c>
      <c r="V495" s="74" t="str">
        <f t="shared" si="162"/>
        <v/>
      </c>
      <c r="W495" s="74" t="str">
        <f t="shared" si="162"/>
        <v/>
      </c>
      <c r="X495" s="74" t="str">
        <f t="shared" si="162"/>
        <v/>
      </c>
      <c r="Y495" s="74" t="str">
        <f t="shared" si="162"/>
        <v/>
      </c>
      <c r="Z495" s="74" t="str">
        <f t="shared" si="167"/>
        <v/>
      </c>
      <c r="AA495" s="74">
        <f t="shared" si="168"/>
        <v>0</v>
      </c>
      <c r="AB495" s="74">
        <f t="shared" si="169"/>
        <v>0</v>
      </c>
      <c r="AC495" s="74" t="str">
        <f t="shared" si="170"/>
        <v/>
      </c>
      <c r="AE495" s="74" t="str">
        <f t="shared" si="171"/>
        <v/>
      </c>
      <c r="AF495" s="74" t="str">
        <f t="shared" si="172"/>
        <v/>
      </c>
      <c r="AG495" s="74" t="str">
        <f t="shared" si="173"/>
        <v/>
      </c>
      <c r="AH495" s="74">
        <f t="shared" si="174"/>
        <v>0</v>
      </c>
      <c r="AI495" s="74" t="str">
        <f>IF(AH495&lt;&gt;0,COUNTIF(AH$3:AH495,1),"")</f>
        <v/>
      </c>
      <c r="AJ495" s="74">
        <f t="shared" si="175"/>
        <v>0</v>
      </c>
      <c r="AK495" s="73" t="str">
        <f t="shared" si="176"/>
        <v/>
      </c>
      <c r="AL495" s="73" t="str">
        <f t="shared" si="177"/>
        <v/>
      </c>
      <c r="AM495" s="73" t="str">
        <f t="shared" si="178"/>
        <v/>
      </c>
      <c r="AN495" s="73" t="str">
        <f t="shared" si="179"/>
        <v/>
      </c>
      <c r="AP495" s="61" t="str">
        <f t="shared" si="180"/>
        <v/>
      </c>
      <c r="AQ495" s="61" t="str">
        <f t="shared" si="181"/>
        <v/>
      </c>
      <c r="AR495" s="61" t="str">
        <f t="shared" si="182"/>
        <v/>
      </c>
    </row>
    <row r="496" spans="16:44" x14ac:dyDescent="0.25">
      <c r="P496" s="73" t="str">
        <f t="shared" si="163"/>
        <v/>
      </c>
      <c r="Q496" s="73" t="str">
        <f t="shared" si="164"/>
        <v/>
      </c>
      <c r="R496" s="74" t="str">
        <f t="shared" si="165"/>
        <v/>
      </c>
      <c r="S496" s="74" t="str">
        <f t="shared" si="166"/>
        <v/>
      </c>
      <c r="U496" s="74" t="str">
        <f t="shared" ref="U496:Y546" si="183">IF($F496=U$1,$E496,"")</f>
        <v/>
      </c>
      <c r="V496" s="74" t="str">
        <f t="shared" si="183"/>
        <v/>
      </c>
      <c r="W496" s="74" t="str">
        <f t="shared" si="183"/>
        <v/>
      </c>
      <c r="X496" s="74" t="str">
        <f t="shared" si="183"/>
        <v/>
      </c>
      <c r="Y496" s="74" t="str">
        <f t="shared" si="183"/>
        <v/>
      </c>
      <c r="Z496" s="74" t="str">
        <f t="shared" si="167"/>
        <v/>
      </c>
      <c r="AA496" s="74">
        <f t="shared" si="168"/>
        <v>0</v>
      </c>
      <c r="AB496" s="74">
        <f t="shared" si="169"/>
        <v>0</v>
      </c>
      <c r="AC496" s="74" t="str">
        <f t="shared" si="170"/>
        <v/>
      </c>
      <c r="AE496" s="74" t="str">
        <f t="shared" si="171"/>
        <v/>
      </c>
      <c r="AF496" s="74" t="str">
        <f t="shared" si="172"/>
        <v/>
      </c>
      <c r="AG496" s="74" t="str">
        <f t="shared" si="173"/>
        <v/>
      </c>
      <c r="AH496" s="74">
        <f t="shared" si="174"/>
        <v>0</v>
      </c>
      <c r="AI496" s="74" t="str">
        <f>IF(AH496&lt;&gt;0,COUNTIF(AH$3:AH496,1),"")</f>
        <v/>
      </c>
      <c r="AJ496" s="74">
        <f t="shared" si="175"/>
        <v>0</v>
      </c>
      <c r="AK496" s="73" t="str">
        <f t="shared" si="176"/>
        <v/>
      </c>
      <c r="AL496" s="73" t="str">
        <f t="shared" si="177"/>
        <v/>
      </c>
      <c r="AM496" s="73" t="str">
        <f t="shared" si="178"/>
        <v/>
      </c>
      <c r="AN496" s="73" t="str">
        <f t="shared" si="179"/>
        <v/>
      </c>
      <c r="AP496" s="61" t="str">
        <f t="shared" si="180"/>
        <v/>
      </c>
      <c r="AQ496" s="61" t="str">
        <f t="shared" si="181"/>
        <v/>
      </c>
      <c r="AR496" s="61" t="str">
        <f t="shared" si="182"/>
        <v/>
      </c>
    </row>
    <row r="497" spans="16:44" x14ac:dyDescent="0.25">
      <c r="P497" s="73" t="str">
        <f t="shared" si="163"/>
        <v/>
      </c>
      <c r="Q497" s="73" t="str">
        <f t="shared" si="164"/>
        <v/>
      </c>
      <c r="R497" s="74" t="str">
        <f t="shared" si="165"/>
        <v/>
      </c>
      <c r="S497" s="74" t="str">
        <f t="shared" si="166"/>
        <v/>
      </c>
      <c r="U497" s="74" t="str">
        <f t="shared" si="183"/>
        <v/>
      </c>
      <c r="V497" s="74" t="str">
        <f t="shared" si="183"/>
        <v/>
      </c>
      <c r="W497" s="74" t="str">
        <f t="shared" si="183"/>
        <v/>
      </c>
      <c r="X497" s="74" t="str">
        <f t="shared" si="183"/>
        <v/>
      </c>
      <c r="Y497" s="74" t="str">
        <f t="shared" si="183"/>
        <v/>
      </c>
      <c r="Z497" s="74" t="str">
        <f t="shared" si="167"/>
        <v/>
      </c>
      <c r="AA497" s="74">
        <f t="shared" si="168"/>
        <v>0</v>
      </c>
      <c r="AB497" s="74">
        <f t="shared" si="169"/>
        <v>0</v>
      </c>
      <c r="AC497" s="74" t="str">
        <f t="shared" si="170"/>
        <v/>
      </c>
      <c r="AE497" s="74" t="str">
        <f t="shared" si="171"/>
        <v/>
      </c>
      <c r="AF497" s="74" t="str">
        <f t="shared" si="172"/>
        <v/>
      </c>
      <c r="AG497" s="74" t="str">
        <f t="shared" si="173"/>
        <v/>
      </c>
      <c r="AH497" s="74">
        <f t="shared" si="174"/>
        <v>0</v>
      </c>
      <c r="AI497" s="74" t="str">
        <f>IF(AH497&lt;&gt;0,COUNTIF(AH$3:AH497,1),"")</f>
        <v/>
      </c>
      <c r="AJ497" s="74">
        <f t="shared" si="175"/>
        <v>0</v>
      </c>
      <c r="AK497" s="73" t="str">
        <f t="shared" si="176"/>
        <v/>
      </c>
      <c r="AL497" s="73" t="str">
        <f t="shared" si="177"/>
        <v/>
      </c>
      <c r="AM497" s="73" t="str">
        <f t="shared" si="178"/>
        <v/>
      </c>
      <c r="AN497" s="73" t="str">
        <f t="shared" si="179"/>
        <v/>
      </c>
      <c r="AP497" s="61" t="str">
        <f t="shared" si="180"/>
        <v/>
      </c>
      <c r="AQ497" s="61" t="str">
        <f t="shared" si="181"/>
        <v/>
      </c>
      <c r="AR497" s="61" t="str">
        <f t="shared" si="182"/>
        <v/>
      </c>
    </row>
    <row r="498" spans="16:44" x14ac:dyDescent="0.25">
      <c r="P498" s="73" t="str">
        <f t="shared" si="163"/>
        <v/>
      </c>
      <c r="Q498" s="73" t="str">
        <f t="shared" si="164"/>
        <v/>
      </c>
      <c r="R498" s="74" t="str">
        <f t="shared" si="165"/>
        <v/>
      </c>
      <c r="S498" s="74" t="str">
        <f t="shared" si="166"/>
        <v/>
      </c>
      <c r="U498" s="74" t="str">
        <f t="shared" si="183"/>
        <v/>
      </c>
      <c r="V498" s="74" t="str">
        <f t="shared" si="183"/>
        <v/>
      </c>
      <c r="W498" s="74" t="str">
        <f t="shared" si="183"/>
        <v/>
      </c>
      <c r="X498" s="74" t="str">
        <f t="shared" si="183"/>
        <v/>
      </c>
      <c r="Y498" s="74" t="str">
        <f t="shared" si="183"/>
        <v/>
      </c>
      <c r="Z498" s="74" t="str">
        <f t="shared" si="167"/>
        <v/>
      </c>
      <c r="AA498" s="74">
        <f t="shared" si="168"/>
        <v>0</v>
      </c>
      <c r="AB498" s="74">
        <f t="shared" si="169"/>
        <v>0</v>
      </c>
      <c r="AC498" s="74" t="str">
        <f t="shared" si="170"/>
        <v/>
      </c>
      <c r="AE498" s="74" t="str">
        <f t="shared" si="171"/>
        <v/>
      </c>
      <c r="AF498" s="74" t="str">
        <f t="shared" si="172"/>
        <v/>
      </c>
      <c r="AG498" s="74" t="str">
        <f t="shared" si="173"/>
        <v/>
      </c>
      <c r="AH498" s="74">
        <f t="shared" si="174"/>
        <v>0</v>
      </c>
      <c r="AI498" s="74" t="str">
        <f>IF(AH498&lt;&gt;0,COUNTIF(AH$3:AH498,1),"")</f>
        <v/>
      </c>
      <c r="AJ498" s="74">
        <f t="shared" si="175"/>
        <v>0</v>
      </c>
      <c r="AK498" s="73" t="str">
        <f t="shared" si="176"/>
        <v/>
      </c>
      <c r="AL498" s="73" t="str">
        <f t="shared" si="177"/>
        <v/>
      </c>
      <c r="AM498" s="73" t="str">
        <f t="shared" si="178"/>
        <v/>
      </c>
      <c r="AN498" s="73" t="str">
        <f t="shared" si="179"/>
        <v/>
      </c>
      <c r="AP498" s="61" t="str">
        <f t="shared" si="180"/>
        <v/>
      </c>
      <c r="AQ498" s="61" t="str">
        <f t="shared" si="181"/>
        <v/>
      </c>
      <c r="AR498" s="61" t="str">
        <f t="shared" si="182"/>
        <v/>
      </c>
    </row>
    <row r="499" spans="16:44" x14ac:dyDescent="0.25">
      <c r="P499" s="73" t="str">
        <f t="shared" si="163"/>
        <v/>
      </c>
      <c r="Q499" s="73" t="str">
        <f t="shared" si="164"/>
        <v/>
      </c>
      <c r="R499" s="74" t="str">
        <f t="shared" si="165"/>
        <v/>
      </c>
      <c r="S499" s="74" t="str">
        <f t="shared" si="166"/>
        <v/>
      </c>
      <c r="U499" s="74" t="str">
        <f t="shared" si="183"/>
        <v/>
      </c>
      <c r="V499" s="74" t="str">
        <f t="shared" si="183"/>
        <v/>
      </c>
      <c r="W499" s="74" t="str">
        <f t="shared" si="183"/>
        <v/>
      </c>
      <c r="X499" s="74" t="str">
        <f t="shared" si="183"/>
        <v/>
      </c>
      <c r="Y499" s="74" t="str">
        <f t="shared" si="183"/>
        <v/>
      </c>
      <c r="Z499" s="74" t="str">
        <f t="shared" si="167"/>
        <v/>
      </c>
      <c r="AA499" s="74">
        <f t="shared" si="168"/>
        <v>0</v>
      </c>
      <c r="AB499" s="74">
        <f t="shared" si="169"/>
        <v>0</v>
      </c>
      <c r="AC499" s="74" t="str">
        <f t="shared" si="170"/>
        <v/>
      </c>
      <c r="AE499" s="74" t="str">
        <f t="shared" si="171"/>
        <v/>
      </c>
      <c r="AF499" s="74" t="str">
        <f t="shared" si="172"/>
        <v/>
      </c>
      <c r="AG499" s="74" t="str">
        <f t="shared" si="173"/>
        <v/>
      </c>
      <c r="AH499" s="74">
        <f t="shared" si="174"/>
        <v>0</v>
      </c>
      <c r="AI499" s="74" t="str">
        <f>IF(AH499&lt;&gt;0,COUNTIF(AH$3:AH499,1),"")</f>
        <v/>
      </c>
      <c r="AJ499" s="74">
        <f t="shared" si="175"/>
        <v>0</v>
      </c>
      <c r="AK499" s="73" t="str">
        <f t="shared" si="176"/>
        <v/>
      </c>
      <c r="AL499" s="73" t="str">
        <f t="shared" si="177"/>
        <v/>
      </c>
      <c r="AM499" s="73" t="str">
        <f t="shared" si="178"/>
        <v/>
      </c>
      <c r="AN499" s="73" t="str">
        <f t="shared" si="179"/>
        <v/>
      </c>
      <c r="AP499" s="61" t="str">
        <f t="shared" si="180"/>
        <v/>
      </c>
      <c r="AQ499" s="61" t="str">
        <f t="shared" si="181"/>
        <v/>
      </c>
      <c r="AR499" s="61" t="str">
        <f t="shared" si="182"/>
        <v/>
      </c>
    </row>
    <row r="500" spans="16:44" x14ac:dyDescent="0.25">
      <c r="P500" s="73" t="str">
        <f t="shared" si="163"/>
        <v/>
      </c>
      <c r="Q500" s="73" t="str">
        <f t="shared" si="164"/>
        <v/>
      </c>
      <c r="R500" s="74" t="str">
        <f t="shared" si="165"/>
        <v/>
      </c>
      <c r="S500" s="74" t="str">
        <f t="shared" si="166"/>
        <v/>
      </c>
      <c r="U500" s="74" t="str">
        <f t="shared" si="183"/>
        <v/>
      </c>
      <c r="V500" s="74" t="str">
        <f t="shared" si="183"/>
        <v/>
      </c>
      <c r="W500" s="74" t="str">
        <f t="shared" si="183"/>
        <v/>
      </c>
      <c r="X500" s="74" t="str">
        <f t="shared" si="183"/>
        <v/>
      </c>
      <c r="Y500" s="74" t="str">
        <f t="shared" si="183"/>
        <v/>
      </c>
      <c r="Z500" s="74" t="str">
        <f t="shared" si="167"/>
        <v/>
      </c>
      <c r="AA500" s="74">
        <f t="shared" si="168"/>
        <v>0</v>
      </c>
      <c r="AB500" s="74">
        <f t="shared" si="169"/>
        <v>0</v>
      </c>
      <c r="AC500" s="74" t="str">
        <f t="shared" si="170"/>
        <v/>
      </c>
      <c r="AE500" s="74" t="str">
        <f t="shared" si="171"/>
        <v/>
      </c>
      <c r="AF500" s="74" t="str">
        <f t="shared" si="172"/>
        <v/>
      </c>
      <c r="AG500" s="74" t="str">
        <f t="shared" si="173"/>
        <v/>
      </c>
      <c r="AH500" s="74">
        <f t="shared" si="174"/>
        <v>0</v>
      </c>
      <c r="AI500" s="74" t="str">
        <f>IF(AH500&lt;&gt;0,COUNTIF(AH$3:AH500,1),"")</f>
        <v/>
      </c>
      <c r="AJ500" s="74">
        <f t="shared" si="175"/>
        <v>0</v>
      </c>
      <c r="AK500" s="73" t="str">
        <f t="shared" si="176"/>
        <v/>
      </c>
      <c r="AL500" s="73" t="str">
        <f t="shared" si="177"/>
        <v/>
      </c>
      <c r="AM500" s="73" t="str">
        <f t="shared" si="178"/>
        <v/>
      </c>
      <c r="AN500" s="73" t="str">
        <f t="shared" si="179"/>
        <v/>
      </c>
      <c r="AP500" s="61" t="str">
        <f t="shared" si="180"/>
        <v/>
      </c>
      <c r="AQ500" s="61" t="str">
        <f t="shared" si="181"/>
        <v/>
      </c>
      <c r="AR500" s="61" t="str">
        <f t="shared" si="182"/>
        <v/>
      </c>
    </row>
    <row r="501" spans="16:44" x14ac:dyDescent="0.25">
      <c r="P501" s="73" t="str">
        <f t="shared" si="163"/>
        <v/>
      </c>
      <c r="Q501" s="73" t="str">
        <f t="shared" si="164"/>
        <v/>
      </c>
      <c r="R501" s="74" t="str">
        <f t="shared" si="165"/>
        <v/>
      </c>
      <c r="S501" s="74" t="str">
        <f t="shared" si="166"/>
        <v/>
      </c>
      <c r="U501" s="74" t="str">
        <f t="shared" si="183"/>
        <v/>
      </c>
      <c r="V501" s="74" t="str">
        <f t="shared" si="183"/>
        <v/>
      </c>
      <c r="W501" s="74" t="str">
        <f t="shared" si="183"/>
        <v/>
      </c>
      <c r="X501" s="74" t="str">
        <f t="shared" si="183"/>
        <v/>
      </c>
      <c r="Y501" s="74" t="str">
        <f t="shared" si="183"/>
        <v/>
      </c>
      <c r="Z501" s="74" t="str">
        <f t="shared" si="167"/>
        <v/>
      </c>
      <c r="AA501" s="74">
        <f t="shared" si="168"/>
        <v>0</v>
      </c>
      <c r="AB501" s="74">
        <f t="shared" si="169"/>
        <v>0</v>
      </c>
      <c r="AC501" s="74" t="str">
        <f t="shared" si="170"/>
        <v/>
      </c>
      <c r="AE501" s="74" t="str">
        <f t="shared" si="171"/>
        <v/>
      </c>
      <c r="AF501" s="74" t="str">
        <f t="shared" si="172"/>
        <v/>
      </c>
      <c r="AG501" s="74" t="str">
        <f t="shared" si="173"/>
        <v/>
      </c>
      <c r="AH501" s="74">
        <f t="shared" si="174"/>
        <v>0</v>
      </c>
      <c r="AI501" s="74" t="str">
        <f>IF(AH501&lt;&gt;0,COUNTIF(AH$3:AH501,1),"")</f>
        <v/>
      </c>
      <c r="AJ501" s="74">
        <f t="shared" si="175"/>
        <v>0</v>
      </c>
      <c r="AK501" s="73" t="str">
        <f t="shared" si="176"/>
        <v/>
      </c>
      <c r="AL501" s="73" t="str">
        <f t="shared" si="177"/>
        <v/>
      </c>
      <c r="AM501" s="73" t="str">
        <f t="shared" si="178"/>
        <v/>
      </c>
      <c r="AN501" s="73" t="str">
        <f t="shared" si="179"/>
        <v/>
      </c>
      <c r="AP501" s="61" t="str">
        <f t="shared" si="180"/>
        <v/>
      </c>
      <c r="AQ501" s="61" t="str">
        <f t="shared" si="181"/>
        <v/>
      </c>
      <c r="AR501" s="61" t="str">
        <f t="shared" si="182"/>
        <v/>
      </c>
    </row>
    <row r="502" spans="16:44" x14ac:dyDescent="0.25">
      <c r="P502" s="73" t="str">
        <f t="shared" si="163"/>
        <v/>
      </c>
      <c r="Q502" s="73" t="str">
        <f t="shared" si="164"/>
        <v/>
      </c>
      <c r="R502" s="74" t="str">
        <f t="shared" si="165"/>
        <v/>
      </c>
      <c r="S502" s="74" t="str">
        <f t="shared" si="166"/>
        <v/>
      </c>
      <c r="U502" s="74" t="str">
        <f t="shared" si="183"/>
        <v/>
      </c>
      <c r="V502" s="74" t="str">
        <f t="shared" si="183"/>
        <v/>
      </c>
      <c r="W502" s="74" t="str">
        <f t="shared" si="183"/>
        <v/>
      </c>
      <c r="X502" s="74" t="str">
        <f t="shared" si="183"/>
        <v/>
      </c>
      <c r="Y502" s="74" t="str">
        <f t="shared" si="183"/>
        <v/>
      </c>
      <c r="Z502" s="74" t="str">
        <f t="shared" si="167"/>
        <v/>
      </c>
      <c r="AA502" s="74">
        <f t="shared" si="168"/>
        <v>0</v>
      </c>
      <c r="AB502" s="74">
        <f t="shared" si="169"/>
        <v>0</v>
      </c>
      <c r="AC502" s="74" t="str">
        <f t="shared" si="170"/>
        <v/>
      </c>
      <c r="AE502" s="74" t="str">
        <f t="shared" si="171"/>
        <v/>
      </c>
      <c r="AF502" s="74" t="str">
        <f t="shared" si="172"/>
        <v/>
      </c>
      <c r="AG502" s="74" t="str">
        <f t="shared" si="173"/>
        <v/>
      </c>
      <c r="AH502" s="74">
        <f t="shared" si="174"/>
        <v>0</v>
      </c>
      <c r="AI502" s="74" t="str">
        <f>IF(AH502&lt;&gt;0,COUNTIF(AH$3:AH502,1),"")</f>
        <v/>
      </c>
      <c r="AJ502" s="74">
        <f t="shared" si="175"/>
        <v>0</v>
      </c>
      <c r="AK502" s="73" t="str">
        <f t="shared" si="176"/>
        <v/>
      </c>
      <c r="AL502" s="73" t="str">
        <f t="shared" si="177"/>
        <v/>
      </c>
      <c r="AM502" s="73" t="str">
        <f t="shared" si="178"/>
        <v/>
      </c>
      <c r="AN502" s="73" t="str">
        <f t="shared" si="179"/>
        <v/>
      </c>
      <c r="AP502" s="61" t="str">
        <f t="shared" si="180"/>
        <v/>
      </c>
      <c r="AQ502" s="61" t="str">
        <f t="shared" si="181"/>
        <v/>
      </c>
      <c r="AR502" s="61" t="str">
        <f t="shared" si="182"/>
        <v/>
      </c>
    </row>
    <row r="503" spans="16:44" x14ac:dyDescent="0.25">
      <c r="P503" s="73" t="str">
        <f t="shared" si="163"/>
        <v/>
      </c>
      <c r="Q503" s="73" t="str">
        <f t="shared" si="164"/>
        <v/>
      </c>
      <c r="R503" s="74" t="str">
        <f t="shared" si="165"/>
        <v/>
      </c>
      <c r="S503" s="74" t="str">
        <f t="shared" si="166"/>
        <v/>
      </c>
      <c r="U503" s="74" t="str">
        <f t="shared" si="183"/>
        <v/>
      </c>
      <c r="V503" s="74" t="str">
        <f t="shared" si="183"/>
        <v/>
      </c>
      <c r="W503" s="74" t="str">
        <f t="shared" si="183"/>
        <v/>
      </c>
      <c r="X503" s="74" t="str">
        <f t="shared" si="183"/>
        <v/>
      </c>
      <c r="Y503" s="74" t="str">
        <f t="shared" si="183"/>
        <v/>
      </c>
      <c r="Z503" s="74" t="str">
        <f t="shared" si="167"/>
        <v/>
      </c>
      <c r="AA503" s="74">
        <f t="shared" si="168"/>
        <v>0</v>
      </c>
      <c r="AB503" s="74">
        <f t="shared" si="169"/>
        <v>0</v>
      </c>
      <c r="AC503" s="74" t="str">
        <f t="shared" si="170"/>
        <v/>
      </c>
      <c r="AE503" s="74" t="str">
        <f t="shared" si="171"/>
        <v/>
      </c>
      <c r="AF503" s="74" t="str">
        <f t="shared" si="172"/>
        <v/>
      </c>
      <c r="AG503" s="74" t="str">
        <f t="shared" si="173"/>
        <v/>
      </c>
      <c r="AH503" s="74">
        <f t="shared" si="174"/>
        <v>0</v>
      </c>
      <c r="AI503" s="74" t="str">
        <f>IF(AH503&lt;&gt;0,COUNTIF(AH$3:AH503,1),"")</f>
        <v/>
      </c>
      <c r="AJ503" s="74">
        <f t="shared" si="175"/>
        <v>0</v>
      </c>
      <c r="AK503" s="73" t="str">
        <f t="shared" si="176"/>
        <v/>
      </c>
      <c r="AL503" s="73" t="str">
        <f t="shared" si="177"/>
        <v/>
      </c>
      <c r="AM503" s="73" t="str">
        <f t="shared" si="178"/>
        <v/>
      </c>
      <c r="AN503" s="73" t="str">
        <f t="shared" si="179"/>
        <v/>
      </c>
      <c r="AP503" s="61" t="str">
        <f t="shared" si="180"/>
        <v/>
      </c>
      <c r="AQ503" s="61" t="str">
        <f t="shared" si="181"/>
        <v/>
      </c>
      <c r="AR503" s="61" t="str">
        <f t="shared" si="182"/>
        <v/>
      </c>
    </row>
    <row r="504" spans="16:44" x14ac:dyDescent="0.25">
      <c r="P504" s="73" t="str">
        <f t="shared" si="163"/>
        <v/>
      </c>
      <c r="Q504" s="73" t="str">
        <f t="shared" si="164"/>
        <v/>
      </c>
      <c r="R504" s="74" t="str">
        <f t="shared" si="165"/>
        <v/>
      </c>
      <c r="S504" s="74" t="str">
        <f t="shared" si="166"/>
        <v/>
      </c>
      <c r="U504" s="74" t="str">
        <f t="shared" si="183"/>
        <v/>
      </c>
      <c r="V504" s="74" t="str">
        <f t="shared" si="183"/>
        <v/>
      </c>
      <c r="W504" s="74" t="str">
        <f t="shared" si="183"/>
        <v/>
      </c>
      <c r="X504" s="74" t="str">
        <f t="shared" si="183"/>
        <v/>
      </c>
      <c r="Y504" s="74" t="str">
        <f t="shared" si="183"/>
        <v/>
      </c>
      <c r="Z504" s="74" t="str">
        <f t="shared" si="167"/>
        <v/>
      </c>
      <c r="AA504" s="74">
        <f t="shared" si="168"/>
        <v>0</v>
      </c>
      <c r="AB504" s="74">
        <f t="shared" si="169"/>
        <v>0</v>
      </c>
      <c r="AC504" s="74" t="str">
        <f t="shared" si="170"/>
        <v/>
      </c>
      <c r="AE504" s="74" t="str">
        <f t="shared" si="171"/>
        <v/>
      </c>
      <c r="AF504" s="74" t="str">
        <f t="shared" si="172"/>
        <v/>
      </c>
      <c r="AG504" s="74" t="str">
        <f t="shared" si="173"/>
        <v/>
      </c>
      <c r="AH504" s="74">
        <f t="shared" si="174"/>
        <v>0</v>
      </c>
      <c r="AI504" s="74" t="str">
        <f>IF(AH504&lt;&gt;0,COUNTIF(AH$3:AH504,1),"")</f>
        <v/>
      </c>
      <c r="AJ504" s="74">
        <f t="shared" si="175"/>
        <v>0</v>
      </c>
      <c r="AK504" s="73" t="str">
        <f t="shared" si="176"/>
        <v/>
      </c>
      <c r="AL504" s="73" t="str">
        <f t="shared" si="177"/>
        <v/>
      </c>
      <c r="AM504" s="73" t="str">
        <f t="shared" si="178"/>
        <v/>
      </c>
      <c r="AN504" s="73" t="str">
        <f t="shared" si="179"/>
        <v/>
      </c>
      <c r="AP504" s="61" t="str">
        <f t="shared" si="180"/>
        <v/>
      </c>
      <c r="AQ504" s="61" t="str">
        <f t="shared" si="181"/>
        <v/>
      </c>
      <c r="AR504" s="61" t="str">
        <f t="shared" si="182"/>
        <v/>
      </c>
    </row>
    <row r="505" spans="16:44" x14ac:dyDescent="0.25">
      <c r="P505" s="73" t="str">
        <f t="shared" si="163"/>
        <v/>
      </c>
      <c r="Q505" s="73" t="str">
        <f t="shared" si="164"/>
        <v/>
      </c>
      <c r="R505" s="74" t="str">
        <f t="shared" si="165"/>
        <v/>
      </c>
      <c r="S505" s="74" t="str">
        <f t="shared" si="166"/>
        <v/>
      </c>
      <c r="U505" s="74" t="str">
        <f t="shared" si="183"/>
        <v/>
      </c>
      <c r="V505" s="74" t="str">
        <f t="shared" si="183"/>
        <v/>
      </c>
      <c r="W505" s="74" t="str">
        <f t="shared" si="183"/>
        <v/>
      </c>
      <c r="X505" s="74" t="str">
        <f t="shared" si="183"/>
        <v/>
      </c>
      <c r="Y505" s="74" t="str">
        <f t="shared" si="183"/>
        <v/>
      </c>
      <c r="Z505" s="74" t="str">
        <f t="shared" si="167"/>
        <v/>
      </c>
      <c r="AA505" s="74">
        <f t="shared" si="168"/>
        <v>0</v>
      </c>
      <c r="AB505" s="74">
        <f t="shared" si="169"/>
        <v>0</v>
      </c>
      <c r="AC505" s="74" t="str">
        <f t="shared" si="170"/>
        <v/>
      </c>
      <c r="AE505" s="74" t="str">
        <f t="shared" si="171"/>
        <v/>
      </c>
      <c r="AF505" s="74" t="str">
        <f t="shared" si="172"/>
        <v/>
      </c>
      <c r="AG505" s="74" t="str">
        <f t="shared" si="173"/>
        <v/>
      </c>
      <c r="AH505" s="74">
        <f t="shared" si="174"/>
        <v>0</v>
      </c>
      <c r="AI505" s="74" t="str">
        <f>IF(AH505&lt;&gt;0,COUNTIF(AH$3:AH505,1),"")</f>
        <v/>
      </c>
      <c r="AJ505" s="74">
        <f t="shared" si="175"/>
        <v>0</v>
      </c>
      <c r="AK505" s="73" t="str">
        <f t="shared" si="176"/>
        <v/>
      </c>
      <c r="AL505" s="73" t="str">
        <f t="shared" si="177"/>
        <v/>
      </c>
      <c r="AM505" s="73" t="str">
        <f t="shared" si="178"/>
        <v/>
      </c>
      <c r="AN505" s="73" t="str">
        <f t="shared" si="179"/>
        <v/>
      </c>
      <c r="AP505" s="61" t="str">
        <f t="shared" si="180"/>
        <v/>
      </c>
      <c r="AQ505" s="61" t="str">
        <f t="shared" si="181"/>
        <v/>
      </c>
      <c r="AR505" s="61" t="str">
        <f t="shared" si="182"/>
        <v/>
      </c>
    </row>
    <row r="506" spans="16:44" x14ac:dyDescent="0.25">
      <c r="P506" s="73" t="str">
        <f t="shared" si="163"/>
        <v/>
      </c>
      <c r="Q506" s="73" t="str">
        <f t="shared" si="164"/>
        <v/>
      </c>
      <c r="R506" s="74" t="str">
        <f t="shared" si="165"/>
        <v/>
      </c>
      <c r="S506" s="74" t="str">
        <f t="shared" si="166"/>
        <v/>
      </c>
      <c r="U506" s="74" t="str">
        <f t="shared" si="183"/>
        <v/>
      </c>
      <c r="V506" s="74" t="str">
        <f t="shared" si="183"/>
        <v/>
      </c>
      <c r="W506" s="74" t="str">
        <f t="shared" si="183"/>
        <v/>
      </c>
      <c r="X506" s="74" t="str">
        <f t="shared" si="183"/>
        <v/>
      </c>
      <c r="Y506" s="74" t="str">
        <f t="shared" si="183"/>
        <v/>
      </c>
      <c r="Z506" s="74" t="str">
        <f t="shared" si="167"/>
        <v/>
      </c>
      <c r="AA506" s="74">
        <f t="shared" si="168"/>
        <v>0</v>
      </c>
      <c r="AB506" s="74">
        <f t="shared" si="169"/>
        <v>0</v>
      </c>
      <c r="AC506" s="74" t="str">
        <f t="shared" si="170"/>
        <v/>
      </c>
      <c r="AE506" s="74" t="str">
        <f t="shared" si="171"/>
        <v/>
      </c>
      <c r="AF506" s="74" t="str">
        <f t="shared" si="172"/>
        <v/>
      </c>
      <c r="AG506" s="74" t="str">
        <f t="shared" si="173"/>
        <v/>
      </c>
      <c r="AH506" s="74">
        <f t="shared" si="174"/>
        <v>0</v>
      </c>
      <c r="AI506" s="74" t="str">
        <f>IF(AH506&lt;&gt;0,COUNTIF(AH$3:AH506,1),"")</f>
        <v/>
      </c>
      <c r="AJ506" s="74">
        <f t="shared" si="175"/>
        <v>0</v>
      </c>
      <c r="AK506" s="73" t="str">
        <f t="shared" si="176"/>
        <v/>
      </c>
      <c r="AL506" s="73" t="str">
        <f t="shared" si="177"/>
        <v/>
      </c>
      <c r="AM506" s="73" t="str">
        <f t="shared" si="178"/>
        <v/>
      </c>
      <c r="AN506" s="73" t="str">
        <f t="shared" si="179"/>
        <v/>
      </c>
      <c r="AP506" s="61" t="str">
        <f t="shared" si="180"/>
        <v/>
      </c>
      <c r="AQ506" s="61" t="str">
        <f t="shared" si="181"/>
        <v/>
      </c>
      <c r="AR506" s="61" t="str">
        <f t="shared" si="182"/>
        <v/>
      </c>
    </row>
    <row r="507" spans="16:44" x14ac:dyDescent="0.25">
      <c r="P507" s="73" t="str">
        <f t="shared" si="163"/>
        <v/>
      </c>
      <c r="Q507" s="73" t="str">
        <f t="shared" si="164"/>
        <v/>
      </c>
      <c r="R507" s="74" t="str">
        <f t="shared" si="165"/>
        <v/>
      </c>
      <c r="S507" s="74" t="str">
        <f t="shared" si="166"/>
        <v/>
      </c>
      <c r="U507" s="74" t="str">
        <f t="shared" si="183"/>
        <v/>
      </c>
      <c r="V507" s="74" t="str">
        <f t="shared" si="183"/>
        <v/>
      </c>
      <c r="W507" s="74" t="str">
        <f t="shared" si="183"/>
        <v/>
      </c>
      <c r="X507" s="74" t="str">
        <f t="shared" si="183"/>
        <v/>
      </c>
      <c r="Y507" s="74" t="str">
        <f t="shared" si="183"/>
        <v/>
      </c>
      <c r="Z507" s="74" t="str">
        <f t="shared" si="167"/>
        <v/>
      </c>
      <c r="AA507" s="74">
        <f t="shared" si="168"/>
        <v>0</v>
      </c>
      <c r="AB507" s="74">
        <f t="shared" si="169"/>
        <v>0</v>
      </c>
      <c r="AC507" s="74" t="str">
        <f t="shared" si="170"/>
        <v/>
      </c>
      <c r="AE507" s="74" t="str">
        <f t="shared" si="171"/>
        <v/>
      </c>
      <c r="AF507" s="74" t="str">
        <f t="shared" si="172"/>
        <v/>
      </c>
      <c r="AG507" s="74" t="str">
        <f t="shared" si="173"/>
        <v/>
      </c>
      <c r="AH507" s="74">
        <f t="shared" si="174"/>
        <v>0</v>
      </c>
      <c r="AI507" s="74" t="str">
        <f>IF(AH507&lt;&gt;0,COUNTIF(AH$3:AH507,1),"")</f>
        <v/>
      </c>
      <c r="AJ507" s="74">
        <f t="shared" si="175"/>
        <v>0</v>
      </c>
      <c r="AK507" s="73" t="str">
        <f t="shared" si="176"/>
        <v/>
      </c>
      <c r="AL507" s="73" t="str">
        <f t="shared" si="177"/>
        <v/>
      </c>
      <c r="AM507" s="73" t="str">
        <f t="shared" si="178"/>
        <v/>
      </c>
      <c r="AN507" s="73" t="str">
        <f t="shared" si="179"/>
        <v/>
      </c>
      <c r="AP507" s="61" t="str">
        <f t="shared" si="180"/>
        <v/>
      </c>
      <c r="AQ507" s="61" t="str">
        <f t="shared" si="181"/>
        <v/>
      </c>
      <c r="AR507" s="61" t="str">
        <f t="shared" si="182"/>
        <v/>
      </c>
    </row>
    <row r="508" spans="16:44" x14ac:dyDescent="0.25">
      <c r="P508" s="73" t="str">
        <f t="shared" si="163"/>
        <v/>
      </c>
      <c r="Q508" s="73" t="str">
        <f t="shared" si="164"/>
        <v/>
      </c>
      <c r="R508" s="74" t="str">
        <f t="shared" si="165"/>
        <v/>
      </c>
      <c r="S508" s="74" t="str">
        <f t="shared" si="166"/>
        <v/>
      </c>
      <c r="U508" s="74" t="str">
        <f t="shared" si="183"/>
        <v/>
      </c>
      <c r="V508" s="74" t="str">
        <f t="shared" si="183"/>
        <v/>
      </c>
      <c r="W508" s="74" t="str">
        <f t="shared" si="183"/>
        <v/>
      </c>
      <c r="X508" s="74" t="str">
        <f t="shared" si="183"/>
        <v/>
      </c>
      <c r="Y508" s="74" t="str">
        <f t="shared" si="183"/>
        <v/>
      </c>
      <c r="Z508" s="74" t="str">
        <f t="shared" si="167"/>
        <v/>
      </c>
      <c r="AA508" s="74">
        <f t="shared" si="168"/>
        <v>0</v>
      </c>
      <c r="AB508" s="74">
        <f t="shared" si="169"/>
        <v>0</v>
      </c>
      <c r="AC508" s="74" t="str">
        <f t="shared" si="170"/>
        <v/>
      </c>
      <c r="AE508" s="74" t="str">
        <f t="shared" si="171"/>
        <v/>
      </c>
      <c r="AF508" s="74" t="str">
        <f t="shared" si="172"/>
        <v/>
      </c>
      <c r="AG508" s="74" t="str">
        <f t="shared" si="173"/>
        <v/>
      </c>
      <c r="AH508" s="74">
        <f t="shared" si="174"/>
        <v>0</v>
      </c>
      <c r="AI508" s="74" t="str">
        <f>IF(AH508&lt;&gt;0,COUNTIF(AH$3:AH508,1),"")</f>
        <v/>
      </c>
      <c r="AJ508" s="74">
        <f t="shared" si="175"/>
        <v>0</v>
      </c>
      <c r="AK508" s="73" t="str">
        <f t="shared" si="176"/>
        <v/>
      </c>
      <c r="AL508" s="73" t="str">
        <f t="shared" si="177"/>
        <v/>
      </c>
      <c r="AM508" s="73" t="str">
        <f t="shared" si="178"/>
        <v/>
      </c>
      <c r="AN508" s="73" t="str">
        <f t="shared" si="179"/>
        <v/>
      </c>
      <c r="AP508" s="61" t="str">
        <f t="shared" si="180"/>
        <v/>
      </c>
      <c r="AQ508" s="61" t="str">
        <f t="shared" si="181"/>
        <v/>
      </c>
      <c r="AR508" s="61" t="str">
        <f t="shared" si="182"/>
        <v/>
      </c>
    </row>
    <row r="509" spans="16:44" x14ac:dyDescent="0.25">
      <c r="P509" s="73" t="str">
        <f t="shared" si="163"/>
        <v/>
      </c>
      <c r="Q509" s="73" t="str">
        <f t="shared" si="164"/>
        <v/>
      </c>
      <c r="R509" s="74" t="str">
        <f t="shared" si="165"/>
        <v/>
      </c>
      <c r="S509" s="74" t="str">
        <f t="shared" si="166"/>
        <v/>
      </c>
      <c r="U509" s="74" t="str">
        <f t="shared" si="183"/>
        <v/>
      </c>
      <c r="V509" s="74" t="str">
        <f t="shared" si="183"/>
        <v/>
      </c>
      <c r="W509" s="74" t="str">
        <f t="shared" si="183"/>
        <v/>
      </c>
      <c r="X509" s="74" t="str">
        <f t="shared" si="183"/>
        <v/>
      </c>
      <c r="Y509" s="74" t="str">
        <f t="shared" si="183"/>
        <v/>
      </c>
      <c r="Z509" s="74" t="str">
        <f t="shared" si="167"/>
        <v/>
      </c>
      <c r="AA509" s="74">
        <f t="shared" si="168"/>
        <v>0</v>
      </c>
      <c r="AB509" s="74">
        <f t="shared" si="169"/>
        <v>0</v>
      </c>
      <c r="AC509" s="74" t="str">
        <f t="shared" si="170"/>
        <v/>
      </c>
      <c r="AE509" s="74" t="str">
        <f t="shared" si="171"/>
        <v/>
      </c>
      <c r="AF509" s="74" t="str">
        <f t="shared" si="172"/>
        <v/>
      </c>
      <c r="AG509" s="74" t="str">
        <f t="shared" si="173"/>
        <v/>
      </c>
      <c r="AH509" s="74">
        <f t="shared" si="174"/>
        <v>0</v>
      </c>
      <c r="AI509" s="74" t="str">
        <f>IF(AH509&lt;&gt;0,COUNTIF(AH$3:AH509,1),"")</f>
        <v/>
      </c>
      <c r="AJ509" s="74">
        <f t="shared" si="175"/>
        <v>0</v>
      </c>
      <c r="AK509" s="73" t="str">
        <f t="shared" si="176"/>
        <v/>
      </c>
      <c r="AL509" s="73" t="str">
        <f t="shared" si="177"/>
        <v/>
      </c>
      <c r="AM509" s="73" t="str">
        <f t="shared" si="178"/>
        <v/>
      </c>
      <c r="AN509" s="73" t="str">
        <f t="shared" si="179"/>
        <v/>
      </c>
      <c r="AP509" s="61" t="str">
        <f t="shared" si="180"/>
        <v/>
      </c>
      <c r="AQ509" s="61" t="str">
        <f t="shared" si="181"/>
        <v/>
      </c>
      <c r="AR509" s="61" t="str">
        <f t="shared" si="182"/>
        <v/>
      </c>
    </row>
    <row r="510" spans="16:44" x14ac:dyDescent="0.25">
      <c r="P510" s="73" t="str">
        <f t="shared" ref="P510:P573" si="184">IF(N510&lt;&gt;"",SUBSTITUTE(LEFT(N510,FIND(";",N510)),";",""),"")</f>
        <v/>
      </c>
      <c r="Q510" s="73" t="str">
        <f t="shared" ref="Q510:Q573" si="185">IF(N510&lt;&gt;"",SUBSTITUTE(RIGHT(N510,FIND(";",N510)),";",""),"")</f>
        <v/>
      </c>
      <c r="R510" s="74" t="str">
        <f t="shared" ref="R510:R573" si="186">IF(O510&lt;&gt;"",SUBSTITUTE(LEFT(O510,FIND(";",O510)),";",""),"")</f>
        <v/>
      </c>
      <c r="S510" s="74" t="str">
        <f t="shared" ref="S510:S573" si="187">IF(O510&lt;&gt;"",IFERROR(IF(FIND("OK",O510)&gt;0,TRUE),FALSE),"")</f>
        <v/>
      </c>
      <c r="U510" s="74" t="str">
        <f t="shared" si="183"/>
        <v/>
      </c>
      <c r="V510" s="74" t="str">
        <f t="shared" si="183"/>
        <v/>
      </c>
      <c r="W510" s="74" t="str">
        <f t="shared" si="183"/>
        <v/>
      </c>
      <c r="X510" s="74" t="str">
        <f t="shared" si="183"/>
        <v/>
      </c>
      <c r="Y510" s="74" t="str">
        <f t="shared" si="183"/>
        <v/>
      </c>
      <c r="Z510" s="74" t="str">
        <f t="shared" ref="Z510:Z573" si="188">IF(G510,E510,"")</f>
        <v/>
      </c>
      <c r="AA510" s="74">
        <f t="shared" ref="AA510:AA573" si="189">IF(G510=FALSE,E510,"")</f>
        <v>0</v>
      </c>
      <c r="AB510" s="74">
        <f t="shared" ref="AB510:AB573" si="190">IF(G510,1,0)</f>
        <v>0</v>
      </c>
      <c r="AC510" s="74" t="str">
        <f t="shared" ref="AC510:AC573" si="191">IF(A510&lt;&gt;"",IF(G510,0,1),"")</f>
        <v/>
      </c>
      <c r="AE510" s="74" t="str">
        <f t="shared" ref="AE510:AE573" si="192">IF(P510&lt;&gt;"",IF(AND(_xlfn.NUMBERVALUE(P510)&gt;25,_xlfn.NUMBERVALUE(P510)&lt;38),TRUE,FALSE),"")</f>
        <v/>
      </c>
      <c r="AF510" s="74" t="str">
        <f t="shared" ref="AF510:AF573" si="193">IF(Q510&lt;&gt;"",IF(AND(_xlfn.NUMBERVALUE(Q510)&gt;25,_xlfn.NUMBERVALUE(Q510)&lt;38),TRUE,FALSE),"")</f>
        <v/>
      </c>
      <c r="AG510" s="74" t="str">
        <f t="shared" ref="AG510:AG573" si="194">IF(R510&lt;&gt;"",IF(AND(_xlfn.NUMBERVALUE(R510)&gt;262,_xlfn.NUMBERVALUE(R510)&lt;307),TRUE,FALSE),"")</f>
        <v/>
      </c>
      <c r="AH510" s="74">
        <f t="shared" ref="AH510:AH573" si="195">IF(OR(AE510=FALSE,AF510=FALSE,AG510=FALSE),1,0)</f>
        <v>0</v>
      </c>
      <c r="AI510" s="74" t="str">
        <f>IF(AH510&lt;&gt;0,COUNTIF(AH$3:AH510,1),"")</f>
        <v/>
      </c>
      <c r="AJ510" s="74">
        <f t="shared" ref="AJ510:AJ573" si="196">L510</f>
        <v>0</v>
      </c>
      <c r="AK510" s="73" t="str">
        <f t="shared" ref="AK510:AK573" si="197">P510</f>
        <v/>
      </c>
      <c r="AL510" s="73" t="str">
        <f t="shared" ref="AL510:AL573" si="198">Q510</f>
        <v/>
      </c>
      <c r="AM510" s="73" t="str">
        <f t="shared" ref="AM510:AM573" si="199">R510</f>
        <v/>
      </c>
      <c r="AN510" s="73" t="str">
        <f t="shared" ref="AN510:AN573" si="200">S510</f>
        <v/>
      </c>
      <c r="AP510" s="61" t="str">
        <f t="shared" si="180"/>
        <v/>
      </c>
      <c r="AQ510" s="61" t="str">
        <f t="shared" si="181"/>
        <v/>
      </c>
      <c r="AR510" s="61" t="str">
        <f t="shared" si="182"/>
        <v/>
      </c>
    </row>
    <row r="511" spans="16:44" x14ac:dyDescent="0.25">
      <c r="P511" s="73" t="str">
        <f t="shared" si="184"/>
        <v/>
      </c>
      <c r="Q511" s="73" t="str">
        <f t="shared" si="185"/>
        <v/>
      </c>
      <c r="R511" s="74" t="str">
        <f t="shared" si="186"/>
        <v/>
      </c>
      <c r="S511" s="74" t="str">
        <f t="shared" si="187"/>
        <v/>
      </c>
      <c r="U511" s="74" t="str">
        <f t="shared" si="183"/>
        <v/>
      </c>
      <c r="V511" s="74" t="str">
        <f t="shared" si="183"/>
        <v/>
      </c>
      <c r="W511" s="74" t="str">
        <f t="shared" si="183"/>
        <v/>
      </c>
      <c r="X511" s="74" t="str">
        <f t="shared" si="183"/>
        <v/>
      </c>
      <c r="Y511" s="74" t="str">
        <f t="shared" si="183"/>
        <v/>
      </c>
      <c r="Z511" s="74" t="str">
        <f t="shared" si="188"/>
        <v/>
      </c>
      <c r="AA511" s="74">
        <f t="shared" si="189"/>
        <v>0</v>
      </c>
      <c r="AB511" s="74">
        <f t="shared" si="190"/>
        <v>0</v>
      </c>
      <c r="AC511" s="74" t="str">
        <f t="shared" si="191"/>
        <v/>
      </c>
      <c r="AE511" s="74" t="str">
        <f t="shared" si="192"/>
        <v/>
      </c>
      <c r="AF511" s="74" t="str">
        <f t="shared" si="193"/>
        <v/>
      </c>
      <c r="AG511" s="74" t="str">
        <f t="shared" si="194"/>
        <v/>
      </c>
      <c r="AH511" s="74">
        <f t="shared" si="195"/>
        <v>0</v>
      </c>
      <c r="AI511" s="74" t="str">
        <f>IF(AH511&lt;&gt;0,COUNTIF(AH$3:AH511,1),"")</f>
        <v/>
      </c>
      <c r="AJ511" s="74">
        <f t="shared" si="196"/>
        <v>0</v>
      </c>
      <c r="AK511" s="73" t="str">
        <f t="shared" si="197"/>
        <v/>
      </c>
      <c r="AL511" s="73" t="str">
        <f t="shared" si="198"/>
        <v/>
      </c>
      <c r="AM511" s="73" t="str">
        <f t="shared" si="199"/>
        <v/>
      </c>
      <c r="AN511" s="73" t="str">
        <f t="shared" si="200"/>
        <v/>
      </c>
      <c r="AP511" s="61" t="str">
        <f t="shared" si="180"/>
        <v/>
      </c>
      <c r="AQ511" s="61" t="str">
        <f t="shared" si="181"/>
        <v/>
      </c>
      <c r="AR511" s="61" t="str">
        <f t="shared" si="182"/>
        <v/>
      </c>
    </row>
    <row r="512" spans="16:44" x14ac:dyDescent="0.25">
      <c r="P512" s="73" t="str">
        <f t="shared" si="184"/>
        <v/>
      </c>
      <c r="Q512" s="73" t="str">
        <f t="shared" si="185"/>
        <v/>
      </c>
      <c r="R512" s="74" t="str">
        <f t="shared" si="186"/>
        <v/>
      </c>
      <c r="S512" s="74" t="str">
        <f t="shared" si="187"/>
        <v/>
      </c>
      <c r="U512" s="74" t="str">
        <f t="shared" si="183"/>
        <v/>
      </c>
      <c r="V512" s="74" t="str">
        <f t="shared" si="183"/>
        <v/>
      </c>
      <c r="W512" s="74" t="str">
        <f t="shared" si="183"/>
        <v/>
      </c>
      <c r="X512" s="74" t="str">
        <f t="shared" si="183"/>
        <v/>
      </c>
      <c r="Y512" s="74" t="str">
        <f t="shared" si="183"/>
        <v/>
      </c>
      <c r="Z512" s="74" t="str">
        <f t="shared" si="188"/>
        <v/>
      </c>
      <c r="AA512" s="74">
        <f t="shared" si="189"/>
        <v>0</v>
      </c>
      <c r="AB512" s="74">
        <f t="shared" si="190"/>
        <v>0</v>
      </c>
      <c r="AC512" s="74" t="str">
        <f t="shared" si="191"/>
        <v/>
      </c>
      <c r="AE512" s="74" t="str">
        <f t="shared" si="192"/>
        <v/>
      </c>
      <c r="AF512" s="74" t="str">
        <f t="shared" si="193"/>
        <v/>
      </c>
      <c r="AG512" s="74" t="str">
        <f t="shared" si="194"/>
        <v/>
      </c>
      <c r="AH512" s="74">
        <f t="shared" si="195"/>
        <v>0</v>
      </c>
      <c r="AI512" s="74" t="str">
        <f>IF(AH512&lt;&gt;0,COUNTIF(AH$3:AH512,1),"")</f>
        <v/>
      </c>
      <c r="AJ512" s="74">
        <f t="shared" si="196"/>
        <v>0</v>
      </c>
      <c r="AK512" s="73" t="str">
        <f t="shared" si="197"/>
        <v/>
      </c>
      <c r="AL512" s="73" t="str">
        <f t="shared" si="198"/>
        <v/>
      </c>
      <c r="AM512" s="73" t="str">
        <f t="shared" si="199"/>
        <v/>
      </c>
      <c r="AN512" s="73" t="str">
        <f t="shared" si="200"/>
        <v/>
      </c>
      <c r="AP512" s="61" t="str">
        <f t="shared" si="180"/>
        <v/>
      </c>
      <c r="AQ512" s="61" t="str">
        <f t="shared" si="181"/>
        <v/>
      </c>
      <c r="AR512" s="61" t="str">
        <f t="shared" si="182"/>
        <v/>
      </c>
    </row>
    <row r="513" spans="16:44" x14ac:dyDescent="0.25">
      <c r="P513" s="73" t="str">
        <f t="shared" si="184"/>
        <v/>
      </c>
      <c r="Q513" s="73" t="str">
        <f t="shared" si="185"/>
        <v/>
      </c>
      <c r="R513" s="74" t="str">
        <f t="shared" si="186"/>
        <v/>
      </c>
      <c r="S513" s="74" t="str">
        <f t="shared" si="187"/>
        <v/>
      </c>
      <c r="U513" s="74" t="str">
        <f t="shared" si="183"/>
        <v/>
      </c>
      <c r="V513" s="74" t="str">
        <f t="shared" si="183"/>
        <v/>
      </c>
      <c r="W513" s="74" t="str">
        <f t="shared" si="183"/>
        <v/>
      </c>
      <c r="X513" s="74" t="str">
        <f t="shared" si="183"/>
        <v/>
      </c>
      <c r="Y513" s="74" t="str">
        <f t="shared" si="183"/>
        <v/>
      </c>
      <c r="Z513" s="74" t="str">
        <f t="shared" si="188"/>
        <v/>
      </c>
      <c r="AA513" s="74">
        <f t="shared" si="189"/>
        <v>0</v>
      </c>
      <c r="AB513" s="74">
        <f t="shared" si="190"/>
        <v>0</v>
      </c>
      <c r="AC513" s="74" t="str">
        <f t="shared" si="191"/>
        <v/>
      </c>
      <c r="AE513" s="74" t="str">
        <f t="shared" si="192"/>
        <v/>
      </c>
      <c r="AF513" s="74" t="str">
        <f t="shared" si="193"/>
        <v/>
      </c>
      <c r="AG513" s="74" t="str">
        <f t="shared" si="194"/>
        <v/>
      </c>
      <c r="AH513" s="74">
        <f t="shared" si="195"/>
        <v>0</v>
      </c>
      <c r="AI513" s="74" t="str">
        <f>IF(AH513&lt;&gt;0,COUNTIF(AH$3:AH513,1),"")</f>
        <v/>
      </c>
      <c r="AJ513" s="74">
        <f t="shared" si="196"/>
        <v>0</v>
      </c>
      <c r="AK513" s="73" t="str">
        <f t="shared" si="197"/>
        <v/>
      </c>
      <c r="AL513" s="73" t="str">
        <f t="shared" si="198"/>
        <v/>
      </c>
      <c r="AM513" s="73" t="str">
        <f t="shared" si="199"/>
        <v/>
      </c>
      <c r="AN513" s="73" t="str">
        <f t="shared" si="200"/>
        <v/>
      </c>
      <c r="AP513" s="61" t="str">
        <f t="shared" si="180"/>
        <v/>
      </c>
      <c r="AQ513" s="61" t="str">
        <f t="shared" si="181"/>
        <v/>
      </c>
      <c r="AR513" s="61" t="str">
        <f t="shared" si="182"/>
        <v/>
      </c>
    </row>
    <row r="514" spans="16:44" x14ac:dyDescent="0.25">
      <c r="P514" s="73" t="str">
        <f t="shared" si="184"/>
        <v/>
      </c>
      <c r="Q514" s="73" t="str">
        <f t="shared" si="185"/>
        <v/>
      </c>
      <c r="R514" s="74" t="str">
        <f t="shared" si="186"/>
        <v/>
      </c>
      <c r="S514" s="74" t="str">
        <f t="shared" si="187"/>
        <v/>
      </c>
      <c r="U514" s="74" t="str">
        <f t="shared" si="183"/>
        <v/>
      </c>
      <c r="V514" s="74" t="str">
        <f t="shared" si="183"/>
        <v/>
      </c>
      <c r="W514" s="74" t="str">
        <f t="shared" si="183"/>
        <v/>
      </c>
      <c r="X514" s="74" t="str">
        <f t="shared" si="183"/>
        <v/>
      </c>
      <c r="Y514" s="74" t="str">
        <f t="shared" si="183"/>
        <v/>
      </c>
      <c r="Z514" s="74" t="str">
        <f t="shared" si="188"/>
        <v/>
      </c>
      <c r="AA514" s="74">
        <f t="shared" si="189"/>
        <v>0</v>
      </c>
      <c r="AB514" s="74">
        <f t="shared" si="190"/>
        <v>0</v>
      </c>
      <c r="AC514" s="74" t="str">
        <f t="shared" si="191"/>
        <v/>
      </c>
      <c r="AE514" s="74" t="str">
        <f t="shared" si="192"/>
        <v/>
      </c>
      <c r="AF514" s="74" t="str">
        <f t="shared" si="193"/>
        <v/>
      </c>
      <c r="AG514" s="74" t="str">
        <f t="shared" si="194"/>
        <v/>
      </c>
      <c r="AH514" s="74">
        <f t="shared" si="195"/>
        <v>0</v>
      </c>
      <c r="AI514" s="74" t="str">
        <f>IF(AH514&lt;&gt;0,COUNTIF(AH$3:AH514,1),"")</f>
        <v/>
      </c>
      <c r="AJ514" s="74">
        <f t="shared" si="196"/>
        <v>0</v>
      </c>
      <c r="AK514" s="73" t="str">
        <f t="shared" si="197"/>
        <v/>
      </c>
      <c r="AL514" s="73" t="str">
        <f t="shared" si="198"/>
        <v/>
      </c>
      <c r="AM514" s="73" t="str">
        <f t="shared" si="199"/>
        <v/>
      </c>
      <c r="AN514" s="73" t="str">
        <f t="shared" si="200"/>
        <v/>
      </c>
      <c r="AP514" s="61" t="str">
        <f t="shared" si="180"/>
        <v/>
      </c>
      <c r="AQ514" s="61" t="str">
        <f t="shared" si="181"/>
        <v/>
      </c>
      <c r="AR514" s="61" t="str">
        <f t="shared" si="182"/>
        <v/>
      </c>
    </row>
    <row r="515" spans="16:44" x14ac:dyDescent="0.25">
      <c r="P515" s="73" t="str">
        <f t="shared" si="184"/>
        <v/>
      </c>
      <c r="Q515" s="73" t="str">
        <f t="shared" si="185"/>
        <v/>
      </c>
      <c r="R515" s="74" t="str">
        <f t="shared" si="186"/>
        <v/>
      </c>
      <c r="S515" s="74" t="str">
        <f t="shared" si="187"/>
        <v/>
      </c>
      <c r="U515" s="74" t="str">
        <f t="shared" si="183"/>
        <v/>
      </c>
      <c r="V515" s="74" t="str">
        <f t="shared" si="183"/>
        <v/>
      </c>
      <c r="W515" s="74" t="str">
        <f t="shared" si="183"/>
        <v/>
      </c>
      <c r="X515" s="74" t="str">
        <f t="shared" si="183"/>
        <v/>
      </c>
      <c r="Y515" s="74" t="str">
        <f t="shared" si="183"/>
        <v/>
      </c>
      <c r="Z515" s="74" t="str">
        <f t="shared" si="188"/>
        <v/>
      </c>
      <c r="AA515" s="74">
        <f t="shared" si="189"/>
        <v>0</v>
      </c>
      <c r="AB515" s="74">
        <f t="shared" si="190"/>
        <v>0</v>
      </c>
      <c r="AC515" s="74" t="str">
        <f t="shared" si="191"/>
        <v/>
      </c>
      <c r="AE515" s="74" t="str">
        <f t="shared" si="192"/>
        <v/>
      </c>
      <c r="AF515" s="74" t="str">
        <f t="shared" si="193"/>
        <v/>
      </c>
      <c r="AG515" s="74" t="str">
        <f t="shared" si="194"/>
        <v/>
      </c>
      <c r="AH515" s="74">
        <f t="shared" si="195"/>
        <v>0</v>
      </c>
      <c r="AI515" s="74" t="str">
        <f>IF(AH515&lt;&gt;0,COUNTIF(AH$3:AH515,1),"")</f>
        <v/>
      </c>
      <c r="AJ515" s="74">
        <f t="shared" si="196"/>
        <v>0</v>
      </c>
      <c r="AK515" s="73" t="str">
        <f t="shared" si="197"/>
        <v/>
      </c>
      <c r="AL515" s="73" t="str">
        <f t="shared" si="198"/>
        <v/>
      </c>
      <c r="AM515" s="73" t="str">
        <f t="shared" si="199"/>
        <v/>
      </c>
      <c r="AN515" s="73" t="str">
        <f t="shared" si="200"/>
        <v/>
      </c>
      <c r="AP515" s="61" t="str">
        <f t="shared" si="180"/>
        <v/>
      </c>
      <c r="AQ515" s="61" t="str">
        <f t="shared" si="181"/>
        <v/>
      </c>
      <c r="AR515" s="61" t="str">
        <f t="shared" si="182"/>
        <v/>
      </c>
    </row>
    <row r="516" spans="16:44" x14ac:dyDescent="0.25">
      <c r="P516" s="73" t="str">
        <f t="shared" si="184"/>
        <v/>
      </c>
      <c r="Q516" s="73" t="str">
        <f t="shared" si="185"/>
        <v/>
      </c>
      <c r="R516" s="74" t="str">
        <f t="shared" si="186"/>
        <v/>
      </c>
      <c r="S516" s="74" t="str">
        <f t="shared" si="187"/>
        <v/>
      </c>
      <c r="U516" s="74" t="str">
        <f t="shared" si="183"/>
        <v/>
      </c>
      <c r="V516" s="74" t="str">
        <f t="shared" si="183"/>
        <v/>
      </c>
      <c r="W516" s="74" t="str">
        <f t="shared" si="183"/>
        <v/>
      </c>
      <c r="X516" s="74" t="str">
        <f t="shared" si="183"/>
        <v/>
      </c>
      <c r="Y516" s="74" t="str">
        <f t="shared" si="183"/>
        <v/>
      </c>
      <c r="Z516" s="74" t="str">
        <f t="shared" si="188"/>
        <v/>
      </c>
      <c r="AA516" s="74">
        <f t="shared" si="189"/>
        <v>0</v>
      </c>
      <c r="AB516" s="74">
        <f t="shared" si="190"/>
        <v>0</v>
      </c>
      <c r="AC516" s="74" t="str">
        <f t="shared" si="191"/>
        <v/>
      </c>
      <c r="AE516" s="74" t="str">
        <f t="shared" si="192"/>
        <v/>
      </c>
      <c r="AF516" s="74" t="str">
        <f t="shared" si="193"/>
        <v/>
      </c>
      <c r="AG516" s="74" t="str">
        <f t="shared" si="194"/>
        <v/>
      </c>
      <c r="AH516" s="74">
        <f t="shared" si="195"/>
        <v>0</v>
      </c>
      <c r="AI516" s="74" t="str">
        <f>IF(AH516&lt;&gt;0,COUNTIF(AH$3:AH516,1),"")</f>
        <v/>
      </c>
      <c r="AJ516" s="74">
        <f t="shared" si="196"/>
        <v>0</v>
      </c>
      <c r="AK516" s="73" t="str">
        <f t="shared" si="197"/>
        <v/>
      </c>
      <c r="AL516" s="73" t="str">
        <f t="shared" si="198"/>
        <v/>
      </c>
      <c r="AM516" s="73" t="str">
        <f t="shared" si="199"/>
        <v/>
      </c>
      <c r="AN516" s="73" t="str">
        <f t="shared" si="200"/>
        <v/>
      </c>
      <c r="AP516" s="61" t="str">
        <f t="shared" ref="AP516:AP579" si="201">IF(P516&lt;&gt;"",_xlfn.NUMBERVALUE(P516),"")</f>
        <v/>
      </c>
      <c r="AQ516" s="61" t="str">
        <f t="shared" ref="AQ516:AQ579" si="202">IF(Q516&lt;&gt;"",_xlfn.NUMBERVALUE(Q516),"")</f>
        <v/>
      </c>
      <c r="AR516" s="61" t="str">
        <f t="shared" ref="AR516:AR579" si="203">IF(R516&lt;&gt;"",_xlfn.NUMBERVALUE(R516),"")</f>
        <v/>
      </c>
    </row>
    <row r="517" spans="16:44" x14ac:dyDescent="0.25">
      <c r="P517" s="73" t="str">
        <f t="shared" si="184"/>
        <v/>
      </c>
      <c r="Q517" s="73" t="str">
        <f t="shared" si="185"/>
        <v/>
      </c>
      <c r="R517" s="74" t="str">
        <f t="shared" si="186"/>
        <v/>
      </c>
      <c r="S517" s="74" t="str">
        <f t="shared" si="187"/>
        <v/>
      </c>
      <c r="U517" s="74" t="str">
        <f t="shared" si="183"/>
        <v/>
      </c>
      <c r="V517" s="74" t="str">
        <f t="shared" si="183"/>
        <v/>
      </c>
      <c r="W517" s="74" t="str">
        <f t="shared" si="183"/>
        <v/>
      </c>
      <c r="X517" s="74" t="str">
        <f t="shared" si="183"/>
        <v/>
      </c>
      <c r="Y517" s="74" t="str">
        <f t="shared" si="183"/>
        <v/>
      </c>
      <c r="Z517" s="74" t="str">
        <f t="shared" si="188"/>
        <v/>
      </c>
      <c r="AA517" s="74">
        <f t="shared" si="189"/>
        <v>0</v>
      </c>
      <c r="AB517" s="74">
        <f t="shared" si="190"/>
        <v>0</v>
      </c>
      <c r="AC517" s="74" t="str">
        <f t="shared" si="191"/>
        <v/>
      </c>
      <c r="AE517" s="74" t="str">
        <f t="shared" si="192"/>
        <v/>
      </c>
      <c r="AF517" s="74" t="str">
        <f t="shared" si="193"/>
        <v/>
      </c>
      <c r="AG517" s="74" t="str">
        <f t="shared" si="194"/>
        <v/>
      </c>
      <c r="AH517" s="74">
        <f t="shared" si="195"/>
        <v>0</v>
      </c>
      <c r="AI517" s="74" t="str">
        <f>IF(AH517&lt;&gt;0,COUNTIF(AH$3:AH517,1),"")</f>
        <v/>
      </c>
      <c r="AJ517" s="74">
        <f t="shared" si="196"/>
        <v>0</v>
      </c>
      <c r="AK517" s="73" t="str">
        <f t="shared" si="197"/>
        <v/>
      </c>
      <c r="AL517" s="73" t="str">
        <f t="shared" si="198"/>
        <v/>
      </c>
      <c r="AM517" s="73" t="str">
        <f t="shared" si="199"/>
        <v/>
      </c>
      <c r="AN517" s="73" t="str">
        <f t="shared" si="200"/>
        <v/>
      </c>
      <c r="AP517" s="61" t="str">
        <f t="shared" si="201"/>
        <v/>
      </c>
      <c r="AQ517" s="61" t="str">
        <f t="shared" si="202"/>
        <v/>
      </c>
      <c r="AR517" s="61" t="str">
        <f t="shared" si="203"/>
        <v/>
      </c>
    </row>
    <row r="518" spans="16:44" x14ac:dyDescent="0.25">
      <c r="P518" s="73" t="str">
        <f t="shared" si="184"/>
        <v/>
      </c>
      <c r="Q518" s="73" t="str">
        <f t="shared" si="185"/>
        <v/>
      </c>
      <c r="R518" s="74" t="str">
        <f t="shared" si="186"/>
        <v/>
      </c>
      <c r="S518" s="74" t="str">
        <f t="shared" si="187"/>
        <v/>
      </c>
      <c r="U518" s="74" t="str">
        <f t="shared" si="183"/>
        <v/>
      </c>
      <c r="V518" s="74" t="str">
        <f t="shared" si="183"/>
        <v/>
      </c>
      <c r="W518" s="74" t="str">
        <f t="shared" si="183"/>
        <v/>
      </c>
      <c r="X518" s="74" t="str">
        <f t="shared" si="183"/>
        <v/>
      </c>
      <c r="Y518" s="74" t="str">
        <f t="shared" si="183"/>
        <v/>
      </c>
      <c r="Z518" s="74" t="str">
        <f t="shared" si="188"/>
        <v/>
      </c>
      <c r="AA518" s="74">
        <f t="shared" si="189"/>
        <v>0</v>
      </c>
      <c r="AB518" s="74">
        <f t="shared" si="190"/>
        <v>0</v>
      </c>
      <c r="AC518" s="74" t="str">
        <f t="shared" si="191"/>
        <v/>
      </c>
      <c r="AE518" s="74" t="str">
        <f t="shared" si="192"/>
        <v/>
      </c>
      <c r="AF518" s="74" t="str">
        <f t="shared" si="193"/>
        <v/>
      </c>
      <c r="AG518" s="74" t="str">
        <f t="shared" si="194"/>
        <v/>
      </c>
      <c r="AH518" s="74">
        <f t="shared" si="195"/>
        <v>0</v>
      </c>
      <c r="AI518" s="74" t="str">
        <f>IF(AH518&lt;&gt;0,COUNTIF(AH$3:AH518,1),"")</f>
        <v/>
      </c>
      <c r="AJ518" s="74">
        <f t="shared" si="196"/>
        <v>0</v>
      </c>
      <c r="AK518" s="73" t="str">
        <f t="shared" si="197"/>
        <v/>
      </c>
      <c r="AL518" s="73" t="str">
        <f t="shared" si="198"/>
        <v/>
      </c>
      <c r="AM518" s="73" t="str">
        <f t="shared" si="199"/>
        <v/>
      </c>
      <c r="AN518" s="73" t="str">
        <f t="shared" si="200"/>
        <v/>
      </c>
      <c r="AP518" s="61" t="str">
        <f t="shared" si="201"/>
        <v/>
      </c>
      <c r="AQ518" s="61" t="str">
        <f t="shared" si="202"/>
        <v/>
      </c>
      <c r="AR518" s="61" t="str">
        <f t="shared" si="203"/>
        <v/>
      </c>
    </row>
    <row r="519" spans="16:44" x14ac:dyDescent="0.25">
      <c r="P519" s="73" t="str">
        <f t="shared" si="184"/>
        <v/>
      </c>
      <c r="Q519" s="73" t="str">
        <f t="shared" si="185"/>
        <v/>
      </c>
      <c r="R519" s="74" t="str">
        <f t="shared" si="186"/>
        <v/>
      </c>
      <c r="S519" s="74" t="str">
        <f t="shared" si="187"/>
        <v/>
      </c>
      <c r="U519" s="74" t="str">
        <f t="shared" si="183"/>
        <v/>
      </c>
      <c r="V519" s="74" t="str">
        <f t="shared" si="183"/>
        <v/>
      </c>
      <c r="W519" s="74" t="str">
        <f t="shared" si="183"/>
        <v/>
      </c>
      <c r="X519" s="74" t="str">
        <f t="shared" si="183"/>
        <v/>
      </c>
      <c r="Y519" s="74" t="str">
        <f t="shared" si="183"/>
        <v/>
      </c>
      <c r="Z519" s="74" t="str">
        <f t="shared" si="188"/>
        <v/>
      </c>
      <c r="AA519" s="74">
        <f t="shared" si="189"/>
        <v>0</v>
      </c>
      <c r="AB519" s="74">
        <f t="shared" si="190"/>
        <v>0</v>
      </c>
      <c r="AC519" s="74" t="str">
        <f t="shared" si="191"/>
        <v/>
      </c>
      <c r="AE519" s="74" t="str">
        <f t="shared" si="192"/>
        <v/>
      </c>
      <c r="AF519" s="74" t="str">
        <f t="shared" si="193"/>
        <v/>
      </c>
      <c r="AG519" s="74" t="str">
        <f t="shared" si="194"/>
        <v/>
      </c>
      <c r="AH519" s="74">
        <f t="shared" si="195"/>
        <v>0</v>
      </c>
      <c r="AI519" s="74" t="str">
        <f>IF(AH519&lt;&gt;0,COUNTIF(AH$3:AH519,1),"")</f>
        <v/>
      </c>
      <c r="AJ519" s="74">
        <f t="shared" si="196"/>
        <v>0</v>
      </c>
      <c r="AK519" s="73" t="str">
        <f t="shared" si="197"/>
        <v/>
      </c>
      <c r="AL519" s="73" t="str">
        <f t="shared" si="198"/>
        <v/>
      </c>
      <c r="AM519" s="73" t="str">
        <f t="shared" si="199"/>
        <v/>
      </c>
      <c r="AN519" s="73" t="str">
        <f t="shared" si="200"/>
        <v/>
      </c>
      <c r="AP519" s="61" t="str">
        <f t="shared" si="201"/>
        <v/>
      </c>
      <c r="AQ519" s="61" t="str">
        <f t="shared" si="202"/>
        <v/>
      </c>
      <c r="AR519" s="61" t="str">
        <f t="shared" si="203"/>
        <v/>
      </c>
    </row>
    <row r="520" spans="16:44" x14ac:dyDescent="0.25">
      <c r="P520" s="73" t="str">
        <f t="shared" si="184"/>
        <v/>
      </c>
      <c r="Q520" s="73" t="str">
        <f t="shared" si="185"/>
        <v/>
      </c>
      <c r="R520" s="74" t="str">
        <f t="shared" si="186"/>
        <v/>
      </c>
      <c r="S520" s="74" t="str">
        <f t="shared" si="187"/>
        <v/>
      </c>
      <c r="U520" s="74" t="str">
        <f t="shared" si="183"/>
        <v/>
      </c>
      <c r="V520" s="74" t="str">
        <f t="shared" si="183"/>
        <v/>
      </c>
      <c r="W520" s="74" t="str">
        <f t="shared" si="183"/>
        <v/>
      </c>
      <c r="X520" s="74" t="str">
        <f t="shared" si="183"/>
        <v/>
      </c>
      <c r="Y520" s="74" t="str">
        <f t="shared" si="183"/>
        <v/>
      </c>
      <c r="Z520" s="74" t="str">
        <f t="shared" si="188"/>
        <v/>
      </c>
      <c r="AA520" s="74">
        <f t="shared" si="189"/>
        <v>0</v>
      </c>
      <c r="AB520" s="74">
        <f t="shared" si="190"/>
        <v>0</v>
      </c>
      <c r="AC520" s="74" t="str">
        <f t="shared" si="191"/>
        <v/>
      </c>
      <c r="AE520" s="74" t="str">
        <f t="shared" si="192"/>
        <v/>
      </c>
      <c r="AF520" s="74" t="str">
        <f t="shared" si="193"/>
        <v/>
      </c>
      <c r="AG520" s="74" t="str">
        <f t="shared" si="194"/>
        <v/>
      </c>
      <c r="AH520" s="74">
        <f t="shared" si="195"/>
        <v>0</v>
      </c>
      <c r="AI520" s="74" t="str">
        <f>IF(AH520&lt;&gt;0,COUNTIF(AH$3:AH520,1),"")</f>
        <v/>
      </c>
      <c r="AJ520" s="74">
        <f t="shared" si="196"/>
        <v>0</v>
      </c>
      <c r="AK520" s="73" t="str">
        <f t="shared" si="197"/>
        <v/>
      </c>
      <c r="AL520" s="73" t="str">
        <f t="shared" si="198"/>
        <v/>
      </c>
      <c r="AM520" s="73" t="str">
        <f t="shared" si="199"/>
        <v/>
      </c>
      <c r="AN520" s="73" t="str">
        <f t="shared" si="200"/>
        <v/>
      </c>
      <c r="AP520" s="61" t="str">
        <f t="shared" si="201"/>
        <v/>
      </c>
      <c r="AQ520" s="61" t="str">
        <f t="shared" si="202"/>
        <v/>
      </c>
      <c r="AR520" s="61" t="str">
        <f t="shared" si="203"/>
        <v/>
      </c>
    </row>
    <row r="521" spans="16:44" x14ac:dyDescent="0.25">
      <c r="P521" s="73" t="str">
        <f t="shared" si="184"/>
        <v/>
      </c>
      <c r="Q521" s="73" t="str">
        <f t="shared" si="185"/>
        <v/>
      </c>
      <c r="R521" s="74" t="str">
        <f t="shared" si="186"/>
        <v/>
      </c>
      <c r="S521" s="74" t="str">
        <f t="shared" si="187"/>
        <v/>
      </c>
      <c r="U521" s="74" t="str">
        <f t="shared" si="183"/>
        <v/>
      </c>
      <c r="V521" s="74" t="str">
        <f t="shared" si="183"/>
        <v/>
      </c>
      <c r="W521" s="74" t="str">
        <f t="shared" si="183"/>
        <v/>
      </c>
      <c r="X521" s="74" t="str">
        <f t="shared" si="183"/>
        <v/>
      </c>
      <c r="Y521" s="74" t="str">
        <f t="shared" si="183"/>
        <v/>
      </c>
      <c r="Z521" s="74" t="str">
        <f t="shared" si="188"/>
        <v/>
      </c>
      <c r="AA521" s="74">
        <f t="shared" si="189"/>
        <v>0</v>
      </c>
      <c r="AB521" s="74">
        <f t="shared" si="190"/>
        <v>0</v>
      </c>
      <c r="AC521" s="74" t="str">
        <f t="shared" si="191"/>
        <v/>
      </c>
      <c r="AE521" s="74" t="str">
        <f t="shared" si="192"/>
        <v/>
      </c>
      <c r="AF521" s="74" t="str">
        <f t="shared" si="193"/>
        <v/>
      </c>
      <c r="AG521" s="74" t="str">
        <f t="shared" si="194"/>
        <v/>
      </c>
      <c r="AH521" s="74">
        <f t="shared" si="195"/>
        <v>0</v>
      </c>
      <c r="AI521" s="74" t="str">
        <f>IF(AH521&lt;&gt;0,COUNTIF(AH$3:AH521,1),"")</f>
        <v/>
      </c>
      <c r="AJ521" s="74">
        <f t="shared" si="196"/>
        <v>0</v>
      </c>
      <c r="AK521" s="73" t="str">
        <f t="shared" si="197"/>
        <v/>
      </c>
      <c r="AL521" s="73" t="str">
        <f t="shared" si="198"/>
        <v/>
      </c>
      <c r="AM521" s="73" t="str">
        <f t="shared" si="199"/>
        <v/>
      </c>
      <c r="AN521" s="73" t="str">
        <f t="shared" si="200"/>
        <v/>
      </c>
      <c r="AP521" s="61" t="str">
        <f t="shared" si="201"/>
        <v/>
      </c>
      <c r="AQ521" s="61" t="str">
        <f t="shared" si="202"/>
        <v/>
      </c>
      <c r="AR521" s="61" t="str">
        <f t="shared" si="203"/>
        <v/>
      </c>
    </row>
    <row r="522" spans="16:44" x14ac:dyDescent="0.25">
      <c r="P522" s="73" t="str">
        <f t="shared" si="184"/>
        <v/>
      </c>
      <c r="Q522" s="73" t="str">
        <f t="shared" si="185"/>
        <v/>
      </c>
      <c r="R522" s="74" t="str">
        <f t="shared" si="186"/>
        <v/>
      </c>
      <c r="S522" s="74" t="str">
        <f t="shared" si="187"/>
        <v/>
      </c>
      <c r="U522" s="74" t="str">
        <f t="shared" si="183"/>
        <v/>
      </c>
      <c r="V522" s="74" t="str">
        <f t="shared" si="183"/>
        <v/>
      </c>
      <c r="W522" s="74" t="str">
        <f t="shared" si="183"/>
        <v/>
      </c>
      <c r="X522" s="74" t="str">
        <f t="shared" si="183"/>
        <v/>
      </c>
      <c r="Y522" s="74" t="str">
        <f t="shared" si="183"/>
        <v/>
      </c>
      <c r="Z522" s="74" t="str">
        <f t="shared" si="188"/>
        <v/>
      </c>
      <c r="AA522" s="74">
        <f t="shared" si="189"/>
        <v>0</v>
      </c>
      <c r="AB522" s="74">
        <f t="shared" si="190"/>
        <v>0</v>
      </c>
      <c r="AC522" s="74" t="str">
        <f t="shared" si="191"/>
        <v/>
      </c>
      <c r="AE522" s="74" t="str">
        <f t="shared" si="192"/>
        <v/>
      </c>
      <c r="AF522" s="74" t="str">
        <f t="shared" si="193"/>
        <v/>
      </c>
      <c r="AG522" s="74" t="str">
        <f t="shared" si="194"/>
        <v/>
      </c>
      <c r="AH522" s="74">
        <f t="shared" si="195"/>
        <v>0</v>
      </c>
      <c r="AI522" s="74" t="str">
        <f>IF(AH522&lt;&gt;0,COUNTIF(AH$3:AH522,1),"")</f>
        <v/>
      </c>
      <c r="AJ522" s="74">
        <f t="shared" si="196"/>
        <v>0</v>
      </c>
      <c r="AK522" s="73" t="str">
        <f t="shared" si="197"/>
        <v/>
      </c>
      <c r="AL522" s="73" t="str">
        <f t="shared" si="198"/>
        <v/>
      </c>
      <c r="AM522" s="73" t="str">
        <f t="shared" si="199"/>
        <v/>
      </c>
      <c r="AN522" s="73" t="str">
        <f t="shared" si="200"/>
        <v/>
      </c>
      <c r="AP522" s="61" t="str">
        <f t="shared" si="201"/>
        <v/>
      </c>
      <c r="AQ522" s="61" t="str">
        <f t="shared" si="202"/>
        <v/>
      </c>
      <c r="AR522" s="61" t="str">
        <f t="shared" si="203"/>
        <v/>
      </c>
    </row>
    <row r="523" spans="16:44" x14ac:dyDescent="0.25">
      <c r="P523" s="73" t="str">
        <f t="shared" si="184"/>
        <v/>
      </c>
      <c r="Q523" s="73" t="str">
        <f t="shared" si="185"/>
        <v/>
      </c>
      <c r="R523" s="74" t="str">
        <f t="shared" si="186"/>
        <v/>
      </c>
      <c r="S523" s="74" t="str">
        <f t="shared" si="187"/>
        <v/>
      </c>
      <c r="U523" s="74" t="str">
        <f t="shared" si="183"/>
        <v/>
      </c>
      <c r="V523" s="74" t="str">
        <f t="shared" si="183"/>
        <v/>
      </c>
      <c r="W523" s="74" t="str">
        <f t="shared" si="183"/>
        <v/>
      </c>
      <c r="X523" s="74" t="str">
        <f t="shared" si="183"/>
        <v/>
      </c>
      <c r="Y523" s="74" t="str">
        <f t="shared" si="183"/>
        <v/>
      </c>
      <c r="Z523" s="74" t="str">
        <f t="shared" si="188"/>
        <v/>
      </c>
      <c r="AA523" s="74">
        <f t="shared" si="189"/>
        <v>0</v>
      </c>
      <c r="AB523" s="74">
        <f t="shared" si="190"/>
        <v>0</v>
      </c>
      <c r="AC523" s="74" t="str">
        <f t="shared" si="191"/>
        <v/>
      </c>
      <c r="AE523" s="74" t="str">
        <f t="shared" si="192"/>
        <v/>
      </c>
      <c r="AF523" s="74" t="str">
        <f t="shared" si="193"/>
        <v/>
      </c>
      <c r="AG523" s="74" t="str">
        <f t="shared" si="194"/>
        <v/>
      </c>
      <c r="AH523" s="74">
        <f t="shared" si="195"/>
        <v>0</v>
      </c>
      <c r="AI523" s="74" t="str">
        <f>IF(AH523&lt;&gt;0,COUNTIF(AH$3:AH523,1),"")</f>
        <v/>
      </c>
      <c r="AJ523" s="74">
        <f t="shared" si="196"/>
        <v>0</v>
      </c>
      <c r="AK523" s="73" t="str">
        <f t="shared" si="197"/>
        <v/>
      </c>
      <c r="AL523" s="73" t="str">
        <f t="shared" si="198"/>
        <v/>
      </c>
      <c r="AM523" s="73" t="str">
        <f t="shared" si="199"/>
        <v/>
      </c>
      <c r="AN523" s="73" t="str">
        <f t="shared" si="200"/>
        <v/>
      </c>
      <c r="AP523" s="61" t="str">
        <f t="shared" si="201"/>
        <v/>
      </c>
      <c r="AQ523" s="61" t="str">
        <f t="shared" si="202"/>
        <v/>
      </c>
      <c r="AR523" s="61" t="str">
        <f t="shared" si="203"/>
        <v/>
      </c>
    </row>
    <row r="524" spans="16:44" x14ac:dyDescent="0.25">
      <c r="P524" s="73" t="str">
        <f t="shared" si="184"/>
        <v/>
      </c>
      <c r="Q524" s="73" t="str">
        <f t="shared" si="185"/>
        <v/>
      </c>
      <c r="R524" s="74" t="str">
        <f t="shared" si="186"/>
        <v/>
      </c>
      <c r="S524" s="74" t="str">
        <f t="shared" si="187"/>
        <v/>
      </c>
      <c r="U524" s="74" t="str">
        <f t="shared" si="183"/>
        <v/>
      </c>
      <c r="V524" s="74" t="str">
        <f t="shared" si="183"/>
        <v/>
      </c>
      <c r="W524" s="74" t="str">
        <f t="shared" si="183"/>
        <v/>
      </c>
      <c r="X524" s="74" t="str">
        <f t="shared" si="183"/>
        <v/>
      </c>
      <c r="Y524" s="74" t="str">
        <f t="shared" si="183"/>
        <v/>
      </c>
      <c r="Z524" s="74" t="str">
        <f t="shared" si="188"/>
        <v/>
      </c>
      <c r="AA524" s="74">
        <f t="shared" si="189"/>
        <v>0</v>
      </c>
      <c r="AB524" s="74">
        <f t="shared" si="190"/>
        <v>0</v>
      </c>
      <c r="AC524" s="74" t="str">
        <f t="shared" si="191"/>
        <v/>
      </c>
      <c r="AE524" s="74" t="str">
        <f t="shared" si="192"/>
        <v/>
      </c>
      <c r="AF524" s="74" t="str">
        <f t="shared" si="193"/>
        <v/>
      </c>
      <c r="AG524" s="74" t="str">
        <f t="shared" si="194"/>
        <v/>
      </c>
      <c r="AH524" s="74">
        <f t="shared" si="195"/>
        <v>0</v>
      </c>
      <c r="AI524" s="74" t="str">
        <f>IF(AH524&lt;&gt;0,COUNTIF(AH$3:AH524,1),"")</f>
        <v/>
      </c>
      <c r="AJ524" s="74">
        <f t="shared" si="196"/>
        <v>0</v>
      </c>
      <c r="AK524" s="73" t="str">
        <f t="shared" si="197"/>
        <v/>
      </c>
      <c r="AL524" s="73" t="str">
        <f t="shared" si="198"/>
        <v/>
      </c>
      <c r="AM524" s="73" t="str">
        <f t="shared" si="199"/>
        <v/>
      </c>
      <c r="AN524" s="73" t="str">
        <f t="shared" si="200"/>
        <v/>
      </c>
      <c r="AP524" s="61" t="str">
        <f t="shared" si="201"/>
        <v/>
      </c>
      <c r="AQ524" s="61" t="str">
        <f t="shared" si="202"/>
        <v/>
      </c>
      <c r="AR524" s="61" t="str">
        <f t="shared" si="203"/>
        <v/>
      </c>
    </row>
    <row r="525" spans="16:44" x14ac:dyDescent="0.25">
      <c r="P525" s="73" t="str">
        <f t="shared" si="184"/>
        <v/>
      </c>
      <c r="Q525" s="73" t="str">
        <f t="shared" si="185"/>
        <v/>
      </c>
      <c r="R525" s="74" t="str">
        <f t="shared" si="186"/>
        <v/>
      </c>
      <c r="S525" s="74" t="str">
        <f t="shared" si="187"/>
        <v/>
      </c>
      <c r="U525" s="74" t="str">
        <f t="shared" si="183"/>
        <v/>
      </c>
      <c r="V525" s="74" t="str">
        <f t="shared" si="183"/>
        <v/>
      </c>
      <c r="W525" s="74" t="str">
        <f t="shared" si="183"/>
        <v/>
      </c>
      <c r="X525" s="74" t="str">
        <f t="shared" si="183"/>
        <v/>
      </c>
      <c r="Y525" s="74" t="str">
        <f t="shared" si="183"/>
        <v/>
      </c>
      <c r="Z525" s="74" t="str">
        <f t="shared" si="188"/>
        <v/>
      </c>
      <c r="AA525" s="74">
        <f t="shared" si="189"/>
        <v>0</v>
      </c>
      <c r="AB525" s="74">
        <f t="shared" si="190"/>
        <v>0</v>
      </c>
      <c r="AC525" s="74" t="str">
        <f t="shared" si="191"/>
        <v/>
      </c>
      <c r="AE525" s="74" t="str">
        <f t="shared" si="192"/>
        <v/>
      </c>
      <c r="AF525" s="74" t="str">
        <f t="shared" si="193"/>
        <v/>
      </c>
      <c r="AG525" s="74" t="str">
        <f t="shared" si="194"/>
        <v/>
      </c>
      <c r="AH525" s="74">
        <f t="shared" si="195"/>
        <v>0</v>
      </c>
      <c r="AI525" s="74" t="str">
        <f>IF(AH525&lt;&gt;0,COUNTIF(AH$3:AH525,1),"")</f>
        <v/>
      </c>
      <c r="AJ525" s="74">
        <f t="shared" si="196"/>
        <v>0</v>
      </c>
      <c r="AK525" s="73" t="str">
        <f t="shared" si="197"/>
        <v/>
      </c>
      <c r="AL525" s="73" t="str">
        <f t="shared" si="198"/>
        <v/>
      </c>
      <c r="AM525" s="73" t="str">
        <f t="shared" si="199"/>
        <v/>
      </c>
      <c r="AN525" s="73" t="str">
        <f t="shared" si="200"/>
        <v/>
      </c>
      <c r="AP525" s="61" t="str">
        <f t="shared" si="201"/>
        <v/>
      </c>
      <c r="AQ525" s="61" t="str">
        <f t="shared" si="202"/>
        <v/>
      </c>
      <c r="AR525" s="61" t="str">
        <f t="shared" si="203"/>
        <v/>
      </c>
    </row>
    <row r="526" spans="16:44" x14ac:dyDescent="0.25">
      <c r="P526" s="73" t="str">
        <f t="shared" si="184"/>
        <v/>
      </c>
      <c r="Q526" s="73" t="str">
        <f t="shared" si="185"/>
        <v/>
      </c>
      <c r="R526" s="74" t="str">
        <f t="shared" si="186"/>
        <v/>
      </c>
      <c r="S526" s="74" t="str">
        <f t="shared" si="187"/>
        <v/>
      </c>
      <c r="U526" s="74" t="str">
        <f t="shared" si="183"/>
        <v/>
      </c>
      <c r="V526" s="74" t="str">
        <f t="shared" si="183"/>
        <v/>
      </c>
      <c r="W526" s="74" t="str">
        <f t="shared" si="183"/>
        <v/>
      </c>
      <c r="X526" s="74" t="str">
        <f t="shared" si="183"/>
        <v/>
      </c>
      <c r="Y526" s="74" t="str">
        <f t="shared" si="183"/>
        <v/>
      </c>
      <c r="Z526" s="74" t="str">
        <f t="shared" si="188"/>
        <v/>
      </c>
      <c r="AA526" s="74">
        <f t="shared" si="189"/>
        <v>0</v>
      </c>
      <c r="AB526" s="74">
        <f t="shared" si="190"/>
        <v>0</v>
      </c>
      <c r="AC526" s="74" t="str">
        <f t="shared" si="191"/>
        <v/>
      </c>
      <c r="AE526" s="74" t="str">
        <f t="shared" si="192"/>
        <v/>
      </c>
      <c r="AF526" s="74" t="str">
        <f t="shared" si="193"/>
        <v/>
      </c>
      <c r="AG526" s="74" t="str">
        <f t="shared" si="194"/>
        <v/>
      </c>
      <c r="AH526" s="74">
        <f t="shared" si="195"/>
        <v>0</v>
      </c>
      <c r="AI526" s="74" t="str">
        <f>IF(AH526&lt;&gt;0,COUNTIF(AH$3:AH526,1),"")</f>
        <v/>
      </c>
      <c r="AJ526" s="74">
        <f t="shared" si="196"/>
        <v>0</v>
      </c>
      <c r="AK526" s="73" t="str">
        <f t="shared" si="197"/>
        <v/>
      </c>
      <c r="AL526" s="73" t="str">
        <f t="shared" si="198"/>
        <v/>
      </c>
      <c r="AM526" s="73" t="str">
        <f t="shared" si="199"/>
        <v/>
      </c>
      <c r="AN526" s="73" t="str">
        <f t="shared" si="200"/>
        <v/>
      </c>
      <c r="AP526" s="61" t="str">
        <f t="shared" si="201"/>
        <v/>
      </c>
      <c r="AQ526" s="61" t="str">
        <f t="shared" si="202"/>
        <v/>
      </c>
      <c r="AR526" s="61" t="str">
        <f t="shared" si="203"/>
        <v/>
      </c>
    </row>
    <row r="527" spans="16:44" x14ac:dyDescent="0.25">
      <c r="P527" s="73" t="str">
        <f t="shared" si="184"/>
        <v/>
      </c>
      <c r="Q527" s="73" t="str">
        <f t="shared" si="185"/>
        <v/>
      </c>
      <c r="R527" s="74" t="str">
        <f t="shared" si="186"/>
        <v/>
      </c>
      <c r="S527" s="74" t="str">
        <f t="shared" si="187"/>
        <v/>
      </c>
      <c r="U527" s="74" t="str">
        <f t="shared" si="183"/>
        <v/>
      </c>
      <c r="V527" s="74" t="str">
        <f t="shared" si="183"/>
        <v/>
      </c>
      <c r="W527" s="74" t="str">
        <f t="shared" si="183"/>
        <v/>
      </c>
      <c r="X527" s="74" t="str">
        <f t="shared" si="183"/>
        <v/>
      </c>
      <c r="Y527" s="74" t="str">
        <f t="shared" si="183"/>
        <v/>
      </c>
      <c r="Z527" s="74" t="str">
        <f t="shared" si="188"/>
        <v/>
      </c>
      <c r="AA527" s="74">
        <f t="shared" si="189"/>
        <v>0</v>
      </c>
      <c r="AB527" s="74">
        <f t="shared" si="190"/>
        <v>0</v>
      </c>
      <c r="AC527" s="74" t="str">
        <f t="shared" si="191"/>
        <v/>
      </c>
      <c r="AE527" s="74" t="str">
        <f t="shared" si="192"/>
        <v/>
      </c>
      <c r="AF527" s="74" t="str">
        <f t="shared" si="193"/>
        <v/>
      </c>
      <c r="AG527" s="74" t="str">
        <f t="shared" si="194"/>
        <v/>
      </c>
      <c r="AH527" s="74">
        <f t="shared" si="195"/>
        <v>0</v>
      </c>
      <c r="AI527" s="74" t="str">
        <f>IF(AH527&lt;&gt;0,COUNTIF(AH$3:AH527,1),"")</f>
        <v/>
      </c>
      <c r="AJ527" s="74">
        <f t="shared" si="196"/>
        <v>0</v>
      </c>
      <c r="AK527" s="73" t="str">
        <f t="shared" si="197"/>
        <v/>
      </c>
      <c r="AL527" s="73" t="str">
        <f t="shared" si="198"/>
        <v/>
      </c>
      <c r="AM527" s="73" t="str">
        <f t="shared" si="199"/>
        <v/>
      </c>
      <c r="AN527" s="73" t="str">
        <f t="shared" si="200"/>
        <v/>
      </c>
      <c r="AP527" s="61" t="str">
        <f t="shared" si="201"/>
        <v/>
      </c>
      <c r="AQ527" s="61" t="str">
        <f t="shared" si="202"/>
        <v/>
      </c>
      <c r="AR527" s="61" t="str">
        <f t="shared" si="203"/>
        <v/>
      </c>
    </row>
    <row r="528" spans="16:44" x14ac:dyDescent="0.25">
      <c r="P528" s="73" t="str">
        <f t="shared" si="184"/>
        <v/>
      </c>
      <c r="Q528" s="73" t="str">
        <f t="shared" si="185"/>
        <v/>
      </c>
      <c r="R528" s="74" t="str">
        <f t="shared" si="186"/>
        <v/>
      </c>
      <c r="S528" s="74" t="str">
        <f t="shared" si="187"/>
        <v/>
      </c>
      <c r="U528" s="74" t="str">
        <f t="shared" si="183"/>
        <v/>
      </c>
      <c r="V528" s="74" t="str">
        <f t="shared" si="183"/>
        <v/>
      </c>
      <c r="W528" s="74" t="str">
        <f t="shared" si="183"/>
        <v/>
      </c>
      <c r="X528" s="74" t="str">
        <f t="shared" si="183"/>
        <v/>
      </c>
      <c r="Y528" s="74" t="str">
        <f t="shared" si="183"/>
        <v/>
      </c>
      <c r="Z528" s="74" t="str">
        <f t="shared" si="188"/>
        <v/>
      </c>
      <c r="AA528" s="74">
        <f t="shared" si="189"/>
        <v>0</v>
      </c>
      <c r="AB528" s="74">
        <f t="shared" si="190"/>
        <v>0</v>
      </c>
      <c r="AC528" s="74" t="str">
        <f t="shared" si="191"/>
        <v/>
      </c>
      <c r="AE528" s="74" t="str">
        <f t="shared" si="192"/>
        <v/>
      </c>
      <c r="AF528" s="74" t="str">
        <f t="shared" si="193"/>
        <v/>
      </c>
      <c r="AG528" s="74" t="str">
        <f t="shared" si="194"/>
        <v/>
      </c>
      <c r="AH528" s="74">
        <f t="shared" si="195"/>
        <v>0</v>
      </c>
      <c r="AI528" s="74" t="str">
        <f>IF(AH528&lt;&gt;0,COUNTIF(AH$3:AH528,1),"")</f>
        <v/>
      </c>
      <c r="AJ528" s="74">
        <f t="shared" si="196"/>
        <v>0</v>
      </c>
      <c r="AK528" s="73" t="str">
        <f t="shared" si="197"/>
        <v/>
      </c>
      <c r="AL528" s="73" t="str">
        <f t="shared" si="198"/>
        <v/>
      </c>
      <c r="AM528" s="73" t="str">
        <f t="shared" si="199"/>
        <v/>
      </c>
      <c r="AN528" s="73" t="str">
        <f t="shared" si="200"/>
        <v/>
      </c>
      <c r="AP528" s="61" t="str">
        <f t="shared" si="201"/>
        <v/>
      </c>
      <c r="AQ528" s="61" t="str">
        <f t="shared" si="202"/>
        <v/>
      </c>
      <c r="AR528" s="61" t="str">
        <f t="shared" si="203"/>
        <v/>
      </c>
    </row>
    <row r="529" spans="16:44" x14ac:dyDescent="0.25">
      <c r="P529" s="73" t="str">
        <f t="shared" si="184"/>
        <v/>
      </c>
      <c r="Q529" s="73" t="str">
        <f t="shared" si="185"/>
        <v/>
      </c>
      <c r="R529" s="74" t="str">
        <f t="shared" si="186"/>
        <v/>
      </c>
      <c r="S529" s="74" t="str">
        <f t="shared" si="187"/>
        <v/>
      </c>
      <c r="U529" s="74" t="str">
        <f t="shared" si="183"/>
        <v/>
      </c>
      <c r="V529" s="74" t="str">
        <f t="shared" si="183"/>
        <v/>
      </c>
      <c r="W529" s="74" t="str">
        <f t="shared" si="183"/>
        <v/>
      </c>
      <c r="X529" s="74" t="str">
        <f t="shared" si="183"/>
        <v/>
      </c>
      <c r="Y529" s="74" t="str">
        <f t="shared" si="183"/>
        <v/>
      </c>
      <c r="Z529" s="74" t="str">
        <f t="shared" si="188"/>
        <v/>
      </c>
      <c r="AA529" s="74">
        <f t="shared" si="189"/>
        <v>0</v>
      </c>
      <c r="AB529" s="74">
        <f t="shared" si="190"/>
        <v>0</v>
      </c>
      <c r="AC529" s="74" t="str">
        <f t="shared" si="191"/>
        <v/>
      </c>
      <c r="AE529" s="74" t="str">
        <f t="shared" si="192"/>
        <v/>
      </c>
      <c r="AF529" s="74" t="str">
        <f t="shared" si="193"/>
        <v/>
      </c>
      <c r="AG529" s="74" t="str">
        <f t="shared" si="194"/>
        <v/>
      </c>
      <c r="AH529" s="74">
        <f t="shared" si="195"/>
        <v>0</v>
      </c>
      <c r="AI529" s="74" t="str">
        <f>IF(AH529&lt;&gt;0,COUNTIF(AH$3:AH529,1),"")</f>
        <v/>
      </c>
      <c r="AJ529" s="74">
        <f t="shared" si="196"/>
        <v>0</v>
      </c>
      <c r="AK529" s="73" t="str">
        <f t="shared" si="197"/>
        <v/>
      </c>
      <c r="AL529" s="73" t="str">
        <f t="shared" si="198"/>
        <v/>
      </c>
      <c r="AM529" s="73" t="str">
        <f t="shared" si="199"/>
        <v/>
      </c>
      <c r="AN529" s="73" t="str">
        <f t="shared" si="200"/>
        <v/>
      </c>
      <c r="AP529" s="61" t="str">
        <f t="shared" si="201"/>
        <v/>
      </c>
      <c r="AQ529" s="61" t="str">
        <f t="shared" si="202"/>
        <v/>
      </c>
      <c r="AR529" s="61" t="str">
        <f t="shared" si="203"/>
        <v/>
      </c>
    </row>
    <row r="530" spans="16:44" x14ac:dyDescent="0.25">
      <c r="P530" s="73" t="str">
        <f t="shared" si="184"/>
        <v/>
      </c>
      <c r="Q530" s="73" t="str">
        <f t="shared" si="185"/>
        <v/>
      </c>
      <c r="R530" s="74" t="str">
        <f t="shared" si="186"/>
        <v/>
      </c>
      <c r="S530" s="74" t="str">
        <f t="shared" si="187"/>
        <v/>
      </c>
      <c r="U530" s="74" t="str">
        <f t="shared" si="183"/>
        <v/>
      </c>
      <c r="V530" s="74" t="str">
        <f t="shared" si="183"/>
        <v/>
      </c>
      <c r="W530" s="74" t="str">
        <f t="shared" si="183"/>
        <v/>
      </c>
      <c r="X530" s="74" t="str">
        <f t="shared" si="183"/>
        <v/>
      </c>
      <c r="Y530" s="74" t="str">
        <f t="shared" si="183"/>
        <v/>
      </c>
      <c r="Z530" s="74" t="str">
        <f t="shared" si="188"/>
        <v/>
      </c>
      <c r="AA530" s="74">
        <f t="shared" si="189"/>
        <v>0</v>
      </c>
      <c r="AB530" s="74">
        <f t="shared" si="190"/>
        <v>0</v>
      </c>
      <c r="AC530" s="74" t="str">
        <f t="shared" si="191"/>
        <v/>
      </c>
      <c r="AE530" s="74" t="str">
        <f t="shared" si="192"/>
        <v/>
      </c>
      <c r="AF530" s="74" t="str">
        <f t="shared" si="193"/>
        <v/>
      </c>
      <c r="AG530" s="74" t="str">
        <f t="shared" si="194"/>
        <v/>
      </c>
      <c r="AH530" s="74">
        <f t="shared" si="195"/>
        <v>0</v>
      </c>
      <c r="AI530" s="74" t="str">
        <f>IF(AH530&lt;&gt;0,COUNTIF(AH$3:AH530,1),"")</f>
        <v/>
      </c>
      <c r="AJ530" s="74">
        <f t="shared" si="196"/>
        <v>0</v>
      </c>
      <c r="AK530" s="73" t="str">
        <f t="shared" si="197"/>
        <v/>
      </c>
      <c r="AL530" s="73" t="str">
        <f t="shared" si="198"/>
        <v/>
      </c>
      <c r="AM530" s="73" t="str">
        <f t="shared" si="199"/>
        <v/>
      </c>
      <c r="AN530" s="73" t="str">
        <f t="shared" si="200"/>
        <v/>
      </c>
      <c r="AP530" s="61" t="str">
        <f t="shared" si="201"/>
        <v/>
      </c>
      <c r="AQ530" s="61" t="str">
        <f t="shared" si="202"/>
        <v/>
      </c>
      <c r="AR530" s="61" t="str">
        <f t="shared" si="203"/>
        <v/>
      </c>
    </row>
    <row r="531" spans="16:44" x14ac:dyDescent="0.25">
      <c r="P531" s="73" t="str">
        <f t="shared" si="184"/>
        <v/>
      </c>
      <c r="Q531" s="73" t="str">
        <f t="shared" si="185"/>
        <v/>
      </c>
      <c r="R531" s="74" t="str">
        <f t="shared" si="186"/>
        <v/>
      </c>
      <c r="S531" s="74" t="str">
        <f t="shared" si="187"/>
        <v/>
      </c>
      <c r="U531" s="74" t="str">
        <f t="shared" si="183"/>
        <v/>
      </c>
      <c r="V531" s="74" t="str">
        <f t="shared" si="183"/>
        <v/>
      </c>
      <c r="W531" s="74" t="str">
        <f t="shared" si="183"/>
        <v/>
      </c>
      <c r="X531" s="74" t="str">
        <f t="shared" si="183"/>
        <v/>
      </c>
      <c r="Y531" s="74" t="str">
        <f t="shared" si="183"/>
        <v/>
      </c>
      <c r="Z531" s="74" t="str">
        <f t="shared" si="188"/>
        <v/>
      </c>
      <c r="AA531" s="74">
        <f t="shared" si="189"/>
        <v>0</v>
      </c>
      <c r="AB531" s="74">
        <f t="shared" si="190"/>
        <v>0</v>
      </c>
      <c r="AC531" s="74" t="str">
        <f t="shared" si="191"/>
        <v/>
      </c>
      <c r="AE531" s="74" t="str">
        <f t="shared" si="192"/>
        <v/>
      </c>
      <c r="AF531" s="74" t="str">
        <f t="shared" si="193"/>
        <v/>
      </c>
      <c r="AG531" s="74" t="str">
        <f t="shared" si="194"/>
        <v/>
      </c>
      <c r="AH531" s="74">
        <f t="shared" si="195"/>
        <v>0</v>
      </c>
      <c r="AI531" s="74" t="str">
        <f>IF(AH531&lt;&gt;0,COUNTIF(AH$3:AH531,1),"")</f>
        <v/>
      </c>
      <c r="AJ531" s="74">
        <f t="shared" si="196"/>
        <v>0</v>
      </c>
      <c r="AK531" s="73" t="str">
        <f t="shared" si="197"/>
        <v/>
      </c>
      <c r="AL531" s="73" t="str">
        <f t="shared" si="198"/>
        <v/>
      </c>
      <c r="AM531" s="73" t="str">
        <f t="shared" si="199"/>
        <v/>
      </c>
      <c r="AN531" s="73" t="str">
        <f t="shared" si="200"/>
        <v/>
      </c>
      <c r="AP531" s="61" t="str">
        <f t="shared" si="201"/>
        <v/>
      </c>
      <c r="AQ531" s="61" t="str">
        <f t="shared" si="202"/>
        <v/>
      </c>
      <c r="AR531" s="61" t="str">
        <f t="shared" si="203"/>
        <v/>
      </c>
    </row>
    <row r="532" spans="16:44" x14ac:dyDescent="0.25">
      <c r="P532" s="73" t="str">
        <f t="shared" si="184"/>
        <v/>
      </c>
      <c r="Q532" s="73" t="str">
        <f t="shared" si="185"/>
        <v/>
      </c>
      <c r="R532" s="74" t="str">
        <f t="shared" si="186"/>
        <v/>
      </c>
      <c r="S532" s="74" t="str">
        <f t="shared" si="187"/>
        <v/>
      </c>
      <c r="U532" s="74" t="str">
        <f t="shared" si="183"/>
        <v/>
      </c>
      <c r="V532" s="74" t="str">
        <f t="shared" si="183"/>
        <v/>
      </c>
      <c r="W532" s="74" t="str">
        <f t="shared" si="183"/>
        <v/>
      </c>
      <c r="X532" s="74" t="str">
        <f t="shared" si="183"/>
        <v/>
      </c>
      <c r="Y532" s="74" t="str">
        <f t="shared" si="183"/>
        <v/>
      </c>
      <c r="Z532" s="74" t="str">
        <f t="shared" si="188"/>
        <v/>
      </c>
      <c r="AA532" s="74">
        <f t="shared" si="189"/>
        <v>0</v>
      </c>
      <c r="AB532" s="74">
        <f t="shared" si="190"/>
        <v>0</v>
      </c>
      <c r="AC532" s="74" t="str">
        <f t="shared" si="191"/>
        <v/>
      </c>
      <c r="AE532" s="74" t="str">
        <f t="shared" si="192"/>
        <v/>
      </c>
      <c r="AF532" s="74" t="str">
        <f t="shared" si="193"/>
        <v/>
      </c>
      <c r="AG532" s="74" t="str">
        <f t="shared" si="194"/>
        <v/>
      </c>
      <c r="AH532" s="74">
        <f t="shared" si="195"/>
        <v>0</v>
      </c>
      <c r="AI532" s="74" t="str">
        <f>IF(AH532&lt;&gt;0,COUNTIF(AH$3:AH532,1),"")</f>
        <v/>
      </c>
      <c r="AJ532" s="74">
        <f t="shared" si="196"/>
        <v>0</v>
      </c>
      <c r="AK532" s="73" t="str">
        <f t="shared" si="197"/>
        <v/>
      </c>
      <c r="AL532" s="73" t="str">
        <f t="shared" si="198"/>
        <v/>
      </c>
      <c r="AM532" s="73" t="str">
        <f t="shared" si="199"/>
        <v/>
      </c>
      <c r="AN532" s="73" t="str">
        <f t="shared" si="200"/>
        <v/>
      </c>
      <c r="AP532" s="61" t="str">
        <f t="shared" si="201"/>
        <v/>
      </c>
      <c r="AQ532" s="61" t="str">
        <f t="shared" si="202"/>
        <v/>
      </c>
      <c r="AR532" s="61" t="str">
        <f t="shared" si="203"/>
        <v/>
      </c>
    </row>
    <row r="533" spans="16:44" x14ac:dyDescent="0.25">
      <c r="P533" s="73" t="str">
        <f t="shared" si="184"/>
        <v/>
      </c>
      <c r="Q533" s="73" t="str">
        <f t="shared" si="185"/>
        <v/>
      </c>
      <c r="R533" s="74" t="str">
        <f t="shared" si="186"/>
        <v/>
      </c>
      <c r="S533" s="74" t="str">
        <f t="shared" si="187"/>
        <v/>
      </c>
      <c r="U533" s="74" t="str">
        <f t="shared" si="183"/>
        <v/>
      </c>
      <c r="V533" s="74" t="str">
        <f t="shared" si="183"/>
        <v/>
      </c>
      <c r="W533" s="74" t="str">
        <f t="shared" si="183"/>
        <v/>
      </c>
      <c r="X533" s="74" t="str">
        <f t="shared" si="183"/>
        <v/>
      </c>
      <c r="Y533" s="74" t="str">
        <f t="shared" si="183"/>
        <v/>
      </c>
      <c r="Z533" s="74" t="str">
        <f t="shared" si="188"/>
        <v/>
      </c>
      <c r="AA533" s="74">
        <f t="shared" si="189"/>
        <v>0</v>
      </c>
      <c r="AB533" s="74">
        <f t="shared" si="190"/>
        <v>0</v>
      </c>
      <c r="AC533" s="74" t="str">
        <f t="shared" si="191"/>
        <v/>
      </c>
      <c r="AE533" s="74" t="str">
        <f t="shared" si="192"/>
        <v/>
      </c>
      <c r="AF533" s="74" t="str">
        <f t="shared" si="193"/>
        <v/>
      </c>
      <c r="AG533" s="74" t="str">
        <f t="shared" si="194"/>
        <v/>
      </c>
      <c r="AH533" s="74">
        <f t="shared" si="195"/>
        <v>0</v>
      </c>
      <c r="AI533" s="74" t="str">
        <f>IF(AH533&lt;&gt;0,COUNTIF(AH$3:AH533,1),"")</f>
        <v/>
      </c>
      <c r="AJ533" s="74">
        <f t="shared" si="196"/>
        <v>0</v>
      </c>
      <c r="AK533" s="73" t="str">
        <f t="shared" si="197"/>
        <v/>
      </c>
      <c r="AL533" s="73" t="str">
        <f t="shared" si="198"/>
        <v/>
      </c>
      <c r="AM533" s="73" t="str">
        <f t="shared" si="199"/>
        <v/>
      </c>
      <c r="AN533" s="73" t="str">
        <f t="shared" si="200"/>
        <v/>
      </c>
      <c r="AP533" s="61" t="str">
        <f t="shared" si="201"/>
        <v/>
      </c>
      <c r="AQ533" s="61" t="str">
        <f t="shared" si="202"/>
        <v/>
      </c>
      <c r="AR533" s="61" t="str">
        <f t="shared" si="203"/>
        <v/>
      </c>
    </row>
    <row r="534" spans="16:44" x14ac:dyDescent="0.25">
      <c r="P534" s="73" t="str">
        <f t="shared" si="184"/>
        <v/>
      </c>
      <c r="Q534" s="73" t="str">
        <f t="shared" si="185"/>
        <v/>
      </c>
      <c r="R534" s="74" t="str">
        <f t="shared" si="186"/>
        <v/>
      </c>
      <c r="S534" s="74" t="str">
        <f t="shared" si="187"/>
        <v/>
      </c>
      <c r="U534" s="74" t="str">
        <f t="shared" si="183"/>
        <v/>
      </c>
      <c r="V534" s="74" t="str">
        <f t="shared" si="183"/>
        <v/>
      </c>
      <c r="W534" s="74" t="str">
        <f t="shared" si="183"/>
        <v/>
      </c>
      <c r="X534" s="74" t="str">
        <f t="shared" si="183"/>
        <v/>
      </c>
      <c r="Y534" s="74" t="str">
        <f t="shared" si="183"/>
        <v/>
      </c>
      <c r="Z534" s="74" t="str">
        <f t="shared" si="188"/>
        <v/>
      </c>
      <c r="AA534" s="74">
        <f t="shared" si="189"/>
        <v>0</v>
      </c>
      <c r="AB534" s="74">
        <f t="shared" si="190"/>
        <v>0</v>
      </c>
      <c r="AC534" s="74" t="str">
        <f t="shared" si="191"/>
        <v/>
      </c>
      <c r="AE534" s="74" t="str">
        <f t="shared" si="192"/>
        <v/>
      </c>
      <c r="AF534" s="74" t="str">
        <f t="shared" si="193"/>
        <v/>
      </c>
      <c r="AG534" s="74" t="str">
        <f t="shared" si="194"/>
        <v/>
      </c>
      <c r="AH534" s="74">
        <f t="shared" si="195"/>
        <v>0</v>
      </c>
      <c r="AI534" s="74" t="str">
        <f>IF(AH534&lt;&gt;0,COUNTIF(AH$3:AH534,1),"")</f>
        <v/>
      </c>
      <c r="AJ534" s="74">
        <f t="shared" si="196"/>
        <v>0</v>
      </c>
      <c r="AK534" s="73" t="str">
        <f t="shared" si="197"/>
        <v/>
      </c>
      <c r="AL534" s="73" t="str">
        <f t="shared" si="198"/>
        <v/>
      </c>
      <c r="AM534" s="73" t="str">
        <f t="shared" si="199"/>
        <v/>
      </c>
      <c r="AN534" s="73" t="str">
        <f t="shared" si="200"/>
        <v/>
      </c>
      <c r="AP534" s="61" t="str">
        <f t="shared" si="201"/>
        <v/>
      </c>
      <c r="AQ534" s="61" t="str">
        <f t="shared" si="202"/>
        <v/>
      </c>
      <c r="AR534" s="61" t="str">
        <f t="shared" si="203"/>
        <v/>
      </c>
    </row>
    <row r="535" spans="16:44" x14ac:dyDescent="0.25">
      <c r="P535" s="73" t="str">
        <f t="shared" si="184"/>
        <v/>
      </c>
      <c r="Q535" s="73" t="str">
        <f t="shared" si="185"/>
        <v/>
      </c>
      <c r="R535" s="74" t="str">
        <f t="shared" si="186"/>
        <v/>
      </c>
      <c r="S535" s="74" t="str">
        <f t="shared" si="187"/>
        <v/>
      </c>
      <c r="U535" s="74" t="str">
        <f t="shared" si="183"/>
        <v/>
      </c>
      <c r="V535" s="74" t="str">
        <f t="shared" si="183"/>
        <v/>
      </c>
      <c r="W535" s="74" t="str">
        <f t="shared" si="183"/>
        <v/>
      </c>
      <c r="X535" s="74" t="str">
        <f t="shared" si="183"/>
        <v/>
      </c>
      <c r="Y535" s="74" t="str">
        <f t="shared" si="183"/>
        <v/>
      </c>
      <c r="Z535" s="74" t="str">
        <f t="shared" si="188"/>
        <v/>
      </c>
      <c r="AA535" s="74">
        <f t="shared" si="189"/>
        <v>0</v>
      </c>
      <c r="AB535" s="74">
        <f t="shared" si="190"/>
        <v>0</v>
      </c>
      <c r="AC535" s="74" t="str">
        <f t="shared" si="191"/>
        <v/>
      </c>
      <c r="AE535" s="74" t="str">
        <f t="shared" si="192"/>
        <v/>
      </c>
      <c r="AF535" s="74" t="str">
        <f t="shared" si="193"/>
        <v/>
      </c>
      <c r="AG535" s="74" t="str">
        <f t="shared" si="194"/>
        <v/>
      </c>
      <c r="AH535" s="74">
        <f t="shared" si="195"/>
        <v>0</v>
      </c>
      <c r="AI535" s="74" t="str">
        <f>IF(AH535&lt;&gt;0,COUNTIF(AH$3:AH535,1),"")</f>
        <v/>
      </c>
      <c r="AJ535" s="74">
        <f t="shared" si="196"/>
        <v>0</v>
      </c>
      <c r="AK535" s="73" t="str">
        <f t="shared" si="197"/>
        <v/>
      </c>
      <c r="AL535" s="73" t="str">
        <f t="shared" si="198"/>
        <v/>
      </c>
      <c r="AM535" s="73" t="str">
        <f t="shared" si="199"/>
        <v/>
      </c>
      <c r="AN535" s="73" t="str">
        <f t="shared" si="200"/>
        <v/>
      </c>
      <c r="AP535" s="61" t="str">
        <f t="shared" si="201"/>
        <v/>
      </c>
      <c r="AQ535" s="61" t="str">
        <f t="shared" si="202"/>
        <v/>
      </c>
      <c r="AR535" s="61" t="str">
        <f t="shared" si="203"/>
        <v/>
      </c>
    </row>
    <row r="536" spans="16:44" x14ac:dyDescent="0.25">
      <c r="P536" s="73" t="str">
        <f t="shared" si="184"/>
        <v/>
      </c>
      <c r="Q536" s="73" t="str">
        <f t="shared" si="185"/>
        <v/>
      </c>
      <c r="R536" s="74" t="str">
        <f t="shared" si="186"/>
        <v/>
      </c>
      <c r="S536" s="74" t="str">
        <f t="shared" si="187"/>
        <v/>
      </c>
      <c r="U536" s="74" t="str">
        <f t="shared" si="183"/>
        <v/>
      </c>
      <c r="V536" s="74" t="str">
        <f t="shared" si="183"/>
        <v/>
      </c>
      <c r="W536" s="74" t="str">
        <f t="shared" si="183"/>
        <v/>
      </c>
      <c r="X536" s="74" t="str">
        <f t="shared" si="183"/>
        <v/>
      </c>
      <c r="Y536" s="74" t="str">
        <f t="shared" si="183"/>
        <v/>
      </c>
      <c r="Z536" s="74" t="str">
        <f t="shared" si="188"/>
        <v/>
      </c>
      <c r="AA536" s="74">
        <f t="shared" si="189"/>
        <v>0</v>
      </c>
      <c r="AB536" s="74">
        <f t="shared" si="190"/>
        <v>0</v>
      </c>
      <c r="AC536" s="74" t="str">
        <f t="shared" si="191"/>
        <v/>
      </c>
      <c r="AE536" s="74" t="str">
        <f t="shared" si="192"/>
        <v/>
      </c>
      <c r="AF536" s="74" t="str">
        <f t="shared" si="193"/>
        <v/>
      </c>
      <c r="AG536" s="74" t="str">
        <f t="shared" si="194"/>
        <v/>
      </c>
      <c r="AH536" s="74">
        <f t="shared" si="195"/>
        <v>0</v>
      </c>
      <c r="AI536" s="74" t="str">
        <f>IF(AH536&lt;&gt;0,COUNTIF(AH$3:AH536,1),"")</f>
        <v/>
      </c>
      <c r="AJ536" s="74">
        <f t="shared" si="196"/>
        <v>0</v>
      </c>
      <c r="AK536" s="73" t="str">
        <f t="shared" si="197"/>
        <v/>
      </c>
      <c r="AL536" s="73" t="str">
        <f t="shared" si="198"/>
        <v/>
      </c>
      <c r="AM536" s="73" t="str">
        <f t="shared" si="199"/>
        <v/>
      </c>
      <c r="AN536" s="73" t="str">
        <f t="shared" si="200"/>
        <v/>
      </c>
      <c r="AP536" s="61" t="str">
        <f t="shared" si="201"/>
        <v/>
      </c>
      <c r="AQ536" s="61" t="str">
        <f t="shared" si="202"/>
        <v/>
      </c>
      <c r="AR536" s="61" t="str">
        <f t="shared" si="203"/>
        <v/>
      </c>
    </row>
    <row r="537" spans="16:44" x14ac:dyDescent="0.25">
      <c r="P537" s="73" t="str">
        <f t="shared" si="184"/>
        <v/>
      </c>
      <c r="Q537" s="73" t="str">
        <f t="shared" si="185"/>
        <v/>
      </c>
      <c r="R537" s="74" t="str">
        <f t="shared" si="186"/>
        <v/>
      </c>
      <c r="S537" s="74" t="str">
        <f t="shared" si="187"/>
        <v/>
      </c>
      <c r="U537" s="74" t="str">
        <f t="shared" si="183"/>
        <v/>
      </c>
      <c r="V537" s="74" t="str">
        <f t="shared" si="183"/>
        <v/>
      </c>
      <c r="W537" s="74" t="str">
        <f t="shared" si="183"/>
        <v/>
      </c>
      <c r="X537" s="74" t="str">
        <f t="shared" si="183"/>
        <v/>
      </c>
      <c r="Y537" s="74" t="str">
        <f t="shared" si="183"/>
        <v/>
      </c>
      <c r="Z537" s="74" t="str">
        <f t="shared" si="188"/>
        <v/>
      </c>
      <c r="AA537" s="74">
        <f t="shared" si="189"/>
        <v>0</v>
      </c>
      <c r="AB537" s="74">
        <f t="shared" si="190"/>
        <v>0</v>
      </c>
      <c r="AC537" s="74" t="str">
        <f t="shared" si="191"/>
        <v/>
      </c>
      <c r="AE537" s="74" t="str">
        <f t="shared" si="192"/>
        <v/>
      </c>
      <c r="AF537" s="74" t="str">
        <f t="shared" si="193"/>
        <v/>
      </c>
      <c r="AG537" s="74" t="str">
        <f t="shared" si="194"/>
        <v/>
      </c>
      <c r="AH537" s="74">
        <f t="shared" si="195"/>
        <v>0</v>
      </c>
      <c r="AI537" s="74" t="str">
        <f>IF(AH537&lt;&gt;0,COUNTIF(AH$3:AH537,1),"")</f>
        <v/>
      </c>
      <c r="AJ537" s="74">
        <f t="shared" si="196"/>
        <v>0</v>
      </c>
      <c r="AK537" s="73" t="str">
        <f t="shared" si="197"/>
        <v/>
      </c>
      <c r="AL537" s="73" t="str">
        <f t="shared" si="198"/>
        <v/>
      </c>
      <c r="AM537" s="73" t="str">
        <f t="shared" si="199"/>
        <v/>
      </c>
      <c r="AN537" s="73" t="str">
        <f t="shared" si="200"/>
        <v/>
      </c>
      <c r="AP537" s="61" t="str">
        <f t="shared" si="201"/>
        <v/>
      </c>
      <c r="AQ537" s="61" t="str">
        <f t="shared" si="202"/>
        <v/>
      </c>
      <c r="AR537" s="61" t="str">
        <f t="shared" si="203"/>
        <v/>
      </c>
    </row>
    <row r="538" spans="16:44" x14ac:dyDescent="0.25">
      <c r="P538" s="73" t="str">
        <f t="shared" si="184"/>
        <v/>
      </c>
      <c r="Q538" s="73" t="str">
        <f t="shared" si="185"/>
        <v/>
      </c>
      <c r="R538" s="74" t="str">
        <f t="shared" si="186"/>
        <v/>
      </c>
      <c r="S538" s="74" t="str">
        <f t="shared" si="187"/>
        <v/>
      </c>
      <c r="U538" s="74" t="str">
        <f t="shared" si="183"/>
        <v/>
      </c>
      <c r="V538" s="74" t="str">
        <f t="shared" si="183"/>
        <v/>
      </c>
      <c r="W538" s="74" t="str">
        <f t="shared" si="183"/>
        <v/>
      </c>
      <c r="X538" s="74" t="str">
        <f t="shared" si="183"/>
        <v/>
      </c>
      <c r="Y538" s="74" t="str">
        <f t="shared" si="183"/>
        <v/>
      </c>
      <c r="Z538" s="74" t="str">
        <f t="shared" si="188"/>
        <v/>
      </c>
      <c r="AA538" s="74">
        <f t="shared" si="189"/>
        <v>0</v>
      </c>
      <c r="AB538" s="74">
        <f t="shared" si="190"/>
        <v>0</v>
      </c>
      <c r="AC538" s="74" t="str">
        <f t="shared" si="191"/>
        <v/>
      </c>
      <c r="AE538" s="74" t="str">
        <f t="shared" si="192"/>
        <v/>
      </c>
      <c r="AF538" s="74" t="str">
        <f t="shared" si="193"/>
        <v/>
      </c>
      <c r="AG538" s="74" t="str">
        <f t="shared" si="194"/>
        <v/>
      </c>
      <c r="AH538" s="74">
        <f t="shared" si="195"/>
        <v>0</v>
      </c>
      <c r="AI538" s="74" t="str">
        <f>IF(AH538&lt;&gt;0,COUNTIF(AH$3:AH538,1),"")</f>
        <v/>
      </c>
      <c r="AJ538" s="74">
        <f t="shared" si="196"/>
        <v>0</v>
      </c>
      <c r="AK538" s="73" t="str">
        <f t="shared" si="197"/>
        <v/>
      </c>
      <c r="AL538" s="73" t="str">
        <f t="shared" si="198"/>
        <v/>
      </c>
      <c r="AM538" s="73" t="str">
        <f t="shared" si="199"/>
        <v/>
      </c>
      <c r="AN538" s="73" t="str">
        <f t="shared" si="200"/>
        <v/>
      </c>
      <c r="AP538" s="61" t="str">
        <f t="shared" si="201"/>
        <v/>
      </c>
      <c r="AQ538" s="61" t="str">
        <f t="shared" si="202"/>
        <v/>
      </c>
      <c r="AR538" s="61" t="str">
        <f t="shared" si="203"/>
        <v/>
      </c>
    </row>
    <row r="539" spans="16:44" x14ac:dyDescent="0.25">
      <c r="P539" s="73" t="str">
        <f t="shared" si="184"/>
        <v/>
      </c>
      <c r="Q539" s="73" t="str">
        <f t="shared" si="185"/>
        <v/>
      </c>
      <c r="R539" s="74" t="str">
        <f t="shared" si="186"/>
        <v/>
      </c>
      <c r="S539" s="74" t="str">
        <f t="shared" si="187"/>
        <v/>
      </c>
      <c r="U539" s="74" t="str">
        <f t="shared" si="183"/>
        <v/>
      </c>
      <c r="V539" s="74" t="str">
        <f t="shared" si="183"/>
        <v/>
      </c>
      <c r="W539" s="74" t="str">
        <f t="shared" si="183"/>
        <v/>
      </c>
      <c r="X539" s="74" t="str">
        <f t="shared" si="183"/>
        <v/>
      </c>
      <c r="Y539" s="74" t="str">
        <f t="shared" si="183"/>
        <v/>
      </c>
      <c r="Z539" s="74" t="str">
        <f t="shared" si="188"/>
        <v/>
      </c>
      <c r="AA539" s="74">
        <f t="shared" si="189"/>
        <v>0</v>
      </c>
      <c r="AB539" s="74">
        <f t="shared" si="190"/>
        <v>0</v>
      </c>
      <c r="AC539" s="74" t="str">
        <f t="shared" si="191"/>
        <v/>
      </c>
      <c r="AE539" s="74" t="str">
        <f t="shared" si="192"/>
        <v/>
      </c>
      <c r="AF539" s="74" t="str">
        <f t="shared" si="193"/>
        <v/>
      </c>
      <c r="AG539" s="74" t="str">
        <f t="shared" si="194"/>
        <v/>
      </c>
      <c r="AH539" s="74">
        <f t="shared" si="195"/>
        <v>0</v>
      </c>
      <c r="AI539" s="74" t="str">
        <f>IF(AH539&lt;&gt;0,COUNTIF(AH$3:AH539,1),"")</f>
        <v/>
      </c>
      <c r="AJ539" s="74">
        <f t="shared" si="196"/>
        <v>0</v>
      </c>
      <c r="AK539" s="73" t="str">
        <f t="shared" si="197"/>
        <v/>
      </c>
      <c r="AL539" s="73" t="str">
        <f t="shared" si="198"/>
        <v/>
      </c>
      <c r="AM539" s="73" t="str">
        <f t="shared" si="199"/>
        <v/>
      </c>
      <c r="AN539" s="73" t="str">
        <f t="shared" si="200"/>
        <v/>
      </c>
      <c r="AP539" s="61" t="str">
        <f t="shared" si="201"/>
        <v/>
      </c>
      <c r="AQ539" s="61" t="str">
        <f t="shared" si="202"/>
        <v/>
      </c>
      <c r="AR539" s="61" t="str">
        <f t="shared" si="203"/>
        <v/>
      </c>
    </row>
    <row r="540" spans="16:44" x14ac:dyDescent="0.25">
      <c r="P540" s="73" t="str">
        <f t="shared" si="184"/>
        <v/>
      </c>
      <c r="Q540" s="73" t="str">
        <f t="shared" si="185"/>
        <v/>
      </c>
      <c r="R540" s="74" t="str">
        <f t="shared" si="186"/>
        <v/>
      </c>
      <c r="S540" s="74" t="str">
        <f t="shared" si="187"/>
        <v/>
      </c>
      <c r="U540" s="74" t="str">
        <f t="shared" si="183"/>
        <v/>
      </c>
      <c r="V540" s="74" t="str">
        <f t="shared" si="183"/>
        <v/>
      </c>
      <c r="W540" s="74" t="str">
        <f t="shared" si="183"/>
        <v/>
      </c>
      <c r="X540" s="74" t="str">
        <f t="shared" si="183"/>
        <v/>
      </c>
      <c r="Y540" s="74" t="str">
        <f t="shared" si="183"/>
        <v/>
      </c>
      <c r="Z540" s="74" t="str">
        <f t="shared" si="188"/>
        <v/>
      </c>
      <c r="AA540" s="74">
        <f t="shared" si="189"/>
        <v>0</v>
      </c>
      <c r="AB540" s="74">
        <f t="shared" si="190"/>
        <v>0</v>
      </c>
      <c r="AC540" s="74" t="str">
        <f t="shared" si="191"/>
        <v/>
      </c>
      <c r="AE540" s="74" t="str">
        <f t="shared" si="192"/>
        <v/>
      </c>
      <c r="AF540" s="74" t="str">
        <f t="shared" si="193"/>
        <v/>
      </c>
      <c r="AG540" s="74" t="str">
        <f t="shared" si="194"/>
        <v/>
      </c>
      <c r="AH540" s="74">
        <f t="shared" si="195"/>
        <v>0</v>
      </c>
      <c r="AI540" s="74" t="str">
        <f>IF(AH540&lt;&gt;0,COUNTIF(AH$3:AH540,1),"")</f>
        <v/>
      </c>
      <c r="AJ540" s="74">
        <f t="shared" si="196"/>
        <v>0</v>
      </c>
      <c r="AK540" s="73" t="str">
        <f t="shared" si="197"/>
        <v/>
      </c>
      <c r="AL540" s="73" t="str">
        <f t="shared" si="198"/>
        <v/>
      </c>
      <c r="AM540" s="73" t="str">
        <f t="shared" si="199"/>
        <v/>
      </c>
      <c r="AN540" s="73" t="str">
        <f t="shared" si="200"/>
        <v/>
      </c>
      <c r="AP540" s="61" t="str">
        <f t="shared" si="201"/>
        <v/>
      </c>
      <c r="AQ540" s="61" t="str">
        <f t="shared" si="202"/>
        <v/>
      </c>
      <c r="AR540" s="61" t="str">
        <f t="shared" si="203"/>
        <v/>
      </c>
    </row>
    <row r="541" spans="16:44" x14ac:dyDescent="0.25">
      <c r="P541" s="73" t="str">
        <f t="shared" si="184"/>
        <v/>
      </c>
      <c r="Q541" s="73" t="str">
        <f t="shared" si="185"/>
        <v/>
      </c>
      <c r="R541" s="74" t="str">
        <f t="shared" si="186"/>
        <v/>
      </c>
      <c r="S541" s="74" t="str">
        <f t="shared" si="187"/>
        <v/>
      </c>
      <c r="U541" s="74" t="str">
        <f t="shared" si="183"/>
        <v/>
      </c>
      <c r="V541" s="74" t="str">
        <f t="shared" si="183"/>
        <v/>
      </c>
      <c r="W541" s="74" t="str">
        <f t="shared" si="183"/>
        <v/>
      </c>
      <c r="X541" s="74" t="str">
        <f t="shared" si="183"/>
        <v/>
      </c>
      <c r="Y541" s="74" t="str">
        <f t="shared" si="183"/>
        <v/>
      </c>
      <c r="Z541" s="74" t="str">
        <f t="shared" si="188"/>
        <v/>
      </c>
      <c r="AA541" s="74">
        <f t="shared" si="189"/>
        <v>0</v>
      </c>
      <c r="AB541" s="74">
        <f t="shared" si="190"/>
        <v>0</v>
      </c>
      <c r="AC541" s="74" t="str">
        <f t="shared" si="191"/>
        <v/>
      </c>
      <c r="AE541" s="74" t="str">
        <f t="shared" si="192"/>
        <v/>
      </c>
      <c r="AF541" s="74" t="str">
        <f t="shared" si="193"/>
        <v/>
      </c>
      <c r="AG541" s="74" t="str">
        <f t="shared" si="194"/>
        <v/>
      </c>
      <c r="AH541" s="74">
        <f t="shared" si="195"/>
        <v>0</v>
      </c>
      <c r="AI541" s="74" t="str">
        <f>IF(AH541&lt;&gt;0,COUNTIF(AH$3:AH541,1),"")</f>
        <v/>
      </c>
      <c r="AJ541" s="74">
        <f t="shared" si="196"/>
        <v>0</v>
      </c>
      <c r="AK541" s="73" t="str">
        <f t="shared" si="197"/>
        <v/>
      </c>
      <c r="AL541" s="73" t="str">
        <f t="shared" si="198"/>
        <v/>
      </c>
      <c r="AM541" s="73" t="str">
        <f t="shared" si="199"/>
        <v/>
      </c>
      <c r="AN541" s="73" t="str">
        <f t="shared" si="200"/>
        <v/>
      </c>
      <c r="AP541" s="61" t="str">
        <f t="shared" si="201"/>
        <v/>
      </c>
      <c r="AQ541" s="61" t="str">
        <f t="shared" si="202"/>
        <v/>
      </c>
      <c r="AR541" s="61" t="str">
        <f t="shared" si="203"/>
        <v/>
      </c>
    </row>
    <row r="542" spans="16:44" x14ac:dyDescent="0.25">
      <c r="P542" s="73" t="str">
        <f t="shared" si="184"/>
        <v/>
      </c>
      <c r="Q542" s="73" t="str">
        <f t="shared" si="185"/>
        <v/>
      </c>
      <c r="R542" s="74" t="str">
        <f t="shared" si="186"/>
        <v/>
      </c>
      <c r="S542" s="74" t="str">
        <f t="shared" si="187"/>
        <v/>
      </c>
      <c r="U542" s="74" t="str">
        <f t="shared" si="183"/>
        <v/>
      </c>
      <c r="V542" s="74" t="str">
        <f t="shared" si="183"/>
        <v/>
      </c>
      <c r="W542" s="74" t="str">
        <f t="shared" si="183"/>
        <v/>
      </c>
      <c r="X542" s="74" t="str">
        <f t="shared" si="183"/>
        <v/>
      </c>
      <c r="Y542" s="74" t="str">
        <f t="shared" si="183"/>
        <v/>
      </c>
      <c r="Z542" s="74" t="str">
        <f t="shared" si="188"/>
        <v/>
      </c>
      <c r="AA542" s="74">
        <f t="shared" si="189"/>
        <v>0</v>
      </c>
      <c r="AB542" s="74">
        <f t="shared" si="190"/>
        <v>0</v>
      </c>
      <c r="AC542" s="74" t="str">
        <f t="shared" si="191"/>
        <v/>
      </c>
      <c r="AE542" s="74" t="str">
        <f t="shared" si="192"/>
        <v/>
      </c>
      <c r="AF542" s="74" t="str">
        <f t="shared" si="193"/>
        <v/>
      </c>
      <c r="AG542" s="74" t="str">
        <f t="shared" si="194"/>
        <v/>
      </c>
      <c r="AH542" s="74">
        <f t="shared" si="195"/>
        <v>0</v>
      </c>
      <c r="AI542" s="74" t="str">
        <f>IF(AH542&lt;&gt;0,COUNTIF(AH$3:AH542,1),"")</f>
        <v/>
      </c>
      <c r="AJ542" s="74">
        <f t="shared" si="196"/>
        <v>0</v>
      </c>
      <c r="AK542" s="73" t="str">
        <f t="shared" si="197"/>
        <v/>
      </c>
      <c r="AL542" s="73" t="str">
        <f t="shared" si="198"/>
        <v/>
      </c>
      <c r="AM542" s="73" t="str">
        <f t="shared" si="199"/>
        <v/>
      </c>
      <c r="AN542" s="73" t="str">
        <f t="shared" si="200"/>
        <v/>
      </c>
      <c r="AP542" s="61" t="str">
        <f t="shared" si="201"/>
        <v/>
      </c>
      <c r="AQ542" s="61" t="str">
        <f t="shared" si="202"/>
        <v/>
      </c>
      <c r="AR542" s="61" t="str">
        <f t="shared" si="203"/>
        <v/>
      </c>
    </row>
    <row r="543" spans="16:44" x14ac:dyDescent="0.25">
      <c r="P543" s="73" t="str">
        <f t="shared" si="184"/>
        <v/>
      </c>
      <c r="Q543" s="73" t="str">
        <f t="shared" si="185"/>
        <v/>
      </c>
      <c r="R543" s="74" t="str">
        <f t="shared" si="186"/>
        <v/>
      </c>
      <c r="S543" s="74" t="str">
        <f t="shared" si="187"/>
        <v/>
      </c>
      <c r="U543" s="74" t="str">
        <f t="shared" si="183"/>
        <v/>
      </c>
      <c r="V543" s="74" t="str">
        <f t="shared" si="183"/>
        <v/>
      </c>
      <c r="W543" s="74" t="str">
        <f t="shared" si="183"/>
        <v/>
      </c>
      <c r="X543" s="74" t="str">
        <f t="shared" si="183"/>
        <v/>
      </c>
      <c r="Y543" s="74" t="str">
        <f t="shared" si="183"/>
        <v/>
      </c>
      <c r="Z543" s="74" t="str">
        <f t="shared" si="188"/>
        <v/>
      </c>
      <c r="AA543" s="74">
        <f t="shared" si="189"/>
        <v>0</v>
      </c>
      <c r="AB543" s="74">
        <f t="shared" si="190"/>
        <v>0</v>
      </c>
      <c r="AC543" s="74" t="str">
        <f t="shared" si="191"/>
        <v/>
      </c>
      <c r="AE543" s="74" t="str">
        <f t="shared" si="192"/>
        <v/>
      </c>
      <c r="AF543" s="74" t="str">
        <f t="shared" si="193"/>
        <v/>
      </c>
      <c r="AG543" s="74" t="str">
        <f t="shared" si="194"/>
        <v/>
      </c>
      <c r="AH543" s="74">
        <f t="shared" si="195"/>
        <v>0</v>
      </c>
      <c r="AI543" s="74" t="str">
        <f>IF(AH543&lt;&gt;0,COUNTIF(AH$3:AH543,1),"")</f>
        <v/>
      </c>
      <c r="AJ543" s="74">
        <f t="shared" si="196"/>
        <v>0</v>
      </c>
      <c r="AK543" s="73" t="str">
        <f t="shared" si="197"/>
        <v/>
      </c>
      <c r="AL543" s="73" t="str">
        <f t="shared" si="198"/>
        <v/>
      </c>
      <c r="AM543" s="73" t="str">
        <f t="shared" si="199"/>
        <v/>
      </c>
      <c r="AN543" s="73" t="str">
        <f t="shared" si="200"/>
        <v/>
      </c>
      <c r="AP543" s="61" t="str">
        <f t="shared" si="201"/>
        <v/>
      </c>
      <c r="AQ543" s="61" t="str">
        <f t="shared" si="202"/>
        <v/>
      </c>
      <c r="AR543" s="61" t="str">
        <f t="shared" si="203"/>
        <v/>
      </c>
    </row>
    <row r="544" spans="16:44" x14ac:dyDescent="0.25">
      <c r="P544" s="73" t="str">
        <f t="shared" si="184"/>
        <v/>
      </c>
      <c r="Q544" s="73" t="str">
        <f t="shared" si="185"/>
        <v/>
      </c>
      <c r="R544" s="74" t="str">
        <f t="shared" si="186"/>
        <v/>
      </c>
      <c r="S544" s="74" t="str">
        <f t="shared" si="187"/>
        <v/>
      </c>
      <c r="U544" s="74" t="str">
        <f t="shared" si="183"/>
        <v/>
      </c>
      <c r="V544" s="74" t="str">
        <f t="shared" si="183"/>
        <v/>
      </c>
      <c r="W544" s="74" t="str">
        <f t="shared" si="183"/>
        <v/>
      </c>
      <c r="X544" s="74" t="str">
        <f t="shared" si="183"/>
        <v/>
      </c>
      <c r="Y544" s="74" t="str">
        <f t="shared" si="183"/>
        <v/>
      </c>
      <c r="Z544" s="74" t="str">
        <f t="shared" si="188"/>
        <v/>
      </c>
      <c r="AA544" s="74">
        <f t="shared" si="189"/>
        <v>0</v>
      </c>
      <c r="AB544" s="74">
        <f t="shared" si="190"/>
        <v>0</v>
      </c>
      <c r="AC544" s="74" t="str">
        <f t="shared" si="191"/>
        <v/>
      </c>
      <c r="AE544" s="74" t="str">
        <f t="shared" si="192"/>
        <v/>
      </c>
      <c r="AF544" s="74" t="str">
        <f t="shared" si="193"/>
        <v/>
      </c>
      <c r="AG544" s="74" t="str">
        <f t="shared" si="194"/>
        <v/>
      </c>
      <c r="AH544" s="74">
        <f t="shared" si="195"/>
        <v>0</v>
      </c>
      <c r="AI544" s="74" t="str">
        <f>IF(AH544&lt;&gt;0,COUNTIF(AH$3:AH544,1),"")</f>
        <v/>
      </c>
      <c r="AJ544" s="74">
        <f t="shared" si="196"/>
        <v>0</v>
      </c>
      <c r="AK544" s="73" t="str">
        <f t="shared" si="197"/>
        <v/>
      </c>
      <c r="AL544" s="73" t="str">
        <f t="shared" si="198"/>
        <v/>
      </c>
      <c r="AM544" s="73" t="str">
        <f t="shared" si="199"/>
        <v/>
      </c>
      <c r="AN544" s="73" t="str">
        <f t="shared" si="200"/>
        <v/>
      </c>
      <c r="AP544" s="61" t="str">
        <f t="shared" si="201"/>
        <v/>
      </c>
      <c r="AQ544" s="61" t="str">
        <f t="shared" si="202"/>
        <v/>
      </c>
      <c r="AR544" s="61" t="str">
        <f t="shared" si="203"/>
        <v/>
      </c>
    </row>
    <row r="545" spans="16:44" x14ac:dyDescent="0.25">
      <c r="P545" s="73" t="str">
        <f t="shared" si="184"/>
        <v/>
      </c>
      <c r="Q545" s="73" t="str">
        <f t="shared" si="185"/>
        <v/>
      </c>
      <c r="R545" s="74" t="str">
        <f t="shared" si="186"/>
        <v/>
      </c>
      <c r="S545" s="74" t="str">
        <f t="shared" si="187"/>
        <v/>
      </c>
      <c r="U545" s="74" t="str">
        <f t="shared" si="183"/>
        <v/>
      </c>
      <c r="V545" s="74" t="str">
        <f t="shared" si="183"/>
        <v/>
      </c>
      <c r="W545" s="74" t="str">
        <f t="shared" si="183"/>
        <v/>
      </c>
      <c r="X545" s="74" t="str">
        <f t="shared" si="183"/>
        <v/>
      </c>
      <c r="Y545" s="74" t="str">
        <f t="shared" si="183"/>
        <v/>
      </c>
      <c r="Z545" s="74" t="str">
        <f t="shared" si="188"/>
        <v/>
      </c>
      <c r="AA545" s="74">
        <f t="shared" si="189"/>
        <v>0</v>
      </c>
      <c r="AB545" s="74">
        <f t="shared" si="190"/>
        <v>0</v>
      </c>
      <c r="AC545" s="74" t="str">
        <f t="shared" si="191"/>
        <v/>
      </c>
      <c r="AE545" s="74" t="str">
        <f t="shared" si="192"/>
        <v/>
      </c>
      <c r="AF545" s="74" t="str">
        <f t="shared" si="193"/>
        <v/>
      </c>
      <c r="AG545" s="74" t="str">
        <f t="shared" si="194"/>
        <v/>
      </c>
      <c r="AH545" s="74">
        <f t="shared" si="195"/>
        <v>0</v>
      </c>
      <c r="AI545" s="74" t="str">
        <f>IF(AH545&lt;&gt;0,COUNTIF(AH$3:AH545,1),"")</f>
        <v/>
      </c>
      <c r="AJ545" s="74">
        <f t="shared" si="196"/>
        <v>0</v>
      </c>
      <c r="AK545" s="73" t="str">
        <f t="shared" si="197"/>
        <v/>
      </c>
      <c r="AL545" s="73" t="str">
        <f t="shared" si="198"/>
        <v/>
      </c>
      <c r="AM545" s="73" t="str">
        <f t="shared" si="199"/>
        <v/>
      </c>
      <c r="AN545" s="73" t="str">
        <f t="shared" si="200"/>
        <v/>
      </c>
      <c r="AP545" s="61" t="str">
        <f t="shared" si="201"/>
        <v/>
      </c>
      <c r="AQ545" s="61" t="str">
        <f t="shared" si="202"/>
        <v/>
      </c>
      <c r="AR545" s="61" t="str">
        <f t="shared" si="203"/>
        <v/>
      </c>
    </row>
    <row r="546" spans="16:44" x14ac:dyDescent="0.25">
      <c r="P546" s="73" t="str">
        <f t="shared" si="184"/>
        <v/>
      </c>
      <c r="Q546" s="73" t="str">
        <f t="shared" si="185"/>
        <v/>
      </c>
      <c r="R546" s="74" t="str">
        <f t="shared" si="186"/>
        <v/>
      </c>
      <c r="S546" s="74" t="str">
        <f t="shared" si="187"/>
        <v/>
      </c>
      <c r="U546" s="74" t="str">
        <f t="shared" si="183"/>
        <v/>
      </c>
      <c r="V546" s="74" t="str">
        <f t="shared" si="183"/>
        <v/>
      </c>
      <c r="W546" s="74" t="str">
        <f t="shared" si="183"/>
        <v/>
      </c>
      <c r="X546" s="74" t="str">
        <f t="shared" si="183"/>
        <v/>
      </c>
      <c r="Y546" s="74" t="str">
        <f t="shared" si="183"/>
        <v/>
      </c>
      <c r="Z546" s="74" t="str">
        <f t="shared" si="188"/>
        <v/>
      </c>
      <c r="AA546" s="74">
        <f t="shared" si="189"/>
        <v>0</v>
      </c>
      <c r="AB546" s="74">
        <f t="shared" si="190"/>
        <v>0</v>
      </c>
      <c r="AC546" s="74" t="str">
        <f t="shared" si="191"/>
        <v/>
      </c>
      <c r="AE546" s="74" t="str">
        <f t="shared" si="192"/>
        <v/>
      </c>
      <c r="AF546" s="74" t="str">
        <f t="shared" si="193"/>
        <v/>
      </c>
      <c r="AG546" s="74" t="str">
        <f t="shared" si="194"/>
        <v/>
      </c>
      <c r="AH546" s="74">
        <f t="shared" si="195"/>
        <v>0</v>
      </c>
      <c r="AI546" s="74" t="str">
        <f>IF(AH546&lt;&gt;0,COUNTIF(AH$3:AH546,1),"")</f>
        <v/>
      </c>
      <c r="AJ546" s="74">
        <f t="shared" si="196"/>
        <v>0</v>
      </c>
      <c r="AK546" s="73" t="str">
        <f t="shared" si="197"/>
        <v/>
      </c>
      <c r="AL546" s="73" t="str">
        <f t="shared" si="198"/>
        <v/>
      </c>
      <c r="AM546" s="73" t="str">
        <f t="shared" si="199"/>
        <v/>
      </c>
      <c r="AN546" s="73" t="str">
        <f t="shared" si="200"/>
        <v/>
      </c>
      <c r="AP546" s="61" t="str">
        <f t="shared" si="201"/>
        <v/>
      </c>
      <c r="AQ546" s="61" t="str">
        <f t="shared" si="202"/>
        <v/>
      </c>
      <c r="AR546" s="61" t="str">
        <f t="shared" si="203"/>
        <v/>
      </c>
    </row>
    <row r="547" spans="16:44" x14ac:dyDescent="0.25">
      <c r="P547" s="73" t="str">
        <f t="shared" si="184"/>
        <v/>
      </c>
      <c r="Q547" s="73" t="str">
        <f t="shared" si="185"/>
        <v/>
      </c>
      <c r="R547" s="74" t="str">
        <f t="shared" si="186"/>
        <v/>
      </c>
      <c r="S547" s="74" t="str">
        <f t="shared" si="187"/>
        <v/>
      </c>
      <c r="U547" s="74" t="str">
        <f t="shared" ref="U547:Y597" si="204">IF($F547=U$1,$E547,"")</f>
        <v/>
      </c>
      <c r="V547" s="74" t="str">
        <f t="shared" si="204"/>
        <v/>
      </c>
      <c r="W547" s="74" t="str">
        <f t="shared" si="204"/>
        <v/>
      </c>
      <c r="X547" s="74" t="str">
        <f t="shared" si="204"/>
        <v/>
      </c>
      <c r="Y547" s="74" t="str">
        <f t="shared" si="204"/>
        <v/>
      </c>
      <c r="Z547" s="74" t="str">
        <f t="shared" si="188"/>
        <v/>
      </c>
      <c r="AA547" s="74">
        <f t="shared" si="189"/>
        <v>0</v>
      </c>
      <c r="AB547" s="74">
        <f t="shared" si="190"/>
        <v>0</v>
      </c>
      <c r="AC547" s="74" t="str">
        <f t="shared" si="191"/>
        <v/>
      </c>
      <c r="AE547" s="74" t="str">
        <f t="shared" si="192"/>
        <v/>
      </c>
      <c r="AF547" s="74" t="str">
        <f t="shared" si="193"/>
        <v/>
      </c>
      <c r="AG547" s="74" t="str">
        <f t="shared" si="194"/>
        <v/>
      </c>
      <c r="AH547" s="74">
        <f t="shared" si="195"/>
        <v>0</v>
      </c>
      <c r="AI547" s="74" t="str">
        <f>IF(AH547&lt;&gt;0,COUNTIF(AH$3:AH547,1),"")</f>
        <v/>
      </c>
      <c r="AJ547" s="74">
        <f t="shared" si="196"/>
        <v>0</v>
      </c>
      <c r="AK547" s="73" t="str">
        <f t="shared" si="197"/>
        <v/>
      </c>
      <c r="AL547" s="73" t="str">
        <f t="shared" si="198"/>
        <v/>
      </c>
      <c r="AM547" s="73" t="str">
        <f t="shared" si="199"/>
        <v/>
      </c>
      <c r="AN547" s="73" t="str">
        <f t="shared" si="200"/>
        <v/>
      </c>
      <c r="AP547" s="61" t="str">
        <f t="shared" si="201"/>
        <v/>
      </c>
      <c r="AQ547" s="61" t="str">
        <f t="shared" si="202"/>
        <v/>
      </c>
      <c r="AR547" s="61" t="str">
        <f t="shared" si="203"/>
        <v/>
      </c>
    </row>
    <row r="548" spans="16:44" x14ac:dyDescent="0.25">
      <c r="P548" s="73" t="str">
        <f t="shared" si="184"/>
        <v/>
      </c>
      <c r="Q548" s="73" t="str">
        <f t="shared" si="185"/>
        <v/>
      </c>
      <c r="R548" s="74" t="str">
        <f t="shared" si="186"/>
        <v/>
      </c>
      <c r="S548" s="74" t="str">
        <f t="shared" si="187"/>
        <v/>
      </c>
      <c r="U548" s="74" t="str">
        <f t="shared" si="204"/>
        <v/>
      </c>
      <c r="V548" s="74" t="str">
        <f t="shared" si="204"/>
        <v/>
      </c>
      <c r="W548" s="74" t="str">
        <f t="shared" si="204"/>
        <v/>
      </c>
      <c r="X548" s="74" t="str">
        <f t="shared" si="204"/>
        <v/>
      </c>
      <c r="Y548" s="74" t="str">
        <f t="shared" si="204"/>
        <v/>
      </c>
      <c r="Z548" s="74" t="str">
        <f t="shared" si="188"/>
        <v/>
      </c>
      <c r="AA548" s="74">
        <f t="shared" si="189"/>
        <v>0</v>
      </c>
      <c r="AB548" s="74">
        <f t="shared" si="190"/>
        <v>0</v>
      </c>
      <c r="AC548" s="74" t="str">
        <f t="shared" si="191"/>
        <v/>
      </c>
      <c r="AE548" s="74" t="str">
        <f t="shared" si="192"/>
        <v/>
      </c>
      <c r="AF548" s="74" t="str">
        <f t="shared" si="193"/>
        <v/>
      </c>
      <c r="AG548" s="74" t="str">
        <f t="shared" si="194"/>
        <v/>
      </c>
      <c r="AH548" s="74">
        <f t="shared" si="195"/>
        <v>0</v>
      </c>
      <c r="AI548" s="74" t="str">
        <f>IF(AH548&lt;&gt;0,COUNTIF(AH$3:AH548,1),"")</f>
        <v/>
      </c>
      <c r="AJ548" s="74">
        <f t="shared" si="196"/>
        <v>0</v>
      </c>
      <c r="AK548" s="73" t="str">
        <f t="shared" si="197"/>
        <v/>
      </c>
      <c r="AL548" s="73" t="str">
        <f t="shared" si="198"/>
        <v/>
      </c>
      <c r="AM548" s="73" t="str">
        <f t="shared" si="199"/>
        <v/>
      </c>
      <c r="AN548" s="73" t="str">
        <f t="shared" si="200"/>
        <v/>
      </c>
      <c r="AP548" s="61" t="str">
        <f t="shared" si="201"/>
        <v/>
      </c>
      <c r="AQ548" s="61" t="str">
        <f t="shared" si="202"/>
        <v/>
      </c>
      <c r="AR548" s="61" t="str">
        <f t="shared" si="203"/>
        <v/>
      </c>
    </row>
    <row r="549" spans="16:44" x14ac:dyDescent="0.25">
      <c r="P549" s="73" t="str">
        <f t="shared" si="184"/>
        <v/>
      </c>
      <c r="Q549" s="73" t="str">
        <f t="shared" si="185"/>
        <v/>
      </c>
      <c r="R549" s="74" t="str">
        <f t="shared" si="186"/>
        <v/>
      </c>
      <c r="S549" s="74" t="str">
        <f t="shared" si="187"/>
        <v/>
      </c>
      <c r="U549" s="74" t="str">
        <f t="shared" si="204"/>
        <v/>
      </c>
      <c r="V549" s="74" t="str">
        <f t="shared" si="204"/>
        <v/>
      </c>
      <c r="W549" s="74" t="str">
        <f t="shared" si="204"/>
        <v/>
      </c>
      <c r="X549" s="74" t="str">
        <f t="shared" si="204"/>
        <v/>
      </c>
      <c r="Y549" s="74" t="str">
        <f t="shared" si="204"/>
        <v/>
      </c>
      <c r="Z549" s="74" t="str">
        <f t="shared" si="188"/>
        <v/>
      </c>
      <c r="AA549" s="74">
        <f t="shared" si="189"/>
        <v>0</v>
      </c>
      <c r="AB549" s="74">
        <f t="shared" si="190"/>
        <v>0</v>
      </c>
      <c r="AC549" s="74" t="str">
        <f t="shared" si="191"/>
        <v/>
      </c>
      <c r="AE549" s="74" t="str">
        <f t="shared" si="192"/>
        <v/>
      </c>
      <c r="AF549" s="74" t="str">
        <f t="shared" si="193"/>
        <v/>
      </c>
      <c r="AG549" s="74" t="str">
        <f t="shared" si="194"/>
        <v/>
      </c>
      <c r="AH549" s="74">
        <f t="shared" si="195"/>
        <v>0</v>
      </c>
      <c r="AI549" s="74" t="str">
        <f>IF(AH549&lt;&gt;0,COUNTIF(AH$3:AH549,1),"")</f>
        <v/>
      </c>
      <c r="AJ549" s="74">
        <f t="shared" si="196"/>
        <v>0</v>
      </c>
      <c r="AK549" s="73" t="str">
        <f t="shared" si="197"/>
        <v/>
      </c>
      <c r="AL549" s="73" t="str">
        <f t="shared" si="198"/>
        <v/>
      </c>
      <c r="AM549" s="73" t="str">
        <f t="shared" si="199"/>
        <v/>
      </c>
      <c r="AN549" s="73" t="str">
        <f t="shared" si="200"/>
        <v/>
      </c>
      <c r="AP549" s="61" t="str">
        <f t="shared" si="201"/>
        <v/>
      </c>
      <c r="AQ549" s="61" t="str">
        <f t="shared" si="202"/>
        <v/>
      </c>
      <c r="AR549" s="61" t="str">
        <f t="shared" si="203"/>
        <v/>
      </c>
    </row>
    <row r="550" spans="16:44" x14ac:dyDescent="0.25">
      <c r="P550" s="73" t="str">
        <f t="shared" si="184"/>
        <v/>
      </c>
      <c r="Q550" s="73" t="str">
        <f t="shared" si="185"/>
        <v/>
      </c>
      <c r="R550" s="74" t="str">
        <f t="shared" si="186"/>
        <v/>
      </c>
      <c r="S550" s="74" t="str">
        <f t="shared" si="187"/>
        <v/>
      </c>
      <c r="U550" s="74" t="str">
        <f t="shared" si="204"/>
        <v/>
      </c>
      <c r="V550" s="74" t="str">
        <f t="shared" si="204"/>
        <v/>
      </c>
      <c r="W550" s="74" t="str">
        <f t="shared" si="204"/>
        <v/>
      </c>
      <c r="X550" s="74" t="str">
        <f t="shared" si="204"/>
        <v/>
      </c>
      <c r="Y550" s="74" t="str">
        <f t="shared" si="204"/>
        <v/>
      </c>
      <c r="Z550" s="74" t="str">
        <f t="shared" si="188"/>
        <v/>
      </c>
      <c r="AA550" s="74">
        <f t="shared" si="189"/>
        <v>0</v>
      </c>
      <c r="AB550" s="74">
        <f t="shared" si="190"/>
        <v>0</v>
      </c>
      <c r="AC550" s="74" t="str">
        <f t="shared" si="191"/>
        <v/>
      </c>
      <c r="AE550" s="74" t="str">
        <f t="shared" si="192"/>
        <v/>
      </c>
      <c r="AF550" s="74" t="str">
        <f t="shared" si="193"/>
        <v/>
      </c>
      <c r="AG550" s="74" t="str">
        <f t="shared" si="194"/>
        <v/>
      </c>
      <c r="AH550" s="74">
        <f t="shared" si="195"/>
        <v>0</v>
      </c>
      <c r="AI550" s="74" t="str">
        <f>IF(AH550&lt;&gt;0,COUNTIF(AH$3:AH550,1),"")</f>
        <v/>
      </c>
      <c r="AJ550" s="74">
        <f t="shared" si="196"/>
        <v>0</v>
      </c>
      <c r="AK550" s="73" t="str">
        <f t="shared" si="197"/>
        <v/>
      </c>
      <c r="AL550" s="73" t="str">
        <f t="shared" si="198"/>
        <v/>
      </c>
      <c r="AM550" s="73" t="str">
        <f t="shared" si="199"/>
        <v/>
      </c>
      <c r="AN550" s="73" t="str">
        <f t="shared" si="200"/>
        <v/>
      </c>
      <c r="AP550" s="61" t="str">
        <f t="shared" si="201"/>
        <v/>
      </c>
      <c r="AQ550" s="61" t="str">
        <f t="shared" si="202"/>
        <v/>
      </c>
      <c r="AR550" s="61" t="str">
        <f t="shared" si="203"/>
        <v/>
      </c>
    </row>
    <row r="551" spans="16:44" x14ac:dyDescent="0.25">
      <c r="P551" s="73" t="str">
        <f t="shared" si="184"/>
        <v/>
      </c>
      <c r="Q551" s="73" t="str">
        <f t="shared" si="185"/>
        <v/>
      </c>
      <c r="R551" s="74" t="str">
        <f t="shared" si="186"/>
        <v/>
      </c>
      <c r="S551" s="74" t="str">
        <f t="shared" si="187"/>
        <v/>
      </c>
      <c r="U551" s="74" t="str">
        <f t="shared" si="204"/>
        <v/>
      </c>
      <c r="V551" s="74" t="str">
        <f t="shared" si="204"/>
        <v/>
      </c>
      <c r="W551" s="74" t="str">
        <f t="shared" si="204"/>
        <v/>
      </c>
      <c r="X551" s="74" t="str">
        <f t="shared" si="204"/>
        <v/>
      </c>
      <c r="Y551" s="74" t="str">
        <f t="shared" si="204"/>
        <v/>
      </c>
      <c r="Z551" s="74" t="str">
        <f t="shared" si="188"/>
        <v/>
      </c>
      <c r="AA551" s="74">
        <f t="shared" si="189"/>
        <v>0</v>
      </c>
      <c r="AB551" s="74">
        <f t="shared" si="190"/>
        <v>0</v>
      </c>
      <c r="AC551" s="74" t="str">
        <f t="shared" si="191"/>
        <v/>
      </c>
      <c r="AE551" s="74" t="str">
        <f t="shared" si="192"/>
        <v/>
      </c>
      <c r="AF551" s="74" t="str">
        <f t="shared" si="193"/>
        <v/>
      </c>
      <c r="AG551" s="74" t="str">
        <f t="shared" si="194"/>
        <v/>
      </c>
      <c r="AH551" s="74">
        <f t="shared" si="195"/>
        <v>0</v>
      </c>
      <c r="AI551" s="74" t="str">
        <f>IF(AH551&lt;&gt;0,COUNTIF(AH$3:AH551,1),"")</f>
        <v/>
      </c>
      <c r="AJ551" s="74">
        <f t="shared" si="196"/>
        <v>0</v>
      </c>
      <c r="AK551" s="73" t="str">
        <f t="shared" si="197"/>
        <v/>
      </c>
      <c r="AL551" s="73" t="str">
        <f t="shared" si="198"/>
        <v/>
      </c>
      <c r="AM551" s="73" t="str">
        <f t="shared" si="199"/>
        <v/>
      </c>
      <c r="AN551" s="73" t="str">
        <f t="shared" si="200"/>
        <v/>
      </c>
      <c r="AP551" s="61" t="str">
        <f t="shared" si="201"/>
        <v/>
      </c>
      <c r="AQ551" s="61" t="str">
        <f t="shared" si="202"/>
        <v/>
      </c>
      <c r="AR551" s="61" t="str">
        <f t="shared" si="203"/>
        <v/>
      </c>
    </row>
    <row r="552" spans="16:44" x14ac:dyDescent="0.25">
      <c r="P552" s="73" t="str">
        <f t="shared" si="184"/>
        <v/>
      </c>
      <c r="Q552" s="73" t="str">
        <f t="shared" si="185"/>
        <v/>
      </c>
      <c r="R552" s="74" t="str">
        <f t="shared" si="186"/>
        <v/>
      </c>
      <c r="S552" s="74" t="str">
        <f t="shared" si="187"/>
        <v/>
      </c>
      <c r="U552" s="74" t="str">
        <f t="shared" si="204"/>
        <v/>
      </c>
      <c r="V552" s="74" t="str">
        <f t="shared" si="204"/>
        <v/>
      </c>
      <c r="W552" s="74" t="str">
        <f t="shared" si="204"/>
        <v/>
      </c>
      <c r="X552" s="74" t="str">
        <f t="shared" si="204"/>
        <v/>
      </c>
      <c r="Y552" s="74" t="str">
        <f t="shared" si="204"/>
        <v/>
      </c>
      <c r="Z552" s="74" t="str">
        <f t="shared" si="188"/>
        <v/>
      </c>
      <c r="AA552" s="74">
        <f t="shared" si="189"/>
        <v>0</v>
      </c>
      <c r="AB552" s="74">
        <f t="shared" si="190"/>
        <v>0</v>
      </c>
      <c r="AC552" s="74" t="str">
        <f t="shared" si="191"/>
        <v/>
      </c>
      <c r="AE552" s="74" t="str">
        <f t="shared" si="192"/>
        <v/>
      </c>
      <c r="AF552" s="74" t="str">
        <f t="shared" si="193"/>
        <v/>
      </c>
      <c r="AG552" s="74" t="str">
        <f t="shared" si="194"/>
        <v/>
      </c>
      <c r="AH552" s="74">
        <f t="shared" si="195"/>
        <v>0</v>
      </c>
      <c r="AI552" s="74" t="str">
        <f>IF(AH552&lt;&gt;0,COUNTIF(AH$3:AH552,1),"")</f>
        <v/>
      </c>
      <c r="AJ552" s="74">
        <f t="shared" si="196"/>
        <v>0</v>
      </c>
      <c r="AK552" s="73" t="str">
        <f t="shared" si="197"/>
        <v/>
      </c>
      <c r="AL552" s="73" t="str">
        <f t="shared" si="198"/>
        <v/>
      </c>
      <c r="AM552" s="73" t="str">
        <f t="shared" si="199"/>
        <v/>
      </c>
      <c r="AN552" s="73" t="str">
        <f t="shared" si="200"/>
        <v/>
      </c>
      <c r="AP552" s="61" t="str">
        <f t="shared" si="201"/>
        <v/>
      </c>
      <c r="AQ552" s="61" t="str">
        <f t="shared" si="202"/>
        <v/>
      </c>
      <c r="AR552" s="61" t="str">
        <f t="shared" si="203"/>
        <v/>
      </c>
    </row>
    <row r="553" spans="16:44" x14ac:dyDescent="0.25">
      <c r="P553" s="73" t="str">
        <f t="shared" si="184"/>
        <v/>
      </c>
      <c r="Q553" s="73" t="str">
        <f t="shared" si="185"/>
        <v/>
      </c>
      <c r="R553" s="74" t="str">
        <f t="shared" si="186"/>
        <v/>
      </c>
      <c r="S553" s="74" t="str">
        <f t="shared" si="187"/>
        <v/>
      </c>
      <c r="U553" s="74" t="str">
        <f t="shared" si="204"/>
        <v/>
      </c>
      <c r="V553" s="74" t="str">
        <f t="shared" si="204"/>
        <v/>
      </c>
      <c r="W553" s="74" t="str">
        <f t="shared" si="204"/>
        <v/>
      </c>
      <c r="X553" s="74" t="str">
        <f t="shared" si="204"/>
        <v/>
      </c>
      <c r="Y553" s="74" t="str">
        <f t="shared" si="204"/>
        <v/>
      </c>
      <c r="Z553" s="74" t="str">
        <f t="shared" si="188"/>
        <v/>
      </c>
      <c r="AA553" s="74">
        <f t="shared" si="189"/>
        <v>0</v>
      </c>
      <c r="AB553" s="74">
        <f t="shared" si="190"/>
        <v>0</v>
      </c>
      <c r="AC553" s="74" t="str">
        <f t="shared" si="191"/>
        <v/>
      </c>
      <c r="AE553" s="74" t="str">
        <f t="shared" si="192"/>
        <v/>
      </c>
      <c r="AF553" s="74" t="str">
        <f t="shared" si="193"/>
        <v/>
      </c>
      <c r="AG553" s="74" t="str">
        <f t="shared" si="194"/>
        <v/>
      </c>
      <c r="AH553" s="74">
        <f t="shared" si="195"/>
        <v>0</v>
      </c>
      <c r="AI553" s="74" t="str">
        <f>IF(AH553&lt;&gt;0,COUNTIF(AH$3:AH553,1),"")</f>
        <v/>
      </c>
      <c r="AJ553" s="74">
        <f t="shared" si="196"/>
        <v>0</v>
      </c>
      <c r="AK553" s="73" t="str">
        <f t="shared" si="197"/>
        <v/>
      </c>
      <c r="AL553" s="73" t="str">
        <f t="shared" si="198"/>
        <v/>
      </c>
      <c r="AM553" s="73" t="str">
        <f t="shared" si="199"/>
        <v/>
      </c>
      <c r="AN553" s="73" t="str">
        <f t="shared" si="200"/>
        <v/>
      </c>
      <c r="AP553" s="61" t="str">
        <f t="shared" si="201"/>
        <v/>
      </c>
      <c r="AQ553" s="61" t="str">
        <f t="shared" si="202"/>
        <v/>
      </c>
      <c r="AR553" s="61" t="str">
        <f t="shared" si="203"/>
        <v/>
      </c>
    </row>
    <row r="554" spans="16:44" x14ac:dyDescent="0.25">
      <c r="P554" s="73" t="str">
        <f t="shared" si="184"/>
        <v/>
      </c>
      <c r="Q554" s="73" t="str">
        <f t="shared" si="185"/>
        <v/>
      </c>
      <c r="R554" s="74" t="str">
        <f t="shared" si="186"/>
        <v/>
      </c>
      <c r="S554" s="74" t="str">
        <f t="shared" si="187"/>
        <v/>
      </c>
      <c r="U554" s="74" t="str">
        <f t="shared" si="204"/>
        <v/>
      </c>
      <c r="V554" s="74" t="str">
        <f t="shared" si="204"/>
        <v/>
      </c>
      <c r="W554" s="74" t="str">
        <f t="shared" si="204"/>
        <v/>
      </c>
      <c r="X554" s="74" t="str">
        <f t="shared" si="204"/>
        <v/>
      </c>
      <c r="Y554" s="74" t="str">
        <f t="shared" si="204"/>
        <v/>
      </c>
      <c r="Z554" s="74" t="str">
        <f t="shared" si="188"/>
        <v/>
      </c>
      <c r="AA554" s="74">
        <f t="shared" si="189"/>
        <v>0</v>
      </c>
      <c r="AB554" s="74">
        <f t="shared" si="190"/>
        <v>0</v>
      </c>
      <c r="AC554" s="74" t="str">
        <f t="shared" si="191"/>
        <v/>
      </c>
      <c r="AE554" s="74" t="str">
        <f t="shared" si="192"/>
        <v/>
      </c>
      <c r="AF554" s="74" t="str">
        <f t="shared" si="193"/>
        <v/>
      </c>
      <c r="AG554" s="74" t="str">
        <f t="shared" si="194"/>
        <v/>
      </c>
      <c r="AH554" s="74">
        <f t="shared" si="195"/>
        <v>0</v>
      </c>
      <c r="AI554" s="74" t="str">
        <f>IF(AH554&lt;&gt;0,COUNTIF(AH$3:AH554,1),"")</f>
        <v/>
      </c>
      <c r="AJ554" s="74">
        <f t="shared" si="196"/>
        <v>0</v>
      </c>
      <c r="AK554" s="73" t="str">
        <f t="shared" si="197"/>
        <v/>
      </c>
      <c r="AL554" s="73" t="str">
        <f t="shared" si="198"/>
        <v/>
      </c>
      <c r="AM554" s="73" t="str">
        <f t="shared" si="199"/>
        <v/>
      </c>
      <c r="AN554" s="73" t="str">
        <f t="shared" si="200"/>
        <v/>
      </c>
      <c r="AP554" s="61" t="str">
        <f t="shared" si="201"/>
        <v/>
      </c>
      <c r="AQ554" s="61" t="str">
        <f t="shared" si="202"/>
        <v/>
      </c>
      <c r="AR554" s="61" t="str">
        <f t="shared" si="203"/>
        <v/>
      </c>
    </row>
    <row r="555" spans="16:44" x14ac:dyDescent="0.25">
      <c r="P555" s="73" t="str">
        <f t="shared" si="184"/>
        <v/>
      </c>
      <c r="Q555" s="73" t="str">
        <f t="shared" si="185"/>
        <v/>
      </c>
      <c r="R555" s="74" t="str">
        <f t="shared" si="186"/>
        <v/>
      </c>
      <c r="S555" s="74" t="str">
        <f t="shared" si="187"/>
        <v/>
      </c>
      <c r="U555" s="74" t="str">
        <f t="shared" si="204"/>
        <v/>
      </c>
      <c r="V555" s="74" t="str">
        <f t="shared" si="204"/>
        <v/>
      </c>
      <c r="W555" s="74" t="str">
        <f t="shared" si="204"/>
        <v/>
      </c>
      <c r="X555" s="74" t="str">
        <f t="shared" si="204"/>
        <v/>
      </c>
      <c r="Y555" s="74" t="str">
        <f t="shared" si="204"/>
        <v/>
      </c>
      <c r="Z555" s="74" t="str">
        <f t="shared" si="188"/>
        <v/>
      </c>
      <c r="AA555" s="74">
        <f t="shared" si="189"/>
        <v>0</v>
      </c>
      <c r="AB555" s="74">
        <f t="shared" si="190"/>
        <v>0</v>
      </c>
      <c r="AC555" s="74" t="str">
        <f t="shared" si="191"/>
        <v/>
      </c>
      <c r="AE555" s="74" t="str">
        <f t="shared" si="192"/>
        <v/>
      </c>
      <c r="AF555" s="74" t="str">
        <f t="shared" si="193"/>
        <v/>
      </c>
      <c r="AG555" s="74" t="str">
        <f t="shared" si="194"/>
        <v/>
      </c>
      <c r="AH555" s="74">
        <f t="shared" si="195"/>
        <v>0</v>
      </c>
      <c r="AI555" s="74" t="str">
        <f>IF(AH555&lt;&gt;0,COUNTIF(AH$3:AH555,1),"")</f>
        <v/>
      </c>
      <c r="AJ555" s="74">
        <f t="shared" si="196"/>
        <v>0</v>
      </c>
      <c r="AK555" s="73" t="str">
        <f t="shared" si="197"/>
        <v/>
      </c>
      <c r="AL555" s="73" t="str">
        <f t="shared" si="198"/>
        <v/>
      </c>
      <c r="AM555" s="73" t="str">
        <f t="shared" si="199"/>
        <v/>
      </c>
      <c r="AN555" s="73" t="str">
        <f t="shared" si="200"/>
        <v/>
      </c>
      <c r="AP555" s="61" t="str">
        <f t="shared" si="201"/>
        <v/>
      </c>
      <c r="AQ555" s="61" t="str">
        <f t="shared" si="202"/>
        <v/>
      </c>
      <c r="AR555" s="61" t="str">
        <f t="shared" si="203"/>
        <v/>
      </c>
    </row>
    <row r="556" spans="16:44" x14ac:dyDescent="0.25">
      <c r="P556" s="73" t="str">
        <f t="shared" si="184"/>
        <v/>
      </c>
      <c r="Q556" s="73" t="str">
        <f t="shared" si="185"/>
        <v/>
      </c>
      <c r="R556" s="74" t="str">
        <f t="shared" si="186"/>
        <v/>
      </c>
      <c r="S556" s="74" t="str">
        <f t="shared" si="187"/>
        <v/>
      </c>
      <c r="U556" s="74" t="str">
        <f t="shared" si="204"/>
        <v/>
      </c>
      <c r="V556" s="74" t="str">
        <f t="shared" si="204"/>
        <v/>
      </c>
      <c r="W556" s="74" t="str">
        <f t="shared" si="204"/>
        <v/>
      </c>
      <c r="X556" s="74" t="str">
        <f t="shared" si="204"/>
        <v/>
      </c>
      <c r="Y556" s="74" t="str">
        <f t="shared" si="204"/>
        <v/>
      </c>
      <c r="Z556" s="74" t="str">
        <f t="shared" si="188"/>
        <v/>
      </c>
      <c r="AA556" s="74">
        <f t="shared" si="189"/>
        <v>0</v>
      </c>
      <c r="AB556" s="74">
        <f t="shared" si="190"/>
        <v>0</v>
      </c>
      <c r="AC556" s="74" t="str">
        <f t="shared" si="191"/>
        <v/>
      </c>
      <c r="AE556" s="74" t="str">
        <f t="shared" si="192"/>
        <v/>
      </c>
      <c r="AF556" s="74" t="str">
        <f t="shared" si="193"/>
        <v/>
      </c>
      <c r="AG556" s="74" t="str">
        <f t="shared" si="194"/>
        <v/>
      </c>
      <c r="AH556" s="74">
        <f t="shared" si="195"/>
        <v>0</v>
      </c>
      <c r="AI556" s="74" t="str">
        <f>IF(AH556&lt;&gt;0,COUNTIF(AH$3:AH556,1),"")</f>
        <v/>
      </c>
      <c r="AJ556" s="74">
        <f t="shared" si="196"/>
        <v>0</v>
      </c>
      <c r="AK556" s="73" t="str">
        <f t="shared" si="197"/>
        <v/>
      </c>
      <c r="AL556" s="73" t="str">
        <f t="shared" si="198"/>
        <v/>
      </c>
      <c r="AM556" s="73" t="str">
        <f t="shared" si="199"/>
        <v/>
      </c>
      <c r="AN556" s="73" t="str">
        <f t="shared" si="200"/>
        <v/>
      </c>
      <c r="AP556" s="61" t="str">
        <f t="shared" si="201"/>
        <v/>
      </c>
      <c r="AQ556" s="61" t="str">
        <f t="shared" si="202"/>
        <v/>
      </c>
      <c r="AR556" s="61" t="str">
        <f t="shared" si="203"/>
        <v/>
      </c>
    </row>
    <row r="557" spans="16:44" x14ac:dyDescent="0.25">
      <c r="P557" s="73" t="str">
        <f t="shared" si="184"/>
        <v/>
      </c>
      <c r="Q557" s="73" t="str">
        <f t="shared" si="185"/>
        <v/>
      </c>
      <c r="R557" s="74" t="str">
        <f t="shared" si="186"/>
        <v/>
      </c>
      <c r="S557" s="74" t="str">
        <f t="shared" si="187"/>
        <v/>
      </c>
      <c r="U557" s="74" t="str">
        <f t="shared" si="204"/>
        <v/>
      </c>
      <c r="V557" s="74" t="str">
        <f t="shared" si="204"/>
        <v/>
      </c>
      <c r="W557" s="74" t="str">
        <f t="shared" si="204"/>
        <v/>
      </c>
      <c r="X557" s="74" t="str">
        <f t="shared" si="204"/>
        <v/>
      </c>
      <c r="Y557" s="74" t="str">
        <f t="shared" si="204"/>
        <v/>
      </c>
      <c r="Z557" s="74" t="str">
        <f t="shared" si="188"/>
        <v/>
      </c>
      <c r="AA557" s="74">
        <f t="shared" si="189"/>
        <v>0</v>
      </c>
      <c r="AB557" s="74">
        <f t="shared" si="190"/>
        <v>0</v>
      </c>
      <c r="AC557" s="74" t="str">
        <f t="shared" si="191"/>
        <v/>
      </c>
      <c r="AE557" s="74" t="str">
        <f t="shared" si="192"/>
        <v/>
      </c>
      <c r="AF557" s="74" t="str">
        <f t="shared" si="193"/>
        <v/>
      </c>
      <c r="AG557" s="74" t="str">
        <f t="shared" si="194"/>
        <v/>
      </c>
      <c r="AH557" s="74">
        <f t="shared" si="195"/>
        <v>0</v>
      </c>
      <c r="AI557" s="74" t="str">
        <f>IF(AH557&lt;&gt;0,COUNTIF(AH$3:AH557,1),"")</f>
        <v/>
      </c>
      <c r="AJ557" s="74">
        <f t="shared" si="196"/>
        <v>0</v>
      </c>
      <c r="AK557" s="73" t="str">
        <f t="shared" si="197"/>
        <v/>
      </c>
      <c r="AL557" s="73" t="str">
        <f t="shared" si="198"/>
        <v/>
      </c>
      <c r="AM557" s="73" t="str">
        <f t="shared" si="199"/>
        <v/>
      </c>
      <c r="AN557" s="73" t="str">
        <f t="shared" si="200"/>
        <v/>
      </c>
      <c r="AP557" s="61" t="str">
        <f t="shared" si="201"/>
        <v/>
      </c>
      <c r="AQ557" s="61" t="str">
        <f t="shared" si="202"/>
        <v/>
      </c>
      <c r="AR557" s="61" t="str">
        <f t="shared" si="203"/>
        <v/>
      </c>
    </row>
    <row r="558" spans="16:44" x14ac:dyDescent="0.25">
      <c r="P558" s="73" t="str">
        <f t="shared" si="184"/>
        <v/>
      </c>
      <c r="Q558" s="73" t="str">
        <f t="shared" si="185"/>
        <v/>
      </c>
      <c r="R558" s="74" t="str">
        <f t="shared" si="186"/>
        <v/>
      </c>
      <c r="S558" s="74" t="str">
        <f t="shared" si="187"/>
        <v/>
      </c>
      <c r="U558" s="74" t="str">
        <f t="shared" si="204"/>
        <v/>
      </c>
      <c r="V558" s="74" t="str">
        <f t="shared" si="204"/>
        <v/>
      </c>
      <c r="W558" s="74" t="str">
        <f t="shared" si="204"/>
        <v/>
      </c>
      <c r="X558" s="74" t="str">
        <f t="shared" si="204"/>
        <v/>
      </c>
      <c r="Y558" s="74" t="str">
        <f t="shared" si="204"/>
        <v/>
      </c>
      <c r="Z558" s="74" t="str">
        <f t="shared" si="188"/>
        <v/>
      </c>
      <c r="AA558" s="74">
        <f t="shared" si="189"/>
        <v>0</v>
      </c>
      <c r="AB558" s="74">
        <f t="shared" si="190"/>
        <v>0</v>
      </c>
      <c r="AC558" s="74" t="str">
        <f t="shared" si="191"/>
        <v/>
      </c>
      <c r="AE558" s="74" t="str">
        <f t="shared" si="192"/>
        <v/>
      </c>
      <c r="AF558" s="74" t="str">
        <f t="shared" si="193"/>
        <v/>
      </c>
      <c r="AG558" s="74" t="str">
        <f t="shared" si="194"/>
        <v/>
      </c>
      <c r="AH558" s="74">
        <f t="shared" si="195"/>
        <v>0</v>
      </c>
      <c r="AI558" s="74" t="str">
        <f>IF(AH558&lt;&gt;0,COUNTIF(AH$3:AH558,1),"")</f>
        <v/>
      </c>
      <c r="AJ558" s="74">
        <f t="shared" si="196"/>
        <v>0</v>
      </c>
      <c r="AK558" s="73" t="str">
        <f t="shared" si="197"/>
        <v/>
      </c>
      <c r="AL558" s="73" t="str">
        <f t="shared" si="198"/>
        <v/>
      </c>
      <c r="AM558" s="73" t="str">
        <f t="shared" si="199"/>
        <v/>
      </c>
      <c r="AN558" s="73" t="str">
        <f t="shared" si="200"/>
        <v/>
      </c>
      <c r="AP558" s="61" t="str">
        <f t="shared" si="201"/>
        <v/>
      </c>
      <c r="AQ558" s="61" t="str">
        <f t="shared" si="202"/>
        <v/>
      </c>
      <c r="AR558" s="61" t="str">
        <f t="shared" si="203"/>
        <v/>
      </c>
    </row>
    <row r="559" spans="16:44" x14ac:dyDescent="0.25">
      <c r="P559" s="73" t="str">
        <f t="shared" si="184"/>
        <v/>
      </c>
      <c r="Q559" s="73" t="str">
        <f t="shared" si="185"/>
        <v/>
      </c>
      <c r="R559" s="74" t="str">
        <f t="shared" si="186"/>
        <v/>
      </c>
      <c r="S559" s="74" t="str">
        <f t="shared" si="187"/>
        <v/>
      </c>
      <c r="U559" s="74" t="str">
        <f t="shared" si="204"/>
        <v/>
      </c>
      <c r="V559" s="74" t="str">
        <f t="shared" si="204"/>
        <v/>
      </c>
      <c r="W559" s="74" t="str">
        <f t="shared" si="204"/>
        <v/>
      </c>
      <c r="X559" s="74" t="str">
        <f t="shared" si="204"/>
        <v/>
      </c>
      <c r="Y559" s="74" t="str">
        <f t="shared" si="204"/>
        <v/>
      </c>
      <c r="Z559" s="74" t="str">
        <f t="shared" si="188"/>
        <v/>
      </c>
      <c r="AA559" s="74">
        <f t="shared" si="189"/>
        <v>0</v>
      </c>
      <c r="AB559" s="74">
        <f t="shared" si="190"/>
        <v>0</v>
      </c>
      <c r="AC559" s="74" t="str">
        <f t="shared" si="191"/>
        <v/>
      </c>
      <c r="AE559" s="74" t="str">
        <f t="shared" si="192"/>
        <v/>
      </c>
      <c r="AF559" s="74" t="str">
        <f t="shared" si="193"/>
        <v/>
      </c>
      <c r="AG559" s="74" t="str">
        <f t="shared" si="194"/>
        <v/>
      </c>
      <c r="AH559" s="74">
        <f t="shared" si="195"/>
        <v>0</v>
      </c>
      <c r="AI559" s="74" t="str">
        <f>IF(AH559&lt;&gt;0,COUNTIF(AH$3:AH559,1),"")</f>
        <v/>
      </c>
      <c r="AJ559" s="74">
        <f t="shared" si="196"/>
        <v>0</v>
      </c>
      <c r="AK559" s="73" t="str">
        <f t="shared" si="197"/>
        <v/>
      </c>
      <c r="AL559" s="73" t="str">
        <f t="shared" si="198"/>
        <v/>
      </c>
      <c r="AM559" s="73" t="str">
        <f t="shared" si="199"/>
        <v/>
      </c>
      <c r="AN559" s="73" t="str">
        <f t="shared" si="200"/>
        <v/>
      </c>
      <c r="AP559" s="61" t="str">
        <f t="shared" si="201"/>
        <v/>
      </c>
      <c r="AQ559" s="61" t="str">
        <f t="shared" si="202"/>
        <v/>
      </c>
      <c r="AR559" s="61" t="str">
        <f t="shared" si="203"/>
        <v/>
      </c>
    </row>
    <row r="560" spans="16:44" x14ac:dyDescent="0.25">
      <c r="P560" s="73" t="str">
        <f t="shared" si="184"/>
        <v/>
      </c>
      <c r="Q560" s="73" t="str">
        <f t="shared" si="185"/>
        <v/>
      </c>
      <c r="R560" s="74" t="str">
        <f t="shared" si="186"/>
        <v/>
      </c>
      <c r="S560" s="74" t="str">
        <f t="shared" si="187"/>
        <v/>
      </c>
      <c r="U560" s="74" t="str">
        <f t="shared" si="204"/>
        <v/>
      </c>
      <c r="V560" s="74" t="str">
        <f t="shared" si="204"/>
        <v/>
      </c>
      <c r="W560" s="74" t="str">
        <f t="shared" si="204"/>
        <v/>
      </c>
      <c r="X560" s="74" t="str">
        <f t="shared" si="204"/>
        <v/>
      </c>
      <c r="Y560" s="74" t="str">
        <f t="shared" si="204"/>
        <v/>
      </c>
      <c r="Z560" s="74" t="str">
        <f t="shared" si="188"/>
        <v/>
      </c>
      <c r="AA560" s="74">
        <f t="shared" si="189"/>
        <v>0</v>
      </c>
      <c r="AB560" s="74">
        <f t="shared" si="190"/>
        <v>0</v>
      </c>
      <c r="AC560" s="74" t="str">
        <f t="shared" si="191"/>
        <v/>
      </c>
      <c r="AE560" s="74" t="str">
        <f t="shared" si="192"/>
        <v/>
      </c>
      <c r="AF560" s="74" t="str">
        <f t="shared" si="193"/>
        <v/>
      </c>
      <c r="AG560" s="74" t="str">
        <f t="shared" si="194"/>
        <v/>
      </c>
      <c r="AH560" s="74">
        <f t="shared" si="195"/>
        <v>0</v>
      </c>
      <c r="AI560" s="74" t="str">
        <f>IF(AH560&lt;&gt;0,COUNTIF(AH$3:AH560,1),"")</f>
        <v/>
      </c>
      <c r="AJ560" s="74">
        <f t="shared" si="196"/>
        <v>0</v>
      </c>
      <c r="AK560" s="73" t="str">
        <f t="shared" si="197"/>
        <v/>
      </c>
      <c r="AL560" s="73" t="str">
        <f t="shared" si="198"/>
        <v/>
      </c>
      <c r="AM560" s="73" t="str">
        <f t="shared" si="199"/>
        <v/>
      </c>
      <c r="AN560" s="73" t="str">
        <f t="shared" si="200"/>
        <v/>
      </c>
      <c r="AP560" s="61" t="str">
        <f t="shared" si="201"/>
        <v/>
      </c>
      <c r="AQ560" s="61" t="str">
        <f t="shared" si="202"/>
        <v/>
      </c>
      <c r="AR560" s="61" t="str">
        <f t="shared" si="203"/>
        <v/>
      </c>
    </row>
    <row r="561" spans="16:44" x14ac:dyDescent="0.25">
      <c r="P561" s="73" t="str">
        <f t="shared" si="184"/>
        <v/>
      </c>
      <c r="Q561" s="73" t="str">
        <f t="shared" si="185"/>
        <v/>
      </c>
      <c r="R561" s="74" t="str">
        <f t="shared" si="186"/>
        <v/>
      </c>
      <c r="S561" s="74" t="str">
        <f t="shared" si="187"/>
        <v/>
      </c>
      <c r="U561" s="74" t="str">
        <f t="shared" si="204"/>
        <v/>
      </c>
      <c r="V561" s="74" t="str">
        <f t="shared" si="204"/>
        <v/>
      </c>
      <c r="W561" s="74" t="str">
        <f t="shared" si="204"/>
        <v/>
      </c>
      <c r="X561" s="74" t="str">
        <f t="shared" si="204"/>
        <v/>
      </c>
      <c r="Y561" s="74" t="str">
        <f t="shared" si="204"/>
        <v/>
      </c>
      <c r="Z561" s="74" t="str">
        <f t="shared" si="188"/>
        <v/>
      </c>
      <c r="AA561" s="74">
        <f t="shared" si="189"/>
        <v>0</v>
      </c>
      <c r="AB561" s="74">
        <f t="shared" si="190"/>
        <v>0</v>
      </c>
      <c r="AC561" s="74" t="str">
        <f t="shared" si="191"/>
        <v/>
      </c>
      <c r="AE561" s="74" t="str">
        <f t="shared" si="192"/>
        <v/>
      </c>
      <c r="AF561" s="74" t="str">
        <f t="shared" si="193"/>
        <v/>
      </c>
      <c r="AG561" s="74" t="str">
        <f t="shared" si="194"/>
        <v/>
      </c>
      <c r="AH561" s="74">
        <f t="shared" si="195"/>
        <v>0</v>
      </c>
      <c r="AI561" s="74" t="str">
        <f>IF(AH561&lt;&gt;0,COUNTIF(AH$3:AH561,1),"")</f>
        <v/>
      </c>
      <c r="AJ561" s="74">
        <f t="shared" si="196"/>
        <v>0</v>
      </c>
      <c r="AK561" s="73" t="str">
        <f t="shared" si="197"/>
        <v/>
      </c>
      <c r="AL561" s="73" t="str">
        <f t="shared" si="198"/>
        <v/>
      </c>
      <c r="AM561" s="73" t="str">
        <f t="shared" si="199"/>
        <v/>
      </c>
      <c r="AN561" s="73" t="str">
        <f t="shared" si="200"/>
        <v/>
      </c>
      <c r="AP561" s="61" t="str">
        <f t="shared" si="201"/>
        <v/>
      </c>
      <c r="AQ561" s="61" t="str">
        <f t="shared" si="202"/>
        <v/>
      </c>
      <c r="AR561" s="61" t="str">
        <f t="shared" si="203"/>
        <v/>
      </c>
    </row>
    <row r="562" spans="16:44" x14ac:dyDescent="0.25">
      <c r="P562" s="73" t="str">
        <f t="shared" si="184"/>
        <v/>
      </c>
      <c r="Q562" s="73" t="str">
        <f t="shared" si="185"/>
        <v/>
      </c>
      <c r="R562" s="74" t="str">
        <f t="shared" si="186"/>
        <v/>
      </c>
      <c r="S562" s="74" t="str">
        <f t="shared" si="187"/>
        <v/>
      </c>
      <c r="U562" s="74" t="str">
        <f t="shared" si="204"/>
        <v/>
      </c>
      <c r="V562" s="74" t="str">
        <f t="shared" si="204"/>
        <v/>
      </c>
      <c r="W562" s="74" t="str">
        <f t="shared" si="204"/>
        <v/>
      </c>
      <c r="X562" s="74" t="str">
        <f t="shared" si="204"/>
        <v/>
      </c>
      <c r="Y562" s="74" t="str">
        <f t="shared" si="204"/>
        <v/>
      </c>
      <c r="Z562" s="74" t="str">
        <f t="shared" si="188"/>
        <v/>
      </c>
      <c r="AA562" s="74">
        <f t="shared" si="189"/>
        <v>0</v>
      </c>
      <c r="AB562" s="74">
        <f t="shared" si="190"/>
        <v>0</v>
      </c>
      <c r="AC562" s="74" t="str">
        <f t="shared" si="191"/>
        <v/>
      </c>
      <c r="AE562" s="74" t="str">
        <f t="shared" si="192"/>
        <v/>
      </c>
      <c r="AF562" s="74" t="str">
        <f t="shared" si="193"/>
        <v/>
      </c>
      <c r="AG562" s="74" t="str">
        <f t="shared" si="194"/>
        <v/>
      </c>
      <c r="AH562" s="74">
        <f t="shared" si="195"/>
        <v>0</v>
      </c>
      <c r="AI562" s="74" t="str">
        <f>IF(AH562&lt;&gt;0,COUNTIF(AH$3:AH562,1),"")</f>
        <v/>
      </c>
      <c r="AJ562" s="74">
        <f t="shared" si="196"/>
        <v>0</v>
      </c>
      <c r="AK562" s="73" t="str">
        <f t="shared" si="197"/>
        <v/>
      </c>
      <c r="AL562" s="73" t="str">
        <f t="shared" si="198"/>
        <v/>
      </c>
      <c r="AM562" s="73" t="str">
        <f t="shared" si="199"/>
        <v/>
      </c>
      <c r="AN562" s="73" t="str">
        <f t="shared" si="200"/>
        <v/>
      </c>
      <c r="AP562" s="61" t="str">
        <f t="shared" si="201"/>
        <v/>
      </c>
      <c r="AQ562" s="61" t="str">
        <f t="shared" si="202"/>
        <v/>
      </c>
      <c r="AR562" s="61" t="str">
        <f t="shared" si="203"/>
        <v/>
      </c>
    </row>
    <row r="563" spans="16:44" x14ac:dyDescent="0.25">
      <c r="P563" s="73" t="str">
        <f t="shared" si="184"/>
        <v/>
      </c>
      <c r="Q563" s="73" t="str">
        <f t="shared" si="185"/>
        <v/>
      </c>
      <c r="R563" s="74" t="str">
        <f t="shared" si="186"/>
        <v/>
      </c>
      <c r="S563" s="74" t="str">
        <f t="shared" si="187"/>
        <v/>
      </c>
      <c r="U563" s="74" t="str">
        <f t="shared" si="204"/>
        <v/>
      </c>
      <c r="V563" s="74" t="str">
        <f t="shared" si="204"/>
        <v/>
      </c>
      <c r="W563" s="74" t="str">
        <f t="shared" si="204"/>
        <v/>
      </c>
      <c r="X563" s="74" t="str">
        <f t="shared" si="204"/>
        <v/>
      </c>
      <c r="Y563" s="74" t="str">
        <f t="shared" si="204"/>
        <v/>
      </c>
      <c r="Z563" s="74" t="str">
        <f t="shared" si="188"/>
        <v/>
      </c>
      <c r="AA563" s="74">
        <f t="shared" si="189"/>
        <v>0</v>
      </c>
      <c r="AB563" s="74">
        <f t="shared" si="190"/>
        <v>0</v>
      </c>
      <c r="AC563" s="74" t="str">
        <f t="shared" si="191"/>
        <v/>
      </c>
      <c r="AE563" s="74" t="str">
        <f t="shared" si="192"/>
        <v/>
      </c>
      <c r="AF563" s="74" t="str">
        <f t="shared" si="193"/>
        <v/>
      </c>
      <c r="AG563" s="74" t="str">
        <f t="shared" si="194"/>
        <v/>
      </c>
      <c r="AH563" s="74">
        <f t="shared" si="195"/>
        <v>0</v>
      </c>
      <c r="AI563" s="74" t="str">
        <f>IF(AH563&lt;&gt;0,COUNTIF(AH$3:AH563,1),"")</f>
        <v/>
      </c>
      <c r="AJ563" s="74">
        <f t="shared" si="196"/>
        <v>0</v>
      </c>
      <c r="AK563" s="73" t="str">
        <f t="shared" si="197"/>
        <v/>
      </c>
      <c r="AL563" s="73" t="str">
        <f t="shared" si="198"/>
        <v/>
      </c>
      <c r="AM563" s="73" t="str">
        <f t="shared" si="199"/>
        <v/>
      </c>
      <c r="AN563" s="73" t="str">
        <f t="shared" si="200"/>
        <v/>
      </c>
      <c r="AP563" s="61" t="str">
        <f t="shared" si="201"/>
        <v/>
      </c>
      <c r="AQ563" s="61" t="str">
        <f t="shared" si="202"/>
        <v/>
      </c>
      <c r="AR563" s="61" t="str">
        <f t="shared" si="203"/>
        <v/>
      </c>
    </row>
    <row r="564" spans="16:44" x14ac:dyDescent="0.25">
      <c r="P564" s="73" t="str">
        <f t="shared" si="184"/>
        <v/>
      </c>
      <c r="Q564" s="73" t="str">
        <f t="shared" si="185"/>
        <v/>
      </c>
      <c r="R564" s="74" t="str">
        <f t="shared" si="186"/>
        <v/>
      </c>
      <c r="S564" s="74" t="str">
        <f t="shared" si="187"/>
        <v/>
      </c>
      <c r="U564" s="74" t="str">
        <f t="shared" si="204"/>
        <v/>
      </c>
      <c r="V564" s="74" t="str">
        <f t="shared" si="204"/>
        <v/>
      </c>
      <c r="W564" s="74" t="str">
        <f t="shared" si="204"/>
        <v/>
      </c>
      <c r="X564" s="74" t="str">
        <f t="shared" si="204"/>
        <v/>
      </c>
      <c r="Y564" s="74" t="str">
        <f t="shared" si="204"/>
        <v/>
      </c>
      <c r="Z564" s="74" t="str">
        <f t="shared" si="188"/>
        <v/>
      </c>
      <c r="AA564" s="74">
        <f t="shared" si="189"/>
        <v>0</v>
      </c>
      <c r="AB564" s="74">
        <f t="shared" si="190"/>
        <v>0</v>
      </c>
      <c r="AC564" s="74" t="str">
        <f t="shared" si="191"/>
        <v/>
      </c>
      <c r="AE564" s="74" t="str">
        <f t="shared" si="192"/>
        <v/>
      </c>
      <c r="AF564" s="74" t="str">
        <f t="shared" si="193"/>
        <v/>
      </c>
      <c r="AG564" s="74" t="str">
        <f t="shared" si="194"/>
        <v/>
      </c>
      <c r="AH564" s="74">
        <f t="shared" si="195"/>
        <v>0</v>
      </c>
      <c r="AI564" s="74" t="str">
        <f>IF(AH564&lt;&gt;0,COUNTIF(AH$3:AH564,1),"")</f>
        <v/>
      </c>
      <c r="AJ564" s="74">
        <f t="shared" si="196"/>
        <v>0</v>
      </c>
      <c r="AK564" s="73" t="str">
        <f t="shared" si="197"/>
        <v/>
      </c>
      <c r="AL564" s="73" t="str">
        <f t="shared" si="198"/>
        <v/>
      </c>
      <c r="AM564" s="73" t="str">
        <f t="shared" si="199"/>
        <v/>
      </c>
      <c r="AN564" s="73" t="str">
        <f t="shared" si="200"/>
        <v/>
      </c>
      <c r="AP564" s="61" t="str">
        <f t="shared" si="201"/>
        <v/>
      </c>
      <c r="AQ564" s="61" t="str">
        <f t="shared" si="202"/>
        <v/>
      </c>
      <c r="AR564" s="61" t="str">
        <f t="shared" si="203"/>
        <v/>
      </c>
    </row>
    <row r="565" spans="16:44" x14ac:dyDescent="0.25">
      <c r="P565" s="73" t="str">
        <f t="shared" si="184"/>
        <v/>
      </c>
      <c r="Q565" s="73" t="str">
        <f t="shared" si="185"/>
        <v/>
      </c>
      <c r="R565" s="74" t="str">
        <f t="shared" si="186"/>
        <v/>
      </c>
      <c r="S565" s="74" t="str">
        <f t="shared" si="187"/>
        <v/>
      </c>
      <c r="U565" s="74" t="str">
        <f t="shared" si="204"/>
        <v/>
      </c>
      <c r="V565" s="74" t="str">
        <f t="shared" si="204"/>
        <v/>
      </c>
      <c r="W565" s="74" t="str">
        <f t="shared" si="204"/>
        <v/>
      </c>
      <c r="X565" s="74" t="str">
        <f t="shared" si="204"/>
        <v/>
      </c>
      <c r="Y565" s="74" t="str">
        <f t="shared" si="204"/>
        <v/>
      </c>
      <c r="Z565" s="74" t="str">
        <f t="shared" si="188"/>
        <v/>
      </c>
      <c r="AA565" s="74">
        <f t="shared" si="189"/>
        <v>0</v>
      </c>
      <c r="AB565" s="74">
        <f t="shared" si="190"/>
        <v>0</v>
      </c>
      <c r="AC565" s="74" t="str">
        <f t="shared" si="191"/>
        <v/>
      </c>
      <c r="AE565" s="74" t="str">
        <f t="shared" si="192"/>
        <v/>
      </c>
      <c r="AF565" s="74" t="str">
        <f t="shared" si="193"/>
        <v/>
      </c>
      <c r="AG565" s="74" t="str">
        <f t="shared" si="194"/>
        <v/>
      </c>
      <c r="AH565" s="74">
        <f t="shared" si="195"/>
        <v>0</v>
      </c>
      <c r="AI565" s="74" t="str">
        <f>IF(AH565&lt;&gt;0,COUNTIF(AH$3:AH565,1),"")</f>
        <v/>
      </c>
      <c r="AJ565" s="74">
        <f t="shared" si="196"/>
        <v>0</v>
      </c>
      <c r="AK565" s="73" t="str">
        <f t="shared" si="197"/>
        <v/>
      </c>
      <c r="AL565" s="73" t="str">
        <f t="shared" si="198"/>
        <v/>
      </c>
      <c r="AM565" s="73" t="str">
        <f t="shared" si="199"/>
        <v/>
      </c>
      <c r="AN565" s="73" t="str">
        <f t="shared" si="200"/>
        <v/>
      </c>
      <c r="AP565" s="61" t="str">
        <f t="shared" si="201"/>
        <v/>
      </c>
      <c r="AQ565" s="61" t="str">
        <f t="shared" si="202"/>
        <v/>
      </c>
      <c r="AR565" s="61" t="str">
        <f t="shared" si="203"/>
        <v/>
      </c>
    </row>
    <row r="566" spans="16:44" x14ac:dyDescent="0.25">
      <c r="P566" s="73" t="str">
        <f t="shared" si="184"/>
        <v/>
      </c>
      <c r="Q566" s="73" t="str">
        <f t="shared" si="185"/>
        <v/>
      </c>
      <c r="R566" s="74" t="str">
        <f t="shared" si="186"/>
        <v/>
      </c>
      <c r="S566" s="74" t="str">
        <f t="shared" si="187"/>
        <v/>
      </c>
      <c r="U566" s="74" t="str">
        <f t="shared" si="204"/>
        <v/>
      </c>
      <c r="V566" s="74" t="str">
        <f t="shared" si="204"/>
        <v/>
      </c>
      <c r="W566" s="74" t="str">
        <f t="shared" si="204"/>
        <v/>
      </c>
      <c r="X566" s="74" t="str">
        <f t="shared" si="204"/>
        <v/>
      </c>
      <c r="Y566" s="74" t="str">
        <f t="shared" si="204"/>
        <v/>
      </c>
      <c r="Z566" s="74" t="str">
        <f t="shared" si="188"/>
        <v/>
      </c>
      <c r="AA566" s="74">
        <f t="shared" si="189"/>
        <v>0</v>
      </c>
      <c r="AB566" s="74">
        <f t="shared" si="190"/>
        <v>0</v>
      </c>
      <c r="AC566" s="74" t="str">
        <f t="shared" si="191"/>
        <v/>
      </c>
      <c r="AE566" s="74" t="str">
        <f t="shared" si="192"/>
        <v/>
      </c>
      <c r="AF566" s="74" t="str">
        <f t="shared" si="193"/>
        <v/>
      </c>
      <c r="AG566" s="74" t="str">
        <f t="shared" si="194"/>
        <v/>
      </c>
      <c r="AH566" s="74">
        <f t="shared" si="195"/>
        <v>0</v>
      </c>
      <c r="AI566" s="74" t="str">
        <f>IF(AH566&lt;&gt;0,COUNTIF(AH$3:AH566,1),"")</f>
        <v/>
      </c>
      <c r="AJ566" s="74">
        <f t="shared" si="196"/>
        <v>0</v>
      </c>
      <c r="AK566" s="73" t="str">
        <f t="shared" si="197"/>
        <v/>
      </c>
      <c r="AL566" s="73" t="str">
        <f t="shared" si="198"/>
        <v/>
      </c>
      <c r="AM566" s="73" t="str">
        <f t="shared" si="199"/>
        <v/>
      </c>
      <c r="AN566" s="73" t="str">
        <f t="shared" si="200"/>
        <v/>
      </c>
      <c r="AP566" s="61" t="str">
        <f t="shared" si="201"/>
        <v/>
      </c>
      <c r="AQ566" s="61" t="str">
        <f t="shared" si="202"/>
        <v/>
      </c>
      <c r="AR566" s="61" t="str">
        <f t="shared" si="203"/>
        <v/>
      </c>
    </row>
    <row r="567" spans="16:44" x14ac:dyDescent="0.25">
      <c r="P567" s="73" t="str">
        <f t="shared" si="184"/>
        <v/>
      </c>
      <c r="Q567" s="73" t="str">
        <f t="shared" si="185"/>
        <v/>
      </c>
      <c r="R567" s="74" t="str">
        <f t="shared" si="186"/>
        <v/>
      </c>
      <c r="S567" s="74" t="str">
        <f t="shared" si="187"/>
        <v/>
      </c>
      <c r="U567" s="74" t="str">
        <f t="shared" si="204"/>
        <v/>
      </c>
      <c r="V567" s="74" t="str">
        <f t="shared" si="204"/>
        <v/>
      </c>
      <c r="W567" s="74" t="str">
        <f t="shared" si="204"/>
        <v/>
      </c>
      <c r="X567" s="74" t="str">
        <f t="shared" si="204"/>
        <v/>
      </c>
      <c r="Y567" s="74" t="str">
        <f t="shared" si="204"/>
        <v/>
      </c>
      <c r="Z567" s="74" t="str">
        <f t="shared" si="188"/>
        <v/>
      </c>
      <c r="AA567" s="74">
        <f t="shared" si="189"/>
        <v>0</v>
      </c>
      <c r="AB567" s="74">
        <f t="shared" si="190"/>
        <v>0</v>
      </c>
      <c r="AC567" s="74" t="str">
        <f t="shared" si="191"/>
        <v/>
      </c>
      <c r="AE567" s="74" t="str">
        <f t="shared" si="192"/>
        <v/>
      </c>
      <c r="AF567" s="74" t="str">
        <f t="shared" si="193"/>
        <v/>
      </c>
      <c r="AG567" s="74" t="str">
        <f t="shared" si="194"/>
        <v/>
      </c>
      <c r="AH567" s="74">
        <f t="shared" si="195"/>
        <v>0</v>
      </c>
      <c r="AI567" s="74" t="str">
        <f>IF(AH567&lt;&gt;0,COUNTIF(AH$3:AH567,1),"")</f>
        <v/>
      </c>
      <c r="AJ567" s="74">
        <f t="shared" si="196"/>
        <v>0</v>
      </c>
      <c r="AK567" s="73" t="str">
        <f t="shared" si="197"/>
        <v/>
      </c>
      <c r="AL567" s="73" t="str">
        <f t="shared" si="198"/>
        <v/>
      </c>
      <c r="AM567" s="73" t="str">
        <f t="shared" si="199"/>
        <v/>
      </c>
      <c r="AN567" s="73" t="str">
        <f t="shared" si="200"/>
        <v/>
      </c>
      <c r="AP567" s="61" t="str">
        <f t="shared" si="201"/>
        <v/>
      </c>
      <c r="AQ567" s="61" t="str">
        <f t="shared" si="202"/>
        <v/>
      </c>
      <c r="AR567" s="61" t="str">
        <f t="shared" si="203"/>
        <v/>
      </c>
    </row>
    <row r="568" spans="16:44" x14ac:dyDescent="0.25">
      <c r="P568" s="73" t="str">
        <f t="shared" si="184"/>
        <v/>
      </c>
      <c r="Q568" s="73" t="str">
        <f t="shared" si="185"/>
        <v/>
      </c>
      <c r="R568" s="74" t="str">
        <f t="shared" si="186"/>
        <v/>
      </c>
      <c r="S568" s="74" t="str">
        <f t="shared" si="187"/>
        <v/>
      </c>
      <c r="U568" s="74" t="str">
        <f t="shared" si="204"/>
        <v/>
      </c>
      <c r="V568" s="74" t="str">
        <f t="shared" si="204"/>
        <v/>
      </c>
      <c r="W568" s="74" t="str">
        <f t="shared" si="204"/>
        <v/>
      </c>
      <c r="X568" s="74" t="str">
        <f t="shared" si="204"/>
        <v/>
      </c>
      <c r="Y568" s="74" t="str">
        <f t="shared" si="204"/>
        <v/>
      </c>
      <c r="Z568" s="74" t="str">
        <f t="shared" si="188"/>
        <v/>
      </c>
      <c r="AA568" s="74">
        <f t="shared" si="189"/>
        <v>0</v>
      </c>
      <c r="AB568" s="74">
        <f t="shared" si="190"/>
        <v>0</v>
      </c>
      <c r="AC568" s="74" t="str">
        <f t="shared" si="191"/>
        <v/>
      </c>
      <c r="AE568" s="74" t="str">
        <f t="shared" si="192"/>
        <v/>
      </c>
      <c r="AF568" s="74" t="str">
        <f t="shared" si="193"/>
        <v/>
      </c>
      <c r="AG568" s="74" t="str">
        <f t="shared" si="194"/>
        <v/>
      </c>
      <c r="AH568" s="74">
        <f t="shared" si="195"/>
        <v>0</v>
      </c>
      <c r="AI568" s="74" t="str">
        <f>IF(AH568&lt;&gt;0,COUNTIF(AH$3:AH568,1),"")</f>
        <v/>
      </c>
      <c r="AJ568" s="74">
        <f t="shared" si="196"/>
        <v>0</v>
      </c>
      <c r="AK568" s="73" t="str">
        <f t="shared" si="197"/>
        <v/>
      </c>
      <c r="AL568" s="73" t="str">
        <f t="shared" si="198"/>
        <v/>
      </c>
      <c r="AM568" s="73" t="str">
        <f t="shared" si="199"/>
        <v/>
      </c>
      <c r="AN568" s="73" t="str">
        <f t="shared" si="200"/>
        <v/>
      </c>
      <c r="AP568" s="61" t="str">
        <f t="shared" si="201"/>
        <v/>
      </c>
      <c r="AQ568" s="61" t="str">
        <f t="shared" si="202"/>
        <v/>
      </c>
      <c r="AR568" s="61" t="str">
        <f t="shared" si="203"/>
        <v/>
      </c>
    </row>
    <row r="569" spans="16:44" x14ac:dyDescent="0.25">
      <c r="P569" s="73" t="str">
        <f t="shared" si="184"/>
        <v/>
      </c>
      <c r="Q569" s="73" t="str">
        <f t="shared" si="185"/>
        <v/>
      </c>
      <c r="R569" s="74" t="str">
        <f t="shared" si="186"/>
        <v/>
      </c>
      <c r="S569" s="74" t="str">
        <f t="shared" si="187"/>
        <v/>
      </c>
      <c r="U569" s="74" t="str">
        <f t="shared" si="204"/>
        <v/>
      </c>
      <c r="V569" s="74" t="str">
        <f t="shared" si="204"/>
        <v/>
      </c>
      <c r="W569" s="74" t="str">
        <f t="shared" si="204"/>
        <v/>
      </c>
      <c r="X569" s="74" t="str">
        <f t="shared" si="204"/>
        <v/>
      </c>
      <c r="Y569" s="74" t="str">
        <f t="shared" si="204"/>
        <v/>
      </c>
      <c r="Z569" s="74" t="str">
        <f t="shared" si="188"/>
        <v/>
      </c>
      <c r="AA569" s="74">
        <f t="shared" si="189"/>
        <v>0</v>
      </c>
      <c r="AB569" s="74">
        <f t="shared" si="190"/>
        <v>0</v>
      </c>
      <c r="AC569" s="74" t="str">
        <f t="shared" si="191"/>
        <v/>
      </c>
      <c r="AE569" s="74" t="str">
        <f t="shared" si="192"/>
        <v/>
      </c>
      <c r="AF569" s="74" t="str">
        <f t="shared" si="193"/>
        <v/>
      </c>
      <c r="AG569" s="74" t="str">
        <f t="shared" si="194"/>
        <v/>
      </c>
      <c r="AH569" s="74">
        <f t="shared" si="195"/>
        <v>0</v>
      </c>
      <c r="AI569" s="74" t="str">
        <f>IF(AH569&lt;&gt;0,COUNTIF(AH$3:AH569,1),"")</f>
        <v/>
      </c>
      <c r="AJ569" s="74">
        <f t="shared" si="196"/>
        <v>0</v>
      </c>
      <c r="AK569" s="73" t="str">
        <f t="shared" si="197"/>
        <v/>
      </c>
      <c r="AL569" s="73" t="str">
        <f t="shared" si="198"/>
        <v/>
      </c>
      <c r="AM569" s="73" t="str">
        <f t="shared" si="199"/>
        <v/>
      </c>
      <c r="AN569" s="73" t="str">
        <f t="shared" si="200"/>
        <v/>
      </c>
      <c r="AP569" s="61" t="str">
        <f t="shared" si="201"/>
        <v/>
      </c>
      <c r="AQ569" s="61" t="str">
        <f t="shared" si="202"/>
        <v/>
      </c>
      <c r="AR569" s="61" t="str">
        <f t="shared" si="203"/>
        <v/>
      </c>
    </row>
    <row r="570" spans="16:44" x14ac:dyDescent="0.25">
      <c r="P570" s="73" t="str">
        <f t="shared" si="184"/>
        <v/>
      </c>
      <c r="Q570" s="73" t="str">
        <f t="shared" si="185"/>
        <v/>
      </c>
      <c r="R570" s="74" t="str">
        <f t="shared" si="186"/>
        <v/>
      </c>
      <c r="S570" s="74" t="str">
        <f t="shared" si="187"/>
        <v/>
      </c>
      <c r="U570" s="74" t="str">
        <f t="shared" si="204"/>
        <v/>
      </c>
      <c r="V570" s="74" t="str">
        <f t="shared" si="204"/>
        <v/>
      </c>
      <c r="W570" s="74" t="str">
        <f t="shared" si="204"/>
        <v/>
      </c>
      <c r="X570" s="74" t="str">
        <f t="shared" si="204"/>
        <v/>
      </c>
      <c r="Y570" s="74" t="str">
        <f t="shared" si="204"/>
        <v/>
      </c>
      <c r="Z570" s="74" t="str">
        <f t="shared" si="188"/>
        <v/>
      </c>
      <c r="AA570" s="74">
        <f t="shared" si="189"/>
        <v>0</v>
      </c>
      <c r="AB570" s="74">
        <f t="shared" si="190"/>
        <v>0</v>
      </c>
      <c r="AC570" s="74" t="str">
        <f t="shared" si="191"/>
        <v/>
      </c>
      <c r="AE570" s="74" t="str">
        <f t="shared" si="192"/>
        <v/>
      </c>
      <c r="AF570" s="74" t="str">
        <f t="shared" si="193"/>
        <v/>
      </c>
      <c r="AG570" s="74" t="str">
        <f t="shared" si="194"/>
        <v/>
      </c>
      <c r="AH570" s="74">
        <f t="shared" si="195"/>
        <v>0</v>
      </c>
      <c r="AI570" s="74" t="str">
        <f>IF(AH570&lt;&gt;0,COUNTIF(AH$3:AH570,1),"")</f>
        <v/>
      </c>
      <c r="AJ570" s="74">
        <f t="shared" si="196"/>
        <v>0</v>
      </c>
      <c r="AK570" s="73" t="str">
        <f t="shared" si="197"/>
        <v/>
      </c>
      <c r="AL570" s="73" t="str">
        <f t="shared" si="198"/>
        <v/>
      </c>
      <c r="AM570" s="73" t="str">
        <f t="shared" si="199"/>
        <v/>
      </c>
      <c r="AN570" s="73" t="str">
        <f t="shared" si="200"/>
        <v/>
      </c>
      <c r="AP570" s="61" t="str">
        <f t="shared" si="201"/>
        <v/>
      </c>
      <c r="AQ570" s="61" t="str">
        <f t="shared" si="202"/>
        <v/>
      </c>
      <c r="AR570" s="61" t="str">
        <f t="shared" si="203"/>
        <v/>
      </c>
    </row>
    <row r="571" spans="16:44" x14ac:dyDescent="0.25">
      <c r="P571" s="73" t="str">
        <f t="shared" si="184"/>
        <v/>
      </c>
      <c r="Q571" s="73" t="str">
        <f t="shared" si="185"/>
        <v/>
      </c>
      <c r="R571" s="74" t="str">
        <f t="shared" si="186"/>
        <v/>
      </c>
      <c r="S571" s="74" t="str">
        <f t="shared" si="187"/>
        <v/>
      </c>
      <c r="U571" s="74" t="str">
        <f t="shared" si="204"/>
        <v/>
      </c>
      <c r="V571" s="74" t="str">
        <f t="shared" si="204"/>
        <v/>
      </c>
      <c r="W571" s="74" t="str">
        <f t="shared" si="204"/>
        <v/>
      </c>
      <c r="X571" s="74" t="str">
        <f t="shared" si="204"/>
        <v/>
      </c>
      <c r="Y571" s="74" t="str">
        <f t="shared" si="204"/>
        <v/>
      </c>
      <c r="Z571" s="74" t="str">
        <f t="shared" si="188"/>
        <v/>
      </c>
      <c r="AA571" s="74">
        <f t="shared" si="189"/>
        <v>0</v>
      </c>
      <c r="AB571" s="74">
        <f t="shared" si="190"/>
        <v>0</v>
      </c>
      <c r="AC571" s="74" t="str">
        <f t="shared" si="191"/>
        <v/>
      </c>
      <c r="AE571" s="74" t="str">
        <f t="shared" si="192"/>
        <v/>
      </c>
      <c r="AF571" s="74" t="str">
        <f t="shared" si="193"/>
        <v/>
      </c>
      <c r="AG571" s="74" t="str">
        <f t="shared" si="194"/>
        <v/>
      </c>
      <c r="AH571" s="74">
        <f t="shared" si="195"/>
        <v>0</v>
      </c>
      <c r="AI571" s="74" t="str">
        <f>IF(AH571&lt;&gt;0,COUNTIF(AH$3:AH571,1),"")</f>
        <v/>
      </c>
      <c r="AJ571" s="74">
        <f t="shared" si="196"/>
        <v>0</v>
      </c>
      <c r="AK571" s="73" t="str">
        <f t="shared" si="197"/>
        <v/>
      </c>
      <c r="AL571" s="73" t="str">
        <f t="shared" si="198"/>
        <v/>
      </c>
      <c r="AM571" s="73" t="str">
        <f t="shared" si="199"/>
        <v/>
      </c>
      <c r="AN571" s="73" t="str">
        <f t="shared" si="200"/>
        <v/>
      </c>
      <c r="AP571" s="61" t="str">
        <f t="shared" si="201"/>
        <v/>
      </c>
      <c r="AQ571" s="61" t="str">
        <f t="shared" si="202"/>
        <v/>
      </c>
      <c r="AR571" s="61" t="str">
        <f t="shared" si="203"/>
        <v/>
      </c>
    </row>
    <row r="572" spans="16:44" x14ac:dyDescent="0.25">
      <c r="P572" s="73" t="str">
        <f t="shared" si="184"/>
        <v/>
      </c>
      <c r="Q572" s="73" t="str">
        <f t="shared" si="185"/>
        <v/>
      </c>
      <c r="R572" s="74" t="str">
        <f t="shared" si="186"/>
        <v/>
      </c>
      <c r="S572" s="74" t="str">
        <f t="shared" si="187"/>
        <v/>
      </c>
      <c r="U572" s="74" t="str">
        <f t="shared" si="204"/>
        <v/>
      </c>
      <c r="V572" s="74" t="str">
        <f t="shared" si="204"/>
        <v/>
      </c>
      <c r="W572" s="74" t="str">
        <f t="shared" si="204"/>
        <v/>
      </c>
      <c r="X572" s="74" t="str">
        <f t="shared" si="204"/>
        <v/>
      </c>
      <c r="Y572" s="74" t="str">
        <f t="shared" si="204"/>
        <v/>
      </c>
      <c r="Z572" s="74" t="str">
        <f t="shared" si="188"/>
        <v/>
      </c>
      <c r="AA572" s="74">
        <f t="shared" si="189"/>
        <v>0</v>
      </c>
      <c r="AB572" s="74">
        <f t="shared" si="190"/>
        <v>0</v>
      </c>
      <c r="AC572" s="74" t="str">
        <f t="shared" si="191"/>
        <v/>
      </c>
      <c r="AE572" s="74" t="str">
        <f t="shared" si="192"/>
        <v/>
      </c>
      <c r="AF572" s="74" t="str">
        <f t="shared" si="193"/>
        <v/>
      </c>
      <c r="AG572" s="74" t="str">
        <f t="shared" si="194"/>
        <v/>
      </c>
      <c r="AH572" s="74">
        <f t="shared" si="195"/>
        <v>0</v>
      </c>
      <c r="AI572" s="74" t="str">
        <f>IF(AH572&lt;&gt;0,COUNTIF(AH$3:AH572,1),"")</f>
        <v/>
      </c>
      <c r="AJ572" s="74">
        <f t="shared" si="196"/>
        <v>0</v>
      </c>
      <c r="AK572" s="73" t="str">
        <f t="shared" si="197"/>
        <v/>
      </c>
      <c r="AL572" s="73" t="str">
        <f t="shared" si="198"/>
        <v/>
      </c>
      <c r="AM572" s="73" t="str">
        <f t="shared" si="199"/>
        <v/>
      </c>
      <c r="AN572" s="73" t="str">
        <f t="shared" si="200"/>
        <v/>
      </c>
      <c r="AP572" s="61" t="str">
        <f t="shared" si="201"/>
        <v/>
      </c>
      <c r="AQ572" s="61" t="str">
        <f t="shared" si="202"/>
        <v/>
      </c>
      <c r="AR572" s="61" t="str">
        <f t="shared" si="203"/>
        <v/>
      </c>
    </row>
    <row r="573" spans="16:44" x14ac:dyDescent="0.25">
      <c r="P573" s="73" t="str">
        <f t="shared" si="184"/>
        <v/>
      </c>
      <c r="Q573" s="73" t="str">
        <f t="shared" si="185"/>
        <v/>
      </c>
      <c r="R573" s="74" t="str">
        <f t="shared" si="186"/>
        <v/>
      </c>
      <c r="S573" s="74" t="str">
        <f t="shared" si="187"/>
        <v/>
      </c>
      <c r="U573" s="74" t="str">
        <f t="shared" si="204"/>
        <v/>
      </c>
      <c r="V573" s="74" t="str">
        <f t="shared" si="204"/>
        <v/>
      </c>
      <c r="W573" s="74" t="str">
        <f t="shared" si="204"/>
        <v/>
      </c>
      <c r="X573" s="74" t="str">
        <f t="shared" si="204"/>
        <v/>
      </c>
      <c r="Y573" s="74" t="str">
        <f t="shared" si="204"/>
        <v/>
      </c>
      <c r="Z573" s="74" t="str">
        <f t="shared" si="188"/>
        <v/>
      </c>
      <c r="AA573" s="74">
        <f t="shared" si="189"/>
        <v>0</v>
      </c>
      <c r="AB573" s="74">
        <f t="shared" si="190"/>
        <v>0</v>
      </c>
      <c r="AC573" s="74" t="str">
        <f t="shared" si="191"/>
        <v/>
      </c>
      <c r="AE573" s="74" t="str">
        <f t="shared" si="192"/>
        <v/>
      </c>
      <c r="AF573" s="74" t="str">
        <f t="shared" si="193"/>
        <v/>
      </c>
      <c r="AG573" s="74" t="str">
        <f t="shared" si="194"/>
        <v/>
      </c>
      <c r="AH573" s="74">
        <f t="shared" si="195"/>
        <v>0</v>
      </c>
      <c r="AI573" s="74" t="str">
        <f>IF(AH573&lt;&gt;0,COUNTIF(AH$3:AH573,1),"")</f>
        <v/>
      </c>
      <c r="AJ573" s="74">
        <f t="shared" si="196"/>
        <v>0</v>
      </c>
      <c r="AK573" s="73" t="str">
        <f t="shared" si="197"/>
        <v/>
      </c>
      <c r="AL573" s="73" t="str">
        <f t="shared" si="198"/>
        <v/>
      </c>
      <c r="AM573" s="73" t="str">
        <f t="shared" si="199"/>
        <v/>
      </c>
      <c r="AN573" s="73" t="str">
        <f t="shared" si="200"/>
        <v/>
      </c>
      <c r="AP573" s="61" t="str">
        <f t="shared" si="201"/>
        <v/>
      </c>
      <c r="AQ573" s="61" t="str">
        <f t="shared" si="202"/>
        <v/>
      </c>
      <c r="AR573" s="61" t="str">
        <f t="shared" si="203"/>
        <v/>
      </c>
    </row>
    <row r="574" spans="16:44" x14ac:dyDescent="0.25">
      <c r="P574" s="73" t="str">
        <f t="shared" ref="P574:P637" si="205">IF(N574&lt;&gt;"",SUBSTITUTE(LEFT(N574,FIND(";",N574)),";",""),"")</f>
        <v/>
      </c>
      <c r="Q574" s="73" t="str">
        <f t="shared" ref="Q574:Q637" si="206">IF(N574&lt;&gt;"",SUBSTITUTE(RIGHT(N574,FIND(";",N574)),";",""),"")</f>
        <v/>
      </c>
      <c r="R574" s="74" t="str">
        <f t="shared" ref="R574:R637" si="207">IF(O574&lt;&gt;"",SUBSTITUTE(LEFT(O574,FIND(";",O574)),";",""),"")</f>
        <v/>
      </c>
      <c r="S574" s="74" t="str">
        <f t="shared" ref="S574:S637" si="208">IF(O574&lt;&gt;"",IFERROR(IF(FIND("OK",O574)&gt;0,TRUE),FALSE),"")</f>
        <v/>
      </c>
      <c r="U574" s="74" t="str">
        <f t="shared" si="204"/>
        <v/>
      </c>
      <c r="V574" s="74" t="str">
        <f t="shared" si="204"/>
        <v/>
      </c>
      <c r="W574" s="74" t="str">
        <f t="shared" si="204"/>
        <v/>
      </c>
      <c r="X574" s="74" t="str">
        <f t="shared" si="204"/>
        <v/>
      </c>
      <c r="Y574" s="74" t="str">
        <f t="shared" si="204"/>
        <v/>
      </c>
      <c r="Z574" s="74" t="str">
        <f t="shared" ref="Z574:Z637" si="209">IF(G574,E574,"")</f>
        <v/>
      </c>
      <c r="AA574" s="74">
        <f t="shared" ref="AA574:AA637" si="210">IF(G574=FALSE,E574,"")</f>
        <v>0</v>
      </c>
      <c r="AB574" s="74">
        <f t="shared" ref="AB574:AB637" si="211">IF(G574,1,0)</f>
        <v>0</v>
      </c>
      <c r="AC574" s="74" t="str">
        <f t="shared" ref="AC574:AC637" si="212">IF(A574&lt;&gt;"",IF(G574,0,1),"")</f>
        <v/>
      </c>
      <c r="AE574" s="74" t="str">
        <f t="shared" ref="AE574:AE637" si="213">IF(P574&lt;&gt;"",IF(AND(_xlfn.NUMBERVALUE(P574)&gt;25,_xlfn.NUMBERVALUE(P574)&lt;38),TRUE,FALSE),"")</f>
        <v/>
      </c>
      <c r="AF574" s="74" t="str">
        <f t="shared" ref="AF574:AF637" si="214">IF(Q574&lt;&gt;"",IF(AND(_xlfn.NUMBERVALUE(Q574)&gt;25,_xlfn.NUMBERVALUE(Q574)&lt;38),TRUE,FALSE),"")</f>
        <v/>
      </c>
      <c r="AG574" s="74" t="str">
        <f t="shared" ref="AG574:AG637" si="215">IF(R574&lt;&gt;"",IF(AND(_xlfn.NUMBERVALUE(R574)&gt;262,_xlfn.NUMBERVALUE(R574)&lt;307),TRUE,FALSE),"")</f>
        <v/>
      </c>
      <c r="AH574" s="74">
        <f t="shared" ref="AH574:AH637" si="216">IF(OR(AE574=FALSE,AF574=FALSE,AG574=FALSE),1,0)</f>
        <v>0</v>
      </c>
      <c r="AI574" s="74" t="str">
        <f>IF(AH574&lt;&gt;0,COUNTIF(AH$3:AH574,1),"")</f>
        <v/>
      </c>
      <c r="AJ574" s="74">
        <f t="shared" ref="AJ574:AJ637" si="217">L574</f>
        <v>0</v>
      </c>
      <c r="AK574" s="73" t="str">
        <f t="shared" ref="AK574:AK637" si="218">P574</f>
        <v/>
      </c>
      <c r="AL574" s="73" t="str">
        <f t="shared" ref="AL574:AL637" si="219">Q574</f>
        <v/>
      </c>
      <c r="AM574" s="73" t="str">
        <f t="shared" ref="AM574:AM637" si="220">R574</f>
        <v/>
      </c>
      <c r="AN574" s="73" t="str">
        <f t="shared" ref="AN574:AN637" si="221">S574</f>
        <v/>
      </c>
      <c r="AP574" s="61" t="str">
        <f t="shared" si="201"/>
        <v/>
      </c>
      <c r="AQ574" s="61" t="str">
        <f t="shared" si="202"/>
        <v/>
      </c>
      <c r="AR574" s="61" t="str">
        <f t="shared" si="203"/>
        <v/>
      </c>
    </row>
    <row r="575" spans="16:44" x14ac:dyDescent="0.25">
      <c r="P575" s="73" t="str">
        <f t="shared" si="205"/>
        <v/>
      </c>
      <c r="Q575" s="73" t="str">
        <f t="shared" si="206"/>
        <v/>
      </c>
      <c r="R575" s="74" t="str">
        <f t="shared" si="207"/>
        <v/>
      </c>
      <c r="S575" s="74" t="str">
        <f t="shared" si="208"/>
        <v/>
      </c>
      <c r="U575" s="74" t="str">
        <f t="shared" si="204"/>
        <v/>
      </c>
      <c r="V575" s="74" t="str">
        <f t="shared" si="204"/>
        <v/>
      </c>
      <c r="W575" s="74" t="str">
        <f t="shared" si="204"/>
        <v/>
      </c>
      <c r="X575" s="74" t="str">
        <f t="shared" si="204"/>
        <v/>
      </c>
      <c r="Y575" s="74" t="str">
        <f t="shared" si="204"/>
        <v/>
      </c>
      <c r="Z575" s="74" t="str">
        <f t="shared" si="209"/>
        <v/>
      </c>
      <c r="AA575" s="74">
        <f t="shared" si="210"/>
        <v>0</v>
      </c>
      <c r="AB575" s="74">
        <f t="shared" si="211"/>
        <v>0</v>
      </c>
      <c r="AC575" s="74" t="str">
        <f t="shared" si="212"/>
        <v/>
      </c>
      <c r="AE575" s="74" t="str">
        <f t="shared" si="213"/>
        <v/>
      </c>
      <c r="AF575" s="74" t="str">
        <f t="shared" si="214"/>
        <v/>
      </c>
      <c r="AG575" s="74" t="str">
        <f t="shared" si="215"/>
        <v/>
      </c>
      <c r="AH575" s="74">
        <f t="shared" si="216"/>
        <v>0</v>
      </c>
      <c r="AI575" s="74" t="str">
        <f>IF(AH575&lt;&gt;0,COUNTIF(AH$3:AH575,1),"")</f>
        <v/>
      </c>
      <c r="AJ575" s="74">
        <f t="shared" si="217"/>
        <v>0</v>
      </c>
      <c r="AK575" s="73" t="str">
        <f t="shared" si="218"/>
        <v/>
      </c>
      <c r="AL575" s="73" t="str">
        <f t="shared" si="219"/>
        <v/>
      </c>
      <c r="AM575" s="73" t="str">
        <f t="shared" si="220"/>
        <v/>
      </c>
      <c r="AN575" s="73" t="str">
        <f t="shared" si="221"/>
        <v/>
      </c>
      <c r="AP575" s="61" t="str">
        <f t="shared" si="201"/>
        <v/>
      </c>
      <c r="AQ575" s="61" t="str">
        <f t="shared" si="202"/>
        <v/>
      </c>
      <c r="AR575" s="61" t="str">
        <f t="shared" si="203"/>
        <v/>
      </c>
    </row>
    <row r="576" spans="16:44" x14ac:dyDescent="0.25">
      <c r="P576" s="73" t="str">
        <f t="shared" si="205"/>
        <v/>
      </c>
      <c r="Q576" s="73" t="str">
        <f t="shared" si="206"/>
        <v/>
      </c>
      <c r="R576" s="74" t="str">
        <f t="shared" si="207"/>
        <v/>
      </c>
      <c r="S576" s="74" t="str">
        <f t="shared" si="208"/>
        <v/>
      </c>
      <c r="U576" s="74" t="str">
        <f t="shared" si="204"/>
        <v/>
      </c>
      <c r="V576" s="74" t="str">
        <f t="shared" si="204"/>
        <v/>
      </c>
      <c r="W576" s="74" t="str">
        <f t="shared" si="204"/>
        <v/>
      </c>
      <c r="X576" s="74" t="str">
        <f t="shared" si="204"/>
        <v/>
      </c>
      <c r="Y576" s="74" t="str">
        <f t="shared" si="204"/>
        <v/>
      </c>
      <c r="Z576" s="74" t="str">
        <f t="shared" si="209"/>
        <v/>
      </c>
      <c r="AA576" s="74">
        <f t="shared" si="210"/>
        <v>0</v>
      </c>
      <c r="AB576" s="74">
        <f t="shared" si="211"/>
        <v>0</v>
      </c>
      <c r="AC576" s="74" t="str">
        <f t="shared" si="212"/>
        <v/>
      </c>
      <c r="AE576" s="74" t="str">
        <f t="shared" si="213"/>
        <v/>
      </c>
      <c r="AF576" s="74" t="str">
        <f t="shared" si="214"/>
        <v/>
      </c>
      <c r="AG576" s="74" t="str">
        <f t="shared" si="215"/>
        <v/>
      </c>
      <c r="AH576" s="74">
        <f t="shared" si="216"/>
        <v>0</v>
      </c>
      <c r="AI576" s="74" t="str">
        <f>IF(AH576&lt;&gt;0,COUNTIF(AH$3:AH576,1),"")</f>
        <v/>
      </c>
      <c r="AJ576" s="74">
        <f t="shared" si="217"/>
        <v>0</v>
      </c>
      <c r="AK576" s="73" t="str">
        <f t="shared" si="218"/>
        <v/>
      </c>
      <c r="AL576" s="73" t="str">
        <f t="shared" si="219"/>
        <v/>
      </c>
      <c r="AM576" s="73" t="str">
        <f t="shared" si="220"/>
        <v/>
      </c>
      <c r="AN576" s="73" t="str">
        <f t="shared" si="221"/>
        <v/>
      </c>
      <c r="AP576" s="61" t="str">
        <f t="shared" si="201"/>
        <v/>
      </c>
      <c r="AQ576" s="61" t="str">
        <f t="shared" si="202"/>
        <v/>
      </c>
      <c r="AR576" s="61" t="str">
        <f t="shared" si="203"/>
        <v/>
      </c>
    </row>
    <row r="577" spans="16:44" x14ac:dyDescent="0.25">
      <c r="P577" s="73" t="str">
        <f t="shared" si="205"/>
        <v/>
      </c>
      <c r="Q577" s="73" t="str">
        <f t="shared" si="206"/>
        <v/>
      </c>
      <c r="R577" s="74" t="str">
        <f t="shared" si="207"/>
        <v/>
      </c>
      <c r="S577" s="74" t="str">
        <f t="shared" si="208"/>
        <v/>
      </c>
      <c r="U577" s="74" t="str">
        <f t="shared" si="204"/>
        <v/>
      </c>
      <c r="V577" s="74" t="str">
        <f t="shared" si="204"/>
        <v/>
      </c>
      <c r="W577" s="74" t="str">
        <f t="shared" si="204"/>
        <v/>
      </c>
      <c r="X577" s="74" t="str">
        <f t="shared" si="204"/>
        <v/>
      </c>
      <c r="Y577" s="74" t="str">
        <f t="shared" si="204"/>
        <v/>
      </c>
      <c r="Z577" s="74" t="str">
        <f t="shared" si="209"/>
        <v/>
      </c>
      <c r="AA577" s="74">
        <f t="shared" si="210"/>
        <v>0</v>
      </c>
      <c r="AB577" s="74">
        <f t="shared" si="211"/>
        <v>0</v>
      </c>
      <c r="AC577" s="74" t="str">
        <f t="shared" si="212"/>
        <v/>
      </c>
      <c r="AE577" s="74" t="str">
        <f t="shared" si="213"/>
        <v/>
      </c>
      <c r="AF577" s="74" t="str">
        <f t="shared" si="214"/>
        <v/>
      </c>
      <c r="AG577" s="74" t="str">
        <f t="shared" si="215"/>
        <v/>
      </c>
      <c r="AH577" s="74">
        <f t="shared" si="216"/>
        <v>0</v>
      </c>
      <c r="AI577" s="74" t="str">
        <f>IF(AH577&lt;&gt;0,COUNTIF(AH$3:AH577,1),"")</f>
        <v/>
      </c>
      <c r="AJ577" s="74">
        <f t="shared" si="217"/>
        <v>0</v>
      </c>
      <c r="AK577" s="73" t="str">
        <f t="shared" si="218"/>
        <v/>
      </c>
      <c r="AL577" s="73" t="str">
        <f t="shared" si="219"/>
        <v/>
      </c>
      <c r="AM577" s="73" t="str">
        <f t="shared" si="220"/>
        <v/>
      </c>
      <c r="AN577" s="73" t="str">
        <f t="shared" si="221"/>
        <v/>
      </c>
      <c r="AP577" s="61" t="str">
        <f t="shared" si="201"/>
        <v/>
      </c>
      <c r="AQ577" s="61" t="str">
        <f t="shared" si="202"/>
        <v/>
      </c>
      <c r="AR577" s="61" t="str">
        <f t="shared" si="203"/>
        <v/>
      </c>
    </row>
    <row r="578" spans="16:44" x14ac:dyDescent="0.25">
      <c r="P578" s="73" t="str">
        <f t="shared" si="205"/>
        <v/>
      </c>
      <c r="Q578" s="73" t="str">
        <f t="shared" si="206"/>
        <v/>
      </c>
      <c r="R578" s="74" t="str">
        <f t="shared" si="207"/>
        <v/>
      </c>
      <c r="S578" s="74" t="str">
        <f t="shared" si="208"/>
        <v/>
      </c>
      <c r="U578" s="74" t="str">
        <f t="shared" si="204"/>
        <v/>
      </c>
      <c r="V578" s="74" t="str">
        <f t="shared" si="204"/>
        <v/>
      </c>
      <c r="W578" s="74" t="str">
        <f t="shared" si="204"/>
        <v/>
      </c>
      <c r="X578" s="74" t="str">
        <f t="shared" si="204"/>
        <v/>
      </c>
      <c r="Y578" s="74" t="str">
        <f t="shared" si="204"/>
        <v/>
      </c>
      <c r="Z578" s="74" t="str">
        <f t="shared" si="209"/>
        <v/>
      </c>
      <c r="AA578" s="74">
        <f t="shared" si="210"/>
        <v>0</v>
      </c>
      <c r="AB578" s="74">
        <f t="shared" si="211"/>
        <v>0</v>
      </c>
      <c r="AC578" s="74" t="str">
        <f t="shared" si="212"/>
        <v/>
      </c>
      <c r="AE578" s="74" t="str">
        <f t="shared" si="213"/>
        <v/>
      </c>
      <c r="AF578" s="74" t="str">
        <f t="shared" si="214"/>
        <v/>
      </c>
      <c r="AG578" s="74" t="str">
        <f t="shared" si="215"/>
        <v/>
      </c>
      <c r="AH578" s="74">
        <f t="shared" si="216"/>
        <v>0</v>
      </c>
      <c r="AI578" s="74" t="str">
        <f>IF(AH578&lt;&gt;0,COUNTIF(AH$3:AH578,1),"")</f>
        <v/>
      </c>
      <c r="AJ578" s="74">
        <f t="shared" si="217"/>
        <v>0</v>
      </c>
      <c r="AK578" s="73" t="str">
        <f t="shared" si="218"/>
        <v/>
      </c>
      <c r="AL578" s="73" t="str">
        <f t="shared" si="219"/>
        <v/>
      </c>
      <c r="AM578" s="73" t="str">
        <f t="shared" si="220"/>
        <v/>
      </c>
      <c r="AN578" s="73" t="str">
        <f t="shared" si="221"/>
        <v/>
      </c>
      <c r="AP578" s="61" t="str">
        <f t="shared" si="201"/>
        <v/>
      </c>
      <c r="AQ578" s="61" t="str">
        <f t="shared" si="202"/>
        <v/>
      </c>
      <c r="AR578" s="61" t="str">
        <f t="shared" si="203"/>
        <v/>
      </c>
    </row>
    <row r="579" spans="16:44" x14ac:dyDescent="0.25">
      <c r="P579" s="73" t="str">
        <f t="shared" si="205"/>
        <v/>
      </c>
      <c r="Q579" s="73" t="str">
        <f t="shared" si="206"/>
        <v/>
      </c>
      <c r="R579" s="74" t="str">
        <f t="shared" si="207"/>
        <v/>
      </c>
      <c r="S579" s="74" t="str">
        <f t="shared" si="208"/>
        <v/>
      </c>
      <c r="U579" s="74" t="str">
        <f t="shared" si="204"/>
        <v/>
      </c>
      <c r="V579" s="74" t="str">
        <f t="shared" si="204"/>
        <v/>
      </c>
      <c r="W579" s="74" t="str">
        <f t="shared" si="204"/>
        <v/>
      </c>
      <c r="X579" s="74" t="str">
        <f t="shared" si="204"/>
        <v/>
      </c>
      <c r="Y579" s="74" t="str">
        <f t="shared" si="204"/>
        <v/>
      </c>
      <c r="Z579" s="74" t="str">
        <f t="shared" si="209"/>
        <v/>
      </c>
      <c r="AA579" s="74">
        <f t="shared" si="210"/>
        <v>0</v>
      </c>
      <c r="AB579" s="74">
        <f t="shared" si="211"/>
        <v>0</v>
      </c>
      <c r="AC579" s="74" t="str">
        <f t="shared" si="212"/>
        <v/>
      </c>
      <c r="AE579" s="74" t="str">
        <f t="shared" si="213"/>
        <v/>
      </c>
      <c r="AF579" s="74" t="str">
        <f t="shared" si="214"/>
        <v/>
      </c>
      <c r="AG579" s="74" t="str">
        <f t="shared" si="215"/>
        <v/>
      </c>
      <c r="AH579" s="74">
        <f t="shared" si="216"/>
        <v>0</v>
      </c>
      <c r="AI579" s="74" t="str">
        <f>IF(AH579&lt;&gt;0,COUNTIF(AH$3:AH579,1),"")</f>
        <v/>
      </c>
      <c r="AJ579" s="74">
        <f t="shared" si="217"/>
        <v>0</v>
      </c>
      <c r="AK579" s="73" t="str">
        <f t="shared" si="218"/>
        <v/>
      </c>
      <c r="AL579" s="73" t="str">
        <f t="shared" si="219"/>
        <v/>
      </c>
      <c r="AM579" s="73" t="str">
        <f t="shared" si="220"/>
        <v/>
      </c>
      <c r="AN579" s="73" t="str">
        <f t="shared" si="221"/>
        <v/>
      </c>
      <c r="AP579" s="61" t="str">
        <f t="shared" si="201"/>
        <v/>
      </c>
      <c r="AQ579" s="61" t="str">
        <f t="shared" si="202"/>
        <v/>
      </c>
      <c r="AR579" s="61" t="str">
        <f t="shared" si="203"/>
        <v/>
      </c>
    </row>
    <row r="580" spans="16:44" x14ac:dyDescent="0.25">
      <c r="P580" s="73" t="str">
        <f t="shared" si="205"/>
        <v/>
      </c>
      <c r="Q580" s="73" t="str">
        <f t="shared" si="206"/>
        <v/>
      </c>
      <c r="R580" s="74" t="str">
        <f t="shared" si="207"/>
        <v/>
      </c>
      <c r="S580" s="74" t="str">
        <f t="shared" si="208"/>
        <v/>
      </c>
      <c r="U580" s="74" t="str">
        <f t="shared" si="204"/>
        <v/>
      </c>
      <c r="V580" s="74" t="str">
        <f t="shared" si="204"/>
        <v/>
      </c>
      <c r="W580" s="74" t="str">
        <f t="shared" si="204"/>
        <v/>
      </c>
      <c r="X580" s="74" t="str">
        <f t="shared" si="204"/>
        <v/>
      </c>
      <c r="Y580" s="74" t="str">
        <f t="shared" si="204"/>
        <v/>
      </c>
      <c r="Z580" s="74" t="str">
        <f t="shared" si="209"/>
        <v/>
      </c>
      <c r="AA580" s="74">
        <f t="shared" si="210"/>
        <v>0</v>
      </c>
      <c r="AB580" s="74">
        <f t="shared" si="211"/>
        <v>0</v>
      </c>
      <c r="AC580" s="74" t="str">
        <f t="shared" si="212"/>
        <v/>
      </c>
      <c r="AE580" s="74" t="str">
        <f t="shared" si="213"/>
        <v/>
      </c>
      <c r="AF580" s="74" t="str">
        <f t="shared" si="214"/>
        <v/>
      </c>
      <c r="AG580" s="74" t="str">
        <f t="shared" si="215"/>
        <v/>
      </c>
      <c r="AH580" s="74">
        <f t="shared" si="216"/>
        <v>0</v>
      </c>
      <c r="AI580" s="74" t="str">
        <f>IF(AH580&lt;&gt;0,COUNTIF(AH$3:AH580,1),"")</f>
        <v/>
      </c>
      <c r="AJ580" s="74">
        <f t="shared" si="217"/>
        <v>0</v>
      </c>
      <c r="AK580" s="73" t="str">
        <f t="shared" si="218"/>
        <v/>
      </c>
      <c r="AL580" s="73" t="str">
        <f t="shared" si="219"/>
        <v/>
      </c>
      <c r="AM580" s="73" t="str">
        <f t="shared" si="220"/>
        <v/>
      </c>
      <c r="AN580" s="73" t="str">
        <f t="shared" si="221"/>
        <v/>
      </c>
      <c r="AP580" s="61" t="str">
        <f t="shared" ref="AP580:AP643" si="222">IF(P580&lt;&gt;"",_xlfn.NUMBERVALUE(P580),"")</f>
        <v/>
      </c>
      <c r="AQ580" s="61" t="str">
        <f t="shared" ref="AQ580:AQ643" si="223">IF(Q580&lt;&gt;"",_xlfn.NUMBERVALUE(Q580),"")</f>
        <v/>
      </c>
      <c r="AR580" s="61" t="str">
        <f t="shared" ref="AR580:AR643" si="224">IF(R580&lt;&gt;"",_xlfn.NUMBERVALUE(R580),"")</f>
        <v/>
      </c>
    </row>
    <row r="581" spans="16:44" x14ac:dyDescent="0.25">
      <c r="P581" s="73" t="str">
        <f t="shared" si="205"/>
        <v/>
      </c>
      <c r="Q581" s="73" t="str">
        <f t="shared" si="206"/>
        <v/>
      </c>
      <c r="R581" s="74" t="str">
        <f t="shared" si="207"/>
        <v/>
      </c>
      <c r="S581" s="74" t="str">
        <f t="shared" si="208"/>
        <v/>
      </c>
      <c r="U581" s="74" t="str">
        <f t="shared" si="204"/>
        <v/>
      </c>
      <c r="V581" s="74" t="str">
        <f t="shared" si="204"/>
        <v/>
      </c>
      <c r="W581" s="74" t="str">
        <f t="shared" si="204"/>
        <v/>
      </c>
      <c r="X581" s="74" t="str">
        <f t="shared" si="204"/>
        <v/>
      </c>
      <c r="Y581" s="74" t="str">
        <f t="shared" si="204"/>
        <v/>
      </c>
      <c r="Z581" s="74" t="str">
        <f t="shared" si="209"/>
        <v/>
      </c>
      <c r="AA581" s="74">
        <f t="shared" si="210"/>
        <v>0</v>
      </c>
      <c r="AB581" s="74">
        <f t="shared" si="211"/>
        <v>0</v>
      </c>
      <c r="AC581" s="74" t="str">
        <f t="shared" si="212"/>
        <v/>
      </c>
      <c r="AE581" s="74" t="str">
        <f t="shared" si="213"/>
        <v/>
      </c>
      <c r="AF581" s="74" t="str">
        <f t="shared" si="214"/>
        <v/>
      </c>
      <c r="AG581" s="74" t="str">
        <f t="shared" si="215"/>
        <v/>
      </c>
      <c r="AH581" s="74">
        <f t="shared" si="216"/>
        <v>0</v>
      </c>
      <c r="AI581" s="74" t="str">
        <f>IF(AH581&lt;&gt;0,COUNTIF(AH$3:AH581,1),"")</f>
        <v/>
      </c>
      <c r="AJ581" s="74">
        <f t="shared" si="217"/>
        <v>0</v>
      </c>
      <c r="AK581" s="73" t="str">
        <f t="shared" si="218"/>
        <v/>
      </c>
      <c r="AL581" s="73" t="str">
        <f t="shared" si="219"/>
        <v/>
      </c>
      <c r="AM581" s="73" t="str">
        <f t="shared" si="220"/>
        <v/>
      </c>
      <c r="AN581" s="73" t="str">
        <f t="shared" si="221"/>
        <v/>
      </c>
      <c r="AP581" s="61" t="str">
        <f t="shared" si="222"/>
        <v/>
      </c>
      <c r="AQ581" s="61" t="str">
        <f t="shared" si="223"/>
        <v/>
      </c>
      <c r="AR581" s="61" t="str">
        <f t="shared" si="224"/>
        <v/>
      </c>
    </row>
    <row r="582" spans="16:44" x14ac:dyDescent="0.25">
      <c r="P582" s="73" t="str">
        <f t="shared" si="205"/>
        <v/>
      </c>
      <c r="Q582" s="73" t="str">
        <f t="shared" si="206"/>
        <v/>
      </c>
      <c r="R582" s="74" t="str">
        <f t="shared" si="207"/>
        <v/>
      </c>
      <c r="S582" s="74" t="str">
        <f t="shared" si="208"/>
        <v/>
      </c>
      <c r="U582" s="74" t="str">
        <f t="shared" si="204"/>
        <v/>
      </c>
      <c r="V582" s="74" t="str">
        <f t="shared" si="204"/>
        <v/>
      </c>
      <c r="W582" s="74" t="str">
        <f t="shared" si="204"/>
        <v/>
      </c>
      <c r="X582" s="74" t="str">
        <f t="shared" si="204"/>
        <v/>
      </c>
      <c r="Y582" s="74" t="str">
        <f t="shared" si="204"/>
        <v/>
      </c>
      <c r="Z582" s="74" t="str">
        <f t="shared" si="209"/>
        <v/>
      </c>
      <c r="AA582" s="74">
        <f t="shared" si="210"/>
        <v>0</v>
      </c>
      <c r="AB582" s="74">
        <f t="shared" si="211"/>
        <v>0</v>
      </c>
      <c r="AC582" s="74" t="str">
        <f t="shared" si="212"/>
        <v/>
      </c>
      <c r="AE582" s="74" t="str">
        <f t="shared" si="213"/>
        <v/>
      </c>
      <c r="AF582" s="74" t="str">
        <f t="shared" si="214"/>
        <v/>
      </c>
      <c r="AG582" s="74" t="str">
        <f t="shared" si="215"/>
        <v/>
      </c>
      <c r="AH582" s="74">
        <f t="shared" si="216"/>
        <v>0</v>
      </c>
      <c r="AI582" s="74" t="str">
        <f>IF(AH582&lt;&gt;0,COUNTIF(AH$3:AH582,1),"")</f>
        <v/>
      </c>
      <c r="AJ582" s="74">
        <f t="shared" si="217"/>
        <v>0</v>
      </c>
      <c r="AK582" s="73" t="str">
        <f t="shared" si="218"/>
        <v/>
      </c>
      <c r="AL582" s="73" t="str">
        <f t="shared" si="219"/>
        <v/>
      </c>
      <c r="AM582" s="73" t="str">
        <f t="shared" si="220"/>
        <v/>
      </c>
      <c r="AN582" s="73" t="str">
        <f t="shared" si="221"/>
        <v/>
      </c>
      <c r="AP582" s="61" t="str">
        <f t="shared" si="222"/>
        <v/>
      </c>
      <c r="AQ582" s="61" t="str">
        <f t="shared" si="223"/>
        <v/>
      </c>
      <c r="AR582" s="61" t="str">
        <f t="shared" si="224"/>
        <v/>
      </c>
    </row>
    <row r="583" spans="16:44" x14ac:dyDescent="0.25">
      <c r="P583" s="73" t="str">
        <f t="shared" si="205"/>
        <v/>
      </c>
      <c r="Q583" s="73" t="str">
        <f t="shared" si="206"/>
        <v/>
      </c>
      <c r="R583" s="74" t="str">
        <f t="shared" si="207"/>
        <v/>
      </c>
      <c r="S583" s="74" t="str">
        <f t="shared" si="208"/>
        <v/>
      </c>
      <c r="U583" s="74" t="str">
        <f t="shared" si="204"/>
        <v/>
      </c>
      <c r="V583" s="74" t="str">
        <f t="shared" si="204"/>
        <v/>
      </c>
      <c r="W583" s="74" t="str">
        <f t="shared" si="204"/>
        <v/>
      </c>
      <c r="X583" s="74" t="str">
        <f t="shared" si="204"/>
        <v/>
      </c>
      <c r="Y583" s="74" t="str">
        <f t="shared" si="204"/>
        <v/>
      </c>
      <c r="Z583" s="74" t="str">
        <f t="shared" si="209"/>
        <v/>
      </c>
      <c r="AA583" s="74">
        <f t="shared" si="210"/>
        <v>0</v>
      </c>
      <c r="AB583" s="74">
        <f t="shared" si="211"/>
        <v>0</v>
      </c>
      <c r="AC583" s="74" t="str">
        <f t="shared" si="212"/>
        <v/>
      </c>
      <c r="AE583" s="74" t="str">
        <f t="shared" si="213"/>
        <v/>
      </c>
      <c r="AF583" s="74" t="str">
        <f t="shared" si="214"/>
        <v/>
      </c>
      <c r="AG583" s="74" t="str">
        <f t="shared" si="215"/>
        <v/>
      </c>
      <c r="AH583" s="74">
        <f t="shared" si="216"/>
        <v>0</v>
      </c>
      <c r="AI583" s="74" t="str">
        <f>IF(AH583&lt;&gt;0,COUNTIF(AH$3:AH583,1),"")</f>
        <v/>
      </c>
      <c r="AJ583" s="74">
        <f t="shared" si="217"/>
        <v>0</v>
      </c>
      <c r="AK583" s="73" t="str">
        <f t="shared" si="218"/>
        <v/>
      </c>
      <c r="AL583" s="73" t="str">
        <f t="shared" si="219"/>
        <v/>
      </c>
      <c r="AM583" s="73" t="str">
        <f t="shared" si="220"/>
        <v/>
      </c>
      <c r="AN583" s="73" t="str">
        <f t="shared" si="221"/>
        <v/>
      </c>
      <c r="AP583" s="61" t="str">
        <f t="shared" si="222"/>
        <v/>
      </c>
      <c r="AQ583" s="61" t="str">
        <f t="shared" si="223"/>
        <v/>
      </c>
      <c r="AR583" s="61" t="str">
        <f t="shared" si="224"/>
        <v/>
      </c>
    </row>
    <row r="584" spans="16:44" x14ac:dyDescent="0.25">
      <c r="P584" s="73" t="str">
        <f t="shared" si="205"/>
        <v/>
      </c>
      <c r="Q584" s="73" t="str">
        <f t="shared" si="206"/>
        <v/>
      </c>
      <c r="R584" s="74" t="str">
        <f t="shared" si="207"/>
        <v/>
      </c>
      <c r="S584" s="74" t="str">
        <f t="shared" si="208"/>
        <v/>
      </c>
      <c r="U584" s="74" t="str">
        <f t="shared" si="204"/>
        <v/>
      </c>
      <c r="V584" s="74" t="str">
        <f t="shared" si="204"/>
        <v/>
      </c>
      <c r="W584" s="74" t="str">
        <f t="shared" si="204"/>
        <v/>
      </c>
      <c r="X584" s="74" t="str">
        <f t="shared" si="204"/>
        <v/>
      </c>
      <c r="Y584" s="74" t="str">
        <f t="shared" si="204"/>
        <v/>
      </c>
      <c r="Z584" s="74" t="str">
        <f t="shared" si="209"/>
        <v/>
      </c>
      <c r="AA584" s="74">
        <f t="shared" si="210"/>
        <v>0</v>
      </c>
      <c r="AB584" s="74">
        <f t="shared" si="211"/>
        <v>0</v>
      </c>
      <c r="AC584" s="74" t="str">
        <f t="shared" si="212"/>
        <v/>
      </c>
      <c r="AE584" s="74" t="str">
        <f t="shared" si="213"/>
        <v/>
      </c>
      <c r="AF584" s="74" t="str">
        <f t="shared" si="214"/>
        <v/>
      </c>
      <c r="AG584" s="74" t="str">
        <f t="shared" si="215"/>
        <v/>
      </c>
      <c r="AH584" s="74">
        <f t="shared" si="216"/>
        <v>0</v>
      </c>
      <c r="AI584" s="74" t="str">
        <f>IF(AH584&lt;&gt;0,COUNTIF(AH$3:AH584,1),"")</f>
        <v/>
      </c>
      <c r="AJ584" s="74">
        <f t="shared" si="217"/>
        <v>0</v>
      </c>
      <c r="AK584" s="73" t="str">
        <f t="shared" si="218"/>
        <v/>
      </c>
      <c r="AL584" s="73" t="str">
        <f t="shared" si="219"/>
        <v/>
      </c>
      <c r="AM584" s="73" t="str">
        <f t="shared" si="220"/>
        <v/>
      </c>
      <c r="AN584" s="73" t="str">
        <f t="shared" si="221"/>
        <v/>
      </c>
      <c r="AP584" s="61" t="str">
        <f t="shared" si="222"/>
        <v/>
      </c>
      <c r="AQ584" s="61" t="str">
        <f t="shared" si="223"/>
        <v/>
      </c>
      <c r="AR584" s="61" t="str">
        <f t="shared" si="224"/>
        <v/>
      </c>
    </row>
    <row r="585" spans="16:44" x14ac:dyDescent="0.25">
      <c r="P585" s="73" t="str">
        <f t="shared" si="205"/>
        <v/>
      </c>
      <c r="Q585" s="73" t="str">
        <f t="shared" si="206"/>
        <v/>
      </c>
      <c r="R585" s="74" t="str">
        <f t="shared" si="207"/>
        <v/>
      </c>
      <c r="S585" s="74" t="str">
        <f t="shared" si="208"/>
        <v/>
      </c>
      <c r="U585" s="74" t="str">
        <f t="shared" si="204"/>
        <v/>
      </c>
      <c r="V585" s="74" t="str">
        <f t="shared" si="204"/>
        <v/>
      </c>
      <c r="W585" s="74" t="str">
        <f t="shared" si="204"/>
        <v/>
      </c>
      <c r="X585" s="74" t="str">
        <f t="shared" si="204"/>
        <v/>
      </c>
      <c r="Y585" s="74" t="str">
        <f t="shared" si="204"/>
        <v/>
      </c>
      <c r="Z585" s="74" t="str">
        <f t="shared" si="209"/>
        <v/>
      </c>
      <c r="AA585" s="74">
        <f t="shared" si="210"/>
        <v>0</v>
      </c>
      <c r="AB585" s="74">
        <f t="shared" si="211"/>
        <v>0</v>
      </c>
      <c r="AC585" s="74" t="str">
        <f t="shared" si="212"/>
        <v/>
      </c>
      <c r="AE585" s="74" t="str">
        <f t="shared" si="213"/>
        <v/>
      </c>
      <c r="AF585" s="74" t="str">
        <f t="shared" si="214"/>
        <v/>
      </c>
      <c r="AG585" s="74" t="str">
        <f t="shared" si="215"/>
        <v/>
      </c>
      <c r="AH585" s="74">
        <f t="shared" si="216"/>
        <v>0</v>
      </c>
      <c r="AI585" s="74" t="str">
        <f>IF(AH585&lt;&gt;0,COUNTIF(AH$3:AH585,1),"")</f>
        <v/>
      </c>
      <c r="AJ585" s="74">
        <f t="shared" si="217"/>
        <v>0</v>
      </c>
      <c r="AK585" s="73" t="str">
        <f t="shared" si="218"/>
        <v/>
      </c>
      <c r="AL585" s="73" t="str">
        <f t="shared" si="219"/>
        <v/>
      </c>
      <c r="AM585" s="73" t="str">
        <f t="shared" si="220"/>
        <v/>
      </c>
      <c r="AN585" s="73" t="str">
        <f t="shared" si="221"/>
        <v/>
      </c>
      <c r="AP585" s="61" t="str">
        <f t="shared" si="222"/>
        <v/>
      </c>
      <c r="AQ585" s="61" t="str">
        <f t="shared" si="223"/>
        <v/>
      </c>
      <c r="AR585" s="61" t="str">
        <f t="shared" si="224"/>
        <v/>
      </c>
    </row>
    <row r="586" spans="16:44" x14ac:dyDescent="0.25">
      <c r="P586" s="73" t="str">
        <f t="shared" si="205"/>
        <v/>
      </c>
      <c r="Q586" s="73" t="str">
        <f t="shared" si="206"/>
        <v/>
      </c>
      <c r="R586" s="74" t="str">
        <f t="shared" si="207"/>
        <v/>
      </c>
      <c r="S586" s="74" t="str">
        <f t="shared" si="208"/>
        <v/>
      </c>
      <c r="U586" s="74" t="str">
        <f t="shared" si="204"/>
        <v/>
      </c>
      <c r="V586" s="74" t="str">
        <f t="shared" si="204"/>
        <v/>
      </c>
      <c r="W586" s="74" t="str">
        <f t="shared" si="204"/>
        <v/>
      </c>
      <c r="X586" s="74" t="str">
        <f t="shared" si="204"/>
        <v/>
      </c>
      <c r="Y586" s="74" t="str">
        <f t="shared" si="204"/>
        <v/>
      </c>
      <c r="Z586" s="74" t="str">
        <f t="shared" si="209"/>
        <v/>
      </c>
      <c r="AA586" s="74">
        <f t="shared" si="210"/>
        <v>0</v>
      </c>
      <c r="AB586" s="74">
        <f t="shared" si="211"/>
        <v>0</v>
      </c>
      <c r="AC586" s="74" t="str">
        <f t="shared" si="212"/>
        <v/>
      </c>
      <c r="AE586" s="74" t="str">
        <f t="shared" si="213"/>
        <v/>
      </c>
      <c r="AF586" s="74" t="str">
        <f t="shared" si="214"/>
        <v/>
      </c>
      <c r="AG586" s="74" t="str">
        <f t="shared" si="215"/>
        <v/>
      </c>
      <c r="AH586" s="74">
        <f t="shared" si="216"/>
        <v>0</v>
      </c>
      <c r="AI586" s="74" t="str">
        <f>IF(AH586&lt;&gt;0,COUNTIF(AH$3:AH586,1),"")</f>
        <v/>
      </c>
      <c r="AJ586" s="74">
        <f t="shared" si="217"/>
        <v>0</v>
      </c>
      <c r="AK586" s="73" t="str">
        <f t="shared" si="218"/>
        <v/>
      </c>
      <c r="AL586" s="73" t="str">
        <f t="shared" si="219"/>
        <v/>
      </c>
      <c r="AM586" s="73" t="str">
        <f t="shared" si="220"/>
        <v/>
      </c>
      <c r="AN586" s="73" t="str">
        <f t="shared" si="221"/>
        <v/>
      </c>
      <c r="AP586" s="61" t="str">
        <f t="shared" si="222"/>
        <v/>
      </c>
      <c r="AQ586" s="61" t="str">
        <f t="shared" si="223"/>
        <v/>
      </c>
      <c r="AR586" s="61" t="str">
        <f t="shared" si="224"/>
        <v/>
      </c>
    </row>
    <row r="587" spans="16:44" x14ac:dyDescent="0.25">
      <c r="P587" s="73" t="str">
        <f t="shared" si="205"/>
        <v/>
      </c>
      <c r="Q587" s="73" t="str">
        <f t="shared" si="206"/>
        <v/>
      </c>
      <c r="R587" s="74" t="str">
        <f t="shared" si="207"/>
        <v/>
      </c>
      <c r="S587" s="74" t="str">
        <f t="shared" si="208"/>
        <v/>
      </c>
      <c r="U587" s="74" t="str">
        <f t="shared" si="204"/>
        <v/>
      </c>
      <c r="V587" s="74" t="str">
        <f t="shared" si="204"/>
        <v/>
      </c>
      <c r="W587" s="74" t="str">
        <f t="shared" si="204"/>
        <v/>
      </c>
      <c r="X587" s="74" t="str">
        <f t="shared" si="204"/>
        <v/>
      </c>
      <c r="Y587" s="74" t="str">
        <f t="shared" si="204"/>
        <v/>
      </c>
      <c r="Z587" s="74" t="str">
        <f t="shared" si="209"/>
        <v/>
      </c>
      <c r="AA587" s="74">
        <f t="shared" si="210"/>
        <v>0</v>
      </c>
      <c r="AB587" s="74">
        <f t="shared" si="211"/>
        <v>0</v>
      </c>
      <c r="AC587" s="74" t="str">
        <f t="shared" si="212"/>
        <v/>
      </c>
      <c r="AE587" s="74" t="str">
        <f t="shared" si="213"/>
        <v/>
      </c>
      <c r="AF587" s="74" t="str">
        <f t="shared" si="214"/>
        <v/>
      </c>
      <c r="AG587" s="74" t="str">
        <f t="shared" si="215"/>
        <v/>
      </c>
      <c r="AH587" s="74">
        <f t="shared" si="216"/>
        <v>0</v>
      </c>
      <c r="AI587" s="74" t="str">
        <f>IF(AH587&lt;&gt;0,COUNTIF(AH$3:AH587,1),"")</f>
        <v/>
      </c>
      <c r="AJ587" s="74">
        <f t="shared" si="217"/>
        <v>0</v>
      </c>
      <c r="AK587" s="73" t="str">
        <f t="shared" si="218"/>
        <v/>
      </c>
      <c r="AL587" s="73" t="str">
        <f t="shared" si="219"/>
        <v/>
      </c>
      <c r="AM587" s="73" t="str">
        <f t="shared" si="220"/>
        <v/>
      </c>
      <c r="AN587" s="73" t="str">
        <f t="shared" si="221"/>
        <v/>
      </c>
      <c r="AP587" s="61" t="str">
        <f t="shared" si="222"/>
        <v/>
      </c>
      <c r="AQ587" s="61" t="str">
        <f t="shared" si="223"/>
        <v/>
      </c>
      <c r="AR587" s="61" t="str">
        <f t="shared" si="224"/>
        <v/>
      </c>
    </row>
    <row r="588" spans="16:44" x14ac:dyDescent="0.25">
      <c r="P588" s="73" t="str">
        <f t="shared" si="205"/>
        <v/>
      </c>
      <c r="Q588" s="73" t="str">
        <f t="shared" si="206"/>
        <v/>
      </c>
      <c r="R588" s="74" t="str">
        <f t="shared" si="207"/>
        <v/>
      </c>
      <c r="S588" s="74" t="str">
        <f t="shared" si="208"/>
        <v/>
      </c>
      <c r="U588" s="74" t="str">
        <f t="shared" si="204"/>
        <v/>
      </c>
      <c r="V588" s="74" t="str">
        <f t="shared" si="204"/>
        <v/>
      </c>
      <c r="W588" s="74" t="str">
        <f t="shared" si="204"/>
        <v/>
      </c>
      <c r="X588" s="74" t="str">
        <f t="shared" si="204"/>
        <v/>
      </c>
      <c r="Y588" s="74" t="str">
        <f t="shared" si="204"/>
        <v/>
      </c>
      <c r="Z588" s="74" t="str">
        <f t="shared" si="209"/>
        <v/>
      </c>
      <c r="AA588" s="74">
        <f t="shared" si="210"/>
        <v>0</v>
      </c>
      <c r="AB588" s="74">
        <f t="shared" si="211"/>
        <v>0</v>
      </c>
      <c r="AC588" s="74" t="str">
        <f t="shared" si="212"/>
        <v/>
      </c>
      <c r="AE588" s="74" t="str">
        <f t="shared" si="213"/>
        <v/>
      </c>
      <c r="AF588" s="74" t="str">
        <f t="shared" si="214"/>
        <v/>
      </c>
      <c r="AG588" s="74" t="str">
        <f t="shared" si="215"/>
        <v/>
      </c>
      <c r="AH588" s="74">
        <f t="shared" si="216"/>
        <v>0</v>
      </c>
      <c r="AI588" s="74" t="str">
        <f>IF(AH588&lt;&gt;0,COUNTIF(AH$3:AH588,1),"")</f>
        <v/>
      </c>
      <c r="AJ588" s="74">
        <f t="shared" si="217"/>
        <v>0</v>
      </c>
      <c r="AK588" s="73" t="str">
        <f t="shared" si="218"/>
        <v/>
      </c>
      <c r="AL588" s="73" t="str">
        <f t="shared" si="219"/>
        <v/>
      </c>
      <c r="AM588" s="73" t="str">
        <f t="shared" si="220"/>
        <v/>
      </c>
      <c r="AN588" s="73" t="str">
        <f t="shared" si="221"/>
        <v/>
      </c>
      <c r="AP588" s="61" t="str">
        <f t="shared" si="222"/>
        <v/>
      </c>
      <c r="AQ588" s="61" t="str">
        <f t="shared" si="223"/>
        <v/>
      </c>
      <c r="AR588" s="61" t="str">
        <f t="shared" si="224"/>
        <v/>
      </c>
    </row>
    <row r="589" spans="16:44" x14ac:dyDescent="0.25">
      <c r="P589" s="73" t="str">
        <f t="shared" si="205"/>
        <v/>
      </c>
      <c r="Q589" s="73" t="str">
        <f t="shared" si="206"/>
        <v/>
      </c>
      <c r="R589" s="74" t="str">
        <f t="shared" si="207"/>
        <v/>
      </c>
      <c r="S589" s="74" t="str">
        <f t="shared" si="208"/>
        <v/>
      </c>
      <c r="U589" s="74" t="str">
        <f t="shared" si="204"/>
        <v/>
      </c>
      <c r="V589" s="74" t="str">
        <f t="shared" si="204"/>
        <v/>
      </c>
      <c r="W589" s="74" t="str">
        <f t="shared" si="204"/>
        <v/>
      </c>
      <c r="X589" s="74" t="str">
        <f t="shared" si="204"/>
        <v/>
      </c>
      <c r="Y589" s="74" t="str">
        <f t="shared" si="204"/>
        <v/>
      </c>
      <c r="Z589" s="74" t="str">
        <f t="shared" si="209"/>
        <v/>
      </c>
      <c r="AA589" s="74">
        <f t="shared" si="210"/>
        <v>0</v>
      </c>
      <c r="AB589" s="74">
        <f t="shared" si="211"/>
        <v>0</v>
      </c>
      <c r="AC589" s="74" t="str">
        <f t="shared" si="212"/>
        <v/>
      </c>
      <c r="AE589" s="74" t="str">
        <f t="shared" si="213"/>
        <v/>
      </c>
      <c r="AF589" s="74" t="str">
        <f t="shared" si="214"/>
        <v/>
      </c>
      <c r="AG589" s="74" t="str">
        <f t="shared" si="215"/>
        <v/>
      </c>
      <c r="AH589" s="74">
        <f t="shared" si="216"/>
        <v>0</v>
      </c>
      <c r="AI589" s="74" t="str">
        <f>IF(AH589&lt;&gt;0,COUNTIF(AH$3:AH589,1),"")</f>
        <v/>
      </c>
      <c r="AJ589" s="74">
        <f t="shared" si="217"/>
        <v>0</v>
      </c>
      <c r="AK589" s="73" t="str">
        <f t="shared" si="218"/>
        <v/>
      </c>
      <c r="AL589" s="73" t="str">
        <f t="shared" si="219"/>
        <v/>
      </c>
      <c r="AM589" s="73" t="str">
        <f t="shared" si="220"/>
        <v/>
      </c>
      <c r="AN589" s="73" t="str">
        <f t="shared" si="221"/>
        <v/>
      </c>
      <c r="AP589" s="61" t="str">
        <f t="shared" si="222"/>
        <v/>
      </c>
      <c r="AQ589" s="61" t="str">
        <f t="shared" si="223"/>
        <v/>
      </c>
      <c r="AR589" s="61" t="str">
        <f t="shared" si="224"/>
        <v/>
      </c>
    </row>
    <row r="590" spans="16:44" x14ac:dyDescent="0.25">
      <c r="P590" s="73" t="str">
        <f t="shared" si="205"/>
        <v/>
      </c>
      <c r="Q590" s="73" t="str">
        <f t="shared" si="206"/>
        <v/>
      </c>
      <c r="R590" s="74" t="str">
        <f t="shared" si="207"/>
        <v/>
      </c>
      <c r="S590" s="74" t="str">
        <f t="shared" si="208"/>
        <v/>
      </c>
      <c r="U590" s="74" t="str">
        <f t="shared" si="204"/>
        <v/>
      </c>
      <c r="V590" s="74" t="str">
        <f t="shared" si="204"/>
        <v/>
      </c>
      <c r="W590" s="74" t="str">
        <f t="shared" si="204"/>
        <v/>
      </c>
      <c r="X590" s="74" t="str">
        <f t="shared" si="204"/>
        <v/>
      </c>
      <c r="Y590" s="74" t="str">
        <f t="shared" si="204"/>
        <v/>
      </c>
      <c r="Z590" s="74" t="str">
        <f t="shared" si="209"/>
        <v/>
      </c>
      <c r="AA590" s="74">
        <f t="shared" si="210"/>
        <v>0</v>
      </c>
      <c r="AB590" s="74">
        <f t="shared" si="211"/>
        <v>0</v>
      </c>
      <c r="AC590" s="74" t="str">
        <f t="shared" si="212"/>
        <v/>
      </c>
      <c r="AE590" s="74" t="str">
        <f t="shared" si="213"/>
        <v/>
      </c>
      <c r="AF590" s="74" t="str">
        <f t="shared" si="214"/>
        <v/>
      </c>
      <c r="AG590" s="74" t="str">
        <f t="shared" si="215"/>
        <v/>
      </c>
      <c r="AH590" s="74">
        <f t="shared" si="216"/>
        <v>0</v>
      </c>
      <c r="AI590" s="74" t="str">
        <f>IF(AH590&lt;&gt;0,COUNTIF(AH$3:AH590,1),"")</f>
        <v/>
      </c>
      <c r="AJ590" s="74">
        <f t="shared" si="217"/>
        <v>0</v>
      </c>
      <c r="AK590" s="73" t="str">
        <f t="shared" si="218"/>
        <v/>
      </c>
      <c r="AL590" s="73" t="str">
        <f t="shared" si="219"/>
        <v/>
      </c>
      <c r="AM590" s="73" t="str">
        <f t="shared" si="220"/>
        <v/>
      </c>
      <c r="AN590" s="73" t="str">
        <f t="shared" si="221"/>
        <v/>
      </c>
      <c r="AP590" s="61" t="str">
        <f t="shared" si="222"/>
        <v/>
      </c>
      <c r="AQ590" s="61" t="str">
        <f t="shared" si="223"/>
        <v/>
      </c>
      <c r="AR590" s="61" t="str">
        <f t="shared" si="224"/>
        <v/>
      </c>
    </row>
    <row r="591" spans="16:44" x14ac:dyDescent="0.25">
      <c r="P591" s="73" t="str">
        <f t="shared" si="205"/>
        <v/>
      </c>
      <c r="Q591" s="73" t="str">
        <f t="shared" si="206"/>
        <v/>
      </c>
      <c r="R591" s="74" t="str">
        <f t="shared" si="207"/>
        <v/>
      </c>
      <c r="S591" s="74" t="str">
        <f t="shared" si="208"/>
        <v/>
      </c>
      <c r="U591" s="74" t="str">
        <f t="shared" si="204"/>
        <v/>
      </c>
      <c r="V591" s="74" t="str">
        <f t="shared" si="204"/>
        <v/>
      </c>
      <c r="W591" s="74" t="str">
        <f t="shared" si="204"/>
        <v/>
      </c>
      <c r="X591" s="74" t="str">
        <f t="shared" si="204"/>
        <v/>
      </c>
      <c r="Y591" s="74" t="str">
        <f t="shared" si="204"/>
        <v/>
      </c>
      <c r="Z591" s="74" t="str">
        <f t="shared" si="209"/>
        <v/>
      </c>
      <c r="AA591" s="74">
        <f t="shared" si="210"/>
        <v>0</v>
      </c>
      <c r="AB591" s="74">
        <f t="shared" si="211"/>
        <v>0</v>
      </c>
      <c r="AC591" s="74" t="str">
        <f t="shared" si="212"/>
        <v/>
      </c>
      <c r="AE591" s="74" t="str">
        <f t="shared" si="213"/>
        <v/>
      </c>
      <c r="AF591" s="74" t="str">
        <f t="shared" si="214"/>
        <v/>
      </c>
      <c r="AG591" s="74" t="str">
        <f t="shared" si="215"/>
        <v/>
      </c>
      <c r="AH591" s="74">
        <f t="shared" si="216"/>
        <v>0</v>
      </c>
      <c r="AI591" s="74" t="str">
        <f>IF(AH591&lt;&gt;0,COUNTIF(AH$3:AH591,1),"")</f>
        <v/>
      </c>
      <c r="AJ591" s="74">
        <f t="shared" si="217"/>
        <v>0</v>
      </c>
      <c r="AK591" s="73" t="str">
        <f t="shared" si="218"/>
        <v/>
      </c>
      <c r="AL591" s="73" t="str">
        <f t="shared" si="219"/>
        <v/>
      </c>
      <c r="AM591" s="73" t="str">
        <f t="shared" si="220"/>
        <v/>
      </c>
      <c r="AN591" s="73" t="str">
        <f t="shared" si="221"/>
        <v/>
      </c>
      <c r="AP591" s="61" t="str">
        <f t="shared" si="222"/>
        <v/>
      </c>
      <c r="AQ591" s="61" t="str">
        <f t="shared" si="223"/>
        <v/>
      </c>
      <c r="AR591" s="61" t="str">
        <f t="shared" si="224"/>
        <v/>
      </c>
    </row>
    <row r="592" spans="16:44" x14ac:dyDescent="0.25">
      <c r="P592" s="73" t="str">
        <f t="shared" si="205"/>
        <v/>
      </c>
      <c r="Q592" s="73" t="str">
        <f t="shared" si="206"/>
        <v/>
      </c>
      <c r="R592" s="74" t="str">
        <f t="shared" si="207"/>
        <v/>
      </c>
      <c r="S592" s="74" t="str">
        <f t="shared" si="208"/>
        <v/>
      </c>
      <c r="U592" s="74" t="str">
        <f t="shared" si="204"/>
        <v/>
      </c>
      <c r="V592" s="74" t="str">
        <f t="shared" si="204"/>
        <v/>
      </c>
      <c r="W592" s="74" t="str">
        <f t="shared" si="204"/>
        <v/>
      </c>
      <c r="X592" s="74" t="str">
        <f t="shared" si="204"/>
        <v/>
      </c>
      <c r="Y592" s="74" t="str">
        <f t="shared" si="204"/>
        <v/>
      </c>
      <c r="Z592" s="74" t="str">
        <f t="shared" si="209"/>
        <v/>
      </c>
      <c r="AA592" s="74">
        <f t="shared" si="210"/>
        <v>0</v>
      </c>
      <c r="AB592" s="74">
        <f t="shared" si="211"/>
        <v>0</v>
      </c>
      <c r="AC592" s="74" t="str">
        <f t="shared" si="212"/>
        <v/>
      </c>
      <c r="AE592" s="74" t="str">
        <f t="shared" si="213"/>
        <v/>
      </c>
      <c r="AF592" s="74" t="str">
        <f t="shared" si="214"/>
        <v/>
      </c>
      <c r="AG592" s="74" t="str">
        <f t="shared" si="215"/>
        <v/>
      </c>
      <c r="AH592" s="74">
        <f t="shared" si="216"/>
        <v>0</v>
      </c>
      <c r="AI592" s="74" t="str">
        <f>IF(AH592&lt;&gt;0,COUNTIF(AH$3:AH592,1),"")</f>
        <v/>
      </c>
      <c r="AJ592" s="74">
        <f t="shared" si="217"/>
        <v>0</v>
      </c>
      <c r="AK592" s="73" t="str">
        <f t="shared" si="218"/>
        <v/>
      </c>
      <c r="AL592" s="73" t="str">
        <f t="shared" si="219"/>
        <v/>
      </c>
      <c r="AM592" s="73" t="str">
        <f t="shared" si="220"/>
        <v/>
      </c>
      <c r="AN592" s="73" t="str">
        <f t="shared" si="221"/>
        <v/>
      </c>
      <c r="AP592" s="61" t="str">
        <f t="shared" si="222"/>
        <v/>
      </c>
      <c r="AQ592" s="61" t="str">
        <f t="shared" si="223"/>
        <v/>
      </c>
      <c r="AR592" s="61" t="str">
        <f t="shared" si="224"/>
        <v/>
      </c>
    </row>
    <row r="593" spans="16:44" x14ac:dyDescent="0.25">
      <c r="P593" s="73" t="str">
        <f t="shared" si="205"/>
        <v/>
      </c>
      <c r="Q593" s="73" t="str">
        <f t="shared" si="206"/>
        <v/>
      </c>
      <c r="R593" s="74" t="str">
        <f t="shared" si="207"/>
        <v/>
      </c>
      <c r="S593" s="74" t="str">
        <f t="shared" si="208"/>
        <v/>
      </c>
      <c r="U593" s="74" t="str">
        <f t="shared" si="204"/>
        <v/>
      </c>
      <c r="V593" s="74" t="str">
        <f t="shared" si="204"/>
        <v/>
      </c>
      <c r="W593" s="74" t="str">
        <f t="shared" si="204"/>
        <v/>
      </c>
      <c r="X593" s="74" t="str">
        <f t="shared" si="204"/>
        <v/>
      </c>
      <c r="Y593" s="74" t="str">
        <f t="shared" si="204"/>
        <v/>
      </c>
      <c r="Z593" s="74" t="str">
        <f t="shared" si="209"/>
        <v/>
      </c>
      <c r="AA593" s="74">
        <f t="shared" si="210"/>
        <v>0</v>
      </c>
      <c r="AB593" s="74">
        <f t="shared" si="211"/>
        <v>0</v>
      </c>
      <c r="AC593" s="74" t="str">
        <f t="shared" si="212"/>
        <v/>
      </c>
      <c r="AE593" s="74" t="str">
        <f t="shared" si="213"/>
        <v/>
      </c>
      <c r="AF593" s="74" t="str">
        <f t="shared" si="214"/>
        <v/>
      </c>
      <c r="AG593" s="74" t="str">
        <f t="shared" si="215"/>
        <v/>
      </c>
      <c r="AH593" s="74">
        <f t="shared" si="216"/>
        <v>0</v>
      </c>
      <c r="AI593" s="74" t="str">
        <f>IF(AH593&lt;&gt;0,COUNTIF(AH$3:AH593,1),"")</f>
        <v/>
      </c>
      <c r="AJ593" s="74">
        <f t="shared" si="217"/>
        <v>0</v>
      </c>
      <c r="AK593" s="73" t="str">
        <f t="shared" si="218"/>
        <v/>
      </c>
      <c r="AL593" s="73" t="str">
        <f t="shared" si="219"/>
        <v/>
      </c>
      <c r="AM593" s="73" t="str">
        <f t="shared" si="220"/>
        <v/>
      </c>
      <c r="AN593" s="73" t="str">
        <f t="shared" si="221"/>
        <v/>
      </c>
      <c r="AP593" s="61" t="str">
        <f t="shared" si="222"/>
        <v/>
      </c>
      <c r="AQ593" s="61" t="str">
        <f t="shared" si="223"/>
        <v/>
      </c>
      <c r="AR593" s="61" t="str">
        <f t="shared" si="224"/>
        <v/>
      </c>
    </row>
    <row r="594" spans="16:44" x14ac:dyDescent="0.25">
      <c r="P594" s="73" t="str">
        <f t="shared" si="205"/>
        <v/>
      </c>
      <c r="Q594" s="73" t="str">
        <f t="shared" si="206"/>
        <v/>
      </c>
      <c r="R594" s="74" t="str">
        <f t="shared" si="207"/>
        <v/>
      </c>
      <c r="S594" s="74" t="str">
        <f t="shared" si="208"/>
        <v/>
      </c>
      <c r="U594" s="74" t="str">
        <f t="shared" si="204"/>
        <v/>
      </c>
      <c r="V594" s="74" t="str">
        <f t="shared" si="204"/>
        <v/>
      </c>
      <c r="W594" s="74" t="str">
        <f t="shared" si="204"/>
        <v/>
      </c>
      <c r="X594" s="74" t="str">
        <f t="shared" si="204"/>
        <v/>
      </c>
      <c r="Y594" s="74" t="str">
        <f t="shared" si="204"/>
        <v/>
      </c>
      <c r="Z594" s="74" t="str">
        <f t="shared" si="209"/>
        <v/>
      </c>
      <c r="AA594" s="74">
        <f t="shared" si="210"/>
        <v>0</v>
      </c>
      <c r="AB594" s="74">
        <f t="shared" si="211"/>
        <v>0</v>
      </c>
      <c r="AC594" s="74" t="str">
        <f t="shared" si="212"/>
        <v/>
      </c>
      <c r="AE594" s="74" t="str">
        <f t="shared" si="213"/>
        <v/>
      </c>
      <c r="AF594" s="74" t="str">
        <f t="shared" si="214"/>
        <v/>
      </c>
      <c r="AG594" s="74" t="str">
        <f t="shared" si="215"/>
        <v/>
      </c>
      <c r="AH594" s="74">
        <f t="shared" si="216"/>
        <v>0</v>
      </c>
      <c r="AI594" s="74" t="str">
        <f>IF(AH594&lt;&gt;0,COUNTIF(AH$3:AH594,1),"")</f>
        <v/>
      </c>
      <c r="AJ594" s="74">
        <f t="shared" si="217"/>
        <v>0</v>
      </c>
      <c r="AK594" s="73" t="str">
        <f t="shared" si="218"/>
        <v/>
      </c>
      <c r="AL594" s="73" t="str">
        <f t="shared" si="219"/>
        <v/>
      </c>
      <c r="AM594" s="73" t="str">
        <f t="shared" si="220"/>
        <v/>
      </c>
      <c r="AN594" s="73" t="str">
        <f t="shared" si="221"/>
        <v/>
      </c>
      <c r="AP594" s="61" t="str">
        <f t="shared" si="222"/>
        <v/>
      </c>
      <c r="AQ594" s="61" t="str">
        <f t="shared" si="223"/>
        <v/>
      </c>
      <c r="AR594" s="61" t="str">
        <f t="shared" si="224"/>
        <v/>
      </c>
    </row>
    <row r="595" spans="16:44" x14ac:dyDescent="0.25">
      <c r="P595" s="73" t="str">
        <f t="shared" si="205"/>
        <v/>
      </c>
      <c r="Q595" s="73" t="str">
        <f t="shared" si="206"/>
        <v/>
      </c>
      <c r="R595" s="74" t="str">
        <f t="shared" si="207"/>
        <v/>
      </c>
      <c r="S595" s="74" t="str">
        <f t="shared" si="208"/>
        <v/>
      </c>
      <c r="U595" s="74" t="str">
        <f t="shared" si="204"/>
        <v/>
      </c>
      <c r="V595" s="74" t="str">
        <f t="shared" si="204"/>
        <v/>
      </c>
      <c r="W595" s="74" t="str">
        <f t="shared" si="204"/>
        <v/>
      </c>
      <c r="X595" s="74" t="str">
        <f t="shared" si="204"/>
        <v/>
      </c>
      <c r="Y595" s="74" t="str">
        <f t="shared" si="204"/>
        <v/>
      </c>
      <c r="Z595" s="74" t="str">
        <f t="shared" si="209"/>
        <v/>
      </c>
      <c r="AA595" s="74">
        <f t="shared" si="210"/>
        <v>0</v>
      </c>
      <c r="AB595" s="74">
        <f t="shared" si="211"/>
        <v>0</v>
      </c>
      <c r="AC595" s="74" t="str">
        <f t="shared" si="212"/>
        <v/>
      </c>
      <c r="AE595" s="74" t="str">
        <f t="shared" si="213"/>
        <v/>
      </c>
      <c r="AF595" s="74" t="str">
        <f t="shared" si="214"/>
        <v/>
      </c>
      <c r="AG595" s="74" t="str">
        <f t="shared" si="215"/>
        <v/>
      </c>
      <c r="AH595" s="74">
        <f t="shared" si="216"/>
        <v>0</v>
      </c>
      <c r="AI595" s="74" t="str">
        <f>IF(AH595&lt;&gt;0,COUNTIF(AH$3:AH595,1),"")</f>
        <v/>
      </c>
      <c r="AJ595" s="74">
        <f t="shared" si="217"/>
        <v>0</v>
      </c>
      <c r="AK595" s="73" t="str">
        <f t="shared" si="218"/>
        <v/>
      </c>
      <c r="AL595" s="73" t="str">
        <f t="shared" si="219"/>
        <v/>
      </c>
      <c r="AM595" s="73" t="str">
        <f t="shared" si="220"/>
        <v/>
      </c>
      <c r="AN595" s="73" t="str">
        <f t="shared" si="221"/>
        <v/>
      </c>
      <c r="AP595" s="61" t="str">
        <f t="shared" si="222"/>
        <v/>
      </c>
      <c r="AQ595" s="61" t="str">
        <f t="shared" si="223"/>
        <v/>
      </c>
      <c r="AR595" s="61" t="str">
        <f t="shared" si="224"/>
        <v/>
      </c>
    </row>
    <row r="596" spans="16:44" x14ac:dyDescent="0.25">
      <c r="P596" s="73" t="str">
        <f t="shared" si="205"/>
        <v/>
      </c>
      <c r="Q596" s="73" t="str">
        <f t="shared" si="206"/>
        <v/>
      </c>
      <c r="R596" s="74" t="str">
        <f t="shared" si="207"/>
        <v/>
      </c>
      <c r="S596" s="74" t="str">
        <f t="shared" si="208"/>
        <v/>
      </c>
      <c r="U596" s="74" t="str">
        <f t="shared" si="204"/>
        <v/>
      </c>
      <c r="V596" s="74" t="str">
        <f t="shared" si="204"/>
        <v/>
      </c>
      <c r="W596" s="74" t="str">
        <f t="shared" si="204"/>
        <v/>
      </c>
      <c r="X596" s="74" t="str">
        <f t="shared" si="204"/>
        <v/>
      </c>
      <c r="Y596" s="74" t="str">
        <f t="shared" si="204"/>
        <v/>
      </c>
      <c r="Z596" s="74" t="str">
        <f t="shared" si="209"/>
        <v/>
      </c>
      <c r="AA596" s="74">
        <f t="shared" si="210"/>
        <v>0</v>
      </c>
      <c r="AB596" s="74">
        <f t="shared" si="211"/>
        <v>0</v>
      </c>
      <c r="AC596" s="74" t="str">
        <f t="shared" si="212"/>
        <v/>
      </c>
      <c r="AE596" s="74" t="str">
        <f t="shared" si="213"/>
        <v/>
      </c>
      <c r="AF596" s="74" t="str">
        <f t="shared" si="214"/>
        <v/>
      </c>
      <c r="AG596" s="74" t="str">
        <f t="shared" si="215"/>
        <v/>
      </c>
      <c r="AH596" s="74">
        <f t="shared" si="216"/>
        <v>0</v>
      </c>
      <c r="AI596" s="74" t="str">
        <f>IF(AH596&lt;&gt;0,COUNTIF(AH$3:AH596,1),"")</f>
        <v/>
      </c>
      <c r="AJ596" s="74">
        <f t="shared" si="217"/>
        <v>0</v>
      </c>
      <c r="AK596" s="73" t="str">
        <f t="shared" si="218"/>
        <v/>
      </c>
      <c r="AL596" s="73" t="str">
        <f t="shared" si="219"/>
        <v/>
      </c>
      <c r="AM596" s="73" t="str">
        <f t="shared" si="220"/>
        <v/>
      </c>
      <c r="AN596" s="73" t="str">
        <f t="shared" si="221"/>
        <v/>
      </c>
      <c r="AP596" s="61" t="str">
        <f t="shared" si="222"/>
        <v/>
      </c>
      <c r="AQ596" s="61" t="str">
        <f t="shared" si="223"/>
        <v/>
      </c>
      <c r="AR596" s="61" t="str">
        <f t="shared" si="224"/>
        <v/>
      </c>
    </row>
    <row r="597" spans="16:44" x14ac:dyDescent="0.25">
      <c r="P597" s="73" t="str">
        <f t="shared" si="205"/>
        <v/>
      </c>
      <c r="Q597" s="73" t="str">
        <f t="shared" si="206"/>
        <v/>
      </c>
      <c r="R597" s="74" t="str">
        <f t="shared" si="207"/>
        <v/>
      </c>
      <c r="S597" s="74" t="str">
        <f t="shared" si="208"/>
        <v/>
      </c>
      <c r="U597" s="74" t="str">
        <f t="shared" si="204"/>
        <v/>
      </c>
      <c r="V597" s="74" t="str">
        <f t="shared" si="204"/>
        <v/>
      </c>
      <c r="W597" s="74" t="str">
        <f t="shared" si="204"/>
        <v/>
      </c>
      <c r="X597" s="74" t="str">
        <f t="shared" si="204"/>
        <v/>
      </c>
      <c r="Y597" s="74" t="str">
        <f t="shared" si="204"/>
        <v/>
      </c>
      <c r="Z597" s="74" t="str">
        <f t="shared" si="209"/>
        <v/>
      </c>
      <c r="AA597" s="74">
        <f t="shared" si="210"/>
        <v>0</v>
      </c>
      <c r="AB597" s="74">
        <f t="shared" si="211"/>
        <v>0</v>
      </c>
      <c r="AC597" s="74" t="str">
        <f t="shared" si="212"/>
        <v/>
      </c>
      <c r="AE597" s="74" t="str">
        <f t="shared" si="213"/>
        <v/>
      </c>
      <c r="AF597" s="74" t="str">
        <f t="shared" si="214"/>
        <v/>
      </c>
      <c r="AG597" s="74" t="str">
        <f t="shared" si="215"/>
        <v/>
      </c>
      <c r="AH597" s="74">
        <f t="shared" si="216"/>
        <v>0</v>
      </c>
      <c r="AI597" s="74" t="str">
        <f>IF(AH597&lt;&gt;0,COUNTIF(AH$3:AH597,1),"")</f>
        <v/>
      </c>
      <c r="AJ597" s="74">
        <f t="shared" si="217"/>
        <v>0</v>
      </c>
      <c r="AK597" s="73" t="str">
        <f t="shared" si="218"/>
        <v/>
      </c>
      <c r="AL597" s="73" t="str">
        <f t="shared" si="219"/>
        <v/>
      </c>
      <c r="AM597" s="73" t="str">
        <f t="shared" si="220"/>
        <v/>
      </c>
      <c r="AN597" s="73" t="str">
        <f t="shared" si="221"/>
        <v/>
      </c>
      <c r="AP597" s="61" t="str">
        <f t="shared" si="222"/>
        <v/>
      </c>
      <c r="AQ597" s="61" t="str">
        <f t="shared" si="223"/>
        <v/>
      </c>
      <c r="AR597" s="61" t="str">
        <f t="shared" si="224"/>
        <v/>
      </c>
    </row>
    <row r="598" spans="16:44" x14ac:dyDescent="0.25">
      <c r="P598" s="73" t="str">
        <f t="shared" si="205"/>
        <v/>
      </c>
      <c r="Q598" s="73" t="str">
        <f t="shared" si="206"/>
        <v/>
      </c>
      <c r="R598" s="74" t="str">
        <f t="shared" si="207"/>
        <v/>
      </c>
      <c r="S598" s="74" t="str">
        <f t="shared" si="208"/>
        <v/>
      </c>
      <c r="U598" s="74" t="str">
        <f t="shared" ref="U598:Y648" si="225">IF($F598=U$1,$E598,"")</f>
        <v/>
      </c>
      <c r="V598" s="74" t="str">
        <f t="shared" si="225"/>
        <v/>
      </c>
      <c r="W598" s="74" t="str">
        <f t="shared" si="225"/>
        <v/>
      </c>
      <c r="X598" s="74" t="str">
        <f t="shared" si="225"/>
        <v/>
      </c>
      <c r="Y598" s="74" t="str">
        <f t="shared" si="225"/>
        <v/>
      </c>
      <c r="Z598" s="74" t="str">
        <f t="shared" si="209"/>
        <v/>
      </c>
      <c r="AA598" s="74">
        <f t="shared" si="210"/>
        <v>0</v>
      </c>
      <c r="AB598" s="74">
        <f t="shared" si="211"/>
        <v>0</v>
      </c>
      <c r="AC598" s="74" t="str">
        <f t="shared" si="212"/>
        <v/>
      </c>
      <c r="AE598" s="74" t="str">
        <f t="shared" si="213"/>
        <v/>
      </c>
      <c r="AF598" s="74" t="str">
        <f t="shared" si="214"/>
        <v/>
      </c>
      <c r="AG598" s="74" t="str">
        <f t="shared" si="215"/>
        <v/>
      </c>
      <c r="AH598" s="74">
        <f t="shared" si="216"/>
        <v>0</v>
      </c>
      <c r="AI598" s="74" t="str">
        <f>IF(AH598&lt;&gt;0,COUNTIF(AH$3:AH598,1),"")</f>
        <v/>
      </c>
      <c r="AJ598" s="74">
        <f t="shared" si="217"/>
        <v>0</v>
      </c>
      <c r="AK598" s="73" t="str">
        <f t="shared" si="218"/>
        <v/>
      </c>
      <c r="AL598" s="73" t="str">
        <f t="shared" si="219"/>
        <v/>
      </c>
      <c r="AM598" s="73" t="str">
        <f t="shared" si="220"/>
        <v/>
      </c>
      <c r="AN598" s="73" t="str">
        <f t="shared" si="221"/>
        <v/>
      </c>
      <c r="AP598" s="61" t="str">
        <f t="shared" si="222"/>
        <v/>
      </c>
      <c r="AQ598" s="61" t="str">
        <f t="shared" si="223"/>
        <v/>
      </c>
      <c r="AR598" s="61" t="str">
        <f t="shared" si="224"/>
        <v/>
      </c>
    </row>
    <row r="599" spans="16:44" x14ac:dyDescent="0.25">
      <c r="P599" s="73" t="str">
        <f t="shared" si="205"/>
        <v/>
      </c>
      <c r="Q599" s="73" t="str">
        <f t="shared" si="206"/>
        <v/>
      </c>
      <c r="R599" s="74" t="str">
        <f t="shared" si="207"/>
        <v/>
      </c>
      <c r="S599" s="74" t="str">
        <f t="shared" si="208"/>
        <v/>
      </c>
      <c r="U599" s="74" t="str">
        <f t="shared" si="225"/>
        <v/>
      </c>
      <c r="V599" s="74" t="str">
        <f t="shared" si="225"/>
        <v/>
      </c>
      <c r="W599" s="74" t="str">
        <f t="shared" si="225"/>
        <v/>
      </c>
      <c r="X599" s="74" t="str">
        <f t="shared" si="225"/>
        <v/>
      </c>
      <c r="Y599" s="74" t="str">
        <f t="shared" si="225"/>
        <v/>
      </c>
      <c r="Z599" s="74" t="str">
        <f t="shared" si="209"/>
        <v/>
      </c>
      <c r="AA599" s="74">
        <f t="shared" si="210"/>
        <v>0</v>
      </c>
      <c r="AB599" s="74">
        <f t="shared" si="211"/>
        <v>0</v>
      </c>
      <c r="AC599" s="74" t="str">
        <f t="shared" si="212"/>
        <v/>
      </c>
      <c r="AE599" s="74" t="str">
        <f t="shared" si="213"/>
        <v/>
      </c>
      <c r="AF599" s="74" t="str">
        <f t="shared" si="214"/>
        <v/>
      </c>
      <c r="AG599" s="74" t="str">
        <f t="shared" si="215"/>
        <v/>
      </c>
      <c r="AH599" s="74">
        <f t="shared" si="216"/>
        <v>0</v>
      </c>
      <c r="AI599" s="74" t="str">
        <f>IF(AH599&lt;&gt;0,COUNTIF(AH$3:AH599,1),"")</f>
        <v/>
      </c>
      <c r="AJ599" s="74">
        <f t="shared" si="217"/>
        <v>0</v>
      </c>
      <c r="AK599" s="73" t="str">
        <f t="shared" si="218"/>
        <v/>
      </c>
      <c r="AL599" s="73" t="str">
        <f t="shared" si="219"/>
        <v/>
      </c>
      <c r="AM599" s="73" t="str">
        <f t="shared" si="220"/>
        <v/>
      </c>
      <c r="AN599" s="73" t="str">
        <f t="shared" si="221"/>
        <v/>
      </c>
      <c r="AP599" s="61" t="str">
        <f t="shared" si="222"/>
        <v/>
      </c>
      <c r="AQ599" s="61" t="str">
        <f t="shared" si="223"/>
        <v/>
      </c>
      <c r="AR599" s="61" t="str">
        <f t="shared" si="224"/>
        <v/>
      </c>
    </row>
    <row r="600" spans="16:44" x14ac:dyDescent="0.25">
      <c r="P600" s="73" t="str">
        <f t="shared" si="205"/>
        <v/>
      </c>
      <c r="Q600" s="73" t="str">
        <f t="shared" si="206"/>
        <v/>
      </c>
      <c r="R600" s="74" t="str">
        <f t="shared" si="207"/>
        <v/>
      </c>
      <c r="S600" s="74" t="str">
        <f t="shared" si="208"/>
        <v/>
      </c>
      <c r="U600" s="74" t="str">
        <f t="shared" si="225"/>
        <v/>
      </c>
      <c r="V600" s="74" t="str">
        <f t="shared" si="225"/>
        <v/>
      </c>
      <c r="W600" s="74" t="str">
        <f t="shared" si="225"/>
        <v/>
      </c>
      <c r="X600" s="74" t="str">
        <f t="shared" si="225"/>
        <v/>
      </c>
      <c r="Y600" s="74" t="str">
        <f t="shared" si="225"/>
        <v/>
      </c>
      <c r="Z600" s="74" t="str">
        <f t="shared" si="209"/>
        <v/>
      </c>
      <c r="AA600" s="74">
        <f t="shared" si="210"/>
        <v>0</v>
      </c>
      <c r="AB600" s="74">
        <f t="shared" si="211"/>
        <v>0</v>
      </c>
      <c r="AC600" s="74" t="str">
        <f t="shared" si="212"/>
        <v/>
      </c>
      <c r="AE600" s="74" t="str">
        <f t="shared" si="213"/>
        <v/>
      </c>
      <c r="AF600" s="74" t="str">
        <f t="shared" si="214"/>
        <v/>
      </c>
      <c r="AG600" s="74" t="str">
        <f t="shared" si="215"/>
        <v/>
      </c>
      <c r="AH600" s="74">
        <f t="shared" si="216"/>
        <v>0</v>
      </c>
      <c r="AI600" s="74" t="str">
        <f>IF(AH600&lt;&gt;0,COUNTIF(AH$3:AH600,1),"")</f>
        <v/>
      </c>
      <c r="AJ600" s="74">
        <f t="shared" si="217"/>
        <v>0</v>
      </c>
      <c r="AK600" s="73" t="str">
        <f t="shared" si="218"/>
        <v/>
      </c>
      <c r="AL600" s="73" t="str">
        <f t="shared" si="219"/>
        <v/>
      </c>
      <c r="AM600" s="73" t="str">
        <f t="shared" si="220"/>
        <v/>
      </c>
      <c r="AN600" s="73" t="str">
        <f t="shared" si="221"/>
        <v/>
      </c>
      <c r="AP600" s="61" t="str">
        <f t="shared" si="222"/>
        <v/>
      </c>
      <c r="AQ600" s="61" t="str">
        <f t="shared" si="223"/>
        <v/>
      </c>
      <c r="AR600" s="61" t="str">
        <f t="shared" si="224"/>
        <v/>
      </c>
    </row>
    <row r="601" spans="16:44" x14ac:dyDescent="0.25">
      <c r="P601" s="73" t="str">
        <f t="shared" si="205"/>
        <v/>
      </c>
      <c r="Q601" s="73" t="str">
        <f t="shared" si="206"/>
        <v/>
      </c>
      <c r="R601" s="74" t="str">
        <f t="shared" si="207"/>
        <v/>
      </c>
      <c r="S601" s="74" t="str">
        <f t="shared" si="208"/>
        <v/>
      </c>
      <c r="U601" s="74" t="str">
        <f t="shared" si="225"/>
        <v/>
      </c>
      <c r="V601" s="74" t="str">
        <f t="shared" si="225"/>
        <v/>
      </c>
      <c r="W601" s="74" t="str">
        <f t="shared" si="225"/>
        <v/>
      </c>
      <c r="X601" s="74" t="str">
        <f t="shared" si="225"/>
        <v/>
      </c>
      <c r="Y601" s="74" t="str">
        <f t="shared" si="225"/>
        <v/>
      </c>
      <c r="Z601" s="74" t="str">
        <f t="shared" si="209"/>
        <v/>
      </c>
      <c r="AA601" s="74">
        <f t="shared" si="210"/>
        <v>0</v>
      </c>
      <c r="AB601" s="74">
        <f t="shared" si="211"/>
        <v>0</v>
      </c>
      <c r="AC601" s="74" t="str">
        <f t="shared" si="212"/>
        <v/>
      </c>
      <c r="AE601" s="74" t="str">
        <f t="shared" si="213"/>
        <v/>
      </c>
      <c r="AF601" s="74" t="str">
        <f t="shared" si="214"/>
        <v/>
      </c>
      <c r="AG601" s="74" t="str">
        <f t="shared" si="215"/>
        <v/>
      </c>
      <c r="AH601" s="74">
        <f t="shared" si="216"/>
        <v>0</v>
      </c>
      <c r="AI601" s="74" t="str">
        <f>IF(AH601&lt;&gt;0,COUNTIF(AH$3:AH601,1),"")</f>
        <v/>
      </c>
      <c r="AJ601" s="74">
        <f t="shared" si="217"/>
        <v>0</v>
      </c>
      <c r="AK601" s="73" t="str">
        <f t="shared" si="218"/>
        <v/>
      </c>
      <c r="AL601" s="73" t="str">
        <f t="shared" si="219"/>
        <v/>
      </c>
      <c r="AM601" s="73" t="str">
        <f t="shared" si="220"/>
        <v/>
      </c>
      <c r="AN601" s="73" t="str">
        <f t="shared" si="221"/>
        <v/>
      </c>
      <c r="AP601" s="61" t="str">
        <f t="shared" si="222"/>
        <v/>
      </c>
      <c r="AQ601" s="61" t="str">
        <f t="shared" si="223"/>
        <v/>
      </c>
      <c r="AR601" s="61" t="str">
        <f t="shared" si="224"/>
        <v/>
      </c>
    </row>
    <row r="602" spans="16:44" x14ac:dyDescent="0.25">
      <c r="P602" s="73" t="str">
        <f t="shared" si="205"/>
        <v/>
      </c>
      <c r="Q602" s="73" t="str">
        <f t="shared" si="206"/>
        <v/>
      </c>
      <c r="R602" s="74" t="str">
        <f t="shared" si="207"/>
        <v/>
      </c>
      <c r="S602" s="74" t="str">
        <f t="shared" si="208"/>
        <v/>
      </c>
      <c r="U602" s="74" t="str">
        <f t="shared" si="225"/>
        <v/>
      </c>
      <c r="V602" s="74" t="str">
        <f t="shared" si="225"/>
        <v/>
      </c>
      <c r="W602" s="74" t="str">
        <f t="shared" si="225"/>
        <v/>
      </c>
      <c r="X602" s="74" t="str">
        <f t="shared" si="225"/>
        <v/>
      </c>
      <c r="Y602" s="74" t="str">
        <f t="shared" si="225"/>
        <v/>
      </c>
      <c r="Z602" s="74" t="str">
        <f t="shared" si="209"/>
        <v/>
      </c>
      <c r="AA602" s="74">
        <f t="shared" si="210"/>
        <v>0</v>
      </c>
      <c r="AB602" s="74">
        <f t="shared" si="211"/>
        <v>0</v>
      </c>
      <c r="AC602" s="74" t="str">
        <f t="shared" si="212"/>
        <v/>
      </c>
      <c r="AE602" s="74" t="str">
        <f t="shared" si="213"/>
        <v/>
      </c>
      <c r="AF602" s="74" t="str">
        <f t="shared" si="214"/>
        <v/>
      </c>
      <c r="AG602" s="74" t="str">
        <f t="shared" si="215"/>
        <v/>
      </c>
      <c r="AH602" s="74">
        <f t="shared" si="216"/>
        <v>0</v>
      </c>
      <c r="AI602" s="74" t="str">
        <f>IF(AH602&lt;&gt;0,COUNTIF(AH$3:AH602,1),"")</f>
        <v/>
      </c>
      <c r="AJ602" s="74">
        <f t="shared" si="217"/>
        <v>0</v>
      </c>
      <c r="AK602" s="73" t="str">
        <f t="shared" si="218"/>
        <v/>
      </c>
      <c r="AL602" s="73" t="str">
        <f t="shared" si="219"/>
        <v/>
      </c>
      <c r="AM602" s="73" t="str">
        <f t="shared" si="220"/>
        <v/>
      </c>
      <c r="AN602" s="73" t="str">
        <f t="shared" si="221"/>
        <v/>
      </c>
      <c r="AP602" s="61" t="str">
        <f t="shared" si="222"/>
        <v/>
      </c>
      <c r="AQ602" s="61" t="str">
        <f t="shared" si="223"/>
        <v/>
      </c>
      <c r="AR602" s="61" t="str">
        <f t="shared" si="224"/>
        <v/>
      </c>
    </row>
    <row r="603" spans="16:44" x14ac:dyDescent="0.25">
      <c r="P603" s="73" t="str">
        <f t="shared" si="205"/>
        <v/>
      </c>
      <c r="Q603" s="73" t="str">
        <f t="shared" si="206"/>
        <v/>
      </c>
      <c r="R603" s="74" t="str">
        <f t="shared" si="207"/>
        <v/>
      </c>
      <c r="S603" s="74" t="str">
        <f t="shared" si="208"/>
        <v/>
      </c>
      <c r="U603" s="74" t="str">
        <f t="shared" si="225"/>
        <v/>
      </c>
      <c r="V603" s="74" t="str">
        <f t="shared" si="225"/>
        <v/>
      </c>
      <c r="W603" s="74" t="str">
        <f t="shared" si="225"/>
        <v/>
      </c>
      <c r="X603" s="74" t="str">
        <f t="shared" si="225"/>
        <v/>
      </c>
      <c r="Y603" s="74" t="str">
        <f t="shared" si="225"/>
        <v/>
      </c>
      <c r="Z603" s="74" t="str">
        <f t="shared" si="209"/>
        <v/>
      </c>
      <c r="AA603" s="74">
        <f t="shared" si="210"/>
        <v>0</v>
      </c>
      <c r="AB603" s="74">
        <f t="shared" si="211"/>
        <v>0</v>
      </c>
      <c r="AC603" s="74" t="str">
        <f t="shared" si="212"/>
        <v/>
      </c>
      <c r="AE603" s="74" t="str">
        <f t="shared" si="213"/>
        <v/>
      </c>
      <c r="AF603" s="74" t="str">
        <f t="shared" si="214"/>
        <v/>
      </c>
      <c r="AG603" s="74" t="str">
        <f t="shared" si="215"/>
        <v/>
      </c>
      <c r="AH603" s="74">
        <f t="shared" si="216"/>
        <v>0</v>
      </c>
      <c r="AI603" s="74" t="str">
        <f>IF(AH603&lt;&gt;0,COUNTIF(AH$3:AH603,1),"")</f>
        <v/>
      </c>
      <c r="AJ603" s="74">
        <f t="shared" si="217"/>
        <v>0</v>
      </c>
      <c r="AK603" s="73" t="str">
        <f t="shared" si="218"/>
        <v/>
      </c>
      <c r="AL603" s="73" t="str">
        <f t="shared" si="219"/>
        <v/>
      </c>
      <c r="AM603" s="73" t="str">
        <f t="shared" si="220"/>
        <v/>
      </c>
      <c r="AN603" s="73" t="str">
        <f t="shared" si="221"/>
        <v/>
      </c>
      <c r="AP603" s="61" t="str">
        <f t="shared" si="222"/>
        <v/>
      </c>
      <c r="AQ603" s="61" t="str">
        <f t="shared" si="223"/>
        <v/>
      </c>
      <c r="AR603" s="61" t="str">
        <f t="shared" si="224"/>
        <v/>
      </c>
    </row>
    <row r="604" spans="16:44" x14ac:dyDescent="0.25">
      <c r="P604" s="73" t="str">
        <f t="shared" si="205"/>
        <v/>
      </c>
      <c r="Q604" s="73" t="str">
        <f t="shared" si="206"/>
        <v/>
      </c>
      <c r="R604" s="74" t="str">
        <f t="shared" si="207"/>
        <v/>
      </c>
      <c r="S604" s="74" t="str">
        <f t="shared" si="208"/>
        <v/>
      </c>
      <c r="U604" s="74" t="str">
        <f t="shared" si="225"/>
        <v/>
      </c>
      <c r="V604" s="74" t="str">
        <f t="shared" si="225"/>
        <v/>
      </c>
      <c r="W604" s="74" t="str">
        <f t="shared" si="225"/>
        <v/>
      </c>
      <c r="X604" s="74" t="str">
        <f t="shared" si="225"/>
        <v/>
      </c>
      <c r="Y604" s="74" t="str">
        <f t="shared" si="225"/>
        <v/>
      </c>
      <c r="Z604" s="74" t="str">
        <f t="shared" si="209"/>
        <v/>
      </c>
      <c r="AA604" s="74">
        <f t="shared" si="210"/>
        <v>0</v>
      </c>
      <c r="AB604" s="74">
        <f t="shared" si="211"/>
        <v>0</v>
      </c>
      <c r="AC604" s="74" t="str">
        <f t="shared" si="212"/>
        <v/>
      </c>
      <c r="AE604" s="74" t="str">
        <f t="shared" si="213"/>
        <v/>
      </c>
      <c r="AF604" s="74" t="str">
        <f t="shared" si="214"/>
        <v/>
      </c>
      <c r="AG604" s="74" t="str">
        <f t="shared" si="215"/>
        <v/>
      </c>
      <c r="AH604" s="74">
        <f t="shared" si="216"/>
        <v>0</v>
      </c>
      <c r="AI604" s="74" t="str">
        <f>IF(AH604&lt;&gt;0,COUNTIF(AH$3:AH604,1),"")</f>
        <v/>
      </c>
      <c r="AJ604" s="74">
        <f t="shared" si="217"/>
        <v>0</v>
      </c>
      <c r="AK604" s="73" t="str">
        <f t="shared" si="218"/>
        <v/>
      </c>
      <c r="AL604" s="73" t="str">
        <f t="shared" si="219"/>
        <v/>
      </c>
      <c r="AM604" s="73" t="str">
        <f t="shared" si="220"/>
        <v/>
      </c>
      <c r="AN604" s="73" t="str">
        <f t="shared" si="221"/>
        <v/>
      </c>
      <c r="AP604" s="61" t="str">
        <f t="shared" si="222"/>
        <v/>
      </c>
      <c r="AQ604" s="61" t="str">
        <f t="shared" si="223"/>
        <v/>
      </c>
      <c r="AR604" s="61" t="str">
        <f t="shared" si="224"/>
        <v/>
      </c>
    </row>
    <row r="605" spans="16:44" x14ac:dyDescent="0.25">
      <c r="P605" s="73" t="str">
        <f t="shared" si="205"/>
        <v/>
      </c>
      <c r="Q605" s="73" t="str">
        <f t="shared" si="206"/>
        <v/>
      </c>
      <c r="R605" s="74" t="str">
        <f t="shared" si="207"/>
        <v/>
      </c>
      <c r="S605" s="74" t="str">
        <f t="shared" si="208"/>
        <v/>
      </c>
      <c r="U605" s="74" t="str">
        <f t="shared" si="225"/>
        <v/>
      </c>
      <c r="V605" s="74" t="str">
        <f t="shared" si="225"/>
        <v/>
      </c>
      <c r="W605" s="74" t="str">
        <f t="shared" si="225"/>
        <v/>
      </c>
      <c r="X605" s="74" t="str">
        <f t="shared" si="225"/>
        <v/>
      </c>
      <c r="Y605" s="74" t="str">
        <f t="shared" si="225"/>
        <v/>
      </c>
      <c r="Z605" s="74" t="str">
        <f t="shared" si="209"/>
        <v/>
      </c>
      <c r="AA605" s="74">
        <f t="shared" si="210"/>
        <v>0</v>
      </c>
      <c r="AB605" s="74">
        <f t="shared" si="211"/>
        <v>0</v>
      </c>
      <c r="AC605" s="74" t="str">
        <f t="shared" si="212"/>
        <v/>
      </c>
      <c r="AE605" s="74" t="str">
        <f t="shared" si="213"/>
        <v/>
      </c>
      <c r="AF605" s="74" t="str">
        <f t="shared" si="214"/>
        <v/>
      </c>
      <c r="AG605" s="74" t="str">
        <f t="shared" si="215"/>
        <v/>
      </c>
      <c r="AH605" s="74">
        <f t="shared" si="216"/>
        <v>0</v>
      </c>
      <c r="AI605" s="74" t="str">
        <f>IF(AH605&lt;&gt;0,COUNTIF(AH$3:AH605,1),"")</f>
        <v/>
      </c>
      <c r="AJ605" s="74">
        <f t="shared" si="217"/>
        <v>0</v>
      </c>
      <c r="AK605" s="73" t="str">
        <f t="shared" si="218"/>
        <v/>
      </c>
      <c r="AL605" s="73" t="str">
        <f t="shared" si="219"/>
        <v/>
      </c>
      <c r="AM605" s="73" t="str">
        <f t="shared" si="220"/>
        <v/>
      </c>
      <c r="AN605" s="73" t="str">
        <f t="shared" si="221"/>
        <v/>
      </c>
      <c r="AP605" s="61" t="str">
        <f t="shared" si="222"/>
        <v/>
      </c>
      <c r="AQ605" s="61" t="str">
        <f t="shared" si="223"/>
        <v/>
      </c>
      <c r="AR605" s="61" t="str">
        <f t="shared" si="224"/>
        <v/>
      </c>
    </row>
    <row r="606" spans="16:44" x14ac:dyDescent="0.25">
      <c r="P606" s="73" t="str">
        <f t="shared" si="205"/>
        <v/>
      </c>
      <c r="Q606" s="73" t="str">
        <f t="shared" si="206"/>
        <v/>
      </c>
      <c r="R606" s="74" t="str">
        <f t="shared" si="207"/>
        <v/>
      </c>
      <c r="S606" s="74" t="str">
        <f t="shared" si="208"/>
        <v/>
      </c>
      <c r="U606" s="74" t="str">
        <f t="shared" si="225"/>
        <v/>
      </c>
      <c r="V606" s="74" t="str">
        <f t="shared" si="225"/>
        <v/>
      </c>
      <c r="W606" s="74" t="str">
        <f t="shared" si="225"/>
        <v/>
      </c>
      <c r="X606" s="74" t="str">
        <f t="shared" si="225"/>
        <v/>
      </c>
      <c r="Y606" s="74" t="str">
        <f t="shared" si="225"/>
        <v/>
      </c>
      <c r="Z606" s="74" t="str">
        <f t="shared" si="209"/>
        <v/>
      </c>
      <c r="AA606" s="74">
        <f t="shared" si="210"/>
        <v>0</v>
      </c>
      <c r="AB606" s="74">
        <f t="shared" si="211"/>
        <v>0</v>
      </c>
      <c r="AC606" s="74" t="str">
        <f t="shared" si="212"/>
        <v/>
      </c>
      <c r="AE606" s="74" t="str">
        <f t="shared" si="213"/>
        <v/>
      </c>
      <c r="AF606" s="74" t="str">
        <f t="shared" si="214"/>
        <v/>
      </c>
      <c r="AG606" s="74" t="str">
        <f t="shared" si="215"/>
        <v/>
      </c>
      <c r="AH606" s="74">
        <f t="shared" si="216"/>
        <v>0</v>
      </c>
      <c r="AI606" s="74" t="str">
        <f>IF(AH606&lt;&gt;0,COUNTIF(AH$3:AH606,1),"")</f>
        <v/>
      </c>
      <c r="AJ606" s="74">
        <f t="shared" si="217"/>
        <v>0</v>
      </c>
      <c r="AK606" s="73" t="str">
        <f t="shared" si="218"/>
        <v/>
      </c>
      <c r="AL606" s="73" t="str">
        <f t="shared" si="219"/>
        <v/>
      </c>
      <c r="AM606" s="73" t="str">
        <f t="shared" si="220"/>
        <v/>
      </c>
      <c r="AN606" s="73" t="str">
        <f t="shared" si="221"/>
        <v/>
      </c>
      <c r="AP606" s="61" t="str">
        <f t="shared" si="222"/>
        <v/>
      </c>
      <c r="AQ606" s="61" t="str">
        <f t="shared" si="223"/>
        <v/>
      </c>
      <c r="AR606" s="61" t="str">
        <f t="shared" si="224"/>
        <v/>
      </c>
    </row>
    <row r="607" spans="16:44" x14ac:dyDescent="0.25">
      <c r="P607" s="73" t="str">
        <f t="shared" si="205"/>
        <v/>
      </c>
      <c r="Q607" s="73" t="str">
        <f t="shared" si="206"/>
        <v/>
      </c>
      <c r="R607" s="74" t="str">
        <f t="shared" si="207"/>
        <v/>
      </c>
      <c r="S607" s="74" t="str">
        <f t="shared" si="208"/>
        <v/>
      </c>
      <c r="U607" s="74" t="str">
        <f t="shared" si="225"/>
        <v/>
      </c>
      <c r="V607" s="74" t="str">
        <f t="shared" si="225"/>
        <v/>
      </c>
      <c r="W607" s="74" t="str">
        <f t="shared" si="225"/>
        <v/>
      </c>
      <c r="X607" s="74" t="str">
        <f t="shared" si="225"/>
        <v/>
      </c>
      <c r="Y607" s="74" t="str">
        <f t="shared" si="225"/>
        <v/>
      </c>
      <c r="Z607" s="74" t="str">
        <f t="shared" si="209"/>
        <v/>
      </c>
      <c r="AA607" s="74">
        <f t="shared" si="210"/>
        <v>0</v>
      </c>
      <c r="AB607" s="74">
        <f t="shared" si="211"/>
        <v>0</v>
      </c>
      <c r="AC607" s="74" t="str">
        <f t="shared" si="212"/>
        <v/>
      </c>
      <c r="AE607" s="74" t="str">
        <f t="shared" si="213"/>
        <v/>
      </c>
      <c r="AF607" s="74" t="str">
        <f t="shared" si="214"/>
        <v/>
      </c>
      <c r="AG607" s="74" t="str">
        <f t="shared" si="215"/>
        <v/>
      </c>
      <c r="AH607" s="74">
        <f t="shared" si="216"/>
        <v>0</v>
      </c>
      <c r="AI607" s="74" t="str">
        <f>IF(AH607&lt;&gt;0,COUNTIF(AH$3:AH607,1),"")</f>
        <v/>
      </c>
      <c r="AJ607" s="74">
        <f t="shared" si="217"/>
        <v>0</v>
      </c>
      <c r="AK607" s="73" t="str">
        <f t="shared" si="218"/>
        <v/>
      </c>
      <c r="AL607" s="73" t="str">
        <f t="shared" si="219"/>
        <v/>
      </c>
      <c r="AM607" s="73" t="str">
        <f t="shared" si="220"/>
        <v/>
      </c>
      <c r="AN607" s="73" t="str">
        <f t="shared" si="221"/>
        <v/>
      </c>
      <c r="AP607" s="61" t="str">
        <f t="shared" si="222"/>
        <v/>
      </c>
      <c r="AQ607" s="61" t="str">
        <f t="shared" si="223"/>
        <v/>
      </c>
      <c r="AR607" s="61" t="str">
        <f t="shared" si="224"/>
        <v/>
      </c>
    </row>
    <row r="608" spans="16:44" x14ac:dyDescent="0.25">
      <c r="P608" s="73" t="str">
        <f t="shared" si="205"/>
        <v/>
      </c>
      <c r="Q608" s="73" t="str">
        <f t="shared" si="206"/>
        <v/>
      </c>
      <c r="R608" s="74" t="str">
        <f t="shared" si="207"/>
        <v/>
      </c>
      <c r="S608" s="74" t="str">
        <f t="shared" si="208"/>
        <v/>
      </c>
      <c r="U608" s="74" t="str">
        <f t="shared" si="225"/>
        <v/>
      </c>
      <c r="V608" s="74" t="str">
        <f t="shared" si="225"/>
        <v/>
      </c>
      <c r="W608" s="74" t="str">
        <f t="shared" si="225"/>
        <v/>
      </c>
      <c r="X608" s="74" t="str">
        <f t="shared" si="225"/>
        <v/>
      </c>
      <c r="Y608" s="74" t="str">
        <f t="shared" si="225"/>
        <v/>
      </c>
      <c r="Z608" s="74" t="str">
        <f t="shared" si="209"/>
        <v/>
      </c>
      <c r="AA608" s="74">
        <f t="shared" si="210"/>
        <v>0</v>
      </c>
      <c r="AB608" s="74">
        <f t="shared" si="211"/>
        <v>0</v>
      </c>
      <c r="AC608" s="74" t="str">
        <f t="shared" si="212"/>
        <v/>
      </c>
      <c r="AE608" s="74" t="str">
        <f t="shared" si="213"/>
        <v/>
      </c>
      <c r="AF608" s="74" t="str">
        <f t="shared" si="214"/>
        <v/>
      </c>
      <c r="AG608" s="74" t="str">
        <f t="shared" si="215"/>
        <v/>
      </c>
      <c r="AH608" s="74">
        <f t="shared" si="216"/>
        <v>0</v>
      </c>
      <c r="AI608" s="74" t="str">
        <f>IF(AH608&lt;&gt;0,COUNTIF(AH$3:AH608,1),"")</f>
        <v/>
      </c>
      <c r="AJ608" s="74">
        <f t="shared" si="217"/>
        <v>0</v>
      </c>
      <c r="AK608" s="73" t="str">
        <f t="shared" si="218"/>
        <v/>
      </c>
      <c r="AL608" s="73" t="str">
        <f t="shared" si="219"/>
        <v/>
      </c>
      <c r="AM608" s="73" t="str">
        <f t="shared" si="220"/>
        <v/>
      </c>
      <c r="AN608" s="73" t="str">
        <f t="shared" si="221"/>
        <v/>
      </c>
      <c r="AP608" s="61" t="str">
        <f t="shared" si="222"/>
        <v/>
      </c>
      <c r="AQ608" s="61" t="str">
        <f t="shared" si="223"/>
        <v/>
      </c>
      <c r="AR608" s="61" t="str">
        <f t="shared" si="224"/>
        <v/>
      </c>
    </row>
    <row r="609" spans="16:44" x14ac:dyDescent="0.25">
      <c r="P609" s="73" t="str">
        <f t="shared" si="205"/>
        <v/>
      </c>
      <c r="Q609" s="73" t="str">
        <f t="shared" si="206"/>
        <v/>
      </c>
      <c r="R609" s="74" t="str">
        <f t="shared" si="207"/>
        <v/>
      </c>
      <c r="S609" s="74" t="str">
        <f t="shared" si="208"/>
        <v/>
      </c>
      <c r="U609" s="74" t="str">
        <f t="shared" si="225"/>
        <v/>
      </c>
      <c r="V609" s="74" t="str">
        <f t="shared" si="225"/>
        <v/>
      </c>
      <c r="W609" s="74" t="str">
        <f t="shared" si="225"/>
        <v/>
      </c>
      <c r="X609" s="74" t="str">
        <f t="shared" si="225"/>
        <v/>
      </c>
      <c r="Y609" s="74" t="str">
        <f t="shared" si="225"/>
        <v/>
      </c>
      <c r="Z609" s="74" t="str">
        <f t="shared" si="209"/>
        <v/>
      </c>
      <c r="AA609" s="74">
        <f t="shared" si="210"/>
        <v>0</v>
      </c>
      <c r="AB609" s="74">
        <f t="shared" si="211"/>
        <v>0</v>
      </c>
      <c r="AC609" s="74" t="str">
        <f t="shared" si="212"/>
        <v/>
      </c>
      <c r="AE609" s="74" t="str">
        <f t="shared" si="213"/>
        <v/>
      </c>
      <c r="AF609" s="74" t="str">
        <f t="shared" si="214"/>
        <v/>
      </c>
      <c r="AG609" s="74" t="str">
        <f t="shared" si="215"/>
        <v/>
      </c>
      <c r="AH609" s="74">
        <f t="shared" si="216"/>
        <v>0</v>
      </c>
      <c r="AI609" s="74" t="str">
        <f>IF(AH609&lt;&gt;0,COUNTIF(AH$3:AH609,1),"")</f>
        <v/>
      </c>
      <c r="AJ609" s="74">
        <f t="shared" si="217"/>
        <v>0</v>
      </c>
      <c r="AK609" s="73" t="str">
        <f t="shared" si="218"/>
        <v/>
      </c>
      <c r="AL609" s="73" t="str">
        <f t="shared" si="219"/>
        <v/>
      </c>
      <c r="AM609" s="73" t="str">
        <f t="shared" si="220"/>
        <v/>
      </c>
      <c r="AN609" s="73" t="str">
        <f t="shared" si="221"/>
        <v/>
      </c>
      <c r="AP609" s="61" t="str">
        <f t="shared" si="222"/>
        <v/>
      </c>
      <c r="AQ609" s="61" t="str">
        <f t="shared" si="223"/>
        <v/>
      </c>
      <c r="AR609" s="61" t="str">
        <f t="shared" si="224"/>
        <v/>
      </c>
    </row>
    <row r="610" spans="16:44" x14ac:dyDescent="0.25">
      <c r="P610" s="73" t="str">
        <f t="shared" si="205"/>
        <v/>
      </c>
      <c r="Q610" s="73" t="str">
        <f t="shared" si="206"/>
        <v/>
      </c>
      <c r="R610" s="74" t="str">
        <f t="shared" si="207"/>
        <v/>
      </c>
      <c r="S610" s="74" t="str">
        <f t="shared" si="208"/>
        <v/>
      </c>
      <c r="U610" s="74" t="str">
        <f t="shared" si="225"/>
        <v/>
      </c>
      <c r="V610" s="74" t="str">
        <f t="shared" si="225"/>
        <v/>
      </c>
      <c r="W610" s="74" t="str">
        <f t="shared" si="225"/>
        <v/>
      </c>
      <c r="X610" s="74" t="str">
        <f t="shared" si="225"/>
        <v/>
      </c>
      <c r="Y610" s="74" t="str">
        <f t="shared" si="225"/>
        <v/>
      </c>
      <c r="Z610" s="74" t="str">
        <f t="shared" si="209"/>
        <v/>
      </c>
      <c r="AA610" s="74">
        <f t="shared" si="210"/>
        <v>0</v>
      </c>
      <c r="AB610" s="74">
        <f t="shared" si="211"/>
        <v>0</v>
      </c>
      <c r="AC610" s="74" t="str">
        <f t="shared" si="212"/>
        <v/>
      </c>
      <c r="AE610" s="74" t="str">
        <f t="shared" si="213"/>
        <v/>
      </c>
      <c r="AF610" s="74" t="str">
        <f t="shared" si="214"/>
        <v/>
      </c>
      <c r="AG610" s="74" t="str">
        <f t="shared" si="215"/>
        <v/>
      </c>
      <c r="AH610" s="74">
        <f t="shared" si="216"/>
        <v>0</v>
      </c>
      <c r="AI610" s="74" t="str">
        <f>IF(AH610&lt;&gt;0,COUNTIF(AH$3:AH610,1),"")</f>
        <v/>
      </c>
      <c r="AJ610" s="74">
        <f t="shared" si="217"/>
        <v>0</v>
      </c>
      <c r="AK610" s="73" t="str">
        <f t="shared" si="218"/>
        <v/>
      </c>
      <c r="AL610" s="73" t="str">
        <f t="shared" si="219"/>
        <v/>
      </c>
      <c r="AM610" s="73" t="str">
        <f t="shared" si="220"/>
        <v/>
      </c>
      <c r="AN610" s="73" t="str">
        <f t="shared" si="221"/>
        <v/>
      </c>
      <c r="AP610" s="61" t="str">
        <f t="shared" si="222"/>
        <v/>
      </c>
      <c r="AQ610" s="61" t="str">
        <f t="shared" si="223"/>
        <v/>
      </c>
      <c r="AR610" s="61" t="str">
        <f t="shared" si="224"/>
        <v/>
      </c>
    </row>
    <row r="611" spans="16:44" x14ac:dyDescent="0.25">
      <c r="P611" s="73" t="str">
        <f t="shared" si="205"/>
        <v/>
      </c>
      <c r="Q611" s="73" t="str">
        <f t="shared" si="206"/>
        <v/>
      </c>
      <c r="R611" s="74" t="str">
        <f t="shared" si="207"/>
        <v/>
      </c>
      <c r="S611" s="74" t="str">
        <f t="shared" si="208"/>
        <v/>
      </c>
      <c r="U611" s="74" t="str">
        <f t="shared" si="225"/>
        <v/>
      </c>
      <c r="V611" s="74" t="str">
        <f t="shared" si="225"/>
        <v/>
      </c>
      <c r="W611" s="74" t="str">
        <f t="shared" si="225"/>
        <v/>
      </c>
      <c r="X611" s="74" t="str">
        <f t="shared" si="225"/>
        <v/>
      </c>
      <c r="Y611" s="74" t="str">
        <f t="shared" si="225"/>
        <v/>
      </c>
      <c r="Z611" s="74" t="str">
        <f t="shared" si="209"/>
        <v/>
      </c>
      <c r="AA611" s="74">
        <f t="shared" si="210"/>
        <v>0</v>
      </c>
      <c r="AB611" s="74">
        <f t="shared" si="211"/>
        <v>0</v>
      </c>
      <c r="AC611" s="74" t="str">
        <f t="shared" si="212"/>
        <v/>
      </c>
      <c r="AE611" s="74" t="str">
        <f t="shared" si="213"/>
        <v/>
      </c>
      <c r="AF611" s="74" t="str">
        <f t="shared" si="214"/>
        <v/>
      </c>
      <c r="AG611" s="74" t="str">
        <f t="shared" si="215"/>
        <v/>
      </c>
      <c r="AH611" s="74">
        <f t="shared" si="216"/>
        <v>0</v>
      </c>
      <c r="AI611" s="74" t="str">
        <f>IF(AH611&lt;&gt;0,COUNTIF(AH$3:AH611,1),"")</f>
        <v/>
      </c>
      <c r="AJ611" s="74">
        <f t="shared" si="217"/>
        <v>0</v>
      </c>
      <c r="AK611" s="73" t="str">
        <f t="shared" si="218"/>
        <v/>
      </c>
      <c r="AL611" s="73" t="str">
        <f t="shared" si="219"/>
        <v/>
      </c>
      <c r="AM611" s="73" t="str">
        <f t="shared" si="220"/>
        <v/>
      </c>
      <c r="AN611" s="73" t="str">
        <f t="shared" si="221"/>
        <v/>
      </c>
      <c r="AP611" s="61" t="str">
        <f t="shared" si="222"/>
        <v/>
      </c>
      <c r="AQ611" s="61" t="str">
        <f t="shared" si="223"/>
        <v/>
      </c>
      <c r="AR611" s="61" t="str">
        <f t="shared" si="224"/>
        <v/>
      </c>
    </row>
    <row r="612" spans="16:44" x14ac:dyDescent="0.25">
      <c r="P612" s="73" t="str">
        <f t="shared" si="205"/>
        <v/>
      </c>
      <c r="Q612" s="73" t="str">
        <f t="shared" si="206"/>
        <v/>
      </c>
      <c r="R612" s="74" t="str">
        <f t="shared" si="207"/>
        <v/>
      </c>
      <c r="S612" s="74" t="str">
        <f t="shared" si="208"/>
        <v/>
      </c>
      <c r="U612" s="74" t="str">
        <f t="shared" si="225"/>
        <v/>
      </c>
      <c r="V612" s="74" t="str">
        <f t="shared" si="225"/>
        <v/>
      </c>
      <c r="W612" s="74" t="str">
        <f t="shared" si="225"/>
        <v/>
      </c>
      <c r="X612" s="74" t="str">
        <f t="shared" si="225"/>
        <v/>
      </c>
      <c r="Y612" s="74" t="str">
        <f t="shared" si="225"/>
        <v/>
      </c>
      <c r="Z612" s="74" t="str">
        <f t="shared" si="209"/>
        <v/>
      </c>
      <c r="AA612" s="74">
        <f t="shared" si="210"/>
        <v>0</v>
      </c>
      <c r="AB612" s="74">
        <f t="shared" si="211"/>
        <v>0</v>
      </c>
      <c r="AC612" s="74" t="str">
        <f t="shared" si="212"/>
        <v/>
      </c>
      <c r="AE612" s="74" t="str">
        <f t="shared" si="213"/>
        <v/>
      </c>
      <c r="AF612" s="74" t="str">
        <f t="shared" si="214"/>
        <v/>
      </c>
      <c r="AG612" s="74" t="str">
        <f t="shared" si="215"/>
        <v/>
      </c>
      <c r="AH612" s="74">
        <f t="shared" si="216"/>
        <v>0</v>
      </c>
      <c r="AI612" s="74" t="str">
        <f>IF(AH612&lt;&gt;0,COUNTIF(AH$3:AH612,1),"")</f>
        <v/>
      </c>
      <c r="AJ612" s="74">
        <f t="shared" si="217"/>
        <v>0</v>
      </c>
      <c r="AK612" s="73" t="str">
        <f t="shared" si="218"/>
        <v/>
      </c>
      <c r="AL612" s="73" t="str">
        <f t="shared" si="219"/>
        <v/>
      </c>
      <c r="AM612" s="73" t="str">
        <f t="shared" si="220"/>
        <v/>
      </c>
      <c r="AN612" s="73" t="str">
        <f t="shared" si="221"/>
        <v/>
      </c>
      <c r="AP612" s="61" t="str">
        <f t="shared" si="222"/>
        <v/>
      </c>
      <c r="AQ612" s="61" t="str">
        <f t="shared" si="223"/>
        <v/>
      </c>
      <c r="AR612" s="61" t="str">
        <f t="shared" si="224"/>
        <v/>
      </c>
    </row>
    <row r="613" spans="16:44" x14ac:dyDescent="0.25">
      <c r="P613" s="73" t="str">
        <f t="shared" si="205"/>
        <v/>
      </c>
      <c r="Q613" s="73" t="str">
        <f t="shared" si="206"/>
        <v/>
      </c>
      <c r="R613" s="74" t="str">
        <f t="shared" si="207"/>
        <v/>
      </c>
      <c r="S613" s="74" t="str">
        <f t="shared" si="208"/>
        <v/>
      </c>
      <c r="U613" s="74" t="str">
        <f t="shared" si="225"/>
        <v/>
      </c>
      <c r="V613" s="74" t="str">
        <f t="shared" si="225"/>
        <v/>
      </c>
      <c r="W613" s="74" t="str">
        <f t="shared" si="225"/>
        <v/>
      </c>
      <c r="X613" s="74" t="str">
        <f t="shared" si="225"/>
        <v/>
      </c>
      <c r="Y613" s="74" t="str">
        <f t="shared" si="225"/>
        <v/>
      </c>
      <c r="Z613" s="74" t="str">
        <f t="shared" si="209"/>
        <v/>
      </c>
      <c r="AA613" s="74">
        <f t="shared" si="210"/>
        <v>0</v>
      </c>
      <c r="AB613" s="74">
        <f t="shared" si="211"/>
        <v>0</v>
      </c>
      <c r="AC613" s="74" t="str">
        <f t="shared" si="212"/>
        <v/>
      </c>
      <c r="AE613" s="74" t="str">
        <f t="shared" si="213"/>
        <v/>
      </c>
      <c r="AF613" s="74" t="str">
        <f t="shared" si="214"/>
        <v/>
      </c>
      <c r="AG613" s="74" t="str">
        <f t="shared" si="215"/>
        <v/>
      </c>
      <c r="AH613" s="74">
        <f t="shared" si="216"/>
        <v>0</v>
      </c>
      <c r="AI613" s="74" t="str">
        <f>IF(AH613&lt;&gt;0,COUNTIF(AH$3:AH613,1),"")</f>
        <v/>
      </c>
      <c r="AJ613" s="74">
        <f t="shared" si="217"/>
        <v>0</v>
      </c>
      <c r="AK613" s="73" t="str">
        <f t="shared" si="218"/>
        <v/>
      </c>
      <c r="AL613" s="73" t="str">
        <f t="shared" si="219"/>
        <v/>
      </c>
      <c r="AM613" s="73" t="str">
        <f t="shared" si="220"/>
        <v/>
      </c>
      <c r="AN613" s="73" t="str">
        <f t="shared" si="221"/>
        <v/>
      </c>
      <c r="AP613" s="61" t="str">
        <f t="shared" si="222"/>
        <v/>
      </c>
      <c r="AQ613" s="61" t="str">
        <f t="shared" si="223"/>
        <v/>
      </c>
      <c r="AR613" s="61" t="str">
        <f t="shared" si="224"/>
        <v/>
      </c>
    </row>
    <row r="614" spans="16:44" x14ac:dyDescent="0.25">
      <c r="P614" s="73" t="str">
        <f t="shared" si="205"/>
        <v/>
      </c>
      <c r="Q614" s="73" t="str">
        <f t="shared" si="206"/>
        <v/>
      </c>
      <c r="R614" s="74" t="str">
        <f t="shared" si="207"/>
        <v/>
      </c>
      <c r="S614" s="74" t="str">
        <f t="shared" si="208"/>
        <v/>
      </c>
      <c r="U614" s="74" t="str">
        <f t="shared" si="225"/>
        <v/>
      </c>
      <c r="V614" s="74" t="str">
        <f t="shared" si="225"/>
        <v/>
      </c>
      <c r="W614" s="74" t="str">
        <f t="shared" si="225"/>
        <v/>
      </c>
      <c r="X614" s="74" t="str">
        <f t="shared" si="225"/>
        <v/>
      </c>
      <c r="Y614" s="74" t="str">
        <f t="shared" si="225"/>
        <v/>
      </c>
      <c r="Z614" s="74" t="str">
        <f t="shared" si="209"/>
        <v/>
      </c>
      <c r="AA614" s="74">
        <f t="shared" si="210"/>
        <v>0</v>
      </c>
      <c r="AB614" s="74">
        <f t="shared" si="211"/>
        <v>0</v>
      </c>
      <c r="AC614" s="74" t="str">
        <f t="shared" si="212"/>
        <v/>
      </c>
      <c r="AE614" s="74" t="str">
        <f t="shared" si="213"/>
        <v/>
      </c>
      <c r="AF614" s="74" t="str">
        <f t="shared" si="214"/>
        <v/>
      </c>
      <c r="AG614" s="74" t="str">
        <f t="shared" si="215"/>
        <v/>
      </c>
      <c r="AH614" s="74">
        <f t="shared" si="216"/>
        <v>0</v>
      </c>
      <c r="AI614" s="74" t="str">
        <f>IF(AH614&lt;&gt;0,COUNTIF(AH$3:AH614,1),"")</f>
        <v/>
      </c>
      <c r="AJ614" s="74">
        <f t="shared" si="217"/>
        <v>0</v>
      </c>
      <c r="AK614" s="73" t="str">
        <f t="shared" si="218"/>
        <v/>
      </c>
      <c r="AL614" s="73" t="str">
        <f t="shared" si="219"/>
        <v/>
      </c>
      <c r="AM614" s="73" t="str">
        <f t="shared" si="220"/>
        <v/>
      </c>
      <c r="AN614" s="73" t="str">
        <f t="shared" si="221"/>
        <v/>
      </c>
      <c r="AP614" s="61" t="str">
        <f t="shared" si="222"/>
        <v/>
      </c>
      <c r="AQ614" s="61" t="str">
        <f t="shared" si="223"/>
        <v/>
      </c>
      <c r="AR614" s="61" t="str">
        <f t="shared" si="224"/>
        <v/>
      </c>
    </row>
    <row r="615" spans="16:44" x14ac:dyDescent="0.25">
      <c r="P615" s="73" t="str">
        <f t="shared" si="205"/>
        <v/>
      </c>
      <c r="Q615" s="73" t="str">
        <f t="shared" si="206"/>
        <v/>
      </c>
      <c r="R615" s="74" t="str">
        <f t="shared" si="207"/>
        <v/>
      </c>
      <c r="S615" s="74" t="str">
        <f t="shared" si="208"/>
        <v/>
      </c>
      <c r="U615" s="74" t="str">
        <f t="shared" si="225"/>
        <v/>
      </c>
      <c r="V615" s="74" t="str">
        <f t="shared" si="225"/>
        <v/>
      </c>
      <c r="W615" s="74" t="str">
        <f t="shared" si="225"/>
        <v/>
      </c>
      <c r="X615" s="74" t="str">
        <f t="shared" si="225"/>
        <v/>
      </c>
      <c r="Y615" s="74" t="str">
        <f t="shared" si="225"/>
        <v/>
      </c>
      <c r="Z615" s="74" t="str">
        <f t="shared" si="209"/>
        <v/>
      </c>
      <c r="AA615" s="74">
        <f t="shared" si="210"/>
        <v>0</v>
      </c>
      <c r="AB615" s="74">
        <f t="shared" si="211"/>
        <v>0</v>
      </c>
      <c r="AC615" s="74" t="str">
        <f t="shared" si="212"/>
        <v/>
      </c>
      <c r="AE615" s="74" t="str">
        <f t="shared" si="213"/>
        <v/>
      </c>
      <c r="AF615" s="74" t="str">
        <f t="shared" si="214"/>
        <v/>
      </c>
      <c r="AG615" s="74" t="str">
        <f t="shared" si="215"/>
        <v/>
      </c>
      <c r="AH615" s="74">
        <f t="shared" si="216"/>
        <v>0</v>
      </c>
      <c r="AI615" s="74" t="str">
        <f>IF(AH615&lt;&gt;0,COUNTIF(AH$3:AH615,1),"")</f>
        <v/>
      </c>
      <c r="AJ615" s="74">
        <f t="shared" si="217"/>
        <v>0</v>
      </c>
      <c r="AK615" s="73" t="str">
        <f t="shared" si="218"/>
        <v/>
      </c>
      <c r="AL615" s="73" t="str">
        <f t="shared" si="219"/>
        <v/>
      </c>
      <c r="AM615" s="73" t="str">
        <f t="shared" si="220"/>
        <v/>
      </c>
      <c r="AN615" s="73" t="str">
        <f t="shared" si="221"/>
        <v/>
      </c>
      <c r="AP615" s="61" t="str">
        <f t="shared" si="222"/>
        <v/>
      </c>
      <c r="AQ615" s="61" t="str">
        <f t="shared" si="223"/>
        <v/>
      </c>
      <c r="AR615" s="61" t="str">
        <f t="shared" si="224"/>
        <v/>
      </c>
    </row>
    <row r="616" spans="16:44" x14ac:dyDescent="0.25">
      <c r="P616" s="73" t="str">
        <f t="shared" si="205"/>
        <v/>
      </c>
      <c r="Q616" s="73" t="str">
        <f t="shared" si="206"/>
        <v/>
      </c>
      <c r="R616" s="74" t="str">
        <f t="shared" si="207"/>
        <v/>
      </c>
      <c r="S616" s="74" t="str">
        <f t="shared" si="208"/>
        <v/>
      </c>
      <c r="U616" s="74" t="str">
        <f t="shared" si="225"/>
        <v/>
      </c>
      <c r="V616" s="74" t="str">
        <f t="shared" si="225"/>
        <v/>
      </c>
      <c r="W616" s="74" t="str">
        <f t="shared" si="225"/>
        <v/>
      </c>
      <c r="X616" s="74" t="str">
        <f t="shared" si="225"/>
        <v/>
      </c>
      <c r="Y616" s="74" t="str">
        <f t="shared" si="225"/>
        <v/>
      </c>
      <c r="Z616" s="74" t="str">
        <f t="shared" si="209"/>
        <v/>
      </c>
      <c r="AA616" s="74">
        <f t="shared" si="210"/>
        <v>0</v>
      </c>
      <c r="AB616" s="74">
        <f t="shared" si="211"/>
        <v>0</v>
      </c>
      <c r="AC616" s="74" t="str">
        <f t="shared" si="212"/>
        <v/>
      </c>
      <c r="AE616" s="74" t="str">
        <f t="shared" si="213"/>
        <v/>
      </c>
      <c r="AF616" s="74" t="str">
        <f t="shared" si="214"/>
        <v/>
      </c>
      <c r="AG616" s="74" t="str">
        <f t="shared" si="215"/>
        <v/>
      </c>
      <c r="AH616" s="74">
        <f t="shared" si="216"/>
        <v>0</v>
      </c>
      <c r="AI616" s="74" t="str">
        <f>IF(AH616&lt;&gt;0,COUNTIF(AH$3:AH616,1),"")</f>
        <v/>
      </c>
      <c r="AJ616" s="74">
        <f t="shared" si="217"/>
        <v>0</v>
      </c>
      <c r="AK616" s="73" t="str">
        <f t="shared" si="218"/>
        <v/>
      </c>
      <c r="AL616" s="73" t="str">
        <f t="shared" si="219"/>
        <v/>
      </c>
      <c r="AM616" s="73" t="str">
        <f t="shared" si="220"/>
        <v/>
      </c>
      <c r="AN616" s="73" t="str">
        <f t="shared" si="221"/>
        <v/>
      </c>
      <c r="AP616" s="61" t="str">
        <f t="shared" si="222"/>
        <v/>
      </c>
      <c r="AQ616" s="61" t="str">
        <f t="shared" si="223"/>
        <v/>
      </c>
      <c r="AR616" s="61" t="str">
        <f t="shared" si="224"/>
        <v/>
      </c>
    </row>
    <row r="617" spans="16:44" x14ac:dyDescent="0.25">
      <c r="P617" s="73" t="str">
        <f t="shared" si="205"/>
        <v/>
      </c>
      <c r="Q617" s="73" t="str">
        <f t="shared" si="206"/>
        <v/>
      </c>
      <c r="R617" s="74" t="str">
        <f t="shared" si="207"/>
        <v/>
      </c>
      <c r="S617" s="74" t="str">
        <f t="shared" si="208"/>
        <v/>
      </c>
      <c r="U617" s="74" t="str">
        <f t="shared" si="225"/>
        <v/>
      </c>
      <c r="V617" s="74" t="str">
        <f t="shared" si="225"/>
        <v/>
      </c>
      <c r="W617" s="74" t="str">
        <f t="shared" si="225"/>
        <v/>
      </c>
      <c r="X617" s="74" t="str">
        <f t="shared" si="225"/>
        <v/>
      </c>
      <c r="Y617" s="74" t="str">
        <f t="shared" si="225"/>
        <v/>
      </c>
      <c r="Z617" s="74" t="str">
        <f t="shared" si="209"/>
        <v/>
      </c>
      <c r="AA617" s="74">
        <f t="shared" si="210"/>
        <v>0</v>
      </c>
      <c r="AB617" s="74">
        <f t="shared" si="211"/>
        <v>0</v>
      </c>
      <c r="AC617" s="74" t="str">
        <f t="shared" si="212"/>
        <v/>
      </c>
      <c r="AE617" s="74" t="str">
        <f t="shared" si="213"/>
        <v/>
      </c>
      <c r="AF617" s="74" t="str">
        <f t="shared" si="214"/>
        <v/>
      </c>
      <c r="AG617" s="74" t="str">
        <f t="shared" si="215"/>
        <v/>
      </c>
      <c r="AH617" s="74">
        <f t="shared" si="216"/>
        <v>0</v>
      </c>
      <c r="AI617" s="74" t="str">
        <f>IF(AH617&lt;&gt;0,COUNTIF(AH$3:AH617,1),"")</f>
        <v/>
      </c>
      <c r="AJ617" s="74">
        <f t="shared" si="217"/>
        <v>0</v>
      </c>
      <c r="AK617" s="73" t="str">
        <f t="shared" si="218"/>
        <v/>
      </c>
      <c r="AL617" s="73" t="str">
        <f t="shared" si="219"/>
        <v/>
      </c>
      <c r="AM617" s="73" t="str">
        <f t="shared" si="220"/>
        <v/>
      </c>
      <c r="AN617" s="73" t="str">
        <f t="shared" si="221"/>
        <v/>
      </c>
      <c r="AP617" s="61" t="str">
        <f t="shared" si="222"/>
        <v/>
      </c>
      <c r="AQ617" s="61" t="str">
        <f t="shared" si="223"/>
        <v/>
      </c>
      <c r="AR617" s="61" t="str">
        <f t="shared" si="224"/>
        <v/>
      </c>
    </row>
    <row r="618" spans="16:44" x14ac:dyDescent="0.25">
      <c r="P618" s="73" t="str">
        <f t="shared" si="205"/>
        <v/>
      </c>
      <c r="Q618" s="73" t="str">
        <f t="shared" si="206"/>
        <v/>
      </c>
      <c r="R618" s="74" t="str">
        <f t="shared" si="207"/>
        <v/>
      </c>
      <c r="S618" s="74" t="str">
        <f t="shared" si="208"/>
        <v/>
      </c>
      <c r="U618" s="74" t="str">
        <f t="shared" si="225"/>
        <v/>
      </c>
      <c r="V618" s="74" t="str">
        <f t="shared" si="225"/>
        <v/>
      </c>
      <c r="W618" s="74" t="str">
        <f t="shared" si="225"/>
        <v/>
      </c>
      <c r="X618" s="74" t="str">
        <f t="shared" si="225"/>
        <v/>
      </c>
      <c r="Y618" s="74" t="str">
        <f t="shared" si="225"/>
        <v/>
      </c>
      <c r="Z618" s="74" t="str">
        <f t="shared" si="209"/>
        <v/>
      </c>
      <c r="AA618" s="74">
        <f t="shared" si="210"/>
        <v>0</v>
      </c>
      <c r="AB618" s="74">
        <f t="shared" si="211"/>
        <v>0</v>
      </c>
      <c r="AC618" s="74" t="str">
        <f t="shared" si="212"/>
        <v/>
      </c>
      <c r="AE618" s="74" t="str">
        <f t="shared" si="213"/>
        <v/>
      </c>
      <c r="AF618" s="74" t="str">
        <f t="shared" si="214"/>
        <v/>
      </c>
      <c r="AG618" s="74" t="str">
        <f t="shared" si="215"/>
        <v/>
      </c>
      <c r="AH618" s="74">
        <f t="shared" si="216"/>
        <v>0</v>
      </c>
      <c r="AI618" s="74" t="str">
        <f>IF(AH618&lt;&gt;0,COUNTIF(AH$3:AH618,1),"")</f>
        <v/>
      </c>
      <c r="AJ618" s="74">
        <f t="shared" si="217"/>
        <v>0</v>
      </c>
      <c r="AK618" s="73" t="str">
        <f t="shared" si="218"/>
        <v/>
      </c>
      <c r="AL618" s="73" t="str">
        <f t="shared" si="219"/>
        <v/>
      </c>
      <c r="AM618" s="73" t="str">
        <f t="shared" si="220"/>
        <v/>
      </c>
      <c r="AN618" s="73" t="str">
        <f t="shared" si="221"/>
        <v/>
      </c>
      <c r="AP618" s="61" t="str">
        <f t="shared" si="222"/>
        <v/>
      </c>
      <c r="AQ618" s="61" t="str">
        <f t="shared" si="223"/>
        <v/>
      </c>
      <c r="AR618" s="61" t="str">
        <f t="shared" si="224"/>
        <v/>
      </c>
    </row>
    <row r="619" spans="16:44" x14ac:dyDescent="0.25">
      <c r="P619" s="73" t="str">
        <f t="shared" si="205"/>
        <v/>
      </c>
      <c r="Q619" s="73" t="str">
        <f t="shared" si="206"/>
        <v/>
      </c>
      <c r="R619" s="74" t="str">
        <f t="shared" si="207"/>
        <v/>
      </c>
      <c r="S619" s="74" t="str">
        <f t="shared" si="208"/>
        <v/>
      </c>
      <c r="U619" s="74" t="str">
        <f t="shared" si="225"/>
        <v/>
      </c>
      <c r="V619" s="74" t="str">
        <f t="shared" si="225"/>
        <v/>
      </c>
      <c r="W619" s="74" t="str">
        <f t="shared" si="225"/>
        <v/>
      </c>
      <c r="X619" s="74" t="str">
        <f t="shared" si="225"/>
        <v/>
      </c>
      <c r="Y619" s="74" t="str">
        <f t="shared" si="225"/>
        <v/>
      </c>
      <c r="Z619" s="74" t="str">
        <f t="shared" si="209"/>
        <v/>
      </c>
      <c r="AA619" s="74">
        <f t="shared" si="210"/>
        <v>0</v>
      </c>
      <c r="AB619" s="74">
        <f t="shared" si="211"/>
        <v>0</v>
      </c>
      <c r="AC619" s="74" t="str">
        <f t="shared" si="212"/>
        <v/>
      </c>
      <c r="AE619" s="74" t="str">
        <f t="shared" si="213"/>
        <v/>
      </c>
      <c r="AF619" s="74" t="str">
        <f t="shared" si="214"/>
        <v/>
      </c>
      <c r="AG619" s="74" t="str">
        <f t="shared" si="215"/>
        <v/>
      </c>
      <c r="AH619" s="74">
        <f t="shared" si="216"/>
        <v>0</v>
      </c>
      <c r="AI619" s="74" t="str">
        <f>IF(AH619&lt;&gt;0,COUNTIF(AH$3:AH619,1),"")</f>
        <v/>
      </c>
      <c r="AJ619" s="74">
        <f t="shared" si="217"/>
        <v>0</v>
      </c>
      <c r="AK619" s="73" t="str">
        <f t="shared" si="218"/>
        <v/>
      </c>
      <c r="AL619" s="73" t="str">
        <f t="shared" si="219"/>
        <v/>
      </c>
      <c r="AM619" s="73" t="str">
        <f t="shared" si="220"/>
        <v/>
      </c>
      <c r="AN619" s="73" t="str">
        <f t="shared" si="221"/>
        <v/>
      </c>
      <c r="AP619" s="61" t="str">
        <f t="shared" si="222"/>
        <v/>
      </c>
      <c r="AQ619" s="61" t="str">
        <f t="shared" si="223"/>
        <v/>
      </c>
      <c r="AR619" s="61" t="str">
        <f t="shared" si="224"/>
        <v/>
      </c>
    </row>
    <row r="620" spans="16:44" x14ac:dyDescent="0.25">
      <c r="P620" s="73" t="str">
        <f t="shared" si="205"/>
        <v/>
      </c>
      <c r="Q620" s="73" t="str">
        <f t="shared" si="206"/>
        <v/>
      </c>
      <c r="R620" s="74" t="str">
        <f t="shared" si="207"/>
        <v/>
      </c>
      <c r="S620" s="74" t="str">
        <f t="shared" si="208"/>
        <v/>
      </c>
      <c r="U620" s="74" t="str">
        <f t="shared" si="225"/>
        <v/>
      </c>
      <c r="V620" s="74" t="str">
        <f t="shared" si="225"/>
        <v/>
      </c>
      <c r="W620" s="74" t="str">
        <f t="shared" si="225"/>
        <v/>
      </c>
      <c r="X620" s="74" t="str">
        <f t="shared" si="225"/>
        <v/>
      </c>
      <c r="Y620" s="74" t="str">
        <f t="shared" si="225"/>
        <v/>
      </c>
      <c r="Z620" s="74" t="str">
        <f t="shared" si="209"/>
        <v/>
      </c>
      <c r="AA620" s="74">
        <f t="shared" si="210"/>
        <v>0</v>
      </c>
      <c r="AB620" s="74">
        <f t="shared" si="211"/>
        <v>0</v>
      </c>
      <c r="AC620" s="74" t="str">
        <f t="shared" si="212"/>
        <v/>
      </c>
      <c r="AE620" s="74" t="str">
        <f t="shared" si="213"/>
        <v/>
      </c>
      <c r="AF620" s="74" t="str">
        <f t="shared" si="214"/>
        <v/>
      </c>
      <c r="AG620" s="74" t="str">
        <f t="shared" si="215"/>
        <v/>
      </c>
      <c r="AH620" s="74">
        <f t="shared" si="216"/>
        <v>0</v>
      </c>
      <c r="AI620" s="74" t="str">
        <f>IF(AH620&lt;&gt;0,COUNTIF(AH$3:AH620,1),"")</f>
        <v/>
      </c>
      <c r="AJ620" s="74">
        <f t="shared" si="217"/>
        <v>0</v>
      </c>
      <c r="AK620" s="73" t="str">
        <f t="shared" si="218"/>
        <v/>
      </c>
      <c r="AL620" s="73" t="str">
        <f t="shared" si="219"/>
        <v/>
      </c>
      <c r="AM620" s="73" t="str">
        <f t="shared" si="220"/>
        <v/>
      </c>
      <c r="AN620" s="73" t="str">
        <f t="shared" si="221"/>
        <v/>
      </c>
      <c r="AP620" s="61" t="str">
        <f t="shared" si="222"/>
        <v/>
      </c>
      <c r="AQ620" s="61" t="str">
        <f t="shared" si="223"/>
        <v/>
      </c>
      <c r="AR620" s="61" t="str">
        <f t="shared" si="224"/>
        <v/>
      </c>
    </row>
    <row r="621" spans="16:44" x14ac:dyDescent="0.25">
      <c r="P621" s="73" t="str">
        <f t="shared" si="205"/>
        <v/>
      </c>
      <c r="Q621" s="73" t="str">
        <f t="shared" si="206"/>
        <v/>
      </c>
      <c r="R621" s="74" t="str">
        <f t="shared" si="207"/>
        <v/>
      </c>
      <c r="S621" s="74" t="str">
        <f t="shared" si="208"/>
        <v/>
      </c>
      <c r="U621" s="74" t="str">
        <f t="shared" si="225"/>
        <v/>
      </c>
      <c r="V621" s="74" t="str">
        <f t="shared" si="225"/>
        <v/>
      </c>
      <c r="W621" s="74" t="str">
        <f t="shared" si="225"/>
        <v/>
      </c>
      <c r="X621" s="74" t="str">
        <f t="shared" si="225"/>
        <v/>
      </c>
      <c r="Y621" s="74" t="str">
        <f t="shared" si="225"/>
        <v/>
      </c>
      <c r="Z621" s="74" t="str">
        <f t="shared" si="209"/>
        <v/>
      </c>
      <c r="AA621" s="74">
        <f t="shared" si="210"/>
        <v>0</v>
      </c>
      <c r="AB621" s="74">
        <f t="shared" si="211"/>
        <v>0</v>
      </c>
      <c r="AC621" s="74" t="str">
        <f t="shared" si="212"/>
        <v/>
      </c>
      <c r="AE621" s="74" t="str">
        <f t="shared" si="213"/>
        <v/>
      </c>
      <c r="AF621" s="74" t="str">
        <f t="shared" si="214"/>
        <v/>
      </c>
      <c r="AG621" s="74" t="str">
        <f t="shared" si="215"/>
        <v/>
      </c>
      <c r="AH621" s="74">
        <f t="shared" si="216"/>
        <v>0</v>
      </c>
      <c r="AI621" s="74" t="str">
        <f>IF(AH621&lt;&gt;0,COUNTIF(AH$3:AH621,1),"")</f>
        <v/>
      </c>
      <c r="AJ621" s="74">
        <f t="shared" si="217"/>
        <v>0</v>
      </c>
      <c r="AK621" s="73" t="str">
        <f t="shared" si="218"/>
        <v/>
      </c>
      <c r="AL621" s="73" t="str">
        <f t="shared" si="219"/>
        <v/>
      </c>
      <c r="AM621" s="73" t="str">
        <f t="shared" si="220"/>
        <v/>
      </c>
      <c r="AN621" s="73" t="str">
        <f t="shared" si="221"/>
        <v/>
      </c>
      <c r="AP621" s="61" t="str">
        <f t="shared" si="222"/>
        <v/>
      </c>
      <c r="AQ621" s="61" t="str">
        <f t="shared" si="223"/>
        <v/>
      </c>
      <c r="AR621" s="61" t="str">
        <f t="shared" si="224"/>
        <v/>
      </c>
    </row>
    <row r="622" spans="16:44" x14ac:dyDescent="0.25">
      <c r="P622" s="73" t="str">
        <f t="shared" si="205"/>
        <v/>
      </c>
      <c r="Q622" s="73" t="str">
        <f t="shared" si="206"/>
        <v/>
      </c>
      <c r="R622" s="74" t="str">
        <f t="shared" si="207"/>
        <v/>
      </c>
      <c r="S622" s="74" t="str">
        <f t="shared" si="208"/>
        <v/>
      </c>
      <c r="U622" s="74" t="str">
        <f t="shared" si="225"/>
        <v/>
      </c>
      <c r="V622" s="74" t="str">
        <f t="shared" si="225"/>
        <v/>
      </c>
      <c r="W622" s="74" t="str">
        <f t="shared" si="225"/>
        <v/>
      </c>
      <c r="X622" s="74" t="str">
        <f t="shared" si="225"/>
        <v/>
      </c>
      <c r="Y622" s="74" t="str">
        <f t="shared" si="225"/>
        <v/>
      </c>
      <c r="Z622" s="74" t="str">
        <f t="shared" si="209"/>
        <v/>
      </c>
      <c r="AA622" s="74">
        <f t="shared" si="210"/>
        <v>0</v>
      </c>
      <c r="AB622" s="74">
        <f t="shared" si="211"/>
        <v>0</v>
      </c>
      <c r="AC622" s="74" t="str">
        <f t="shared" si="212"/>
        <v/>
      </c>
      <c r="AE622" s="74" t="str">
        <f t="shared" si="213"/>
        <v/>
      </c>
      <c r="AF622" s="74" t="str">
        <f t="shared" si="214"/>
        <v/>
      </c>
      <c r="AG622" s="74" t="str">
        <f t="shared" si="215"/>
        <v/>
      </c>
      <c r="AH622" s="74">
        <f t="shared" si="216"/>
        <v>0</v>
      </c>
      <c r="AI622" s="74" t="str">
        <f>IF(AH622&lt;&gt;0,COUNTIF(AH$3:AH622,1),"")</f>
        <v/>
      </c>
      <c r="AJ622" s="74">
        <f t="shared" si="217"/>
        <v>0</v>
      </c>
      <c r="AK622" s="73" t="str">
        <f t="shared" si="218"/>
        <v/>
      </c>
      <c r="AL622" s="73" t="str">
        <f t="shared" si="219"/>
        <v/>
      </c>
      <c r="AM622" s="73" t="str">
        <f t="shared" si="220"/>
        <v/>
      </c>
      <c r="AN622" s="73" t="str">
        <f t="shared" si="221"/>
        <v/>
      </c>
      <c r="AP622" s="61" t="str">
        <f t="shared" si="222"/>
        <v/>
      </c>
      <c r="AQ622" s="61" t="str">
        <f t="shared" si="223"/>
        <v/>
      </c>
      <c r="AR622" s="61" t="str">
        <f t="shared" si="224"/>
        <v/>
      </c>
    </row>
    <row r="623" spans="16:44" x14ac:dyDescent="0.25">
      <c r="P623" s="73" t="str">
        <f t="shared" si="205"/>
        <v/>
      </c>
      <c r="Q623" s="73" t="str">
        <f t="shared" si="206"/>
        <v/>
      </c>
      <c r="R623" s="74" t="str">
        <f t="shared" si="207"/>
        <v/>
      </c>
      <c r="S623" s="74" t="str">
        <f t="shared" si="208"/>
        <v/>
      </c>
      <c r="U623" s="74" t="str">
        <f t="shared" si="225"/>
        <v/>
      </c>
      <c r="V623" s="74" t="str">
        <f t="shared" si="225"/>
        <v/>
      </c>
      <c r="W623" s="74" t="str">
        <f t="shared" si="225"/>
        <v/>
      </c>
      <c r="X623" s="74" t="str">
        <f t="shared" si="225"/>
        <v/>
      </c>
      <c r="Y623" s="74" t="str">
        <f t="shared" si="225"/>
        <v/>
      </c>
      <c r="Z623" s="74" t="str">
        <f t="shared" si="209"/>
        <v/>
      </c>
      <c r="AA623" s="74">
        <f t="shared" si="210"/>
        <v>0</v>
      </c>
      <c r="AB623" s="74">
        <f t="shared" si="211"/>
        <v>0</v>
      </c>
      <c r="AC623" s="74" t="str">
        <f t="shared" si="212"/>
        <v/>
      </c>
      <c r="AE623" s="74" t="str">
        <f t="shared" si="213"/>
        <v/>
      </c>
      <c r="AF623" s="74" t="str">
        <f t="shared" si="214"/>
        <v/>
      </c>
      <c r="AG623" s="74" t="str">
        <f t="shared" si="215"/>
        <v/>
      </c>
      <c r="AH623" s="74">
        <f t="shared" si="216"/>
        <v>0</v>
      </c>
      <c r="AI623" s="74" t="str">
        <f>IF(AH623&lt;&gt;0,COUNTIF(AH$3:AH623,1),"")</f>
        <v/>
      </c>
      <c r="AJ623" s="74">
        <f t="shared" si="217"/>
        <v>0</v>
      </c>
      <c r="AK623" s="73" t="str">
        <f t="shared" si="218"/>
        <v/>
      </c>
      <c r="AL623" s="73" t="str">
        <f t="shared" si="219"/>
        <v/>
      </c>
      <c r="AM623" s="73" t="str">
        <f t="shared" si="220"/>
        <v/>
      </c>
      <c r="AN623" s="73" t="str">
        <f t="shared" si="221"/>
        <v/>
      </c>
      <c r="AP623" s="61" t="str">
        <f t="shared" si="222"/>
        <v/>
      </c>
      <c r="AQ623" s="61" t="str">
        <f t="shared" si="223"/>
        <v/>
      </c>
      <c r="AR623" s="61" t="str">
        <f t="shared" si="224"/>
        <v/>
      </c>
    </row>
    <row r="624" spans="16:44" x14ac:dyDescent="0.25">
      <c r="P624" s="73" t="str">
        <f t="shared" si="205"/>
        <v/>
      </c>
      <c r="Q624" s="73" t="str">
        <f t="shared" si="206"/>
        <v/>
      </c>
      <c r="R624" s="74" t="str">
        <f t="shared" si="207"/>
        <v/>
      </c>
      <c r="S624" s="74" t="str">
        <f t="shared" si="208"/>
        <v/>
      </c>
      <c r="U624" s="74" t="str">
        <f t="shared" si="225"/>
        <v/>
      </c>
      <c r="V624" s="74" t="str">
        <f t="shared" si="225"/>
        <v/>
      </c>
      <c r="W624" s="74" t="str">
        <f t="shared" si="225"/>
        <v/>
      </c>
      <c r="X624" s="74" t="str">
        <f t="shared" si="225"/>
        <v/>
      </c>
      <c r="Y624" s="74" t="str">
        <f t="shared" si="225"/>
        <v/>
      </c>
      <c r="Z624" s="74" t="str">
        <f t="shared" si="209"/>
        <v/>
      </c>
      <c r="AA624" s="74">
        <f t="shared" si="210"/>
        <v>0</v>
      </c>
      <c r="AB624" s="74">
        <f t="shared" si="211"/>
        <v>0</v>
      </c>
      <c r="AC624" s="74" t="str">
        <f t="shared" si="212"/>
        <v/>
      </c>
      <c r="AE624" s="74" t="str">
        <f t="shared" si="213"/>
        <v/>
      </c>
      <c r="AF624" s="74" t="str">
        <f t="shared" si="214"/>
        <v/>
      </c>
      <c r="AG624" s="74" t="str">
        <f t="shared" si="215"/>
        <v/>
      </c>
      <c r="AH624" s="74">
        <f t="shared" si="216"/>
        <v>0</v>
      </c>
      <c r="AI624" s="74" t="str">
        <f>IF(AH624&lt;&gt;0,COUNTIF(AH$3:AH624,1),"")</f>
        <v/>
      </c>
      <c r="AJ624" s="74">
        <f t="shared" si="217"/>
        <v>0</v>
      </c>
      <c r="AK624" s="73" t="str">
        <f t="shared" si="218"/>
        <v/>
      </c>
      <c r="AL624" s="73" t="str">
        <f t="shared" si="219"/>
        <v/>
      </c>
      <c r="AM624" s="73" t="str">
        <f t="shared" si="220"/>
        <v/>
      </c>
      <c r="AN624" s="73" t="str">
        <f t="shared" si="221"/>
        <v/>
      </c>
      <c r="AP624" s="61" t="str">
        <f t="shared" si="222"/>
        <v/>
      </c>
      <c r="AQ624" s="61" t="str">
        <f t="shared" si="223"/>
        <v/>
      </c>
      <c r="AR624" s="61" t="str">
        <f t="shared" si="224"/>
        <v/>
      </c>
    </row>
    <row r="625" spans="16:44" x14ac:dyDescent="0.25">
      <c r="P625" s="73" t="str">
        <f t="shared" si="205"/>
        <v/>
      </c>
      <c r="Q625" s="73" t="str">
        <f t="shared" si="206"/>
        <v/>
      </c>
      <c r="R625" s="74" t="str">
        <f t="shared" si="207"/>
        <v/>
      </c>
      <c r="S625" s="74" t="str">
        <f t="shared" si="208"/>
        <v/>
      </c>
      <c r="U625" s="74" t="str">
        <f t="shared" si="225"/>
        <v/>
      </c>
      <c r="V625" s="74" t="str">
        <f t="shared" si="225"/>
        <v/>
      </c>
      <c r="W625" s="74" t="str">
        <f t="shared" si="225"/>
        <v/>
      </c>
      <c r="X625" s="74" t="str">
        <f t="shared" si="225"/>
        <v/>
      </c>
      <c r="Y625" s="74" t="str">
        <f t="shared" si="225"/>
        <v/>
      </c>
      <c r="Z625" s="74" t="str">
        <f t="shared" si="209"/>
        <v/>
      </c>
      <c r="AA625" s="74">
        <f t="shared" si="210"/>
        <v>0</v>
      </c>
      <c r="AB625" s="74">
        <f t="shared" si="211"/>
        <v>0</v>
      </c>
      <c r="AC625" s="74" t="str">
        <f t="shared" si="212"/>
        <v/>
      </c>
      <c r="AE625" s="74" t="str">
        <f t="shared" si="213"/>
        <v/>
      </c>
      <c r="AF625" s="74" t="str">
        <f t="shared" si="214"/>
        <v/>
      </c>
      <c r="AG625" s="74" t="str">
        <f t="shared" si="215"/>
        <v/>
      </c>
      <c r="AH625" s="74">
        <f t="shared" si="216"/>
        <v>0</v>
      </c>
      <c r="AI625" s="74" t="str">
        <f>IF(AH625&lt;&gt;0,COUNTIF(AH$3:AH625,1),"")</f>
        <v/>
      </c>
      <c r="AJ625" s="74">
        <f t="shared" si="217"/>
        <v>0</v>
      </c>
      <c r="AK625" s="73" t="str">
        <f t="shared" si="218"/>
        <v/>
      </c>
      <c r="AL625" s="73" t="str">
        <f t="shared" si="219"/>
        <v/>
      </c>
      <c r="AM625" s="73" t="str">
        <f t="shared" si="220"/>
        <v/>
      </c>
      <c r="AN625" s="73" t="str">
        <f t="shared" si="221"/>
        <v/>
      </c>
      <c r="AP625" s="61" t="str">
        <f t="shared" si="222"/>
        <v/>
      </c>
      <c r="AQ625" s="61" t="str">
        <f t="shared" si="223"/>
        <v/>
      </c>
      <c r="AR625" s="61" t="str">
        <f t="shared" si="224"/>
        <v/>
      </c>
    </row>
    <row r="626" spans="16:44" x14ac:dyDescent="0.25">
      <c r="P626" s="73" t="str">
        <f t="shared" si="205"/>
        <v/>
      </c>
      <c r="Q626" s="73" t="str">
        <f t="shared" si="206"/>
        <v/>
      </c>
      <c r="R626" s="74" t="str">
        <f t="shared" si="207"/>
        <v/>
      </c>
      <c r="S626" s="74" t="str">
        <f t="shared" si="208"/>
        <v/>
      </c>
      <c r="U626" s="74" t="str">
        <f t="shared" si="225"/>
        <v/>
      </c>
      <c r="V626" s="74" t="str">
        <f t="shared" si="225"/>
        <v/>
      </c>
      <c r="W626" s="74" t="str">
        <f t="shared" si="225"/>
        <v/>
      </c>
      <c r="X626" s="74" t="str">
        <f t="shared" si="225"/>
        <v/>
      </c>
      <c r="Y626" s="74" t="str">
        <f t="shared" si="225"/>
        <v/>
      </c>
      <c r="Z626" s="74" t="str">
        <f t="shared" si="209"/>
        <v/>
      </c>
      <c r="AA626" s="74">
        <f t="shared" si="210"/>
        <v>0</v>
      </c>
      <c r="AB626" s="74">
        <f t="shared" si="211"/>
        <v>0</v>
      </c>
      <c r="AC626" s="74" t="str">
        <f t="shared" si="212"/>
        <v/>
      </c>
      <c r="AE626" s="74" t="str">
        <f t="shared" si="213"/>
        <v/>
      </c>
      <c r="AF626" s="74" t="str">
        <f t="shared" si="214"/>
        <v/>
      </c>
      <c r="AG626" s="74" t="str">
        <f t="shared" si="215"/>
        <v/>
      </c>
      <c r="AH626" s="74">
        <f t="shared" si="216"/>
        <v>0</v>
      </c>
      <c r="AI626" s="74" t="str">
        <f>IF(AH626&lt;&gt;0,COUNTIF(AH$3:AH626,1),"")</f>
        <v/>
      </c>
      <c r="AJ626" s="74">
        <f t="shared" si="217"/>
        <v>0</v>
      </c>
      <c r="AK626" s="73" t="str">
        <f t="shared" si="218"/>
        <v/>
      </c>
      <c r="AL626" s="73" t="str">
        <f t="shared" si="219"/>
        <v/>
      </c>
      <c r="AM626" s="73" t="str">
        <f t="shared" si="220"/>
        <v/>
      </c>
      <c r="AN626" s="73" t="str">
        <f t="shared" si="221"/>
        <v/>
      </c>
      <c r="AP626" s="61" t="str">
        <f t="shared" si="222"/>
        <v/>
      </c>
      <c r="AQ626" s="61" t="str">
        <f t="shared" si="223"/>
        <v/>
      </c>
      <c r="AR626" s="61" t="str">
        <f t="shared" si="224"/>
        <v/>
      </c>
    </row>
    <row r="627" spans="16:44" x14ac:dyDescent="0.25">
      <c r="P627" s="73" t="str">
        <f t="shared" si="205"/>
        <v/>
      </c>
      <c r="Q627" s="73" t="str">
        <f t="shared" si="206"/>
        <v/>
      </c>
      <c r="R627" s="74" t="str">
        <f t="shared" si="207"/>
        <v/>
      </c>
      <c r="S627" s="74" t="str">
        <f t="shared" si="208"/>
        <v/>
      </c>
      <c r="U627" s="74" t="str">
        <f t="shared" si="225"/>
        <v/>
      </c>
      <c r="V627" s="74" t="str">
        <f t="shared" si="225"/>
        <v/>
      </c>
      <c r="W627" s="74" t="str">
        <f t="shared" si="225"/>
        <v/>
      </c>
      <c r="X627" s="74" t="str">
        <f t="shared" si="225"/>
        <v/>
      </c>
      <c r="Y627" s="74" t="str">
        <f t="shared" si="225"/>
        <v/>
      </c>
      <c r="Z627" s="74" t="str">
        <f t="shared" si="209"/>
        <v/>
      </c>
      <c r="AA627" s="74">
        <f t="shared" si="210"/>
        <v>0</v>
      </c>
      <c r="AB627" s="74">
        <f t="shared" si="211"/>
        <v>0</v>
      </c>
      <c r="AC627" s="74" t="str">
        <f t="shared" si="212"/>
        <v/>
      </c>
      <c r="AE627" s="74" t="str">
        <f t="shared" si="213"/>
        <v/>
      </c>
      <c r="AF627" s="74" t="str">
        <f t="shared" si="214"/>
        <v/>
      </c>
      <c r="AG627" s="74" t="str">
        <f t="shared" si="215"/>
        <v/>
      </c>
      <c r="AH627" s="74">
        <f t="shared" si="216"/>
        <v>0</v>
      </c>
      <c r="AI627" s="74" t="str">
        <f>IF(AH627&lt;&gt;0,COUNTIF(AH$3:AH627,1),"")</f>
        <v/>
      </c>
      <c r="AJ627" s="74">
        <f t="shared" si="217"/>
        <v>0</v>
      </c>
      <c r="AK627" s="73" t="str">
        <f t="shared" si="218"/>
        <v/>
      </c>
      <c r="AL627" s="73" t="str">
        <f t="shared" si="219"/>
        <v/>
      </c>
      <c r="AM627" s="73" t="str">
        <f t="shared" si="220"/>
        <v/>
      </c>
      <c r="AN627" s="73" t="str">
        <f t="shared" si="221"/>
        <v/>
      </c>
      <c r="AP627" s="61" t="str">
        <f t="shared" si="222"/>
        <v/>
      </c>
      <c r="AQ627" s="61" t="str">
        <f t="shared" si="223"/>
        <v/>
      </c>
      <c r="AR627" s="61" t="str">
        <f t="shared" si="224"/>
        <v/>
      </c>
    </row>
    <row r="628" spans="16:44" x14ac:dyDescent="0.25">
      <c r="P628" s="73" t="str">
        <f t="shared" si="205"/>
        <v/>
      </c>
      <c r="Q628" s="73" t="str">
        <f t="shared" si="206"/>
        <v/>
      </c>
      <c r="R628" s="74" t="str">
        <f t="shared" si="207"/>
        <v/>
      </c>
      <c r="S628" s="74" t="str">
        <f t="shared" si="208"/>
        <v/>
      </c>
      <c r="U628" s="74" t="str">
        <f t="shared" si="225"/>
        <v/>
      </c>
      <c r="V628" s="74" t="str">
        <f t="shared" si="225"/>
        <v/>
      </c>
      <c r="W628" s="74" t="str">
        <f t="shared" si="225"/>
        <v/>
      </c>
      <c r="X628" s="74" t="str">
        <f t="shared" si="225"/>
        <v/>
      </c>
      <c r="Y628" s="74" t="str">
        <f t="shared" si="225"/>
        <v/>
      </c>
      <c r="Z628" s="74" t="str">
        <f t="shared" si="209"/>
        <v/>
      </c>
      <c r="AA628" s="74">
        <f t="shared" si="210"/>
        <v>0</v>
      </c>
      <c r="AB628" s="74">
        <f t="shared" si="211"/>
        <v>0</v>
      </c>
      <c r="AC628" s="74" t="str">
        <f t="shared" si="212"/>
        <v/>
      </c>
      <c r="AE628" s="74" t="str">
        <f t="shared" si="213"/>
        <v/>
      </c>
      <c r="AF628" s="74" t="str">
        <f t="shared" si="214"/>
        <v/>
      </c>
      <c r="AG628" s="74" t="str">
        <f t="shared" si="215"/>
        <v/>
      </c>
      <c r="AH628" s="74">
        <f t="shared" si="216"/>
        <v>0</v>
      </c>
      <c r="AI628" s="74" t="str">
        <f>IF(AH628&lt;&gt;0,COUNTIF(AH$3:AH628,1),"")</f>
        <v/>
      </c>
      <c r="AJ628" s="74">
        <f t="shared" si="217"/>
        <v>0</v>
      </c>
      <c r="AK628" s="73" t="str">
        <f t="shared" si="218"/>
        <v/>
      </c>
      <c r="AL628" s="73" t="str">
        <f t="shared" si="219"/>
        <v/>
      </c>
      <c r="AM628" s="73" t="str">
        <f t="shared" si="220"/>
        <v/>
      </c>
      <c r="AN628" s="73" t="str">
        <f t="shared" si="221"/>
        <v/>
      </c>
      <c r="AP628" s="61" t="str">
        <f t="shared" si="222"/>
        <v/>
      </c>
      <c r="AQ628" s="61" t="str">
        <f t="shared" si="223"/>
        <v/>
      </c>
      <c r="AR628" s="61" t="str">
        <f t="shared" si="224"/>
        <v/>
      </c>
    </row>
    <row r="629" spans="16:44" x14ac:dyDescent="0.25">
      <c r="P629" s="73" t="str">
        <f t="shared" si="205"/>
        <v/>
      </c>
      <c r="Q629" s="73" t="str">
        <f t="shared" si="206"/>
        <v/>
      </c>
      <c r="R629" s="74" t="str">
        <f t="shared" si="207"/>
        <v/>
      </c>
      <c r="S629" s="74" t="str">
        <f t="shared" si="208"/>
        <v/>
      </c>
      <c r="U629" s="74" t="str">
        <f t="shared" si="225"/>
        <v/>
      </c>
      <c r="V629" s="74" t="str">
        <f t="shared" si="225"/>
        <v/>
      </c>
      <c r="W629" s="74" t="str">
        <f t="shared" si="225"/>
        <v/>
      </c>
      <c r="X629" s="74" t="str">
        <f t="shared" si="225"/>
        <v/>
      </c>
      <c r="Y629" s="74" t="str">
        <f t="shared" si="225"/>
        <v/>
      </c>
      <c r="Z629" s="74" t="str">
        <f t="shared" si="209"/>
        <v/>
      </c>
      <c r="AA629" s="74">
        <f t="shared" si="210"/>
        <v>0</v>
      </c>
      <c r="AB629" s="74">
        <f t="shared" si="211"/>
        <v>0</v>
      </c>
      <c r="AC629" s="74" t="str">
        <f t="shared" si="212"/>
        <v/>
      </c>
      <c r="AE629" s="74" t="str">
        <f t="shared" si="213"/>
        <v/>
      </c>
      <c r="AF629" s="74" t="str">
        <f t="shared" si="214"/>
        <v/>
      </c>
      <c r="AG629" s="74" t="str">
        <f t="shared" si="215"/>
        <v/>
      </c>
      <c r="AH629" s="74">
        <f t="shared" si="216"/>
        <v>0</v>
      </c>
      <c r="AI629" s="74" t="str">
        <f>IF(AH629&lt;&gt;0,COUNTIF(AH$3:AH629,1),"")</f>
        <v/>
      </c>
      <c r="AJ629" s="74">
        <f t="shared" si="217"/>
        <v>0</v>
      </c>
      <c r="AK629" s="73" t="str">
        <f t="shared" si="218"/>
        <v/>
      </c>
      <c r="AL629" s="73" t="str">
        <f t="shared" si="219"/>
        <v/>
      </c>
      <c r="AM629" s="73" t="str">
        <f t="shared" si="220"/>
        <v/>
      </c>
      <c r="AN629" s="73" t="str">
        <f t="shared" si="221"/>
        <v/>
      </c>
      <c r="AP629" s="61" t="str">
        <f t="shared" si="222"/>
        <v/>
      </c>
      <c r="AQ629" s="61" t="str">
        <f t="shared" si="223"/>
        <v/>
      </c>
      <c r="AR629" s="61" t="str">
        <f t="shared" si="224"/>
        <v/>
      </c>
    </row>
    <row r="630" spans="16:44" x14ac:dyDescent="0.25">
      <c r="P630" s="73" t="str">
        <f t="shared" si="205"/>
        <v/>
      </c>
      <c r="Q630" s="73" t="str">
        <f t="shared" si="206"/>
        <v/>
      </c>
      <c r="R630" s="74" t="str">
        <f t="shared" si="207"/>
        <v/>
      </c>
      <c r="S630" s="74" t="str">
        <f t="shared" si="208"/>
        <v/>
      </c>
      <c r="U630" s="74" t="str">
        <f t="shared" si="225"/>
        <v/>
      </c>
      <c r="V630" s="74" t="str">
        <f t="shared" si="225"/>
        <v/>
      </c>
      <c r="W630" s="74" t="str">
        <f t="shared" si="225"/>
        <v/>
      </c>
      <c r="X630" s="74" t="str">
        <f t="shared" si="225"/>
        <v/>
      </c>
      <c r="Y630" s="74" t="str">
        <f t="shared" si="225"/>
        <v/>
      </c>
      <c r="Z630" s="74" t="str">
        <f t="shared" si="209"/>
        <v/>
      </c>
      <c r="AA630" s="74">
        <f t="shared" si="210"/>
        <v>0</v>
      </c>
      <c r="AB630" s="74">
        <f t="shared" si="211"/>
        <v>0</v>
      </c>
      <c r="AC630" s="74" t="str">
        <f t="shared" si="212"/>
        <v/>
      </c>
      <c r="AE630" s="74" t="str">
        <f t="shared" si="213"/>
        <v/>
      </c>
      <c r="AF630" s="74" t="str">
        <f t="shared" si="214"/>
        <v/>
      </c>
      <c r="AG630" s="74" t="str">
        <f t="shared" si="215"/>
        <v/>
      </c>
      <c r="AH630" s="74">
        <f t="shared" si="216"/>
        <v>0</v>
      </c>
      <c r="AI630" s="74" t="str">
        <f>IF(AH630&lt;&gt;0,COUNTIF(AH$3:AH630,1),"")</f>
        <v/>
      </c>
      <c r="AJ630" s="74">
        <f t="shared" si="217"/>
        <v>0</v>
      </c>
      <c r="AK630" s="73" t="str">
        <f t="shared" si="218"/>
        <v/>
      </c>
      <c r="AL630" s="73" t="str">
        <f t="shared" si="219"/>
        <v/>
      </c>
      <c r="AM630" s="73" t="str">
        <f t="shared" si="220"/>
        <v/>
      </c>
      <c r="AN630" s="73" t="str">
        <f t="shared" si="221"/>
        <v/>
      </c>
      <c r="AP630" s="61" t="str">
        <f t="shared" si="222"/>
        <v/>
      </c>
      <c r="AQ630" s="61" t="str">
        <f t="shared" si="223"/>
        <v/>
      </c>
      <c r="AR630" s="61" t="str">
        <f t="shared" si="224"/>
        <v/>
      </c>
    </row>
    <row r="631" spans="16:44" x14ac:dyDescent="0.25">
      <c r="P631" s="73" t="str">
        <f t="shared" si="205"/>
        <v/>
      </c>
      <c r="Q631" s="73" t="str">
        <f t="shared" si="206"/>
        <v/>
      </c>
      <c r="R631" s="74" t="str">
        <f t="shared" si="207"/>
        <v/>
      </c>
      <c r="S631" s="74" t="str">
        <f t="shared" si="208"/>
        <v/>
      </c>
      <c r="U631" s="74" t="str">
        <f t="shared" si="225"/>
        <v/>
      </c>
      <c r="V631" s="74" t="str">
        <f t="shared" si="225"/>
        <v/>
      </c>
      <c r="W631" s="74" t="str">
        <f t="shared" si="225"/>
        <v/>
      </c>
      <c r="X631" s="74" t="str">
        <f t="shared" si="225"/>
        <v/>
      </c>
      <c r="Y631" s="74" t="str">
        <f t="shared" si="225"/>
        <v/>
      </c>
      <c r="Z631" s="74" t="str">
        <f t="shared" si="209"/>
        <v/>
      </c>
      <c r="AA631" s="74">
        <f t="shared" si="210"/>
        <v>0</v>
      </c>
      <c r="AB631" s="74">
        <f t="shared" si="211"/>
        <v>0</v>
      </c>
      <c r="AC631" s="74" t="str">
        <f t="shared" si="212"/>
        <v/>
      </c>
      <c r="AE631" s="74" t="str">
        <f t="shared" si="213"/>
        <v/>
      </c>
      <c r="AF631" s="74" t="str">
        <f t="shared" si="214"/>
        <v/>
      </c>
      <c r="AG631" s="74" t="str">
        <f t="shared" si="215"/>
        <v/>
      </c>
      <c r="AH631" s="74">
        <f t="shared" si="216"/>
        <v>0</v>
      </c>
      <c r="AI631" s="74" t="str">
        <f>IF(AH631&lt;&gt;0,COUNTIF(AH$3:AH631,1),"")</f>
        <v/>
      </c>
      <c r="AJ631" s="74">
        <f t="shared" si="217"/>
        <v>0</v>
      </c>
      <c r="AK631" s="73" t="str">
        <f t="shared" si="218"/>
        <v/>
      </c>
      <c r="AL631" s="73" t="str">
        <f t="shared" si="219"/>
        <v/>
      </c>
      <c r="AM631" s="73" t="str">
        <f t="shared" si="220"/>
        <v/>
      </c>
      <c r="AN631" s="73" t="str">
        <f t="shared" si="221"/>
        <v/>
      </c>
      <c r="AP631" s="61" t="str">
        <f t="shared" si="222"/>
        <v/>
      </c>
      <c r="AQ631" s="61" t="str">
        <f t="shared" si="223"/>
        <v/>
      </c>
      <c r="AR631" s="61" t="str">
        <f t="shared" si="224"/>
        <v/>
      </c>
    </row>
    <row r="632" spans="16:44" x14ac:dyDescent="0.25">
      <c r="P632" s="73" t="str">
        <f t="shared" si="205"/>
        <v/>
      </c>
      <c r="Q632" s="73" t="str">
        <f t="shared" si="206"/>
        <v/>
      </c>
      <c r="R632" s="74" t="str">
        <f t="shared" si="207"/>
        <v/>
      </c>
      <c r="S632" s="74" t="str">
        <f t="shared" si="208"/>
        <v/>
      </c>
      <c r="U632" s="74" t="str">
        <f t="shared" si="225"/>
        <v/>
      </c>
      <c r="V632" s="74" t="str">
        <f t="shared" si="225"/>
        <v/>
      </c>
      <c r="W632" s="74" t="str">
        <f t="shared" si="225"/>
        <v/>
      </c>
      <c r="X632" s="74" t="str">
        <f t="shared" si="225"/>
        <v/>
      </c>
      <c r="Y632" s="74" t="str">
        <f t="shared" si="225"/>
        <v/>
      </c>
      <c r="Z632" s="74" t="str">
        <f t="shared" si="209"/>
        <v/>
      </c>
      <c r="AA632" s="74">
        <f t="shared" si="210"/>
        <v>0</v>
      </c>
      <c r="AB632" s="74">
        <f t="shared" si="211"/>
        <v>0</v>
      </c>
      <c r="AC632" s="74" t="str">
        <f t="shared" si="212"/>
        <v/>
      </c>
      <c r="AE632" s="74" t="str">
        <f t="shared" si="213"/>
        <v/>
      </c>
      <c r="AF632" s="74" t="str">
        <f t="shared" si="214"/>
        <v/>
      </c>
      <c r="AG632" s="74" t="str">
        <f t="shared" si="215"/>
        <v/>
      </c>
      <c r="AH632" s="74">
        <f t="shared" si="216"/>
        <v>0</v>
      </c>
      <c r="AI632" s="74" t="str">
        <f>IF(AH632&lt;&gt;0,COUNTIF(AH$3:AH632,1),"")</f>
        <v/>
      </c>
      <c r="AJ632" s="74">
        <f t="shared" si="217"/>
        <v>0</v>
      </c>
      <c r="AK632" s="73" t="str">
        <f t="shared" si="218"/>
        <v/>
      </c>
      <c r="AL632" s="73" t="str">
        <f t="shared" si="219"/>
        <v/>
      </c>
      <c r="AM632" s="73" t="str">
        <f t="shared" si="220"/>
        <v/>
      </c>
      <c r="AN632" s="73" t="str">
        <f t="shared" si="221"/>
        <v/>
      </c>
      <c r="AP632" s="61" t="str">
        <f t="shared" si="222"/>
        <v/>
      </c>
      <c r="AQ632" s="61" t="str">
        <f t="shared" si="223"/>
        <v/>
      </c>
      <c r="AR632" s="61" t="str">
        <f t="shared" si="224"/>
        <v/>
      </c>
    </row>
    <row r="633" spans="16:44" x14ac:dyDescent="0.25">
      <c r="P633" s="73" t="str">
        <f t="shared" si="205"/>
        <v/>
      </c>
      <c r="Q633" s="73" t="str">
        <f t="shared" si="206"/>
        <v/>
      </c>
      <c r="R633" s="74" t="str">
        <f t="shared" si="207"/>
        <v/>
      </c>
      <c r="S633" s="74" t="str">
        <f t="shared" si="208"/>
        <v/>
      </c>
      <c r="U633" s="74" t="str">
        <f t="shared" si="225"/>
        <v/>
      </c>
      <c r="V633" s="74" t="str">
        <f t="shared" si="225"/>
        <v/>
      </c>
      <c r="W633" s="74" t="str">
        <f t="shared" si="225"/>
        <v/>
      </c>
      <c r="X633" s="74" t="str">
        <f t="shared" si="225"/>
        <v/>
      </c>
      <c r="Y633" s="74" t="str">
        <f t="shared" si="225"/>
        <v/>
      </c>
      <c r="Z633" s="74" t="str">
        <f t="shared" si="209"/>
        <v/>
      </c>
      <c r="AA633" s="74">
        <f t="shared" si="210"/>
        <v>0</v>
      </c>
      <c r="AB633" s="74">
        <f t="shared" si="211"/>
        <v>0</v>
      </c>
      <c r="AC633" s="74" t="str">
        <f t="shared" si="212"/>
        <v/>
      </c>
      <c r="AE633" s="74" t="str">
        <f t="shared" si="213"/>
        <v/>
      </c>
      <c r="AF633" s="74" t="str">
        <f t="shared" si="214"/>
        <v/>
      </c>
      <c r="AG633" s="74" t="str">
        <f t="shared" si="215"/>
        <v/>
      </c>
      <c r="AH633" s="74">
        <f t="shared" si="216"/>
        <v>0</v>
      </c>
      <c r="AI633" s="74" t="str">
        <f>IF(AH633&lt;&gt;0,COUNTIF(AH$3:AH633,1),"")</f>
        <v/>
      </c>
      <c r="AJ633" s="74">
        <f t="shared" si="217"/>
        <v>0</v>
      </c>
      <c r="AK633" s="73" t="str">
        <f t="shared" si="218"/>
        <v/>
      </c>
      <c r="AL633" s="73" t="str">
        <f t="shared" si="219"/>
        <v/>
      </c>
      <c r="AM633" s="73" t="str">
        <f t="shared" si="220"/>
        <v/>
      </c>
      <c r="AN633" s="73" t="str">
        <f t="shared" si="221"/>
        <v/>
      </c>
      <c r="AP633" s="61" t="str">
        <f t="shared" si="222"/>
        <v/>
      </c>
      <c r="AQ633" s="61" t="str">
        <f t="shared" si="223"/>
        <v/>
      </c>
      <c r="AR633" s="61" t="str">
        <f t="shared" si="224"/>
        <v/>
      </c>
    </row>
    <row r="634" spans="16:44" x14ac:dyDescent="0.25">
      <c r="P634" s="73" t="str">
        <f t="shared" si="205"/>
        <v/>
      </c>
      <c r="Q634" s="73" t="str">
        <f t="shared" si="206"/>
        <v/>
      </c>
      <c r="R634" s="74" t="str">
        <f t="shared" si="207"/>
        <v/>
      </c>
      <c r="S634" s="74" t="str">
        <f t="shared" si="208"/>
        <v/>
      </c>
      <c r="U634" s="74" t="str">
        <f t="shared" si="225"/>
        <v/>
      </c>
      <c r="V634" s="74" t="str">
        <f t="shared" si="225"/>
        <v/>
      </c>
      <c r="W634" s="74" t="str">
        <f t="shared" si="225"/>
        <v/>
      </c>
      <c r="X634" s="74" t="str">
        <f t="shared" si="225"/>
        <v/>
      </c>
      <c r="Y634" s="74" t="str">
        <f t="shared" si="225"/>
        <v/>
      </c>
      <c r="Z634" s="74" t="str">
        <f t="shared" si="209"/>
        <v/>
      </c>
      <c r="AA634" s="74">
        <f t="shared" si="210"/>
        <v>0</v>
      </c>
      <c r="AB634" s="74">
        <f t="shared" si="211"/>
        <v>0</v>
      </c>
      <c r="AC634" s="74" t="str">
        <f t="shared" si="212"/>
        <v/>
      </c>
      <c r="AE634" s="74" t="str">
        <f t="shared" si="213"/>
        <v/>
      </c>
      <c r="AF634" s="74" t="str">
        <f t="shared" si="214"/>
        <v/>
      </c>
      <c r="AG634" s="74" t="str">
        <f t="shared" si="215"/>
        <v/>
      </c>
      <c r="AH634" s="74">
        <f t="shared" si="216"/>
        <v>0</v>
      </c>
      <c r="AI634" s="74" t="str">
        <f>IF(AH634&lt;&gt;0,COUNTIF(AH$3:AH634,1),"")</f>
        <v/>
      </c>
      <c r="AJ634" s="74">
        <f t="shared" si="217"/>
        <v>0</v>
      </c>
      <c r="AK634" s="73" t="str">
        <f t="shared" si="218"/>
        <v/>
      </c>
      <c r="AL634" s="73" t="str">
        <f t="shared" si="219"/>
        <v/>
      </c>
      <c r="AM634" s="73" t="str">
        <f t="shared" si="220"/>
        <v/>
      </c>
      <c r="AN634" s="73" t="str">
        <f t="shared" si="221"/>
        <v/>
      </c>
      <c r="AP634" s="61" t="str">
        <f t="shared" si="222"/>
        <v/>
      </c>
      <c r="AQ634" s="61" t="str">
        <f t="shared" si="223"/>
        <v/>
      </c>
      <c r="AR634" s="61" t="str">
        <f t="shared" si="224"/>
        <v/>
      </c>
    </row>
    <row r="635" spans="16:44" x14ac:dyDescent="0.25">
      <c r="P635" s="73" t="str">
        <f t="shared" si="205"/>
        <v/>
      </c>
      <c r="Q635" s="73" t="str">
        <f t="shared" si="206"/>
        <v/>
      </c>
      <c r="R635" s="74" t="str">
        <f t="shared" si="207"/>
        <v/>
      </c>
      <c r="S635" s="74" t="str">
        <f t="shared" si="208"/>
        <v/>
      </c>
      <c r="U635" s="74" t="str">
        <f t="shared" si="225"/>
        <v/>
      </c>
      <c r="V635" s="74" t="str">
        <f t="shared" si="225"/>
        <v/>
      </c>
      <c r="W635" s="74" t="str">
        <f t="shared" si="225"/>
        <v/>
      </c>
      <c r="X635" s="74" t="str">
        <f t="shared" si="225"/>
        <v/>
      </c>
      <c r="Y635" s="74" t="str">
        <f t="shared" si="225"/>
        <v/>
      </c>
      <c r="Z635" s="74" t="str">
        <f t="shared" si="209"/>
        <v/>
      </c>
      <c r="AA635" s="74">
        <f t="shared" si="210"/>
        <v>0</v>
      </c>
      <c r="AB635" s="74">
        <f t="shared" si="211"/>
        <v>0</v>
      </c>
      <c r="AC635" s="74" t="str">
        <f t="shared" si="212"/>
        <v/>
      </c>
      <c r="AE635" s="74" t="str">
        <f t="shared" si="213"/>
        <v/>
      </c>
      <c r="AF635" s="74" t="str">
        <f t="shared" si="214"/>
        <v/>
      </c>
      <c r="AG635" s="74" t="str">
        <f t="shared" si="215"/>
        <v/>
      </c>
      <c r="AH635" s="74">
        <f t="shared" si="216"/>
        <v>0</v>
      </c>
      <c r="AI635" s="74" t="str">
        <f>IF(AH635&lt;&gt;0,COUNTIF(AH$3:AH635,1),"")</f>
        <v/>
      </c>
      <c r="AJ635" s="74">
        <f t="shared" si="217"/>
        <v>0</v>
      </c>
      <c r="AK635" s="73" t="str">
        <f t="shared" si="218"/>
        <v/>
      </c>
      <c r="AL635" s="73" t="str">
        <f t="shared" si="219"/>
        <v/>
      </c>
      <c r="AM635" s="73" t="str">
        <f t="shared" si="220"/>
        <v/>
      </c>
      <c r="AN635" s="73" t="str">
        <f t="shared" si="221"/>
        <v/>
      </c>
      <c r="AP635" s="61" t="str">
        <f t="shared" si="222"/>
        <v/>
      </c>
      <c r="AQ635" s="61" t="str">
        <f t="shared" si="223"/>
        <v/>
      </c>
      <c r="AR635" s="61" t="str">
        <f t="shared" si="224"/>
        <v/>
      </c>
    </row>
    <row r="636" spans="16:44" x14ac:dyDescent="0.25">
      <c r="P636" s="73" t="str">
        <f t="shared" si="205"/>
        <v/>
      </c>
      <c r="Q636" s="73" t="str">
        <f t="shared" si="206"/>
        <v/>
      </c>
      <c r="R636" s="74" t="str">
        <f t="shared" si="207"/>
        <v/>
      </c>
      <c r="S636" s="74" t="str">
        <f t="shared" si="208"/>
        <v/>
      </c>
      <c r="U636" s="74" t="str">
        <f t="shared" si="225"/>
        <v/>
      </c>
      <c r="V636" s="74" t="str">
        <f t="shared" si="225"/>
        <v/>
      </c>
      <c r="W636" s="74" t="str">
        <f t="shared" si="225"/>
        <v/>
      </c>
      <c r="X636" s="74" t="str">
        <f t="shared" si="225"/>
        <v/>
      </c>
      <c r="Y636" s="74" t="str">
        <f t="shared" si="225"/>
        <v/>
      </c>
      <c r="Z636" s="74" t="str">
        <f t="shared" si="209"/>
        <v/>
      </c>
      <c r="AA636" s="74">
        <f t="shared" si="210"/>
        <v>0</v>
      </c>
      <c r="AB636" s="74">
        <f t="shared" si="211"/>
        <v>0</v>
      </c>
      <c r="AC636" s="74" t="str">
        <f t="shared" si="212"/>
        <v/>
      </c>
      <c r="AE636" s="74" t="str">
        <f t="shared" si="213"/>
        <v/>
      </c>
      <c r="AF636" s="74" t="str">
        <f t="shared" si="214"/>
        <v/>
      </c>
      <c r="AG636" s="74" t="str">
        <f t="shared" si="215"/>
        <v/>
      </c>
      <c r="AH636" s="74">
        <f t="shared" si="216"/>
        <v>0</v>
      </c>
      <c r="AI636" s="74" t="str">
        <f>IF(AH636&lt;&gt;0,COUNTIF(AH$3:AH636,1),"")</f>
        <v/>
      </c>
      <c r="AJ636" s="74">
        <f t="shared" si="217"/>
        <v>0</v>
      </c>
      <c r="AK636" s="73" t="str">
        <f t="shared" si="218"/>
        <v/>
      </c>
      <c r="AL636" s="73" t="str">
        <f t="shared" si="219"/>
        <v/>
      </c>
      <c r="AM636" s="73" t="str">
        <f t="shared" si="220"/>
        <v/>
      </c>
      <c r="AN636" s="73" t="str">
        <f t="shared" si="221"/>
        <v/>
      </c>
      <c r="AP636" s="61" t="str">
        <f t="shared" si="222"/>
        <v/>
      </c>
      <c r="AQ636" s="61" t="str">
        <f t="shared" si="223"/>
        <v/>
      </c>
      <c r="AR636" s="61" t="str">
        <f t="shared" si="224"/>
        <v/>
      </c>
    </row>
    <row r="637" spans="16:44" x14ac:dyDescent="0.25">
      <c r="P637" s="73" t="str">
        <f t="shared" si="205"/>
        <v/>
      </c>
      <c r="Q637" s="73" t="str">
        <f t="shared" si="206"/>
        <v/>
      </c>
      <c r="R637" s="74" t="str">
        <f t="shared" si="207"/>
        <v/>
      </c>
      <c r="S637" s="74" t="str">
        <f t="shared" si="208"/>
        <v/>
      </c>
      <c r="U637" s="74" t="str">
        <f t="shared" si="225"/>
        <v/>
      </c>
      <c r="V637" s="74" t="str">
        <f t="shared" si="225"/>
        <v/>
      </c>
      <c r="W637" s="74" t="str">
        <f t="shared" si="225"/>
        <v/>
      </c>
      <c r="X637" s="74" t="str">
        <f t="shared" si="225"/>
        <v/>
      </c>
      <c r="Y637" s="74" t="str">
        <f t="shared" si="225"/>
        <v/>
      </c>
      <c r="Z637" s="74" t="str">
        <f t="shared" si="209"/>
        <v/>
      </c>
      <c r="AA637" s="74">
        <f t="shared" si="210"/>
        <v>0</v>
      </c>
      <c r="AB637" s="74">
        <f t="shared" si="211"/>
        <v>0</v>
      </c>
      <c r="AC637" s="74" t="str">
        <f t="shared" si="212"/>
        <v/>
      </c>
      <c r="AE637" s="74" t="str">
        <f t="shared" si="213"/>
        <v/>
      </c>
      <c r="AF637" s="74" t="str">
        <f t="shared" si="214"/>
        <v/>
      </c>
      <c r="AG637" s="74" t="str">
        <f t="shared" si="215"/>
        <v/>
      </c>
      <c r="AH637" s="74">
        <f t="shared" si="216"/>
        <v>0</v>
      </c>
      <c r="AI637" s="74" t="str">
        <f>IF(AH637&lt;&gt;0,COUNTIF(AH$3:AH637,1),"")</f>
        <v/>
      </c>
      <c r="AJ637" s="74">
        <f t="shared" si="217"/>
        <v>0</v>
      </c>
      <c r="AK637" s="73" t="str">
        <f t="shared" si="218"/>
        <v/>
      </c>
      <c r="AL637" s="73" t="str">
        <f t="shared" si="219"/>
        <v/>
      </c>
      <c r="AM637" s="73" t="str">
        <f t="shared" si="220"/>
        <v/>
      </c>
      <c r="AN637" s="73" t="str">
        <f t="shared" si="221"/>
        <v/>
      </c>
      <c r="AP637" s="61" t="str">
        <f t="shared" si="222"/>
        <v/>
      </c>
      <c r="AQ637" s="61" t="str">
        <f t="shared" si="223"/>
        <v/>
      </c>
      <c r="AR637" s="61" t="str">
        <f t="shared" si="224"/>
        <v/>
      </c>
    </row>
    <row r="638" spans="16:44" x14ac:dyDescent="0.25">
      <c r="P638" s="73" t="str">
        <f t="shared" ref="P638:P701" si="226">IF(N638&lt;&gt;"",SUBSTITUTE(LEFT(N638,FIND(";",N638)),";",""),"")</f>
        <v/>
      </c>
      <c r="Q638" s="73" t="str">
        <f t="shared" ref="Q638:Q701" si="227">IF(N638&lt;&gt;"",SUBSTITUTE(RIGHT(N638,FIND(";",N638)),";",""),"")</f>
        <v/>
      </c>
      <c r="R638" s="74" t="str">
        <f t="shared" ref="R638:R701" si="228">IF(O638&lt;&gt;"",SUBSTITUTE(LEFT(O638,FIND(";",O638)),";",""),"")</f>
        <v/>
      </c>
      <c r="S638" s="74" t="str">
        <f t="shared" ref="S638:S701" si="229">IF(O638&lt;&gt;"",IFERROR(IF(FIND("OK",O638)&gt;0,TRUE),FALSE),"")</f>
        <v/>
      </c>
      <c r="U638" s="74" t="str">
        <f t="shared" si="225"/>
        <v/>
      </c>
      <c r="V638" s="74" t="str">
        <f t="shared" si="225"/>
        <v/>
      </c>
      <c r="W638" s="74" t="str">
        <f t="shared" si="225"/>
        <v/>
      </c>
      <c r="X638" s="74" t="str">
        <f t="shared" si="225"/>
        <v/>
      </c>
      <c r="Y638" s="74" t="str">
        <f t="shared" si="225"/>
        <v/>
      </c>
      <c r="Z638" s="74" t="str">
        <f t="shared" ref="Z638:Z701" si="230">IF(G638,E638,"")</f>
        <v/>
      </c>
      <c r="AA638" s="74">
        <f t="shared" ref="AA638:AA701" si="231">IF(G638=FALSE,E638,"")</f>
        <v>0</v>
      </c>
      <c r="AB638" s="74">
        <f t="shared" ref="AB638:AB701" si="232">IF(G638,1,0)</f>
        <v>0</v>
      </c>
      <c r="AC638" s="74" t="str">
        <f t="shared" ref="AC638:AC701" si="233">IF(A638&lt;&gt;"",IF(G638,0,1),"")</f>
        <v/>
      </c>
      <c r="AE638" s="74" t="str">
        <f t="shared" ref="AE638:AE701" si="234">IF(P638&lt;&gt;"",IF(AND(_xlfn.NUMBERVALUE(P638)&gt;25,_xlfn.NUMBERVALUE(P638)&lt;38),TRUE,FALSE),"")</f>
        <v/>
      </c>
      <c r="AF638" s="74" t="str">
        <f t="shared" ref="AF638:AF701" si="235">IF(Q638&lt;&gt;"",IF(AND(_xlfn.NUMBERVALUE(Q638)&gt;25,_xlfn.NUMBERVALUE(Q638)&lt;38),TRUE,FALSE),"")</f>
        <v/>
      </c>
      <c r="AG638" s="74" t="str">
        <f t="shared" ref="AG638:AG701" si="236">IF(R638&lt;&gt;"",IF(AND(_xlfn.NUMBERVALUE(R638)&gt;262,_xlfn.NUMBERVALUE(R638)&lt;307),TRUE,FALSE),"")</f>
        <v/>
      </c>
      <c r="AH638" s="74">
        <f t="shared" ref="AH638:AH701" si="237">IF(OR(AE638=FALSE,AF638=FALSE,AG638=FALSE),1,0)</f>
        <v>0</v>
      </c>
      <c r="AI638" s="74" t="str">
        <f>IF(AH638&lt;&gt;0,COUNTIF(AH$3:AH638,1),"")</f>
        <v/>
      </c>
      <c r="AJ638" s="74">
        <f t="shared" ref="AJ638:AJ701" si="238">L638</f>
        <v>0</v>
      </c>
      <c r="AK638" s="73" t="str">
        <f t="shared" ref="AK638:AK701" si="239">P638</f>
        <v/>
      </c>
      <c r="AL638" s="73" t="str">
        <f t="shared" ref="AL638:AL701" si="240">Q638</f>
        <v/>
      </c>
      <c r="AM638" s="73" t="str">
        <f t="shared" ref="AM638:AM701" si="241">R638</f>
        <v/>
      </c>
      <c r="AN638" s="73" t="str">
        <f t="shared" ref="AN638:AN701" si="242">S638</f>
        <v/>
      </c>
      <c r="AP638" s="61" t="str">
        <f t="shared" si="222"/>
        <v/>
      </c>
      <c r="AQ638" s="61" t="str">
        <f t="shared" si="223"/>
        <v/>
      </c>
      <c r="AR638" s="61" t="str">
        <f t="shared" si="224"/>
        <v/>
      </c>
    </row>
    <row r="639" spans="16:44" x14ac:dyDescent="0.25">
      <c r="P639" s="73" t="str">
        <f t="shared" si="226"/>
        <v/>
      </c>
      <c r="Q639" s="73" t="str">
        <f t="shared" si="227"/>
        <v/>
      </c>
      <c r="R639" s="74" t="str">
        <f t="shared" si="228"/>
        <v/>
      </c>
      <c r="S639" s="74" t="str">
        <f t="shared" si="229"/>
        <v/>
      </c>
      <c r="U639" s="74" t="str">
        <f t="shared" si="225"/>
        <v/>
      </c>
      <c r="V639" s="74" t="str">
        <f t="shared" si="225"/>
        <v/>
      </c>
      <c r="W639" s="74" t="str">
        <f t="shared" si="225"/>
        <v/>
      </c>
      <c r="X639" s="74" t="str">
        <f t="shared" si="225"/>
        <v/>
      </c>
      <c r="Y639" s="74" t="str">
        <f t="shared" si="225"/>
        <v/>
      </c>
      <c r="Z639" s="74" t="str">
        <f t="shared" si="230"/>
        <v/>
      </c>
      <c r="AA639" s="74">
        <f t="shared" si="231"/>
        <v>0</v>
      </c>
      <c r="AB639" s="74">
        <f t="shared" si="232"/>
        <v>0</v>
      </c>
      <c r="AC639" s="74" t="str">
        <f t="shared" si="233"/>
        <v/>
      </c>
      <c r="AE639" s="74" t="str">
        <f t="shared" si="234"/>
        <v/>
      </c>
      <c r="AF639" s="74" t="str">
        <f t="shared" si="235"/>
        <v/>
      </c>
      <c r="AG639" s="74" t="str">
        <f t="shared" si="236"/>
        <v/>
      </c>
      <c r="AH639" s="74">
        <f t="shared" si="237"/>
        <v>0</v>
      </c>
      <c r="AI639" s="74" t="str">
        <f>IF(AH639&lt;&gt;0,COUNTIF(AH$3:AH639,1),"")</f>
        <v/>
      </c>
      <c r="AJ639" s="74">
        <f t="shared" si="238"/>
        <v>0</v>
      </c>
      <c r="AK639" s="73" t="str">
        <f t="shared" si="239"/>
        <v/>
      </c>
      <c r="AL639" s="73" t="str">
        <f t="shared" si="240"/>
        <v/>
      </c>
      <c r="AM639" s="73" t="str">
        <f t="shared" si="241"/>
        <v/>
      </c>
      <c r="AN639" s="73" t="str">
        <f t="shared" si="242"/>
        <v/>
      </c>
      <c r="AP639" s="61" t="str">
        <f t="shared" si="222"/>
        <v/>
      </c>
      <c r="AQ639" s="61" t="str">
        <f t="shared" si="223"/>
        <v/>
      </c>
      <c r="AR639" s="61" t="str">
        <f t="shared" si="224"/>
        <v/>
      </c>
    </row>
    <row r="640" spans="16:44" x14ac:dyDescent="0.25">
      <c r="P640" s="73" t="str">
        <f t="shared" si="226"/>
        <v/>
      </c>
      <c r="Q640" s="73" t="str">
        <f t="shared" si="227"/>
        <v/>
      </c>
      <c r="R640" s="74" t="str">
        <f t="shared" si="228"/>
        <v/>
      </c>
      <c r="S640" s="74" t="str">
        <f t="shared" si="229"/>
        <v/>
      </c>
      <c r="U640" s="74" t="str">
        <f t="shared" si="225"/>
        <v/>
      </c>
      <c r="V640" s="74" t="str">
        <f t="shared" si="225"/>
        <v/>
      </c>
      <c r="W640" s="74" t="str">
        <f t="shared" si="225"/>
        <v/>
      </c>
      <c r="X640" s="74" t="str">
        <f t="shared" si="225"/>
        <v/>
      </c>
      <c r="Y640" s="74" t="str">
        <f t="shared" si="225"/>
        <v/>
      </c>
      <c r="Z640" s="74" t="str">
        <f t="shared" si="230"/>
        <v/>
      </c>
      <c r="AA640" s="74">
        <f t="shared" si="231"/>
        <v>0</v>
      </c>
      <c r="AB640" s="74">
        <f t="shared" si="232"/>
        <v>0</v>
      </c>
      <c r="AC640" s="74" t="str">
        <f t="shared" si="233"/>
        <v/>
      </c>
      <c r="AE640" s="74" t="str">
        <f t="shared" si="234"/>
        <v/>
      </c>
      <c r="AF640" s="74" t="str">
        <f t="shared" si="235"/>
        <v/>
      </c>
      <c r="AG640" s="74" t="str">
        <f t="shared" si="236"/>
        <v/>
      </c>
      <c r="AH640" s="74">
        <f t="shared" si="237"/>
        <v>0</v>
      </c>
      <c r="AI640" s="74" t="str">
        <f>IF(AH640&lt;&gt;0,COUNTIF(AH$3:AH640,1),"")</f>
        <v/>
      </c>
      <c r="AJ640" s="74">
        <f t="shared" si="238"/>
        <v>0</v>
      </c>
      <c r="AK640" s="73" t="str">
        <f t="shared" si="239"/>
        <v/>
      </c>
      <c r="AL640" s="73" t="str">
        <f t="shared" si="240"/>
        <v/>
      </c>
      <c r="AM640" s="73" t="str">
        <f t="shared" si="241"/>
        <v/>
      </c>
      <c r="AN640" s="73" t="str">
        <f t="shared" si="242"/>
        <v/>
      </c>
      <c r="AP640" s="61" t="str">
        <f t="shared" si="222"/>
        <v/>
      </c>
      <c r="AQ640" s="61" t="str">
        <f t="shared" si="223"/>
        <v/>
      </c>
      <c r="AR640" s="61" t="str">
        <f t="shared" si="224"/>
        <v/>
      </c>
    </row>
    <row r="641" spans="16:44" x14ac:dyDescent="0.25">
      <c r="P641" s="73" t="str">
        <f t="shared" si="226"/>
        <v/>
      </c>
      <c r="Q641" s="73" t="str">
        <f t="shared" si="227"/>
        <v/>
      </c>
      <c r="R641" s="74" t="str">
        <f t="shared" si="228"/>
        <v/>
      </c>
      <c r="S641" s="74" t="str">
        <f t="shared" si="229"/>
        <v/>
      </c>
      <c r="U641" s="74" t="str">
        <f t="shared" si="225"/>
        <v/>
      </c>
      <c r="V641" s="74" t="str">
        <f t="shared" si="225"/>
        <v/>
      </c>
      <c r="W641" s="74" t="str">
        <f t="shared" si="225"/>
        <v/>
      </c>
      <c r="X641" s="74" t="str">
        <f t="shared" si="225"/>
        <v/>
      </c>
      <c r="Y641" s="74" t="str">
        <f t="shared" si="225"/>
        <v/>
      </c>
      <c r="Z641" s="74" t="str">
        <f t="shared" si="230"/>
        <v/>
      </c>
      <c r="AA641" s="74">
        <f t="shared" si="231"/>
        <v>0</v>
      </c>
      <c r="AB641" s="74">
        <f t="shared" si="232"/>
        <v>0</v>
      </c>
      <c r="AC641" s="74" t="str">
        <f t="shared" si="233"/>
        <v/>
      </c>
      <c r="AE641" s="74" t="str">
        <f t="shared" si="234"/>
        <v/>
      </c>
      <c r="AF641" s="74" t="str">
        <f t="shared" si="235"/>
        <v/>
      </c>
      <c r="AG641" s="74" t="str">
        <f t="shared" si="236"/>
        <v/>
      </c>
      <c r="AH641" s="74">
        <f t="shared" si="237"/>
        <v>0</v>
      </c>
      <c r="AI641" s="74" t="str">
        <f>IF(AH641&lt;&gt;0,COUNTIF(AH$3:AH641,1),"")</f>
        <v/>
      </c>
      <c r="AJ641" s="74">
        <f t="shared" si="238"/>
        <v>0</v>
      </c>
      <c r="AK641" s="73" t="str">
        <f t="shared" si="239"/>
        <v/>
      </c>
      <c r="AL641" s="73" t="str">
        <f t="shared" si="240"/>
        <v/>
      </c>
      <c r="AM641" s="73" t="str">
        <f t="shared" si="241"/>
        <v/>
      </c>
      <c r="AN641" s="73" t="str">
        <f t="shared" si="242"/>
        <v/>
      </c>
      <c r="AP641" s="61" t="str">
        <f t="shared" si="222"/>
        <v/>
      </c>
      <c r="AQ641" s="61" t="str">
        <f t="shared" si="223"/>
        <v/>
      </c>
      <c r="AR641" s="61" t="str">
        <f t="shared" si="224"/>
        <v/>
      </c>
    </row>
    <row r="642" spans="16:44" x14ac:dyDescent="0.25">
      <c r="P642" s="73" t="str">
        <f t="shared" si="226"/>
        <v/>
      </c>
      <c r="Q642" s="73" t="str">
        <f t="shared" si="227"/>
        <v/>
      </c>
      <c r="R642" s="74" t="str">
        <f t="shared" si="228"/>
        <v/>
      </c>
      <c r="S642" s="74" t="str">
        <f t="shared" si="229"/>
        <v/>
      </c>
      <c r="U642" s="74" t="str">
        <f t="shared" si="225"/>
        <v/>
      </c>
      <c r="V642" s="74" t="str">
        <f t="shared" si="225"/>
        <v/>
      </c>
      <c r="W642" s="74" t="str">
        <f t="shared" si="225"/>
        <v/>
      </c>
      <c r="X642" s="74" t="str">
        <f t="shared" si="225"/>
        <v/>
      </c>
      <c r="Y642" s="74" t="str">
        <f t="shared" si="225"/>
        <v/>
      </c>
      <c r="Z642" s="74" t="str">
        <f t="shared" si="230"/>
        <v/>
      </c>
      <c r="AA642" s="74">
        <f t="shared" si="231"/>
        <v>0</v>
      </c>
      <c r="AB642" s="74">
        <f t="shared" si="232"/>
        <v>0</v>
      </c>
      <c r="AC642" s="74" t="str">
        <f t="shared" si="233"/>
        <v/>
      </c>
      <c r="AE642" s="74" t="str">
        <f t="shared" si="234"/>
        <v/>
      </c>
      <c r="AF642" s="74" t="str">
        <f t="shared" si="235"/>
        <v/>
      </c>
      <c r="AG642" s="74" t="str">
        <f t="shared" si="236"/>
        <v/>
      </c>
      <c r="AH642" s="74">
        <f t="shared" si="237"/>
        <v>0</v>
      </c>
      <c r="AI642" s="74" t="str">
        <f>IF(AH642&lt;&gt;0,COUNTIF(AH$3:AH642,1),"")</f>
        <v/>
      </c>
      <c r="AJ642" s="74">
        <f t="shared" si="238"/>
        <v>0</v>
      </c>
      <c r="AK642" s="73" t="str">
        <f t="shared" si="239"/>
        <v/>
      </c>
      <c r="AL642" s="73" t="str">
        <f t="shared" si="240"/>
        <v/>
      </c>
      <c r="AM642" s="73" t="str">
        <f t="shared" si="241"/>
        <v/>
      </c>
      <c r="AN642" s="73" t="str">
        <f t="shared" si="242"/>
        <v/>
      </c>
      <c r="AP642" s="61" t="str">
        <f t="shared" si="222"/>
        <v/>
      </c>
      <c r="AQ642" s="61" t="str">
        <f t="shared" si="223"/>
        <v/>
      </c>
      <c r="AR642" s="61" t="str">
        <f t="shared" si="224"/>
        <v/>
      </c>
    </row>
    <row r="643" spans="16:44" x14ac:dyDescent="0.25">
      <c r="P643" s="73" t="str">
        <f t="shared" si="226"/>
        <v/>
      </c>
      <c r="Q643" s="73" t="str">
        <f t="shared" si="227"/>
        <v/>
      </c>
      <c r="R643" s="74" t="str">
        <f t="shared" si="228"/>
        <v/>
      </c>
      <c r="S643" s="74" t="str">
        <f t="shared" si="229"/>
        <v/>
      </c>
      <c r="U643" s="74" t="str">
        <f t="shared" si="225"/>
        <v/>
      </c>
      <c r="V643" s="74" t="str">
        <f t="shared" si="225"/>
        <v/>
      </c>
      <c r="W643" s="74" t="str">
        <f t="shared" si="225"/>
        <v/>
      </c>
      <c r="X643" s="74" t="str">
        <f t="shared" si="225"/>
        <v/>
      </c>
      <c r="Y643" s="74" t="str">
        <f t="shared" si="225"/>
        <v/>
      </c>
      <c r="Z643" s="74" t="str">
        <f t="shared" si="230"/>
        <v/>
      </c>
      <c r="AA643" s="74">
        <f t="shared" si="231"/>
        <v>0</v>
      </c>
      <c r="AB643" s="74">
        <f t="shared" si="232"/>
        <v>0</v>
      </c>
      <c r="AC643" s="74" t="str">
        <f t="shared" si="233"/>
        <v/>
      </c>
      <c r="AE643" s="74" t="str">
        <f t="shared" si="234"/>
        <v/>
      </c>
      <c r="AF643" s="74" t="str">
        <f t="shared" si="235"/>
        <v/>
      </c>
      <c r="AG643" s="74" t="str">
        <f t="shared" si="236"/>
        <v/>
      </c>
      <c r="AH643" s="74">
        <f t="shared" si="237"/>
        <v>0</v>
      </c>
      <c r="AI643" s="74" t="str">
        <f>IF(AH643&lt;&gt;0,COUNTIF(AH$3:AH643,1),"")</f>
        <v/>
      </c>
      <c r="AJ643" s="74">
        <f t="shared" si="238"/>
        <v>0</v>
      </c>
      <c r="AK643" s="73" t="str">
        <f t="shared" si="239"/>
        <v/>
      </c>
      <c r="AL643" s="73" t="str">
        <f t="shared" si="240"/>
        <v/>
      </c>
      <c r="AM643" s="73" t="str">
        <f t="shared" si="241"/>
        <v/>
      </c>
      <c r="AN643" s="73" t="str">
        <f t="shared" si="242"/>
        <v/>
      </c>
      <c r="AP643" s="61" t="str">
        <f t="shared" si="222"/>
        <v/>
      </c>
      <c r="AQ643" s="61" t="str">
        <f t="shared" si="223"/>
        <v/>
      </c>
      <c r="AR643" s="61" t="str">
        <f t="shared" si="224"/>
        <v/>
      </c>
    </row>
    <row r="644" spans="16:44" x14ac:dyDescent="0.25">
      <c r="P644" s="73" t="str">
        <f t="shared" si="226"/>
        <v/>
      </c>
      <c r="Q644" s="73" t="str">
        <f t="shared" si="227"/>
        <v/>
      </c>
      <c r="R644" s="74" t="str">
        <f t="shared" si="228"/>
        <v/>
      </c>
      <c r="S644" s="74" t="str">
        <f t="shared" si="229"/>
        <v/>
      </c>
      <c r="U644" s="74" t="str">
        <f t="shared" si="225"/>
        <v/>
      </c>
      <c r="V644" s="74" t="str">
        <f t="shared" si="225"/>
        <v/>
      </c>
      <c r="W644" s="74" t="str">
        <f t="shared" si="225"/>
        <v/>
      </c>
      <c r="X644" s="74" t="str">
        <f t="shared" si="225"/>
        <v/>
      </c>
      <c r="Y644" s="74" t="str">
        <f t="shared" si="225"/>
        <v/>
      </c>
      <c r="Z644" s="74" t="str">
        <f t="shared" si="230"/>
        <v/>
      </c>
      <c r="AA644" s="74">
        <f t="shared" si="231"/>
        <v>0</v>
      </c>
      <c r="AB644" s="74">
        <f t="shared" si="232"/>
        <v>0</v>
      </c>
      <c r="AC644" s="74" t="str">
        <f t="shared" si="233"/>
        <v/>
      </c>
      <c r="AE644" s="74" t="str">
        <f t="shared" si="234"/>
        <v/>
      </c>
      <c r="AF644" s="74" t="str">
        <f t="shared" si="235"/>
        <v/>
      </c>
      <c r="AG644" s="74" t="str">
        <f t="shared" si="236"/>
        <v/>
      </c>
      <c r="AH644" s="74">
        <f t="shared" si="237"/>
        <v>0</v>
      </c>
      <c r="AI644" s="74" t="str">
        <f>IF(AH644&lt;&gt;0,COUNTIF(AH$3:AH644,1),"")</f>
        <v/>
      </c>
      <c r="AJ644" s="74">
        <f t="shared" si="238"/>
        <v>0</v>
      </c>
      <c r="AK644" s="73" t="str">
        <f t="shared" si="239"/>
        <v/>
      </c>
      <c r="AL644" s="73" t="str">
        <f t="shared" si="240"/>
        <v/>
      </c>
      <c r="AM644" s="73" t="str">
        <f t="shared" si="241"/>
        <v/>
      </c>
      <c r="AN644" s="73" t="str">
        <f t="shared" si="242"/>
        <v/>
      </c>
      <c r="AP644" s="61" t="str">
        <f t="shared" ref="AP644:AP707" si="243">IF(P644&lt;&gt;"",_xlfn.NUMBERVALUE(P644),"")</f>
        <v/>
      </c>
      <c r="AQ644" s="61" t="str">
        <f t="shared" ref="AQ644:AQ707" si="244">IF(Q644&lt;&gt;"",_xlfn.NUMBERVALUE(Q644),"")</f>
        <v/>
      </c>
      <c r="AR644" s="61" t="str">
        <f t="shared" ref="AR644:AR707" si="245">IF(R644&lt;&gt;"",_xlfn.NUMBERVALUE(R644),"")</f>
        <v/>
      </c>
    </row>
    <row r="645" spans="16:44" x14ac:dyDescent="0.25">
      <c r="P645" s="73" t="str">
        <f t="shared" si="226"/>
        <v/>
      </c>
      <c r="Q645" s="73" t="str">
        <f t="shared" si="227"/>
        <v/>
      </c>
      <c r="R645" s="74" t="str">
        <f t="shared" si="228"/>
        <v/>
      </c>
      <c r="S645" s="74" t="str">
        <f t="shared" si="229"/>
        <v/>
      </c>
      <c r="U645" s="74" t="str">
        <f t="shared" si="225"/>
        <v/>
      </c>
      <c r="V645" s="74" t="str">
        <f t="shared" si="225"/>
        <v/>
      </c>
      <c r="W645" s="74" t="str">
        <f t="shared" si="225"/>
        <v/>
      </c>
      <c r="X645" s="74" t="str">
        <f t="shared" si="225"/>
        <v/>
      </c>
      <c r="Y645" s="74" t="str">
        <f t="shared" si="225"/>
        <v/>
      </c>
      <c r="Z645" s="74" t="str">
        <f t="shared" si="230"/>
        <v/>
      </c>
      <c r="AA645" s="74">
        <f t="shared" si="231"/>
        <v>0</v>
      </c>
      <c r="AB645" s="74">
        <f t="shared" si="232"/>
        <v>0</v>
      </c>
      <c r="AC645" s="74" t="str">
        <f t="shared" si="233"/>
        <v/>
      </c>
      <c r="AE645" s="74" t="str">
        <f t="shared" si="234"/>
        <v/>
      </c>
      <c r="AF645" s="74" t="str">
        <f t="shared" si="235"/>
        <v/>
      </c>
      <c r="AG645" s="74" t="str">
        <f t="shared" si="236"/>
        <v/>
      </c>
      <c r="AH645" s="74">
        <f t="shared" si="237"/>
        <v>0</v>
      </c>
      <c r="AI645" s="74" t="str">
        <f>IF(AH645&lt;&gt;0,COUNTIF(AH$3:AH645,1),"")</f>
        <v/>
      </c>
      <c r="AJ645" s="74">
        <f t="shared" si="238"/>
        <v>0</v>
      </c>
      <c r="AK645" s="73" t="str">
        <f t="shared" si="239"/>
        <v/>
      </c>
      <c r="AL645" s="73" t="str">
        <f t="shared" si="240"/>
        <v/>
      </c>
      <c r="AM645" s="73" t="str">
        <f t="shared" si="241"/>
        <v/>
      </c>
      <c r="AN645" s="73" t="str">
        <f t="shared" si="242"/>
        <v/>
      </c>
      <c r="AP645" s="61" t="str">
        <f t="shared" si="243"/>
        <v/>
      </c>
      <c r="AQ645" s="61" t="str">
        <f t="shared" si="244"/>
        <v/>
      </c>
      <c r="AR645" s="61" t="str">
        <f t="shared" si="245"/>
        <v/>
      </c>
    </row>
    <row r="646" spans="16:44" x14ac:dyDescent="0.25">
      <c r="P646" s="73" t="str">
        <f t="shared" si="226"/>
        <v/>
      </c>
      <c r="Q646" s="73" t="str">
        <f t="shared" si="227"/>
        <v/>
      </c>
      <c r="R646" s="74" t="str">
        <f t="shared" si="228"/>
        <v/>
      </c>
      <c r="S646" s="74" t="str">
        <f t="shared" si="229"/>
        <v/>
      </c>
      <c r="U646" s="74" t="str">
        <f t="shared" si="225"/>
        <v/>
      </c>
      <c r="V646" s="74" t="str">
        <f t="shared" si="225"/>
        <v/>
      </c>
      <c r="W646" s="74" t="str">
        <f t="shared" si="225"/>
        <v/>
      </c>
      <c r="X646" s="74" t="str">
        <f t="shared" si="225"/>
        <v/>
      </c>
      <c r="Y646" s="74" t="str">
        <f t="shared" si="225"/>
        <v/>
      </c>
      <c r="Z646" s="74" t="str">
        <f t="shared" si="230"/>
        <v/>
      </c>
      <c r="AA646" s="74">
        <f t="shared" si="231"/>
        <v>0</v>
      </c>
      <c r="AB646" s="74">
        <f t="shared" si="232"/>
        <v>0</v>
      </c>
      <c r="AC646" s="74" t="str">
        <f t="shared" si="233"/>
        <v/>
      </c>
      <c r="AE646" s="74" t="str">
        <f t="shared" si="234"/>
        <v/>
      </c>
      <c r="AF646" s="74" t="str">
        <f t="shared" si="235"/>
        <v/>
      </c>
      <c r="AG646" s="74" t="str">
        <f t="shared" si="236"/>
        <v/>
      </c>
      <c r="AH646" s="74">
        <f t="shared" si="237"/>
        <v>0</v>
      </c>
      <c r="AI646" s="74" t="str">
        <f>IF(AH646&lt;&gt;0,COUNTIF(AH$3:AH646,1),"")</f>
        <v/>
      </c>
      <c r="AJ646" s="74">
        <f t="shared" si="238"/>
        <v>0</v>
      </c>
      <c r="AK646" s="73" t="str">
        <f t="shared" si="239"/>
        <v/>
      </c>
      <c r="AL646" s="73" t="str">
        <f t="shared" si="240"/>
        <v/>
      </c>
      <c r="AM646" s="73" t="str">
        <f t="shared" si="241"/>
        <v/>
      </c>
      <c r="AN646" s="73" t="str">
        <f t="shared" si="242"/>
        <v/>
      </c>
      <c r="AP646" s="61" t="str">
        <f t="shared" si="243"/>
        <v/>
      </c>
      <c r="AQ646" s="61" t="str">
        <f t="shared" si="244"/>
        <v/>
      </c>
      <c r="AR646" s="61" t="str">
        <f t="shared" si="245"/>
        <v/>
      </c>
    </row>
    <row r="647" spans="16:44" x14ac:dyDescent="0.25">
      <c r="P647" s="73" t="str">
        <f t="shared" si="226"/>
        <v/>
      </c>
      <c r="Q647" s="73" t="str">
        <f t="shared" si="227"/>
        <v/>
      </c>
      <c r="R647" s="74" t="str">
        <f t="shared" si="228"/>
        <v/>
      </c>
      <c r="S647" s="74" t="str">
        <f t="shared" si="229"/>
        <v/>
      </c>
      <c r="U647" s="74" t="str">
        <f t="shared" si="225"/>
        <v/>
      </c>
      <c r="V647" s="74" t="str">
        <f t="shared" si="225"/>
        <v/>
      </c>
      <c r="W647" s="74" t="str">
        <f t="shared" si="225"/>
        <v/>
      </c>
      <c r="X647" s="74" t="str">
        <f t="shared" si="225"/>
        <v/>
      </c>
      <c r="Y647" s="74" t="str">
        <f t="shared" si="225"/>
        <v/>
      </c>
      <c r="Z647" s="74" t="str">
        <f t="shared" si="230"/>
        <v/>
      </c>
      <c r="AA647" s="74">
        <f t="shared" si="231"/>
        <v>0</v>
      </c>
      <c r="AB647" s="74">
        <f t="shared" si="232"/>
        <v>0</v>
      </c>
      <c r="AC647" s="74" t="str">
        <f t="shared" si="233"/>
        <v/>
      </c>
      <c r="AE647" s="74" t="str">
        <f t="shared" si="234"/>
        <v/>
      </c>
      <c r="AF647" s="74" t="str">
        <f t="shared" si="235"/>
        <v/>
      </c>
      <c r="AG647" s="74" t="str">
        <f t="shared" si="236"/>
        <v/>
      </c>
      <c r="AH647" s="74">
        <f t="shared" si="237"/>
        <v>0</v>
      </c>
      <c r="AI647" s="74" t="str">
        <f>IF(AH647&lt;&gt;0,COUNTIF(AH$3:AH647,1),"")</f>
        <v/>
      </c>
      <c r="AJ647" s="74">
        <f t="shared" si="238"/>
        <v>0</v>
      </c>
      <c r="AK647" s="73" t="str">
        <f t="shared" si="239"/>
        <v/>
      </c>
      <c r="AL647" s="73" t="str">
        <f t="shared" si="240"/>
        <v/>
      </c>
      <c r="AM647" s="73" t="str">
        <f t="shared" si="241"/>
        <v/>
      </c>
      <c r="AN647" s="73" t="str">
        <f t="shared" si="242"/>
        <v/>
      </c>
      <c r="AP647" s="61" t="str">
        <f t="shared" si="243"/>
        <v/>
      </c>
      <c r="AQ647" s="61" t="str">
        <f t="shared" si="244"/>
        <v/>
      </c>
      <c r="AR647" s="61" t="str">
        <f t="shared" si="245"/>
        <v/>
      </c>
    </row>
    <row r="648" spans="16:44" x14ac:dyDescent="0.25">
      <c r="P648" s="73" t="str">
        <f t="shared" si="226"/>
        <v/>
      </c>
      <c r="Q648" s="73" t="str">
        <f t="shared" si="227"/>
        <v/>
      </c>
      <c r="R648" s="74" t="str">
        <f t="shared" si="228"/>
        <v/>
      </c>
      <c r="S648" s="74" t="str">
        <f t="shared" si="229"/>
        <v/>
      </c>
      <c r="U648" s="74" t="str">
        <f t="shared" si="225"/>
        <v/>
      </c>
      <c r="V648" s="74" t="str">
        <f t="shared" si="225"/>
        <v/>
      </c>
      <c r="W648" s="74" t="str">
        <f t="shared" si="225"/>
        <v/>
      </c>
      <c r="X648" s="74" t="str">
        <f t="shared" si="225"/>
        <v/>
      </c>
      <c r="Y648" s="74" t="str">
        <f t="shared" si="225"/>
        <v/>
      </c>
      <c r="Z648" s="74" t="str">
        <f t="shared" si="230"/>
        <v/>
      </c>
      <c r="AA648" s="74">
        <f t="shared" si="231"/>
        <v>0</v>
      </c>
      <c r="AB648" s="74">
        <f t="shared" si="232"/>
        <v>0</v>
      </c>
      <c r="AC648" s="74" t="str">
        <f t="shared" si="233"/>
        <v/>
      </c>
      <c r="AE648" s="74" t="str">
        <f t="shared" si="234"/>
        <v/>
      </c>
      <c r="AF648" s="74" t="str">
        <f t="shared" si="235"/>
        <v/>
      </c>
      <c r="AG648" s="74" t="str">
        <f t="shared" si="236"/>
        <v/>
      </c>
      <c r="AH648" s="74">
        <f t="shared" si="237"/>
        <v>0</v>
      </c>
      <c r="AI648" s="74" t="str">
        <f>IF(AH648&lt;&gt;0,COUNTIF(AH$3:AH648,1),"")</f>
        <v/>
      </c>
      <c r="AJ648" s="74">
        <f t="shared" si="238"/>
        <v>0</v>
      </c>
      <c r="AK648" s="73" t="str">
        <f t="shared" si="239"/>
        <v/>
      </c>
      <c r="AL648" s="73" t="str">
        <f t="shared" si="240"/>
        <v/>
      </c>
      <c r="AM648" s="73" t="str">
        <f t="shared" si="241"/>
        <v/>
      </c>
      <c r="AN648" s="73" t="str">
        <f t="shared" si="242"/>
        <v/>
      </c>
      <c r="AP648" s="61" t="str">
        <f t="shared" si="243"/>
        <v/>
      </c>
      <c r="AQ648" s="61" t="str">
        <f t="shared" si="244"/>
        <v/>
      </c>
      <c r="AR648" s="61" t="str">
        <f t="shared" si="245"/>
        <v/>
      </c>
    </row>
    <row r="649" spans="16:44" x14ac:dyDescent="0.25">
      <c r="P649" s="73" t="str">
        <f t="shared" si="226"/>
        <v/>
      </c>
      <c r="Q649" s="73" t="str">
        <f t="shared" si="227"/>
        <v/>
      </c>
      <c r="R649" s="74" t="str">
        <f t="shared" si="228"/>
        <v/>
      </c>
      <c r="S649" s="74" t="str">
        <f t="shared" si="229"/>
        <v/>
      </c>
      <c r="U649" s="74" t="str">
        <f t="shared" ref="U649:Y699" si="246">IF($F649=U$1,$E649,"")</f>
        <v/>
      </c>
      <c r="V649" s="74" t="str">
        <f t="shared" si="246"/>
        <v/>
      </c>
      <c r="W649" s="74" t="str">
        <f t="shared" si="246"/>
        <v/>
      </c>
      <c r="X649" s="74" t="str">
        <f t="shared" si="246"/>
        <v/>
      </c>
      <c r="Y649" s="74" t="str">
        <f t="shared" si="246"/>
        <v/>
      </c>
      <c r="Z649" s="74" t="str">
        <f t="shared" si="230"/>
        <v/>
      </c>
      <c r="AA649" s="74">
        <f t="shared" si="231"/>
        <v>0</v>
      </c>
      <c r="AB649" s="74">
        <f t="shared" si="232"/>
        <v>0</v>
      </c>
      <c r="AC649" s="74" t="str">
        <f t="shared" si="233"/>
        <v/>
      </c>
      <c r="AE649" s="74" t="str">
        <f t="shared" si="234"/>
        <v/>
      </c>
      <c r="AF649" s="74" t="str">
        <f t="shared" si="235"/>
        <v/>
      </c>
      <c r="AG649" s="74" t="str">
        <f t="shared" si="236"/>
        <v/>
      </c>
      <c r="AH649" s="74">
        <f t="shared" si="237"/>
        <v>0</v>
      </c>
      <c r="AI649" s="74" t="str">
        <f>IF(AH649&lt;&gt;0,COUNTIF(AH$3:AH649,1),"")</f>
        <v/>
      </c>
      <c r="AJ649" s="74">
        <f t="shared" si="238"/>
        <v>0</v>
      </c>
      <c r="AK649" s="73" t="str">
        <f t="shared" si="239"/>
        <v/>
      </c>
      <c r="AL649" s="73" t="str">
        <f t="shared" si="240"/>
        <v/>
      </c>
      <c r="AM649" s="73" t="str">
        <f t="shared" si="241"/>
        <v/>
      </c>
      <c r="AN649" s="73" t="str">
        <f t="shared" si="242"/>
        <v/>
      </c>
      <c r="AP649" s="61" t="str">
        <f t="shared" si="243"/>
        <v/>
      </c>
      <c r="AQ649" s="61" t="str">
        <f t="shared" si="244"/>
        <v/>
      </c>
      <c r="AR649" s="61" t="str">
        <f t="shared" si="245"/>
        <v/>
      </c>
    </row>
    <row r="650" spans="16:44" x14ac:dyDescent="0.25">
      <c r="P650" s="73" t="str">
        <f t="shared" si="226"/>
        <v/>
      </c>
      <c r="Q650" s="73" t="str">
        <f t="shared" si="227"/>
        <v/>
      </c>
      <c r="R650" s="74" t="str">
        <f t="shared" si="228"/>
        <v/>
      </c>
      <c r="S650" s="74" t="str">
        <f t="shared" si="229"/>
        <v/>
      </c>
      <c r="U650" s="74" t="str">
        <f t="shared" si="246"/>
        <v/>
      </c>
      <c r="V650" s="74" t="str">
        <f t="shared" si="246"/>
        <v/>
      </c>
      <c r="W650" s="74" t="str">
        <f t="shared" si="246"/>
        <v/>
      </c>
      <c r="X650" s="74" t="str">
        <f t="shared" si="246"/>
        <v/>
      </c>
      <c r="Y650" s="74" t="str">
        <f t="shared" si="246"/>
        <v/>
      </c>
      <c r="Z650" s="74" t="str">
        <f t="shared" si="230"/>
        <v/>
      </c>
      <c r="AA650" s="74">
        <f t="shared" si="231"/>
        <v>0</v>
      </c>
      <c r="AB650" s="74">
        <f t="shared" si="232"/>
        <v>0</v>
      </c>
      <c r="AC650" s="74" t="str">
        <f t="shared" si="233"/>
        <v/>
      </c>
      <c r="AE650" s="74" t="str">
        <f t="shared" si="234"/>
        <v/>
      </c>
      <c r="AF650" s="74" t="str">
        <f t="shared" si="235"/>
        <v/>
      </c>
      <c r="AG650" s="74" t="str">
        <f t="shared" si="236"/>
        <v/>
      </c>
      <c r="AH650" s="74">
        <f t="shared" si="237"/>
        <v>0</v>
      </c>
      <c r="AI650" s="74" t="str">
        <f>IF(AH650&lt;&gt;0,COUNTIF(AH$3:AH650,1),"")</f>
        <v/>
      </c>
      <c r="AJ650" s="74">
        <f t="shared" si="238"/>
        <v>0</v>
      </c>
      <c r="AK650" s="73" t="str">
        <f t="shared" si="239"/>
        <v/>
      </c>
      <c r="AL650" s="73" t="str">
        <f t="shared" si="240"/>
        <v/>
      </c>
      <c r="AM650" s="73" t="str">
        <f t="shared" si="241"/>
        <v/>
      </c>
      <c r="AN650" s="73" t="str">
        <f t="shared" si="242"/>
        <v/>
      </c>
      <c r="AP650" s="61" t="str">
        <f t="shared" si="243"/>
        <v/>
      </c>
      <c r="AQ650" s="61" t="str">
        <f t="shared" si="244"/>
        <v/>
      </c>
      <c r="AR650" s="61" t="str">
        <f t="shared" si="245"/>
        <v/>
      </c>
    </row>
    <row r="651" spans="16:44" x14ac:dyDescent="0.25">
      <c r="P651" s="73" t="str">
        <f t="shared" si="226"/>
        <v/>
      </c>
      <c r="Q651" s="73" t="str">
        <f t="shared" si="227"/>
        <v/>
      </c>
      <c r="R651" s="74" t="str">
        <f t="shared" si="228"/>
        <v/>
      </c>
      <c r="S651" s="74" t="str">
        <f t="shared" si="229"/>
        <v/>
      </c>
      <c r="U651" s="74" t="str">
        <f t="shared" si="246"/>
        <v/>
      </c>
      <c r="V651" s="74" t="str">
        <f t="shared" si="246"/>
        <v/>
      </c>
      <c r="W651" s="74" t="str">
        <f t="shared" si="246"/>
        <v/>
      </c>
      <c r="X651" s="74" t="str">
        <f t="shared" si="246"/>
        <v/>
      </c>
      <c r="Y651" s="74" t="str">
        <f t="shared" si="246"/>
        <v/>
      </c>
      <c r="Z651" s="74" t="str">
        <f t="shared" si="230"/>
        <v/>
      </c>
      <c r="AA651" s="74">
        <f t="shared" si="231"/>
        <v>0</v>
      </c>
      <c r="AB651" s="74">
        <f t="shared" si="232"/>
        <v>0</v>
      </c>
      <c r="AC651" s="74" t="str">
        <f t="shared" si="233"/>
        <v/>
      </c>
      <c r="AE651" s="74" t="str">
        <f t="shared" si="234"/>
        <v/>
      </c>
      <c r="AF651" s="74" t="str">
        <f t="shared" si="235"/>
        <v/>
      </c>
      <c r="AG651" s="74" t="str">
        <f t="shared" si="236"/>
        <v/>
      </c>
      <c r="AH651" s="74">
        <f t="shared" si="237"/>
        <v>0</v>
      </c>
      <c r="AI651" s="74" t="str">
        <f>IF(AH651&lt;&gt;0,COUNTIF(AH$3:AH651,1),"")</f>
        <v/>
      </c>
      <c r="AJ651" s="74">
        <f t="shared" si="238"/>
        <v>0</v>
      </c>
      <c r="AK651" s="73" t="str">
        <f t="shared" si="239"/>
        <v/>
      </c>
      <c r="AL651" s="73" t="str">
        <f t="shared" si="240"/>
        <v/>
      </c>
      <c r="AM651" s="73" t="str">
        <f t="shared" si="241"/>
        <v/>
      </c>
      <c r="AN651" s="73" t="str">
        <f t="shared" si="242"/>
        <v/>
      </c>
      <c r="AP651" s="61" t="str">
        <f t="shared" si="243"/>
        <v/>
      </c>
      <c r="AQ651" s="61" t="str">
        <f t="shared" si="244"/>
        <v/>
      </c>
      <c r="AR651" s="61" t="str">
        <f t="shared" si="245"/>
        <v/>
      </c>
    </row>
    <row r="652" spans="16:44" x14ac:dyDescent="0.25">
      <c r="P652" s="73" t="str">
        <f t="shared" si="226"/>
        <v/>
      </c>
      <c r="Q652" s="73" t="str">
        <f t="shared" si="227"/>
        <v/>
      </c>
      <c r="R652" s="74" t="str">
        <f t="shared" si="228"/>
        <v/>
      </c>
      <c r="S652" s="74" t="str">
        <f t="shared" si="229"/>
        <v/>
      </c>
      <c r="U652" s="74" t="str">
        <f t="shared" si="246"/>
        <v/>
      </c>
      <c r="V652" s="74" t="str">
        <f t="shared" si="246"/>
        <v/>
      </c>
      <c r="W652" s="74" t="str">
        <f t="shared" si="246"/>
        <v/>
      </c>
      <c r="X652" s="74" t="str">
        <f t="shared" si="246"/>
        <v/>
      </c>
      <c r="Y652" s="74" t="str">
        <f t="shared" si="246"/>
        <v/>
      </c>
      <c r="Z652" s="74" t="str">
        <f t="shared" si="230"/>
        <v/>
      </c>
      <c r="AA652" s="74">
        <f t="shared" si="231"/>
        <v>0</v>
      </c>
      <c r="AB652" s="74">
        <f t="shared" si="232"/>
        <v>0</v>
      </c>
      <c r="AC652" s="74" t="str">
        <f t="shared" si="233"/>
        <v/>
      </c>
      <c r="AE652" s="74" t="str">
        <f t="shared" si="234"/>
        <v/>
      </c>
      <c r="AF652" s="74" t="str">
        <f t="shared" si="235"/>
        <v/>
      </c>
      <c r="AG652" s="74" t="str">
        <f t="shared" si="236"/>
        <v/>
      </c>
      <c r="AH652" s="74">
        <f t="shared" si="237"/>
        <v>0</v>
      </c>
      <c r="AI652" s="74" t="str">
        <f>IF(AH652&lt;&gt;0,COUNTIF(AH$3:AH652,1),"")</f>
        <v/>
      </c>
      <c r="AJ652" s="74">
        <f t="shared" si="238"/>
        <v>0</v>
      </c>
      <c r="AK652" s="73" t="str">
        <f t="shared" si="239"/>
        <v/>
      </c>
      <c r="AL652" s="73" t="str">
        <f t="shared" si="240"/>
        <v/>
      </c>
      <c r="AM652" s="73" t="str">
        <f t="shared" si="241"/>
        <v/>
      </c>
      <c r="AN652" s="73" t="str">
        <f t="shared" si="242"/>
        <v/>
      </c>
      <c r="AP652" s="61" t="str">
        <f t="shared" si="243"/>
        <v/>
      </c>
      <c r="AQ652" s="61" t="str">
        <f t="shared" si="244"/>
        <v/>
      </c>
      <c r="AR652" s="61" t="str">
        <f t="shared" si="245"/>
        <v/>
      </c>
    </row>
    <row r="653" spans="16:44" x14ac:dyDescent="0.25">
      <c r="P653" s="73" t="str">
        <f t="shared" si="226"/>
        <v/>
      </c>
      <c r="Q653" s="73" t="str">
        <f t="shared" si="227"/>
        <v/>
      </c>
      <c r="R653" s="74" t="str">
        <f t="shared" si="228"/>
        <v/>
      </c>
      <c r="S653" s="74" t="str">
        <f t="shared" si="229"/>
        <v/>
      </c>
      <c r="U653" s="74" t="str">
        <f t="shared" si="246"/>
        <v/>
      </c>
      <c r="V653" s="74" t="str">
        <f t="shared" si="246"/>
        <v/>
      </c>
      <c r="W653" s="74" t="str">
        <f t="shared" si="246"/>
        <v/>
      </c>
      <c r="X653" s="74" t="str">
        <f t="shared" si="246"/>
        <v/>
      </c>
      <c r="Y653" s="74" t="str">
        <f t="shared" si="246"/>
        <v/>
      </c>
      <c r="Z653" s="74" t="str">
        <f t="shared" si="230"/>
        <v/>
      </c>
      <c r="AA653" s="74">
        <f t="shared" si="231"/>
        <v>0</v>
      </c>
      <c r="AB653" s="74">
        <f t="shared" si="232"/>
        <v>0</v>
      </c>
      <c r="AC653" s="74" t="str">
        <f t="shared" si="233"/>
        <v/>
      </c>
      <c r="AE653" s="74" t="str">
        <f t="shared" si="234"/>
        <v/>
      </c>
      <c r="AF653" s="74" t="str">
        <f t="shared" si="235"/>
        <v/>
      </c>
      <c r="AG653" s="74" t="str">
        <f t="shared" si="236"/>
        <v/>
      </c>
      <c r="AH653" s="74">
        <f t="shared" si="237"/>
        <v>0</v>
      </c>
      <c r="AI653" s="74" t="str">
        <f>IF(AH653&lt;&gt;0,COUNTIF(AH$3:AH653,1),"")</f>
        <v/>
      </c>
      <c r="AJ653" s="74">
        <f t="shared" si="238"/>
        <v>0</v>
      </c>
      <c r="AK653" s="73" t="str">
        <f t="shared" si="239"/>
        <v/>
      </c>
      <c r="AL653" s="73" t="str">
        <f t="shared" si="240"/>
        <v/>
      </c>
      <c r="AM653" s="73" t="str">
        <f t="shared" si="241"/>
        <v/>
      </c>
      <c r="AN653" s="73" t="str">
        <f t="shared" si="242"/>
        <v/>
      </c>
      <c r="AP653" s="61" t="str">
        <f t="shared" si="243"/>
        <v/>
      </c>
      <c r="AQ653" s="61" t="str">
        <f t="shared" si="244"/>
        <v/>
      </c>
      <c r="AR653" s="61" t="str">
        <f t="shared" si="245"/>
        <v/>
      </c>
    </row>
    <row r="654" spans="16:44" x14ac:dyDescent="0.25">
      <c r="P654" s="73" t="str">
        <f t="shared" si="226"/>
        <v/>
      </c>
      <c r="Q654" s="73" t="str">
        <f t="shared" si="227"/>
        <v/>
      </c>
      <c r="R654" s="74" t="str">
        <f t="shared" si="228"/>
        <v/>
      </c>
      <c r="S654" s="74" t="str">
        <f t="shared" si="229"/>
        <v/>
      </c>
      <c r="U654" s="74" t="str">
        <f t="shared" si="246"/>
        <v/>
      </c>
      <c r="V654" s="74" t="str">
        <f t="shared" si="246"/>
        <v/>
      </c>
      <c r="W654" s="74" t="str">
        <f t="shared" si="246"/>
        <v/>
      </c>
      <c r="X654" s="74" t="str">
        <f t="shared" si="246"/>
        <v/>
      </c>
      <c r="Y654" s="74" t="str">
        <f t="shared" si="246"/>
        <v/>
      </c>
      <c r="Z654" s="74" t="str">
        <f t="shared" si="230"/>
        <v/>
      </c>
      <c r="AA654" s="74">
        <f t="shared" si="231"/>
        <v>0</v>
      </c>
      <c r="AB654" s="74">
        <f t="shared" si="232"/>
        <v>0</v>
      </c>
      <c r="AC654" s="74" t="str">
        <f t="shared" si="233"/>
        <v/>
      </c>
      <c r="AE654" s="74" t="str">
        <f t="shared" si="234"/>
        <v/>
      </c>
      <c r="AF654" s="74" t="str">
        <f t="shared" si="235"/>
        <v/>
      </c>
      <c r="AG654" s="74" t="str">
        <f t="shared" si="236"/>
        <v/>
      </c>
      <c r="AH654" s="74">
        <f t="shared" si="237"/>
        <v>0</v>
      </c>
      <c r="AI654" s="74" t="str">
        <f>IF(AH654&lt;&gt;0,COUNTIF(AH$3:AH654,1),"")</f>
        <v/>
      </c>
      <c r="AJ654" s="74">
        <f t="shared" si="238"/>
        <v>0</v>
      </c>
      <c r="AK654" s="73" t="str">
        <f t="shared" si="239"/>
        <v/>
      </c>
      <c r="AL654" s="73" t="str">
        <f t="shared" si="240"/>
        <v/>
      </c>
      <c r="AM654" s="73" t="str">
        <f t="shared" si="241"/>
        <v/>
      </c>
      <c r="AN654" s="73" t="str">
        <f t="shared" si="242"/>
        <v/>
      </c>
      <c r="AP654" s="61" t="str">
        <f t="shared" si="243"/>
        <v/>
      </c>
      <c r="AQ654" s="61" t="str">
        <f t="shared" si="244"/>
        <v/>
      </c>
      <c r="AR654" s="61" t="str">
        <f t="shared" si="245"/>
        <v/>
      </c>
    </row>
    <row r="655" spans="16:44" x14ac:dyDescent="0.25">
      <c r="P655" s="73" t="str">
        <f t="shared" si="226"/>
        <v/>
      </c>
      <c r="Q655" s="73" t="str">
        <f t="shared" si="227"/>
        <v/>
      </c>
      <c r="R655" s="74" t="str">
        <f t="shared" si="228"/>
        <v/>
      </c>
      <c r="S655" s="74" t="str">
        <f t="shared" si="229"/>
        <v/>
      </c>
      <c r="U655" s="74" t="str">
        <f t="shared" si="246"/>
        <v/>
      </c>
      <c r="V655" s="74" t="str">
        <f t="shared" si="246"/>
        <v/>
      </c>
      <c r="W655" s="74" t="str">
        <f t="shared" si="246"/>
        <v/>
      </c>
      <c r="X655" s="74" t="str">
        <f t="shared" si="246"/>
        <v/>
      </c>
      <c r="Y655" s="74" t="str">
        <f t="shared" si="246"/>
        <v/>
      </c>
      <c r="Z655" s="74" t="str">
        <f t="shared" si="230"/>
        <v/>
      </c>
      <c r="AA655" s="74">
        <f t="shared" si="231"/>
        <v>0</v>
      </c>
      <c r="AB655" s="74">
        <f t="shared" si="232"/>
        <v>0</v>
      </c>
      <c r="AC655" s="74" t="str">
        <f t="shared" si="233"/>
        <v/>
      </c>
      <c r="AE655" s="74" t="str">
        <f t="shared" si="234"/>
        <v/>
      </c>
      <c r="AF655" s="74" t="str">
        <f t="shared" si="235"/>
        <v/>
      </c>
      <c r="AG655" s="74" t="str">
        <f t="shared" si="236"/>
        <v/>
      </c>
      <c r="AH655" s="74">
        <f t="shared" si="237"/>
        <v>0</v>
      </c>
      <c r="AI655" s="74" t="str">
        <f>IF(AH655&lt;&gt;0,COUNTIF(AH$3:AH655,1),"")</f>
        <v/>
      </c>
      <c r="AJ655" s="74">
        <f t="shared" si="238"/>
        <v>0</v>
      </c>
      <c r="AK655" s="73" t="str">
        <f t="shared" si="239"/>
        <v/>
      </c>
      <c r="AL655" s="73" t="str">
        <f t="shared" si="240"/>
        <v/>
      </c>
      <c r="AM655" s="73" t="str">
        <f t="shared" si="241"/>
        <v/>
      </c>
      <c r="AN655" s="73" t="str">
        <f t="shared" si="242"/>
        <v/>
      </c>
      <c r="AP655" s="61" t="str">
        <f t="shared" si="243"/>
        <v/>
      </c>
      <c r="AQ655" s="61" t="str">
        <f t="shared" si="244"/>
        <v/>
      </c>
      <c r="AR655" s="61" t="str">
        <f t="shared" si="245"/>
        <v/>
      </c>
    </row>
    <row r="656" spans="16:44" x14ac:dyDescent="0.25">
      <c r="P656" s="73" t="str">
        <f t="shared" si="226"/>
        <v/>
      </c>
      <c r="Q656" s="73" t="str">
        <f t="shared" si="227"/>
        <v/>
      </c>
      <c r="R656" s="74" t="str">
        <f t="shared" si="228"/>
        <v/>
      </c>
      <c r="S656" s="74" t="str">
        <f t="shared" si="229"/>
        <v/>
      </c>
      <c r="U656" s="74" t="str">
        <f t="shared" si="246"/>
        <v/>
      </c>
      <c r="V656" s="74" t="str">
        <f t="shared" si="246"/>
        <v/>
      </c>
      <c r="W656" s="74" t="str">
        <f t="shared" si="246"/>
        <v/>
      </c>
      <c r="X656" s="74" t="str">
        <f t="shared" si="246"/>
        <v/>
      </c>
      <c r="Y656" s="74" t="str">
        <f t="shared" si="246"/>
        <v/>
      </c>
      <c r="Z656" s="74" t="str">
        <f t="shared" si="230"/>
        <v/>
      </c>
      <c r="AA656" s="74">
        <f t="shared" si="231"/>
        <v>0</v>
      </c>
      <c r="AB656" s="74">
        <f t="shared" si="232"/>
        <v>0</v>
      </c>
      <c r="AC656" s="74" t="str">
        <f t="shared" si="233"/>
        <v/>
      </c>
      <c r="AE656" s="74" t="str">
        <f t="shared" si="234"/>
        <v/>
      </c>
      <c r="AF656" s="74" t="str">
        <f t="shared" si="235"/>
        <v/>
      </c>
      <c r="AG656" s="74" t="str">
        <f t="shared" si="236"/>
        <v/>
      </c>
      <c r="AH656" s="74">
        <f t="shared" si="237"/>
        <v>0</v>
      </c>
      <c r="AI656" s="74" t="str">
        <f>IF(AH656&lt;&gt;0,COUNTIF(AH$3:AH656,1),"")</f>
        <v/>
      </c>
      <c r="AJ656" s="74">
        <f t="shared" si="238"/>
        <v>0</v>
      </c>
      <c r="AK656" s="73" t="str">
        <f t="shared" si="239"/>
        <v/>
      </c>
      <c r="AL656" s="73" t="str">
        <f t="shared" si="240"/>
        <v/>
      </c>
      <c r="AM656" s="73" t="str">
        <f t="shared" si="241"/>
        <v/>
      </c>
      <c r="AN656" s="73" t="str">
        <f t="shared" si="242"/>
        <v/>
      </c>
      <c r="AP656" s="61" t="str">
        <f t="shared" si="243"/>
        <v/>
      </c>
      <c r="AQ656" s="61" t="str">
        <f t="shared" si="244"/>
        <v/>
      </c>
      <c r="AR656" s="61" t="str">
        <f t="shared" si="245"/>
        <v/>
      </c>
    </row>
    <row r="657" spans="16:44" x14ac:dyDescent="0.25">
      <c r="P657" s="73" t="str">
        <f t="shared" si="226"/>
        <v/>
      </c>
      <c r="Q657" s="73" t="str">
        <f t="shared" si="227"/>
        <v/>
      </c>
      <c r="R657" s="74" t="str">
        <f t="shared" si="228"/>
        <v/>
      </c>
      <c r="S657" s="74" t="str">
        <f t="shared" si="229"/>
        <v/>
      </c>
      <c r="U657" s="74" t="str">
        <f t="shared" si="246"/>
        <v/>
      </c>
      <c r="V657" s="74" t="str">
        <f t="shared" si="246"/>
        <v/>
      </c>
      <c r="W657" s="74" t="str">
        <f t="shared" si="246"/>
        <v/>
      </c>
      <c r="X657" s="74" t="str">
        <f t="shared" si="246"/>
        <v/>
      </c>
      <c r="Y657" s="74" t="str">
        <f t="shared" si="246"/>
        <v/>
      </c>
      <c r="Z657" s="74" t="str">
        <f t="shared" si="230"/>
        <v/>
      </c>
      <c r="AA657" s="74">
        <f t="shared" si="231"/>
        <v>0</v>
      </c>
      <c r="AB657" s="74">
        <f t="shared" si="232"/>
        <v>0</v>
      </c>
      <c r="AC657" s="74" t="str">
        <f t="shared" si="233"/>
        <v/>
      </c>
      <c r="AE657" s="74" t="str">
        <f t="shared" si="234"/>
        <v/>
      </c>
      <c r="AF657" s="74" t="str">
        <f t="shared" si="235"/>
        <v/>
      </c>
      <c r="AG657" s="74" t="str">
        <f t="shared" si="236"/>
        <v/>
      </c>
      <c r="AH657" s="74">
        <f t="shared" si="237"/>
        <v>0</v>
      </c>
      <c r="AI657" s="74" t="str">
        <f>IF(AH657&lt;&gt;0,COUNTIF(AH$3:AH657,1),"")</f>
        <v/>
      </c>
      <c r="AJ657" s="74">
        <f t="shared" si="238"/>
        <v>0</v>
      </c>
      <c r="AK657" s="73" t="str">
        <f t="shared" si="239"/>
        <v/>
      </c>
      <c r="AL657" s="73" t="str">
        <f t="shared" si="240"/>
        <v/>
      </c>
      <c r="AM657" s="73" t="str">
        <f t="shared" si="241"/>
        <v/>
      </c>
      <c r="AN657" s="73" t="str">
        <f t="shared" si="242"/>
        <v/>
      </c>
      <c r="AP657" s="61" t="str">
        <f t="shared" si="243"/>
        <v/>
      </c>
      <c r="AQ657" s="61" t="str">
        <f t="shared" si="244"/>
        <v/>
      </c>
      <c r="AR657" s="61" t="str">
        <f t="shared" si="245"/>
        <v/>
      </c>
    </row>
    <row r="658" spans="16:44" x14ac:dyDescent="0.25">
      <c r="P658" s="73" t="str">
        <f t="shared" si="226"/>
        <v/>
      </c>
      <c r="Q658" s="73" t="str">
        <f t="shared" si="227"/>
        <v/>
      </c>
      <c r="R658" s="74" t="str">
        <f t="shared" si="228"/>
        <v/>
      </c>
      <c r="S658" s="74" t="str">
        <f t="shared" si="229"/>
        <v/>
      </c>
      <c r="U658" s="74" t="str">
        <f t="shared" si="246"/>
        <v/>
      </c>
      <c r="V658" s="74" t="str">
        <f t="shared" si="246"/>
        <v/>
      </c>
      <c r="W658" s="74" t="str">
        <f t="shared" si="246"/>
        <v/>
      </c>
      <c r="X658" s="74" t="str">
        <f t="shared" si="246"/>
        <v/>
      </c>
      <c r="Y658" s="74" t="str">
        <f t="shared" si="246"/>
        <v/>
      </c>
      <c r="Z658" s="74" t="str">
        <f t="shared" si="230"/>
        <v/>
      </c>
      <c r="AA658" s="74">
        <f t="shared" si="231"/>
        <v>0</v>
      </c>
      <c r="AB658" s="74">
        <f t="shared" si="232"/>
        <v>0</v>
      </c>
      <c r="AC658" s="74" t="str">
        <f t="shared" si="233"/>
        <v/>
      </c>
      <c r="AE658" s="74" t="str">
        <f t="shared" si="234"/>
        <v/>
      </c>
      <c r="AF658" s="74" t="str">
        <f t="shared" si="235"/>
        <v/>
      </c>
      <c r="AG658" s="74" t="str">
        <f t="shared" si="236"/>
        <v/>
      </c>
      <c r="AH658" s="74">
        <f t="shared" si="237"/>
        <v>0</v>
      </c>
      <c r="AI658" s="74" t="str">
        <f>IF(AH658&lt;&gt;0,COUNTIF(AH$3:AH658,1),"")</f>
        <v/>
      </c>
      <c r="AJ658" s="74">
        <f t="shared" si="238"/>
        <v>0</v>
      </c>
      <c r="AK658" s="73" t="str">
        <f t="shared" si="239"/>
        <v/>
      </c>
      <c r="AL658" s="73" t="str">
        <f t="shared" si="240"/>
        <v/>
      </c>
      <c r="AM658" s="73" t="str">
        <f t="shared" si="241"/>
        <v/>
      </c>
      <c r="AN658" s="73" t="str">
        <f t="shared" si="242"/>
        <v/>
      </c>
      <c r="AP658" s="61" t="str">
        <f t="shared" si="243"/>
        <v/>
      </c>
      <c r="AQ658" s="61" t="str">
        <f t="shared" si="244"/>
        <v/>
      </c>
      <c r="AR658" s="61" t="str">
        <f t="shared" si="245"/>
        <v/>
      </c>
    </row>
    <row r="659" spans="16:44" x14ac:dyDescent="0.25">
      <c r="P659" s="73" t="str">
        <f t="shared" si="226"/>
        <v/>
      </c>
      <c r="Q659" s="73" t="str">
        <f t="shared" si="227"/>
        <v/>
      </c>
      <c r="R659" s="74" t="str">
        <f t="shared" si="228"/>
        <v/>
      </c>
      <c r="S659" s="74" t="str">
        <f t="shared" si="229"/>
        <v/>
      </c>
      <c r="U659" s="74" t="str">
        <f t="shared" si="246"/>
        <v/>
      </c>
      <c r="V659" s="74" t="str">
        <f t="shared" si="246"/>
        <v/>
      </c>
      <c r="W659" s="74" t="str">
        <f t="shared" si="246"/>
        <v/>
      </c>
      <c r="X659" s="74" t="str">
        <f t="shared" si="246"/>
        <v/>
      </c>
      <c r="Y659" s="74" t="str">
        <f t="shared" si="246"/>
        <v/>
      </c>
      <c r="Z659" s="74" t="str">
        <f t="shared" si="230"/>
        <v/>
      </c>
      <c r="AA659" s="74">
        <f t="shared" si="231"/>
        <v>0</v>
      </c>
      <c r="AB659" s="74">
        <f t="shared" si="232"/>
        <v>0</v>
      </c>
      <c r="AC659" s="74" t="str">
        <f t="shared" si="233"/>
        <v/>
      </c>
      <c r="AE659" s="74" t="str">
        <f t="shared" si="234"/>
        <v/>
      </c>
      <c r="AF659" s="74" t="str">
        <f t="shared" si="235"/>
        <v/>
      </c>
      <c r="AG659" s="74" t="str">
        <f t="shared" si="236"/>
        <v/>
      </c>
      <c r="AH659" s="74">
        <f t="shared" si="237"/>
        <v>0</v>
      </c>
      <c r="AI659" s="74" t="str">
        <f>IF(AH659&lt;&gt;0,COUNTIF(AH$3:AH659,1),"")</f>
        <v/>
      </c>
      <c r="AJ659" s="74">
        <f t="shared" si="238"/>
        <v>0</v>
      </c>
      <c r="AK659" s="73" t="str">
        <f t="shared" si="239"/>
        <v/>
      </c>
      <c r="AL659" s="73" t="str">
        <f t="shared" si="240"/>
        <v/>
      </c>
      <c r="AM659" s="73" t="str">
        <f t="shared" si="241"/>
        <v/>
      </c>
      <c r="AN659" s="73" t="str">
        <f t="shared" si="242"/>
        <v/>
      </c>
      <c r="AP659" s="61" t="str">
        <f t="shared" si="243"/>
        <v/>
      </c>
      <c r="AQ659" s="61" t="str">
        <f t="shared" si="244"/>
        <v/>
      </c>
      <c r="AR659" s="61" t="str">
        <f t="shared" si="245"/>
        <v/>
      </c>
    </row>
    <row r="660" spans="16:44" x14ac:dyDescent="0.25">
      <c r="P660" s="73" t="str">
        <f t="shared" si="226"/>
        <v/>
      </c>
      <c r="Q660" s="73" t="str">
        <f t="shared" si="227"/>
        <v/>
      </c>
      <c r="R660" s="74" t="str">
        <f t="shared" si="228"/>
        <v/>
      </c>
      <c r="S660" s="74" t="str">
        <f t="shared" si="229"/>
        <v/>
      </c>
      <c r="U660" s="74" t="str">
        <f t="shared" si="246"/>
        <v/>
      </c>
      <c r="V660" s="74" t="str">
        <f t="shared" si="246"/>
        <v/>
      </c>
      <c r="W660" s="74" t="str">
        <f t="shared" si="246"/>
        <v/>
      </c>
      <c r="X660" s="74" t="str">
        <f t="shared" si="246"/>
        <v/>
      </c>
      <c r="Y660" s="74" t="str">
        <f t="shared" si="246"/>
        <v/>
      </c>
      <c r="Z660" s="74" t="str">
        <f t="shared" si="230"/>
        <v/>
      </c>
      <c r="AA660" s="74">
        <f t="shared" si="231"/>
        <v>0</v>
      </c>
      <c r="AB660" s="74">
        <f t="shared" si="232"/>
        <v>0</v>
      </c>
      <c r="AC660" s="74" t="str">
        <f t="shared" si="233"/>
        <v/>
      </c>
      <c r="AE660" s="74" t="str">
        <f t="shared" si="234"/>
        <v/>
      </c>
      <c r="AF660" s="74" t="str">
        <f t="shared" si="235"/>
        <v/>
      </c>
      <c r="AG660" s="74" t="str">
        <f t="shared" si="236"/>
        <v/>
      </c>
      <c r="AH660" s="74">
        <f t="shared" si="237"/>
        <v>0</v>
      </c>
      <c r="AI660" s="74" t="str">
        <f>IF(AH660&lt;&gt;0,COUNTIF(AH$3:AH660,1),"")</f>
        <v/>
      </c>
      <c r="AJ660" s="74">
        <f t="shared" si="238"/>
        <v>0</v>
      </c>
      <c r="AK660" s="73" t="str">
        <f t="shared" si="239"/>
        <v/>
      </c>
      <c r="AL660" s="73" t="str">
        <f t="shared" si="240"/>
        <v/>
      </c>
      <c r="AM660" s="73" t="str">
        <f t="shared" si="241"/>
        <v/>
      </c>
      <c r="AN660" s="73" t="str">
        <f t="shared" si="242"/>
        <v/>
      </c>
      <c r="AP660" s="61" t="str">
        <f t="shared" si="243"/>
        <v/>
      </c>
      <c r="AQ660" s="61" t="str">
        <f t="shared" si="244"/>
        <v/>
      </c>
      <c r="AR660" s="61" t="str">
        <f t="shared" si="245"/>
        <v/>
      </c>
    </row>
    <row r="661" spans="16:44" x14ac:dyDescent="0.25">
      <c r="P661" s="73" t="str">
        <f t="shared" si="226"/>
        <v/>
      </c>
      <c r="Q661" s="73" t="str">
        <f t="shared" si="227"/>
        <v/>
      </c>
      <c r="R661" s="74" t="str">
        <f t="shared" si="228"/>
        <v/>
      </c>
      <c r="S661" s="74" t="str">
        <f t="shared" si="229"/>
        <v/>
      </c>
      <c r="U661" s="74" t="str">
        <f t="shared" si="246"/>
        <v/>
      </c>
      <c r="V661" s="74" t="str">
        <f t="shared" si="246"/>
        <v/>
      </c>
      <c r="W661" s="74" t="str">
        <f t="shared" si="246"/>
        <v/>
      </c>
      <c r="X661" s="74" t="str">
        <f t="shared" si="246"/>
        <v/>
      </c>
      <c r="Y661" s="74" t="str">
        <f t="shared" si="246"/>
        <v/>
      </c>
      <c r="Z661" s="74" t="str">
        <f t="shared" si="230"/>
        <v/>
      </c>
      <c r="AA661" s="74">
        <f t="shared" si="231"/>
        <v>0</v>
      </c>
      <c r="AB661" s="74">
        <f t="shared" si="232"/>
        <v>0</v>
      </c>
      <c r="AC661" s="74" t="str">
        <f t="shared" si="233"/>
        <v/>
      </c>
      <c r="AE661" s="74" t="str">
        <f t="shared" si="234"/>
        <v/>
      </c>
      <c r="AF661" s="74" t="str">
        <f t="shared" si="235"/>
        <v/>
      </c>
      <c r="AG661" s="74" t="str">
        <f t="shared" si="236"/>
        <v/>
      </c>
      <c r="AH661" s="74">
        <f t="shared" si="237"/>
        <v>0</v>
      </c>
      <c r="AI661" s="74" t="str">
        <f>IF(AH661&lt;&gt;0,COUNTIF(AH$3:AH661,1),"")</f>
        <v/>
      </c>
      <c r="AJ661" s="74">
        <f t="shared" si="238"/>
        <v>0</v>
      </c>
      <c r="AK661" s="73" t="str">
        <f t="shared" si="239"/>
        <v/>
      </c>
      <c r="AL661" s="73" t="str">
        <f t="shared" si="240"/>
        <v/>
      </c>
      <c r="AM661" s="73" t="str">
        <f t="shared" si="241"/>
        <v/>
      </c>
      <c r="AN661" s="73" t="str">
        <f t="shared" si="242"/>
        <v/>
      </c>
      <c r="AP661" s="61" t="str">
        <f t="shared" si="243"/>
        <v/>
      </c>
      <c r="AQ661" s="61" t="str">
        <f t="shared" si="244"/>
        <v/>
      </c>
      <c r="AR661" s="61" t="str">
        <f t="shared" si="245"/>
        <v/>
      </c>
    </row>
    <row r="662" spans="16:44" x14ac:dyDescent="0.25">
      <c r="P662" s="73" t="str">
        <f t="shared" si="226"/>
        <v/>
      </c>
      <c r="Q662" s="73" t="str">
        <f t="shared" si="227"/>
        <v/>
      </c>
      <c r="R662" s="74" t="str">
        <f t="shared" si="228"/>
        <v/>
      </c>
      <c r="S662" s="74" t="str">
        <f t="shared" si="229"/>
        <v/>
      </c>
      <c r="U662" s="74" t="str">
        <f t="shared" si="246"/>
        <v/>
      </c>
      <c r="V662" s="74" t="str">
        <f t="shared" si="246"/>
        <v/>
      </c>
      <c r="W662" s="74" t="str">
        <f t="shared" si="246"/>
        <v/>
      </c>
      <c r="X662" s="74" t="str">
        <f t="shared" si="246"/>
        <v/>
      </c>
      <c r="Y662" s="74" t="str">
        <f t="shared" si="246"/>
        <v/>
      </c>
      <c r="Z662" s="74" t="str">
        <f t="shared" si="230"/>
        <v/>
      </c>
      <c r="AA662" s="74">
        <f t="shared" si="231"/>
        <v>0</v>
      </c>
      <c r="AB662" s="74">
        <f t="shared" si="232"/>
        <v>0</v>
      </c>
      <c r="AC662" s="74" t="str">
        <f t="shared" si="233"/>
        <v/>
      </c>
      <c r="AE662" s="74" t="str">
        <f t="shared" si="234"/>
        <v/>
      </c>
      <c r="AF662" s="74" t="str">
        <f t="shared" si="235"/>
        <v/>
      </c>
      <c r="AG662" s="74" t="str">
        <f t="shared" si="236"/>
        <v/>
      </c>
      <c r="AH662" s="74">
        <f t="shared" si="237"/>
        <v>0</v>
      </c>
      <c r="AI662" s="74" t="str">
        <f>IF(AH662&lt;&gt;0,COUNTIF(AH$3:AH662,1),"")</f>
        <v/>
      </c>
      <c r="AJ662" s="74">
        <f t="shared" si="238"/>
        <v>0</v>
      </c>
      <c r="AK662" s="73" t="str">
        <f t="shared" si="239"/>
        <v/>
      </c>
      <c r="AL662" s="73" t="str">
        <f t="shared" si="240"/>
        <v/>
      </c>
      <c r="AM662" s="73" t="str">
        <f t="shared" si="241"/>
        <v/>
      </c>
      <c r="AN662" s="73" t="str">
        <f t="shared" si="242"/>
        <v/>
      </c>
      <c r="AP662" s="61" t="str">
        <f t="shared" si="243"/>
        <v/>
      </c>
      <c r="AQ662" s="61" t="str">
        <f t="shared" si="244"/>
        <v/>
      </c>
      <c r="AR662" s="61" t="str">
        <f t="shared" si="245"/>
        <v/>
      </c>
    </row>
    <row r="663" spans="16:44" x14ac:dyDescent="0.25">
      <c r="P663" s="73" t="str">
        <f t="shared" si="226"/>
        <v/>
      </c>
      <c r="Q663" s="73" t="str">
        <f t="shared" si="227"/>
        <v/>
      </c>
      <c r="R663" s="74" t="str">
        <f t="shared" si="228"/>
        <v/>
      </c>
      <c r="S663" s="74" t="str">
        <f t="shared" si="229"/>
        <v/>
      </c>
      <c r="U663" s="74" t="str">
        <f t="shared" si="246"/>
        <v/>
      </c>
      <c r="V663" s="74" t="str">
        <f t="shared" si="246"/>
        <v/>
      </c>
      <c r="W663" s="74" t="str">
        <f t="shared" si="246"/>
        <v/>
      </c>
      <c r="X663" s="74" t="str">
        <f t="shared" si="246"/>
        <v/>
      </c>
      <c r="Y663" s="74" t="str">
        <f t="shared" si="246"/>
        <v/>
      </c>
      <c r="Z663" s="74" t="str">
        <f t="shared" si="230"/>
        <v/>
      </c>
      <c r="AA663" s="74">
        <f t="shared" si="231"/>
        <v>0</v>
      </c>
      <c r="AB663" s="74">
        <f t="shared" si="232"/>
        <v>0</v>
      </c>
      <c r="AC663" s="74" t="str">
        <f t="shared" si="233"/>
        <v/>
      </c>
      <c r="AE663" s="74" t="str">
        <f t="shared" si="234"/>
        <v/>
      </c>
      <c r="AF663" s="74" t="str">
        <f t="shared" si="235"/>
        <v/>
      </c>
      <c r="AG663" s="74" t="str">
        <f t="shared" si="236"/>
        <v/>
      </c>
      <c r="AH663" s="74">
        <f t="shared" si="237"/>
        <v>0</v>
      </c>
      <c r="AI663" s="74" t="str">
        <f>IF(AH663&lt;&gt;0,COUNTIF(AH$3:AH663,1),"")</f>
        <v/>
      </c>
      <c r="AJ663" s="74">
        <f t="shared" si="238"/>
        <v>0</v>
      </c>
      <c r="AK663" s="73" t="str">
        <f t="shared" si="239"/>
        <v/>
      </c>
      <c r="AL663" s="73" t="str">
        <f t="shared" si="240"/>
        <v/>
      </c>
      <c r="AM663" s="73" t="str">
        <f t="shared" si="241"/>
        <v/>
      </c>
      <c r="AN663" s="73" t="str">
        <f t="shared" si="242"/>
        <v/>
      </c>
      <c r="AP663" s="61" t="str">
        <f t="shared" si="243"/>
        <v/>
      </c>
      <c r="AQ663" s="61" t="str">
        <f t="shared" si="244"/>
        <v/>
      </c>
      <c r="AR663" s="61" t="str">
        <f t="shared" si="245"/>
        <v/>
      </c>
    </row>
    <row r="664" spans="16:44" x14ac:dyDescent="0.25">
      <c r="P664" s="73" t="str">
        <f t="shared" si="226"/>
        <v/>
      </c>
      <c r="Q664" s="73" t="str">
        <f t="shared" si="227"/>
        <v/>
      </c>
      <c r="R664" s="74" t="str">
        <f t="shared" si="228"/>
        <v/>
      </c>
      <c r="S664" s="74" t="str">
        <f t="shared" si="229"/>
        <v/>
      </c>
      <c r="U664" s="74" t="str">
        <f t="shared" si="246"/>
        <v/>
      </c>
      <c r="V664" s="74" t="str">
        <f t="shared" si="246"/>
        <v/>
      </c>
      <c r="W664" s="74" t="str">
        <f t="shared" si="246"/>
        <v/>
      </c>
      <c r="X664" s="74" t="str">
        <f t="shared" si="246"/>
        <v/>
      </c>
      <c r="Y664" s="74" t="str">
        <f t="shared" si="246"/>
        <v/>
      </c>
      <c r="Z664" s="74" t="str">
        <f t="shared" si="230"/>
        <v/>
      </c>
      <c r="AA664" s="74">
        <f t="shared" si="231"/>
        <v>0</v>
      </c>
      <c r="AB664" s="74">
        <f t="shared" si="232"/>
        <v>0</v>
      </c>
      <c r="AC664" s="74" t="str">
        <f t="shared" si="233"/>
        <v/>
      </c>
      <c r="AE664" s="74" t="str">
        <f t="shared" si="234"/>
        <v/>
      </c>
      <c r="AF664" s="74" t="str">
        <f t="shared" si="235"/>
        <v/>
      </c>
      <c r="AG664" s="74" t="str">
        <f t="shared" si="236"/>
        <v/>
      </c>
      <c r="AH664" s="74">
        <f t="shared" si="237"/>
        <v>0</v>
      </c>
      <c r="AI664" s="74" t="str">
        <f>IF(AH664&lt;&gt;0,COUNTIF(AH$3:AH664,1),"")</f>
        <v/>
      </c>
      <c r="AJ664" s="74">
        <f t="shared" si="238"/>
        <v>0</v>
      </c>
      <c r="AK664" s="73" t="str">
        <f t="shared" si="239"/>
        <v/>
      </c>
      <c r="AL664" s="73" t="str">
        <f t="shared" si="240"/>
        <v/>
      </c>
      <c r="AM664" s="73" t="str">
        <f t="shared" si="241"/>
        <v/>
      </c>
      <c r="AN664" s="73" t="str">
        <f t="shared" si="242"/>
        <v/>
      </c>
      <c r="AP664" s="61" t="str">
        <f t="shared" si="243"/>
        <v/>
      </c>
      <c r="AQ664" s="61" t="str">
        <f t="shared" si="244"/>
        <v/>
      </c>
      <c r="AR664" s="61" t="str">
        <f t="shared" si="245"/>
        <v/>
      </c>
    </row>
    <row r="665" spans="16:44" x14ac:dyDescent="0.25">
      <c r="P665" s="73" t="str">
        <f t="shared" si="226"/>
        <v/>
      </c>
      <c r="Q665" s="73" t="str">
        <f t="shared" si="227"/>
        <v/>
      </c>
      <c r="R665" s="74" t="str">
        <f t="shared" si="228"/>
        <v/>
      </c>
      <c r="S665" s="74" t="str">
        <f t="shared" si="229"/>
        <v/>
      </c>
      <c r="U665" s="74" t="str">
        <f t="shared" si="246"/>
        <v/>
      </c>
      <c r="V665" s="74" t="str">
        <f t="shared" si="246"/>
        <v/>
      </c>
      <c r="W665" s="74" t="str">
        <f t="shared" si="246"/>
        <v/>
      </c>
      <c r="X665" s="74" t="str">
        <f t="shared" si="246"/>
        <v/>
      </c>
      <c r="Y665" s="74" t="str">
        <f t="shared" si="246"/>
        <v/>
      </c>
      <c r="Z665" s="74" t="str">
        <f t="shared" si="230"/>
        <v/>
      </c>
      <c r="AA665" s="74">
        <f t="shared" si="231"/>
        <v>0</v>
      </c>
      <c r="AB665" s="74">
        <f t="shared" si="232"/>
        <v>0</v>
      </c>
      <c r="AC665" s="74" t="str">
        <f t="shared" si="233"/>
        <v/>
      </c>
      <c r="AE665" s="74" t="str">
        <f t="shared" si="234"/>
        <v/>
      </c>
      <c r="AF665" s="74" t="str">
        <f t="shared" si="235"/>
        <v/>
      </c>
      <c r="AG665" s="74" t="str">
        <f t="shared" si="236"/>
        <v/>
      </c>
      <c r="AH665" s="74">
        <f t="shared" si="237"/>
        <v>0</v>
      </c>
      <c r="AI665" s="74" t="str">
        <f>IF(AH665&lt;&gt;0,COUNTIF(AH$3:AH665,1),"")</f>
        <v/>
      </c>
      <c r="AJ665" s="74">
        <f t="shared" si="238"/>
        <v>0</v>
      </c>
      <c r="AK665" s="73" t="str">
        <f t="shared" si="239"/>
        <v/>
      </c>
      <c r="AL665" s="73" t="str">
        <f t="shared" si="240"/>
        <v/>
      </c>
      <c r="AM665" s="73" t="str">
        <f t="shared" si="241"/>
        <v/>
      </c>
      <c r="AN665" s="73" t="str">
        <f t="shared" si="242"/>
        <v/>
      </c>
      <c r="AP665" s="61" t="str">
        <f t="shared" si="243"/>
        <v/>
      </c>
      <c r="AQ665" s="61" t="str">
        <f t="shared" si="244"/>
        <v/>
      </c>
      <c r="AR665" s="61" t="str">
        <f t="shared" si="245"/>
        <v/>
      </c>
    </row>
    <row r="666" spans="16:44" x14ac:dyDescent="0.25">
      <c r="P666" s="73" t="str">
        <f t="shared" si="226"/>
        <v/>
      </c>
      <c r="Q666" s="73" t="str">
        <f t="shared" si="227"/>
        <v/>
      </c>
      <c r="R666" s="74" t="str">
        <f t="shared" si="228"/>
        <v/>
      </c>
      <c r="S666" s="74" t="str">
        <f t="shared" si="229"/>
        <v/>
      </c>
      <c r="U666" s="74" t="str">
        <f t="shared" si="246"/>
        <v/>
      </c>
      <c r="V666" s="74" t="str">
        <f t="shared" si="246"/>
        <v/>
      </c>
      <c r="W666" s="74" t="str">
        <f t="shared" si="246"/>
        <v/>
      </c>
      <c r="X666" s="74" t="str">
        <f t="shared" si="246"/>
        <v/>
      </c>
      <c r="Y666" s="74" t="str">
        <f t="shared" si="246"/>
        <v/>
      </c>
      <c r="Z666" s="74" t="str">
        <f t="shared" si="230"/>
        <v/>
      </c>
      <c r="AA666" s="74">
        <f t="shared" si="231"/>
        <v>0</v>
      </c>
      <c r="AB666" s="74">
        <f t="shared" si="232"/>
        <v>0</v>
      </c>
      <c r="AC666" s="74" t="str">
        <f t="shared" si="233"/>
        <v/>
      </c>
      <c r="AE666" s="74" t="str">
        <f t="shared" si="234"/>
        <v/>
      </c>
      <c r="AF666" s="74" t="str">
        <f t="shared" si="235"/>
        <v/>
      </c>
      <c r="AG666" s="74" t="str">
        <f t="shared" si="236"/>
        <v/>
      </c>
      <c r="AH666" s="74">
        <f t="shared" si="237"/>
        <v>0</v>
      </c>
      <c r="AI666" s="74" t="str">
        <f>IF(AH666&lt;&gt;0,COUNTIF(AH$3:AH666,1),"")</f>
        <v/>
      </c>
      <c r="AJ666" s="74">
        <f t="shared" si="238"/>
        <v>0</v>
      </c>
      <c r="AK666" s="73" t="str">
        <f t="shared" si="239"/>
        <v/>
      </c>
      <c r="AL666" s="73" t="str">
        <f t="shared" si="240"/>
        <v/>
      </c>
      <c r="AM666" s="73" t="str">
        <f t="shared" si="241"/>
        <v/>
      </c>
      <c r="AN666" s="73" t="str">
        <f t="shared" si="242"/>
        <v/>
      </c>
      <c r="AP666" s="61" t="str">
        <f t="shared" si="243"/>
        <v/>
      </c>
      <c r="AQ666" s="61" t="str">
        <f t="shared" si="244"/>
        <v/>
      </c>
      <c r="AR666" s="61" t="str">
        <f t="shared" si="245"/>
        <v/>
      </c>
    </row>
    <row r="667" spans="16:44" x14ac:dyDescent="0.25">
      <c r="P667" s="73" t="str">
        <f t="shared" si="226"/>
        <v/>
      </c>
      <c r="Q667" s="73" t="str">
        <f t="shared" si="227"/>
        <v/>
      </c>
      <c r="R667" s="74" t="str">
        <f t="shared" si="228"/>
        <v/>
      </c>
      <c r="S667" s="74" t="str">
        <f t="shared" si="229"/>
        <v/>
      </c>
      <c r="U667" s="74" t="str">
        <f t="shared" si="246"/>
        <v/>
      </c>
      <c r="V667" s="74" t="str">
        <f t="shared" si="246"/>
        <v/>
      </c>
      <c r="W667" s="74" t="str">
        <f t="shared" si="246"/>
        <v/>
      </c>
      <c r="X667" s="74" t="str">
        <f t="shared" si="246"/>
        <v/>
      </c>
      <c r="Y667" s="74" t="str">
        <f t="shared" si="246"/>
        <v/>
      </c>
      <c r="Z667" s="74" t="str">
        <f t="shared" si="230"/>
        <v/>
      </c>
      <c r="AA667" s="74">
        <f t="shared" si="231"/>
        <v>0</v>
      </c>
      <c r="AB667" s="74">
        <f t="shared" si="232"/>
        <v>0</v>
      </c>
      <c r="AC667" s="74" t="str">
        <f t="shared" si="233"/>
        <v/>
      </c>
      <c r="AE667" s="74" t="str">
        <f t="shared" si="234"/>
        <v/>
      </c>
      <c r="AF667" s="74" t="str">
        <f t="shared" si="235"/>
        <v/>
      </c>
      <c r="AG667" s="74" t="str">
        <f t="shared" si="236"/>
        <v/>
      </c>
      <c r="AH667" s="74">
        <f t="shared" si="237"/>
        <v>0</v>
      </c>
      <c r="AI667" s="74" t="str">
        <f>IF(AH667&lt;&gt;0,COUNTIF(AH$3:AH667,1),"")</f>
        <v/>
      </c>
      <c r="AJ667" s="74">
        <f t="shared" si="238"/>
        <v>0</v>
      </c>
      <c r="AK667" s="73" t="str">
        <f t="shared" si="239"/>
        <v/>
      </c>
      <c r="AL667" s="73" t="str">
        <f t="shared" si="240"/>
        <v/>
      </c>
      <c r="AM667" s="73" t="str">
        <f t="shared" si="241"/>
        <v/>
      </c>
      <c r="AN667" s="73" t="str">
        <f t="shared" si="242"/>
        <v/>
      </c>
      <c r="AP667" s="61" t="str">
        <f t="shared" si="243"/>
        <v/>
      </c>
      <c r="AQ667" s="61" t="str">
        <f t="shared" si="244"/>
        <v/>
      </c>
      <c r="AR667" s="61" t="str">
        <f t="shared" si="245"/>
        <v/>
      </c>
    </row>
    <row r="668" spans="16:44" x14ac:dyDescent="0.25">
      <c r="P668" s="73" t="str">
        <f t="shared" si="226"/>
        <v/>
      </c>
      <c r="Q668" s="73" t="str">
        <f t="shared" si="227"/>
        <v/>
      </c>
      <c r="R668" s="74" t="str">
        <f t="shared" si="228"/>
        <v/>
      </c>
      <c r="S668" s="74" t="str">
        <f t="shared" si="229"/>
        <v/>
      </c>
      <c r="U668" s="74" t="str">
        <f t="shared" si="246"/>
        <v/>
      </c>
      <c r="V668" s="74" t="str">
        <f t="shared" si="246"/>
        <v/>
      </c>
      <c r="W668" s="74" t="str">
        <f t="shared" si="246"/>
        <v/>
      </c>
      <c r="X668" s="74" t="str">
        <f t="shared" si="246"/>
        <v/>
      </c>
      <c r="Y668" s="74" t="str">
        <f t="shared" si="246"/>
        <v/>
      </c>
      <c r="Z668" s="74" t="str">
        <f t="shared" si="230"/>
        <v/>
      </c>
      <c r="AA668" s="74">
        <f t="shared" si="231"/>
        <v>0</v>
      </c>
      <c r="AB668" s="74">
        <f t="shared" si="232"/>
        <v>0</v>
      </c>
      <c r="AC668" s="74" t="str">
        <f t="shared" si="233"/>
        <v/>
      </c>
      <c r="AE668" s="74" t="str">
        <f t="shared" si="234"/>
        <v/>
      </c>
      <c r="AF668" s="74" t="str">
        <f t="shared" si="235"/>
        <v/>
      </c>
      <c r="AG668" s="74" t="str">
        <f t="shared" si="236"/>
        <v/>
      </c>
      <c r="AH668" s="74">
        <f t="shared" si="237"/>
        <v>0</v>
      </c>
      <c r="AI668" s="74" t="str">
        <f>IF(AH668&lt;&gt;0,COUNTIF(AH$3:AH668,1),"")</f>
        <v/>
      </c>
      <c r="AJ668" s="74">
        <f t="shared" si="238"/>
        <v>0</v>
      </c>
      <c r="AK668" s="73" t="str">
        <f t="shared" si="239"/>
        <v/>
      </c>
      <c r="AL668" s="73" t="str">
        <f t="shared" si="240"/>
        <v/>
      </c>
      <c r="AM668" s="73" t="str">
        <f t="shared" si="241"/>
        <v/>
      </c>
      <c r="AN668" s="73" t="str">
        <f t="shared" si="242"/>
        <v/>
      </c>
      <c r="AP668" s="61" t="str">
        <f t="shared" si="243"/>
        <v/>
      </c>
      <c r="AQ668" s="61" t="str">
        <f t="shared" si="244"/>
        <v/>
      </c>
      <c r="AR668" s="61" t="str">
        <f t="shared" si="245"/>
        <v/>
      </c>
    </row>
    <row r="669" spans="16:44" x14ac:dyDescent="0.25">
      <c r="P669" s="73" t="str">
        <f t="shared" si="226"/>
        <v/>
      </c>
      <c r="Q669" s="73" t="str">
        <f t="shared" si="227"/>
        <v/>
      </c>
      <c r="R669" s="74" t="str">
        <f t="shared" si="228"/>
        <v/>
      </c>
      <c r="S669" s="74" t="str">
        <f t="shared" si="229"/>
        <v/>
      </c>
      <c r="U669" s="74" t="str">
        <f t="shared" si="246"/>
        <v/>
      </c>
      <c r="V669" s="74" t="str">
        <f t="shared" si="246"/>
        <v/>
      </c>
      <c r="W669" s="74" t="str">
        <f t="shared" si="246"/>
        <v/>
      </c>
      <c r="X669" s="74" t="str">
        <f t="shared" si="246"/>
        <v/>
      </c>
      <c r="Y669" s="74" t="str">
        <f t="shared" si="246"/>
        <v/>
      </c>
      <c r="Z669" s="74" t="str">
        <f t="shared" si="230"/>
        <v/>
      </c>
      <c r="AA669" s="74">
        <f t="shared" si="231"/>
        <v>0</v>
      </c>
      <c r="AB669" s="74">
        <f t="shared" si="232"/>
        <v>0</v>
      </c>
      <c r="AC669" s="74" t="str">
        <f t="shared" si="233"/>
        <v/>
      </c>
      <c r="AE669" s="74" t="str">
        <f t="shared" si="234"/>
        <v/>
      </c>
      <c r="AF669" s="74" t="str">
        <f t="shared" si="235"/>
        <v/>
      </c>
      <c r="AG669" s="74" t="str">
        <f t="shared" si="236"/>
        <v/>
      </c>
      <c r="AH669" s="74">
        <f t="shared" si="237"/>
        <v>0</v>
      </c>
      <c r="AI669" s="74" t="str">
        <f>IF(AH669&lt;&gt;0,COUNTIF(AH$3:AH669,1),"")</f>
        <v/>
      </c>
      <c r="AJ669" s="74">
        <f t="shared" si="238"/>
        <v>0</v>
      </c>
      <c r="AK669" s="73" t="str">
        <f t="shared" si="239"/>
        <v/>
      </c>
      <c r="AL669" s="73" t="str">
        <f t="shared" si="240"/>
        <v/>
      </c>
      <c r="AM669" s="73" t="str">
        <f t="shared" si="241"/>
        <v/>
      </c>
      <c r="AN669" s="73" t="str">
        <f t="shared" si="242"/>
        <v/>
      </c>
      <c r="AP669" s="61" t="str">
        <f t="shared" si="243"/>
        <v/>
      </c>
      <c r="AQ669" s="61" t="str">
        <f t="shared" si="244"/>
        <v/>
      </c>
      <c r="AR669" s="61" t="str">
        <f t="shared" si="245"/>
        <v/>
      </c>
    </row>
    <row r="670" spans="16:44" x14ac:dyDescent="0.25">
      <c r="P670" s="73" t="str">
        <f t="shared" si="226"/>
        <v/>
      </c>
      <c r="Q670" s="73" t="str">
        <f t="shared" si="227"/>
        <v/>
      </c>
      <c r="R670" s="74" t="str">
        <f t="shared" si="228"/>
        <v/>
      </c>
      <c r="S670" s="74" t="str">
        <f t="shared" si="229"/>
        <v/>
      </c>
      <c r="U670" s="74" t="str">
        <f t="shared" si="246"/>
        <v/>
      </c>
      <c r="V670" s="74" t="str">
        <f t="shared" si="246"/>
        <v/>
      </c>
      <c r="W670" s="74" t="str">
        <f t="shared" si="246"/>
        <v/>
      </c>
      <c r="X670" s="74" t="str">
        <f t="shared" si="246"/>
        <v/>
      </c>
      <c r="Y670" s="74" t="str">
        <f t="shared" si="246"/>
        <v/>
      </c>
      <c r="Z670" s="74" t="str">
        <f t="shared" si="230"/>
        <v/>
      </c>
      <c r="AA670" s="74">
        <f t="shared" si="231"/>
        <v>0</v>
      </c>
      <c r="AB670" s="74">
        <f t="shared" si="232"/>
        <v>0</v>
      </c>
      <c r="AC670" s="74" t="str">
        <f t="shared" si="233"/>
        <v/>
      </c>
      <c r="AE670" s="74" t="str">
        <f t="shared" si="234"/>
        <v/>
      </c>
      <c r="AF670" s="74" t="str">
        <f t="shared" si="235"/>
        <v/>
      </c>
      <c r="AG670" s="74" t="str">
        <f t="shared" si="236"/>
        <v/>
      </c>
      <c r="AH670" s="74">
        <f t="shared" si="237"/>
        <v>0</v>
      </c>
      <c r="AI670" s="74" t="str">
        <f>IF(AH670&lt;&gt;0,COUNTIF(AH$3:AH670,1),"")</f>
        <v/>
      </c>
      <c r="AJ670" s="74">
        <f t="shared" si="238"/>
        <v>0</v>
      </c>
      <c r="AK670" s="73" t="str">
        <f t="shared" si="239"/>
        <v/>
      </c>
      <c r="AL670" s="73" t="str">
        <f t="shared" si="240"/>
        <v/>
      </c>
      <c r="AM670" s="73" t="str">
        <f t="shared" si="241"/>
        <v/>
      </c>
      <c r="AN670" s="73" t="str">
        <f t="shared" si="242"/>
        <v/>
      </c>
      <c r="AP670" s="61" t="str">
        <f t="shared" si="243"/>
        <v/>
      </c>
      <c r="AQ670" s="61" t="str">
        <f t="shared" si="244"/>
        <v/>
      </c>
      <c r="AR670" s="61" t="str">
        <f t="shared" si="245"/>
        <v/>
      </c>
    </row>
    <row r="671" spans="16:44" x14ac:dyDescent="0.25">
      <c r="P671" s="73" t="str">
        <f t="shared" si="226"/>
        <v/>
      </c>
      <c r="Q671" s="73" t="str">
        <f t="shared" si="227"/>
        <v/>
      </c>
      <c r="R671" s="74" t="str">
        <f t="shared" si="228"/>
        <v/>
      </c>
      <c r="S671" s="74" t="str">
        <f t="shared" si="229"/>
        <v/>
      </c>
      <c r="U671" s="74" t="str">
        <f t="shared" si="246"/>
        <v/>
      </c>
      <c r="V671" s="74" t="str">
        <f t="shared" si="246"/>
        <v/>
      </c>
      <c r="W671" s="74" t="str">
        <f t="shared" si="246"/>
        <v/>
      </c>
      <c r="X671" s="74" t="str">
        <f t="shared" si="246"/>
        <v/>
      </c>
      <c r="Y671" s="74" t="str">
        <f t="shared" si="246"/>
        <v/>
      </c>
      <c r="Z671" s="74" t="str">
        <f t="shared" si="230"/>
        <v/>
      </c>
      <c r="AA671" s="74">
        <f t="shared" si="231"/>
        <v>0</v>
      </c>
      <c r="AB671" s="74">
        <f t="shared" si="232"/>
        <v>0</v>
      </c>
      <c r="AC671" s="74" t="str">
        <f t="shared" si="233"/>
        <v/>
      </c>
      <c r="AE671" s="74" t="str">
        <f t="shared" si="234"/>
        <v/>
      </c>
      <c r="AF671" s="74" t="str">
        <f t="shared" si="235"/>
        <v/>
      </c>
      <c r="AG671" s="74" t="str">
        <f t="shared" si="236"/>
        <v/>
      </c>
      <c r="AH671" s="74">
        <f t="shared" si="237"/>
        <v>0</v>
      </c>
      <c r="AI671" s="74" t="str">
        <f>IF(AH671&lt;&gt;0,COUNTIF(AH$3:AH671,1),"")</f>
        <v/>
      </c>
      <c r="AJ671" s="74">
        <f t="shared" si="238"/>
        <v>0</v>
      </c>
      <c r="AK671" s="73" t="str">
        <f t="shared" si="239"/>
        <v/>
      </c>
      <c r="AL671" s="73" t="str">
        <f t="shared" si="240"/>
        <v/>
      </c>
      <c r="AM671" s="73" t="str">
        <f t="shared" si="241"/>
        <v/>
      </c>
      <c r="AN671" s="73" t="str">
        <f t="shared" si="242"/>
        <v/>
      </c>
      <c r="AP671" s="61" t="str">
        <f t="shared" si="243"/>
        <v/>
      </c>
      <c r="AQ671" s="61" t="str">
        <f t="shared" si="244"/>
        <v/>
      </c>
      <c r="AR671" s="61" t="str">
        <f t="shared" si="245"/>
        <v/>
      </c>
    </row>
    <row r="672" spans="16:44" x14ac:dyDescent="0.25">
      <c r="P672" s="73" t="str">
        <f t="shared" si="226"/>
        <v/>
      </c>
      <c r="Q672" s="73" t="str">
        <f t="shared" si="227"/>
        <v/>
      </c>
      <c r="R672" s="74" t="str">
        <f t="shared" si="228"/>
        <v/>
      </c>
      <c r="S672" s="74" t="str">
        <f t="shared" si="229"/>
        <v/>
      </c>
      <c r="U672" s="74" t="str">
        <f t="shared" si="246"/>
        <v/>
      </c>
      <c r="V672" s="74" t="str">
        <f t="shared" si="246"/>
        <v/>
      </c>
      <c r="W672" s="74" t="str">
        <f t="shared" si="246"/>
        <v/>
      </c>
      <c r="X672" s="74" t="str">
        <f t="shared" si="246"/>
        <v/>
      </c>
      <c r="Y672" s="74" t="str">
        <f t="shared" si="246"/>
        <v/>
      </c>
      <c r="Z672" s="74" t="str">
        <f t="shared" si="230"/>
        <v/>
      </c>
      <c r="AA672" s="74">
        <f t="shared" si="231"/>
        <v>0</v>
      </c>
      <c r="AB672" s="74">
        <f t="shared" si="232"/>
        <v>0</v>
      </c>
      <c r="AC672" s="74" t="str">
        <f t="shared" si="233"/>
        <v/>
      </c>
      <c r="AE672" s="74" t="str">
        <f t="shared" si="234"/>
        <v/>
      </c>
      <c r="AF672" s="74" t="str">
        <f t="shared" si="235"/>
        <v/>
      </c>
      <c r="AG672" s="74" t="str">
        <f t="shared" si="236"/>
        <v/>
      </c>
      <c r="AH672" s="74">
        <f t="shared" si="237"/>
        <v>0</v>
      </c>
      <c r="AI672" s="74" t="str">
        <f>IF(AH672&lt;&gt;0,COUNTIF(AH$3:AH672,1),"")</f>
        <v/>
      </c>
      <c r="AJ672" s="74">
        <f t="shared" si="238"/>
        <v>0</v>
      </c>
      <c r="AK672" s="73" t="str">
        <f t="shared" si="239"/>
        <v/>
      </c>
      <c r="AL672" s="73" t="str">
        <f t="shared" si="240"/>
        <v/>
      </c>
      <c r="AM672" s="73" t="str">
        <f t="shared" si="241"/>
        <v/>
      </c>
      <c r="AN672" s="73" t="str">
        <f t="shared" si="242"/>
        <v/>
      </c>
      <c r="AP672" s="61" t="str">
        <f t="shared" si="243"/>
        <v/>
      </c>
      <c r="AQ672" s="61" t="str">
        <f t="shared" si="244"/>
        <v/>
      </c>
      <c r="AR672" s="61" t="str">
        <f t="shared" si="245"/>
        <v/>
      </c>
    </row>
    <row r="673" spans="16:44" x14ac:dyDescent="0.25">
      <c r="P673" s="73" t="str">
        <f t="shared" si="226"/>
        <v/>
      </c>
      <c r="Q673" s="73" t="str">
        <f t="shared" si="227"/>
        <v/>
      </c>
      <c r="R673" s="74" t="str">
        <f t="shared" si="228"/>
        <v/>
      </c>
      <c r="S673" s="74" t="str">
        <f t="shared" si="229"/>
        <v/>
      </c>
      <c r="U673" s="74" t="str">
        <f t="shared" si="246"/>
        <v/>
      </c>
      <c r="V673" s="74" t="str">
        <f t="shared" si="246"/>
        <v/>
      </c>
      <c r="W673" s="74" t="str">
        <f t="shared" si="246"/>
        <v/>
      </c>
      <c r="X673" s="74" t="str">
        <f t="shared" si="246"/>
        <v/>
      </c>
      <c r="Y673" s="74" t="str">
        <f t="shared" si="246"/>
        <v/>
      </c>
      <c r="Z673" s="74" t="str">
        <f t="shared" si="230"/>
        <v/>
      </c>
      <c r="AA673" s="74">
        <f t="shared" si="231"/>
        <v>0</v>
      </c>
      <c r="AB673" s="74">
        <f t="shared" si="232"/>
        <v>0</v>
      </c>
      <c r="AC673" s="74" t="str">
        <f t="shared" si="233"/>
        <v/>
      </c>
      <c r="AE673" s="74" t="str">
        <f t="shared" si="234"/>
        <v/>
      </c>
      <c r="AF673" s="74" t="str">
        <f t="shared" si="235"/>
        <v/>
      </c>
      <c r="AG673" s="74" t="str">
        <f t="shared" si="236"/>
        <v/>
      </c>
      <c r="AH673" s="74">
        <f t="shared" si="237"/>
        <v>0</v>
      </c>
      <c r="AI673" s="74" t="str">
        <f>IF(AH673&lt;&gt;0,COUNTIF(AH$3:AH673,1),"")</f>
        <v/>
      </c>
      <c r="AJ673" s="74">
        <f t="shared" si="238"/>
        <v>0</v>
      </c>
      <c r="AK673" s="73" t="str">
        <f t="shared" si="239"/>
        <v/>
      </c>
      <c r="AL673" s="73" t="str">
        <f t="shared" si="240"/>
        <v/>
      </c>
      <c r="AM673" s="73" t="str">
        <f t="shared" si="241"/>
        <v/>
      </c>
      <c r="AN673" s="73" t="str">
        <f t="shared" si="242"/>
        <v/>
      </c>
      <c r="AP673" s="61" t="str">
        <f t="shared" si="243"/>
        <v/>
      </c>
      <c r="AQ673" s="61" t="str">
        <f t="shared" si="244"/>
        <v/>
      </c>
      <c r="AR673" s="61" t="str">
        <f t="shared" si="245"/>
        <v/>
      </c>
    </row>
    <row r="674" spans="16:44" x14ac:dyDescent="0.25">
      <c r="P674" s="73" t="str">
        <f t="shared" si="226"/>
        <v/>
      </c>
      <c r="Q674" s="73" t="str">
        <f t="shared" si="227"/>
        <v/>
      </c>
      <c r="R674" s="74" t="str">
        <f t="shared" si="228"/>
        <v/>
      </c>
      <c r="S674" s="74" t="str">
        <f t="shared" si="229"/>
        <v/>
      </c>
      <c r="U674" s="74" t="str">
        <f t="shared" si="246"/>
        <v/>
      </c>
      <c r="V674" s="74" t="str">
        <f t="shared" si="246"/>
        <v/>
      </c>
      <c r="W674" s="74" t="str">
        <f t="shared" si="246"/>
        <v/>
      </c>
      <c r="X674" s="74" t="str">
        <f t="shared" si="246"/>
        <v/>
      </c>
      <c r="Y674" s="74" t="str">
        <f t="shared" si="246"/>
        <v/>
      </c>
      <c r="Z674" s="74" t="str">
        <f t="shared" si="230"/>
        <v/>
      </c>
      <c r="AA674" s="74">
        <f t="shared" si="231"/>
        <v>0</v>
      </c>
      <c r="AB674" s="74">
        <f t="shared" si="232"/>
        <v>0</v>
      </c>
      <c r="AC674" s="74" t="str">
        <f t="shared" si="233"/>
        <v/>
      </c>
      <c r="AE674" s="74" t="str">
        <f t="shared" si="234"/>
        <v/>
      </c>
      <c r="AF674" s="74" t="str">
        <f t="shared" si="235"/>
        <v/>
      </c>
      <c r="AG674" s="74" t="str">
        <f t="shared" si="236"/>
        <v/>
      </c>
      <c r="AH674" s="74">
        <f t="shared" si="237"/>
        <v>0</v>
      </c>
      <c r="AI674" s="74" t="str">
        <f>IF(AH674&lt;&gt;0,COUNTIF(AH$3:AH674,1),"")</f>
        <v/>
      </c>
      <c r="AJ674" s="74">
        <f t="shared" si="238"/>
        <v>0</v>
      </c>
      <c r="AK674" s="73" t="str">
        <f t="shared" si="239"/>
        <v/>
      </c>
      <c r="AL674" s="73" t="str">
        <f t="shared" si="240"/>
        <v/>
      </c>
      <c r="AM674" s="73" t="str">
        <f t="shared" si="241"/>
        <v/>
      </c>
      <c r="AN674" s="73" t="str">
        <f t="shared" si="242"/>
        <v/>
      </c>
      <c r="AP674" s="61" t="str">
        <f t="shared" si="243"/>
        <v/>
      </c>
      <c r="AQ674" s="61" t="str">
        <f t="shared" si="244"/>
        <v/>
      </c>
      <c r="AR674" s="61" t="str">
        <f t="shared" si="245"/>
        <v/>
      </c>
    </row>
    <row r="675" spans="16:44" x14ac:dyDescent="0.25">
      <c r="P675" s="73" t="str">
        <f t="shared" si="226"/>
        <v/>
      </c>
      <c r="Q675" s="73" t="str">
        <f t="shared" si="227"/>
        <v/>
      </c>
      <c r="R675" s="74" t="str">
        <f t="shared" si="228"/>
        <v/>
      </c>
      <c r="S675" s="74" t="str">
        <f t="shared" si="229"/>
        <v/>
      </c>
      <c r="U675" s="74" t="str">
        <f t="shared" si="246"/>
        <v/>
      </c>
      <c r="V675" s="74" t="str">
        <f t="shared" si="246"/>
        <v/>
      </c>
      <c r="W675" s="74" t="str">
        <f t="shared" si="246"/>
        <v/>
      </c>
      <c r="X675" s="74" t="str">
        <f t="shared" si="246"/>
        <v/>
      </c>
      <c r="Y675" s="74" t="str">
        <f t="shared" si="246"/>
        <v/>
      </c>
      <c r="Z675" s="74" t="str">
        <f t="shared" si="230"/>
        <v/>
      </c>
      <c r="AA675" s="74">
        <f t="shared" si="231"/>
        <v>0</v>
      </c>
      <c r="AB675" s="74">
        <f t="shared" si="232"/>
        <v>0</v>
      </c>
      <c r="AC675" s="74" t="str">
        <f t="shared" si="233"/>
        <v/>
      </c>
      <c r="AE675" s="74" t="str">
        <f t="shared" si="234"/>
        <v/>
      </c>
      <c r="AF675" s="74" t="str">
        <f t="shared" si="235"/>
        <v/>
      </c>
      <c r="AG675" s="74" t="str">
        <f t="shared" si="236"/>
        <v/>
      </c>
      <c r="AH675" s="74">
        <f t="shared" si="237"/>
        <v>0</v>
      </c>
      <c r="AI675" s="74" t="str">
        <f>IF(AH675&lt;&gt;0,COUNTIF(AH$3:AH675,1),"")</f>
        <v/>
      </c>
      <c r="AJ675" s="74">
        <f t="shared" si="238"/>
        <v>0</v>
      </c>
      <c r="AK675" s="73" t="str">
        <f t="shared" si="239"/>
        <v/>
      </c>
      <c r="AL675" s="73" t="str">
        <f t="shared" si="240"/>
        <v/>
      </c>
      <c r="AM675" s="73" t="str">
        <f t="shared" si="241"/>
        <v/>
      </c>
      <c r="AN675" s="73" t="str">
        <f t="shared" si="242"/>
        <v/>
      </c>
      <c r="AP675" s="61" t="str">
        <f t="shared" si="243"/>
        <v/>
      </c>
      <c r="AQ675" s="61" t="str">
        <f t="shared" si="244"/>
        <v/>
      </c>
      <c r="AR675" s="61" t="str">
        <f t="shared" si="245"/>
        <v/>
      </c>
    </row>
    <row r="676" spans="16:44" x14ac:dyDescent="0.25">
      <c r="P676" s="73" t="str">
        <f t="shared" si="226"/>
        <v/>
      </c>
      <c r="Q676" s="73" t="str">
        <f t="shared" si="227"/>
        <v/>
      </c>
      <c r="R676" s="74" t="str">
        <f t="shared" si="228"/>
        <v/>
      </c>
      <c r="S676" s="74" t="str">
        <f t="shared" si="229"/>
        <v/>
      </c>
      <c r="U676" s="74" t="str">
        <f t="shared" si="246"/>
        <v/>
      </c>
      <c r="V676" s="74" t="str">
        <f t="shared" si="246"/>
        <v/>
      </c>
      <c r="W676" s="74" t="str">
        <f t="shared" si="246"/>
        <v/>
      </c>
      <c r="X676" s="74" t="str">
        <f t="shared" si="246"/>
        <v/>
      </c>
      <c r="Y676" s="74" t="str">
        <f t="shared" si="246"/>
        <v/>
      </c>
      <c r="Z676" s="74" t="str">
        <f t="shared" si="230"/>
        <v/>
      </c>
      <c r="AA676" s="74">
        <f t="shared" si="231"/>
        <v>0</v>
      </c>
      <c r="AB676" s="74">
        <f t="shared" si="232"/>
        <v>0</v>
      </c>
      <c r="AC676" s="74" t="str">
        <f t="shared" si="233"/>
        <v/>
      </c>
      <c r="AE676" s="74" t="str">
        <f t="shared" si="234"/>
        <v/>
      </c>
      <c r="AF676" s="74" t="str">
        <f t="shared" si="235"/>
        <v/>
      </c>
      <c r="AG676" s="74" t="str">
        <f t="shared" si="236"/>
        <v/>
      </c>
      <c r="AH676" s="74">
        <f t="shared" si="237"/>
        <v>0</v>
      </c>
      <c r="AI676" s="74" t="str">
        <f>IF(AH676&lt;&gt;0,COUNTIF(AH$3:AH676,1),"")</f>
        <v/>
      </c>
      <c r="AJ676" s="74">
        <f t="shared" si="238"/>
        <v>0</v>
      </c>
      <c r="AK676" s="73" t="str">
        <f t="shared" si="239"/>
        <v/>
      </c>
      <c r="AL676" s="73" t="str">
        <f t="shared" si="240"/>
        <v/>
      </c>
      <c r="AM676" s="73" t="str">
        <f t="shared" si="241"/>
        <v/>
      </c>
      <c r="AN676" s="73" t="str">
        <f t="shared" si="242"/>
        <v/>
      </c>
      <c r="AP676" s="61" t="str">
        <f t="shared" si="243"/>
        <v/>
      </c>
      <c r="AQ676" s="61" t="str">
        <f t="shared" si="244"/>
        <v/>
      </c>
      <c r="AR676" s="61" t="str">
        <f t="shared" si="245"/>
        <v/>
      </c>
    </row>
    <row r="677" spans="16:44" x14ac:dyDescent="0.25">
      <c r="P677" s="73" t="str">
        <f t="shared" si="226"/>
        <v/>
      </c>
      <c r="Q677" s="73" t="str">
        <f t="shared" si="227"/>
        <v/>
      </c>
      <c r="R677" s="74" t="str">
        <f t="shared" si="228"/>
        <v/>
      </c>
      <c r="S677" s="74" t="str">
        <f t="shared" si="229"/>
        <v/>
      </c>
      <c r="U677" s="74" t="str">
        <f t="shared" si="246"/>
        <v/>
      </c>
      <c r="V677" s="74" t="str">
        <f t="shared" si="246"/>
        <v/>
      </c>
      <c r="W677" s="74" t="str">
        <f t="shared" si="246"/>
        <v/>
      </c>
      <c r="X677" s="74" t="str">
        <f t="shared" si="246"/>
        <v/>
      </c>
      <c r="Y677" s="74" t="str">
        <f t="shared" si="246"/>
        <v/>
      </c>
      <c r="Z677" s="74" t="str">
        <f t="shared" si="230"/>
        <v/>
      </c>
      <c r="AA677" s="74">
        <f t="shared" si="231"/>
        <v>0</v>
      </c>
      <c r="AB677" s="74">
        <f t="shared" si="232"/>
        <v>0</v>
      </c>
      <c r="AC677" s="74" t="str">
        <f t="shared" si="233"/>
        <v/>
      </c>
      <c r="AE677" s="74" t="str">
        <f t="shared" si="234"/>
        <v/>
      </c>
      <c r="AF677" s="74" t="str">
        <f t="shared" si="235"/>
        <v/>
      </c>
      <c r="AG677" s="74" t="str">
        <f t="shared" si="236"/>
        <v/>
      </c>
      <c r="AH677" s="74">
        <f t="shared" si="237"/>
        <v>0</v>
      </c>
      <c r="AI677" s="74" t="str">
        <f>IF(AH677&lt;&gt;0,COUNTIF(AH$3:AH677,1),"")</f>
        <v/>
      </c>
      <c r="AJ677" s="74">
        <f t="shared" si="238"/>
        <v>0</v>
      </c>
      <c r="AK677" s="73" t="str">
        <f t="shared" si="239"/>
        <v/>
      </c>
      <c r="AL677" s="73" t="str">
        <f t="shared" si="240"/>
        <v/>
      </c>
      <c r="AM677" s="73" t="str">
        <f t="shared" si="241"/>
        <v/>
      </c>
      <c r="AN677" s="73" t="str">
        <f t="shared" si="242"/>
        <v/>
      </c>
      <c r="AP677" s="61" t="str">
        <f t="shared" si="243"/>
        <v/>
      </c>
      <c r="AQ677" s="61" t="str">
        <f t="shared" si="244"/>
        <v/>
      </c>
      <c r="AR677" s="61" t="str">
        <f t="shared" si="245"/>
        <v/>
      </c>
    </row>
    <row r="678" spans="16:44" x14ac:dyDescent="0.25">
      <c r="P678" s="73" t="str">
        <f t="shared" si="226"/>
        <v/>
      </c>
      <c r="Q678" s="73" t="str">
        <f t="shared" si="227"/>
        <v/>
      </c>
      <c r="R678" s="74" t="str">
        <f t="shared" si="228"/>
        <v/>
      </c>
      <c r="S678" s="74" t="str">
        <f t="shared" si="229"/>
        <v/>
      </c>
      <c r="U678" s="74" t="str">
        <f t="shared" si="246"/>
        <v/>
      </c>
      <c r="V678" s="74" t="str">
        <f t="shared" si="246"/>
        <v/>
      </c>
      <c r="W678" s="74" t="str">
        <f t="shared" si="246"/>
        <v/>
      </c>
      <c r="X678" s="74" t="str">
        <f t="shared" si="246"/>
        <v/>
      </c>
      <c r="Y678" s="74" t="str">
        <f t="shared" si="246"/>
        <v/>
      </c>
      <c r="Z678" s="74" t="str">
        <f t="shared" si="230"/>
        <v/>
      </c>
      <c r="AA678" s="74">
        <f t="shared" si="231"/>
        <v>0</v>
      </c>
      <c r="AB678" s="74">
        <f t="shared" si="232"/>
        <v>0</v>
      </c>
      <c r="AC678" s="74" t="str">
        <f t="shared" si="233"/>
        <v/>
      </c>
      <c r="AE678" s="74" t="str">
        <f t="shared" si="234"/>
        <v/>
      </c>
      <c r="AF678" s="74" t="str">
        <f t="shared" si="235"/>
        <v/>
      </c>
      <c r="AG678" s="74" t="str">
        <f t="shared" si="236"/>
        <v/>
      </c>
      <c r="AH678" s="74">
        <f t="shared" si="237"/>
        <v>0</v>
      </c>
      <c r="AI678" s="74" t="str">
        <f>IF(AH678&lt;&gt;0,COUNTIF(AH$3:AH678,1),"")</f>
        <v/>
      </c>
      <c r="AJ678" s="74">
        <f t="shared" si="238"/>
        <v>0</v>
      </c>
      <c r="AK678" s="73" t="str">
        <f t="shared" si="239"/>
        <v/>
      </c>
      <c r="AL678" s="73" t="str">
        <f t="shared" si="240"/>
        <v/>
      </c>
      <c r="AM678" s="73" t="str">
        <f t="shared" si="241"/>
        <v/>
      </c>
      <c r="AN678" s="73" t="str">
        <f t="shared" si="242"/>
        <v/>
      </c>
      <c r="AP678" s="61" t="str">
        <f t="shared" si="243"/>
        <v/>
      </c>
      <c r="AQ678" s="61" t="str">
        <f t="shared" si="244"/>
        <v/>
      </c>
      <c r="AR678" s="61" t="str">
        <f t="shared" si="245"/>
        <v/>
      </c>
    </row>
    <row r="679" spans="16:44" x14ac:dyDescent="0.25">
      <c r="P679" s="73" t="str">
        <f t="shared" si="226"/>
        <v/>
      </c>
      <c r="Q679" s="73" t="str">
        <f t="shared" si="227"/>
        <v/>
      </c>
      <c r="R679" s="74" t="str">
        <f t="shared" si="228"/>
        <v/>
      </c>
      <c r="S679" s="74" t="str">
        <f t="shared" si="229"/>
        <v/>
      </c>
      <c r="U679" s="74" t="str">
        <f t="shared" si="246"/>
        <v/>
      </c>
      <c r="V679" s="74" t="str">
        <f t="shared" si="246"/>
        <v/>
      </c>
      <c r="W679" s="74" t="str">
        <f t="shared" si="246"/>
        <v/>
      </c>
      <c r="X679" s="74" t="str">
        <f t="shared" si="246"/>
        <v/>
      </c>
      <c r="Y679" s="74" t="str">
        <f t="shared" si="246"/>
        <v/>
      </c>
      <c r="Z679" s="74" t="str">
        <f t="shared" si="230"/>
        <v/>
      </c>
      <c r="AA679" s="74">
        <f t="shared" si="231"/>
        <v>0</v>
      </c>
      <c r="AB679" s="74">
        <f t="shared" si="232"/>
        <v>0</v>
      </c>
      <c r="AC679" s="74" t="str">
        <f t="shared" si="233"/>
        <v/>
      </c>
      <c r="AE679" s="74" t="str">
        <f t="shared" si="234"/>
        <v/>
      </c>
      <c r="AF679" s="74" t="str">
        <f t="shared" si="235"/>
        <v/>
      </c>
      <c r="AG679" s="74" t="str">
        <f t="shared" si="236"/>
        <v/>
      </c>
      <c r="AH679" s="74">
        <f t="shared" si="237"/>
        <v>0</v>
      </c>
      <c r="AI679" s="74" t="str">
        <f>IF(AH679&lt;&gt;0,COUNTIF(AH$3:AH679,1),"")</f>
        <v/>
      </c>
      <c r="AJ679" s="74">
        <f t="shared" si="238"/>
        <v>0</v>
      </c>
      <c r="AK679" s="73" t="str">
        <f t="shared" si="239"/>
        <v/>
      </c>
      <c r="AL679" s="73" t="str">
        <f t="shared" si="240"/>
        <v/>
      </c>
      <c r="AM679" s="73" t="str">
        <f t="shared" si="241"/>
        <v/>
      </c>
      <c r="AN679" s="73" t="str">
        <f t="shared" si="242"/>
        <v/>
      </c>
      <c r="AP679" s="61" t="str">
        <f t="shared" si="243"/>
        <v/>
      </c>
      <c r="AQ679" s="61" t="str">
        <f t="shared" si="244"/>
        <v/>
      </c>
      <c r="AR679" s="61" t="str">
        <f t="shared" si="245"/>
        <v/>
      </c>
    </row>
    <row r="680" spans="16:44" x14ac:dyDescent="0.25">
      <c r="P680" s="73" t="str">
        <f t="shared" si="226"/>
        <v/>
      </c>
      <c r="Q680" s="73" t="str">
        <f t="shared" si="227"/>
        <v/>
      </c>
      <c r="R680" s="74" t="str">
        <f t="shared" si="228"/>
        <v/>
      </c>
      <c r="S680" s="74" t="str">
        <f t="shared" si="229"/>
        <v/>
      </c>
      <c r="U680" s="74" t="str">
        <f t="shared" si="246"/>
        <v/>
      </c>
      <c r="V680" s="74" t="str">
        <f t="shared" si="246"/>
        <v/>
      </c>
      <c r="W680" s="74" t="str">
        <f t="shared" si="246"/>
        <v/>
      </c>
      <c r="X680" s="74" t="str">
        <f t="shared" si="246"/>
        <v/>
      </c>
      <c r="Y680" s="74" t="str">
        <f t="shared" si="246"/>
        <v/>
      </c>
      <c r="Z680" s="74" t="str">
        <f t="shared" si="230"/>
        <v/>
      </c>
      <c r="AA680" s="74">
        <f t="shared" si="231"/>
        <v>0</v>
      </c>
      <c r="AB680" s="74">
        <f t="shared" si="232"/>
        <v>0</v>
      </c>
      <c r="AC680" s="74" t="str">
        <f t="shared" si="233"/>
        <v/>
      </c>
      <c r="AE680" s="74" t="str">
        <f t="shared" si="234"/>
        <v/>
      </c>
      <c r="AF680" s="74" t="str">
        <f t="shared" si="235"/>
        <v/>
      </c>
      <c r="AG680" s="74" t="str">
        <f t="shared" si="236"/>
        <v/>
      </c>
      <c r="AH680" s="74">
        <f t="shared" si="237"/>
        <v>0</v>
      </c>
      <c r="AI680" s="74" t="str">
        <f>IF(AH680&lt;&gt;0,COUNTIF(AH$3:AH680,1),"")</f>
        <v/>
      </c>
      <c r="AJ680" s="74">
        <f t="shared" si="238"/>
        <v>0</v>
      </c>
      <c r="AK680" s="73" t="str">
        <f t="shared" si="239"/>
        <v/>
      </c>
      <c r="AL680" s="73" t="str">
        <f t="shared" si="240"/>
        <v/>
      </c>
      <c r="AM680" s="73" t="str">
        <f t="shared" si="241"/>
        <v/>
      </c>
      <c r="AN680" s="73" t="str">
        <f t="shared" si="242"/>
        <v/>
      </c>
      <c r="AP680" s="61" t="str">
        <f t="shared" si="243"/>
        <v/>
      </c>
      <c r="AQ680" s="61" t="str">
        <f t="shared" si="244"/>
        <v/>
      </c>
      <c r="AR680" s="61" t="str">
        <f t="shared" si="245"/>
        <v/>
      </c>
    </row>
    <row r="681" spans="16:44" x14ac:dyDescent="0.25">
      <c r="P681" s="73" t="str">
        <f t="shared" si="226"/>
        <v/>
      </c>
      <c r="Q681" s="73" t="str">
        <f t="shared" si="227"/>
        <v/>
      </c>
      <c r="R681" s="74" t="str">
        <f t="shared" si="228"/>
        <v/>
      </c>
      <c r="S681" s="74" t="str">
        <f t="shared" si="229"/>
        <v/>
      </c>
      <c r="U681" s="74" t="str">
        <f t="shared" si="246"/>
        <v/>
      </c>
      <c r="V681" s="74" t="str">
        <f t="shared" si="246"/>
        <v/>
      </c>
      <c r="W681" s="74" t="str">
        <f t="shared" si="246"/>
        <v/>
      </c>
      <c r="X681" s="74" t="str">
        <f t="shared" si="246"/>
        <v/>
      </c>
      <c r="Y681" s="74" t="str">
        <f t="shared" si="246"/>
        <v/>
      </c>
      <c r="Z681" s="74" t="str">
        <f t="shared" si="230"/>
        <v/>
      </c>
      <c r="AA681" s="74">
        <f t="shared" si="231"/>
        <v>0</v>
      </c>
      <c r="AB681" s="74">
        <f t="shared" si="232"/>
        <v>0</v>
      </c>
      <c r="AC681" s="74" t="str">
        <f t="shared" si="233"/>
        <v/>
      </c>
      <c r="AE681" s="74" t="str">
        <f t="shared" si="234"/>
        <v/>
      </c>
      <c r="AF681" s="74" t="str">
        <f t="shared" si="235"/>
        <v/>
      </c>
      <c r="AG681" s="74" t="str">
        <f t="shared" si="236"/>
        <v/>
      </c>
      <c r="AH681" s="74">
        <f t="shared" si="237"/>
        <v>0</v>
      </c>
      <c r="AI681" s="74" t="str">
        <f>IF(AH681&lt;&gt;0,COUNTIF(AH$3:AH681,1),"")</f>
        <v/>
      </c>
      <c r="AJ681" s="74">
        <f t="shared" si="238"/>
        <v>0</v>
      </c>
      <c r="AK681" s="73" t="str">
        <f t="shared" si="239"/>
        <v/>
      </c>
      <c r="AL681" s="73" t="str">
        <f t="shared" si="240"/>
        <v/>
      </c>
      <c r="AM681" s="73" t="str">
        <f t="shared" si="241"/>
        <v/>
      </c>
      <c r="AN681" s="73" t="str">
        <f t="shared" si="242"/>
        <v/>
      </c>
      <c r="AP681" s="61" t="str">
        <f t="shared" si="243"/>
        <v/>
      </c>
      <c r="AQ681" s="61" t="str">
        <f t="shared" si="244"/>
        <v/>
      </c>
      <c r="AR681" s="61" t="str">
        <f t="shared" si="245"/>
        <v/>
      </c>
    </row>
    <row r="682" spans="16:44" x14ac:dyDescent="0.25">
      <c r="P682" s="73" t="str">
        <f t="shared" si="226"/>
        <v/>
      </c>
      <c r="Q682" s="73" t="str">
        <f t="shared" si="227"/>
        <v/>
      </c>
      <c r="R682" s="74" t="str">
        <f t="shared" si="228"/>
        <v/>
      </c>
      <c r="S682" s="74" t="str">
        <f t="shared" si="229"/>
        <v/>
      </c>
      <c r="U682" s="74" t="str">
        <f t="shared" si="246"/>
        <v/>
      </c>
      <c r="V682" s="74" t="str">
        <f t="shared" si="246"/>
        <v/>
      </c>
      <c r="W682" s="74" t="str">
        <f t="shared" si="246"/>
        <v/>
      </c>
      <c r="X682" s="74" t="str">
        <f t="shared" si="246"/>
        <v/>
      </c>
      <c r="Y682" s="74" t="str">
        <f t="shared" si="246"/>
        <v/>
      </c>
      <c r="Z682" s="74" t="str">
        <f t="shared" si="230"/>
        <v/>
      </c>
      <c r="AA682" s="74">
        <f t="shared" si="231"/>
        <v>0</v>
      </c>
      <c r="AB682" s="74">
        <f t="shared" si="232"/>
        <v>0</v>
      </c>
      <c r="AC682" s="74" t="str">
        <f t="shared" si="233"/>
        <v/>
      </c>
      <c r="AE682" s="74" t="str">
        <f t="shared" si="234"/>
        <v/>
      </c>
      <c r="AF682" s="74" t="str">
        <f t="shared" si="235"/>
        <v/>
      </c>
      <c r="AG682" s="74" t="str">
        <f t="shared" si="236"/>
        <v/>
      </c>
      <c r="AH682" s="74">
        <f t="shared" si="237"/>
        <v>0</v>
      </c>
      <c r="AI682" s="74" t="str">
        <f>IF(AH682&lt;&gt;0,COUNTIF(AH$3:AH682,1),"")</f>
        <v/>
      </c>
      <c r="AJ682" s="74">
        <f t="shared" si="238"/>
        <v>0</v>
      </c>
      <c r="AK682" s="73" t="str">
        <f t="shared" si="239"/>
        <v/>
      </c>
      <c r="AL682" s="73" t="str">
        <f t="shared" si="240"/>
        <v/>
      </c>
      <c r="AM682" s="73" t="str">
        <f t="shared" si="241"/>
        <v/>
      </c>
      <c r="AN682" s="73" t="str">
        <f t="shared" si="242"/>
        <v/>
      </c>
      <c r="AP682" s="61" t="str">
        <f t="shared" si="243"/>
        <v/>
      </c>
      <c r="AQ682" s="61" t="str">
        <f t="shared" si="244"/>
        <v/>
      </c>
      <c r="AR682" s="61" t="str">
        <f t="shared" si="245"/>
        <v/>
      </c>
    </row>
    <row r="683" spans="16:44" x14ac:dyDescent="0.25">
      <c r="P683" s="73" t="str">
        <f t="shared" si="226"/>
        <v/>
      </c>
      <c r="Q683" s="73" t="str">
        <f t="shared" si="227"/>
        <v/>
      </c>
      <c r="R683" s="74" t="str">
        <f t="shared" si="228"/>
        <v/>
      </c>
      <c r="S683" s="74" t="str">
        <f t="shared" si="229"/>
        <v/>
      </c>
      <c r="U683" s="74" t="str">
        <f t="shared" si="246"/>
        <v/>
      </c>
      <c r="V683" s="74" t="str">
        <f t="shared" si="246"/>
        <v/>
      </c>
      <c r="W683" s="74" t="str">
        <f t="shared" si="246"/>
        <v/>
      </c>
      <c r="X683" s="74" t="str">
        <f t="shared" si="246"/>
        <v/>
      </c>
      <c r="Y683" s="74" t="str">
        <f t="shared" si="246"/>
        <v/>
      </c>
      <c r="Z683" s="74" t="str">
        <f t="shared" si="230"/>
        <v/>
      </c>
      <c r="AA683" s="74">
        <f t="shared" si="231"/>
        <v>0</v>
      </c>
      <c r="AB683" s="74">
        <f t="shared" si="232"/>
        <v>0</v>
      </c>
      <c r="AC683" s="74" t="str">
        <f t="shared" si="233"/>
        <v/>
      </c>
      <c r="AE683" s="74" t="str">
        <f t="shared" si="234"/>
        <v/>
      </c>
      <c r="AF683" s="74" t="str">
        <f t="shared" si="235"/>
        <v/>
      </c>
      <c r="AG683" s="74" t="str">
        <f t="shared" si="236"/>
        <v/>
      </c>
      <c r="AH683" s="74">
        <f t="shared" si="237"/>
        <v>0</v>
      </c>
      <c r="AI683" s="74" t="str">
        <f>IF(AH683&lt;&gt;0,COUNTIF(AH$3:AH683,1),"")</f>
        <v/>
      </c>
      <c r="AJ683" s="74">
        <f t="shared" si="238"/>
        <v>0</v>
      </c>
      <c r="AK683" s="73" t="str">
        <f t="shared" si="239"/>
        <v/>
      </c>
      <c r="AL683" s="73" t="str">
        <f t="shared" si="240"/>
        <v/>
      </c>
      <c r="AM683" s="73" t="str">
        <f t="shared" si="241"/>
        <v/>
      </c>
      <c r="AN683" s="73" t="str">
        <f t="shared" si="242"/>
        <v/>
      </c>
      <c r="AP683" s="61" t="str">
        <f t="shared" si="243"/>
        <v/>
      </c>
      <c r="AQ683" s="61" t="str">
        <f t="shared" si="244"/>
        <v/>
      </c>
      <c r="AR683" s="61" t="str">
        <f t="shared" si="245"/>
        <v/>
      </c>
    </row>
    <row r="684" spans="16:44" x14ac:dyDescent="0.25">
      <c r="P684" s="73" t="str">
        <f t="shared" si="226"/>
        <v/>
      </c>
      <c r="Q684" s="73" t="str">
        <f t="shared" si="227"/>
        <v/>
      </c>
      <c r="R684" s="74" t="str">
        <f t="shared" si="228"/>
        <v/>
      </c>
      <c r="S684" s="74" t="str">
        <f t="shared" si="229"/>
        <v/>
      </c>
      <c r="U684" s="74" t="str">
        <f t="shared" si="246"/>
        <v/>
      </c>
      <c r="V684" s="74" t="str">
        <f t="shared" si="246"/>
        <v/>
      </c>
      <c r="W684" s="74" t="str">
        <f t="shared" si="246"/>
        <v/>
      </c>
      <c r="X684" s="74" t="str">
        <f t="shared" si="246"/>
        <v/>
      </c>
      <c r="Y684" s="74" t="str">
        <f t="shared" si="246"/>
        <v/>
      </c>
      <c r="Z684" s="74" t="str">
        <f t="shared" si="230"/>
        <v/>
      </c>
      <c r="AA684" s="74">
        <f t="shared" si="231"/>
        <v>0</v>
      </c>
      <c r="AB684" s="74">
        <f t="shared" si="232"/>
        <v>0</v>
      </c>
      <c r="AC684" s="74" t="str">
        <f t="shared" si="233"/>
        <v/>
      </c>
      <c r="AE684" s="74" t="str">
        <f t="shared" si="234"/>
        <v/>
      </c>
      <c r="AF684" s="74" t="str">
        <f t="shared" si="235"/>
        <v/>
      </c>
      <c r="AG684" s="74" t="str">
        <f t="shared" si="236"/>
        <v/>
      </c>
      <c r="AH684" s="74">
        <f t="shared" si="237"/>
        <v>0</v>
      </c>
      <c r="AI684" s="74" t="str">
        <f>IF(AH684&lt;&gt;0,COUNTIF(AH$3:AH684,1),"")</f>
        <v/>
      </c>
      <c r="AJ684" s="74">
        <f t="shared" si="238"/>
        <v>0</v>
      </c>
      <c r="AK684" s="73" t="str">
        <f t="shared" si="239"/>
        <v/>
      </c>
      <c r="AL684" s="73" t="str">
        <f t="shared" si="240"/>
        <v/>
      </c>
      <c r="AM684" s="73" t="str">
        <f t="shared" si="241"/>
        <v/>
      </c>
      <c r="AN684" s="73" t="str">
        <f t="shared" si="242"/>
        <v/>
      </c>
      <c r="AP684" s="61" t="str">
        <f t="shared" si="243"/>
        <v/>
      </c>
      <c r="AQ684" s="61" t="str">
        <f t="shared" si="244"/>
        <v/>
      </c>
      <c r="AR684" s="61" t="str">
        <f t="shared" si="245"/>
        <v/>
      </c>
    </row>
    <row r="685" spans="16:44" x14ac:dyDescent="0.25">
      <c r="P685" s="73" t="str">
        <f t="shared" si="226"/>
        <v/>
      </c>
      <c r="Q685" s="73" t="str">
        <f t="shared" si="227"/>
        <v/>
      </c>
      <c r="R685" s="74" t="str">
        <f t="shared" si="228"/>
        <v/>
      </c>
      <c r="S685" s="74" t="str">
        <f t="shared" si="229"/>
        <v/>
      </c>
      <c r="U685" s="74" t="str">
        <f t="shared" si="246"/>
        <v/>
      </c>
      <c r="V685" s="74" t="str">
        <f t="shared" si="246"/>
        <v/>
      </c>
      <c r="W685" s="74" t="str">
        <f t="shared" si="246"/>
        <v/>
      </c>
      <c r="X685" s="74" t="str">
        <f t="shared" si="246"/>
        <v/>
      </c>
      <c r="Y685" s="74" t="str">
        <f t="shared" si="246"/>
        <v/>
      </c>
      <c r="Z685" s="74" t="str">
        <f t="shared" si="230"/>
        <v/>
      </c>
      <c r="AA685" s="74">
        <f t="shared" si="231"/>
        <v>0</v>
      </c>
      <c r="AB685" s="74">
        <f t="shared" si="232"/>
        <v>0</v>
      </c>
      <c r="AC685" s="74" t="str">
        <f t="shared" si="233"/>
        <v/>
      </c>
      <c r="AE685" s="74" t="str">
        <f t="shared" si="234"/>
        <v/>
      </c>
      <c r="AF685" s="74" t="str">
        <f t="shared" si="235"/>
        <v/>
      </c>
      <c r="AG685" s="74" t="str">
        <f t="shared" si="236"/>
        <v/>
      </c>
      <c r="AH685" s="74">
        <f t="shared" si="237"/>
        <v>0</v>
      </c>
      <c r="AI685" s="74" t="str">
        <f>IF(AH685&lt;&gt;0,COUNTIF(AH$3:AH685,1),"")</f>
        <v/>
      </c>
      <c r="AJ685" s="74">
        <f t="shared" si="238"/>
        <v>0</v>
      </c>
      <c r="AK685" s="73" t="str">
        <f t="shared" si="239"/>
        <v/>
      </c>
      <c r="AL685" s="73" t="str">
        <f t="shared" si="240"/>
        <v/>
      </c>
      <c r="AM685" s="73" t="str">
        <f t="shared" si="241"/>
        <v/>
      </c>
      <c r="AN685" s="73" t="str">
        <f t="shared" si="242"/>
        <v/>
      </c>
      <c r="AP685" s="61" t="str">
        <f t="shared" si="243"/>
        <v/>
      </c>
      <c r="AQ685" s="61" t="str">
        <f t="shared" si="244"/>
        <v/>
      </c>
      <c r="AR685" s="61" t="str">
        <f t="shared" si="245"/>
        <v/>
      </c>
    </row>
    <row r="686" spans="16:44" x14ac:dyDescent="0.25">
      <c r="P686" s="73" t="str">
        <f t="shared" si="226"/>
        <v/>
      </c>
      <c r="Q686" s="73" t="str">
        <f t="shared" si="227"/>
        <v/>
      </c>
      <c r="R686" s="74" t="str">
        <f t="shared" si="228"/>
        <v/>
      </c>
      <c r="S686" s="74" t="str">
        <f t="shared" si="229"/>
        <v/>
      </c>
      <c r="U686" s="74" t="str">
        <f t="shared" si="246"/>
        <v/>
      </c>
      <c r="V686" s="74" t="str">
        <f t="shared" si="246"/>
        <v/>
      </c>
      <c r="W686" s="74" t="str">
        <f t="shared" si="246"/>
        <v/>
      </c>
      <c r="X686" s="74" t="str">
        <f t="shared" si="246"/>
        <v/>
      </c>
      <c r="Y686" s="74" t="str">
        <f t="shared" si="246"/>
        <v/>
      </c>
      <c r="Z686" s="74" t="str">
        <f t="shared" si="230"/>
        <v/>
      </c>
      <c r="AA686" s="74">
        <f t="shared" si="231"/>
        <v>0</v>
      </c>
      <c r="AB686" s="74">
        <f t="shared" si="232"/>
        <v>0</v>
      </c>
      <c r="AC686" s="74" t="str">
        <f t="shared" si="233"/>
        <v/>
      </c>
      <c r="AE686" s="74" t="str">
        <f t="shared" si="234"/>
        <v/>
      </c>
      <c r="AF686" s="74" t="str">
        <f t="shared" si="235"/>
        <v/>
      </c>
      <c r="AG686" s="74" t="str">
        <f t="shared" si="236"/>
        <v/>
      </c>
      <c r="AH686" s="74">
        <f t="shared" si="237"/>
        <v>0</v>
      </c>
      <c r="AI686" s="74" t="str">
        <f>IF(AH686&lt;&gt;0,COUNTIF(AH$3:AH686,1),"")</f>
        <v/>
      </c>
      <c r="AJ686" s="74">
        <f t="shared" si="238"/>
        <v>0</v>
      </c>
      <c r="AK686" s="73" t="str">
        <f t="shared" si="239"/>
        <v/>
      </c>
      <c r="AL686" s="73" t="str">
        <f t="shared" si="240"/>
        <v/>
      </c>
      <c r="AM686" s="73" t="str">
        <f t="shared" si="241"/>
        <v/>
      </c>
      <c r="AN686" s="73" t="str">
        <f t="shared" si="242"/>
        <v/>
      </c>
      <c r="AP686" s="61" t="str">
        <f t="shared" si="243"/>
        <v/>
      </c>
      <c r="AQ686" s="61" t="str">
        <f t="shared" si="244"/>
        <v/>
      </c>
      <c r="AR686" s="61" t="str">
        <f t="shared" si="245"/>
        <v/>
      </c>
    </row>
    <row r="687" spans="16:44" x14ac:dyDescent="0.25">
      <c r="P687" s="73" t="str">
        <f t="shared" si="226"/>
        <v/>
      </c>
      <c r="Q687" s="73" t="str">
        <f t="shared" si="227"/>
        <v/>
      </c>
      <c r="R687" s="74" t="str">
        <f t="shared" si="228"/>
        <v/>
      </c>
      <c r="S687" s="74" t="str">
        <f t="shared" si="229"/>
        <v/>
      </c>
      <c r="U687" s="74" t="str">
        <f t="shared" si="246"/>
        <v/>
      </c>
      <c r="V687" s="74" t="str">
        <f t="shared" si="246"/>
        <v/>
      </c>
      <c r="W687" s="74" t="str">
        <f t="shared" si="246"/>
        <v/>
      </c>
      <c r="X687" s="74" t="str">
        <f t="shared" si="246"/>
        <v/>
      </c>
      <c r="Y687" s="74" t="str">
        <f t="shared" si="246"/>
        <v/>
      </c>
      <c r="Z687" s="74" t="str">
        <f t="shared" si="230"/>
        <v/>
      </c>
      <c r="AA687" s="74">
        <f t="shared" si="231"/>
        <v>0</v>
      </c>
      <c r="AB687" s="74">
        <f t="shared" si="232"/>
        <v>0</v>
      </c>
      <c r="AC687" s="74" t="str">
        <f t="shared" si="233"/>
        <v/>
      </c>
      <c r="AE687" s="74" t="str">
        <f t="shared" si="234"/>
        <v/>
      </c>
      <c r="AF687" s="74" t="str">
        <f t="shared" si="235"/>
        <v/>
      </c>
      <c r="AG687" s="74" t="str">
        <f t="shared" si="236"/>
        <v/>
      </c>
      <c r="AH687" s="74">
        <f t="shared" si="237"/>
        <v>0</v>
      </c>
      <c r="AI687" s="74" t="str">
        <f>IF(AH687&lt;&gt;0,COUNTIF(AH$3:AH687,1),"")</f>
        <v/>
      </c>
      <c r="AJ687" s="74">
        <f t="shared" si="238"/>
        <v>0</v>
      </c>
      <c r="AK687" s="73" t="str">
        <f t="shared" si="239"/>
        <v/>
      </c>
      <c r="AL687" s="73" t="str">
        <f t="shared" si="240"/>
        <v/>
      </c>
      <c r="AM687" s="73" t="str">
        <f t="shared" si="241"/>
        <v/>
      </c>
      <c r="AN687" s="73" t="str">
        <f t="shared" si="242"/>
        <v/>
      </c>
      <c r="AP687" s="61" t="str">
        <f t="shared" si="243"/>
        <v/>
      </c>
      <c r="AQ687" s="61" t="str">
        <f t="shared" si="244"/>
        <v/>
      </c>
      <c r="AR687" s="61" t="str">
        <f t="shared" si="245"/>
        <v/>
      </c>
    </row>
    <row r="688" spans="16:44" x14ac:dyDescent="0.25">
      <c r="P688" s="73" t="str">
        <f t="shared" si="226"/>
        <v/>
      </c>
      <c r="Q688" s="73" t="str">
        <f t="shared" si="227"/>
        <v/>
      </c>
      <c r="R688" s="74" t="str">
        <f t="shared" si="228"/>
        <v/>
      </c>
      <c r="S688" s="74" t="str">
        <f t="shared" si="229"/>
        <v/>
      </c>
      <c r="U688" s="74" t="str">
        <f t="shared" si="246"/>
        <v/>
      </c>
      <c r="V688" s="74" t="str">
        <f t="shared" si="246"/>
        <v/>
      </c>
      <c r="W688" s="74" t="str">
        <f t="shared" si="246"/>
        <v/>
      </c>
      <c r="X688" s="74" t="str">
        <f t="shared" si="246"/>
        <v/>
      </c>
      <c r="Y688" s="74" t="str">
        <f t="shared" si="246"/>
        <v/>
      </c>
      <c r="Z688" s="74" t="str">
        <f t="shared" si="230"/>
        <v/>
      </c>
      <c r="AA688" s="74">
        <f t="shared" si="231"/>
        <v>0</v>
      </c>
      <c r="AB688" s="74">
        <f t="shared" si="232"/>
        <v>0</v>
      </c>
      <c r="AC688" s="74" t="str">
        <f t="shared" si="233"/>
        <v/>
      </c>
      <c r="AE688" s="74" t="str">
        <f t="shared" si="234"/>
        <v/>
      </c>
      <c r="AF688" s="74" t="str">
        <f t="shared" si="235"/>
        <v/>
      </c>
      <c r="AG688" s="74" t="str">
        <f t="shared" si="236"/>
        <v/>
      </c>
      <c r="AH688" s="74">
        <f t="shared" si="237"/>
        <v>0</v>
      </c>
      <c r="AI688" s="74" t="str">
        <f>IF(AH688&lt;&gt;0,COUNTIF(AH$3:AH688,1),"")</f>
        <v/>
      </c>
      <c r="AJ688" s="74">
        <f t="shared" si="238"/>
        <v>0</v>
      </c>
      <c r="AK688" s="73" t="str">
        <f t="shared" si="239"/>
        <v/>
      </c>
      <c r="AL688" s="73" t="str">
        <f t="shared" si="240"/>
        <v/>
      </c>
      <c r="AM688" s="73" t="str">
        <f t="shared" si="241"/>
        <v/>
      </c>
      <c r="AN688" s="73" t="str">
        <f t="shared" si="242"/>
        <v/>
      </c>
      <c r="AP688" s="61" t="str">
        <f t="shared" si="243"/>
        <v/>
      </c>
      <c r="AQ688" s="61" t="str">
        <f t="shared" si="244"/>
        <v/>
      </c>
      <c r="AR688" s="61" t="str">
        <f t="shared" si="245"/>
        <v/>
      </c>
    </row>
    <row r="689" spans="16:44" x14ac:dyDescent="0.25">
      <c r="P689" s="73" t="str">
        <f t="shared" si="226"/>
        <v/>
      </c>
      <c r="Q689" s="73" t="str">
        <f t="shared" si="227"/>
        <v/>
      </c>
      <c r="R689" s="74" t="str">
        <f t="shared" si="228"/>
        <v/>
      </c>
      <c r="S689" s="74" t="str">
        <f t="shared" si="229"/>
        <v/>
      </c>
      <c r="U689" s="74" t="str">
        <f t="shared" si="246"/>
        <v/>
      </c>
      <c r="V689" s="74" t="str">
        <f t="shared" si="246"/>
        <v/>
      </c>
      <c r="W689" s="74" t="str">
        <f t="shared" si="246"/>
        <v/>
      </c>
      <c r="X689" s="74" t="str">
        <f t="shared" si="246"/>
        <v/>
      </c>
      <c r="Y689" s="74" t="str">
        <f t="shared" si="246"/>
        <v/>
      </c>
      <c r="Z689" s="74" t="str">
        <f t="shared" si="230"/>
        <v/>
      </c>
      <c r="AA689" s="74">
        <f t="shared" si="231"/>
        <v>0</v>
      </c>
      <c r="AB689" s="74">
        <f t="shared" si="232"/>
        <v>0</v>
      </c>
      <c r="AC689" s="74" t="str">
        <f t="shared" si="233"/>
        <v/>
      </c>
      <c r="AE689" s="74" t="str">
        <f t="shared" si="234"/>
        <v/>
      </c>
      <c r="AF689" s="74" t="str">
        <f t="shared" si="235"/>
        <v/>
      </c>
      <c r="AG689" s="74" t="str">
        <f t="shared" si="236"/>
        <v/>
      </c>
      <c r="AH689" s="74">
        <f t="shared" si="237"/>
        <v>0</v>
      </c>
      <c r="AI689" s="74" t="str">
        <f>IF(AH689&lt;&gt;0,COUNTIF(AH$3:AH689,1),"")</f>
        <v/>
      </c>
      <c r="AJ689" s="74">
        <f t="shared" si="238"/>
        <v>0</v>
      </c>
      <c r="AK689" s="73" t="str">
        <f t="shared" si="239"/>
        <v/>
      </c>
      <c r="AL689" s="73" t="str">
        <f t="shared" si="240"/>
        <v/>
      </c>
      <c r="AM689" s="73" t="str">
        <f t="shared" si="241"/>
        <v/>
      </c>
      <c r="AN689" s="73" t="str">
        <f t="shared" si="242"/>
        <v/>
      </c>
      <c r="AP689" s="61" t="str">
        <f t="shared" si="243"/>
        <v/>
      </c>
      <c r="AQ689" s="61" t="str">
        <f t="shared" si="244"/>
        <v/>
      </c>
      <c r="AR689" s="61" t="str">
        <f t="shared" si="245"/>
        <v/>
      </c>
    </row>
    <row r="690" spans="16:44" x14ac:dyDescent="0.25">
      <c r="P690" s="73" t="str">
        <f t="shared" si="226"/>
        <v/>
      </c>
      <c r="Q690" s="73" t="str">
        <f t="shared" si="227"/>
        <v/>
      </c>
      <c r="R690" s="74" t="str">
        <f t="shared" si="228"/>
        <v/>
      </c>
      <c r="S690" s="74" t="str">
        <f t="shared" si="229"/>
        <v/>
      </c>
      <c r="U690" s="74" t="str">
        <f t="shared" si="246"/>
        <v/>
      </c>
      <c r="V690" s="74" t="str">
        <f t="shared" si="246"/>
        <v/>
      </c>
      <c r="W690" s="74" t="str">
        <f t="shared" si="246"/>
        <v/>
      </c>
      <c r="X690" s="74" t="str">
        <f t="shared" si="246"/>
        <v/>
      </c>
      <c r="Y690" s="74" t="str">
        <f t="shared" si="246"/>
        <v/>
      </c>
      <c r="Z690" s="74" t="str">
        <f t="shared" si="230"/>
        <v/>
      </c>
      <c r="AA690" s="74">
        <f t="shared" si="231"/>
        <v>0</v>
      </c>
      <c r="AB690" s="74">
        <f t="shared" si="232"/>
        <v>0</v>
      </c>
      <c r="AC690" s="74" t="str">
        <f t="shared" si="233"/>
        <v/>
      </c>
      <c r="AE690" s="74" t="str">
        <f t="shared" si="234"/>
        <v/>
      </c>
      <c r="AF690" s="74" t="str">
        <f t="shared" si="235"/>
        <v/>
      </c>
      <c r="AG690" s="74" t="str">
        <f t="shared" si="236"/>
        <v/>
      </c>
      <c r="AH690" s="74">
        <f t="shared" si="237"/>
        <v>0</v>
      </c>
      <c r="AI690" s="74" t="str">
        <f>IF(AH690&lt;&gt;0,COUNTIF(AH$3:AH690,1),"")</f>
        <v/>
      </c>
      <c r="AJ690" s="74">
        <f t="shared" si="238"/>
        <v>0</v>
      </c>
      <c r="AK690" s="73" t="str">
        <f t="shared" si="239"/>
        <v/>
      </c>
      <c r="AL690" s="73" t="str">
        <f t="shared" si="240"/>
        <v/>
      </c>
      <c r="AM690" s="73" t="str">
        <f t="shared" si="241"/>
        <v/>
      </c>
      <c r="AN690" s="73" t="str">
        <f t="shared" si="242"/>
        <v/>
      </c>
      <c r="AP690" s="61" t="str">
        <f t="shared" si="243"/>
        <v/>
      </c>
      <c r="AQ690" s="61" t="str">
        <f t="shared" si="244"/>
        <v/>
      </c>
      <c r="AR690" s="61" t="str">
        <f t="shared" si="245"/>
        <v/>
      </c>
    </row>
    <row r="691" spans="16:44" x14ac:dyDescent="0.25">
      <c r="P691" s="73" t="str">
        <f t="shared" si="226"/>
        <v/>
      </c>
      <c r="Q691" s="73" t="str">
        <f t="shared" si="227"/>
        <v/>
      </c>
      <c r="R691" s="74" t="str">
        <f t="shared" si="228"/>
        <v/>
      </c>
      <c r="S691" s="74" t="str">
        <f t="shared" si="229"/>
        <v/>
      </c>
      <c r="U691" s="74" t="str">
        <f t="shared" si="246"/>
        <v/>
      </c>
      <c r="V691" s="74" t="str">
        <f t="shared" si="246"/>
        <v/>
      </c>
      <c r="W691" s="74" t="str">
        <f t="shared" si="246"/>
        <v/>
      </c>
      <c r="X691" s="74" t="str">
        <f t="shared" si="246"/>
        <v/>
      </c>
      <c r="Y691" s="74" t="str">
        <f t="shared" si="246"/>
        <v/>
      </c>
      <c r="Z691" s="74" t="str">
        <f t="shared" si="230"/>
        <v/>
      </c>
      <c r="AA691" s="74">
        <f t="shared" si="231"/>
        <v>0</v>
      </c>
      <c r="AB691" s="74">
        <f t="shared" si="232"/>
        <v>0</v>
      </c>
      <c r="AC691" s="74" t="str">
        <f t="shared" si="233"/>
        <v/>
      </c>
      <c r="AE691" s="74" t="str">
        <f t="shared" si="234"/>
        <v/>
      </c>
      <c r="AF691" s="74" t="str">
        <f t="shared" si="235"/>
        <v/>
      </c>
      <c r="AG691" s="74" t="str">
        <f t="shared" si="236"/>
        <v/>
      </c>
      <c r="AH691" s="74">
        <f t="shared" si="237"/>
        <v>0</v>
      </c>
      <c r="AI691" s="74" t="str">
        <f>IF(AH691&lt;&gt;0,COUNTIF(AH$3:AH691,1),"")</f>
        <v/>
      </c>
      <c r="AJ691" s="74">
        <f t="shared" si="238"/>
        <v>0</v>
      </c>
      <c r="AK691" s="73" t="str">
        <f t="shared" si="239"/>
        <v/>
      </c>
      <c r="AL691" s="73" t="str">
        <f t="shared" si="240"/>
        <v/>
      </c>
      <c r="AM691" s="73" t="str">
        <f t="shared" si="241"/>
        <v/>
      </c>
      <c r="AN691" s="73" t="str">
        <f t="shared" si="242"/>
        <v/>
      </c>
      <c r="AP691" s="61" t="str">
        <f t="shared" si="243"/>
        <v/>
      </c>
      <c r="AQ691" s="61" t="str">
        <f t="shared" si="244"/>
        <v/>
      </c>
      <c r="AR691" s="61" t="str">
        <f t="shared" si="245"/>
        <v/>
      </c>
    </row>
    <row r="692" spans="16:44" x14ac:dyDescent="0.25">
      <c r="P692" s="73" t="str">
        <f t="shared" si="226"/>
        <v/>
      </c>
      <c r="Q692" s="73" t="str">
        <f t="shared" si="227"/>
        <v/>
      </c>
      <c r="R692" s="74" t="str">
        <f t="shared" si="228"/>
        <v/>
      </c>
      <c r="S692" s="74" t="str">
        <f t="shared" si="229"/>
        <v/>
      </c>
      <c r="U692" s="74" t="str">
        <f t="shared" si="246"/>
        <v/>
      </c>
      <c r="V692" s="74" t="str">
        <f t="shared" si="246"/>
        <v/>
      </c>
      <c r="W692" s="74" t="str">
        <f t="shared" si="246"/>
        <v/>
      </c>
      <c r="X692" s="74" t="str">
        <f t="shared" si="246"/>
        <v/>
      </c>
      <c r="Y692" s="74" t="str">
        <f t="shared" si="246"/>
        <v/>
      </c>
      <c r="Z692" s="74" t="str">
        <f t="shared" si="230"/>
        <v/>
      </c>
      <c r="AA692" s="74">
        <f t="shared" si="231"/>
        <v>0</v>
      </c>
      <c r="AB692" s="74">
        <f t="shared" si="232"/>
        <v>0</v>
      </c>
      <c r="AC692" s="74" t="str">
        <f t="shared" si="233"/>
        <v/>
      </c>
      <c r="AE692" s="74" t="str">
        <f t="shared" si="234"/>
        <v/>
      </c>
      <c r="AF692" s="74" t="str">
        <f t="shared" si="235"/>
        <v/>
      </c>
      <c r="AG692" s="74" t="str">
        <f t="shared" si="236"/>
        <v/>
      </c>
      <c r="AH692" s="74">
        <f t="shared" si="237"/>
        <v>0</v>
      </c>
      <c r="AI692" s="74" t="str">
        <f>IF(AH692&lt;&gt;0,COUNTIF(AH$3:AH692,1),"")</f>
        <v/>
      </c>
      <c r="AJ692" s="74">
        <f t="shared" si="238"/>
        <v>0</v>
      </c>
      <c r="AK692" s="73" t="str">
        <f t="shared" si="239"/>
        <v/>
      </c>
      <c r="AL692" s="73" t="str">
        <f t="shared" si="240"/>
        <v/>
      </c>
      <c r="AM692" s="73" t="str">
        <f t="shared" si="241"/>
        <v/>
      </c>
      <c r="AN692" s="73" t="str">
        <f t="shared" si="242"/>
        <v/>
      </c>
      <c r="AP692" s="61" t="str">
        <f t="shared" si="243"/>
        <v/>
      </c>
      <c r="AQ692" s="61" t="str">
        <f t="shared" si="244"/>
        <v/>
      </c>
      <c r="AR692" s="61" t="str">
        <f t="shared" si="245"/>
        <v/>
      </c>
    </row>
    <row r="693" spans="16:44" x14ac:dyDescent="0.25">
      <c r="P693" s="73" t="str">
        <f t="shared" si="226"/>
        <v/>
      </c>
      <c r="Q693" s="73" t="str">
        <f t="shared" si="227"/>
        <v/>
      </c>
      <c r="R693" s="74" t="str">
        <f t="shared" si="228"/>
        <v/>
      </c>
      <c r="S693" s="74" t="str">
        <f t="shared" si="229"/>
        <v/>
      </c>
      <c r="U693" s="74" t="str">
        <f t="shared" si="246"/>
        <v/>
      </c>
      <c r="V693" s="74" t="str">
        <f t="shared" si="246"/>
        <v/>
      </c>
      <c r="W693" s="74" t="str">
        <f t="shared" si="246"/>
        <v/>
      </c>
      <c r="X693" s="74" t="str">
        <f t="shared" si="246"/>
        <v/>
      </c>
      <c r="Y693" s="74" t="str">
        <f t="shared" si="246"/>
        <v/>
      </c>
      <c r="Z693" s="74" t="str">
        <f t="shared" si="230"/>
        <v/>
      </c>
      <c r="AA693" s="74">
        <f t="shared" si="231"/>
        <v>0</v>
      </c>
      <c r="AB693" s="74">
        <f t="shared" si="232"/>
        <v>0</v>
      </c>
      <c r="AC693" s="74" t="str">
        <f t="shared" si="233"/>
        <v/>
      </c>
      <c r="AE693" s="74" t="str">
        <f t="shared" si="234"/>
        <v/>
      </c>
      <c r="AF693" s="74" t="str">
        <f t="shared" si="235"/>
        <v/>
      </c>
      <c r="AG693" s="74" t="str">
        <f t="shared" si="236"/>
        <v/>
      </c>
      <c r="AH693" s="74">
        <f t="shared" si="237"/>
        <v>0</v>
      </c>
      <c r="AI693" s="74" t="str">
        <f>IF(AH693&lt;&gt;0,COUNTIF(AH$3:AH693,1),"")</f>
        <v/>
      </c>
      <c r="AJ693" s="74">
        <f t="shared" si="238"/>
        <v>0</v>
      </c>
      <c r="AK693" s="73" t="str">
        <f t="shared" si="239"/>
        <v/>
      </c>
      <c r="AL693" s="73" t="str">
        <f t="shared" si="240"/>
        <v/>
      </c>
      <c r="AM693" s="73" t="str">
        <f t="shared" si="241"/>
        <v/>
      </c>
      <c r="AN693" s="73" t="str">
        <f t="shared" si="242"/>
        <v/>
      </c>
      <c r="AP693" s="61" t="str">
        <f t="shared" si="243"/>
        <v/>
      </c>
      <c r="AQ693" s="61" t="str">
        <f t="shared" si="244"/>
        <v/>
      </c>
      <c r="AR693" s="61" t="str">
        <f t="shared" si="245"/>
        <v/>
      </c>
    </row>
    <row r="694" spans="16:44" x14ac:dyDescent="0.25">
      <c r="P694" s="73" t="str">
        <f t="shared" si="226"/>
        <v/>
      </c>
      <c r="Q694" s="73" t="str">
        <f t="shared" si="227"/>
        <v/>
      </c>
      <c r="R694" s="74" t="str">
        <f t="shared" si="228"/>
        <v/>
      </c>
      <c r="S694" s="74" t="str">
        <f t="shared" si="229"/>
        <v/>
      </c>
      <c r="U694" s="74" t="str">
        <f t="shared" si="246"/>
        <v/>
      </c>
      <c r="V694" s="74" t="str">
        <f t="shared" si="246"/>
        <v/>
      </c>
      <c r="W694" s="74" t="str">
        <f t="shared" si="246"/>
        <v/>
      </c>
      <c r="X694" s="74" t="str">
        <f t="shared" si="246"/>
        <v/>
      </c>
      <c r="Y694" s="74" t="str">
        <f t="shared" si="246"/>
        <v/>
      </c>
      <c r="Z694" s="74" t="str">
        <f t="shared" si="230"/>
        <v/>
      </c>
      <c r="AA694" s="74">
        <f t="shared" si="231"/>
        <v>0</v>
      </c>
      <c r="AB694" s="74">
        <f t="shared" si="232"/>
        <v>0</v>
      </c>
      <c r="AC694" s="74" t="str">
        <f t="shared" si="233"/>
        <v/>
      </c>
      <c r="AE694" s="74" t="str">
        <f t="shared" si="234"/>
        <v/>
      </c>
      <c r="AF694" s="74" t="str">
        <f t="shared" si="235"/>
        <v/>
      </c>
      <c r="AG694" s="74" t="str">
        <f t="shared" si="236"/>
        <v/>
      </c>
      <c r="AH694" s="74">
        <f t="shared" si="237"/>
        <v>0</v>
      </c>
      <c r="AI694" s="74" t="str">
        <f>IF(AH694&lt;&gt;0,COUNTIF(AH$3:AH694,1),"")</f>
        <v/>
      </c>
      <c r="AJ694" s="74">
        <f t="shared" si="238"/>
        <v>0</v>
      </c>
      <c r="AK694" s="73" t="str">
        <f t="shared" si="239"/>
        <v/>
      </c>
      <c r="AL694" s="73" t="str">
        <f t="shared" si="240"/>
        <v/>
      </c>
      <c r="AM694" s="73" t="str">
        <f t="shared" si="241"/>
        <v/>
      </c>
      <c r="AN694" s="73" t="str">
        <f t="shared" si="242"/>
        <v/>
      </c>
      <c r="AP694" s="61" t="str">
        <f t="shared" si="243"/>
        <v/>
      </c>
      <c r="AQ694" s="61" t="str">
        <f t="shared" si="244"/>
        <v/>
      </c>
      <c r="AR694" s="61" t="str">
        <f t="shared" si="245"/>
        <v/>
      </c>
    </row>
    <row r="695" spans="16:44" x14ac:dyDescent="0.25">
      <c r="P695" s="73" t="str">
        <f t="shared" si="226"/>
        <v/>
      </c>
      <c r="Q695" s="73" t="str">
        <f t="shared" si="227"/>
        <v/>
      </c>
      <c r="R695" s="74" t="str">
        <f t="shared" si="228"/>
        <v/>
      </c>
      <c r="S695" s="74" t="str">
        <f t="shared" si="229"/>
        <v/>
      </c>
      <c r="U695" s="74" t="str">
        <f t="shared" si="246"/>
        <v/>
      </c>
      <c r="V695" s="74" t="str">
        <f t="shared" si="246"/>
        <v/>
      </c>
      <c r="W695" s="74" t="str">
        <f t="shared" si="246"/>
        <v/>
      </c>
      <c r="X695" s="74" t="str">
        <f t="shared" si="246"/>
        <v/>
      </c>
      <c r="Y695" s="74" t="str">
        <f t="shared" si="246"/>
        <v/>
      </c>
      <c r="Z695" s="74" t="str">
        <f t="shared" si="230"/>
        <v/>
      </c>
      <c r="AA695" s="74">
        <f t="shared" si="231"/>
        <v>0</v>
      </c>
      <c r="AB695" s="74">
        <f t="shared" si="232"/>
        <v>0</v>
      </c>
      <c r="AC695" s="74" t="str">
        <f t="shared" si="233"/>
        <v/>
      </c>
      <c r="AE695" s="74" t="str">
        <f t="shared" si="234"/>
        <v/>
      </c>
      <c r="AF695" s="74" t="str">
        <f t="shared" si="235"/>
        <v/>
      </c>
      <c r="AG695" s="74" t="str">
        <f t="shared" si="236"/>
        <v/>
      </c>
      <c r="AH695" s="74">
        <f t="shared" si="237"/>
        <v>0</v>
      </c>
      <c r="AI695" s="74" t="str">
        <f>IF(AH695&lt;&gt;0,COUNTIF(AH$3:AH695,1),"")</f>
        <v/>
      </c>
      <c r="AJ695" s="74">
        <f t="shared" si="238"/>
        <v>0</v>
      </c>
      <c r="AK695" s="73" t="str">
        <f t="shared" si="239"/>
        <v/>
      </c>
      <c r="AL695" s="73" t="str">
        <f t="shared" si="240"/>
        <v/>
      </c>
      <c r="AM695" s="73" t="str">
        <f t="shared" si="241"/>
        <v/>
      </c>
      <c r="AN695" s="73" t="str">
        <f t="shared" si="242"/>
        <v/>
      </c>
      <c r="AP695" s="61" t="str">
        <f t="shared" si="243"/>
        <v/>
      </c>
      <c r="AQ695" s="61" t="str">
        <f t="shared" si="244"/>
        <v/>
      </c>
      <c r="AR695" s="61" t="str">
        <f t="shared" si="245"/>
        <v/>
      </c>
    </row>
    <row r="696" spans="16:44" x14ac:dyDescent="0.25">
      <c r="P696" s="73" t="str">
        <f t="shared" si="226"/>
        <v/>
      </c>
      <c r="Q696" s="73" t="str">
        <f t="shared" si="227"/>
        <v/>
      </c>
      <c r="R696" s="74" t="str">
        <f t="shared" si="228"/>
        <v/>
      </c>
      <c r="S696" s="74" t="str">
        <f t="shared" si="229"/>
        <v/>
      </c>
      <c r="U696" s="74" t="str">
        <f t="shared" si="246"/>
        <v/>
      </c>
      <c r="V696" s="74" t="str">
        <f t="shared" si="246"/>
        <v/>
      </c>
      <c r="W696" s="74" t="str">
        <f t="shared" si="246"/>
        <v/>
      </c>
      <c r="X696" s="74" t="str">
        <f t="shared" si="246"/>
        <v/>
      </c>
      <c r="Y696" s="74" t="str">
        <f t="shared" si="246"/>
        <v/>
      </c>
      <c r="Z696" s="74" t="str">
        <f t="shared" si="230"/>
        <v/>
      </c>
      <c r="AA696" s="74">
        <f t="shared" si="231"/>
        <v>0</v>
      </c>
      <c r="AB696" s="74">
        <f t="shared" si="232"/>
        <v>0</v>
      </c>
      <c r="AC696" s="74" t="str">
        <f t="shared" si="233"/>
        <v/>
      </c>
      <c r="AE696" s="74" t="str">
        <f t="shared" si="234"/>
        <v/>
      </c>
      <c r="AF696" s="74" t="str">
        <f t="shared" si="235"/>
        <v/>
      </c>
      <c r="AG696" s="74" t="str">
        <f t="shared" si="236"/>
        <v/>
      </c>
      <c r="AH696" s="74">
        <f t="shared" si="237"/>
        <v>0</v>
      </c>
      <c r="AI696" s="74" t="str">
        <f>IF(AH696&lt;&gt;0,COUNTIF(AH$3:AH696,1),"")</f>
        <v/>
      </c>
      <c r="AJ696" s="74">
        <f t="shared" si="238"/>
        <v>0</v>
      </c>
      <c r="AK696" s="73" t="str">
        <f t="shared" si="239"/>
        <v/>
      </c>
      <c r="AL696" s="73" t="str">
        <f t="shared" si="240"/>
        <v/>
      </c>
      <c r="AM696" s="73" t="str">
        <f t="shared" si="241"/>
        <v/>
      </c>
      <c r="AN696" s="73" t="str">
        <f t="shared" si="242"/>
        <v/>
      </c>
      <c r="AP696" s="61" t="str">
        <f t="shared" si="243"/>
        <v/>
      </c>
      <c r="AQ696" s="61" t="str">
        <f t="shared" si="244"/>
        <v/>
      </c>
      <c r="AR696" s="61" t="str">
        <f t="shared" si="245"/>
        <v/>
      </c>
    </row>
    <row r="697" spans="16:44" x14ac:dyDescent="0.25">
      <c r="P697" s="73" t="str">
        <f t="shared" si="226"/>
        <v/>
      </c>
      <c r="Q697" s="73" t="str">
        <f t="shared" si="227"/>
        <v/>
      </c>
      <c r="R697" s="74" t="str">
        <f t="shared" si="228"/>
        <v/>
      </c>
      <c r="S697" s="74" t="str">
        <f t="shared" si="229"/>
        <v/>
      </c>
      <c r="U697" s="74" t="str">
        <f t="shared" si="246"/>
        <v/>
      </c>
      <c r="V697" s="74" t="str">
        <f t="shared" si="246"/>
        <v/>
      </c>
      <c r="W697" s="74" t="str">
        <f t="shared" si="246"/>
        <v/>
      </c>
      <c r="X697" s="74" t="str">
        <f t="shared" si="246"/>
        <v/>
      </c>
      <c r="Y697" s="74" t="str">
        <f t="shared" si="246"/>
        <v/>
      </c>
      <c r="Z697" s="74" t="str">
        <f t="shared" si="230"/>
        <v/>
      </c>
      <c r="AA697" s="74">
        <f t="shared" si="231"/>
        <v>0</v>
      </c>
      <c r="AB697" s="74">
        <f t="shared" si="232"/>
        <v>0</v>
      </c>
      <c r="AC697" s="74" t="str">
        <f t="shared" si="233"/>
        <v/>
      </c>
      <c r="AE697" s="74" t="str">
        <f t="shared" si="234"/>
        <v/>
      </c>
      <c r="AF697" s="74" t="str">
        <f t="shared" si="235"/>
        <v/>
      </c>
      <c r="AG697" s="74" t="str">
        <f t="shared" si="236"/>
        <v/>
      </c>
      <c r="AH697" s="74">
        <f t="shared" si="237"/>
        <v>0</v>
      </c>
      <c r="AI697" s="74" t="str">
        <f>IF(AH697&lt;&gt;0,COUNTIF(AH$3:AH697,1),"")</f>
        <v/>
      </c>
      <c r="AJ697" s="74">
        <f t="shared" si="238"/>
        <v>0</v>
      </c>
      <c r="AK697" s="73" t="str">
        <f t="shared" si="239"/>
        <v/>
      </c>
      <c r="AL697" s="73" t="str">
        <f t="shared" si="240"/>
        <v/>
      </c>
      <c r="AM697" s="73" t="str">
        <f t="shared" si="241"/>
        <v/>
      </c>
      <c r="AN697" s="73" t="str">
        <f t="shared" si="242"/>
        <v/>
      </c>
      <c r="AP697" s="61" t="str">
        <f t="shared" si="243"/>
        <v/>
      </c>
      <c r="AQ697" s="61" t="str">
        <f t="shared" si="244"/>
        <v/>
      </c>
      <c r="AR697" s="61" t="str">
        <f t="shared" si="245"/>
        <v/>
      </c>
    </row>
    <row r="698" spans="16:44" x14ac:dyDescent="0.25">
      <c r="P698" s="73" t="str">
        <f t="shared" si="226"/>
        <v/>
      </c>
      <c r="Q698" s="73" t="str">
        <f t="shared" si="227"/>
        <v/>
      </c>
      <c r="R698" s="74" t="str">
        <f t="shared" si="228"/>
        <v/>
      </c>
      <c r="S698" s="74" t="str">
        <f t="shared" si="229"/>
        <v/>
      </c>
      <c r="U698" s="74" t="str">
        <f t="shared" si="246"/>
        <v/>
      </c>
      <c r="V698" s="74" t="str">
        <f t="shared" si="246"/>
        <v/>
      </c>
      <c r="W698" s="74" t="str">
        <f t="shared" si="246"/>
        <v/>
      </c>
      <c r="X698" s="74" t="str">
        <f t="shared" si="246"/>
        <v/>
      </c>
      <c r="Y698" s="74" t="str">
        <f t="shared" si="246"/>
        <v/>
      </c>
      <c r="Z698" s="74" t="str">
        <f t="shared" si="230"/>
        <v/>
      </c>
      <c r="AA698" s="74">
        <f t="shared" si="231"/>
        <v>0</v>
      </c>
      <c r="AB698" s="74">
        <f t="shared" si="232"/>
        <v>0</v>
      </c>
      <c r="AC698" s="74" t="str">
        <f t="shared" si="233"/>
        <v/>
      </c>
      <c r="AE698" s="74" t="str">
        <f t="shared" si="234"/>
        <v/>
      </c>
      <c r="AF698" s="74" t="str">
        <f t="shared" si="235"/>
        <v/>
      </c>
      <c r="AG698" s="74" t="str">
        <f t="shared" si="236"/>
        <v/>
      </c>
      <c r="AH698" s="74">
        <f t="shared" si="237"/>
        <v>0</v>
      </c>
      <c r="AI698" s="74" t="str">
        <f>IF(AH698&lt;&gt;0,COUNTIF(AH$3:AH698,1),"")</f>
        <v/>
      </c>
      <c r="AJ698" s="74">
        <f t="shared" si="238"/>
        <v>0</v>
      </c>
      <c r="AK698" s="73" t="str">
        <f t="shared" si="239"/>
        <v/>
      </c>
      <c r="AL698" s="73" t="str">
        <f t="shared" si="240"/>
        <v/>
      </c>
      <c r="AM698" s="73" t="str">
        <f t="shared" si="241"/>
        <v/>
      </c>
      <c r="AN698" s="73" t="str">
        <f t="shared" si="242"/>
        <v/>
      </c>
      <c r="AP698" s="61" t="str">
        <f t="shared" si="243"/>
        <v/>
      </c>
      <c r="AQ698" s="61" t="str">
        <f t="shared" si="244"/>
        <v/>
      </c>
      <c r="AR698" s="61" t="str">
        <f t="shared" si="245"/>
        <v/>
      </c>
    </row>
    <row r="699" spans="16:44" x14ac:dyDescent="0.25">
      <c r="P699" s="73" t="str">
        <f t="shared" si="226"/>
        <v/>
      </c>
      <c r="Q699" s="73" t="str">
        <f t="shared" si="227"/>
        <v/>
      </c>
      <c r="R699" s="74" t="str">
        <f t="shared" si="228"/>
        <v/>
      </c>
      <c r="S699" s="74" t="str">
        <f t="shared" si="229"/>
        <v/>
      </c>
      <c r="U699" s="74" t="str">
        <f t="shared" si="246"/>
        <v/>
      </c>
      <c r="V699" s="74" t="str">
        <f t="shared" si="246"/>
        <v/>
      </c>
      <c r="W699" s="74" t="str">
        <f t="shared" si="246"/>
        <v/>
      </c>
      <c r="X699" s="74" t="str">
        <f t="shared" si="246"/>
        <v/>
      </c>
      <c r="Y699" s="74" t="str">
        <f t="shared" si="246"/>
        <v/>
      </c>
      <c r="Z699" s="74" t="str">
        <f t="shared" si="230"/>
        <v/>
      </c>
      <c r="AA699" s="74">
        <f t="shared" si="231"/>
        <v>0</v>
      </c>
      <c r="AB699" s="74">
        <f t="shared" si="232"/>
        <v>0</v>
      </c>
      <c r="AC699" s="74" t="str">
        <f t="shared" si="233"/>
        <v/>
      </c>
      <c r="AE699" s="74" t="str">
        <f t="shared" si="234"/>
        <v/>
      </c>
      <c r="AF699" s="74" t="str">
        <f t="shared" si="235"/>
        <v/>
      </c>
      <c r="AG699" s="74" t="str">
        <f t="shared" si="236"/>
        <v/>
      </c>
      <c r="AH699" s="74">
        <f t="shared" si="237"/>
        <v>0</v>
      </c>
      <c r="AI699" s="74" t="str">
        <f>IF(AH699&lt;&gt;0,COUNTIF(AH$3:AH699,1),"")</f>
        <v/>
      </c>
      <c r="AJ699" s="74">
        <f t="shared" si="238"/>
        <v>0</v>
      </c>
      <c r="AK699" s="73" t="str">
        <f t="shared" si="239"/>
        <v/>
      </c>
      <c r="AL699" s="73" t="str">
        <f t="shared" si="240"/>
        <v/>
      </c>
      <c r="AM699" s="73" t="str">
        <f t="shared" si="241"/>
        <v/>
      </c>
      <c r="AN699" s="73" t="str">
        <f t="shared" si="242"/>
        <v/>
      </c>
      <c r="AP699" s="61" t="str">
        <f t="shared" si="243"/>
        <v/>
      </c>
      <c r="AQ699" s="61" t="str">
        <f t="shared" si="244"/>
        <v/>
      </c>
      <c r="AR699" s="61" t="str">
        <f t="shared" si="245"/>
        <v/>
      </c>
    </row>
    <row r="700" spans="16:44" x14ac:dyDescent="0.25">
      <c r="P700" s="73" t="str">
        <f t="shared" si="226"/>
        <v/>
      </c>
      <c r="Q700" s="73" t="str">
        <f t="shared" si="227"/>
        <v/>
      </c>
      <c r="R700" s="74" t="str">
        <f t="shared" si="228"/>
        <v/>
      </c>
      <c r="S700" s="74" t="str">
        <f t="shared" si="229"/>
        <v/>
      </c>
      <c r="U700" s="74" t="str">
        <f t="shared" ref="U700:Y750" si="247">IF($F700=U$1,$E700,"")</f>
        <v/>
      </c>
      <c r="V700" s="74" t="str">
        <f t="shared" si="247"/>
        <v/>
      </c>
      <c r="W700" s="74" t="str">
        <f t="shared" si="247"/>
        <v/>
      </c>
      <c r="X700" s="74" t="str">
        <f t="shared" si="247"/>
        <v/>
      </c>
      <c r="Y700" s="74" t="str">
        <f t="shared" si="247"/>
        <v/>
      </c>
      <c r="Z700" s="74" t="str">
        <f t="shared" si="230"/>
        <v/>
      </c>
      <c r="AA700" s="74">
        <f t="shared" si="231"/>
        <v>0</v>
      </c>
      <c r="AB700" s="74">
        <f t="shared" si="232"/>
        <v>0</v>
      </c>
      <c r="AC700" s="74" t="str">
        <f t="shared" si="233"/>
        <v/>
      </c>
      <c r="AE700" s="74" t="str">
        <f t="shared" si="234"/>
        <v/>
      </c>
      <c r="AF700" s="74" t="str">
        <f t="shared" si="235"/>
        <v/>
      </c>
      <c r="AG700" s="74" t="str">
        <f t="shared" si="236"/>
        <v/>
      </c>
      <c r="AH700" s="74">
        <f t="shared" si="237"/>
        <v>0</v>
      </c>
      <c r="AI700" s="74" t="str">
        <f>IF(AH700&lt;&gt;0,COUNTIF(AH$3:AH700,1),"")</f>
        <v/>
      </c>
      <c r="AJ700" s="74">
        <f t="shared" si="238"/>
        <v>0</v>
      </c>
      <c r="AK700" s="73" t="str">
        <f t="shared" si="239"/>
        <v/>
      </c>
      <c r="AL700" s="73" t="str">
        <f t="shared" si="240"/>
        <v/>
      </c>
      <c r="AM700" s="73" t="str">
        <f t="shared" si="241"/>
        <v/>
      </c>
      <c r="AN700" s="73" t="str">
        <f t="shared" si="242"/>
        <v/>
      </c>
      <c r="AP700" s="61" t="str">
        <f t="shared" si="243"/>
        <v/>
      </c>
      <c r="AQ700" s="61" t="str">
        <f t="shared" si="244"/>
        <v/>
      </c>
      <c r="AR700" s="61" t="str">
        <f t="shared" si="245"/>
        <v/>
      </c>
    </row>
    <row r="701" spans="16:44" x14ac:dyDescent="0.25">
      <c r="P701" s="73" t="str">
        <f t="shared" si="226"/>
        <v/>
      </c>
      <c r="Q701" s="73" t="str">
        <f t="shared" si="227"/>
        <v/>
      </c>
      <c r="R701" s="74" t="str">
        <f t="shared" si="228"/>
        <v/>
      </c>
      <c r="S701" s="74" t="str">
        <f t="shared" si="229"/>
        <v/>
      </c>
      <c r="U701" s="74" t="str">
        <f t="shared" si="247"/>
        <v/>
      </c>
      <c r="V701" s="74" t="str">
        <f t="shared" si="247"/>
        <v/>
      </c>
      <c r="W701" s="74" t="str">
        <f t="shared" si="247"/>
        <v/>
      </c>
      <c r="X701" s="74" t="str">
        <f t="shared" si="247"/>
        <v/>
      </c>
      <c r="Y701" s="74" t="str">
        <f t="shared" si="247"/>
        <v/>
      </c>
      <c r="Z701" s="74" t="str">
        <f t="shared" si="230"/>
        <v/>
      </c>
      <c r="AA701" s="74">
        <f t="shared" si="231"/>
        <v>0</v>
      </c>
      <c r="AB701" s="74">
        <f t="shared" si="232"/>
        <v>0</v>
      </c>
      <c r="AC701" s="74" t="str">
        <f t="shared" si="233"/>
        <v/>
      </c>
      <c r="AE701" s="74" t="str">
        <f t="shared" si="234"/>
        <v/>
      </c>
      <c r="AF701" s="74" t="str">
        <f t="shared" si="235"/>
        <v/>
      </c>
      <c r="AG701" s="74" t="str">
        <f t="shared" si="236"/>
        <v/>
      </c>
      <c r="AH701" s="74">
        <f t="shared" si="237"/>
        <v>0</v>
      </c>
      <c r="AI701" s="74" t="str">
        <f>IF(AH701&lt;&gt;0,COUNTIF(AH$3:AH701,1),"")</f>
        <v/>
      </c>
      <c r="AJ701" s="74">
        <f t="shared" si="238"/>
        <v>0</v>
      </c>
      <c r="AK701" s="73" t="str">
        <f t="shared" si="239"/>
        <v/>
      </c>
      <c r="AL701" s="73" t="str">
        <f t="shared" si="240"/>
        <v/>
      </c>
      <c r="AM701" s="73" t="str">
        <f t="shared" si="241"/>
        <v/>
      </c>
      <c r="AN701" s="73" t="str">
        <f t="shared" si="242"/>
        <v/>
      </c>
      <c r="AP701" s="61" t="str">
        <f t="shared" si="243"/>
        <v/>
      </c>
      <c r="AQ701" s="61" t="str">
        <f t="shared" si="244"/>
        <v/>
      </c>
      <c r="AR701" s="61" t="str">
        <f t="shared" si="245"/>
        <v/>
      </c>
    </row>
    <row r="702" spans="16:44" x14ac:dyDescent="0.25">
      <c r="P702" s="73" t="str">
        <f t="shared" ref="P702:P765" si="248">IF(N702&lt;&gt;"",SUBSTITUTE(LEFT(N702,FIND(";",N702)),";",""),"")</f>
        <v/>
      </c>
      <c r="Q702" s="73" t="str">
        <f t="shared" ref="Q702:Q765" si="249">IF(N702&lt;&gt;"",SUBSTITUTE(RIGHT(N702,FIND(";",N702)),";",""),"")</f>
        <v/>
      </c>
      <c r="R702" s="74" t="str">
        <f t="shared" ref="R702:R765" si="250">IF(O702&lt;&gt;"",SUBSTITUTE(LEFT(O702,FIND(";",O702)),";",""),"")</f>
        <v/>
      </c>
      <c r="S702" s="74" t="str">
        <f t="shared" ref="S702:S765" si="251">IF(O702&lt;&gt;"",IFERROR(IF(FIND("OK",O702)&gt;0,TRUE),FALSE),"")</f>
        <v/>
      </c>
      <c r="U702" s="74" t="str">
        <f t="shared" si="247"/>
        <v/>
      </c>
      <c r="V702" s="74" t="str">
        <f t="shared" si="247"/>
        <v/>
      </c>
      <c r="W702" s="74" t="str">
        <f t="shared" si="247"/>
        <v/>
      </c>
      <c r="X702" s="74" t="str">
        <f t="shared" si="247"/>
        <v/>
      </c>
      <c r="Y702" s="74" t="str">
        <f t="shared" si="247"/>
        <v/>
      </c>
      <c r="Z702" s="74" t="str">
        <f t="shared" ref="Z702:Z765" si="252">IF(G702,E702,"")</f>
        <v/>
      </c>
      <c r="AA702" s="74">
        <f t="shared" ref="AA702:AA765" si="253">IF(G702=FALSE,E702,"")</f>
        <v>0</v>
      </c>
      <c r="AB702" s="74">
        <f t="shared" ref="AB702:AB765" si="254">IF(G702,1,0)</f>
        <v>0</v>
      </c>
      <c r="AC702" s="74" t="str">
        <f t="shared" ref="AC702:AC765" si="255">IF(A702&lt;&gt;"",IF(G702,0,1),"")</f>
        <v/>
      </c>
      <c r="AE702" s="74" t="str">
        <f t="shared" ref="AE702:AE765" si="256">IF(P702&lt;&gt;"",IF(AND(_xlfn.NUMBERVALUE(P702)&gt;25,_xlfn.NUMBERVALUE(P702)&lt;38),TRUE,FALSE),"")</f>
        <v/>
      </c>
      <c r="AF702" s="74" t="str">
        <f t="shared" ref="AF702:AF765" si="257">IF(Q702&lt;&gt;"",IF(AND(_xlfn.NUMBERVALUE(Q702)&gt;25,_xlfn.NUMBERVALUE(Q702)&lt;38),TRUE,FALSE),"")</f>
        <v/>
      </c>
      <c r="AG702" s="74" t="str">
        <f t="shared" ref="AG702:AG765" si="258">IF(R702&lt;&gt;"",IF(AND(_xlfn.NUMBERVALUE(R702)&gt;262,_xlfn.NUMBERVALUE(R702)&lt;307),TRUE,FALSE),"")</f>
        <v/>
      </c>
      <c r="AH702" s="74">
        <f t="shared" ref="AH702:AH765" si="259">IF(OR(AE702=FALSE,AF702=FALSE,AG702=FALSE),1,0)</f>
        <v>0</v>
      </c>
      <c r="AI702" s="74" t="str">
        <f>IF(AH702&lt;&gt;0,COUNTIF(AH$3:AH702,1),"")</f>
        <v/>
      </c>
      <c r="AJ702" s="74">
        <f t="shared" ref="AJ702:AJ765" si="260">L702</f>
        <v>0</v>
      </c>
      <c r="AK702" s="73" t="str">
        <f t="shared" ref="AK702:AK765" si="261">P702</f>
        <v/>
      </c>
      <c r="AL702" s="73" t="str">
        <f t="shared" ref="AL702:AL765" si="262">Q702</f>
        <v/>
      </c>
      <c r="AM702" s="73" t="str">
        <f t="shared" ref="AM702:AM765" si="263">R702</f>
        <v/>
      </c>
      <c r="AN702" s="73" t="str">
        <f t="shared" ref="AN702:AN765" si="264">S702</f>
        <v/>
      </c>
      <c r="AP702" s="61" t="str">
        <f t="shared" si="243"/>
        <v/>
      </c>
      <c r="AQ702" s="61" t="str">
        <f t="shared" si="244"/>
        <v/>
      </c>
      <c r="AR702" s="61" t="str">
        <f t="shared" si="245"/>
        <v/>
      </c>
    </row>
    <row r="703" spans="16:44" x14ac:dyDescent="0.25">
      <c r="P703" s="73" t="str">
        <f t="shared" si="248"/>
        <v/>
      </c>
      <c r="Q703" s="73" t="str">
        <f t="shared" si="249"/>
        <v/>
      </c>
      <c r="R703" s="74" t="str">
        <f t="shared" si="250"/>
        <v/>
      </c>
      <c r="S703" s="74" t="str">
        <f t="shared" si="251"/>
        <v/>
      </c>
      <c r="U703" s="74" t="str">
        <f t="shared" si="247"/>
        <v/>
      </c>
      <c r="V703" s="74" t="str">
        <f t="shared" si="247"/>
        <v/>
      </c>
      <c r="W703" s="74" t="str">
        <f t="shared" si="247"/>
        <v/>
      </c>
      <c r="X703" s="74" t="str">
        <f t="shared" si="247"/>
        <v/>
      </c>
      <c r="Y703" s="74" t="str">
        <f t="shared" si="247"/>
        <v/>
      </c>
      <c r="Z703" s="74" t="str">
        <f t="shared" si="252"/>
        <v/>
      </c>
      <c r="AA703" s="74">
        <f t="shared" si="253"/>
        <v>0</v>
      </c>
      <c r="AB703" s="74">
        <f t="shared" si="254"/>
        <v>0</v>
      </c>
      <c r="AC703" s="74" t="str">
        <f t="shared" si="255"/>
        <v/>
      </c>
      <c r="AE703" s="74" t="str">
        <f t="shared" si="256"/>
        <v/>
      </c>
      <c r="AF703" s="74" t="str">
        <f t="shared" si="257"/>
        <v/>
      </c>
      <c r="AG703" s="74" t="str">
        <f t="shared" si="258"/>
        <v/>
      </c>
      <c r="AH703" s="74">
        <f t="shared" si="259"/>
        <v>0</v>
      </c>
      <c r="AI703" s="74" t="str">
        <f>IF(AH703&lt;&gt;0,COUNTIF(AH$3:AH703,1),"")</f>
        <v/>
      </c>
      <c r="AJ703" s="74">
        <f t="shared" si="260"/>
        <v>0</v>
      </c>
      <c r="AK703" s="73" t="str">
        <f t="shared" si="261"/>
        <v/>
      </c>
      <c r="AL703" s="73" t="str">
        <f t="shared" si="262"/>
        <v/>
      </c>
      <c r="AM703" s="73" t="str">
        <f t="shared" si="263"/>
        <v/>
      </c>
      <c r="AN703" s="73" t="str">
        <f t="shared" si="264"/>
        <v/>
      </c>
      <c r="AP703" s="61" t="str">
        <f t="shared" si="243"/>
        <v/>
      </c>
      <c r="AQ703" s="61" t="str">
        <f t="shared" si="244"/>
        <v/>
      </c>
      <c r="AR703" s="61" t="str">
        <f t="shared" si="245"/>
        <v/>
      </c>
    </row>
    <row r="704" spans="16:44" x14ac:dyDescent="0.25">
      <c r="P704" s="73" t="str">
        <f t="shared" si="248"/>
        <v/>
      </c>
      <c r="Q704" s="73" t="str">
        <f t="shared" si="249"/>
        <v/>
      </c>
      <c r="R704" s="74" t="str">
        <f t="shared" si="250"/>
        <v/>
      </c>
      <c r="S704" s="74" t="str">
        <f t="shared" si="251"/>
        <v/>
      </c>
      <c r="U704" s="74" t="str">
        <f t="shared" si="247"/>
        <v/>
      </c>
      <c r="V704" s="74" t="str">
        <f t="shared" si="247"/>
        <v/>
      </c>
      <c r="W704" s="74" t="str">
        <f t="shared" si="247"/>
        <v/>
      </c>
      <c r="X704" s="74" t="str">
        <f t="shared" si="247"/>
        <v/>
      </c>
      <c r="Y704" s="74" t="str">
        <f t="shared" si="247"/>
        <v/>
      </c>
      <c r="Z704" s="74" t="str">
        <f t="shared" si="252"/>
        <v/>
      </c>
      <c r="AA704" s="74">
        <f t="shared" si="253"/>
        <v>0</v>
      </c>
      <c r="AB704" s="74">
        <f t="shared" si="254"/>
        <v>0</v>
      </c>
      <c r="AC704" s="74" t="str">
        <f t="shared" si="255"/>
        <v/>
      </c>
      <c r="AE704" s="74" t="str">
        <f t="shared" si="256"/>
        <v/>
      </c>
      <c r="AF704" s="74" t="str">
        <f t="shared" si="257"/>
        <v/>
      </c>
      <c r="AG704" s="74" t="str">
        <f t="shared" si="258"/>
        <v/>
      </c>
      <c r="AH704" s="74">
        <f t="shared" si="259"/>
        <v>0</v>
      </c>
      <c r="AI704" s="74" t="str">
        <f>IF(AH704&lt;&gt;0,COUNTIF(AH$3:AH704,1),"")</f>
        <v/>
      </c>
      <c r="AJ704" s="74">
        <f t="shared" si="260"/>
        <v>0</v>
      </c>
      <c r="AK704" s="73" t="str">
        <f t="shared" si="261"/>
        <v/>
      </c>
      <c r="AL704" s="73" t="str">
        <f t="shared" si="262"/>
        <v/>
      </c>
      <c r="AM704" s="73" t="str">
        <f t="shared" si="263"/>
        <v/>
      </c>
      <c r="AN704" s="73" t="str">
        <f t="shared" si="264"/>
        <v/>
      </c>
      <c r="AP704" s="61" t="str">
        <f t="shared" si="243"/>
        <v/>
      </c>
      <c r="AQ704" s="61" t="str">
        <f t="shared" si="244"/>
        <v/>
      </c>
      <c r="AR704" s="61" t="str">
        <f t="shared" si="245"/>
        <v/>
      </c>
    </row>
    <row r="705" spans="16:44" x14ac:dyDescent="0.25">
      <c r="P705" s="73" t="str">
        <f t="shared" si="248"/>
        <v/>
      </c>
      <c r="Q705" s="73" t="str">
        <f t="shared" si="249"/>
        <v/>
      </c>
      <c r="R705" s="74" t="str">
        <f t="shared" si="250"/>
        <v/>
      </c>
      <c r="S705" s="74" t="str">
        <f t="shared" si="251"/>
        <v/>
      </c>
      <c r="U705" s="74" t="str">
        <f t="shared" si="247"/>
        <v/>
      </c>
      <c r="V705" s="74" t="str">
        <f t="shared" si="247"/>
        <v/>
      </c>
      <c r="W705" s="74" t="str">
        <f t="shared" si="247"/>
        <v/>
      </c>
      <c r="X705" s="74" t="str">
        <f t="shared" si="247"/>
        <v/>
      </c>
      <c r="Y705" s="74" t="str">
        <f t="shared" si="247"/>
        <v/>
      </c>
      <c r="Z705" s="74" t="str">
        <f t="shared" si="252"/>
        <v/>
      </c>
      <c r="AA705" s="74">
        <f t="shared" si="253"/>
        <v>0</v>
      </c>
      <c r="AB705" s="74">
        <f t="shared" si="254"/>
        <v>0</v>
      </c>
      <c r="AC705" s="74" t="str">
        <f t="shared" si="255"/>
        <v/>
      </c>
      <c r="AE705" s="74" t="str">
        <f t="shared" si="256"/>
        <v/>
      </c>
      <c r="AF705" s="74" t="str">
        <f t="shared" si="257"/>
        <v/>
      </c>
      <c r="AG705" s="74" t="str">
        <f t="shared" si="258"/>
        <v/>
      </c>
      <c r="AH705" s="74">
        <f t="shared" si="259"/>
        <v>0</v>
      </c>
      <c r="AI705" s="74" t="str">
        <f>IF(AH705&lt;&gt;0,COUNTIF(AH$3:AH705,1),"")</f>
        <v/>
      </c>
      <c r="AJ705" s="74">
        <f t="shared" si="260"/>
        <v>0</v>
      </c>
      <c r="AK705" s="73" t="str">
        <f t="shared" si="261"/>
        <v/>
      </c>
      <c r="AL705" s="73" t="str">
        <f t="shared" si="262"/>
        <v/>
      </c>
      <c r="AM705" s="73" t="str">
        <f t="shared" si="263"/>
        <v/>
      </c>
      <c r="AN705" s="73" t="str">
        <f t="shared" si="264"/>
        <v/>
      </c>
      <c r="AP705" s="61" t="str">
        <f t="shared" si="243"/>
        <v/>
      </c>
      <c r="AQ705" s="61" t="str">
        <f t="shared" si="244"/>
        <v/>
      </c>
      <c r="AR705" s="61" t="str">
        <f t="shared" si="245"/>
        <v/>
      </c>
    </row>
    <row r="706" spans="16:44" x14ac:dyDescent="0.25">
      <c r="P706" s="73" t="str">
        <f t="shared" si="248"/>
        <v/>
      </c>
      <c r="Q706" s="73" t="str">
        <f t="shared" si="249"/>
        <v/>
      </c>
      <c r="R706" s="74" t="str">
        <f t="shared" si="250"/>
        <v/>
      </c>
      <c r="S706" s="74" t="str">
        <f t="shared" si="251"/>
        <v/>
      </c>
      <c r="U706" s="74" t="str">
        <f t="shared" si="247"/>
        <v/>
      </c>
      <c r="V706" s="74" t="str">
        <f t="shared" si="247"/>
        <v/>
      </c>
      <c r="W706" s="74" t="str">
        <f t="shared" si="247"/>
        <v/>
      </c>
      <c r="X706" s="74" t="str">
        <f t="shared" si="247"/>
        <v/>
      </c>
      <c r="Y706" s="74" t="str">
        <f t="shared" si="247"/>
        <v/>
      </c>
      <c r="Z706" s="74" t="str">
        <f t="shared" si="252"/>
        <v/>
      </c>
      <c r="AA706" s="74">
        <f t="shared" si="253"/>
        <v>0</v>
      </c>
      <c r="AB706" s="74">
        <f t="shared" si="254"/>
        <v>0</v>
      </c>
      <c r="AC706" s="74" t="str">
        <f t="shared" si="255"/>
        <v/>
      </c>
      <c r="AE706" s="74" t="str">
        <f t="shared" si="256"/>
        <v/>
      </c>
      <c r="AF706" s="74" t="str">
        <f t="shared" si="257"/>
        <v/>
      </c>
      <c r="AG706" s="74" t="str">
        <f t="shared" si="258"/>
        <v/>
      </c>
      <c r="AH706" s="74">
        <f t="shared" si="259"/>
        <v>0</v>
      </c>
      <c r="AI706" s="74" t="str">
        <f>IF(AH706&lt;&gt;0,COUNTIF(AH$3:AH706,1),"")</f>
        <v/>
      </c>
      <c r="AJ706" s="74">
        <f t="shared" si="260"/>
        <v>0</v>
      </c>
      <c r="AK706" s="73" t="str">
        <f t="shared" si="261"/>
        <v/>
      </c>
      <c r="AL706" s="73" t="str">
        <f t="shared" si="262"/>
        <v/>
      </c>
      <c r="AM706" s="73" t="str">
        <f t="shared" si="263"/>
        <v/>
      </c>
      <c r="AN706" s="73" t="str">
        <f t="shared" si="264"/>
        <v/>
      </c>
      <c r="AP706" s="61" t="str">
        <f t="shared" si="243"/>
        <v/>
      </c>
      <c r="AQ706" s="61" t="str">
        <f t="shared" si="244"/>
        <v/>
      </c>
      <c r="AR706" s="61" t="str">
        <f t="shared" si="245"/>
        <v/>
      </c>
    </row>
    <row r="707" spans="16:44" x14ac:dyDescent="0.25">
      <c r="P707" s="73" t="str">
        <f t="shared" si="248"/>
        <v/>
      </c>
      <c r="Q707" s="73" t="str">
        <f t="shared" si="249"/>
        <v/>
      </c>
      <c r="R707" s="74" t="str">
        <f t="shared" si="250"/>
        <v/>
      </c>
      <c r="S707" s="74" t="str">
        <f t="shared" si="251"/>
        <v/>
      </c>
      <c r="U707" s="74" t="str">
        <f t="shared" si="247"/>
        <v/>
      </c>
      <c r="V707" s="74" t="str">
        <f t="shared" si="247"/>
        <v/>
      </c>
      <c r="W707" s="74" t="str">
        <f t="shared" si="247"/>
        <v/>
      </c>
      <c r="X707" s="74" t="str">
        <f t="shared" si="247"/>
        <v/>
      </c>
      <c r="Y707" s="74" t="str">
        <f t="shared" si="247"/>
        <v/>
      </c>
      <c r="Z707" s="74" t="str">
        <f t="shared" si="252"/>
        <v/>
      </c>
      <c r="AA707" s="74">
        <f t="shared" si="253"/>
        <v>0</v>
      </c>
      <c r="AB707" s="74">
        <f t="shared" si="254"/>
        <v>0</v>
      </c>
      <c r="AC707" s="74" t="str">
        <f t="shared" si="255"/>
        <v/>
      </c>
      <c r="AE707" s="74" t="str">
        <f t="shared" si="256"/>
        <v/>
      </c>
      <c r="AF707" s="74" t="str">
        <f t="shared" si="257"/>
        <v/>
      </c>
      <c r="AG707" s="74" t="str">
        <f t="shared" si="258"/>
        <v/>
      </c>
      <c r="AH707" s="74">
        <f t="shared" si="259"/>
        <v>0</v>
      </c>
      <c r="AI707" s="74" t="str">
        <f>IF(AH707&lt;&gt;0,COUNTIF(AH$3:AH707,1),"")</f>
        <v/>
      </c>
      <c r="AJ707" s="74">
        <f t="shared" si="260"/>
        <v>0</v>
      </c>
      <c r="AK707" s="73" t="str">
        <f t="shared" si="261"/>
        <v/>
      </c>
      <c r="AL707" s="73" t="str">
        <f t="shared" si="262"/>
        <v/>
      </c>
      <c r="AM707" s="73" t="str">
        <f t="shared" si="263"/>
        <v/>
      </c>
      <c r="AN707" s="73" t="str">
        <f t="shared" si="264"/>
        <v/>
      </c>
      <c r="AP707" s="61" t="str">
        <f t="shared" si="243"/>
        <v/>
      </c>
      <c r="AQ707" s="61" t="str">
        <f t="shared" si="244"/>
        <v/>
      </c>
      <c r="AR707" s="61" t="str">
        <f t="shared" si="245"/>
        <v/>
      </c>
    </row>
    <row r="708" spans="16:44" x14ac:dyDescent="0.25">
      <c r="P708" s="73" t="str">
        <f t="shared" si="248"/>
        <v/>
      </c>
      <c r="Q708" s="73" t="str">
        <f t="shared" si="249"/>
        <v/>
      </c>
      <c r="R708" s="74" t="str">
        <f t="shared" si="250"/>
        <v/>
      </c>
      <c r="S708" s="74" t="str">
        <f t="shared" si="251"/>
        <v/>
      </c>
      <c r="U708" s="74" t="str">
        <f t="shared" si="247"/>
        <v/>
      </c>
      <c r="V708" s="74" t="str">
        <f t="shared" si="247"/>
        <v/>
      </c>
      <c r="W708" s="74" t="str">
        <f t="shared" si="247"/>
        <v/>
      </c>
      <c r="X708" s="74" t="str">
        <f t="shared" si="247"/>
        <v/>
      </c>
      <c r="Y708" s="74" t="str">
        <f t="shared" si="247"/>
        <v/>
      </c>
      <c r="Z708" s="74" t="str">
        <f t="shared" si="252"/>
        <v/>
      </c>
      <c r="AA708" s="74">
        <f t="shared" si="253"/>
        <v>0</v>
      </c>
      <c r="AB708" s="74">
        <f t="shared" si="254"/>
        <v>0</v>
      </c>
      <c r="AC708" s="74" t="str">
        <f t="shared" si="255"/>
        <v/>
      </c>
      <c r="AE708" s="74" t="str">
        <f t="shared" si="256"/>
        <v/>
      </c>
      <c r="AF708" s="74" t="str">
        <f t="shared" si="257"/>
        <v/>
      </c>
      <c r="AG708" s="74" t="str">
        <f t="shared" si="258"/>
        <v/>
      </c>
      <c r="AH708" s="74">
        <f t="shared" si="259"/>
        <v>0</v>
      </c>
      <c r="AI708" s="74" t="str">
        <f>IF(AH708&lt;&gt;0,COUNTIF(AH$3:AH708,1),"")</f>
        <v/>
      </c>
      <c r="AJ708" s="74">
        <f t="shared" si="260"/>
        <v>0</v>
      </c>
      <c r="AK708" s="73" t="str">
        <f t="shared" si="261"/>
        <v/>
      </c>
      <c r="AL708" s="73" t="str">
        <f t="shared" si="262"/>
        <v/>
      </c>
      <c r="AM708" s="73" t="str">
        <f t="shared" si="263"/>
        <v/>
      </c>
      <c r="AN708" s="73" t="str">
        <f t="shared" si="264"/>
        <v/>
      </c>
      <c r="AP708" s="61" t="str">
        <f t="shared" ref="AP708:AP771" si="265">IF(P708&lt;&gt;"",_xlfn.NUMBERVALUE(P708),"")</f>
        <v/>
      </c>
      <c r="AQ708" s="61" t="str">
        <f t="shared" ref="AQ708:AQ771" si="266">IF(Q708&lt;&gt;"",_xlfn.NUMBERVALUE(Q708),"")</f>
        <v/>
      </c>
      <c r="AR708" s="61" t="str">
        <f t="shared" ref="AR708:AR771" si="267">IF(R708&lt;&gt;"",_xlfn.NUMBERVALUE(R708),"")</f>
        <v/>
      </c>
    </row>
    <row r="709" spans="16:44" x14ac:dyDescent="0.25">
      <c r="P709" s="73" t="str">
        <f t="shared" si="248"/>
        <v/>
      </c>
      <c r="Q709" s="73" t="str">
        <f t="shared" si="249"/>
        <v/>
      </c>
      <c r="R709" s="74" t="str">
        <f t="shared" si="250"/>
        <v/>
      </c>
      <c r="S709" s="74" t="str">
        <f t="shared" si="251"/>
        <v/>
      </c>
      <c r="U709" s="74" t="str">
        <f t="shared" si="247"/>
        <v/>
      </c>
      <c r="V709" s="74" t="str">
        <f t="shared" si="247"/>
        <v/>
      </c>
      <c r="W709" s="74" t="str">
        <f t="shared" si="247"/>
        <v/>
      </c>
      <c r="X709" s="74" t="str">
        <f t="shared" si="247"/>
        <v/>
      </c>
      <c r="Y709" s="74" t="str">
        <f t="shared" si="247"/>
        <v/>
      </c>
      <c r="Z709" s="74" t="str">
        <f t="shared" si="252"/>
        <v/>
      </c>
      <c r="AA709" s="74">
        <f t="shared" si="253"/>
        <v>0</v>
      </c>
      <c r="AB709" s="74">
        <f t="shared" si="254"/>
        <v>0</v>
      </c>
      <c r="AC709" s="74" t="str">
        <f t="shared" si="255"/>
        <v/>
      </c>
      <c r="AE709" s="74" t="str">
        <f t="shared" si="256"/>
        <v/>
      </c>
      <c r="AF709" s="74" t="str">
        <f t="shared" si="257"/>
        <v/>
      </c>
      <c r="AG709" s="74" t="str">
        <f t="shared" si="258"/>
        <v/>
      </c>
      <c r="AH709" s="74">
        <f t="shared" si="259"/>
        <v>0</v>
      </c>
      <c r="AI709" s="74" t="str">
        <f>IF(AH709&lt;&gt;0,COUNTIF(AH$3:AH709,1),"")</f>
        <v/>
      </c>
      <c r="AJ709" s="74">
        <f t="shared" si="260"/>
        <v>0</v>
      </c>
      <c r="AK709" s="73" t="str">
        <f t="shared" si="261"/>
        <v/>
      </c>
      <c r="AL709" s="73" t="str">
        <f t="shared" si="262"/>
        <v/>
      </c>
      <c r="AM709" s="73" t="str">
        <f t="shared" si="263"/>
        <v/>
      </c>
      <c r="AN709" s="73" t="str">
        <f t="shared" si="264"/>
        <v/>
      </c>
      <c r="AP709" s="61" t="str">
        <f t="shared" si="265"/>
        <v/>
      </c>
      <c r="AQ709" s="61" t="str">
        <f t="shared" si="266"/>
        <v/>
      </c>
      <c r="AR709" s="61" t="str">
        <f t="shared" si="267"/>
        <v/>
      </c>
    </row>
    <row r="710" spans="16:44" x14ac:dyDescent="0.25">
      <c r="P710" s="73" t="str">
        <f t="shared" si="248"/>
        <v/>
      </c>
      <c r="Q710" s="73" t="str">
        <f t="shared" si="249"/>
        <v/>
      </c>
      <c r="R710" s="74" t="str">
        <f t="shared" si="250"/>
        <v/>
      </c>
      <c r="S710" s="74" t="str">
        <f t="shared" si="251"/>
        <v/>
      </c>
      <c r="U710" s="74" t="str">
        <f t="shared" si="247"/>
        <v/>
      </c>
      <c r="V710" s="74" t="str">
        <f t="shared" si="247"/>
        <v/>
      </c>
      <c r="W710" s="74" t="str">
        <f t="shared" si="247"/>
        <v/>
      </c>
      <c r="X710" s="74" t="str">
        <f t="shared" si="247"/>
        <v/>
      </c>
      <c r="Y710" s="74" t="str">
        <f t="shared" si="247"/>
        <v/>
      </c>
      <c r="Z710" s="74" t="str">
        <f t="shared" si="252"/>
        <v/>
      </c>
      <c r="AA710" s="74">
        <f t="shared" si="253"/>
        <v>0</v>
      </c>
      <c r="AB710" s="74">
        <f t="shared" si="254"/>
        <v>0</v>
      </c>
      <c r="AC710" s="74" t="str">
        <f t="shared" si="255"/>
        <v/>
      </c>
      <c r="AE710" s="74" t="str">
        <f t="shared" si="256"/>
        <v/>
      </c>
      <c r="AF710" s="74" t="str">
        <f t="shared" si="257"/>
        <v/>
      </c>
      <c r="AG710" s="74" t="str">
        <f t="shared" si="258"/>
        <v/>
      </c>
      <c r="AH710" s="74">
        <f t="shared" si="259"/>
        <v>0</v>
      </c>
      <c r="AI710" s="74" t="str">
        <f>IF(AH710&lt;&gt;0,COUNTIF(AH$3:AH710,1),"")</f>
        <v/>
      </c>
      <c r="AJ710" s="74">
        <f t="shared" si="260"/>
        <v>0</v>
      </c>
      <c r="AK710" s="73" t="str">
        <f t="shared" si="261"/>
        <v/>
      </c>
      <c r="AL710" s="73" t="str">
        <f t="shared" si="262"/>
        <v/>
      </c>
      <c r="AM710" s="73" t="str">
        <f t="shared" si="263"/>
        <v/>
      </c>
      <c r="AN710" s="73" t="str">
        <f t="shared" si="264"/>
        <v/>
      </c>
      <c r="AP710" s="61" t="str">
        <f t="shared" si="265"/>
        <v/>
      </c>
      <c r="AQ710" s="61" t="str">
        <f t="shared" si="266"/>
        <v/>
      </c>
      <c r="AR710" s="61" t="str">
        <f t="shared" si="267"/>
        <v/>
      </c>
    </row>
    <row r="711" spans="16:44" x14ac:dyDescent="0.25">
      <c r="P711" s="73" t="str">
        <f t="shared" si="248"/>
        <v/>
      </c>
      <c r="Q711" s="73" t="str">
        <f t="shared" si="249"/>
        <v/>
      </c>
      <c r="R711" s="74" t="str">
        <f t="shared" si="250"/>
        <v/>
      </c>
      <c r="S711" s="74" t="str">
        <f t="shared" si="251"/>
        <v/>
      </c>
      <c r="U711" s="74" t="str">
        <f t="shared" si="247"/>
        <v/>
      </c>
      <c r="V711" s="74" t="str">
        <f t="shared" si="247"/>
        <v/>
      </c>
      <c r="W711" s="74" t="str">
        <f t="shared" si="247"/>
        <v/>
      </c>
      <c r="X711" s="74" t="str">
        <f t="shared" si="247"/>
        <v/>
      </c>
      <c r="Y711" s="74" t="str">
        <f t="shared" si="247"/>
        <v/>
      </c>
      <c r="Z711" s="74" t="str">
        <f t="shared" si="252"/>
        <v/>
      </c>
      <c r="AA711" s="74">
        <f t="shared" si="253"/>
        <v>0</v>
      </c>
      <c r="AB711" s="74">
        <f t="shared" si="254"/>
        <v>0</v>
      </c>
      <c r="AC711" s="74" t="str">
        <f t="shared" si="255"/>
        <v/>
      </c>
      <c r="AE711" s="74" t="str">
        <f t="shared" si="256"/>
        <v/>
      </c>
      <c r="AF711" s="74" t="str">
        <f t="shared" si="257"/>
        <v/>
      </c>
      <c r="AG711" s="74" t="str">
        <f t="shared" si="258"/>
        <v/>
      </c>
      <c r="AH711" s="74">
        <f t="shared" si="259"/>
        <v>0</v>
      </c>
      <c r="AI711" s="74" t="str">
        <f>IF(AH711&lt;&gt;0,COUNTIF(AH$3:AH711,1),"")</f>
        <v/>
      </c>
      <c r="AJ711" s="74">
        <f t="shared" si="260"/>
        <v>0</v>
      </c>
      <c r="AK711" s="73" t="str">
        <f t="shared" si="261"/>
        <v/>
      </c>
      <c r="AL711" s="73" t="str">
        <f t="shared" si="262"/>
        <v/>
      </c>
      <c r="AM711" s="73" t="str">
        <f t="shared" si="263"/>
        <v/>
      </c>
      <c r="AN711" s="73" t="str">
        <f t="shared" si="264"/>
        <v/>
      </c>
      <c r="AP711" s="61" t="str">
        <f t="shared" si="265"/>
        <v/>
      </c>
      <c r="AQ711" s="61" t="str">
        <f t="shared" si="266"/>
        <v/>
      </c>
      <c r="AR711" s="61" t="str">
        <f t="shared" si="267"/>
        <v/>
      </c>
    </row>
    <row r="712" spans="16:44" x14ac:dyDescent="0.25">
      <c r="P712" s="73" t="str">
        <f t="shared" si="248"/>
        <v/>
      </c>
      <c r="Q712" s="73" t="str">
        <f t="shared" si="249"/>
        <v/>
      </c>
      <c r="R712" s="74" t="str">
        <f t="shared" si="250"/>
        <v/>
      </c>
      <c r="S712" s="74" t="str">
        <f t="shared" si="251"/>
        <v/>
      </c>
      <c r="U712" s="74" t="str">
        <f t="shared" si="247"/>
        <v/>
      </c>
      <c r="V712" s="74" t="str">
        <f t="shared" si="247"/>
        <v/>
      </c>
      <c r="W712" s="74" t="str">
        <f t="shared" si="247"/>
        <v/>
      </c>
      <c r="X712" s="74" t="str">
        <f t="shared" si="247"/>
        <v/>
      </c>
      <c r="Y712" s="74" t="str">
        <f t="shared" si="247"/>
        <v/>
      </c>
      <c r="Z712" s="74" t="str">
        <f t="shared" si="252"/>
        <v/>
      </c>
      <c r="AA712" s="74">
        <f t="shared" si="253"/>
        <v>0</v>
      </c>
      <c r="AB712" s="74">
        <f t="shared" si="254"/>
        <v>0</v>
      </c>
      <c r="AC712" s="74" t="str">
        <f t="shared" si="255"/>
        <v/>
      </c>
      <c r="AE712" s="74" t="str">
        <f t="shared" si="256"/>
        <v/>
      </c>
      <c r="AF712" s="74" t="str">
        <f t="shared" si="257"/>
        <v/>
      </c>
      <c r="AG712" s="74" t="str">
        <f t="shared" si="258"/>
        <v/>
      </c>
      <c r="AH712" s="74">
        <f t="shared" si="259"/>
        <v>0</v>
      </c>
      <c r="AI712" s="74" t="str">
        <f>IF(AH712&lt;&gt;0,COUNTIF(AH$3:AH712,1),"")</f>
        <v/>
      </c>
      <c r="AJ712" s="74">
        <f t="shared" si="260"/>
        <v>0</v>
      </c>
      <c r="AK712" s="73" t="str">
        <f t="shared" si="261"/>
        <v/>
      </c>
      <c r="AL712" s="73" t="str">
        <f t="shared" si="262"/>
        <v/>
      </c>
      <c r="AM712" s="73" t="str">
        <f t="shared" si="263"/>
        <v/>
      </c>
      <c r="AN712" s="73" t="str">
        <f t="shared" si="264"/>
        <v/>
      </c>
      <c r="AP712" s="61" t="str">
        <f t="shared" si="265"/>
        <v/>
      </c>
      <c r="AQ712" s="61" t="str">
        <f t="shared" si="266"/>
        <v/>
      </c>
      <c r="AR712" s="61" t="str">
        <f t="shared" si="267"/>
        <v/>
      </c>
    </row>
    <row r="713" spans="16:44" x14ac:dyDescent="0.25">
      <c r="P713" s="73" t="str">
        <f t="shared" si="248"/>
        <v/>
      </c>
      <c r="Q713" s="73" t="str">
        <f t="shared" si="249"/>
        <v/>
      </c>
      <c r="R713" s="74" t="str">
        <f t="shared" si="250"/>
        <v/>
      </c>
      <c r="S713" s="74" t="str">
        <f t="shared" si="251"/>
        <v/>
      </c>
      <c r="U713" s="74" t="str">
        <f t="shared" si="247"/>
        <v/>
      </c>
      <c r="V713" s="74" t="str">
        <f t="shared" si="247"/>
        <v/>
      </c>
      <c r="W713" s="74" t="str">
        <f t="shared" si="247"/>
        <v/>
      </c>
      <c r="X713" s="74" t="str">
        <f t="shared" si="247"/>
        <v/>
      </c>
      <c r="Y713" s="74" t="str">
        <f t="shared" si="247"/>
        <v/>
      </c>
      <c r="Z713" s="74" t="str">
        <f t="shared" si="252"/>
        <v/>
      </c>
      <c r="AA713" s="74">
        <f t="shared" si="253"/>
        <v>0</v>
      </c>
      <c r="AB713" s="74">
        <f t="shared" si="254"/>
        <v>0</v>
      </c>
      <c r="AC713" s="74" t="str">
        <f t="shared" si="255"/>
        <v/>
      </c>
      <c r="AE713" s="74" t="str">
        <f t="shared" si="256"/>
        <v/>
      </c>
      <c r="AF713" s="74" t="str">
        <f t="shared" si="257"/>
        <v/>
      </c>
      <c r="AG713" s="74" t="str">
        <f t="shared" si="258"/>
        <v/>
      </c>
      <c r="AH713" s="74">
        <f t="shared" si="259"/>
        <v>0</v>
      </c>
      <c r="AI713" s="74" t="str">
        <f>IF(AH713&lt;&gt;0,COUNTIF(AH$3:AH713,1),"")</f>
        <v/>
      </c>
      <c r="AJ713" s="74">
        <f t="shared" si="260"/>
        <v>0</v>
      </c>
      <c r="AK713" s="73" t="str">
        <f t="shared" si="261"/>
        <v/>
      </c>
      <c r="AL713" s="73" t="str">
        <f t="shared" si="262"/>
        <v/>
      </c>
      <c r="AM713" s="73" t="str">
        <f t="shared" si="263"/>
        <v/>
      </c>
      <c r="AN713" s="73" t="str">
        <f t="shared" si="264"/>
        <v/>
      </c>
      <c r="AP713" s="61" t="str">
        <f t="shared" si="265"/>
        <v/>
      </c>
      <c r="AQ713" s="61" t="str">
        <f t="shared" si="266"/>
        <v/>
      </c>
      <c r="AR713" s="61" t="str">
        <f t="shared" si="267"/>
        <v/>
      </c>
    </row>
    <row r="714" spans="16:44" x14ac:dyDescent="0.25">
      <c r="P714" s="73" t="str">
        <f t="shared" si="248"/>
        <v/>
      </c>
      <c r="Q714" s="73" t="str">
        <f t="shared" si="249"/>
        <v/>
      </c>
      <c r="R714" s="74" t="str">
        <f t="shared" si="250"/>
        <v/>
      </c>
      <c r="S714" s="74" t="str">
        <f t="shared" si="251"/>
        <v/>
      </c>
      <c r="U714" s="74" t="str">
        <f t="shared" si="247"/>
        <v/>
      </c>
      <c r="V714" s="74" t="str">
        <f t="shared" si="247"/>
        <v/>
      </c>
      <c r="W714" s="74" t="str">
        <f t="shared" si="247"/>
        <v/>
      </c>
      <c r="X714" s="74" t="str">
        <f t="shared" si="247"/>
        <v/>
      </c>
      <c r="Y714" s="74" t="str">
        <f t="shared" si="247"/>
        <v/>
      </c>
      <c r="Z714" s="74" t="str">
        <f t="shared" si="252"/>
        <v/>
      </c>
      <c r="AA714" s="74">
        <f t="shared" si="253"/>
        <v>0</v>
      </c>
      <c r="AB714" s="74">
        <f t="shared" si="254"/>
        <v>0</v>
      </c>
      <c r="AC714" s="74" t="str">
        <f t="shared" si="255"/>
        <v/>
      </c>
      <c r="AE714" s="74" t="str">
        <f t="shared" si="256"/>
        <v/>
      </c>
      <c r="AF714" s="74" t="str">
        <f t="shared" si="257"/>
        <v/>
      </c>
      <c r="AG714" s="74" t="str">
        <f t="shared" si="258"/>
        <v/>
      </c>
      <c r="AH714" s="74">
        <f t="shared" si="259"/>
        <v>0</v>
      </c>
      <c r="AI714" s="74" t="str">
        <f>IF(AH714&lt;&gt;0,COUNTIF(AH$3:AH714,1),"")</f>
        <v/>
      </c>
      <c r="AJ714" s="74">
        <f t="shared" si="260"/>
        <v>0</v>
      </c>
      <c r="AK714" s="73" t="str">
        <f t="shared" si="261"/>
        <v/>
      </c>
      <c r="AL714" s="73" t="str">
        <f t="shared" si="262"/>
        <v/>
      </c>
      <c r="AM714" s="73" t="str">
        <f t="shared" si="263"/>
        <v/>
      </c>
      <c r="AN714" s="73" t="str">
        <f t="shared" si="264"/>
        <v/>
      </c>
      <c r="AP714" s="61" t="str">
        <f t="shared" si="265"/>
        <v/>
      </c>
      <c r="AQ714" s="61" t="str">
        <f t="shared" si="266"/>
        <v/>
      </c>
      <c r="AR714" s="61" t="str">
        <f t="shared" si="267"/>
        <v/>
      </c>
    </row>
    <row r="715" spans="16:44" x14ac:dyDescent="0.25">
      <c r="P715" s="73" t="str">
        <f t="shared" si="248"/>
        <v/>
      </c>
      <c r="Q715" s="73" t="str">
        <f t="shared" si="249"/>
        <v/>
      </c>
      <c r="R715" s="74" t="str">
        <f t="shared" si="250"/>
        <v/>
      </c>
      <c r="S715" s="74" t="str">
        <f t="shared" si="251"/>
        <v/>
      </c>
      <c r="U715" s="74" t="str">
        <f t="shared" si="247"/>
        <v/>
      </c>
      <c r="V715" s="74" t="str">
        <f t="shared" si="247"/>
        <v/>
      </c>
      <c r="W715" s="74" t="str">
        <f t="shared" si="247"/>
        <v/>
      </c>
      <c r="X715" s="74" t="str">
        <f t="shared" si="247"/>
        <v/>
      </c>
      <c r="Y715" s="74" t="str">
        <f t="shared" si="247"/>
        <v/>
      </c>
      <c r="Z715" s="74" t="str">
        <f t="shared" si="252"/>
        <v/>
      </c>
      <c r="AA715" s="74">
        <f t="shared" si="253"/>
        <v>0</v>
      </c>
      <c r="AB715" s="74">
        <f t="shared" si="254"/>
        <v>0</v>
      </c>
      <c r="AC715" s="74" t="str">
        <f t="shared" si="255"/>
        <v/>
      </c>
      <c r="AE715" s="74" t="str">
        <f t="shared" si="256"/>
        <v/>
      </c>
      <c r="AF715" s="74" t="str">
        <f t="shared" si="257"/>
        <v/>
      </c>
      <c r="AG715" s="74" t="str">
        <f t="shared" si="258"/>
        <v/>
      </c>
      <c r="AH715" s="74">
        <f t="shared" si="259"/>
        <v>0</v>
      </c>
      <c r="AI715" s="74" t="str">
        <f>IF(AH715&lt;&gt;0,COUNTIF(AH$3:AH715,1),"")</f>
        <v/>
      </c>
      <c r="AJ715" s="74">
        <f t="shared" si="260"/>
        <v>0</v>
      </c>
      <c r="AK715" s="73" t="str">
        <f t="shared" si="261"/>
        <v/>
      </c>
      <c r="AL715" s="73" t="str">
        <f t="shared" si="262"/>
        <v/>
      </c>
      <c r="AM715" s="73" t="str">
        <f t="shared" si="263"/>
        <v/>
      </c>
      <c r="AN715" s="73" t="str">
        <f t="shared" si="264"/>
        <v/>
      </c>
      <c r="AP715" s="61" t="str">
        <f t="shared" si="265"/>
        <v/>
      </c>
      <c r="AQ715" s="61" t="str">
        <f t="shared" si="266"/>
        <v/>
      </c>
      <c r="AR715" s="61" t="str">
        <f t="shared" si="267"/>
        <v/>
      </c>
    </row>
    <row r="716" spans="16:44" x14ac:dyDescent="0.25">
      <c r="P716" s="73" t="str">
        <f t="shared" si="248"/>
        <v/>
      </c>
      <c r="Q716" s="73" t="str">
        <f t="shared" si="249"/>
        <v/>
      </c>
      <c r="R716" s="74" t="str">
        <f t="shared" si="250"/>
        <v/>
      </c>
      <c r="S716" s="74" t="str">
        <f t="shared" si="251"/>
        <v/>
      </c>
      <c r="U716" s="74" t="str">
        <f t="shared" si="247"/>
        <v/>
      </c>
      <c r="V716" s="74" t="str">
        <f t="shared" si="247"/>
        <v/>
      </c>
      <c r="W716" s="74" t="str">
        <f t="shared" si="247"/>
        <v/>
      </c>
      <c r="X716" s="74" t="str">
        <f t="shared" si="247"/>
        <v/>
      </c>
      <c r="Y716" s="74" t="str">
        <f t="shared" si="247"/>
        <v/>
      </c>
      <c r="Z716" s="74" t="str">
        <f t="shared" si="252"/>
        <v/>
      </c>
      <c r="AA716" s="74">
        <f t="shared" si="253"/>
        <v>0</v>
      </c>
      <c r="AB716" s="74">
        <f t="shared" si="254"/>
        <v>0</v>
      </c>
      <c r="AC716" s="74" t="str">
        <f t="shared" si="255"/>
        <v/>
      </c>
      <c r="AE716" s="74" t="str">
        <f t="shared" si="256"/>
        <v/>
      </c>
      <c r="AF716" s="74" t="str">
        <f t="shared" si="257"/>
        <v/>
      </c>
      <c r="AG716" s="74" t="str">
        <f t="shared" si="258"/>
        <v/>
      </c>
      <c r="AH716" s="74">
        <f t="shared" si="259"/>
        <v>0</v>
      </c>
      <c r="AI716" s="74" t="str">
        <f>IF(AH716&lt;&gt;0,COUNTIF(AH$3:AH716,1),"")</f>
        <v/>
      </c>
      <c r="AJ716" s="74">
        <f t="shared" si="260"/>
        <v>0</v>
      </c>
      <c r="AK716" s="73" t="str">
        <f t="shared" si="261"/>
        <v/>
      </c>
      <c r="AL716" s="73" t="str">
        <f t="shared" si="262"/>
        <v/>
      </c>
      <c r="AM716" s="73" t="str">
        <f t="shared" si="263"/>
        <v/>
      </c>
      <c r="AN716" s="73" t="str">
        <f t="shared" si="264"/>
        <v/>
      </c>
      <c r="AP716" s="61" t="str">
        <f t="shared" si="265"/>
        <v/>
      </c>
      <c r="AQ716" s="61" t="str">
        <f t="shared" si="266"/>
        <v/>
      </c>
      <c r="AR716" s="61" t="str">
        <f t="shared" si="267"/>
        <v/>
      </c>
    </row>
    <row r="717" spans="16:44" x14ac:dyDescent="0.25">
      <c r="P717" s="73" t="str">
        <f t="shared" si="248"/>
        <v/>
      </c>
      <c r="Q717" s="73" t="str">
        <f t="shared" si="249"/>
        <v/>
      </c>
      <c r="R717" s="74" t="str">
        <f t="shared" si="250"/>
        <v/>
      </c>
      <c r="S717" s="74" t="str">
        <f t="shared" si="251"/>
        <v/>
      </c>
      <c r="U717" s="74" t="str">
        <f t="shared" si="247"/>
        <v/>
      </c>
      <c r="V717" s="74" t="str">
        <f t="shared" si="247"/>
        <v/>
      </c>
      <c r="W717" s="74" t="str">
        <f t="shared" si="247"/>
        <v/>
      </c>
      <c r="X717" s="74" t="str">
        <f t="shared" si="247"/>
        <v/>
      </c>
      <c r="Y717" s="74" t="str">
        <f t="shared" si="247"/>
        <v/>
      </c>
      <c r="Z717" s="74" t="str">
        <f t="shared" si="252"/>
        <v/>
      </c>
      <c r="AA717" s="74">
        <f t="shared" si="253"/>
        <v>0</v>
      </c>
      <c r="AB717" s="74">
        <f t="shared" si="254"/>
        <v>0</v>
      </c>
      <c r="AC717" s="74" t="str">
        <f t="shared" si="255"/>
        <v/>
      </c>
      <c r="AE717" s="74" t="str">
        <f t="shared" si="256"/>
        <v/>
      </c>
      <c r="AF717" s="74" t="str">
        <f t="shared" si="257"/>
        <v/>
      </c>
      <c r="AG717" s="74" t="str">
        <f t="shared" si="258"/>
        <v/>
      </c>
      <c r="AH717" s="74">
        <f t="shared" si="259"/>
        <v>0</v>
      </c>
      <c r="AI717" s="74" t="str">
        <f>IF(AH717&lt;&gt;0,COUNTIF(AH$3:AH717,1),"")</f>
        <v/>
      </c>
      <c r="AJ717" s="74">
        <f t="shared" si="260"/>
        <v>0</v>
      </c>
      <c r="AK717" s="73" t="str">
        <f t="shared" si="261"/>
        <v/>
      </c>
      <c r="AL717" s="73" t="str">
        <f t="shared" si="262"/>
        <v/>
      </c>
      <c r="AM717" s="73" t="str">
        <f t="shared" si="263"/>
        <v/>
      </c>
      <c r="AN717" s="73" t="str">
        <f t="shared" si="264"/>
        <v/>
      </c>
      <c r="AP717" s="61" t="str">
        <f t="shared" si="265"/>
        <v/>
      </c>
      <c r="AQ717" s="61" t="str">
        <f t="shared" si="266"/>
        <v/>
      </c>
      <c r="AR717" s="61" t="str">
        <f t="shared" si="267"/>
        <v/>
      </c>
    </row>
    <row r="718" spans="16:44" x14ac:dyDescent="0.25">
      <c r="P718" s="73" t="str">
        <f t="shared" si="248"/>
        <v/>
      </c>
      <c r="Q718" s="73" t="str">
        <f t="shared" si="249"/>
        <v/>
      </c>
      <c r="R718" s="74" t="str">
        <f t="shared" si="250"/>
        <v/>
      </c>
      <c r="S718" s="74" t="str">
        <f t="shared" si="251"/>
        <v/>
      </c>
      <c r="U718" s="74" t="str">
        <f t="shared" si="247"/>
        <v/>
      </c>
      <c r="V718" s="74" t="str">
        <f t="shared" si="247"/>
        <v/>
      </c>
      <c r="W718" s="74" t="str">
        <f t="shared" si="247"/>
        <v/>
      </c>
      <c r="X718" s="74" t="str">
        <f t="shared" si="247"/>
        <v/>
      </c>
      <c r="Y718" s="74" t="str">
        <f t="shared" si="247"/>
        <v/>
      </c>
      <c r="Z718" s="74" t="str">
        <f t="shared" si="252"/>
        <v/>
      </c>
      <c r="AA718" s="74">
        <f t="shared" si="253"/>
        <v>0</v>
      </c>
      <c r="AB718" s="74">
        <f t="shared" si="254"/>
        <v>0</v>
      </c>
      <c r="AC718" s="74" t="str">
        <f t="shared" si="255"/>
        <v/>
      </c>
      <c r="AE718" s="74" t="str">
        <f t="shared" si="256"/>
        <v/>
      </c>
      <c r="AF718" s="74" t="str">
        <f t="shared" si="257"/>
        <v/>
      </c>
      <c r="AG718" s="74" t="str">
        <f t="shared" si="258"/>
        <v/>
      </c>
      <c r="AH718" s="74">
        <f t="shared" si="259"/>
        <v>0</v>
      </c>
      <c r="AI718" s="74" t="str">
        <f>IF(AH718&lt;&gt;0,COUNTIF(AH$3:AH718,1),"")</f>
        <v/>
      </c>
      <c r="AJ718" s="74">
        <f t="shared" si="260"/>
        <v>0</v>
      </c>
      <c r="AK718" s="73" t="str">
        <f t="shared" si="261"/>
        <v/>
      </c>
      <c r="AL718" s="73" t="str">
        <f t="shared" si="262"/>
        <v/>
      </c>
      <c r="AM718" s="73" t="str">
        <f t="shared" si="263"/>
        <v/>
      </c>
      <c r="AN718" s="73" t="str">
        <f t="shared" si="264"/>
        <v/>
      </c>
      <c r="AP718" s="61" t="str">
        <f t="shared" si="265"/>
        <v/>
      </c>
      <c r="AQ718" s="61" t="str">
        <f t="shared" si="266"/>
        <v/>
      </c>
      <c r="AR718" s="61" t="str">
        <f t="shared" si="267"/>
        <v/>
      </c>
    </row>
    <row r="719" spans="16:44" x14ac:dyDescent="0.25">
      <c r="P719" s="73" t="str">
        <f t="shared" si="248"/>
        <v/>
      </c>
      <c r="Q719" s="73" t="str">
        <f t="shared" si="249"/>
        <v/>
      </c>
      <c r="R719" s="74" t="str">
        <f t="shared" si="250"/>
        <v/>
      </c>
      <c r="S719" s="74" t="str">
        <f t="shared" si="251"/>
        <v/>
      </c>
      <c r="U719" s="74" t="str">
        <f t="shared" si="247"/>
        <v/>
      </c>
      <c r="V719" s="74" t="str">
        <f t="shared" si="247"/>
        <v/>
      </c>
      <c r="W719" s="74" t="str">
        <f t="shared" si="247"/>
        <v/>
      </c>
      <c r="X719" s="74" t="str">
        <f t="shared" si="247"/>
        <v/>
      </c>
      <c r="Y719" s="74" t="str">
        <f t="shared" si="247"/>
        <v/>
      </c>
      <c r="Z719" s="74" t="str">
        <f t="shared" si="252"/>
        <v/>
      </c>
      <c r="AA719" s="74">
        <f t="shared" si="253"/>
        <v>0</v>
      </c>
      <c r="AB719" s="74">
        <f t="shared" si="254"/>
        <v>0</v>
      </c>
      <c r="AC719" s="74" t="str">
        <f t="shared" si="255"/>
        <v/>
      </c>
      <c r="AE719" s="74" t="str">
        <f t="shared" si="256"/>
        <v/>
      </c>
      <c r="AF719" s="74" t="str">
        <f t="shared" si="257"/>
        <v/>
      </c>
      <c r="AG719" s="74" t="str">
        <f t="shared" si="258"/>
        <v/>
      </c>
      <c r="AH719" s="74">
        <f t="shared" si="259"/>
        <v>0</v>
      </c>
      <c r="AI719" s="74" t="str">
        <f>IF(AH719&lt;&gt;0,COUNTIF(AH$3:AH719,1),"")</f>
        <v/>
      </c>
      <c r="AJ719" s="74">
        <f t="shared" si="260"/>
        <v>0</v>
      </c>
      <c r="AK719" s="73" t="str">
        <f t="shared" si="261"/>
        <v/>
      </c>
      <c r="AL719" s="73" t="str">
        <f t="shared" si="262"/>
        <v/>
      </c>
      <c r="AM719" s="73" t="str">
        <f t="shared" si="263"/>
        <v/>
      </c>
      <c r="AN719" s="73" t="str">
        <f t="shared" si="264"/>
        <v/>
      </c>
      <c r="AP719" s="61" t="str">
        <f t="shared" si="265"/>
        <v/>
      </c>
      <c r="AQ719" s="61" t="str">
        <f t="shared" si="266"/>
        <v/>
      </c>
      <c r="AR719" s="61" t="str">
        <f t="shared" si="267"/>
        <v/>
      </c>
    </row>
    <row r="720" spans="16:44" x14ac:dyDescent="0.25">
      <c r="P720" s="73" t="str">
        <f t="shared" si="248"/>
        <v/>
      </c>
      <c r="Q720" s="73" t="str">
        <f t="shared" si="249"/>
        <v/>
      </c>
      <c r="R720" s="74" t="str">
        <f t="shared" si="250"/>
        <v/>
      </c>
      <c r="S720" s="74" t="str">
        <f t="shared" si="251"/>
        <v/>
      </c>
      <c r="U720" s="74" t="str">
        <f t="shared" si="247"/>
        <v/>
      </c>
      <c r="V720" s="74" t="str">
        <f t="shared" si="247"/>
        <v/>
      </c>
      <c r="W720" s="74" t="str">
        <f t="shared" si="247"/>
        <v/>
      </c>
      <c r="X720" s="74" t="str">
        <f t="shared" si="247"/>
        <v/>
      </c>
      <c r="Y720" s="74" t="str">
        <f t="shared" si="247"/>
        <v/>
      </c>
      <c r="Z720" s="74" t="str">
        <f t="shared" si="252"/>
        <v/>
      </c>
      <c r="AA720" s="74">
        <f t="shared" si="253"/>
        <v>0</v>
      </c>
      <c r="AB720" s="74">
        <f t="shared" si="254"/>
        <v>0</v>
      </c>
      <c r="AC720" s="74" t="str">
        <f t="shared" si="255"/>
        <v/>
      </c>
      <c r="AE720" s="74" t="str">
        <f t="shared" si="256"/>
        <v/>
      </c>
      <c r="AF720" s="74" t="str">
        <f t="shared" si="257"/>
        <v/>
      </c>
      <c r="AG720" s="74" t="str">
        <f t="shared" si="258"/>
        <v/>
      </c>
      <c r="AH720" s="74">
        <f t="shared" si="259"/>
        <v>0</v>
      </c>
      <c r="AI720" s="74" t="str">
        <f>IF(AH720&lt;&gt;0,COUNTIF(AH$3:AH720,1),"")</f>
        <v/>
      </c>
      <c r="AJ720" s="74">
        <f t="shared" si="260"/>
        <v>0</v>
      </c>
      <c r="AK720" s="73" t="str">
        <f t="shared" si="261"/>
        <v/>
      </c>
      <c r="AL720" s="73" t="str">
        <f t="shared" si="262"/>
        <v/>
      </c>
      <c r="AM720" s="73" t="str">
        <f t="shared" si="263"/>
        <v/>
      </c>
      <c r="AN720" s="73" t="str">
        <f t="shared" si="264"/>
        <v/>
      </c>
      <c r="AP720" s="61" t="str">
        <f t="shared" si="265"/>
        <v/>
      </c>
      <c r="AQ720" s="61" t="str">
        <f t="shared" si="266"/>
        <v/>
      </c>
      <c r="AR720" s="61" t="str">
        <f t="shared" si="267"/>
        <v/>
      </c>
    </row>
    <row r="721" spans="16:44" x14ac:dyDescent="0.25">
      <c r="P721" s="73" t="str">
        <f t="shared" si="248"/>
        <v/>
      </c>
      <c r="Q721" s="73" t="str">
        <f t="shared" si="249"/>
        <v/>
      </c>
      <c r="R721" s="74" t="str">
        <f t="shared" si="250"/>
        <v/>
      </c>
      <c r="S721" s="74" t="str">
        <f t="shared" si="251"/>
        <v/>
      </c>
      <c r="U721" s="74" t="str">
        <f t="shared" si="247"/>
        <v/>
      </c>
      <c r="V721" s="74" t="str">
        <f t="shared" si="247"/>
        <v/>
      </c>
      <c r="W721" s="74" t="str">
        <f t="shared" si="247"/>
        <v/>
      </c>
      <c r="X721" s="74" t="str">
        <f t="shared" si="247"/>
        <v/>
      </c>
      <c r="Y721" s="74" t="str">
        <f t="shared" si="247"/>
        <v/>
      </c>
      <c r="Z721" s="74" t="str">
        <f t="shared" si="252"/>
        <v/>
      </c>
      <c r="AA721" s="74">
        <f t="shared" si="253"/>
        <v>0</v>
      </c>
      <c r="AB721" s="74">
        <f t="shared" si="254"/>
        <v>0</v>
      </c>
      <c r="AC721" s="74" t="str">
        <f t="shared" si="255"/>
        <v/>
      </c>
      <c r="AE721" s="74" t="str">
        <f t="shared" si="256"/>
        <v/>
      </c>
      <c r="AF721" s="74" t="str">
        <f t="shared" si="257"/>
        <v/>
      </c>
      <c r="AG721" s="74" t="str">
        <f t="shared" si="258"/>
        <v/>
      </c>
      <c r="AH721" s="74">
        <f t="shared" si="259"/>
        <v>0</v>
      </c>
      <c r="AI721" s="74" t="str">
        <f>IF(AH721&lt;&gt;0,COUNTIF(AH$3:AH721,1),"")</f>
        <v/>
      </c>
      <c r="AJ721" s="74">
        <f t="shared" si="260"/>
        <v>0</v>
      </c>
      <c r="AK721" s="73" t="str">
        <f t="shared" si="261"/>
        <v/>
      </c>
      <c r="AL721" s="73" t="str">
        <f t="shared" si="262"/>
        <v/>
      </c>
      <c r="AM721" s="73" t="str">
        <f t="shared" si="263"/>
        <v/>
      </c>
      <c r="AN721" s="73" t="str">
        <f t="shared" si="264"/>
        <v/>
      </c>
      <c r="AP721" s="61" t="str">
        <f t="shared" si="265"/>
        <v/>
      </c>
      <c r="AQ721" s="61" t="str">
        <f t="shared" si="266"/>
        <v/>
      </c>
      <c r="AR721" s="61" t="str">
        <f t="shared" si="267"/>
        <v/>
      </c>
    </row>
    <row r="722" spans="16:44" x14ac:dyDescent="0.25">
      <c r="P722" s="73" t="str">
        <f t="shared" si="248"/>
        <v/>
      </c>
      <c r="Q722" s="73" t="str">
        <f t="shared" si="249"/>
        <v/>
      </c>
      <c r="R722" s="74" t="str">
        <f t="shared" si="250"/>
        <v/>
      </c>
      <c r="S722" s="74" t="str">
        <f t="shared" si="251"/>
        <v/>
      </c>
      <c r="U722" s="74" t="str">
        <f t="shared" si="247"/>
        <v/>
      </c>
      <c r="V722" s="74" t="str">
        <f t="shared" si="247"/>
        <v/>
      </c>
      <c r="W722" s="74" t="str">
        <f t="shared" si="247"/>
        <v/>
      </c>
      <c r="X722" s="74" t="str">
        <f t="shared" si="247"/>
        <v/>
      </c>
      <c r="Y722" s="74" t="str">
        <f t="shared" si="247"/>
        <v/>
      </c>
      <c r="Z722" s="74" t="str">
        <f t="shared" si="252"/>
        <v/>
      </c>
      <c r="AA722" s="74">
        <f t="shared" si="253"/>
        <v>0</v>
      </c>
      <c r="AB722" s="74">
        <f t="shared" si="254"/>
        <v>0</v>
      </c>
      <c r="AC722" s="74" t="str">
        <f t="shared" si="255"/>
        <v/>
      </c>
      <c r="AE722" s="74" t="str">
        <f t="shared" si="256"/>
        <v/>
      </c>
      <c r="AF722" s="74" t="str">
        <f t="shared" si="257"/>
        <v/>
      </c>
      <c r="AG722" s="74" t="str">
        <f t="shared" si="258"/>
        <v/>
      </c>
      <c r="AH722" s="74">
        <f t="shared" si="259"/>
        <v>0</v>
      </c>
      <c r="AI722" s="74" t="str">
        <f>IF(AH722&lt;&gt;0,COUNTIF(AH$3:AH722,1),"")</f>
        <v/>
      </c>
      <c r="AJ722" s="74">
        <f t="shared" si="260"/>
        <v>0</v>
      </c>
      <c r="AK722" s="73" t="str">
        <f t="shared" si="261"/>
        <v/>
      </c>
      <c r="AL722" s="73" t="str">
        <f t="shared" si="262"/>
        <v/>
      </c>
      <c r="AM722" s="73" t="str">
        <f t="shared" si="263"/>
        <v/>
      </c>
      <c r="AN722" s="73" t="str">
        <f t="shared" si="264"/>
        <v/>
      </c>
      <c r="AP722" s="61" t="str">
        <f t="shared" si="265"/>
        <v/>
      </c>
      <c r="AQ722" s="61" t="str">
        <f t="shared" si="266"/>
        <v/>
      </c>
      <c r="AR722" s="61" t="str">
        <f t="shared" si="267"/>
        <v/>
      </c>
    </row>
    <row r="723" spans="16:44" x14ac:dyDescent="0.25">
      <c r="P723" s="73" t="str">
        <f t="shared" si="248"/>
        <v/>
      </c>
      <c r="Q723" s="73" t="str">
        <f t="shared" si="249"/>
        <v/>
      </c>
      <c r="R723" s="74" t="str">
        <f t="shared" si="250"/>
        <v/>
      </c>
      <c r="S723" s="74" t="str">
        <f t="shared" si="251"/>
        <v/>
      </c>
      <c r="U723" s="74" t="str">
        <f t="shared" si="247"/>
        <v/>
      </c>
      <c r="V723" s="74" t="str">
        <f t="shared" si="247"/>
        <v/>
      </c>
      <c r="W723" s="74" t="str">
        <f t="shared" si="247"/>
        <v/>
      </c>
      <c r="X723" s="74" t="str">
        <f t="shared" si="247"/>
        <v/>
      </c>
      <c r="Y723" s="74" t="str">
        <f t="shared" si="247"/>
        <v/>
      </c>
      <c r="Z723" s="74" t="str">
        <f t="shared" si="252"/>
        <v/>
      </c>
      <c r="AA723" s="74">
        <f t="shared" si="253"/>
        <v>0</v>
      </c>
      <c r="AB723" s="74">
        <f t="shared" si="254"/>
        <v>0</v>
      </c>
      <c r="AC723" s="74" t="str">
        <f t="shared" si="255"/>
        <v/>
      </c>
      <c r="AE723" s="74" t="str">
        <f t="shared" si="256"/>
        <v/>
      </c>
      <c r="AF723" s="74" t="str">
        <f t="shared" si="257"/>
        <v/>
      </c>
      <c r="AG723" s="74" t="str">
        <f t="shared" si="258"/>
        <v/>
      </c>
      <c r="AH723" s="74">
        <f t="shared" si="259"/>
        <v>0</v>
      </c>
      <c r="AI723" s="74" t="str">
        <f>IF(AH723&lt;&gt;0,COUNTIF(AH$3:AH723,1),"")</f>
        <v/>
      </c>
      <c r="AJ723" s="74">
        <f t="shared" si="260"/>
        <v>0</v>
      </c>
      <c r="AK723" s="73" t="str">
        <f t="shared" si="261"/>
        <v/>
      </c>
      <c r="AL723" s="73" t="str">
        <f t="shared" si="262"/>
        <v/>
      </c>
      <c r="AM723" s="73" t="str">
        <f t="shared" si="263"/>
        <v/>
      </c>
      <c r="AN723" s="73" t="str">
        <f t="shared" si="264"/>
        <v/>
      </c>
      <c r="AP723" s="61" t="str">
        <f t="shared" si="265"/>
        <v/>
      </c>
      <c r="AQ723" s="61" t="str">
        <f t="shared" si="266"/>
        <v/>
      </c>
      <c r="AR723" s="61" t="str">
        <f t="shared" si="267"/>
        <v/>
      </c>
    </row>
    <row r="724" spans="16:44" x14ac:dyDescent="0.25">
      <c r="P724" s="73" t="str">
        <f t="shared" si="248"/>
        <v/>
      </c>
      <c r="Q724" s="73" t="str">
        <f t="shared" si="249"/>
        <v/>
      </c>
      <c r="R724" s="74" t="str">
        <f t="shared" si="250"/>
        <v/>
      </c>
      <c r="S724" s="74" t="str">
        <f t="shared" si="251"/>
        <v/>
      </c>
      <c r="U724" s="74" t="str">
        <f t="shared" si="247"/>
        <v/>
      </c>
      <c r="V724" s="74" t="str">
        <f t="shared" si="247"/>
        <v/>
      </c>
      <c r="W724" s="74" t="str">
        <f t="shared" si="247"/>
        <v/>
      </c>
      <c r="X724" s="74" t="str">
        <f t="shared" si="247"/>
        <v/>
      </c>
      <c r="Y724" s="74" t="str">
        <f t="shared" si="247"/>
        <v/>
      </c>
      <c r="Z724" s="74" t="str">
        <f t="shared" si="252"/>
        <v/>
      </c>
      <c r="AA724" s="74">
        <f t="shared" si="253"/>
        <v>0</v>
      </c>
      <c r="AB724" s="74">
        <f t="shared" si="254"/>
        <v>0</v>
      </c>
      <c r="AC724" s="74" t="str">
        <f t="shared" si="255"/>
        <v/>
      </c>
      <c r="AE724" s="74" t="str">
        <f t="shared" si="256"/>
        <v/>
      </c>
      <c r="AF724" s="74" t="str">
        <f t="shared" si="257"/>
        <v/>
      </c>
      <c r="AG724" s="74" t="str">
        <f t="shared" si="258"/>
        <v/>
      </c>
      <c r="AH724" s="74">
        <f t="shared" si="259"/>
        <v>0</v>
      </c>
      <c r="AI724" s="74" t="str">
        <f>IF(AH724&lt;&gt;0,COUNTIF(AH$3:AH724,1),"")</f>
        <v/>
      </c>
      <c r="AJ724" s="74">
        <f t="shared" si="260"/>
        <v>0</v>
      </c>
      <c r="AK724" s="73" t="str">
        <f t="shared" si="261"/>
        <v/>
      </c>
      <c r="AL724" s="73" t="str">
        <f t="shared" si="262"/>
        <v/>
      </c>
      <c r="AM724" s="73" t="str">
        <f t="shared" si="263"/>
        <v/>
      </c>
      <c r="AN724" s="73" t="str">
        <f t="shared" si="264"/>
        <v/>
      </c>
      <c r="AP724" s="61" t="str">
        <f t="shared" si="265"/>
        <v/>
      </c>
      <c r="AQ724" s="61" t="str">
        <f t="shared" si="266"/>
        <v/>
      </c>
      <c r="AR724" s="61" t="str">
        <f t="shared" si="267"/>
        <v/>
      </c>
    </row>
    <row r="725" spans="16:44" x14ac:dyDescent="0.25">
      <c r="P725" s="73" t="str">
        <f t="shared" si="248"/>
        <v/>
      </c>
      <c r="Q725" s="73" t="str">
        <f t="shared" si="249"/>
        <v/>
      </c>
      <c r="R725" s="74" t="str">
        <f t="shared" si="250"/>
        <v/>
      </c>
      <c r="S725" s="74" t="str">
        <f t="shared" si="251"/>
        <v/>
      </c>
      <c r="U725" s="74" t="str">
        <f t="shared" si="247"/>
        <v/>
      </c>
      <c r="V725" s="74" t="str">
        <f t="shared" si="247"/>
        <v/>
      </c>
      <c r="W725" s="74" t="str">
        <f t="shared" si="247"/>
        <v/>
      </c>
      <c r="X725" s="74" t="str">
        <f t="shared" si="247"/>
        <v/>
      </c>
      <c r="Y725" s="74" t="str">
        <f t="shared" si="247"/>
        <v/>
      </c>
      <c r="Z725" s="74" t="str">
        <f t="shared" si="252"/>
        <v/>
      </c>
      <c r="AA725" s="74">
        <f t="shared" si="253"/>
        <v>0</v>
      </c>
      <c r="AB725" s="74">
        <f t="shared" si="254"/>
        <v>0</v>
      </c>
      <c r="AC725" s="74" t="str">
        <f t="shared" si="255"/>
        <v/>
      </c>
      <c r="AE725" s="74" t="str">
        <f t="shared" si="256"/>
        <v/>
      </c>
      <c r="AF725" s="74" t="str">
        <f t="shared" si="257"/>
        <v/>
      </c>
      <c r="AG725" s="74" t="str">
        <f t="shared" si="258"/>
        <v/>
      </c>
      <c r="AH725" s="74">
        <f t="shared" si="259"/>
        <v>0</v>
      </c>
      <c r="AI725" s="74" t="str">
        <f>IF(AH725&lt;&gt;0,COUNTIF(AH$3:AH725,1),"")</f>
        <v/>
      </c>
      <c r="AJ725" s="74">
        <f t="shared" si="260"/>
        <v>0</v>
      </c>
      <c r="AK725" s="73" t="str">
        <f t="shared" si="261"/>
        <v/>
      </c>
      <c r="AL725" s="73" t="str">
        <f t="shared" si="262"/>
        <v/>
      </c>
      <c r="AM725" s="73" t="str">
        <f t="shared" si="263"/>
        <v/>
      </c>
      <c r="AN725" s="73" t="str">
        <f t="shared" si="264"/>
        <v/>
      </c>
      <c r="AP725" s="61" t="str">
        <f t="shared" si="265"/>
        <v/>
      </c>
      <c r="AQ725" s="61" t="str">
        <f t="shared" si="266"/>
        <v/>
      </c>
      <c r="AR725" s="61" t="str">
        <f t="shared" si="267"/>
        <v/>
      </c>
    </row>
    <row r="726" spans="16:44" x14ac:dyDescent="0.25">
      <c r="P726" s="73" t="str">
        <f t="shared" si="248"/>
        <v/>
      </c>
      <c r="Q726" s="73" t="str">
        <f t="shared" si="249"/>
        <v/>
      </c>
      <c r="R726" s="74" t="str">
        <f t="shared" si="250"/>
        <v/>
      </c>
      <c r="S726" s="74" t="str">
        <f t="shared" si="251"/>
        <v/>
      </c>
      <c r="U726" s="74" t="str">
        <f t="shared" si="247"/>
        <v/>
      </c>
      <c r="V726" s="74" t="str">
        <f t="shared" si="247"/>
        <v/>
      </c>
      <c r="W726" s="74" t="str">
        <f t="shared" si="247"/>
        <v/>
      </c>
      <c r="X726" s="74" t="str">
        <f t="shared" si="247"/>
        <v/>
      </c>
      <c r="Y726" s="74" t="str">
        <f t="shared" si="247"/>
        <v/>
      </c>
      <c r="Z726" s="74" t="str">
        <f t="shared" si="252"/>
        <v/>
      </c>
      <c r="AA726" s="74">
        <f t="shared" si="253"/>
        <v>0</v>
      </c>
      <c r="AB726" s="74">
        <f t="shared" si="254"/>
        <v>0</v>
      </c>
      <c r="AC726" s="74" t="str">
        <f t="shared" si="255"/>
        <v/>
      </c>
      <c r="AE726" s="74" t="str">
        <f t="shared" si="256"/>
        <v/>
      </c>
      <c r="AF726" s="74" t="str">
        <f t="shared" si="257"/>
        <v/>
      </c>
      <c r="AG726" s="74" t="str">
        <f t="shared" si="258"/>
        <v/>
      </c>
      <c r="AH726" s="74">
        <f t="shared" si="259"/>
        <v>0</v>
      </c>
      <c r="AI726" s="74" t="str">
        <f>IF(AH726&lt;&gt;0,COUNTIF(AH$3:AH726,1),"")</f>
        <v/>
      </c>
      <c r="AJ726" s="74">
        <f t="shared" si="260"/>
        <v>0</v>
      </c>
      <c r="AK726" s="73" t="str">
        <f t="shared" si="261"/>
        <v/>
      </c>
      <c r="AL726" s="73" t="str">
        <f t="shared" si="262"/>
        <v/>
      </c>
      <c r="AM726" s="73" t="str">
        <f t="shared" si="263"/>
        <v/>
      </c>
      <c r="AN726" s="73" t="str">
        <f t="shared" si="264"/>
        <v/>
      </c>
      <c r="AP726" s="61" t="str">
        <f t="shared" si="265"/>
        <v/>
      </c>
      <c r="AQ726" s="61" t="str">
        <f t="shared" si="266"/>
        <v/>
      </c>
      <c r="AR726" s="61" t="str">
        <f t="shared" si="267"/>
        <v/>
      </c>
    </row>
    <row r="727" spans="16:44" x14ac:dyDescent="0.25">
      <c r="P727" s="73" t="str">
        <f t="shared" si="248"/>
        <v/>
      </c>
      <c r="Q727" s="73" t="str">
        <f t="shared" si="249"/>
        <v/>
      </c>
      <c r="R727" s="74" t="str">
        <f t="shared" si="250"/>
        <v/>
      </c>
      <c r="S727" s="74" t="str">
        <f t="shared" si="251"/>
        <v/>
      </c>
      <c r="U727" s="74" t="str">
        <f t="shared" si="247"/>
        <v/>
      </c>
      <c r="V727" s="74" t="str">
        <f t="shared" si="247"/>
        <v/>
      </c>
      <c r="W727" s="74" t="str">
        <f t="shared" si="247"/>
        <v/>
      </c>
      <c r="X727" s="74" t="str">
        <f t="shared" si="247"/>
        <v/>
      </c>
      <c r="Y727" s="74" t="str">
        <f t="shared" si="247"/>
        <v/>
      </c>
      <c r="Z727" s="74" t="str">
        <f t="shared" si="252"/>
        <v/>
      </c>
      <c r="AA727" s="74">
        <f t="shared" si="253"/>
        <v>0</v>
      </c>
      <c r="AB727" s="74">
        <f t="shared" si="254"/>
        <v>0</v>
      </c>
      <c r="AC727" s="74" t="str">
        <f t="shared" si="255"/>
        <v/>
      </c>
      <c r="AE727" s="74" t="str">
        <f t="shared" si="256"/>
        <v/>
      </c>
      <c r="AF727" s="74" t="str">
        <f t="shared" si="257"/>
        <v/>
      </c>
      <c r="AG727" s="74" t="str">
        <f t="shared" si="258"/>
        <v/>
      </c>
      <c r="AH727" s="74">
        <f t="shared" si="259"/>
        <v>0</v>
      </c>
      <c r="AI727" s="74" t="str">
        <f>IF(AH727&lt;&gt;0,COUNTIF(AH$3:AH727,1),"")</f>
        <v/>
      </c>
      <c r="AJ727" s="74">
        <f t="shared" si="260"/>
        <v>0</v>
      </c>
      <c r="AK727" s="73" t="str">
        <f t="shared" si="261"/>
        <v/>
      </c>
      <c r="AL727" s="73" t="str">
        <f t="shared" si="262"/>
        <v/>
      </c>
      <c r="AM727" s="73" t="str">
        <f t="shared" si="263"/>
        <v/>
      </c>
      <c r="AN727" s="73" t="str">
        <f t="shared" si="264"/>
        <v/>
      </c>
      <c r="AP727" s="61" t="str">
        <f t="shared" si="265"/>
        <v/>
      </c>
      <c r="AQ727" s="61" t="str">
        <f t="shared" si="266"/>
        <v/>
      </c>
      <c r="AR727" s="61" t="str">
        <f t="shared" si="267"/>
        <v/>
      </c>
    </row>
    <row r="728" spans="16:44" x14ac:dyDescent="0.25">
      <c r="P728" s="73" t="str">
        <f t="shared" si="248"/>
        <v/>
      </c>
      <c r="Q728" s="73" t="str">
        <f t="shared" si="249"/>
        <v/>
      </c>
      <c r="R728" s="74" t="str">
        <f t="shared" si="250"/>
        <v/>
      </c>
      <c r="S728" s="74" t="str">
        <f t="shared" si="251"/>
        <v/>
      </c>
      <c r="U728" s="74" t="str">
        <f t="shared" si="247"/>
        <v/>
      </c>
      <c r="V728" s="74" t="str">
        <f t="shared" si="247"/>
        <v/>
      </c>
      <c r="W728" s="74" t="str">
        <f t="shared" si="247"/>
        <v/>
      </c>
      <c r="X728" s="74" t="str">
        <f t="shared" si="247"/>
        <v/>
      </c>
      <c r="Y728" s="74" t="str">
        <f t="shared" si="247"/>
        <v/>
      </c>
      <c r="Z728" s="74" t="str">
        <f t="shared" si="252"/>
        <v/>
      </c>
      <c r="AA728" s="74">
        <f t="shared" si="253"/>
        <v>0</v>
      </c>
      <c r="AB728" s="74">
        <f t="shared" si="254"/>
        <v>0</v>
      </c>
      <c r="AC728" s="74" t="str">
        <f t="shared" si="255"/>
        <v/>
      </c>
      <c r="AE728" s="74" t="str">
        <f t="shared" si="256"/>
        <v/>
      </c>
      <c r="AF728" s="74" t="str">
        <f t="shared" si="257"/>
        <v/>
      </c>
      <c r="AG728" s="74" t="str">
        <f t="shared" si="258"/>
        <v/>
      </c>
      <c r="AH728" s="74">
        <f t="shared" si="259"/>
        <v>0</v>
      </c>
      <c r="AI728" s="74" t="str">
        <f>IF(AH728&lt;&gt;0,COUNTIF(AH$3:AH728,1),"")</f>
        <v/>
      </c>
      <c r="AJ728" s="74">
        <f t="shared" si="260"/>
        <v>0</v>
      </c>
      <c r="AK728" s="73" t="str">
        <f t="shared" si="261"/>
        <v/>
      </c>
      <c r="AL728" s="73" t="str">
        <f t="shared" si="262"/>
        <v/>
      </c>
      <c r="AM728" s="73" t="str">
        <f t="shared" si="263"/>
        <v/>
      </c>
      <c r="AN728" s="73" t="str">
        <f t="shared" si="264"/>
        <v/>
      </c>
      <c r="AP728" s="61" t="str">
        <f t="shared" si="265"/>
        <v/>
      </c>
      <c r="AQ728" s="61" t="str">
        <f t="shared" si="266"/>
        <v/>
      </c>
      <c r="AR728" s="61" t="str">
        <f t="shared" si="267"/>
        <v/>
      </c>
    </row>
    <row r="729" spans="16:44" x14ac:dyDescent="0.25">
      <c r="P729" s="73" t="str">
        <f t="shared" si="248"/>
        <v/>
      </c>
      <c r="Q729" s="73" t="str">
        <f t="shared" si="249"/>
        <v/>
      </c>
      <c r="R729" s="74" t="str">
        <f t="shared" si="250"/>
        <v/>
      </c>
      <c r="S729" s="74" t="str">
        <f t="shared" si="251"/>
        <v/>
      </c>
      <c r="U729" s="74" t="str">
        <f t="shared" si="247"/>
        <v/>
      </c>
      <c r="V729" s="74" t="str">
        <f t="shared" si="247"/>
        <v/>
      </c>
      <c r="W729" s="74" t="str">
        <f t="shared" si="247"/>
        <v/>
      </c>
      <c r="X729" s="74" t="str">
        <f t="shared" si="247"/>
        <v/>
      </c>
      <c r="Y729" s="74" t="str">
        <f t="shared" si="247"/>
        <v/>
      </c>
      <c r="Z729" s="74" t="str">
        <f t="shared" si="252"/>
        <v/>
      </c>
      <c r="AA729" s="74">
        <f t="shared" si="253"/>
        <v>0</v>
      </c>
      <c r="AB729" s="74">
        <f t="shared" si="254"/>
        <v>0</v>
      </c>
      <c r="AC729" s="74" t="str">
        <f t="shared" si="255"/>
        <v/>
      </c>
      <c r="AE729" s="74" t="str">
        <f t="shared" si="256"/>
        <v/>
      </c>
      <c r="AF729" s="74" t="str">
        <f t="shared" si="257"/>
        <v/>
      </c>
      <c r="AG729" s="74" t="str">
        <f t="shared" si="258"/>
        <v/>
      </c>
      <c r="AH729" s="74">
        <f t="shared" si="259"/>
        <v>0</v>
      </c>
      <c r="AI729" s="74" t="str">
        <f>IF(AH729&lt;&gt;0,COUNTIF(AH$3:AH729,1),"")</f>
        <v/>
      </c>
      <c r="AJ729" s="74">
        <f t="shared" si="260"/>
        <v>0</v>
      </c>
      <c r="AK729" s="73" t="str">
        <f t="shared" si="261"/>
        <v/>
      </c>
      <c r="AL729" s="73" t="str">
        <f t="shared" si="262"/>
        <v/>
      </c>
      <c r="AM729" s="73" t="str">
        <f t="shared" si="263"/>
        <v/>
      </c>
      <c r="AN729" s="73" t="str">
        <f t="shared" si="264"/>
        <v/>
      </c>
      <c r="AP729" s="61" t="str">
        <f t="shared" si="265"/>
        <v/>
      </c>
      <c r="AQ729" s="61" t="str">
        <f t="shared" si="266"/>
        <v/>
      </c>
      <c r="AR729" s="61" t="str">
        <f t="shared" si="267"/>
        <v/>
      </c>
    </row>
    <row r="730" spans="16:44" x14ac:dyDescent="0.25">
      <c r="P730" s="73" t="str">
        <f t="shared" si="248"/>
        <v/>
      </c>
      <c r="Q730" s="73" t="str">
        <f t="shared" si="249"/>
        <v/>
      </c>
      <c r="R730" s="74" t="str">
        <f t="shared" si="250"/>
        <v/>
      </c>
      <c r="S730" s="74" t="str">
        <f t="shared" si="251"/>
        <v/>
      </c>
      <c r="U730" s="74" t="str">
        <f t="shared" si="247"/>
        <v/>
      </c>
      <c r="V730" s="74" t="str">
        <f t="shared" si="247"/>
        <v/>
      </c>
      <c r="W730" s="74" t="str">
        <f t="shared" si="247"/>
        <v/>
      </c>
      <c r="X730" s="74" t="str">
        <f t="shared" si="247"/>
        <v/>
      </c>
      <c r="Y730" s="74" t="str">
        <f t="shared" si="247"/>
        <v/>
      </c>
      <c r="Z730" s="74" t="str">
        <f t="shared" si="252"/>
        <v/>
      </c>
      <c r="AA730" s="74">
        <f t="shared" si="253"/>
        <v>0</v>
      </c>
      <c r="AB730" s="74">
        <f t="shared" si="254"/>
        <v>0</v>
      </c>
      <c r="AC730" s="74" t="str">
        <f t="shared" si="255"/>
        <v/>
      </c>
      <c r="AE730" s="74" t="str">
        <f t="shared" si="256"/>
        <v/>
      </c>
      <c r="AF730" s="74" t="str">
        <f t="shared" si="257"/>
        <v/>
      </c>
      <c r="AG730" s="74" t="str">
        <f t="shared" si="258"/>
        <v/>
      </c>
      <c r="AH730" s="74">
        <f t="shared" si="259"/>
        <v>0</v>
      </c>
      <c r="AI730" s="74" t="str">
        <f>IF(AH730&lt;&gt;0,COUNTIF(AH$3:AH730,1),"")</f>
        <v/>
      </c>
      <c r="AJ730" s="74">
        <f t="shared" si="260"/>
        <v>0</v>
      </c>
      <c r="AK730" s="73" t="str">
        <f t="shared" si="261"/>
        <v/>
      </c>
      <c r="AL730" s="73" t="str">
        <f t="shared" si="262"/>
        <v/>
      </c>
      <c r="AM730" s="73" t="str">
        <f t="shared" si="263"/>
        <v/>
      </c>
      <c r="AN730" s="73" t="str">
        <f t="shared" si="264"/>
        <v/>
      </c>
      <c r="AP730" s="61" t="str">
        <f t="shared" si="265"/>
        <v/>
      </c>
      <c r="AQ730" s="61" t="str">
        <f t="shared" si="266"/>
        <v/>
      </c>
      <c r="AR730" s="61" t="str">
        <f t="shared" si="267"/>
        <v/>
      </c>
    </row>
    <row r="731" spans="16:44" x14ac:dyDescent="0.25">
      <c r="P731" s="73" t="str">
        <f t="shared" si="248"/>
        <v/>
      </c>
      <c r="Q731" s="73" t="str">
        <f t="shared" si="249"/>
        <v/>
      </c>
      <c r="R731" s="74" t="str">
        <f t="shared" si="250"/>
        <v/>
      </c>
      <c r="S731" s="74" t="str">
        <f t="shared" si="251"/>
        <v/>
      </c>
      <c r="U731" s="74" t="str">
        <f t="shared" si="247"/>
        <v/>
      </c>
      <c r="V731" s="74" t="str">
        <f t="shared" si="247"/>
        <v/>
      </c>
      <c r="W731" s="74" t="str">
        <f t="shared" si="247"/>
        <v/>
      </c>
      <c r="X731" s="74" t="str">
        <f t="shared" si="247"/>
        <v/>
      </c>
      <c r="Y731" s="74" t="str">
        <f t="shared" si="247"/>
        <v/>
      </c>
      <c r="Z731" s="74" t="str">
        <f t="shared" si="252"/>
        <v/>
      </c>
      <c r="AA731" s="74">
        <f t="shared" si="253"/>
        <v>0</v>
      </c>
      <c r="AB731" s="74">
        <f t="shared" si="254"/>
        <v>0</v>
      </c>
      <c r="AC731" s="74" t="str">
        <f t="shared" si="255"/>
        <v/>
      </c>
      <c r="AE731" s="74" t="str">
        <f t="shared" si="256"/>
        <v/>
      </c>
      <c r="AF731" s="74" t="str">
        <f t="shared" si="257"/>
        <v/>
      </c>
      <c r="AG731" s="74" t="str">
        <f t="shared" si="258"/>
        <v/>
      </c>
      <c r="AH731" s="74">
        <f t="shared" si="259"/>
        <v>0</v>
      </c>
      <c r="AI731" s="74" t="str">
        <f>IF(AH731&lt;&gt;0,COUNTIF(AH$3:AH731,1),"")</f>
        <v/>
      </c>
      <c r="AJ731" s="74">
        <f t="shared" si="260"/>
        <v>0</v>
      </c>
      <c r="AK731" s="73" t="str">
        <f t="shared" si="261"/>
        <v/>
      </c>
      <c r="AL731" s="73" t="str">
        <f t="shared" si="262"/>
        <v/>
      </c>
      <c r="AM731" s="73" t="str">
        <f t="shared" si="263"/>
        <v/>
      </c>
      <c r="AN731" s="73" t="str">
        <f t="shared" si="264"/>
        <v/>
      </c>
      <c r="AP731" s="61" t="str">
        <f t="shared" si="265"/>
        <v/>
      </c>
      <c r="AQ731" s="61" t="str">
        <f t="shared" si="266"/>
        <v/>
      </c>
      <c r="AR731" s="61" t="str">
        <f t="shared" si="267"/>
        <v/>
      </c>
    </row>
    <row r="732" spans="16:44" x14ac:dyDescent="0.25">
      <c r="P732" s="73" t="str">
        <f t="shared" si="248"/>
        <v/>
      </c>
      <c r="Q732" s="73" t="str">
        <f t="shared" si="249"/>
        <v/>
      </c>
      <c r="R732" s="74" t="str">
        <f t="shared" si="250"/>
        <v/>
      </c>
      <c r="S732" s="74" t="str">
        <f t="shared" si="251"/>
        <v/>
      </c>
      <c r="U732" s="74" t="str">
        <f t="shared" si="247"/>
        <v/>
      </c>
      <c r="V732" s="74" t="str">
        <f t="shared" si="247"/>
        <v/>
      </c>
      <c r="W732" s="74" t="str">
        <f t="shared" si="247"/>
        <v/>
      </c>
      <c r="X732" s="74" t="str">
        <f t="shared" si="247"/>
        <v/>
      </c>
      <c r="Y732" s="74" t="str">
        <f t="shared" si="247"/>
        <v/>
      </c>
      <c r="Z732" s="74" t="str">
        <f t="shared" si="252"/>
        <v/>
      </c>
      <c r="AA732" s="74">
        <f t="shared" si="253"/>
        <v>0</v>
      </c>
      <c r="AB732" s="74">
        <f t="shared" si="254"/>
        <v>0</v>
      </c>
      <c r="AC732" s="74" t="str">
        <f t="shared" si="255"/>
        <v/>
      </c>
      <c r="AE732" s="74" t="str">
        <f t="shared" si="256"/>
        <v/>
      </c>
      <c r="AF732" s="74" t="str">
        <f t="shared" si="257"/>
        <v/>
      </c>
      <c r="AG732" s="74" t="str">
        <f t="shared" si="258"/>
        <v/>
      </c>
      <c r="AH732" s="74">
        <f t="shared" si="259"/>
        <v>0</v>
      </c>
      <c r="AI732" s="74" t="str">
        <f>IF(AH732&lt;&gt;0,COUNTIF(AH$3:AH732,1),"")</f>
        <v/>
      </c>
      <c r="AJ732" s="74">
        <f t="shared" si="260"/>
        <v>0</v>
      </c>
      <c r="AK732" s="73" t="str">
        <f t="shared" si="261"/>
        <v/>
      </c>
      <c r="AL732" s="73" t="str">
        <f t="shared" si="262"/>
        <v/>
      </c>
      <c r="AM732" s="73" t="str">
        <f t="shared" si="263"/>
        <v/>
      </c>
      <c r="AN732" s="73" t="str">
        <f t="shared" si="264"/>
        <v/>
      </c>
      <c r="AP732" s="61" t="str">
        <f t="shared" si="265"/>
        <v/>
      </c>
      <c r="AQ732" s="61" t="str">
        <f t="shared" si="266"/>
        <v/>
      </c>
      <c r="AR732" s="61" t="str">
        <f t="shared" si="267"/>
        <v/>
      </c>
    </row>
    <row r="733" spans="16:44" x14ac:dyDescent="0.25">
      <c r="P733" s="73" t="str">
        <f t="shared" si="248"/>
        <v/>
      </c>
      <c r="Q733" s="73" t="str">
        <f t="shared" si="249"/>
        <v/>
      </c>
      <c r="R733" s="74" t="str">
        <f t="shared" si="250"/>
        <v/>
      </c>
      <c r="S733" s="74" t="str">
        <f t="shared" si="251"/>
        <v/>
      </c>
      <c r="U733" s="74" t="str">
        <f t="shared" si="247"/>
        <v/>
      </c>
      <c r="V733" s="74" t="str">
        <f t="shared" si="247"/>
        <v/>
      </c>
      <c r="W733" s="74" t="str">
        <f t="shared" si="247"/>
        <v/>
      </c>
      <c r="X733" s="74" t="str">
        <f t="shared" si="247"/>
        <v/>
      </c>
      <c r="Y733" s="74" t="str">
        <f t="shared" si="247"/>
        <v/>
      </c>
      <c r="Z733" s="74" t="str">
        <f t="shared" si="252"/>
        <v/>
      </c>
      <c r="AA733" s="74">
        <f t="shared" si="253"/>
        <v>0</v>
      </c>
      <c r="AB733" s="74">
        <f t="shared" si="254"/>
        <v>0</v>
      </c>
      <c r="AC733" s="74" t="str">
        <f t="shared" si="255"/>
        <v/>
      </c>
      <c r="AE733" s="74" t="str">
        <f t="shared" si="256"/>
        <v/>
      </c>
      <c r="AF733" s="74" t="str">
        <f t="shared" si="257"/>
        <v/>
      </c>
      <c r="AG733" s="74" t="str">
        <f t="shared" si="258"/>
        <v/>
      </c>
      <c r="AH733" s="74">
        <f t="shared" si="259"/>
        <v>0</v>
      </c>
      <c r="AI733" s="74" t="str">
        <f>IF(AH733&lt;&gt;0,COUNTIF(AH$3:AH733,1),"")</f>
        <v/>
      </c>
      <c r="AJ733" s="74">
        <f t="shared" si="260"/>
        <v>0</v>
      </c>
      <c r="AK733" s="73" t="str">
        <f t="shared" si="261"/>
        <v/>
      </c>
      <c r="AL733" s="73" t="str">
        <f t="shared" si="262"/>
        <v/>
      </c>
      <c r="AM733" s="73" t="str">
        <f t="shared" si="263"/>
        <v/>
      </c>
      <c r="AN733" s="73" t="str">
        <f t="shared" si="264"/>
        <v/>
      </c>
      <c r="AP733" s="61" t="str">
        <f t="shared" si="265"/>
        <v/>
      </c>
      <c r="AQ733" s="61" t="str">
        <f t="shared" si="266"/>
        <v/>
      </c>
      <c r="AR733" s="61" t="str">
        <f t="shared" si="267"/>
        <v/>
      </c>
    </row>
    <row r="734" spans="16:44" x14ac:dyDescent="0.25">
      <c r="P734" s="73" t="str">
        <f t="shared" si="248"/>
        <v/>
      </c>
      <c r="Q734" s="73" t="str">
        <f t="shared" si="249"/>
        <v/>
      </c>
      <c r="R734" s="74" t="str">
        <f t="shared" si="250"/>
        <v/>
      </c>
      <c r="S734" s="74" t="str">
        <f t="shared" si="251"/>
        <v/>
      </c>
      <c r="U734" s="74" t="str">
        <f t="shared" si="247"/>
        <v/>
      </c>
      <c r="V734" s="74" t="str">
        <f t="shared" si="247"/>
        <v/>
      </c>
      <c r="W734" s="74" t="str">
        <f t="shared" si="247"/>
        <v/>
      </c>
      <c r="X734" s="74" t="str">
        <f t="shared" si="247"/>
        <v/>
      </c>
      <c r="Y734" s="74" t="str">
        <f t="shared" si="247"/>
        <v/>
      </c>
      <c r="Z734" s="74" t="str">
        <f t="shared" si="252"/>
        <v/>
      </c>
      <c r="AA734" s="74">
        <f t="shared" si="253"/>
        <v>0</v>
      </c>
      <c r="AB734" s="74">
        <f t="shared" si="254"/>
        <v>0</v>
      </c>
      <c r="AC734" s="74" t="str">
        <f t="shared" si="255"/>
        <v/>
      </c>
      <c r="AE734" s="74" t="str">
        <f t="shared" si="256"/>
        <v/>
      </c>
      <c r="AF734" s="74" t="str">
        <f t="shared" si="257"/>
        <v/>
      </c>
      <c r="AG734" s="74" t="str">
        <f t="shared" si="258"/>
        <v/>
      </c>
      <c r="AH734" s="74">
        <f t="shared" si="259"/>
        <v>0</v>
      </c>
      <c r="AI734" s="74" t="str">
        <f>IF(AH734&lt;&gt;0,COUNTIF(AH$3:AH734,1),"")</f>
        <v/>
      </c>
      <c r="AJ734" s="74">
        <f t="shared" si="260"/>
        <v>0</v>
      </c>
      <c r="AK734" s="73" t="str">
        <f t="shared" si="261"/>
        <v/>
      </c>
      <c r="AL734" s="73" t="str">
        <f t="shared" si="262"/>
        <v/>
      </c>
      <c r="AM734" s="73" t="str">
        <f t="shared" si="263"/>
        <v/>
      </c>
      <c r="AN734" s="73" t="str">
        <f t="shared" si="264"/>
        <v/>
      </c>
      <c r="AP734" s="61" t="str">
        <f t="shared" si="265"/>
        <v/>
      </c>
      <c r="AQ734" s="61" t="str">
        <f t="shared" si="266"/>
        <v/>
      </c>
      <c r="AR734" s="61" t="str">
        <f t="shared" si="267"/>
        <v/>
      </c>
    </row>
    <row r="735" spans="16:44" x14ac:dyDescent="0.25">
      <c r="P735" s="73" t="str">
        <f t="shared" si="248"/>
        <v/>
      </c>
      <c r="Q735" s="73" t="str">
        <f t="shared" si="249"/>
        <v/>
      </c>
      <c r="R735" s="74" t="str">
        <f t="shared" si="250"/>
        <v/>
      </c>
      <c r="S735" s="74" t="str">
        <f t="shared" si="251"/>
        <v/>
      </c>
      <c r="U735" s="74" t="str">
        <f t="shared" si="247"/>
        <v/>
      </c>
      <c r="V735" s="74" t="str">
        <f t="shared" si="247"/>
        <v/>
      </c>
      <c r="W735" s="74" t="str">
        <f t="shared" si="247"/>
        <v/>
      </c>
      <c r="X735" s="74" t="str">
        <f t="shared" si="247"/>
        <v/>
      </c>
      <c r="Y735" s="74" t="str">
        <f t="shared" si="247"/>
        <v/>
      </c>
      <c r="Z735" s="74" t="str">
        <f t="shared" si="252"/>
        <v/>
      </c>
      <c r="AA735" s="74">
        <f t="shared" si="253"/>
        <v>0</v>
      </c>
      <c r="AB735" s="74">
        <f t="shared" si="254"/>
        <v>0</v>
      </c>
      <c r="AC735" s="74" t="str">
        <f t="shared" si="255"/>
        <v/>
      </c>
      <c r="AE735" s="74" t="str">
        <f t="shared" si="256"/>
        <v/>
      </c>
      <c r="AF735" s="74" t="str">
        <f t="shared" si="257"/>
        <v/>
      </c>
      <c r="AG735" s="74" t="str">
        <f t="shared" si="258"/>
        <v/>
      </c>
      <c r="AH735" s="74">
        <f t="shared" si="259"/>
        <v>0</v>
      </c>
      <c r="AI735" s="74" t="str">
        <f>IF(AH735&lt;&gt;0,COUNTIF(AH$3:AH735,1),"")</f>
        <v/>
      </c>
      <c r="AJ735" s="74">
        <f t="shared" si="260"/>
        <v>0</v>
      </c>
      <c r="AK735" s="73" t="str">
        <f t="shared" si="261"/>
        <v/>
      </c>
      <c r="AL735" s="73" t="str">
        <f t="shared" si="262"/>
        <v/>
      </c>
      <c r="AM735" s="73" t="str">
        <f t="shared" si="263"/>
        <v/>
      </c>
      <c r="AN735" s="73" t="str">
        <f t="shared" si="264"/>
        <v/>
      </c>
      <c r="AP735" s="61" t="str">
        <f t="shared" si="265"/>
        <v/>
      </c>
      <c r="AQ735" s="61" t="str">
        <f t="shared" si="266"/>
        <v/>
      </c>
      <c r="AR735" s="61" t="str">
        <f t="shared" si="267"/>
        <v/>
      </c>
    </row>
    <row r="736" spans="16:44" x14ac:dyDescent="0.25">
      <c r="P736" s="73" t="str">
        <f t="shared" si="248"/>
        <v/>
      </c>
      <c r="Q736" s="73" t="str">
        <f t="shared" si="249"/>
        <v/>
      </c>
      <c r="R736" s="74" t="str">
        <f t="shared" si="250"/>
        <v/>
      </c>
      <c r="S736" s="74" t="str">
        <f t="shared" si="251"/>
        <v/>
      </c>
      <c r="U736" s="74" t="str">
        <f t="shared" si="247"/>
        <v/>
      </c>
      <c r="V736" s="74" t="str">
        <f t="shared" si="247"/>
        <v/>
      </c>
      <c r="W736" s="74" t="str">
        <f t="shared" si="247"/>
        <v/>
      </c>
      <c r="X736" s="74" t="str">
        <f t="shared" si="247"/>
        <v/>
      </c>
      <c r="Y736" s="74" t="str">
        <f t="shared" si="247"/>
        <v/>
      </c>
      <c r="Z736" s="74" t="str">
        <f t="shared" si="252"/>
        <v/>
      </c>
      <c r="AA736" s="74">
        <f t="shared" si="253"/>
        <v>0</v>
      </c>
      <c r="AB736" s="74">
        <f t="shared" si="254"/>
        <v>0</v>
      </c>
      <c r="AC736" s="74" t="str">
        <f t="shared" si="255"/>
        <v/>
      </c>
      <c r="AE736" s="74" t="str">
        <f t="shared" si="256"/>
        <v/>
      </c>
      <c r="AF736" s="74" t="str">
        <f t="shared" si="257"/>
        <v/>
      </c>
      <c r="AG736" s="74" t="str">
        <f t="shared" si="258"/>
        <v/>
      </c>
      <c r="AH736" s="74">
        <f t="shared" si="259"/>
        <v>0</v>
      </c>
      <c r="AI736" s="74" t="str">
        <f>IF(AH736&lt;&gt;0,COUNTIF(AH$3:AH736,1),"")</f>
        <v/>
      </c>
      <c r="AJ736" s="74">
        <f t="shared" si="260"/>
        <v>0</v>
      </c>
      <c r="AK736" s="73" t="str">
        <f t="shared" si="261"/>
        <v/>
      </c>
      <c r="AL736" s="73" t="str">
        <f t="shared" si="262"/>
        <v/>
      </c>
      <c r="AM736" s="73" t="str">
        <f t="shared" si="263"/>
        <v/>
      </c>
      <c r="AN736" s="73" t="str">
        <f t="shared" si="264"/>
        <v/>
      </c>
      <c r="AP736" s="61" t="str">
        <f t="shared" si="265"/>
        <v/>
      </c>
      <c r="AQ736" s="61" t="str">
        <f t="shared" si="266"/>
        <v/>
      </c>
      <c r="AR736" s="61" t="str">
        <f t="shared" si="267"/>
        <v/>
      </c>
    </row>
    <row r="737" spans="16:44" x14ac:dyDescent="0.25">
      <c r="P737" s="73" t="str">
        <f t="shared" si="248"/>
        <v/>
      </c>
      <c r="Q737" s="73" t="str">
        <f t="shared" si="249"/>
        <v/>
      </c>
      <c r="R737" s="74" t="str">
        <f t="shared" si="250"/>
        <v/>
      </c>
      <c r="S737" s="74" t="str">
        <f t="shared" si="251"/>
        <v/>
      </c>
      <c r="U737" s="74" t="str">
        <f t="shared" si="247"/>
        <v/>
      </c>
      <c r="V737" s="74" t="str">
        <f t="shared" si="247"/>
        <v/>
      </c>
      <c r="W737" s="74" t="str">
        <f t="shared" si="247"/>
        <v/>
      </c>
      <c r="X737" s="74" t="str">
        <f t="shared" si="247"/>
        <v/>
      </c>
      <c r="Y737" s="74" t="str">
        <f t="shared" si="247"/>
        <v/>
      </c>
      <c r="Z737" s="74" t="str">
        <f t="shared" si="252"/>
        <v/>
      </c>
      <c r="AA737" s="74">
        <f t="shared" si="253"/>
        <v>0</v>
      </c>
      <c r="AB737" s="74">
        <f t="shared" si="254"/>
        <v>0</v>
      </c>
      <c r="AC737" s="74" t="str">
        <f t="shared" si="255"/>
        <v/>
      </c>
      <c r="AE737" s="74" t="str">
        <f t="shared" si="256"/>
        <v/>
      </c>
      <c r="AF737" s="74" t="str">
        <f t="shared" si="257"/>
        <v/>
      </c>
      <c r="AG737" s="74" t="str">
        <f t="shared" si="258"/>
        <v/>
      </c>
      <c r="AH737" s="74">
        <f t="shared" si="259"/>
        <v>0</v>
      </c>
      <c r="AI737" s="74" t="str">
        <f>IF(AH737&lt;&gt;0,COUNTIF(AH$3:AH737,1),"")</f>
        <v/>
      </c>
      <c r="AJ737" s="74">
        <f t="shared" si="260"/>
        <v>0</v>
      </c>
      <c r="AK737" s="73" t="str">
        <f t="shared" si="261"/>
        <v/>
      </c>
      <c r="AL737" s="73" t="str">
        <f t="shared" si="262"/>
        <v/>
      </c>
      <c r="AM737" s="73" t="str">
        <f t="shared" si="263"/>
        <v/>
      </c>
      <c r="AN737" s="73" t="str">
        <f t="shared" si="264"/>
        <v/>
      </c>
      <c r="AP737" s="61" t="str">
        <f t="shared" si="265"/>
        <v/>
      </c>
      <c r="AQ737" s="61" t="str">
        <f t="shared" si="266"/>
        <v/>
      </c>
      <c r="AR737" s="61" t="str">
        <f t="shared" si="267"/>
        <v/>
      </c>
    </row>
    <row r="738" spans="16:44" x14ac:dyDescent="0.25">
      <c r="P738" s="73" t="str">
        <f t="shared" si="248"/>
        <v/>
      </c>
      <c r="Q738" s="73" t="str">
        <f t="shared" si="249"/>
        <v/>
      </c>
      <c r="R738" s="74" t="str">
        <f t="shared" si="250"/>
        <v/>
      </c>
      <c r="S738" s="74" t="str">
        <f t="shared" si="251"/>
        <v/>
      </c>
      <c r="U738" s="74" t="str">
        <f t="shared" si="247"/>
        <v/>
      </c>
      <c r="V738" s="74" t="str">
        <f t="shared" si="247"/>
        <v/>
      </c>
      <c r="W738" s="74" t="str">
        <f t="shared" si="247"/>
        <v/>
      </c>
      <c r="X738" s="74" t="str">
        <f t="shared" si="247"/>
        <v/>
      </c>
      <c r="Y738" s="74" t="str">
        <f t="shared" si="247"/>
        <v/>
      </c>
      <c r="Z738" s="74" t="str">
        <f t="shared" si="252"/>
        <v/>
      </c>
      <c r="AA738" s="74">
        <f t="shared" si="253"/>
        <v>0</v>
      </c>
      <c r="AB738" s="74">
        <f t="shared" si="254"/>
        <v>0</v>
      </c>
      <c r="AC738" s="74" t="str">
        <f t="shared" si="255"/>
        <v/>
      </c>
      <c r="AE738" s="74" t="str">
        <f t="shared" si="256"/>
        <v/>
      </c>
      <c r="AF738" s="74" t="str">
        <f t="shared" si="257"/>
        <v/>
      </c>
      <c r="AG738" s="74" t="str">
        <f t="shared" si="258"/>
        <v/>
      </c>
      <c r="AH738" s="74">
        <f t="shared" si="259"/>
        <v>0</v>
      </c>
      <c r="AI738" s="74" t="str">
        <f>IF(AH738&lt;&gt;0,COUNTIF(AH$3:AH738,1),"")</f>
        <v/>
      </c>
      <c r="AJ738" s="74">
        <f t="shared" si="260"/>
        <v>0</v>
      </c>
      <c r="AK738" s="73" t="str">
        <f t="shared" si="261"/>
        <v/>
      </c>
      <c r="AL738" s="73" t="str">
        <f t="shared" si="262"/>
        <v/>
      </c>
      <c r="AM738" s="73" t="str">
        <f t="shared" si="263"/>
        <v/>
      </c>
      <c r="AN738" s="73" t="str">
        <f t="shared" si="264"/>
        <v/>
      </c>
      <c r="AP738" s="61" t="str">
        <f t="shared" si="265"/>
        <v/>
      </c>
      <c r="AQ738" s="61" t="str">
        <f t="shared" si="266"/>
        <v/>
      </c>
      <c r="AR738" s="61" t="str">
        <f t="shared" si="267"/>
        <v/>
      </c>
    </row>
    <row r="739" spans="16:44" x14ac:dyDescent="0.25">
      <c r="P739" s="73" t="str">
        <f t="shared" si="248"/>
        <v/>
      </c>
      <c r="Q739" s="73" t="str">
        <f t="shared" si="249"/>
        <v/>
      </c>
      <c r="R739" s="74" t="str">
        <f t="shared" si="250"/>
        <v/>
      </c>
      <c r="S739" s="74" t="str">
        <f t="shared" si="251"/>
        <v/>
      </c>
      <c r="U739" s="74" t="str">
        <f t="shared" si="247"/>
        <v/>
      </c>
      <c r="V739" s="74" t="str">
        <f t="shared" si="247"/>
        <v/>
      </c>
      <c r="W739" s="74" t="str">
        <f t="shared" si="247"/>
        <v/>
      </c>
      <c r="X739" s="74" t="str">
        <f t="shared" si="247"/>
        <v/>
      </c>
      <c r="Y739" s="74" t="str">
        <f t="shared" si="247"/>
        <v/>
      </c>
      <c r="Z739" s="74" t="str">
        <f t="shared" si="252"/>
        <v/>
      </c>
      <c r="AA739" s="74">
        <f t="shared" si="253"/>
        <v>0</v>
      </c>
      <c r="AB739" s="74">
        <f t="shared" si="254"/>
        <v>0</v>
      </c>
      <c r="AC739" s="74" t="str">
        <f t="shared" si="255"/>
        <v/>
      </c>
      <c r="AE739" s="74" t="str">
        <f t="shared" si="256"/>
        <v/>
      </c>
      <c r="AF739" s="74" t="str">
        <f t="shared" si="257"/>
        <v/>
      </c>
      <c r="AG739" s="74" t="str">
        <f t="shared" si="258"/>
        <v/>
      </c>
      <c r="AH739" s="74">
        <f t="shared" si="259"/>
        <v>0</v>
      </c>
      <c r="AI739" s="74" t="str">
        <f>IF(AH739&lt;&gt;0,COUNTIF(AH$3:AH739,1),"")</f>
        <v/>
      </c>
      <c r="AJ739" s="74">
        <f t="shared" si="260"/>
        <v>0</v>
      </c>
      <c r="AK739" s="73" t="str">
        <f t="shared" si="261"/>
        <v/>
      </c>
      <c r="AL739" s="73" t="str">
        <f t="shared" si="262"/>
        <v/>
      </c>
      <c r="AM739" s="73" t="str">
        <f t="shared" si="263"/>
        <v/>
      </c>
      <c r="AN739" s="73" t="str">
        <f t="shared" si="264"/>
        <v/>
      </c>
      <c r="AP739" s="61" t="str">
        <f t="shared" si="265"/>
        <v/>
      </c>
      <c r="AQ739" s="61" t="str">
        <f t="shared" si="266"/>
        <v/>
      </c>
      <c r="AR739" s="61" t="str">
        <f t="shared" si="267"/>
        <v/>
      </c>
    </row>
    <row r="740" spans="16:44" x14ac:dyDescent="0.25">
      <c r="P740" s="73" t="str">
        <f t="shared" si="248"/>
        <v/>
      </c>
      <c r="Q740" s="73" t="str">
        <f t="shared" si="249"/>
        <v/>
      </c>
      <c r="R740" s="74" t="str">
        <f t="shared" si="250"/>
        <v/>
      </c>
      <c r="S740" s="74" t="str">
        <f t="shared" si="251"/>
        <v/>
      </c>
      <c r="U740" s="74" t="str">
        <f t="shared" si="247"/>
        <v/>
      </c>
      <c r="V740" s="74" t="str">
        <f t="shared" si="247"/>
        <v/>
      </c>
      <c r="W740" s="74" t="str">
        <f t="shared" si="247"/>
        <v/>
      </c>
      <c r="X740" s="74" t="str">
        <f t="shared" si="247"/>
        <v/>
      </c>
      <c r="Y740" s="74" t="str">
        <f t="shared" si="247"/>
        <v/>
      </c>
      <c r="Z740" s="74" t="str">
        <f t="shared" si="252"/>
        <v/>
      </c>
      <c r="AA740" s="74">
        <f t="shared" si="253"/>
        <v>0</v>
      </c>
      <c r="AB740" s="74">
        <f t="shared" si="254"/>
        <v>0</v>
      </c>
      <c r="AC740" s="74" t="str">
        <f t="shared" si="255"/>
        <v/>
      </c>
      <c r="AE740" s="74" t="str">
        <f t="shared" si="256"/>
        <v/>
      </c>
      <c r="AF740" s="74" t="str">
        <f t="shared" si="257"/>
        <v/>
      </c>
      <c r="AG740" s="74" t="str">
        <f t="shared" si="258"/>
        <v/>
      </c>
      <c r="AH740" s="74">
        <f t="shared" si="259"/>
        <v>0</v>
      </c>
      <c r="AI740" s="74" t="str">
        <f>IF(AH740&lt;&gt;0,COUNTIF(AH$3:AH740,1),"")</f>
        <v/>
      </c>
      <c r="AJ740" s="74">
        <f t="shared" si="260"/>
        <v>0</v>
      </c>
      <c r="AK740" s="73" t="str">
        <f t="shared" si="261"/>
        <v/>
      </c>
      <c r="AL740" s="73" t="str">
        <f t="shared" si="262"/>
        <v/>
      </c>
      <c r="AM740" s="73" t="str">
        <f t="shared" si="263"/>
        <v/>
      </c>
      <c r="AN740" s="73" t="str">
        <f t="shared" si="264"/>
        <v/>
      </c>
      <c r="AP740" s="61" t="str">
        <f t="shared" si="265"/>
        <v/>
      </c>
      <c r="AQ740" s="61" t="str">
        <f t="shared" si="266"/>
        <v/>
      </c>
      <c r="AR740" s="61" t="str">
        <f t="shared" si="267"/>
        <v/>
      </c>
    </row>
    <row r="741" spans="16:44" x14ac:dyDescent="0.25">
      <c r="P741" s="73" t="str">
        <f t="shared" si="248"/>
        <v/>
      </c>
      <c r="Q741" s="73" t="str">
        <f t="shared" si="249"/>
        <v/>
      </c>
      <c r="R741" s="74" t="str">
        <f t="shared" si="250"/>
        <v/>
      </c>
      <c r="S741" s="74" t="str">
        <f t="shared" si="251"/>
        <v/>
      </c>
      <c r="U741" s="74" t="str">
        <f t="shared" si="247"/>
        <v/>
      </c>
      <c r="V741" s="74" t="str">
        <f t="shared" si="247"/>
        <v/>
      </c>
      <c r="W741" s="74" t="str">
        <f t="shared" si="247"/>
        <v/>
      </c>
      <c r="X741" s="74" t="str">
        <f t="shared" si="247"/>
        <v/>
      </c>
      <c r="Y741" s="74" t="str">
        <f t="shared" si="247"/>
        <v/>
      </c>
      <c r="Z741" s="74" t="str">
        <f t="shared" si="252"/>
        <v/>
      </c>
      <c r="AA741" s="74">
        <f t="shared" si="253"/>
        <v>0</v>
      </c>
      <c r="AB741" s="74">
        <f t="shared" si="254"/>
        <v>0</v>
      </c>
      <c r="AC741" s="74" t="str">
        <f t="shared" si="255"/>
        <v/>
      </c>
      <c r="AE741" s="74" t="str">
        <f t="shared" si="256"/>
        <v/>
      </c>
      <c r="AF741" s="74" t="str">
        <f t="shared" si="257"/>
        <v/>
      </c>
      <c r="AG741" s="74" t="str">
        <f t="shared" si="258"/>
        <v/>
      </c>
      <c r="AH741" s="74">
        <f t="shared" si="259"/>
        <v>0</v>
      </c>
      <c r="AI741" s="74" t="str">
        <f>IF(AH741&lt;&gt;0,COUNTIF(AH$3:AH741,1),"")</f>
        <v/>
      </c>
      <c r="AJ741" s="74">
        <f t="shared" si="260"/>
        <v>0</v>
      </c>
      <c r="AK741" s="73" t="str">
        <f t="shared" si="261"/>
        <v/>
      </c>
      <c r="AL741" s="73" t="str">
        <f t="shared" si="262"/>
        <v/>
      </c>
      <c r="AM741" s="73" t="str">
        <f t="shared" si="263"/>
        <v/>
      </c>
      <c r="AN741" s="73" t="str">
        <f t="shared" si="264"/>
        <v/>
      </c>
      <c r="AP741" s="61" t="str">
        <f t="shared" si="265"/>
        <v/>
      </c>
      <c r="AQ741" s="61" t="str">
        <f t="shared" si="266"/>
        <v/>
      </c>
      <c r="AR741" s="61" t="str">
        <f t="shared" si="267"/>
        <v/>
      </c>
    </row>
    <row r="742" spans="16:44" x14ac:dyDescent="0.25">
      <c r="P742" s="73" t="str">
        <f t="shared" si="248"/>
        <v/>
      </c>
      <c r="Q742" s="73" t="str">
        <f t="shared" si="249"/>
        <v/>
      </c>
      <c r="R742" s="74" t="str">
        <f t="shared" si="250"/>
        <v/>
      </c>
      <c r="S742" s="74" t="str">
        <f t="shared" si="251"/>
        <v/>
      </c>
      <c r="U742" s="74" t="str">
        <f t="shared" si="247"/>
        <v/>
      </c>
      <c r="V742" s="74" t="str">
        <f t="shared" si="247"/>
        <v/>
      </c>
      <c r="W742" s="74" t="str">
        <f t="shared" si="247"/>
        <v/>
      </c>
      <c r="X742" s="74" t="str">
        <f t="shared" si="247"/>
        <v/>
      </c>
      <c r="Y742" s="74" t="str">
        <f t="shared" si="247"/>
        <v/>
      </c>
      <c r="Z742" s="74" t="str">
        <f t="shared" si="252"/>
        <v/>
      </c>
      <c r="AA742" s="74">
        <f t="shared" si="253"/>
        <v>0</v>
      </c>
      <c r="AB742" s="74">
        <f t="shared" si="254"/>
        <v>0</v>
      </c>
      <c r="AC742" s="74" t="str">
        <f t="shared" si="255"/>
        <v/>
      </c>
      <c r="AE742" s="74" t="str">
        <f t="shared" si="256"/>
        <v/>
      </c>
      <c r="AF742" s="74" t="str">
        <f t="shared" si="257"/>
        <v/>
      </c>
      <c r="AG742" s="74" t="str">
        <f t="shared" si="258"/>
        <v/>
      </c>
      <c r="AH742" s="74">
        <f t="shared" si="259"/>
        <v>0</v>
      </c>
      <c r="AI742" s="74" t="str">
        <f>IF(AH742&lt;&gt;0,COUNTIF(AH$3:AH742,1),"")</f>
        <v/>
      </c>
      <c r="AJ742" s="74">
        <f t="shared" si="260"/>
        <v>0</v>
      </c>
      <c r="AK742" s="73" t="str">
        <f t="shared" si="261"/>
        <v/>
      </c>
      <c r="AL742" s="73" t="str">
        <f t="shared" si="262"/>
        <v/>
      </c>
      <c r="AM742" s="73" t="str">
        <f t="shared" si="263"/>
        <v/>
      </c>
      <c r="AN742" s="73" t="str">
        <f t="shared" si="264"/>
        <v/>
      </c>
      <c r="AP742" s="61" t="str">
        <f t="shared" si="265"/>
        <v/>
      </c>
      <c r="AQ742" s="61" t="str">
        <f t="shared" si="266"/>
        <v/>
      </c>
      <c r="AR742" s="61" t="str">
        <f t="shared" si="267"/>
        <v/>
      </c>
    </row>
    <row r="743" spans="16:44" x14ac:dyDescent="0.25">
      <c r="P743" s="73" t="str">
        <f t="shared" si="248"/>
        <v/>
      </c>
      <c r="Q743" s="73" t="str">
        <f t="shared" si="249"/>
        <v/>
      </c>
      <c r="R743" s="74" t="str">
        <f t="shared" si="250"/>
        <v/>
      </c>
      <c r="S743" s="74" t="str">
        <f t="shared" si="251"/>
        <v/>
      </c>
      <c r="U743" s="74" t="str">
        <f t="shared" si="247"/>
        <v/>
      </c>
      <c r="V743" s="74" t="str">
        <f t="shared" si="247"/>
        <v/>
      </c>
      <c r="W743" s="74" t="str">
        <f t="shared" si="247"/>
        <v/>
      </c>
      <c r="X743" s="74" t="str">
        <f t="shared" si="247"/>
        <v/>
      </c>
      <c r="Y743" s="74" t="str">
        <f t="shared" si="247"/>
        <v/>
      </c>
      <c r="Z743" s="74" t="str">
        <f t="shared" si="252"/>
        <v/>
      </c>
      <c r="AA743" s="74">
        <f t="shared" si="253"/>
        <v>0</v>
      </c>
      <c r="AB743" s="74">
        <f t="shared" si="254"/>
        <v>0</v>
      </c>
      <c r="AC743" s="74" t="str">
        <f t="shared" si="255"/>
        <v/>
      </c>
      <c r="AE743" s="74" t="str">
        <f t="shared" si="256"/>
        <v/>
      </c>
      <c r="AF743" s="74" t="str">
        <f t="shared" si="257"/>
        <v/>
      </c>
      <c r="AG743" s="74" t="str">
        <f t="shared" si="258"/>
        <v/>
      </c>
      <c r="AH743" s="74">
        <f t="shared" si="259"/>
        <v>0</v>
      </c>
      <c r="AI743" s="74" t="str">
        <f>IF(AH743&lt;&gt;0,COUNTIF(AH$3:AH743,1),"")</f>
        <v/>
      </c>
      <c r="AJ743" s="74">
        <f t="shared" si="260"/>
        <v>0</v>
      </c>
      <c r="AK743" s="73" t="str">
        <f t="shared" si="261"/>
        <v/>
      </c>
      <c r="AL743" s="73" t="str">
        <f t="shared" si="262"/>
        <v/>
      </c>
      <c r="AM743" s="73" t="str">
        <f t="shared" si="263"/>
        <v/>
      </c>
      <c r="AN743" s="73" t="str">
        <f t="shared" si="264"/>
        <v/>
      </c>
      <c r="AP743" s="61" t="str">
        <f t="shared" si="265"/>
        <v/>
      </c>
      <c r="AQ743" s="61" t="str">
        <f t="shared" si="266"/>
        <v/>
      </c>
      <c r="AR743" s="61" t="str">
        <f t="shared" si="267"/>
        <v/>
      </c>
    </row>
    <row r="744" spans="16:44" x14ac:dyDescent="0.25">
      <c r="P744" s="73" t="str">
        <f t="shared" si="248"/>
        <v/>
      </c>
      <c r="Q744" s="73" t="str">
        <f t="shared" si="249"/>
        <v/>
      </c>
      <c r="R744" s="74" t="str">
        <f t="shared" si="250"/>
        <v/>
      </c>
      <c r="S744" s="74" t="str">
        <f t="shared" si="251"/>
        <v/>
      </c>
      <c r="U744" s="74" t="str">
        <f t="shared" si="247"/>
        <v/>
      </c>
      <c r="V744" s="74" t="str">
        <f t="shared" si="247"/>
        <v/>
      </c>
      <c r="W744" s="74" t="str">
        <f t="shared" si="247"/>
        <v/>
      </c>
      <c r="X744" s="74" t="str">
        <f t="shared" si="247"/>
        <v/>
      </c>
      <c r="Y744" s="74" t="str">
        <f t="shared" si="247"/>
        <v/>
      </c>
      <c r="Z744" s="74" t="str">
        <f t="shared" si="252"/>
        <v/>
      </c>
      <c r="AA744" s="74">
        <f t="shared" si="253"/>
        <v>0</v>
      </c>
      <c r="AB744" s="74">
        <f t="shared" si="254"/>
        <v>0</v>
      </c>
      <c r="AC744" s="74" t="str">
        <f t="shared" si="255"/>
        <v/>
      </c>
      <c r="AE744" s="74" t="str">
        <f t="shared" si="256"/>
        <v/>
      </c>
      <c r="AF744" s="74" t="str">
        <f t="shared" si="257"/>
        <v/>
      </c>
      <c r="AG744" s="74" t="str">
        <f t="shared" si="258"/>
        <v/>
      </c>
      <c r="AH744" s="74">
        <f t="shared" si="259"/>
        <v>0</v>
      </c>
      <c r="AI744" s="74" t="str">
        <f>IF(AH744&lt;&gt;0,COUNTIF(AH$3:AH744,1),"")</f>
        <v/>
      </c>
      <c r="AJ744" s="74">
        <f t="shared" si="260"/>
        <v>0</v>
      </c>
      <c r="AK744" s="73" t="str">
        <f t="shared" si="261"/>
        <v/>
      </c>
      <c r="AL744" s="73" t="str">
        <f t="shared" si="262"/>
        <v/>
      </c>
      <c r="AM744" s="73" t="str">
        <f t="shared" si="263"/>
        <v/>
      </c>
      <c r="AN744" s="73" t="str">
        <f t="shared" si="264"/>
        <v/>
      </c>
      <c r="AP744" s="61" t="str">
        <f t="shared" si="265"/>
        <v/>
      </c>
      <c r="AQ744" s="61" t="str">
        <f t="shared" si="266"/>
        <v/>
      </c>
      <c r="AR744" s="61" t="str">
        <f t="shared" si="267"/>
        <v/>
      </c>
    </row>
    <row r="745" spans="16:44" x14ac:dyDescent="0.25">
      <c r="P745" s="73" t="str">
        <f t="shared" si="248"/>
        <v/>
      </c>
      <c r="Q745" s="73" t="str">
        <f t="shared" si="249"/>
        <v/>
      </c>
      <c r="R745" s="74" t="str">
        <f t="shared" si="250"/>
        <v/>
      </c>
      <c r="S745" s="74" t="str">
        <f t="shared" si="251"/>
        <v/>
      </c>
      <c r="U745" s="74" t="str">
        <f t="shared" si="247"/>
        <v/>
      </c>
      <c r="V745" s="74" t="str">
        <f t="shared" si="247"/>
        <v/>
      </c>
      <c r="W745" s="74" t="str">
        <f t="shared" si="247"/>
        <v/>
      </c>
      <c r="X745" s="74" t="str">
        <f t="shared" si="247"/>
        <v/>
      </c>
      <c r="Y745" s="74" t="str">
        <f t="shared" si="247"/>
        <v/>
      </c>
      <c r="Z745" s="74" t="str">
        <f t="shared" si="252"/>
        <v/>
      </c>
      <c r="AA745" s="74">
        <f t="shared" si="253"/>
        <v>0</v>
      </c>
      <c r="AB745" s="74">
        <f t="shared" si="254"/>
        <v>0</v>
      </c>
      <c r="AC745" s="74" t="str">
        <f t="shared" si="255"/>
        <v/>
      </c>
      <c r="AE745" s="74" t="str">
        <f t="shared" si="256"/>
        <v/>
      </c>
      <c r="AF745" s="74" t="str">
        <f t="shared" si="257"/>
        <v/>
      </c>
      <c r="AG745" s="74" t="str">
        <f t="shared" si="258"/>
        <v/>
      </c>
      <c r="AH745" s="74">
        <f t="shared" si="259"/>
        <v>0</v>
      </c>
      <c r="AI745" s="74" t="str">
        <f>IF(AH745&lt;&gt;0,COUNTIF(AH$3:AH745,1),"")</f>
        <v/>
      </c>
      <c r="AJ745" s="74">
        <f t="shared" si="260"/>
        <v>0</v>
      </c>
      <c r="AK745" s="73" t="str">
        <f t="shared" si="261"/>
        <v/>
      </c>
      <c r="AL745" s="73" t="str">
        <f t="shared" si="262"/>
        <v/>
      </c>
      <c r="AM745" s="73" t="str">
        <f t="shared" si="263"/>
        <v/>
      </c>
      <c r="AN745" s="73" t="str">
        <f t="shared" si="264"/>
        <v/>
      </c>
      <c r="AP745" s="61" t="str">
        <f t="shared" si="265"/>
        <v/>
      </c>
      <c r="AQ745" s="61" t="str">
        <f t="shared" si="266"/>
        <v/>
      </c>
      <c r="AR745" s="61" t="str">
        <f t="shared" si="267"/>
        <v/>
      </c>
    </row>
    <row r="746" spans="16:44" x14ac:dyDescent="0.25">
      <c r="P746" s="73" t="str">
        <f t="shared" si="248"/>
        <v/>
      </c>
      <c r="Q746" s="73" t="str">
        <f t="shared" si="249"/>
        <v/>
      </c>
      <c r="R746" s="74" t="str">
        <f t="shared" si="250"/>
        <v/>
      </c>
      <c r="S746" s="74" t="str">
        <f t="shared" si="251"/>
        <v/>
      </c>
      <c r="U746" s="74" t="str">
        <f t="shared" si="247"/>
        <v/>
      </c>
      <c r="V746" s="74" t="str">
        <f t="shared" si="247"/>
        <v/>
      </c>
      <c r="W746" s="74" t="str">
        <f t="shared" si="247"/>
        <v/>
      </c>
      <c r="X746" s="74" t="str">
        <f t="shared" si="247"/>
        <v/>
      </c>
      <c r="Y746" s="74" t="str">
        <f t="shared" si="247"/>
        <v/>
      </c>
      <c r="Z746" s="74" t="str">
        <f t="shared" si="252"/>
        <v/>
      </c>
      <c r="AA746" s="74">
        <f t="shared" si="253"/>
        <v>0</v>
      </c>
      <c r="AB746" s="74">
        <f t="shared" si="254"/>
        <v>0</v>
      </c>
      <c r="AC746" s="74" t="str">
        <f t="shared" si="255"/>
        <v/>
      </c>
      <c r="AE746" s="74" t="str">
        <f t="shared" si="256"/>
        <v/>
      </c>
      <c r="AF746" s="74" t="str">
        <f t="shared" si="257"/>
        <v/>
      </c>
      <c r="AG746" s="74" t="str">
        <f t="shared" si="258"/>
        <v/>
      </c>
      <c r="AH746" s="74">
        <f t="shared" si="259"/>
        <v>0</v>
      </c>
      <c r="AI746" s="74" t="str">
        <f>IF(AH746&lt;&gt;0,COUNTIF(AH$3:AH746,1),"")</f>
        <v/>
      </c>
      <c r="AJ746" s="74">
        <f t="shared" si="260"/>
        <v>0</v>
      </c>
      <c r="AK746" s="73" t="str">
        <f t="shared" si="261"/>
        <v/>
      </c>
      <c r="AL746" s="73" t="str">
        <f t="shared" si="262"/>
        <v/>
      </c>
      <c r="AM746" s="73" t="str">
        <f t="shared" si="263"/>
        <v/>
      </c>
      <c r="AN746" s="73" t="str">
        <f t="shared" si="264"/>
        <v/>
      </c>
      <c r="AP746" s="61" t="str">
        <f t="shared" si="265"/>
        <v/>
      </c>
      <c r="AQ746" s="61" t="str">
        <f t="shared" si="266"/>
        <v/>
      </c>
      <c r="AR746" s="61" t="str">
        <f t="shared" si="267"/>
        <v/>
      </c>
    </row>
    <row r="747" spans="16:44" x14ac:dyDescent="0.25">
      <c r="P747" s="73" t="str">
        <f t="shared" si="248"/>
        <v/>
      </c>
      <c r="Q747" s="73" t="str">
        <f t="shared" si="249"/>
        <v/>
      </c>
      <c r="R747" s="74" t="str">
        <f t="shared" si="250"/>
        <v/>
      </c>
      <c r="S747" s="74" t="str">
        <f t="shared" si="251"/>
        <v/>
      </c>
      <c r="U747" s="74" t="str">
        <f t="shared" si="247"/>
        <v/>
      </c>
      <c r="V747" s="74" t="str">
        <f t="shared" si="247"/>
        <v/>
      </c>
      <c r="W747" s="74" t="str">
        <f t="shared" si="247"/>
        <v/>
      </c>
      <c r="X747" s="74" t="str">
        <f t="shared" si="247"/>
        <v/>
      </c>
      <c r="Y747" s="74" t="str">
        <f t="shared" si="247"/>
        <v/>
      </c>
      <c r="Z747" s="74" t="str">
        <f t="shared" si="252"/>
        <v/>
      </c>
      <c r="AA747" s="74">
        <f t="shared" si="253"/>
        <v>0</v>
      </c>
      <c r="AB747" s="74">
        <f t="shared" si="254"/>
        <v>0</v>
      </c>
      <c r="AC747" s="74" t="str">
        <f t="shared" si="255"/>
        <v/>
      </c>
      <c r="AE747" s="74" t="str">
        <f t="shared" si="256"/>
        <v/>
      </c>
      <c r="AF747" s="74" t="str">
        <f t="shared" si="257"/>
        <v/>
      </c>
      <c r="AG747" s="74" t="str">
        <f t="shared" si="258"/>
        <v/>
      </c>
      <c r="AH747" s="74">
        <f t="shared" si="259"/>
        <v>0</v>
      </c>
      <c r="AI747" s="74" t="str">
        <f>IF(AH747&lt;&gt;0,COUNTIF(AH$3:AH747,1),"")</f>
        <v/>
      </c>
      <c r="AJ747" s="74">
        <f t="shared" si="260"/>
        <v>0</v>
      </c>
      <c r="AK747" s="73" t="str">
        <f t="shared" si="261"/>
        <v/>
      </c>
      <c r="AL747" s="73" t="str">
        <f t="shared" si="262"/>
        <v/>
      </c>
      <c r="AM747" s="73" t="str">
        <f t="shared" si="263"/>
        <v/>
      </c>
      <c r="AN747" s="73" t="str">
        <f t="shared" si="264"/>
        <v/>
      </c>
      <c r="AP747" s="61" t="str">
        <f t="shared" si="265"/>
        <v/>
      </c>
      <c r="AQ747" s="61" t="str">
        <f t="shared" si="266"/>
        <v/>
      </c>
      <c r="AR747" s="61" t="str">
        <f t="shared" si="267"/>
        <v/>
      </c>
    </row>
    <row r="748" spans="16:44" x14ac:dyDescent="0.25">
      <c r="P748" s="73" t="str">
        <f t="shared" si="248"/>
        <v/>
      </c>
      <c r="Q748" s="73" t="str">
        <f t="shared" si="249"/>
        <v/>
      </c>
      <c r="R748" s="74" t="str">
        <f t="shared" si="250"/>
        <v/>
      </c>
      <c r="S748" s="74" t="str">
        <f t="shared" si="251"/>
        <v/>
      </c>
      <c r="U748" s="74" t="str">
        <f t="shared" si="247"/>
        <v/>
      </c>
      <c r="V748" s="74" t="str">
        <f t="shared" si="247"/>
        <v/>
      </c>
      <c r="W748" s="74" t="str">
        <f t="shared" si="247"/>
        <v/>
      </c>
      <c r="X748" s="74" t="str">
        <f t="shared" si="247"/>
        <v/>
      </c>
      <c r="Y748" s="74" t="str">
        <f t="shared" si="247"/>
        <v/>
      </c>
      <c r="Z748" s="74" t="str">
        <f t="shared" si="252"/>
        <v/>
      </c>
      <c r="AA748" s="74">
        <f t="shared" si="253"/>
        <v>0</v>
      </c>
      <c r="AB748" s="74">
        <f t="shared" si="254"/>
        <v>0</v>
      </c>
      <c r="AC748" s="74" t="str">
        <f t="shared" si="255"/>
        <v/>
      </c>
      <c r="AE748" s="74" t="str">
        <f t="shared" si="256"/>
        <v/>
      </c>
      <c r="AF748" s="74" t="str">
        <f t="shared" si="257"/>
        <v/>
      </c>
      <c r="AG748" s="74" t="str">
        <f t="shared" si="258"/>
        <v/>
      </c>
      <c r="AH748" s="74">
        <f t="shared" si="259"/>
        <v>0</v>
      </c>
      <c r="AI748" s="74" t="str">
        <f>IF(AH748&lt;&gt;0,COUNTIF(AH$3:AH748,1),"")</f>
        <v/>
      </c>
      <c r="AJ748" s="74">
        <f t="shared" si="260"/>
        <v>0</v>
      </c>
      <c r="AK748" s="73" t="str">
        <f t="shared" si="261"/>
        <v/>
      </c>
      <c r="AL748" s="73" t="str">
        <f t="shared" si="262"/>
        <v/>
      </c>
      <c r="AM748" s="73" t="str">
        <f t="shared" si="263"/>
        <v/>
      </c>
      <c r="AN748" s="73" t="str">
        <f t="shared" si="264"/>
        <v/>
      </c>
      <c r="AP748" s="61" t="str">
        <f t="shared" si="265"/>
        <v/>
      </c>
      <c r="AQ748" s="61" t="str">
        <f t="shared" si="266"/>
        <v/>
      </c>
      <c r="AR748" s="61" t="str">
        <f t="shared" si="267"/>
        <v/>
      </c>
    </row>
    <row r="749" spans="16:44" x14ac:dyDescent="0.25">
      <c r="P749" s="73" t="str">
        <f t="shared" si="248"/>
        <v/>
      </c>
      <c r="Q749" s="73" t="str">
        <f t="shared" si="249"/>
        <v/>
      </c>
      <c r="R749" s="74" t="str">
        <f t="shared" si="250"/>
        <v/>
      </c>
      <c r="S749" s="74" t="str">
        <f t="shared" si="251"/>
        <v/>
      </c>
      <c r="U749" s="74" t="str">
        <f t="shared" si="247"/>
        <v/>
      </c>
      <c r="V749" s="74" t="str">
        <f t="shared" si="247"/>
        <v/>
      </c>
      <c r="W749" s="74" t="str">
        <f t="shared" si="247"/>
        <v/>
      </c>
      <c r="X749" s="74" t="str">
        <f t="shared" si="247"/>
        <v/>
      </c>
      <c r="Y749" s="74" t="str">
        <f t="shared" si="247"/>
        <v/>
      </c>
      <c r="Z749" s="74" t="str">
        <f t="shared" si="252"/>
        <v/>
      </c>
      <c r="AA749" s="74">
        <f t="shared" si="253"/>
        <v>0</v>
      </c>
      <c r="AB749" s="74">
        <f t="shared" si="254"/>
        <v>0</v>
      </c>
      <c r="AC749" s="74" t="str">
        <f t="shared" si="255"/>
        <v/>
      </c>
      <c r="AE749" s="74" t="str">
        <f t="shared" si="256"/>
        <v/>
      </c>
      <c r="AF749" s="74" t="str">
        <f t="shared" si="257"/>
        <v/>
      </c>
      <c r="AG749" s="74" t="str">
        <f t="shared" si="258"/>
        <v/>
      </c>
      <c r="AH749" s="74">
        <f t="shared" si="259"/>
        <v>0</v>
      </c>
      <c r="AI749" s="74" t="str">
        <f>IF(AH749&lt;&gt;0,COUNTIF(AH$3:AH749,1),"")</f>
        <v/>
      </c>
      <c r="AJ749" s="74">
        <f t="shared" si="260"/>
        <v>0</v>
      </c>
      <c r="AK749" s="73" t="str">
        <f t="shared" si="261"/>
        <v/>
      </c>
      <c r="AL749" s="73" t="str">
        <f t="shared" si="262"/>
        <v/>
      </c>
      <c r="AM749" s="73" t="str">
        <f t="shared" si="263"/>
        <v/>
      </c>
      <c r="AN749" s="73" t="str">
        <f t="shared" si="264"/>
        <v/>
      </c>
      <c r="AP749" s="61" t="str">
        <f t="shared" si="265"/>
        <v/>
      </c>
      <c r="AQ749" s="61" t="str">
        <f t="shared" si="266"/>
        <v/>
      </c>
      <c r="AR749" s="61" t="str">
        <f t="shared" si="267"/>
        <v/>
      </c>
    </row>
    <row r="750" spans="16:44" x14ac:dyDescent="0.25">
      <c r="P750" s="73" t="str">
        <f t="shared" si="248"/>
        <v/>
      </c>
      <c r="Q750" s="73" t="str">
        <f t="shared" si="249"/>
        <v/>
      </c>
      <c r="R750" s="74" t="str">
        <f t="shared" si="250"/>
        <v/>
      </c>
      <c r="S750" s="74" t="str">
        <f t="shared" si="251"/>
        <v/>
      </c>
      <c r="U750" s="74" t="str">
        <f t="shared" si="247"/>
        <v/>
      </c>
      <c r="V750" s="74" t="str">
        <f t="shared" si="247"/>
        <v/>
      </c>
      <c r="W750" s="74" t="str">
        <f t="shared" si="247"/>
        <v/>
      </c>
      <c r="X750" s="74" t="str">
        <f t="shared" si="247"/>
        <v/>
      </c>
      <c r="Y750" s="74" t="str">
        <f t="shared" si="247"/>
        <v/>
      </c>
      <c r="Z750" s="74" t="str">
        <f t="shared" si="252"/>
        <v/>
      </c>
      <c r="AA750" s="74">
        <f t="shared" si="253"/>
        <v>0</v>
      </c>
      <c r="AB750" s="74">
        <f t="shared" si="254"/>
        <v>0</v>
      </c>
      <c r="AC750" s="74" t="str">
        <f t="shared" si="255"/>
        <v/>
      </c>
      <c r="AE750" s="74" t="str">
        <f t="shared" si="256"/>
        <v/>
      </c>
      <c r="AF750" s="74" t="str">
        <f t="shared" si="257"/>
        <v/>
      </c>
      <c r="AG750" s="74" t="str">
        <f t="shared" si="258"/>
        <v/>
      </c>
      <c r="AH750" s="74">
        <f t="shared" si="259"/>
        <v>0</v>
      </c>
      <c r="AI750" s="74" t="str">
        <f>IF(AH750&lt;&gt;0,COUNTIF(AH$3:AH750,1),"")</f>
        <v/>
      </c>
      <c r="AJ750" s="74">
        <f t="shared" si="260"/>
        <v>0</v>
      </c>
      <c r="AK750" s="73" t="str">
        <f t="shared" si="261"/>
        <v/>
      </c>
      <c r="AL750" s="73" t="str">
        <f t="shared" si="262"/>
        <v/>
      </c>
      <c r="AM750" s="73" t="str">
        <f t="shared" si="263"/>
        <v/>
      </c>
      <c r="AN750" s="73" t="str">
        <f t="shared" si="264"/>
        <v/>
      </c>
      <c r="AP750" s="61" t="str">
        <f t="shared" si="265"/>
        <v/>
      </c>
      <c r="AQ750" s="61" t="str">
        <f t="shared" si="266"/>
        <v/>
      </c>
      <c r="AR750" s="61" t="str">
        <f t="shared" si="267"/>
        <v/>
      </c>
    </row>
    <row r="751" spans="16:44" x14ac:dyDescent="0.25">
      <c r="P751" s="73" t="str">
        <f t="shared" si="248"/>
        <v/>
      </c>
      <c r="Q751" s="73" t="str">
        <f t="shared" si="249"/>
        <v/>
      </c>
      <c r="R751" s="74" t="str">
        <f t="shared" si="250"/>
        <v/>
      </c>
      <c r="S751" s="74" t="str">
        <f t="shared" si="251"/>
        <v/>
      </c>
      <c r="U751" s="74" t="str">
        <f t="shared" ref="U751:Y801" si="268">IF($F751=U$1,$E751,"")</f>
        <v/>
      </c>
      <c r="V751" s="74" t="str">
        <f t="shared" si="268"/>
        <v/>
      </c>
      <c r="W751" s="74" t="str">
        <f t="shared" si="268"/>
        <v/>
      </c>
      <c r="X751" s="74" t="str">
        <f t="shared" si="268"/>
        <v/>
      </c>
      <c r="Y751" s="74" t="str">
        <f t="shared" si="268"/>
        <v/>
      </c>
      <c r="Z751" s="74" t="str">
        <f t="shared" si="252"/>
        <v/>
      </c>
      <c r="AA751" s="74">
        <f t="shared" si="253"/>
        <v>0</v>
      </c>
      <c r="AB751" s="74">
        <f t="shared" si="254"/>
        <v>0</v>
      </c>
      <c r="AC751" s="74" t="str">
        <f t="shared" si="255"/>
        <v/>
      </c>
      <c r="AE751" s="74" t="str">
        <f t="shared" si="256"/>
        <v/>
      </c>
      <c r="AF751" s="74" t="str">
        <f t="shared" si="257"/>
        <v/>
      </c>
      <c r="AG751" s="74" t="str">
        <f t="shared" si="258"/>
        <v/>
      </c>
      <c r="AH751" s="74">
        <f t="shared" si="259"/>
        <v>0</v>
      </c>
      <c r="AI751" s="74" t="str">
        <f>IF(AH751&lt;&gt;0,COUNTIF(AH$3:AH751,1),"")</f>
        <v/>
      </c>
      <c r="AJ751" s="74">
        <f t="shared" si="260"/>
        <v>0</v>
      </c>
      <c r="AK751" s="73" t="str">
        <f t="shared" si="261"/>
        <v/>
      </c>
      <c r="AL751" s="73" t="str">
        <f t="shared" si="262"/>
        <v/>
      </c>
      <c r="AM751" s="73" t="str">
        <f t="shared" si="263"/>
        <v/>
      </c>
      <c r="AN751" s="73" t="str">
        <f t="shared" si="264"/>
        <v/>
      </c>
      <c r="AP751" s="61" t="str">
        <f t="shared" si="265"/>
        <v/>
      </c>
      <c r="AQ751" s="61" t="str">
        <f t="shared" si="266"/>
        <v/>
      </c>
      <c r="AR751" s="61" t="str">
        <f t="shared" si="267"/>
        <v/>
      </c>
    </row>
    <row r="752" spans="16:44" x14ac:dyDescent="0.25">
      <c r="P752" s="73" t="str">
        <f t="shared" si="248"/>
        <v/>
      </c>
      <c r="Q752" s="73" t="str">
        <f t="shared" si="249"/>
        <v/>
      </c>
      <c r="R752" s="74" t="str">
        <f t="shared" si="250"/>
        <v/>
      </c>
      <c r="S752" s="74" t="str">
        <f t="shared" si="251"/>
        <v/>
      </c>
      <c r="U752" s="74" t="str">
        <f t="shared" si="268"/>
        <v/>
      </c>
      <c r="V752" s="74" t="str">
        <f t="shared" si="268"/>
        <v/>
      </c>
      <c r="W752" s="74" t="str">
        <f t="shared" si="268"/>
        <v/>
      </c>
      <c r="X752" s="74" t="str">
        <f t="shared" si="268"/>
        <v/>
      </c>
      <c r="Y752" s="74" t="str">
        <f t="shared" si="268"/>
        <v/>
      </c>
      <c r="Z752" s="74" t="str">
        <f t="shared" si="252"/>
        <v/>
      </c>
      <c r="AA752" s="74">
        <f t="shared" si="253"/>
        <v>0</v>
      </c>
      <c r="AB752" s="74">
        <f t="shared" si="254"/>
        <v>0</v>
      </c>
      <c r="AC752" s="74" t="str">
        <f t="shared" si="255"/>
        <v/>
      </c>
      <c r="AE752" s="74" t="str">
        <f t="shared" si="256"/>
        <v/>
      </c>
      <c r="AF752" s="74" t="str">
        <f t="shared" si="257"/>
        <v/>
      </c>
      <c r="AG752" s="74" t="str">
        <f t="shared" si="258"/>
        <v/>
      </c>
      <c r="AH752" s="74">
        <f t="shared" si="259"/>
        <v>0</v>
      </c>
      <c r="AI752" s="74" t="str">
        <f>IF(AH752&lt;&gt;0,COUNTIF(AH$3:AH752,1),"")</f>
        <v/>
      </c>
      <c r="AJ752" s="74">
        <f t="shared" si="260"/>
        <v>0</v>
      </c>
      <c r="AK752" s="73" t="str">
        <f t="shared" si="261"/>
        <v/>
      </c>
      <c r="AL752" s="73" t="str">
        <f t="shared" si="262"/>
        <v/>
      </c>
      <c r="AM752" s="73" t="str">
        <f t="shared" si="263"/>
        <v/>
      </c>
      <c r="AN752" s="73" t="str">
        <f t="shared" si="264"/>
        <v/>
      </c>
      <c r="AP752" s="61" t="str">
        <f t="shared" si="265"/>
        <v/>
      </c>
      <c r="AQ752" s="61" t="str">
        <f t="shared" si="266"/>
        <v/>
      </c>
      <c r="AR752" s="61" t="str">
        <f t="shared" si="267"/>
        <v/>
      </c>
    </row>
    <row r="753" spans="16:44" x14ac:dyDescent="0.25">
      <c r="P753" s="73" t="str">
        <f t="shared" si="248"/>
        <v/>
      </c>
      <c r="Q753" s="73" t="str">
        <f t="shared" si="249"/>
        <v/>
      </c>
      <c r="R753" s="74" t="str">
        <f t="shared" si="250"/>
        <v/>
      </c>
      <c r="S753" s="74" t="str">
        <f t="shared" si="251"/>
        <v/>
      </c>
      <c r="U753" s="74" t="str">
        <f t="shared" si="268"/>
        <v/>
      </c>
      <c r="V753" s="74" t="str">
        <f t="shared" si="268"/>
        <v/>
      </c>
      <c r="W753" s="74" t="str">
        <f t="shared" si="268"/>
        <v/>
      </c>
      <c r="X753" s="74" t="str">
        <f t="shared" si="268"/>
        <v/>
      </c>
      <c r="Y753" s="74" t="str">
        <f t="shared" si="268"/>
        <v/>
      </c>
      <c r="Z753" s="74" t="str">
        <f t="shared" si="252"/>
        <v/>
      </c>
      <c r="AA753" s="74">
        <f t="shared" si="253"/>
        <v>0</v>
      </c>
      <c r="AB753" s="74">
        <f t="shared" si="254"/>
        <v>0</v>
      </c>
      <c r="AC753" s="74" t="str">
        <f t="shared" si="255"/>
        <v/>
      </c>
      <c r="AE753" s="74" t="str">
        <f t="shared" si="256"/>
        <v/>
      </c>
      <c r="AF753" s="74" t="str">
        <f t="shared" si="257"/>
        <v/>
      </c>
      <c r="AG753" s="74" t="str">
        <f t="shared" si="258"/>
        <v/>
      </c>
      <c r="AH753" s="74">
        <f t="shared" si="259"/>
        <v>0</v>
      </c>
      <c r="AI753" s="74" t="str">
        <f>IF(AH753&lt;&gt;0,COUNTIF(AH$3:AH753,1),"")</f>
        <v/>
      </c>
      <c r="AJ753" s="74">
        <f t="shared" si="260"/>
        <v>0</v>
      </c>
      <c r="AK753" s="73" t="str">
        <f t="shared" si="261"/>
        <v/>
      </c>
      <c r="AL753" s="73" t="str">
        <f t="shared" si="262"/>
        <v/>
      </c>
      <c r="AM753" s="73" t="str">
        <f t="shared" si="263"/>
        <v/>
      </c>
      <c r="AN753" s="73" t="str">
        <f t="shared" si="264"/>
        <v/>
      </c>
      <c r="AP753" s="61" t="str">
        <f t="shared" si="265"/>
        <v/>
      </c>
      <c r="AQ753" s="61" t="str">
        <f t="shared" si="266"/>
        <v/>
      </c>
      <c r="AR753" s="61" t="str">
        <f t="shared" si="267"/>
        <v/>
      </c>
    </row>
    <row r="754" spans="16:44" x14ac:dyDescent="0.25">
      <c r="P754" s="73" t="str">
        <f t="shared" si="248"/>
        <v/>
      </c>
      <c r="Q754" s="73" t="str">
        <f t="shared" si="249"/>
        <v/>
      </c>
      <c r="R754" s="74" t="str">
        <f t="shared" si="250"/>
        <v/>
      </c>
      <c r="S754" s="74" t="str">
        <f t="shared" si="251"/>
        <v/>
      </c>
      <c r="U754" s="74" t="str">
        <f t="shared" si="268"/>
        <v/>
      </c>
      <c r="V754" s="74" t="str">
        <f t="shared" si="268"/>
        <v/>
      </c>
      <c r="W754" s="74" t="str">
        <f t="shared" si="268"/>
        <v/>
      </c>
      <c r="X754" s="74" t="str">
        <f t="shared" si="268"/>
        <v/>
      </c>
      <c r="Y754" s="74" t="str">
        <f t="shared" si="268"/>
        <v/>
      </c>
      <c r="Z754" s="74" t="str">
        <f t="shared" si="252"/>
        <v/>
      </c>
      <c r="AA754" s="74">
        <f t="shared" si="253"/>
        <v>0</v>
      </c>
      <c r="AB754" s="74">
        <f t="shared" si="254"/>
        <v>0</v>
      </c>
      <c r="AC754" s="74" t="str">
        <f t="shared" si="255"/>
        <v/>
      </c>
      <c r="AE754" s="74" t="str">
        <f t="shared" si="256"/>
        <v/>
      </c>
      <c r="AF754" s="74" t="str">
        <f t="shared" si="257"/>
        <v/>
      </c>
      <c r="AG754" s="74" t="str">
        <f t="shared" si="258"/>
        <v/>
      </c>
      <c r="AH754" s="74">
        <f t="shared" si="259"/>
        <v>0</v>
      </c>
      <c r="AI754" s="74" t="str">
        <f>IF(AH754&lt;&gt;0,COUNTIF(AH$3:AH754,1),"")</f>
        <v/>
      </c>
      <c r="AJ754" s="74">
        <f t="shared" si="260"/>
        <v>0</v>
      </c>
      <c r="AK754" s="73" t="str">
        <f t="shared" si="261"/>
        <v/>
      </c>
      <c r="AL754" s="73" t="str">
        <f t="shared" si="262"/>
        <v/>
      </c>
      <c r="AM754" s="73" t="str">
        <f t="shared" si="263"/>
        <v/>
      </c>
      <c r="AN754" s="73" t="str">
        <f t="shared" si="264"/>
        <v/>
      </c>
      <c r="AP754" s="61" t="str">
        <f t="shared" si="265"/>
        <v/>
      </c>
      <c r="AQ754" s="61" t="str">
        <f t="shared" si="266"/>
        <v/>
      </c>
      <c r="AR754" s="61" t="str">
        <f t="shared" si="267"/>
        <v/>
      </c>
    </row>
    <row r="755" spans="16:44" x14ac:dyDescent="0.25">
      <c r="P755" s="73" t="str">
        <f t="shared" si="248"/>
        <v/>
      </c>
      <c r="Q755" s="73" t="str">
        <f t="shared" si="249"/>
        <v/>
      </c>
      <c r="R755" s="74" t="str">
        <f t="shared" si="250"/>
        <v/>
      </c>
      <c r="S755" s="74" t="str">
        <f t="shared" si="251"/>
        <v/>
      </c>
      <c r="U755" s="74" t="str">
        <f t="shared" si="268"/>
        <v/>
      </c>
      <c r="V755" s="74" t="str">
        <f t="shared" si="268"/>
        <v/>
      </c>
      <c r="W755" s="74" t="str">
        <f t="shared" si="268"/>
        <v/>
      </c>
      <c r="X755" s="74" t="str">
        <f t="shared" si="268"/>
        <v/>
      </c>
      <c r="Y755" s="74" t="str">
        <f t="shared" si="268"/>
        <v/>
      </c>
      <c r="Z755" s="74" t="str">
        <f t="shared" si="252"/>
        <v/>
      </c>
      <c r="AA755" s="74">
        <f t="shared" si="253"/>
        <v>0</v>
      </c>
      <c r="AB755" s="74">
        <f t="shared" si="254"/>
        <v>0</v>
      </c>
      <c r="AC755" s="74" t="str">
        <f t="shared" si="255"/>
        <v/>
      </c>
      <c r="AE755" s="74" t="str">
        <f t="shared" si="256"/>
        <v/>
      </c>
      <c r="AF755" s="74" t="str">
        <f t="shared" si="257"/>
        <v/>
      </c>
      <c r="AG755" s="74" t="str">
        <f t="shared" si="258"/>
        <v/>
      </c>
      <c r="AH755" s="74">
        <f t="shared" si="259"/>
        <v>0</v>
      </c>
      <c r="AI755" s="74" t="str">
        <f>IF(AH755&lt;&gt;0,COUNTIF(AH$3:AH755,1),"")</f>
        <v/>
      </c>
      <c r="AJ755" s="74">
        <f t="shared" si="260"/>
        <v>0</v>
      </c>
      <c r="AK755" s="73" t="str">
        <f t="shared" si="261"/>
        <v/>
      </c>
      <c r="AL755" s="73" t="str">
        <f t="shared" si="262"/>
        <v/>
      </c>
      <c r="AM755" s="73" t="str">
        <f t="shared" si="263"/>
        <v/>
      </c>
      <c r="AN755" s="73" t="str">
        <f t="shared" si="264"/>
        <v/>
      </c>
      <c r="AP755" s="61" t="str">
        <f t="shared" si="265"/>
        <v/>
      </c>
      <c r="AQ755" s="61" t="str">
        <f t="shared" si="266"/>
        <v/>
      </c>
      <c r="AR755" s="61" t="str">
        <f t="shared" si="267"/>
        <v/>
      </c>
    </row>
    <row r="756" spans="16:44" x14ac:dyDescent="0.25">
      <c r="P756" s="73" t="str">
        <f t="shared" si="248"/>
        <v/>
      </c>
      <c r="Q756" s="73" t="str">
        <f t="shared" si="249"/>
        <v/>
      </c>
      <c r="R756" s="74" t="str">
        <f t="shared" si="250"/>
        <v/>
      </c>
      <c r="S756" s="74" t="str">
        <f t="shared" si="251"/>
        <v/>
      </c>
      <c r="U756" s="74" t="str">
        <f t="shared" si="268"/>
        <v/>
      </c>
      <c r="V756" s="74" t="str">
        <f t="shared" si="268"/>
        <v/>
      </c>
      <c r="W756" s="74" t="str">
        <f t="shared" si="268"/>
        <v/>
      </c>
      <c r="X756" s="74" t="str">
        <f t="shared" si="268"/>
        <v/>
      </c>
      <c r="Y756" s="74" t="str">
        <f t="shared" si="268"/>
        <v/>
      </c>
      <c r="Z756" s="74" t="str">
        <f t="shared" si="252"/>
        <v/>
      </c>
      <c r="AA756" s="74">
        <f t="shared" si="253"/>
        <v>0</v>
      </c>
      <c r="AB756" s="74">
        <f t="shared" si="254"/>
        <v>0</v>
      </c>
      <c r="AC756" s="74" t="str">
        <f t="shared" si="255"/>
        <v/>
      </c>
      <c r="AE756" s="74" t="str">
        <f t="shared" si="256"/>
        <v/>
      </c>
      <c r="AF756" s="74" t="str">
        <f t="shared" si="257"/>
        <v/>
      </c>
      <c r="AG756" s="74" t="str">
        <f t="shared" si="258"/>
        <v/>
      </c>
      <c r="AH756" s="74">
        <f t="shared" si="259"/>
        <v>0</v>
      </c>
      <c r="AI756" s="74" t="str">
        <f>IF(AH756&lt;&gt;0,COUNTIF(AH$3:AH756,1),"")</f>
        <v/>
      </c>
      <c r="AJ756" s="74">
        <f t="shared" si="260"/>
        <v>0</v>
      </c>
      <c r="AK756" s="73" t="str">
        <f t="shared" si="261"/>
        <v/>
      </c>
      <c r="AL756" s="73" t="str">
        <f t="shared" si="262"/>
        <v/>
      </c>
      <c r="AM756" s="73" t="str">
        <f t="shared" si="263"/>
        <v/>
      </c>
      <c r="AN756" s="73" t="str">
        <f t="shared" si="264"/>
        <v/>
      </c>
      <c r="AP756" s="61" t="str">
        <f t="shared" si="265"/>
        <v/>
      </c>
      <c r="AQ756" s="61" t="str">
        <f t="shared" si="266"/>
        <v/>
      </c>
      <c r="AR756" s="61" t="str">
        <f t="shared" si="267"/>
        <v/>
      </c>
    </row>
    <row r="757" spans="16:44" x14ac:dyDescent="0.25">
      <c r="P757" s="73" t="str">
        <f t="shared" si="248"/>
        <v/>
      </c>
      <c r="Q757" s="73" t="str">
        <f t="shared" si="249"/>
        <v/>
      </c>
      <c r="R757" s="74" t="str">
        <f t="shared" si="250"/>
        <v/>
      </c>
      <c r="S757" s="74" t="str">
        <f t="shared" si="251"/>
        <v/>
      </c>
      <c r="U757" s="74" t="str">
        <f t="shared" si="268"/>
        <v/>
      </c>
      <c r="V757" s="74" t="str">
        <f t="shared" si="268"/>
        <v/>
      </c>
      <c r="W757" s="74" t="str">
        <f t="shared" si="268"/>
        <v/>
      </c>
      <c r="X757" s="74" t="str">
        <f t="shared" si="268"/>
        <v/>
      </c>
      <c r="Y757" s="74" t="str">
        <f t="shared" si="268"/>
        <v/>
      </c>
      <c r="Z757" s="74" t="str">
        <f t="shared" si="252"/>
        <v/>
      </c>
      <c r="AA757" s="74">
        <f t="shared" si="253"/>
        <v>0</v>
      </c>
      <c r="AB757" s="74">
        <f t="shared" si="254"/>
        <v>0</v>
      </c>
      <c r="AC757" s="74" t="str">
        <f t="shared" si="255"/>
        <v/>
      </c>
      <c r="AE757" s="74" t="str">
        <f t="shared" si="256"/>
        <v/>
      </c>
      <c r="AF757" s="74" t="str">
        <f t="shared" si="257"/>
        <v/>
      </c>
      <c r="AG757" s="74" t="str">
        <f t="shared" si="258"/>
        <v/>
      </c>
      <c r="AH757" s="74">
        <f t="shared" si="259"/>
        <v>0</v>
      </c>
      <c r="AI757" s="74" t="str">
        <f>IF(AH757&lt;&gt;0,COUNTIF(AH$3:AH757,1),"")</f>
        <v/>
      </c>
      <c r="AJ757" s="74">
        <f t="shared" si="260"/>
        <v>0</v>
      </c>
      <c r="AK757" s="73" t="str">
        <f t="shared" si="261"/>
        <v/>
      </c>
      <c r="AL757" s="73" t="str">
        <f t="shared" si="262"/>
        <v/>
      </c>
      <c r="AM757" s="73" t="str">
        <f t="shared" si="263"/>
        <v/>
      </c>
      <c r="AN757" s="73" t="str">
        <f t="shared" si="264"/>
        <v/>
      </c>
      <c r="AP757" s="61" t="str">
        <f t="shared" si="265"/>
        <v/>
      </c>
      <c r="AQ757" s="61" t="str">
        <f t="shared" si="266"/>
        <v/>
      </c>
      <c r="AR757" s="61" t="str">
        <f t="shared" si="267"/>
        <v/>
      </c>
    </row>
    <row r="758" spans="16:44" x14ac:dyDescent="0.25">
      <c r="P758" s="73" t="str">
        <f t="shared" si="248"/>
        <v/>
      </c>
      <c r="Q758" s="73" t="str">
        <f t="shared" si="249"/>
        <v/>
      </c>
      <c r="R758" s="74" t="str">
        <f t="shared" si="250"/>
        <v/>
      </c>
      <c r="S758" s="74" t="str">
        <f t="shared" si="251"/>
        <v/>
      </c>
      <c r="U758" s="74" t="str">
        <f t="shared" si="268"/>
        <v/>
      </c>
      <c r="V758" s="74" t="str">
        <f t="shared" si="268"/>
        <v/>
      </c>
      <c r="W758" s="74" t="str">
        <f t="shared" si="268"/>
        <v/>
      </c>
      <c r="X758" s="74" t="str">
        <f t="shared" si="268"/>
        <v/>
      </c>
      <c r="Y758" s="74" t="str">
        <f t="shared" si="268"/>
        <v/>
      </c>
      <c r="Z758" s="74" t="str">
        <f t="shared" si="252"/>
        <v/>
      </c>
      <c r="AA758" s="74">
        <f t="shared" si="253"/>
        <v>0</v>
      </c>
      <c r="AB758" s="74">
        <f t="shared" si="254"/>
        <v>0</v>
      </c>
      <c r="AC758" s="74" t="str">
        <f t="shared" si="255"/>
        <v/>
      </c>
      <c r="AE758" s="74" t="str">
        <f t="shared" si="256"/>
        <v/>
      </c>
      <c r="AF758" s="74" t="str">
        <f t="shared" si="257"/>
        <v/>
      </c>
      <c r="AG758" s="74" t="str">
        <f t="shared" si="258"/>
        <v/>
      </c>
      <c r="AH758" s="74">
        <f t="shared" si="259"/>
        <v>0</v>
      </c>
      <c r="AI758" s="74" t="str">
        <f>IF(AH758&lt;&gt;0,COUNTIF(AH$3:AH758,1),"")</f>
        <v/>
      </c>
      <c r="AJ758" s="74">
        <f t="shared" si="260"/>
        <v>0</v>
      </c>
      <c r="AK758" s="73" t="str">
        <f t="shared" si="261"/>
        <v/>
      </c>
      <c r="AL758" s="73" t="str">
        <f t="shared" si="262"/>
        <v/>
      </c>
      <c r="AM758" s="73" t="str">
        <f t="shared" si="263"/>
        <v/>
      </c>
      <c r="AN758" s="73" t="str">
        <f t="shared" si="264"/>
        <v/>
      </c>
      <c r="AP758" s="61" t="str">
        <f t="shared" si="265"/>
        <v/>
      </c>
      <c r="AQ758" s="61" t="str">
        <f t="shared" si="266"/>
        <v/>
      </c>
      <c r="AR758" s="61" t="str">
        <f t="shared" si="267"/>
        <v/>
      </c>
    </row>
    <row r="759" spans="16:44" x14ac:dyDescent="0.25">
      <c r="P759" s="73" t="str">
        <f t="shared" si="248"/>
        <v/>
      </c>
      <c r="Q759" s="73" t="str">
        <f t="shared" si="249"/>
        <v/>
      </c>
      <c r="R759" s="74" t="str">
        <f t="shared" si="250"/>
        <v/>
      </c>
      <c r="S759" s="74" t="str">
        <f t="shared" si="251"/>
        <v/>
      </c>
      <c r="U759" s="74" t="str">
        <f t="shared" si="268"/>
        <v/>
      </c>
      <c r="V759" s="74" t="str">
        <f t="shared" si="268"/>
        <v/>
      </c>
      <c r="W759" s="74" t="str">
        <f t="shared" si="268"/>
        <v/>
      </c>
      <c r="X759" s="74" t="str">
        <f t="shared" si="268"/>
        <v/>
      </c>
      <c r="Y759" s="74" t="str">
        <f t="shared" si="268"/>
        <v/>
      </c>
      <c r="Z759" s="74" t="str">
        <f t="shared" si="252"/>
        <v/>
      </c>
      <c r="AA759" s="74">
        <f t="shared" si="253"/>
        <v>0</v>
      </c>
      <c r="AB759" s="74">
        <f t="shared" si="254"/>
        <v>0</v>
      </c>
      <c r="AC759" s="74" t="str">
        <f t="shared" si="255"/>
        <v/>
      </c>
      <c r="AE759" s="74" t="str">
        <f t="shared" si="256"/>
        <v/>
      </c>
      <c r="AF759" s="74" t="str">
        <f t="shared" si="257"/>
        <v/>
      </c>
      <c r="AG759" s="74" t="str">
        <f t="shared" si="258"/>
        <v/>
      </c>
      <c r="AH759" s="74">
        <f t="shared" si="259"/>
        <v>0</v>
      </c>
      <c r="AI759" s="74" t="str">
        <f>IF(AH759&lt;&gt;0,COUNTIF(AH$3:AH759,1),"")</f>
        <v/>
      </c>
      <c r="AJ759" s="74">
        <f t="shared" si="260"/>
        <v>0</v>
      </c>
      <c r="AK759" s="73" t="str">
        <f t="shared" si="261"/>
        <v/>
      </c>
      <c r="AL759" s="73" t="str">
        <f t="shared" si="262"/>
        <v/>
      </c>
      <c r="AM759" s="73" t="str">
        <f t="shared" si="263"/>
        <v/>
      </c>
      <c r="AN759" s="73" t="str">
        <f t="shared" si="264"/>
        <v/>
      </c>
      <c r="AP759" s="61" t="str">
        <f t="shared" si="265"/>
        <v/>
      </c>
      <c r="AQ759" s="61" t="str">
        <f t="shared" si="266"/>
        <v/>
      </c>
      <c r="AR759" s="61" t="str">
        <f t="shared" si="267"/>
        <v/>
      </c>
    </row>
    <row r="760" spans="16:44" x14ac:dyDescent="0.25">
      <c r="P760" s="73" t="str">
        <f t="shared" si="248"/>
        <v/>
      </c>
      <c r="Q760" s="73" t="str">
        <f t="shared" si="249"/>
        <v/>
      </c>
      <c r="R760" s="74" t="str">
        <f t="shared" si="250"/>
        <v/>
      </c>
      <c r="S760" s="74" t="str">
        <f t="shared" si="251"/>
        <v/>
      </c>
      <c r="U760" s="74" t="str">
        <f t="shared" si="268"/>
        <v/>
      </c>
      <c r="V760" s="74" t="str">
        <f t="shared" si="268"/>
        <v/>
      </c>
      <c r="W760" s="74" t="str">
        <f t="shared" si="268"/>
        <v/>
      </c>
      <c r="X760" s="74" t="str">
        <f t="shared" si="268"/>
        <v/>
      </c>
      <c r="Y760" s="74" t="str">
        <f t="shared" si="268"/>
        <v/>
      </c>
      <c r="Z760" s="74" t="str">
        <f t="shared" si="252"/>
        <v/>
      </c>
      <c r="AA760" s="74">
        <f t="shared" si="253"/>
        <v>0</v>
      </c>
      <c r="AB760" s="74">
        <f t="shared" si="254"/>
        <v>0</v>
      </c>
      <c r="AC760" s="74" t="str">
        <f t="shared" si="255"/>
        <v/>
      </c>
      <c r="AE760" s="74" t="str">
        <f t="shared" si="256"/>
        <v/>
      </c>
      <c r="AF760" s="74" t="str">
        <f t="shared" si="257"/>
        <v/>
      </c>
      <c r="AG760" s="74" t="str">
        <f t="shared" si="258"/>
        <v/>
      </c>
      <c r="AH760" s="74">
        <f t="shared" si="259"/>
        <v>0</v>
      </c>
      <c r="AI760" s="74" t="str">
        <f>IF(AH760&lt;&gt;0,COUNTIF(AH$3:AH760,1),"")</f>
        <v/>
      </c>
      <c r="AJ760" s="74">
        <f t="shared" si="260"/>
        <v>0</v>
      </c>
      <c r="AK760" s="73" t="str">
        <f t="shared" si="261"/>
        <v/>
      </c>
      <c r="AL760" s="73" t="str">
        <f t="shared" si="262"/>
        <v/>
      </c>
      <c r="AM760" s="73" t="str">
        <f t="shared" si="263"/>
        <v/>
      </c>
      <c r="AN760" s="73" t="str">
        <f t="shared" si="264"/>
        <v/>
      </c>
      <c r="AP760" s="61" t="str">
        <f t="shared" si="265"/>
        <v/>
      </c>
      <c r="AQ760" s="61" t="str">
        <f t="shared" si="266"/>
        <v/>
      </c>
      <c r="AR760" s="61" t="str">
        <f t="shared" si="267"/>
        <v/>
      </c>
    </row>
    <row r="761" spans="16:44" x14ac:dyDescent="0.25">
      <c r="P761" s="73" t="str">
        <f t="shared" si="248"/>
        <v/>
      </c>
      <c r="Q761" s="73" t="str">
        <f t="shared" si="249"/>
        <v/>
      </c>
      <c r="R761" s="74" t="str">
        <f t="shared" si="250"/>
        <v/>
      </c>
      <c r="S761" s="74" t="str">
        <f t="shared" si="251"/>
        <v/>
      </c>
      <c r="U761" s="74" t="str">
        <f t="shared" si="268"/>
        <v/>
      </c>
      <c r="V761" s="74" t="str">
        <f t="shared" si="268"/>
        <v/>
      </c>
      <c r="W761" s="74" t="str">
        <f t="shared" si="268"/>
        <v/>
      </c>
      <c r="X761" s="74" t="str">
        <f t="shared" si="268"/>
        <v/>
      </c>
      <c r="Y761" s="74" t="str">
        <f t="shared" si="268"/>
        <v/>
      </c>
      <c r="Z761" s="74" t="str">
        <f t="shared" si="252"/>
        <v/>
      </c>
      <c r="AA761" s="74">
        <f t="shared" si="253"/>
        <v>0</v>
      </c>
      <c r="AB761" s="74">
        <f t="shared" si="254"/>
        <v>0</v>
      </c>
      <c r="AC761" s="74" t="str">
        <f t="shared" si="255"/>
        <v/>
      </c>
      <c r="AE761" s="74" t="str">
        <f t="shared" si="256"/>
        <v/>
      </c>
      <c r="AF761" s="74" t="str">
        <f t="shared" si="257"/>
        <v/>
      </c>
      <c r="AG761" s="74" t="str">
        <f t="shared" si="258"/>
        <v/>
      </c>
      <c r="AH761" s="74">
        <f t="shared" si="259"/>
        <v>0</v>
      </c>
      <c r="AI761" s="74" t="str">
        <f>IF(AH761&lt;&gt;0,COUNTIF(AH$3:AH761,1),"")</f>
        <v/>
      </c>
      <c r="AJ761" s="74">
        <f t="shared" si="260"/>
        <v>0</v>
      </c>
      <c r="AK761" s="73" t="str">
        <f t="shared" si="261"/>
        <v/>
      </c>
      <c r="AL761" s="73" t="str">
        <f t="shared" si="262"/>
        <v/>
      </c>
      <c r="AM761" s="73" t="str">
        <f t="shared" si="263"/>
        <v/>
      </c>
      <c r="AN761" s="73" t="str">
        <f t="shared" si="264"/>
        <v/>
      </c>
      <c r="AP761" s="61" t="str">
        <f t="shared" si="265"/>
        <v/>
      </c>
      <c r="AQ761" s="61" t="str">
        <f t="shared" si="266"/>
        <v/>
      </c>
      <c r="AR761" s="61" t="str">
        <f t="shared" si="267"/>
        <v/>
      </c>
    </row>
    <row r="762" spans="16:44" x14ac:dyDescent="0.25">
      <c r="P762" s="73" t="str">
        <f t="shared" si="248"/>
        <v/>
      </c>
      <c r="Q762" s="73" t="str">
        <f t="shared" si="249"/>
        <v/>
      </c>
      <c r="R762" s="74" t="str">
        <f t="shared" si="250"/>
        <v/>
      </c>
      <c r="S762" s="74" t="str">
        <f t="shared" si="251"/>
        <v/>
      </c>
      <c r="U762" s="74" t="str">
        <f t="shared" si="268"/>
        <v/>
      </c>
      <c r="V762" s="74" t="str">
        <f t="shared" si="268"/>
        <v/>
      </c>
      <c r="W762" s="74" t="str">
        <f t="shared" si="268"/>
        <v/>
      </c>
      <c r="X762" s="74" t="str">
        <f t="shared" si="268"/>
        <v/>
      </c>
      <c r="Y762" s="74" t="str">
        <f t="shared" si="268"/>
        <v/>
      </c>
      <c r="Z762" s="74" t="str">
        <f t="shared" si="252"/>
        <v/>
      </c>
      <c r="AA762" s="74">
        <f t="shared" si="253"/>
        <v>0</v>
      </c>
      <c r="AB762" s="74">
        <f t="shared" si="254"/>
        <v>0</v>
      </c>
      <c r="AC762" s="74" t="str">
        <f t="shared" si="255"/>
        <v/>
      </c>
      <c r="AE762" s="74" t="str">
        <f t="shared" si="256"/>
        <v/>
      </c>
      <c r="AF762" s="74" t="str">
        <f t="shared" si="257"/>
        <v/>
      </c>
      <c r="AG762" s="74" t="str">
        <f t="shared" si="258"/>
        <v/>
      </c>
      <c r="AH762" s="74">
        <f t="shared" si="259"/>
        <v>0</v>
      </c>
      <c r="AI762" s="74" t="str">
        <f>IF(AH762&lt;&gt;0,COUNTIF(AH$3:AH762,1),"")</f>
        <v/>
      </c>
      <c r="AJ762" s="74">
        <f t="shared" si="260"/>
        <v>0</v>
      </c>
      <c r="AK762" s="73" t="str">
        <f t="shared" si="261"/>
        <v/>
      </c>
      <c r="AL762" s="73" t="str">
        <f t="shared" si="262"/>
        <v/>
      </c>
      <c r="AM762" s="73" t="str">
        <f t="shared" si="263"/>
        <v/>
      </c>
      <c r="AN762" s="73" t="str">
        <f t="shared" si="264"/>
        <v/>
      </c>
      <c r="AP762" s="61" t="str">
        <f t="shared" si="265"/>
        <v/>
      </c>
      <c r="AQ762" s="61" t="str">
        <f t="shared" si="266"/>
        <v/>
      </c>
      <c r="AR762" s="61" t="str">
        <f t="shared" si="267"/>
        <v/>
      </c>
    </row>
    <row r="763" spans="16:44" x14ac:dyDescent="0.25">
      <c r="P763" s="73" t="str">
        <f t="shared" si="248"/>
        <v/>
      </c>
      <c r="Q763" s="73" t="str">
        <f t="shared" si="249"/>
        <v/>
      </c>
      <c r="R763" s="74" t="str">
        <f t="shared" si="250"/>
        <v/>
      </c>
      <c r="S763" s="74" t="str">
        <f t="shared" si="251"/>
        <v/>
      </c>
      <c r="U763" s="74" t="str">
        <f t="shared" si="268"/>
        <v/>
      </c>
      <c r="V763" s="74" t="str">
        <f t="shared" si="268"/>
        <v/>
      </c>
      <c r="W763" s="74" t="str">
        <f t="shared" si="268"/>
        <v/>
      </c>
      <c r="X763" s="74" t="str">
        <f t="shared" si="268"/>
        <v/>
      </c>
      <c r="Y763" s="74" t="str">
        <f t="shared" si="268"/>
        <v/>
      </c>
      <c r="Z763" s="74" t="str">
        <f t="shared" si="252"/>
        <v/>
      </c>
      <c r="AA763" s="74">
        <f t="shared" si="253"/>
        <v>0</v>
      </c>
      <c r="AB763" s="74">
        <f t="shared" si="254"/>
        <v>0</v>
      </c>
      <c r="AC763" s="74" t="str">
        <f t="shared" si="255"/>
        <v/>
      </c>
      <c r="AE763" s="74" t="str">
        <f t="shared" si="256"/>
        <v/>
      </c>
      <c r="AF763" s="74" t="str">
        <f t="shared" si="257"/>
        <v/>
      </c>
      <c r="AG763" s="74" t="str">
        <f t="shared" si="258"/>
        <v/>
      </c>
      <c r="AH763" s="74">
        <f t="shared" si="259"/>
        <v>0</v>
      </c>
      <c r="AI763" s="74" t="str">
        <f>IF(AH763&lt;&gt;0,COUNTIF(AH$3:AH763,1),"")</f>
        <v/>
      </c>
      <c r="AJ763" s="74">
        <f t="shared" si="260"/>
        <v>0</v>
      </c>
      <c r="AK763" s="73" t="str">
        <f t="shared" si="261"/>
        <v/>
      </c>
      <c r="AL763" s="73" t="str">
        <f t="shared" si="262"/>
        <v/>
      </c>
      <c r="AM763" s="73" t="str">
        <f t="shared" si="263"/>
        <v/>
      </c>
      <c r="AN763" s="73" t="str">
        <f t="shared" si="264"/>
        <v/>
      </c>
      <c r="AP763" s="61" t="str">
        <f t="shared" si="265"/>
        <v/>
      </c>
      <c r="AQ763" s="61" t="str">
        <f t="shared" si="266"/>
        <v/>
      </c>
      <c r="AR763" s="61" t="str">
        <f t="shared" si="267"/>
        <v/>
      </c>
    </row>
    <row r="764" spans="16:44" x14ac:dyDescent="0.25">
      <c r="P764" s="73" t="str">
        <f t="shared" si="248"/>
        <v/>
      </c>
      <c r="Q764" s="73" t="str">
        <f t="shared" si="249"/>
        <v/>
      </c>
      <c r="R764" s="74" t="str">
        <f t="shared" si="250"/>
        <v/>
      </c>
      <c r="S764" s="74" t="str">
        <f t="shared" si="251"/>
        <v/>
      </c>
      <c r="U764" s="74" t="str">
        <f t="shared" si="268"/>
        <v/>
      </c>
      <c r="V764" s="74" t="str">
        <f t="shared" si="268"/>
        <v/>
      </c>
      <c r="W764" s="74" t="str">
        <f t="shared" si="268"/>
        <v/>
      </c>
      <c r="X764" s="74" t="str">
        <f t="shared" si="268"/>
        <v/>
      </c>
      <c r="Y764" s="74" t="str">
        <f t="shared" si="268"/>
        <v/>
      </c>
      <c r="Z764" s="74" t="str">
        <f t="shared" si="252"/>
        <v/>
      </c>
      <c r="AA764" s="74">
        <f t="shared" si="253"/>
        <v>0</v>
      </c>
      <c r="AB764" s="74">
        <f t="shared" si="254"/>
        <v>0</v>
      </c>
      <c r="AC764" s="74" t="str">
        <f t="shared" si="255"/>
        <v/>
      </c>
      <c r="AE764" s="74" t="str">
        <f t="shared" si="256"/>
        <v/>
      </c>
      <c r="AF764" s="74" t="str">
        <f t="shared" si="257"/>
        <v/>
      </c>
      <c r="AG764" s="74" t="str">
        <f t="shared" si="258"/>
        <v/>
      </c>
      <c r="AH764" s="74">
        <f t="shared" si="259"/>
        <v>0</v>
      </c>
      <c r="AI764" s="74" t="str">
        <f>IF(AH764&lt;&gt;0,COUNTIF(AH$3:AH764,1),"")</f>
        <v/>
      </c>
      <c r="AJ764" s="74">
        <f t="shared" si="260"/>
        <v>0</v>
      </c>
      <c r="AK764" s="73" t="str">
        <f t="shared" si="261"/>
        <v/>
      </c>
      <c r="AL764" s="73" t="str">
        <f t="shared" si="262"/>
        <v/>
      </c>
      <c r="AM764" s="73" t="str">
        <f t="shared" si="263"/>
        <v/>
      </c>
      <c r="AN764" s="73" t="str">
        <f t="shared" si="264"/>
        <v/>
      </c>
      <c r="AP764" s="61" t="str">
        <f t="shared" si="265"/>
        <v/>
      </c>
      <c r="AQ764" s="61" t="str">
        <f t="shared" si="266"/>
        <v/>
      </c>
      <c r="AR764" s="61" t="str">
        <f t="shared" si="267"/>
        <v/>
      </c>
    </row>
    <row r="765" spans="16:44" x14ac:dyDescent="0.25">
      <c r="P765" s="73" t="str">
        <f t="shared" si="248"/>
        <v/>
      </c>
      <c r="Q765" s="73" t="str">
        <f t="shared" si="249"/>
        <v/>
      </c>
      <c r="R765" s="74" t="str">
        <f t="shared" si="250"/>
        <v/>
      </c>
      <c r="S765" s="74" t="str">
        <f t="shared" si="251"/>
        <v/>
      </c>
      <c r="U765" s="74" t="str">
        <f t="shared" si="268"/>
        <v/>
      </c>
      <c r="V765" s="74" t="str">
        <f t="shared" si="268"/>
        <v/>
      </c>
      <c r="W765" s="74" t="str">
        <f t="shared" si="268"/>
        <v/>
      </c>
      <c r="X765" s="74" t="str">
        <f t="shared" si="268"/>
        <v/>
      </c>
      <c r="Y765" s="74" t="str">
        <f t="shared" si="268"/>
        <v/>
      </c>
      <c r="Z765" s="74" t="str">
        <f t="shared" si="252"/>
        <v/>
      </c>
      <c r="AA765" s="74">
        <f t="shared" si="253"/>
        <v>0</v>
      </c>
      <c r="AB765" s="74">
        <f t="shared" si="254"/>
        <v>0</v>
      </c>
      <c r="AC765" s="74" t="str">
        <f t="shared" si="255"/>
        <v/>
      </c>
      <c r="AE765" s="74" t="str">
        <f t="shared" si="256"/>
        <v/>
      </c>
      <c r="AF765" s="74" t="str">
        <f t="shared" si="257"/>
        <v/>
      </c>
      <c r="AG765" s="74" t="str">
        <f t="shared" si="258"/>
        <v/>
      </c>
      <c r="AH765" s="74">
        <f t="shared" si="259"/>
        <v>0</v>
      </c>
      <c r="AI765" s="74" t="str">
        <f>IF(AH765&lt;&gt;0,COUNTIF(AH$3:AH765,1),"")</f>
        <v/>
      </c>
      <c r="AJ765" s="74">
        <f t="shared" si="260"/>
        <v>0</v>
      </c>
      <c r="AK765" s="73" t="str">
        <f t="shared" si="261"/>
        <v/>
      </c>
      <c r="AL765" s="73" t="str">
        <f t="shared" si="262"/>
        <v/>
      </c>
      <c r="AM765" s="73" t="str">
        <f t="shared" si="263"/>
        <v/>
      </c>
      <c r="AN765" s="73" t="str">
        <f t="shared" si="264"/>
        <v/>
      </c>
      <c r="AP765" s="61" t="str">
        <f t="shared" si="265"/>
        <v/>
      </c>
      <c r="AQ765" s="61" t="str">
        <f t="shared" si="266"/>
        <v/>
      </c>
      <c r="AR765" s="61" t="str">
        <f t="shared" si="267"/>
        <v/>
      </c>
    </row>
    <row r="766" spans="16:44" x14ac:dyDescent="0.25">
      <c r="P766" s="73" t="str">
        <f t="shared" ref="P766:P829" si="269">IF(N766&lt;&gt;"",SUBSTITUTE(LEFT(N766,FIND(";",N766)),";",""),"")</f>
        <v/>
      </c>
      <c r="Q766" s="73" t="str">
        <f t="shared" ref="Q766:Q829" si="270">IF(N766&lt;&gt;"",SUBSTITUTE(RIGHT(N766,FIND(";",N766)),";",""),"")</f>
        <v/>
      </c>
      <c r="R766" s="74" t="str">
        <f t="shared" ref="R766:R829" si="271">IF(O766&lt;&gt;"",SUBSTITUTE(LEFT(O766,FIND(";",O766)),";",""),"")</f>
        <v/>
      </c>
      <c r="S766" s="74" t="str">
        <f t="shared" ref="S766:S829" si="272">IF(O766&lt;&gt;"",IFERROR(IF(FIND("OK",O766)&gt;0,TRUE),FALSE),"")</f>
        <v/>
      </c>
      <c r="U766" s="74" t="str">
        <f t="shared" si="268"/>
        <v/>
      </c>
      <c r="V766" s="74" t="str">
        <f t="shared" si="268"/>
        <v/>
      </c>
      <c r="W766" s="74" t="str">
        <f t="shared" si="268"/>
        <v/>
      </c>
      <c r="X766" s="74" t="str">
        <f t="shared" si="268"/>
        <v/>
      </c>
      <c r="Y766" s="74" t="str">
        <f t="shared" si="268"/>
        <v/>
      </c>
      <c r="Z766" s="74" t="str">
        <f t="shared" ref="Z766:Z829" si="273">IF(G766,E766,"")</f>
        <v/>
      </c>
      <c r="AA766" s="74">
        <f t="shared" ref="AA766:AA829" si="274">IF(G766=FALSE,E766,"")</f>
        <v>0</v>
      </c>
      <c r="AB766" s="74">
        <f t="shared" ref="AB766:AB829" si="275">IF(G766,1,0)</f>
        <v>0</v>
      </c>
      <c r="AC766" s="74" t="str">
        <f t="shared" ref="AC766:AC829" si="276">IF(A766&lt;&gt;"",IF(G766,0,1),"")</f>
        <v/>
      </c>
      <c r="AE766" s="74" t="str">
        <f t="shared" ref="AE766:AE829" si="277">IF(P766&lt;&gt;"",IF(AND(_xlfn.NUMBERVALUE(P766)&gt;25,_xlfn.NUMBERVALUE(P766)&lt;38),TRUE,FALSE),"")</f>
        <v/>
      </c>
      <c r="AF766" s="74" t="str">
        <f t="shared" ref="AF766:AF829" si="278">IF(Q766&lt;&gt;"",IF(AND(_xlfn.NUMBERVALUE(Q766)&gt;25,_xlfn.NUMBERVALUE(Q766)&lt;38),TRUE,FALSE),"")</f>
        <v/>
      </c>
      <c r="AG766" s="74" t="str">
        <f t="shared" ref="AG766:AG829" si="279">IF(R766&lt;&gt;"",IF(AND(_xlfn.NUMBERVALUE(R766)&gt;262,_xlfn.NUMBERVALUE(R766)&lt;307),TRUE,FALSE),"")</f>
        <v/>
      </c>
      <c r="AH766" s="74">
        <f t="shared" ref="AH766:AH829" si="280">IF(OR(AE766=FALSE,AF766=FALSE,AG766=FALSE),1,0)</f>
        <v>0</v>
      </c>
      <c r="AI766" s="74" t="str">
        <f>IF(AH766&lt;&gt;0,COUNTIF(AH$3:AH766,1),"")</f>
        <v/>
      </c>
      <c r="AJ766" s="74">
        <f t="shared" ref="AJ766:AJ829" si="281">L766</f>
        <v>0</v>
      </c>
      <c r="AK766" s="73" t="str">
        <f t="shared" ref="AK766:AK829" si="282">P766</f>
        <v/>
      </c>
      <c r="AL766" s="73" t="str">
        <f t="shared" ref="AL766:AL829" si="283">Q766</f>
        <v/>
      </c>
      <c r="AM766" s="73" t="str">
        <f t="shared" ref="AM766:AM829" si="284">R766</f>
        <v/>
      </c>
      <c r="AN766" s="73" t="str">
        <f t="shared" ref="AN766:AN829" si="285">S766</f>
        <v/>
      </c>
      <c r="AP766" s="61" t="str">
        <f t="shared" si="265"/>
        <v/>
      </c>
      <c r="AQ766" s="61" t="str">
        <f t="shared" si="266"/>
        <v/>
      </c>
      <c r="AR766" s="61" t="str">
        <f t="shared" si="267"/>
        <v/>
      </c>
    </row>
    <row r="767" spans="16:44" x14ac:dyDescent="0.25">
      <c r="P767" s="73" t="str">
        <f t="shared" si="269"/>
        <v/>
      </c>
      <c r="Q767" s="73" t="str">
        <f t="shared" si="270"/>
        <v/>
      </c>
      <c r="R767" s="74" t="str">
        <f t="shared" si="271"/>
        <v/>
      </c>
      <c r="S767" s="74" t="str">
        <f t="shared" si="272"/>
        <v/>
      </c>
      <c r="U767" s="74" t="str">
        <f t="shared" si="268"/>
        <v/>
      </c>
      <c r="V767" s="74" t="str">
        <f t="shared" si="268"/>
        <v/>
      </c>
      <c r="W767" s="74" t="str">
        <f t="shared" si="268"/>
        <v/>
      </c>
      <c r="X767" s="74" t="str">
        <f t="shared" si="268"/>
        <v/>
      </c>
      <c r="Y767" s="74" t="str">
        <f t="shared" si="268"/>
        <v/>
      </c>
      <c r="Z767" s="74" t="str">
        <f t="shared" si="273"/>
        <v/>
      </c>
      <c r="AA767" s="74">
        <f t="shared" si="274"/>
        <v>0</v>
      </c>
      <c r="AB767" s="74">
        <f t="shared" si="275"/>
        <v>0</v>
      </c>
      <c r="AC767" s="74" t="str">
        <f t="shared" si="276"/>
        <v/>
      </c>
      <c r="AE767" s="74" t="str">
        <f t="shared" si="277"/>
        <v/>
      </c>
      <c r="AF767" s="74" t="str">
        <f t="shared" si="278"/>
        <v/>
      </c>
      <c r="AG767" s="74" t="str">
        <f t="shared" si="279"/>
        <v/>
      </c>
      <c r="AH767" s="74">
        <f t="shared" si="280"/>
        <v>0</v>
      </c>
      <c r="AI767" s="74" t="str">
        <f>IF(AH767&lt;&gt;0,COUNTIF(AH$3:AH767,1),"")</f>
        <v/>
      </c>
      <c r="AJ767" s="74">
        <f t="shared" si="281"/>
        <v>0</v>
      </c>
      <c r="AK767" s="73" t="str">
        <f t="shared" si="282"/>
        <v/>
      </c>
      <c r="AL767" s="73" t="str">
        <f t="shared" si="283"/>
        <v/>
      </c>
      <c r="AM767" s="73" t="str">
        <f t="shared" si="284"/>
        <v/>
      </c>
      <c r="AN767" s="73" t="str">
        <f t="shared" si="285"/>
        <v/>
      </c>
      <c r="AP767" s="61" t="str">
        <f t="shared" si="265"/>
        <v/>
      </c>
      <c r="AQ767" s="61" t="str">
        <f t="shared" si="266"/>
        <v/>
      </c>
      <c r="AR767" s="61" t="str">
        <f t="shared" si="267"/>
        <v/>
      </c>
    </row>
    <row r="768" spans="16:44" x14ac:dyDescent="0.25">
      <c r="P768" s="73" t="str">
        <f t="shared" si="269"/>
        <v/>
      </c>
      <c r="Q768" s="73" t="str">
        <f t="shared" si="270"/>
        <v/>
      </c>
      <c r="R768" s="74" t="str">
        <f t="shared" si="271"/>
        <v/>
      </c>
      <c r="S768" s="74" t="str">
        <f t="shared" si="272"/>
        <v/>
      </c>
      <c r="U768" s="74" t="str">
        <f t="shared" si="268"/>
        <v/>
      </c>
      <c r="V768" s="74" t="str">
        <f t="shared" si="268"/>
        <v/>
      </c>
      <c r="W768" s="74" t="str">
        <f t="shared" si="268"/>
        <v/>
      </c>
      <c r="X768" s="74" t="str">
        <f t="shared" si="268"/>
        <v/>
      </c>
      <c r="Y768" s="74" t="str">
        <f t="shared" si="268"/>
        <v/>
      </c>
      <c r="Z768" s="74" t="str">
        <f t="shared" si="273"/>
        <v/>
      </c>
      <c r="AA768" s="74">
        <f t="shared" si="274"/>
        <v>0</v>
      </c>
      <c r="AB768" s="74">
        <f t="shared" si="275"/>
        <v>0</v>
      </c>
      <c r="AC768" s="74" t="str">
        <f t="shared" si="276"/>
        <v/>
      </c>
      <c r="AE768" s="74" t="str">
        <f t="shared" si="277"/>
        <v/>
      </c>
      <c r="AF768" s="74" t="str">
        <f t="shared" si="278"/>
        <v/>
      </c>
      <c r="AG768" s="74" t="str">
        <f t="shared" si="279"/>
        <v/>
      </c>
      <c r="AH768" s="74">
        <f t="shared" si="280"/>
        <v>0</v>
      </c>
      <c r="AI768" s="74" t="str">
        <f>IF(AH768&lt;&gt;0,COUNTIF(AH$3:AH768,1),"")</f>
        <v/>
      </c>
      <c r="AJ768" s="74">
        <f t="shared" si="281"/>
        <v>0</v>
      </c>
      <c r="AK768" s="73" t="str">
        <f t="shared" si="282"/>
        <v/>
      </c>
      <c r="AL768" s="73" t="str">
        <f t="shared" si="283"/>
        <v/>
      </c>
      <c r="AM768" s="73" t="str">
        <f t="shared" si="284"/>
        <v/>
      </c>
      <c r="AN768" s="73" t="str">
        <f t="shared" si="285"/>
        <v/>
      </c>
      <c r="AP768" s="61" t="str">
        <f t="shared" si="265"/>
        <v/>
      </c>
      <c r="AQ768" s="61" t="str">
        <f t="shared" si="266"/>
        <v/>
      </c>
      <c r="AR768" s="61" t="str">
        <f t="shared" si="267"/>
        <v/>
      </c>
    </row>
    <row r="769" spans="16:44" x14ac:dyDescent="0.25">
      <c r="P769" s="73" t="str">
        <f t="shared" si="269"/>
        <v/>
      </c>
      <c r="Q769" s="73" t="str">
        <f t="shared" si="270"/>
        <v/>
      </c>
      <c r="R769" s="74" t="str">
        <f t="shared" si="271"/>
        <v/>
      </c>
      <c r="S769" s="74" t="str">
        <f t="shared" si="272"/>
        <v/>
      </c>
      <c r="U769" s="74" t="str">
        <f t="shared" si="268"/>
        <v/>
      </c>
      <c r="V769" s="74" t="str">
        <f t="shared" si="268"/>
        <v/>
      </c>
      <c r="W769" s="74" t="str">
        <f t="shared" si="268"/>
        <v/>
      </c>
      <c r="X769" s="74" t="str">
        <f t="shared" si="268"/>
        <v/>
      </c>
      <c r="Y769" s="74" t="str">
        <f t="shared" si="268"/>
        <v/>
      </c>
      <c r="Z769" s="74" t="str">
        <f t="shared" si="273"/>
        <v/>
      </c>
      <c r="AA769" s="74">
        <f t="shared" si="274"/>
        <v>0</v>
      </c>
      <c r="AB769" s="74">
        <f t="shared" si="275"/>
        <v>0</v>
      </c>
      <c r="AC769" s="74" t="str">
        <f t="shared" si="276"/>
        <v/>
      </c>
      <c r="AE769" s="74" t="str">
        <f t="shared" si="277"/>
        <v/>
      </c>
      <c r="AF769" s="74" t="str">
        <f t="shared" si="278"/>
        <v/>
      </c>
      <c r="AG769" s="74" t="str">
        <f t="shared" si="279"/>
        <v/>
      </c>
      <c r="AH769" s="74">
        <f t="shared" si="280"/>
        <v>0</v>
      </c>
      <c r="AI769" s="74" t="str">
        <f>IF(AH769&lt;&gt;0,COUNTIF(AH$3:AH769,1),"")</f>
        <v/>
      </c>
      <c r="AJ769" s="74">
        <f t="shared" si="281"/>
        <v>0</v>
      </c>
      <c r="AK769" s="73" t="str">
        <f t="shared" si="282"/>
        <v/>
      </c>
      <c r="AL769" s="73" t="str">
        <f t="shared" si="283"/>
        <v/>
      </c>
      <c r="AM769" s="73" t="str">
        <f t="shared" si="284"/>
        <v/>
      </c>
      <c r="AN769" s="73" t="str">
        <f t="shared" si="285"/>
        <v/>
      </c>
      <c r="AP769" s="61" t="str">
        <f t="shared" si="265"/>
        <v/>
      </c>
      <c r="AQ769" s="61" t="str">
        <f t="shared" si="266"/>
        <v/>
      </c>
      <c r="AR769" s="61" t="str">
        <f t="shared" si="267"/>
        <v/>
      </c>
    </row>
    <row r="770" spans="16:44" x14ac:dyDescent="0.25">
      <c r="P770" s="73" t="str">
        <f t="shared" si="269"/>
        <v/>
      </c>
      <c r="Q770" s="73" t="str">
        <f t="shared" si="270"/>
        <v/>
      </c>
      <c r="R770" s="74" t="str">
        <f t="shared" si="271"/>
        <v/>
      </c>
      <c r="S770" s="74" t="str">
        <f t="shared" si="272"/>
        <v/>
      </c>
      <c r="U770" s="74" t="str">
        <f t="shared" si="268"/>
        <v/>
      </c>
      <c r="V770" s="74" t="str">
        <f t="shared" si="268"/>
        <v/>
      </c>
      <c r="W770" s="74" t="str">
        <f t="shared" si="268"/>
        <v/>
      </c>
      <c r="X770" s="74" t="str">
        <f t="shared" si="268"/>
        <v/>
      </c>
      <c r="Y770" s="74" t="str">
        <f t="shared" si="268"/>
        <v/>
      </c>
      <c r="Z770" s="74" t="str">
        <f t="shared" si="273"/>
        <v/>
      </c>
      <c r="AA770" s="74">
        <f t="shared" si="274"/>
        <v>0</v>
      </c>
      <c r="AB770" s="74">
        <f t="shared" si="275"/>
        <v>0</v>
      </c>
      <c r="AC770" s="74" t="str">
        <f t="shared" si="276"/>
        <v/>
      </c>
      <c r="AE770" s="74" t="str">
        <f t="shared" si="277"/>
        <v/>
      </c>
      <c r="AF770" s="74" t="str">
        <f t="shared" si="278"/>
        <v/>
      </c>
      <c r="AG770" s="74" t="str">
        <f t="shared" si="279"/>
        <v/>
      </c>
      <c r="AH770" s="74">
        <f t="shared" si="280"/>
        <v>0</v>
      </c>
      <c r="AI770" s="74" t="str">
        <f>IF(AH770&lt;&gt;0,COUNTIF(AH$3:AH770,1),"")</f>
        <v/>
      </c>
      <c r="AJ770" s="74">
        <f t="shared" si="281"/>
        <v>0</v>
      </c>
      <c r="AK770" s="73" t="str">
        <f t="shared" si="282"/>
        <v/>
      </c>
      <c r="AL770" s="73" t="str">
        <f t="shared" si="283"/>
        <v/>
      </c>
      <c r="AM770" s="73" t="str">
        <f t="shared" si="284"/>
        <v/>
      </c>
      <c r="AN770" s="73" t="str">
        <f t="shared" si="285"/>
        <v/>
      </c>
      <c r="AP770" s="61" t="str">
        <f t="shared" si="265"/>
        <v/>
      </c>
      <c r="AQ770" s="61" t="str">
        <f t="shared" si="266"/>
        <v/>
      </c>
      <c r="AR770" s="61" t="str">
        <f t="shared" si="267"/>
        <v/>
      </c>
    </row>
    <row r="771" spans="16:44" x14ac:dyDescent="0.25">
      <c r="P771" s="73" t="str">
        <f t="shared" si="269"/>
        <v/>
      </c>
      <c r="Q771" s="73" t="str">
        <f t="shared" si="270"/>
        <v/>
      </c>
      <c r="R771" s="74" t="str">
        <f t="shared" si="271"/>
        <v/>
      </c>
      <c r="S771" s="74" t="str">
        <f t="shared" si="272"/>
        <v/>
      </c>
      <c r="U771" s="74" t="str">
        <f t="shared" si="268"/>
        <v/>
      </c>
      <c r="V771" s="74" t="str">
        <f t="shared" si="268"/>
        <v/>
      </c>
      <c r="W771" s="74" t="str">
        <f t="shared" si="268"/>
        <v/>
      </c>
      <c r="X771" s="74" t="str">
        <f t="shared" si="268"/>
        <v/>
      </c>
      <c r="Y771" s="74" t="str">
        <f t="shared" si="268"/>
        <v/>
      </c>
      <c r="Z771" s="74" t="str">
        <f t="shared" si="273"/>
        <v/>
      </c>
      <c r="AA771" s="74">
        <f t="shared" si="274"/>
        <v>0</v>
      </c>
      <c r="AB771" s="74">
        <f t="shared" si="275"/>
        <v>0</v>
      </c>
      <c r="AC771" s="74" t="str">
        <f t="shared" si="276"/>
        <v/>
      </c>
      <c r="AE771" s="74" t="str">
        <f t="shared" si="277"/>
        <v/>
      </c>
      <c r="AF771" s="74" t="str">
        <f t="shared" si="278"/>
        <v/>
      </c>
      <c r="AG771" s="74" t="str">
        <f t="shared" si="279"/>
        <v/>
      </c>
      <c r="AH771" s="74">
        <f t="shared" si="280"/>
        <v>0</v>
      </c>
      <c r="AI771" s="74" t="str">
        <f>IF(AH771&lt;&gt;0,COUNTIF(AH$3:AH771,1),"")</f>
        <v/>
      </c>
      <c r="AJ771" s="74">
        <f t="shared" si="281"/>
        <v>0</v>
      </c>
      <c r="AK771" s="73" t="str">
        <f t="shared" si="282"/>
        <v/>
      </c>
      <c r="AL771" s="73" t="str">
        <f t="shared" si="283"/>
        <v/>
      </c>
      <c r="AM771" s="73" t="str">
        <f t="shared" si="284"/>
        <v/>
      </c>
      <c r="AN771" s="73" t="str">
        <f t="shared" si="285"/>
        <v/>
      </c>
      <c r="AP771" s="61" t="str">
        <f t="shared" si="265"/>
        <v/>
      </c>
      <c r="AQ771" s="61" t="str">
        <f t="shared" si="266"/>
        <v/>
      </c>
      <c r="AR771" s="61" t="str">
        <f t="shared" si="267"/>
        <v/>
      </c>
    </row>
    <row r="772" spans="16:44" x14ac:dyDescent="0.25">
      <c r="P772" s="73" t="str">
        <f t="shared" si="269"/>
        <v/>
      </c>
      <c r="Q772" s="73" t="str">
        <f t="shared" si="270"/>
        <v/>
      </c>
      <c r="R772" s="74" t="str">
        <f t="shared" si="271"/>
        <v/>
      </c>
      <c r="S772" s="74" t="str">
        <f t="shared" si="272"/>
        <v/>
      </c>
      <c r="U772" s="74" t="str">
        <f t="shared" si="268"/>
        <v/>
      </c>
      <c r="V772" s="74" t="str">
        <f t="shared" si="268"/>
        <v/>
      </c>
      <c r="W772" s="74" t="str">
        <f t="shared" si="268"/>
        <v/>
      </c>
      <c r="X772" s="74" t="str">
        <f t="shared" si="268"/>
        <v/>
      </c>
      <c r="Y772" s="74" t="str">
        <f t="shared" si="268"/>
        <v/>
      </c>
      <c r="Z772" s="74" t="str">
        <f t="shared" si="273"/>
        <v/>
      </c>
      <c r="AA772" s="74">
        <f t="shared" si="274"/>
        <v>0</v>
      </c>
      <c r="AB772" s="74">
        <f t="shared" si="275"/>
        <v>0</v>
      </c>
      <c r="AC772" s="74" t="str">
        <f t="shared" si="276"/>
        <v/>
      </c>
      <c r="AE772" s="74" t="str">
        <f t="shared" si="277"/>
        <v/>
      </c>
      <c r="AF772" s="74" t="str">
        <f t="shared" si="278"/>
        <v/>
      </c>
      <c r="AG772" s="74" t="str">
        <f t="shared" si="279"/>
        <v/>
      </c>
      <c r="AH772" s="74">
        <f t="shared" si="280"/>
        <v>0</v>
      </c>
      <c r="AI772" s="74" t="str">
        <f>IF(AH772&lt;&gt;0,COUNTIF(AH$3:AH772,1),"")</f>
        <v/>
      </c>
      <c r="AJ772" s="74">
        <f t="shared" si="281"/>
        <v>0</v>
      </c>
      <c r="AK772" s="73" t="str">
        <f t="shared" si="282"/>
        <v/>
      </c>
      <c r="AL772" s="73" t="str">
        <f t="shared" si="283"/>
        <v/>
      </c>
      <c r="AM772" s="73" t="str">
        <f t="shared" si="284"/>
        <v/>
      </c>
      <c r="AN772" s="73" t="str">
        <f t="shared" si="285"/>
        <v/>
      </c>
      <c r="AP772" s="61" t="str">
        <f t="shared" ref="AP772:AP835" si="286">IF(P772&lt;&gt;"",_xlfn.NUMBERVALUE(P772),"")</f>
        <v/>
      </c>
      <c r="AQ772" s="61" t="str">
        <f t="shared" ref="AQ772:AQ835" si="287">IF(Q772&lt;&gt;"",_xlfn.NUMBERVALUE(Q772),"")</f>
        <v/>
      </c>
      <c r="AR772" s="61" t="str">
        <f t="shared" ref="AR772:AR835" si="288">IF(R772&lt;&gt;"",_xlfn.NUMBERVALUE(R772),"")</f>
        <v/>
      </c>
    </row>
    <row r="773" spans="16:44" x14ac:dyDescent="0.25">
      <c r="P773" s="73" t="str">
        <f t="shared" si="269"/>
        <v/>
      </c>
      <c r="Q773" s="73" t="str">
        <f t="shared" si="270"/>
        <v/>
      </c>
      <c r="R773" s="74" t="str">
        <f t="shared" si="271"/>
        <v/>
      </c>
      <c r="S773" s="74" t="str">
        <f t="shared" si="272"/>
        <v/>
      </c>
      <c r="U773" s="74" t="str">
        <f t="shared" si="268"/>
        <v/>
      </c>
      <c r="V773" s="74" t="str">
        <f t="shared" si="268"/>
        <v/>
      </c>
      <c r="W773" s="74" t="str">
        <f t="shared" si="268"/>
        <v/>
      </c>
      <c r="X773" s="74" t="str">
        <f t="shared" si="268"/>
        <v/>
      </c>
      <c r="Y773" s="74" t="str">
        <f t="shared" si="268"/>
        <v/>
      </c>
      <c r="Z773" s="74" t="str">
        <f t="shared" si="273"/>
        <v/>
      </c>
      <c r="AA773" s="74">
        <f t="shared" si="274"/>
        <v>0</v>
      </c>
      <c r="AB773" s="74">
        <f t="shared" si="275"/>
        <v>0</v>
      </c>
      <c r="AC773" s="74" t="str">
        <f t="shared" si="276"/>
        <v/>
      </c>
      <c r="AE773" s="74" t="str">
        <f t="shared" si="277"/>
        <v/>
      </c>
      <c r="AF773" s="74" t="str">
        <f t="shared" si="278"/>
        <v/>
      </c>
      <c r="AG773" s="74" t="str">
        <f t="shared" si="279"/>
        <v/>
      </c>
      <c r="AH773" s="74">
        <f t="shared" si="280"/>
        <v>0</v>
      </c>
      <c r="AI773" s="74" t="str">
        <f>IF(AH773&lt;&gt;0,COUNTIF(AH$3:AH773,1),"")</f>
        <v/>
      </c>
      <c r="AJ773" s="74">
        <f t="shared" si="281"/>
        <v>0</v>
      </c>
      <c r="AK773" s="73" t="str">
        <f t="shared" si="282"/>
        <v/>
      </c>
      <c r="AL773" s="73" t="str">
        <f t="shared" si="283"/>
        <v/>
      </c>
      <c r="AM773" s="73" t="str">
        <f t="shared" si="284"/>
        <v/>
      </c>
      <c r="AN773" s="73" t="str">
        <f t="shared" si="285"/>
        <v/>
      </c>
      <c r="AP773" s="61" t="str">
        <f t="shared" si="286"/>
        <v/>
      </c>
      <c r="AQ773" s="61" t="str">
        <f t="shared" si="287"/>
        <v/>
      </c>
      <c r="AR773" s="61" t="str">
        <f t="shared" si="288"/>
        <v/>
      </c>
    </row>
    <row r="774" spans="16:44" x14ac:dyDescent="0.25">
      <c r="P774" s="73" t="str">
        <f t="shared" si="269"/>
        <v/>
      </c>
      <c r="Q774" s="73" t="str">
        <f t="shared" si="270"/>
        <v/>
      </c>
      <c r="R774" s="74" t="str">
        <f t="shared" si="271"/>
        <v/>
      </c>
      <c r="S774" s="74" t="str">
        <f t="shared" si="272"/>
        <v/>
      </c>
      <c r="U774" s="74" t="str">
        <f t="shared" si="268"/>
        <v/>
      </c>
      <c r="V774" s="74" t="str">
        <f t="shared" si="268"/>
        <v/>
      </c>
      <c r="W774" s="74" t="str">
        <f t="shared" si="268"/>
        <v/>
      </c>
      <c r="X774" s="74" t="str">
        <f t="shared" si="268"/>
        <v/>
      </c>
      <c r="Y774" s="74" t="str">
        <f t="shared" si="268"/>
        <v/>
      </c>
      <c r="Z774" s="74" t="str">
        <f t="shared" si="273"/>
        <v/>
      </c>
      <c r="AA774" s="74">
        <f t="shared" si="274"/>
        <v>0</v>
      </c>
      <c r="AB774" s="74">
        <f t="shared" si="275"/>
        <v>0</v>
      </c>
      <c r="AC774" s="74" t="str">
        <f t="shared" si="276"/>
        <v/>
      </c>
      <c r="AE774" s="74" t="str">
        <f t="shared" si="277"/>
        <v/>
      </c>
      <c r="AF774" s="74" t="str">
        <f t="shared" si="278"/>
        <v/>
      </c>
      <c r="AG774" s="74" t="str">
        <f t="shared" si="279"/>
        <v/>
      </c>
      <c r="AH774" s="74">
        <f t="shared" si="280"/>
        <v>0</v>
      </c>
      <c r="AI774" s="74" t="str">
        <f>IF(AH774&lt;&gt;0,COUNTIF(AH$3:AH774,1),"")</f>
        <v/>
      </c>
      <c r="AJ774" s="74">
        <f t="shared" si="281"/>
        <v>0</v>
      </c>
      <c r="AK774" s="73" t="str">
        <f t="shared" si="282"/>
        <v/>
      </c>
      <c r="AL774" s="73" t="str">
        <f t="shared" si="283"/>
        <v/>
      </c>
      <c r="AM774" s="73" t="str">
        <f t="shared" si="284"/>
        <v/>
      </c>
      <c r="AN774" s="73" t="str">
        <f t="shared" si="285"/>
        <v/>
      </c>
      <c r="AP774" s="61" t="str">
        <f t="shared" si="286"/>
        <v/>
      </c>
      <c r="AQ774" s="61" t="str">
        <f t="shared" si="287"/>
        <v/>
      </c>
      <c r="AR774" s="61" t="str">
        <f t="shared" si="288"/>
        <v/>
      </c>
    </row>
    <row r="775" spans="16:44" x14ac:dyDescent="0.25">
      <c r="P775" s="73" t="str">
        <f t="shared" si="269"/>
        <v/>
      </c>
      <c r="Q775" s="73" t="str">
        <f t="shared" si="270"/>
        <v/>
      </c>
      <c r="R775" s="74" t="str">
        <f t="shared" si="271"/>
        <v/>
      </c>
      <c r="S775" s="74" t="str">
        <f t="shared" si="272"/>
        <v/>
      </c>
      <c r="U775" s="74" t="str">
        <f t="shared" si="268"/>
        <v/>
      </c>
      <c r="V775" s="74" t="str">
        <f t="shared" si="268"/>
        <v/>
      </c>
      <c r="W775" s="74" t="str">
        <f t="shared" si="268"/>
        <v/>
      </c>
      <c r="X775" s="74" t="str">
        <f t="shared" si="268"/>
        <v/>
      </c>
      <c r="Y775" s="74" t="str">
        <f t="shared" si="268"/>
        <v/>
      </c>
      <c r="Z775" s="74" t="str">
        <f t="shared" si="273"/>
        <v/>
      </c>
      <c r="AA775" s="74">
        <f t="shared" si="274"/>
        <v>0</v>
      </c>
      <c r="AB775" s="74">
        <f t="shared" si="275"/>
        <v>0</v>
      </c>
      <c r="AC775" s="74" t="str">
        <f t="shared" si="276"/>
        <v/>
      </c>
      <c r="AE775" s="74" t="str">
        <f t="shared" si="277"/>
        <v/>
      </c>
      <c r="AF775" s="74" t="str">
        <f t="shared" si="278"/>
        <v/>
      </c>
      <c r="AG775" s="74" t="str">
        <f t="shared" si="279"/>
        <v/>
      </c>
      <c r="AH775" s="74">
        <f t="shared" si="280"/>
        <v>0</v>
      </c>
      <c r="AI775" s="74" t="str">
        <f>IF(AH775&lt;&gt;0,COUNTIF(AH$3:AH775,1),"")</f>
        <v/>
      </c>
      <c r="AJ775" s="74">
        <f t="shared" si="281"/>
        <v>0</v>
      </c>
      <c r="AK775" s="73" t="str">
        <f t="shared" si="282"/>
        <v/>
      </c>
      <c r="AL775" s="73" t="str">
        <f t="shared" si="283"/>
        <v/>
      </c>
      <c r="AM775" s="73" t="str">
        <f t="shared" si="284"/>
        <v/>
      </c>
      <c r="AN775" s="73" t="str">
        <f t="shared" si="285"/>
        <v/>
      </c>
      <c r="AP775" s="61" t="str">
        <f t="shared" si="286"/>
        <v/>
      </c>
      <c r="AQ775" s="61" t="str">
        <f t="shared" si="287"/>
        <v/>
      </c>
      <c r="AR775" s="61" t="str">
        <f t="shared" si="288"/>
        <v/>
      </c>
    </row>
    <row r="776" spans="16:44" x14ac:dyDescent="0.25">
      <c r="P776" s="73" t="str">
        <f t="shared" si="269"/>
        <v/>
      </c>
      <c r="Q776" s="73" t="str">
        <f t="shared" si="270"/>
        <v/>
      </c>
      <c r="R776" s="74" t="str">
        <f t="shared" si="271"/>
        <v/>
      </c>
      <c r="S776" s="74" t="str">
        <f t="shared" si="272"/>
        <v/>
      </c>
      <c r="U776" s="74" t="str">
        <f t="shared" si="268"/>
        <v/>
      </c>
      <c r="V776" s="74" t="str">
        <f t="shared" si="268"/>
        <v/>
      </c>
      <c r="W776" s="74" t="str">
        <f t="shared" si="268"/>
        <v/>
      </c>
      <c r="X776" s="74" t="str">
        <f t="shared" si="268"/>
        <v/>
      </c>
      <c r="Y776" s="74" t="str">
        <f t="shared" si="268"/>
        <v/>
      </c>
      <c r="Z776" s="74" t="str">
        <f t="shared" si="273"/>
        <v/>
      </c>
      <c r="AA776" s="74">
        <f t="shared" si="274"/>
        <v>0</v>
      </c>
      <c r="AB776" s="74">
        <f t="shared" si="275"/>
        <v>0</v>
      </c>
      <c r="AC776" s="74" t="str">
        <f t="shared" si="276"/>
        <v/>
      </c>
      <c r="AE776" s="74" t="str">
        <f t="shared" si="277"/>
        <v/>
      </c>
      <c r="AF776" s="74" t="str">
        <f t="shared" si="278"/>
        <v/>
      </c>
      <c r="AG776" s="74" t="str">
        <f t="shared" si="279"/>
        <v/>
      </c>
      <c r="AH776" s="74">
        <f t="shared" si="280"/>
        <v>0</v>
      </c>
      <c r="AI776" s="74" t="str">
        <f>IF(AH776&lt;&gt;0,COUNTIF(AH$3:AH776,1),"")</f>
        <v/>
      </c>
      <c r="AJ776" s="74">
        <f t="shared" si="281"/>
        <v>0</v>
      </c>
      <c r="AK776" s="73" t="str">
        <f t="shared" si="282"/>
        <v/>
      </c>
      <c r="AL776" s="73" t="str">
        <f t="shared" si="283"/>
        <v/>
      </c>
      <c r="AM776" s="73" t="str">
        <f t="shared" si="284"/>
        <v/>
      </c>
      <c r="AN776" s="73" t="str">
        <f t="shared" si="285"/>
        <v/>
      </c>
      <c r="AP776" s="61" t="str">
        <f t="shared" si="286"/>
        <v/>
      </c>
      <c r="AQ776" s="61" t="str">
        <f t="shared" si="287"/>
        <v/>
      </c>
      <c r="AR776" s="61" t="str">
        <f t="shared" si="288"/>
        <v/>
      </c>
    </row>
    <row r="777" spans="16:44" x14ac:dyDescent="0.25">
      <c r="P777" s="73" t="str">
        <f t="shared" si="269"/>
        <v/>
      </c>
      <c r="Q777" s="73" t="str">
        <f t="shared" si="270"/>
        <v/>
      </c>
      <c r="R777" s="74" t="str">
        <f t="shared" si="271"/>
        <v/>
      </c>
      <c r="S777" s="74" t="str">
        <f t="shared" si="272"/>
        <v/>
      </c>
      <c r="U777" s="74" t="str">
        <f t="shared" si="268"/>
        <v/>
      </c>
      <c r="V777" s="74" t="str">
        <f t="shared" si="268"/>
        <v/>
      </c>
      <c r="W777" s="74" t="str">
        <f t="shared" si="268"/>
        <v/>
      </c>
      <c r="X777" s="74" t="str">
        <f t="shared" si="268"/>
        <v/>
      </c>
      <c r="Y777" s="74" t="str">
        <f t="shared" si="268"/>
        <v/>
      </c>
      <c r="Z777" s="74" t="str">
        <f t="shared" si="273"/>
        <v/>
      </c>
      <c r="AA777" s="74">
        <f t="shared" si="274"/>
        <v>0</v>
      </c>
      <c r="AB777" s="74">
        <f t="shared" si="275"/>
        <v>0</v>
      </c>
      <c r="AC777" s="74" t="str">
        <f t="shared" si="276"/>
        <v/>
      </c>
      <c r="AE777" s="74" t="str">
        <f t="shared" si="277"/>
        <v/>
      </c>
      <c r="AF777" s="74" t="str">
        <f t="shared" si="278"/>
        <v/>
      </c>
      <c r="AG777" s="74" t="str">
        <f t="shared" si="279"/>
        <v/>
      </c>
      <c r="AH777" s="74">
        <f t="shared" si="280"/>
        <v>0</v>
      </c>
      <c r="AI777" s="74" t="str">
        <f>IF(AH777&lt;&gt;0,COUNTIF(AH$3:AH777,1),"")</f>
        <v/>
      </c>
      <c r="AJ777" s="74">
        <f t="shared" si="281"/>
        <v>0</v>
      </c>
      <c r="AK777" s="73" t="str">
        <f t="shared" si="282"/>
        <v/>
      </c>
      <c r="AL777" s="73" t="str">
        <f t="shared" si="283"/>
        <v/>
      </c>
      <c r="AM777" s="73" t="str">
        <f t="shared" si="284"/>
        <v/>
      </c>
      <c r="AN777" s="73" t="str">
        <f t="shared" si="285"/>
        <v/>
      </c>
      <c r="AP777" s="61" t="str">
        <f t="shared" si="286"/>
        <v/>
      </c>
      <c r="AQ777" s="61" t="str">
        <f t="shared" si="287"/>
        <v/>
      </c>
      <c r="AR777" s="61" t="str">
        <f t="shared" si="288"/>
        <v/>
      </c>
    </row>
    <row r="778" spans="16:44" x14ac:dyDescent="0.25">
      <c r="P778" s="73" t="str">
        <f t="shared" si="269"/>
        <v/>
      </c>
      <c r="Q778" s="73" t="str">
        <f t="shared" si="270"/>
        <v/>
      </c>
      <c r="R778" s="74" t="str">
        <f t="shared" si="271"/>
        <v/>
      </c>
      <c r="S778" s="74" t="str">
        <f t="shared" si="272"/>
        <v/>
      </c>
      <c r="U778" s="74" t="str">
        <f t="shared" si="268"/>
        <v/>
      </c>
      <c r="V778" s="74" t="str">
        <f t="shared" si="268"/>
        <v/>
      </c>
      <c r="W778" s="74" t="str">
        <f t="shared" si="268"/>
        <v/>
      </c>
      <c r="X778" s="74" t="str">
        <f t="shared" si="268"/>
        <v/>
      </c>
      <c r="Y778" s="74" t="str">
        <f t="shared" si="268"/>
        <v/>
      </c>
      <c r="Z778" s="74" t="str">
        <f t="shared" si="273"/>
        <v/>
      </c>
      <c r="AA778" s="74">
        <f t="shared" si="274"/>
        <v>0</v>
      </c>
      <c r="AB778" s="74">
        <f t="shared" si="275"/>
        <v>0</v>
      </c>
      <c r="AC778" s="74" t="str">
        <f t="shared" si="276"/>
        <v/>
      </c>
      <c r="AE778" s="74" t="str">
        <f t="shared" si="277"/>
        <v/>
      </c>
      <c r="AF778" s="74" t="str">
        <f t="shared" si="278"/>
        <v/>
      </c>
      <c r="AG778" s="74" t="str">
        <f t="shared" si="279"/>
        <v/>
      </c>
      <c r="AH778" s="74">
        <f t="shared" si="280"/>
        <v>0</v>
      </c>
      <c r="AI778" s="74" t="str">
        <f>IF(AH778&lt;&gt;0,COUNTIF(AH$3:AH778,1),"")</f>
        <v/>
      </c>
      <c r="AJ778" s="74">
        <f t="shared" si="281"/>
        <v>0</v>
      </c>
      <c r="AK778" s="73" t="str">
        <f t="shared" si="282"/>
        <v/>
      </c>
      <c r="AL778" s="73" t="str">
        <f t="shared" si="283"/>
        <v/>
      </c>
      <c r="AM778" s="73" t="str">
        <f t="shared" si="284"/>
        <v/>
      </c>
      <c r="AN778" s="73" t="str">
        <f t="shared" si="285"/>
        <v/>
      </c>
      <c r="AP778" s="61" t="str">
        <f t="shared" si="286"/>
        <v/>
      </c>
      <c r="AQ778" s="61" t="str">
        <f t="shared" si="287"/>
        <v/>
      </c>
      <c r="AR778" s="61" t="str">
        <f t="shared" si="288"/>
        <v/>
      </c>
    </row>
    <row r="779" spans="16:44" x14ac:dyDescent="0.25">
      <c r="P779" s="73" t="str">
        <f t="shared" si="269"/>
        <v/>
      </c>
      <c r="Q779" s="73" t="str">
        <f t="shared" si="270"/>
        <v/>
      </c>
      <c r="R779" s="74" t="str">
        <f t="shared" si="271"/>
        <v/>
      </c>
      <c r="S779" s="74" t="str">
        <f t="shared" si="272"/>
        <v/>
      </c>
      <c r="U779" s="74" t="str">
        <f t="shared" si="268"/>
        <v/>
      </c>
      <c r="V779" s="74" t="str">
        <f t="shared" si="268"/>
        <v/>
      </c>
      <c r="W779" s="74" t="str">
        <f t="shared" si="268"/>
        <v/>
      </c>
      <c r="X779" s="74" t="str">
        <f t="shared" si="268"/>
        <v/>
      </c>
      <c r="Y779" s="74" t="str">
        <f t="shared" si="268"/>
        <v/>
      </c>
      <c r="Z779" s="74" t="str">
        <f t="shared" si="273"/>
        <v/>
      </c>
      <c r="AA779" s="74">
        <f t="shared" si="274"/>
        <v>0</v>
      </c>
      <c r="AB779" s="74">
        <f t="shared" si="275"/>
        <v>0</v>
      </c>
      <c r="AC779" s="74" t="str">
        <f t="shared" si="276"/>
        <v/>
      </c>
      <c r="AE779" s="74" t="str">
        <f t="shared" si="277"/>
        <v/>
      </c>
      <c r="AF779" s="74" t="str">
        <f t="shared" si="278"/>
        <v/>
      </c>
      <c r="AG779" s="74" t="str">
        <f t="shared" si="279"/>
        <v/>
      </c>
      <c r="AH779" s="74">
        <f t="shared" si="280"/>
        <v>0</v>
      </c>
      <c r="AI779" s="74" t="str">
        <f>IF(AH779&lt;&gt;0,COUNTIF(AH$3:AH779,1),"")</f>
        <v/>
      </c>
      <c r="AJ779" s="74">
        <f t="shared" si="281"/>
        <v>0</v>
      </c>
      <c r="AK779" s="73" t="str">
        <f t="shared" si="282"/>
        <v/>
      </c>
      <c r="AL779" s="73" t="str">
        <f t="shared" si="283"/>
        <v/>
      </c>
      <c r="AM779" s="73" t="str">
        <f t="shared" si="284"/>
        <v/>
      </c>
      <c r="AN779" s="73" t="str">
        <f t="shared" si="285"/>
        <v/>
      </c>
      <c r="AP779" s="61" t="str">
        <f t="shared" si="286"/>
        <v/>
      </c>
      <c r="AQ779" s="61" t="str">
        <f t="shared" si="287"/>
        <v/>
      </c>
      <c r="AR779" s="61" t="str">
        <f t="shared" si="288"/>
        <v/>
      </c>
    </row>
    <row r="780" spans="16:44" x14ac:dyDescent="0.25">
      <c r="P780" s="73" t="str">
        <f t="shared" si="269"/>
        <v/>
      </c>
      <c r="Q780" s="73" t="str">
        <f t="shared" si="270"/>
        <v/>
      </c>
      <c r="R780" s="74" t="str">
        <f t="shared" si="271"/>
        <v/>
      </c>
      <c r="S780" s="74" t="str">
        <f t="shared" si="272"/>
        <v/>
      </c>
      <c r="U780" s="74" t="str">
        <f t="shared" si="268"/>
        <v/>
      </c>
      <c r="V780" s="74" t="str">
        <f t="shared" si="268"/>
        <v/>
      </c>
      <c r="W780" s="74" t="str">
        <f t="shared" si="268"/>
        <v/>
      </c>
      <c r="X780" s="74" t="str">
        <f t="shared" si="268"/>
        <v/>
      </c>
      <c r="Y780" s="74" t="str">
        <f t="shared" si="268"/>
        <v/>
      </c>
      <c r="Z780" s="74" t="str">
        <f t="shared" si="273"/>
        <v/>
      </c>
      <c r="AA780" s="74">
        <f t="shared" si="274"/>
        <v>0</v>
      </c>
      <c r="AB780" s="74">
        <f t="shared" si="275"/>
        <v>0</v>
      </c>
      <c r="AC780" s="74" t="str">
        <f t="shared" si="276"/>
        <v/>
      </c>
      <c r="AE780" s="74" t="str">
        <f t="shared" si="277"/>
        <v/>
      </c>
      <c r="AF780" s="74" t="str">
        <f t="shared" si="278"/>
        <v/>
      </c>
      <c r="AG780" s="74" t="str">
        <f t="shared" si="279"/>
        <v/>
      </c>
      <c r="AH780" s="74">
        <f t="shared" si="280"/>
        <v>0</v>
      </c>
      <c r="AI780" s="74" t="str">
        <f>IF(AH780&lt;&gt;0,COUNTIF(AH$3:AH780,1),"")</f>
        <v/>
      </c>
      <c r="AJ780" s="74">
        <f t="shared" si="281"/>
        <v>0</v>
      </c>
      <c r="AK780" s="73" t="str">
        <f t="shared" si="282"/>
        <v/>
      </c>
      <c r="AL780" s="73" t="str">
        <f t="shared" si="283"/>
        <v/>
      </c>
      <c r="AM780" s="73" t="str">
        <f t="shared" si="284"/>
        <v/>
      </c>
      <c r="AN780" s="73" t="str">
        <f t="shared" si="285"/>
        <v/>
      </c>
      <c r="AP780" s="61" t="str">
        <f t="shared" si="286"/>
        <v/>
      </c>
      <c r="AQ780" s="61" t="str">
        <f t="shared" si="287"/>
        <v/>
      </c>
      <c r="AR780" s="61" t="str">
        <f t="shared" si="288"/>
        <v/>
      </c>
    </row>
    <row r="781" spans="16:44" x14ac:dyDescent="0.25">
      <c r="P781" s="73" t="str">
        <f t="shared" si="269"/>
        <v/>
      </c>
      <c r="Q781" s="73" t="str">
        <f t="shared" si="270"/>
        <v/>
      </c>
      <c r="R781" s="74" t="str">
        <f t="shared" si="271"/>
        <v/>
      </c>
      <c r="S781" s="74" t="str">
        <f t="shared" si="272"/>
        <v/>
      </c>
      <c r="U781" s="74" t="str">
        <f t="shared" si="268"/>
        <v/>
      </c>
      <c r="V781" s="74" t="str">
        <f t="shared" si="268"/>
        <v/>
      </c>
      <c r="W781" s="74" t="str">
        <f t="shared" si="268"/>
        <v/>
      </c>
      <c r="X781" s="74" t="str">
        <f t="shared" si="268"/>
        <v/>
      </c>
      <c r="Y781" s="74" t="str">
        <f t="shared" si="268"/>
        <v/>
      </c>
      <c r="Z781" s="74" t="str">
        <f t="shared" si="273"/>
        <v/>
      </c>
      <c r="AA781" s="74">
        <f t="shared" si="274"/>
        <v>0</v>
      </c>
      <c r="AB781" s="74">
        <f t="shared" si="275"/>
        <v>0</v>
      </c>
      <c r="AC781" s="74" t="str">
        <f t="shared" si="276"/>
        <v/>
      </c>
      <c r="AE781" s="74" t="str">
        <f t="shared" si="277"/>
        <v/>
      </c>
      <c r="AF781" s="74" t="str">
        <f t="shared" si="278"/>
        <v/>
      </c>
      <c r="AG781" s="74" t="str">
        <f t="shared" si="279"/>
        <v/>
      </c>
      <c r="AH781" s="74">
        <f t="shared" si="280"/>
        <v>0</v>
      </c>
      <c r="AI781" s="74" t="str">
        <f>IF(AH781&lt;&gt;0,COUNTIF(AH$3:AH781,1),"")</f>
        <v/>
      </c>
      <c r="AJ781" s="74">
        <f t="shared" si="281"/>
        <v>0</v>
      </c>
      <c r="AK781" s="73" t="str">
        <f t="shared" si="282"/>
        <v/>
      </c>
      <c r="AL781" s="73" t="str">
        <f t="shared" si="283"/>
        <v/>
      </c>
      <c r="AM781" s="73" t="str">
        <f t="shared" si="284"/>
        <v/>
      </c>
      <c r="AN781" s="73" t="str">
        <f t="shared" si="285"/>
        <v/>
      </c>
      <c r="AP781" s="61" t="str">
        <f t="shared" si="286"/>
        <v/>
      </c>
      <c r="AQ781" s="61" t="str">
        <f t="shared" si="287"/>
        <v/>
      </c>
      <c r="AR781" s="61" t="str">
        <f t="shared" si="288"/>
        <v/>
      </c>
    </row>
    <row r="782" spans="16:44" x14ac:dyDescent="0.25">
      <c r="P782" s="73" t="str">
        <f t="shared" si="269"/>
        <v/>
      </c>
      <c r="Q782" s="73" t="str">
        <f t="shared" si="270"/>
        <v/>
      </c>
      <c r="R782" s="74" t="str">
        <f t="shared" si="271"/>
        <v/>
      </c>
      <c r="S782" s="74" t="str">
        <f t="shared" si="272"/>
        <v/>
      </c>
      <c r="U782" s="74" t="str">
        <f t="shared" si="268"/>
        <v/>
      </c>
      <c r="V782" s="74" t="str">
        <f t="shared" si="268"/>
        <v/>
      </c>
      <c r="W782" s="74" t="str">
        <f t="shared" si="268"/>
        <v/>
      </c>
      <c r="X782" s="74" t="str">
        <f t="shared" si="268"/>
        <v/>
      </c>
      <c r="Y782" s="74" t="str">
        <f t="shared" si="268"/>
        <v/>
      </c>
      <c r="Z782" s="74" t="str">
        <f t="shared" si="273"/>
        <v/>
      </c>
      <c r="AA782" s="74">
        <f t="shared" si="274"/>
        <v>0</v>
      </c>
      <c r="AB782" s="74">
        <f t="shared" si="275"/>
        <v>0</v>
      </c>
      <c r="AC782" s="74" t="str">
        <f t="shared" si="276"/>
        <v/>
      </c>
      <c r="AE782" s="74" t="str">
        <f t="shared" si="277"/>
        <v/>
      </c>
      <c r="AF782" s="74" t="str">
        <f t="shared" si="278"/>
        <v/>
      </c>
      <c r="AG782" s="74" t="str">
        <f t="shared" si="279"/>
        <v/>
      </c>
      <c r="AH782" s="74">
        <f t="shared" si="280"/>
        <v>0</v>
      </c>
      <c r="AI782" s="74" t="str">
        <f>IF(AH782&lt;&gt;0,COUNTIF(AH$3:AH782,1),"")</f>
        <v/>
      </c>
      <c r="AJ782" s="74">
        <f t="shared" si="281"/>
        <v>0</v>
      </c>
      <c r="AK782" s="73" t="str">
        <f t="shared" si="282"/>
        <v/>
      </c>
      <c r="AL782" s="73" t="str">
        <f t="shared" si="283"/>
        <v/>
      </c>
      <c r="AM782" s="73" t="str">
        <f t="shared" si="284"/>
        <v/>
      </c>
      <c r="AN782" s="73" t="str">
        <f t="shared" si="285"/>
        <v/>
      </c>
      <c r="AP782" s="61" t="str">
        <f t="shared" si="286"/>
        <v/>
      </c>
      <c r="AQ782" s="61" t="str">
        <f t="shared" si="287"/>
        <v/>
      </c>
      <c r="AR782" s="61" t="str">
        <f t="shared" si="288"/>
        <v/>
      </c>
    </row>
    <row r="783" spans="16:44" x14ac:dyDescent="0.25">
      <c r="P783" s="73" t="str">
        <f t="shared" si="269"/>
        <v/>
      </c>
      <c r="Q783" s="73" t="str">
        <f t="shared" si="270"/>
        <v/>
      </c>
      <c r="R783" s="74" t="str">
        <f t="shared" si="271"/>
        <v/>
      </c>
      <c r="S783" s="74" t="str">
        <f t="shared" si="272"/>
        <v/>
      </c>
      <c r="U783" s="74" t="str">
        <f t="shared" si="268"/>
        <v/>
      </c>
      <c r="V783" s="74" t="str">
        <f t="shared" si="268"/>
        <v/>
      </c>
      <c r="W783" s="74" t="str">
        <f t="shared" si="268"/>
        <v/>
      </c>
      <c r="X783" s="74" t="str">
        <f t="shared" si="268"/>
        <v/>
      </c>
      <c r="Y783" s="74" t="str">
        <f t="shared" si="268"/>
        <v/>
      </c>
      <c r="Z783" s="74" t="str">
        <f t="shared" si="273"/>
        <v/>
      </c>
      <c r="AA783" s="74">
        <f t="shared" si="274"/>
        <v>0</v>
      </c>
      <c r="AB783" s="74">
        <f t="shared" si="275"/>
        <v>0</v>
      </c>
      <c r="AC783" s="74" t="str">
        <f t="shared" si="276"/>
        <v/>
      </c>
      <c r="AE783" s="74" t="str">
        <f t="shared" si="277"/>
        <v/>
      </c>
      <c r="AF783" s="74" t="str">
        <f t="shared" si="278"/>
        <v/>
      </c>
      <c r="AG783" s="74" t="str">
        <f t="shared" si="279"/>
        <v/>
      </c>
      <c r="AH783" s="74">
        <f t="shared" si="280"/>
        <v>0</v>
      </c>
      <c r="AI783" s="74" t="str">
        <f>IF(AH783&lt;&gt;0,COUNTIF(AH$3:AH783,1),"")</f>
        <v/>
      </c>
      <c r="AJ783" s="74">
        <f t="shared" si="281"/>
        <v>0</v>
      </c>
      <c r="AK783" s="73" t="str">
        <f t="shared" si="282"/>
        <v/>
      </c>
      <c r="AL783" s="73" t="str">
        <f t="shared" si="283"/>
        <v/>
      </c>
      <c r="AM783" s="73" t="str">
        <f t="shared" si="284"/>
        <v/>
      </c>
      <c r="AN783" s="73" t="str">
        <f t="shared" si="285"/>
        <v/>
      </c>
      <c r="AP783" s="61" t="str">
        <f t="shared" si="286"/>
        <v/>
      </c>
      <c r="AQ783" s="61" t="str">
        <f t="shared" si="287"/>
        <v/>
      </c>
      <c r="AR783" s="61" t="str">
        <f t="shared" si="288"/>
        <v/>
      </c>
    </row>
    <row r="784" spans="16:44" x14ac:dyDescent="0.25">
      <c r="P784" s="73" t="str">
        <f t="shared" si="269"/>
        <v/>
      </c>
      <c r="Q784" s="73" t="str">
        <f t="shared" si="270"/>
        <v/>
      </c>
      <c r="R784" s="74" t="str">
        <f t="shared" si="271"/>
        <v/>
      </c>
      <c r="S784" s="74" t="str">
        <f t="shared" si="272"/>
        <v/>
      </c>
      <c r="U784" s="74" t="str">
        <f t="shared" si="268"/>
        <v/>
      </c>
      <c r="V784" s="74" t="str">
        <f t="shared" si="268"/>
        <v/>
      </c>
      <c r="W784" s="74" t="str">
        <f t="shared" si="268"/>
        <v/>
      </c>
      <c r="X784" s="74" t="str">
        <f t="shared" si="268"/>
        <v/>
      </c>
      <c r="Y784" s="74" t="str">
        <f t="shared" si="268"/>
        <v/>
      </c>
      <c r="Z784" s="74" t="str">
        <f t="shared" si="273"/>
        <v/>
      </c>
      <c r="AA784" s="74">
        <f t="shared" si="274"/>
        <v>0</v>
      </c>
      <c r="AB784" s="74">
        <f t="shared" si="275"/>
        <v>0</v>
      </c>
      <c r="AC784" s="74" t="str">
        <f t="shared" si="276"/>
        <v/>
      </c>
      <c r="AE784" s="74" t="str">
        <f t="shared" si="277"/>
        <v/>
      </c>
      <c r="AF784" s="74" t="str">
        <f t="shared" si="278"/>
        <v/>
      </c>
      <c r="AG784" s="74" t="str">
        <f t="shared" si="279"/>
        <v/>
      </c>
      <c r="AH784" s="74">
        <f t="shared" si="280"/>
        <v>0</v>
      </c>
      <c r="AI784" s="74" t="str">
        <f>IF(AH784&lt;&gt;0,COUNTIF(AH$3:AH784,1),"")</f>
        <v/>
      </c>
      <c r="AJ784" s="74">
        <f t="shared" si="281"/>
        <v>0</v>
      </c>
      <c r="AK784" s="73" t="str">
        <f t="shared" si="282"/>
        <v/>
      </c>
      <c r="AL784" s="73" t="str">
        <f t="shared" si="283"/>
        <v/>
      </c>
      <c r="AM784" s="73" t="str">
        <f t="shared" si="284"/>
        <v/>
      </c>
      <c r="AN784" s="73" t="str">
        <f t="shared" si="285"/>
        <v/>
      </c>
      <c r="AP784" s="61" t="str">
        <f t="shared" si="286"/>
        <v/>
      </c>
      <c r="AQ784" s="61" t="str">
        <f t="shared" si="287"/>
        <v/>
      </c>
      <c r="AR784" s="61" t="str">
        <f t="shared" si="288"/>
        <v/>
      </c>
    </row>
    <row r="785" spans="16:44" x14ac:dyDescent="0.25">
      <c r="P785" s="73" t="str">
        <f t="shared" si="269"/>
        <v/>
      </c>
      <c r="Q785" s="73" t="str">
        <f t="shared" si="270"/>
        <v/>
      </c>
      <c r="R785" s="74" t="str">
        <f t="shared" si="271"/>
        <v/>
      </c>
      <c r="S785" s="74" t="str">
        <f t="shared" si="272"/>
        <v/>
      </c>
      <c r="U785" s="74" t="str">
        <f t="shared" si="268"/>
        <v/>
      </c>
      <c r="V785" s="74" t="str">
        <f t="shared" si="268"/>
        <v/>
      </c>
      <c r="W785" s="74" t="str">
        <f t="shared" si="268"/>
        <v/>
      </c>
      <c r="X785" s="74" t="str">
        <f t="shared" si="268"/>
        <v/>
      </c>
      <c r="Y785" s="74" t="str">
        <f t="shared" si="268"/>
        <v/>
      </c>
      <c r="Z785" s="74" t="str">
        <f t="shared" si="273"/>
        <v/>
      </c>
      <c r="AA785" s="74">
        <f t="shared" si="274"/>
        <v>0</v>
      </c>
      <c r="AB785" s="74">
        <f t="shared" si="275"/>
        <v>0</v>
      </c>
      <c r="AC785" s="74" t="str">
        <f t="shared" si="276"/>
        <v/>
      </c>
      <c r="AE785" s="74" t="str">
        <f t="shared" si="277"/>
        <v/>
      </c>
      <c r="AF785" s="74" t="str">
        <f t="shared" si="278"/>
        <v/>
      </c>
      <c r="AG785" s="74" t="str">
        <f t="shared" si="279"/>
        <v/>
      </c>
      <c r="AH785" s="74">
        <f t="shared" si="280"/>
        <v>0</v>
      </c>
      <c r="AI785" s="74" t="str">
        <f>IF(AH785&lt;&gt;0,COUNTIF(AH$3:AH785,1),"")</f>
        <v/>
      </c>
      <c r="AJ785" s="74">
        <f t="shared" si="281"/>
        <v>0</v>
      </c>
      <c r="AK785" s="73" t="str">
        <f t="shared" si="282"/>
        <v/>
      </c>
      <c r="AL785" s="73" t="str">
        <f t="shared" si="283"/>
        <v/>
      </c>
      <c r="AM785" s="73" t="str">
        <f t="shared" si="284"/>
        <v/>
      </c>
      <c r="AN785" s="73" t="str">
        <f t="shared" si="285"/>
        <v/>
      </c>
      <c r="AP785" s="61" t="str">
        <f t="shared" si="286"/>
        <v/>
      </c>
      <c r="AQ785" s="61" t="str">
        <f t="shared" si="287"/>
        <v/>
      </c>
      <c r="AR785" s="61" t="str">
        <f t="shared" si="288"/>
        <v/>
      </c>
    </row>
    <row r="786" spans="16:44" x14ac:dyDescent="0.25">
      <c r="P786" s="73" t="str">
        <f t="shared" si="269"/>
        <v/>
      </c>
      <c r="Q786" s="73" t="str">
        <f t="shared" si="270"/>
        <v/>
      </c>
      <c r="R786" s="74" t="str">
        <f t="shared" si="271"/>
        <v/>
      </c>
      <c r="S786" s="74" t="str">
        <f t="shared" si="272"/>
        <v/>
      </c>
      <c r="U786" s="74" t="str">
        <f t="shared" si="268"/>
        <v/>
      </c>
      <c r="V786" s="74" t="str">
        <f t="shared" si="268"/>
        <v/>
      </c>
      <c r="W786" s="74" t="str">
        <f t="shared" si="268"/>
        <v/>
      </c>
      <c r="X786" s="74" t="str">
        <f t="shared" si="268"/>
        <v/>
      </c>
      <c r="Y786" s="74" t="str">
        <f t="shared" si="268"/>
        <v/>
      </c>
      <c r="Z786" s="74" t="str">
        <f t="shared" si="273"/>
        <v/>
      </c>
      <c r="AA786" s="74">
        <f t="shared" si="274"/>
        <v>0</v>
      </c>
      <c r="AB786" s="74">
        <f t="shared" si="275"/>
        <v>0</v>
      </c>
      <c r="AC786" s="74" t="str">
        <f t="shared" si="276"/>
        <v/>
      </c>
      <c r="AE786" s="74" t="str">
        <f t="shared" si="277"/>
        <v/>
      </c>
      <c r="AF786" s="74" t="str">
        <f t="shared" si="278"/>
        <v/>
      </c>
      <c r="AG786" s="74" t="str">
        <f t="shared" si="279"/>
        <v/>
      </c>
      <c r="AH786" s="74">
        <f t="shared" si="280"/>
        <v>0</v>
      </c>
      <c r="AI786" s="74" t="str">
        <f>IF(AH786&lt;&gt;0,COUNTIF(AH$3:AH786,1),"")</f>
        <v/>
      </c>
      <c r="AJ786" s="74">
        <f t="shared" si="281"/>
        <v>0</v>
      </c>
      <c r="AK786" s="73" t="str">
        <f t="shared" si="282"/>
        <v/>
      </c>
      <c r="AL786" s="73" t="str">
        <f t="shared" si="283"/>
        <v/>
      </c>
      <c r="AM786" s="73" t="str">
        <f t="shared" si="284"/>
        <v/>
      </c>
      <c r="AN786" s="73" t="str">
        <f t="shared" si="285"/>
        <v/>
      </c>
      <c r="AP786" s="61" t="str">
        <f t="shared" si="286"/>
        <v/>
      </c>
      <c r="AQ786" s="61" t="str">
        <f t="shared" si="287"/>
        <v/>
      </c>
      <c r="AR786" s="61" t="str">
        <f t="shared" si="288"/>
        <v/>
      </c>
    </row>
    <row r="787" spans="16:44" x14ac:dyDescent="0.25">
      <c r="P787" s="73" t="str">
        <f t="shared" si="269"/>
        <v/>
      </c>
      <c r="Q787" s="73" t="str">
        <f t="shared" si="270"/>
        <v/>
      </c>
      <c r="R787" s="74" t="str">
        <f t="shared" si="271"/>
        <v/>
      </c>
      <c r="S787" s="74" t="str">
        <f t="shared" si="272"/>
        <v/>
      </c>
      <c r="U787" s="74" t="str">
        <f t="shared" si="268"/>
        <v/>
      </c>
      <c r="V787" s="74" t="str">
        <f t="shared" si="268"/>
        <v/>
      </c>
      <c r="W787" s="74" t="str">
        <f t="shared" si="268"/>
        <v/>
      </c>
      <c r="X787" s="74" t="str">
        <f t="shared" si="268"/>
        <v/>
      </c>
      <c r="Y787" s="74" t="str">
        <f t="shared" si="268"/>
        <v/>
      </c>
      <c r="Z787" s="74" t="str">
        <f t="shared" si="273"/>
        <v/>
      </c>
      <c r="AA787" s="74">
        <f t="shared" si="274"/>
        <v>0</v>
      </c>
      <c r="AB787" s="74">
        <f t="shared" si="275"/>
        <v>0</v>
      </c>
      <c r="AC787" s="74" t="str">
        <f t="shared" si="276"/>
        <v/>
      </c>
      <c r="AE787" s="74" t="str">
        <f t="shared" si="277"/>
        <v/>
      </c>
      <c r="AF787" s="74" t="str">
        <f t="shared" si="278"/>
        <v/>
      </c>
      <c r="AG787" s="74" t="str">
        <f t="shared" si="279"/>
        <v/>
      </c>
      <c r="AH787" s="74">
        <f t="shared" si="280"/>
        <v>0</v>
      </c>
      <c r="AI787" s="74" t="str">
        <f>IF(AH787&lt;&gt;0,COUNTIF(AH$3:AH787,1),"")</f>
        <v/>
      </c>
      <c r="AJ787" s="74">
        <f t="shared" si="281"/>
        <v>0</v>
      </c>
      <c r="AK787" s="73" t="str">
        <f t="shared" si="282"/>
        <v/>
      </c>
      <c r="AL787" s="73" t="str">
        <f t="shared" si="283"/>
        <v/>
      </c>
      <c r="AM787" s="73" t="str">
        <f t="shared" si="284"/>
        <v/>
      </c>
      <c r="AN787" s="73" t="str">
        <f t="shared" si="285"/>
        <v/>
      </c>
      <c r="AP787" s="61" t="str">
        <f t="shared" si="286"/>
        <v/>
      </c>
      <c r="AQ787" s="61" t="str">
        <f t="shared" si="287"/>
        <v/>
      </c>
      <c r="AR787" s="61" t="str">
        <f t="shared" si="288"/>
        <v/>
      </c>
    </row>
    <row r="788" spans="16:44" x14ac:dyDescent="0.25">
      <c r="P788" s="73" t="str">
        <f t="shared" si="269"/>
        <v/>
      </c>
      <c r="Q788" s="73" t="str">
        <f t="shared" si="270"/>
        <v/>
      </c>
      <c r="R788" s="74" t="str">
        <f t="shared" si="271"/>
        <v/>
      </c>
      <c r="S788" s="74" t="str">
        <f t="shared" si="272"/>
        <v/>
      </c>
      <c r="U788" s="74" t="str">
        <f t="shared" si="268"/>
        <v/>
      </c>
      <c r="V788" s="74" t="str">
        <f t="shared" si="268"/>
        <v/>
      </c>
      <c r="W788" s="74" t="str">
        <f t="shared" si="268"/>
        <v/>
      </c>
      <c r="X788" s="74" t="str">
        <f t="shared" si="268"/>
        <v/>
      </c>
      <c r="Y788" s="74" t="str">
        <f t="shared" si="268"/>
        <v/>
      </c>
      <c r="Z788" s="74" t="str">
        <f t="shared" si="273"/>
        <v/>
      </c>
      <c r="AA788" s="74">
        <f t="shared" si="274"/>
        <v>0</v>
      </c>
      <c r="AB788" s="74">
        <f t="shared" si="275"/>
        <v>0</v>
      </c>
      <c r="AC788" s="74" t="str">
        <f t="shared" si="276"/>
        <v/>
      </c>
      <c r="AE788" s="74" t="str">
        <f t="shared" si="277"/>
        <v/>
      </c>
      <c r="AF788" s="74" t="str">
        <f t="shared" si="278"/>
        <v/>
      </c>
      <c r="AG788" s="74" t="str">
        <f t="shared" si="279"/>
        <v/>
      </c>
      <c r="AH788" s="74">
        <f t="shared" si="280"/>
        <v>0</v>
      </c>
      <c r="AI788" s="74" t="str">
        <f>IF(AH788&lt;&gt;0,COUNTIF(AH$3:AH788,1),"")</f>
        <v/>
      </c>
      <c r="AJ788" s="74">
        <f t="shared" si="281"/>
        <v>0</v>
      </c>
      <c r="AK788" s="73" t="str">
        <f t="shared" si="282"/>
        <v/>
      </c>
      <c r="AL788" s="73" t="str">
        <f t="shared" si="283"/>
        <v/>
      </c>
      <c r="AM788" s="73" t="str">
        <f t="shared" si="284"/>
        <v/>
      </c>
      <c r="AN788" s="73" t="str">
        <f t="shared" si="285"/>
        <v/>
      </c>
      <c r="AP788" s="61" t="str">
        <f t="shared" si="286"/>
        <v/>
      </c>
      <c r="AQ788" s="61" t="str">
        <f t="shared" si="287"/>
        <v/>
      </c>
      <c r="AR788" s="61" t="str">
        <f t="shared" si="288"/>
        <v/>
      </c>
    </row>
    <row r="789" spans="16:44" x14ac:dyDescent="0.25">
      <c r="P789" s="73" t="str">
        <f t="shared" si="269"/>
        <v/>
      </c>
      <c r="Q789" s="73" t="str">
        <f t="shared" si="270"/>
        <v/>
      </c>
      <c r="R789" s="74" t="str">
        <f t="shared" si="271"/>
        <v/>
      </c>
      <c r="S789" s="74" t="str">
        <f t="shared" si="272"/>
        <v/>
      </c>
      <c r="U789" s="74" t="str">
        <f t="shared" si="268"/>
        <v/>
      </c>
      <c r="V789" s="74" t="str">
        <f t="shared" si="268"/>
        <v/>
      </c>
      <c r="W789" s="74" t="str">
        <f t="shared" si="268"/>
        <v/>
      </c>
      <c r="X789" s="74" t="str">
        <f t="shared" si="268"/>
        <v/>
      </c>
      <c r="Y789" s="74" t="str">
        <f t="shared" si="268"/>
        <v/>
      </c>
      <c r="Z789" s="74" t="str">
        <f t="shared" si="273"/>
        <v/>
      </c>
      <c r="AA789" s="74">
        <f t="shared" si="274"/>
        <v>0</v>
      </c>
      <c r="AB789" s="74">
        <f t="shared" si="275"/>
        <v>0</v>
      </c>
      <c r="AC789" s="74" t="str">
        <f t="shared" si="276"/>
        <v/>
      </c>
      <c r="AE789" s="74" t="str">
        <f t="shared" si="277"/>
        <v/>
      </c>
      <c r="AF789" s="74" t="str">
        <f t="shared" si="278"/>
        <v/>
      </c>
      <c r="AG789" s="74" t="str">
        <f t="shared" si="279"/>
        <v/>
      </c>
      <c r="AH789" s="74">
        <f t="shared" si="280"/>
        <v>0</v>
      </c>
      <c r="AI789" s="74" t="str">
        <f>IF(AH789&lt;&gt;0,COUNTIF(AH$3:AH789,1),"")</f>
        <v/>
      </c>
      <c r="AJ789" s="74">
        <f t="shared" si="281"/>
        <v>0</v>
      </c>
      <c r="AK789" s="73" t="str">
        <f t="shared" si="282"/>
        <v/>
      </c>
      <c r="AL789" s="73" t="str">
        <f t="shared" si="283"/>
        <v/>
      </c>
      <c r="AM789" s="73" t="str">
        <f t="shared" si="284"/>
        <v/>
      </c>
      <c r="AN789" s="73" t="str">
        <f t="shared" si="285"/>
        <v/>
      </c>
      <c r="AP789" s="61" t="str">
        <f t="shared" si="286"/>
        <v/>
      </c>
      <c r="AQ789" s="61" t="str">
        <f t="shared" si="287"/>
        <v/>
      </c>
      <c r="AR789" s="61" t="str">
        <f t="shared" si="288"/>
        <v/>
      </c>
    </row>
    <row r="790" spans="16:44" x14ac:dyDescent="0.25">
      <c r="P790" s="73" t="str">
        <f t="shared" si="269"/>
        <v/>
      </c>
      <c r="Q790" s="73" t="str">
        <f t="shared" si="270"/>
        <v/>
      </c>
      <c r="R790" s="74" t="str">
        <f t="shared" si="271"/>
        <v/>
      </c>
      <c r="S790" s="74" t="str">
        <f t="shared" si="272"/>
        <v/>
      </c>
      <c r="U790" s="74" t="str">
        <f t="shared" si="268"/>
        <v/>
      </c>
      <c r="V790" s="74" t="str">
        <f t="shared" si="268"/>
        <v/>
      </c>
      <c r="W790" s="74" t="str">
        <f t="shared" si="268"/>
        <v/>
      </c>
      <c r="X790" s="74" t="str">
        <f t="shared" si="268"/>
        <v/>
      </c>
      <c r="Y790" s="74" t="str">
        <f t="shared" si="268"/>
        <v/>
      </c>
      <c r="Z790" s="74" t="str">
        <f t="shared" si="273"/>
        <v/>
      </c>
      <c r="AA790" s="74">
        <f t="shared" si="274"/>
        <v>0</v>
      </c>
      <c r="AB790" s="74">
        <f t="shared" si="275"/>
        <v>0</v>
      </c>
      <c r="AC790" s="74" t="str">
        <f t="shared" si="276"/>
        <v/>
      </c>
      <c r="AE790" s="74" t="str">
        <f t="shared" si="277"/>
        <v/>
      </c>
      <c r="AF790" s="74" t="str">
        <f t="shared" si="278"/>
        <v/>
      </c>
      <c r="AG790" s="74" t="str">
        <f t="shared" si="279"/>
        <v/>
      </c>
      <c r="AH790" s="74">
        <f t="shared" si="280"/>
        <v>0</v>
      </c>
      <c r="AI790" s="74" t="str">
        <f>IF(AH790&lt;&gt;0,COUNTIF(AH$3:AH790,1),"")</f>
        <v/>
      </c>
      <c r="AJ790" s="74">
        <f t="shared" si="281"/>
        <v>0</v>
      </c>
      <c r="AK790" s="73" t="str">
        <f t="shared" si="282"/>
        <v/>
      </c>
      <c r="AL790" s="73" t="str">
        <f t="shared" si="283"/>
        <v/>
      </c>
      <c r="AM790" s="73" t="str">
        <f t="shared" si="284"/>
        <v/>
      </c>
      <c r="AN790" s="73" t="str">
        <f t="shared" si="285"/>
        <v/>
      </c>
      <c r="AP790" s="61" t="str">
        <f t="shared" si="286"/>
        <v/>
      </c>
      <c r="AQ790" s="61" t="str">
        <f t="shared" si="287"/>
        <v/>
      </c>
      <c r="AR790" s="61" t="str">
        <f t="shared" si="288"/>
        <v/>
      </c>
    </row>
    <row r="791" spans="16:44" x14ac:dyDescent="0.25">
      <c r="P791" s="73" t="str">
        <f t="shared" si="269"/>
        <v/>
      </c>
      <c r="Q791" s="73" t="str">
        <f t="shared" si="270"/>
        <v/>
      </c>
      <c r="R791" s="74" t="str">
        <f t="shared" si="271"/>
        <v/>
      </c>
      <c r="S791" s="74" t="str">
        <f t="shared" si="272"/>
        <v/>
      </c>
      <c r="U791" s="74" t="str">
        <f t="shared" si="268"/>
        <v/>
      </c>
      <c r="V791" s="74" t="str">
        <f t="shared" si="268"/>
        <v/>
      </c>
      <c r="W791" s="74" t="str">
        <f t="shared" si="268"/>
        <v/>
      </c>
      <c r="X791" s="74" t="str">
        <f t="shared" si="268"/>
        <v/>
      </c>
      <c r="Y791" s="74" t="str">
        <f t="shared" si="268"/>
        <v/>
      </c>
      <c r="Z791" s="74" t="str">
        <f t="shared" si="273"/>
        <v/>
      </c>
      <c r="AA791" s="74">
        <f t="shared" si="274"/>
        <v>0</v>
      </c>
      <c r="AB791" s="74">
        <f t="shared" si="275"/>
        <v>0</v>
      </c>
      <c r="AC791" s="74" t="str">
        <f t="shared" si="276"/>
        <v/>
      </c>
      <c r="AE791" s="74" t="str">
        <f t="shared" si="277"/>
        <v/>
      </c>
      <c r="AF791" s="74" t="str">
        <f t="shared" si="278"/>
        <v/>
      </c>
      <c r="AG791" s="74" t="str">
        <f t="shared" si="279"/>
        <v/>
      </c>
      <c r="AH791" s="74">
        <f t="shared" si="280"/>
        <v>0</v>
      </c>
      <c r="AI791" s="74" t="str">
        <f>IF(AH791&lt;&gt;0,COUNTIF(AH$3:AH791,1),"")</f>
        <v/>
      </c>
      <c r="AJ791" s="74">
        <f t="shared" si="281"/>
        <v>0</v>
      </c>
      <c r="AK791" s="73" t="str">
        <f t="shared" si="282"/>
        <v/>
      </c>
      <c r="AL791" s="73" t="str">
        <f t="shared" si="283"/>
        <v/>
      </c>
      <c r="AM791" s="73" t="str">
        <f t="shared" si="284"/>
        <v/>
      </c>
      <c r="AN791" s="73" t="str">
        <f t="shared" si="285"/>
        <v/>
      </c>
      <c r="AP791" s="61" t="str">
        <f t="shared" si="286"/>
        <v/>
      </c>
      <c r="AQ791" s="61" t="str">
        <f t="shared" si="287"/>
        <v/>
      </c>
      <c r="AR791" s="61" t="str">
        <f t="shared" si="288"/>
        <v/>
      </c>
    </row>
    <row r="792" spans="16:44" x14ac:dyDescent="0.25">
      <c r="P792" s="73" t="str">
        <f t="shared" si="269"/>
        <v/>
      </c>
      <c r="Q792" s="73" t="str">
        <f t="shared" si="270"/>
        <v/>
      </c>
      <c r="R792" s="74" t="str">
        <f t="shared" si="271"/>
        <v/>
      </c>
      <c r="S792" s="74" t="str">
        <f t="shared" si="272"/>
        <v/>
      </c>
      <c r="U792" s="74" t="str">
        <f t="shared" si="268"/>
        <v/>
      </c>
      <c r="V792" s="74" t="str">
        <f t="shared" si="268"/>
        <v/>
      </c>
      <c r="W792" s="74" t="str">
        <f t="shared" si="268"/>
        <v/>
      </c>
      <c r="X792" s="74" t="str">
        <f t="shared" si="268"/>
        <v/>
      </c>
      <c r="Y792" s="74" t="str">
        <f t="shared" si="268"/>
        <v/>
      </c>
      <c r="Z792" s="74" t="str">
        <f t="shared" si="273"/>
        <v/>
      </c>
      <c r="AA792" s="74">
        <f t="shared" si="274"/>
        <v>0</v>
      </c>
      <c r="AB792" s="74">
        <f t="shared" si="275"/>
        <v>0</v>
      </c>
      <c r="AC792" s="74" t="str">
        <f t="shared" si="276"/>
        <v/>
      </c>
      <c r="AE792" s="74" t="str">
        <f t="shared" si="277"/>
        <v/>
      </c>
      <c r="AF792" s="74" t="str">
        <f t="shared" si="278"/>
        <v/>
      </c>
      <c r="AG792" s="74" t="str">
        <f t="shared" si="279"/>
        <v/>
      </c>
      <c r="AH792" s="74">
        <f t="shared" si="280"/>
        <v>0</v>
      </c>
      <c r="AI792" s="74" t="str">
        <f>IF(AH792&lt;&gt;0,COUNTIF(AH$3:AH792,1),"")</f>
        <v/>
      </c>
      <c r="AJ792" s="74">
        <f t="shared" si="281"/>
        <v>0</v>
      </c>
      <c r="AK792" s="73" t="str">
        <f t="shared" si="282"/>
        <v/>
      </c>
      <c r="AL792" s="73" t="str">
        <f t="shared" si="283"/>
        <v/>
      </c>
      <c r="AM792" s="73" t="str">
        <f t="shared" si="284"/>
        <v/>
      </c>
      <c r="AN792" s="73" t="str">
        <f t="shared" si="285"/>
        <v/>
      </c>
      <c r="AP792" s="61" t="str">
        <f t="shared" si="286"/>
        <v/>
      </c>
      <c r="AQ792" s="61" t="str">
        <f t="shared" si="287"/>
        <v/>
      </c>
      <c r="AR792" s="61" t="str">
        <f t="shared" si="288"/>
        <v/>
      </c>
    </row>
    <row r="793" spans="16:44" x14ac:dyDescent="0.25">
      <c r="P793" s="73" t="str">
        <f t="shared" si="269"/>
        <v/>
      </c>
      <c r="Q793" s="73" t="str">
        <f t="shared" si="270"/>
        <v/>
      </c>
      <c r="R793" s="74" t="str">
        <f t="shared" si="271"/>
        <v/>
      </c>
      <c r="S793" s="74" t="str">
        <f t="shared" si="272"/>
        <v/>
      </c>
      <c r="U793" s="74" t="str">
        <f t="shared" si="268"/>
        <v/>
      </c>
      <c r="V793" s="74" t="str">
        <f t="shared" si="268"/>
        <v/>
      </c>
      <c r="W793" s="74" t="str">
        <f t="shared" si="268"/>
        <v/>
      </c>
      <c r="X793" s="74" t="str">
        <f t="shared" si="268"/>
        <v/>
      </c>
      <c r="Y793" s="74" t="str">
        <f t="shared" si="268"/>
        <v/>
      </c>
      <c r="Z793" s="74" t="str">
        <f t="shared" si="273"/>
        <v/>
      </c>
      <c r="AA793" s="74">
        <f t="shared" si="274"/>
        <v>0</v>
      </c>
      <c r="AB793" s="74">
        <f t="shared" si="275"/>
        <v>0</v>
      </c>
      <c r="AC793" s="74" t="str">
        <f t="shared" si="276"/>
        <v/>
      </c>
      <c r="AE793" s="74" t="str">
        <f t="shared" si="277"/>
        <v/>
      </c>
      <c r="AF793" s="74" t="str">
        <f t="shared" si="278"/>
        <v/>
      </c>
      <c r="AG793" s="74" t="str">
        <f t="shared" si="279"/>
        <v/>
      </c>
      <c r="AH793" s="74">
        <f t="shared" si="280"/>
        <v>0</v>
      </c>
      <c r="AI793" s="74" t="str">
        <f>IF(AH793&lt;&gt;0,COUNTIF(AH$3:AH793,1),"")</f>
        <v/>
      </c>
      <c r="AJ793" s="74">
        <f t="shared" si="281"/>
        <v>0</v>
      </c>
      <c r="AK793" s="73" t="str">
        <f t="shared" si="282"/>
        <v/>
      </c>
      <c r="AL793" s="73" t="str">
        <f t="shared" si="283"/>
        <v/>
      </c>
      <c r="AM793" s="73" t="str">
        <f t="shared" si="284"/>
        <v/>
      </c>
      <c r="AN793" s="73" t="str">
        <f t="shared" si="285"/>
        <v/>
      </c>
      <c r="AP793" s="61" t="str">
        <f t="shared" si="286"/>
        <v/>
      </c>
      <c r="AQ793" s="61" t="str">
        <f t="shared" si="287"/>
        <v/>
      </c>
      <c r="AR793" s="61" t="str">
        <f t="shared" si="288"/>
        <v/>
      </c>
    </row>
    <row r="794" spans="16:44" x14ac:dyDescent="0.25">
      <c r="P794" s="73" t="str">
        <f t="shared" si="269"/>
        <v/>
      </c>
      <c r="Q794" s="73" t="str">
        <f t="shared" si="270"/>
        <v/>
      </c>
      <c r="R794" s="74" t="str">
        <f t="shared" si="271"/>
        <v/>
      </c>
      <c r="S794" s="74" t="str">
        <f t="shared" si="272"/>
        <v/>
      </c>
      <c r="U794" s="74" t="str">
        <f t="shared" si="268"/>
        <v/>
      </c>
      <c r="V794" s="74" t="str">
        <f t="shared" si="268"/>
        <v/>
      </c>
      <c r="W794" s="74" t="str">
        <f t="shared" si="268"/>
        <v/>
      </c>
      <c r="X794" s="74" t="str">
        <f t="shared" si="268"/>
        <v/>
      </c>
      <c r="Y794" s="74" t="str">
        <f t="shared" si="268"/>
        <v/>
      </c>
      <c r="Z794" s="74" t="str">
        <f t="shared" si="273"/>
        <v/>
      </c>
      <c r="AA794" s="74">
        <f t="shared" si="274"/>
        <v>0</v>
      </c>
      <c r="AB794" s="74">
        <f t="shared" si="275"/>
        <v>0</v>
      </c>
      <c r="AC794" s="74" t="str">
        <f t="shared" si="276"/>
        <v/>
      </c>
      <c r="AE794" s="74" t="str">
        <f t="shared" si="277"/>
        <v/>
      </c>
      <c r="AF794" s="74" t="str">
        <f t="shared" si="278"/>
        <v/>
      </c>
      <c r="AG794" s="74" t="str">
        <f t="shared" si="279"/>
        <v/>
      </c>
      <c r="AH794" s="74">
        <f t="shared" si="280"/>
        <v>0</v>
      </c>
      <c r="AI794" s="74" t="str">
        <f>IF(AH794&lt;&gt;0,COUNTIF(AH$3:AH794,1),"")</f>
        <v/>
      </c>
      <c r="AJ794" s="74">
        <f t="shared" si="281"/>
        <v>0</v>
      </c>
      <c r="AK794" s="73" t="str">
        <f t="shared" si="282"/>
        <v/>
      </c>
      <c r="AL794" s="73" t="str">
        <f t="shared" si="283"/>
        <v/>
      </c>
      <c r="AM794" s="73" t="str">
        <f t="shared" si="284"/>
        <v/>
      </c>
      <c r="AN794" s="73" t="str">
        <f t="shared" si="285"/>
        <v/>
      </c>
      <c r="AP794" s="61" t="str">
        <f t="shared" si="286"/>
        <v/>
      </c>
      <c r="AQ794" s="61" t="str">
        <f t="shared" si="287"/>
        <v/>
      </c>
      <c r="AR794" s="61" t="str">
        <f t="shared" si="288"/>
        <v/>
      </c>
    </row>
    <row r="795" spans="16:44" x14ac:dyDescent="0.25">
      <c r="P795" s="73" t="str">
        <f t="shared" si="269"/>
        <v/>
      </c>
      <c r="Q795" s="73" t="str">
        <f t="shared" si="270"/>
        <v/>
      </c>
      <c r="R795" s="74" t="str">
        <f t="shared" si="271"/>
        <v/>
      </c>
      <c r="S795" s="74" t="str">
        <f t="shared" si="272"/>
        <v/>
      </c>
      <c r="U795" s="74" t="str">
        <f t="shared" si="268"/>
        <v/>
      </c>
      <c r="V795" s="74" t="str">
        <f t="shared" si="268"/>
        <v/>
      </c>
      <c r="W795" s="74" t="str">
        <f t="shared" si="268"/>
        <v/>
      </c>
      <c r="X795" s="74" t="str">
        <f t="shared" si="268"/>
        <v/>
      </c>
      <c r="Y795" s="74" t="str">
        <f t="shared" si="268"/>
        <v/>
      </c>
      <c r="Z795" s="74" t="str">
        <f t="shared" si="273"/>
        <v/>
      </c>
      <c r="AA795" s="74">
        <f t="shared" si="274"/>
        <v>0</v>
      </c>
      <c r="AB795" s="74">
        <f t="shared" si="275"/>
        <v>0</v>
      </c>
      <c r="AC795" s="74" t="str">
        <f t="shared" si="276"/>
        <v/>
      </c>
      <c r="AE795" s="74" t="str">
        <f t="shared" si="277"/>
        <v/>
      </c>
      <c r="AF795" s="74" t="str">
        <f t="shared" si="278"/>
        <v/>
      </c>
      <c r="AG795" s="74" t="str">
        <f t="shared" si="279"/>
        <v/>
      </c>
      <c r="AH795" s="74">
        <f t="shared" si="280"/>
        <v>0</v>
      </c>
      <c r="AI795" s="74" t="str">
        <f>IF(AH795&lt;&gt;0,COUNTIF(AH$3:AH795,1),"")</f>
        <v/>
      </c>
      <c r="AJ795" s="74">
        <f t="shared" si="281"/>
        <v>0</v>
      </c>
      <c r="AK795" s="73" t="str">
        <f t="shared" si="282"/>
        <v/>
      </c>
      <c r="AL795" s="73" t="str">
        <f t="shared" si="283"/>
        <v/>
      </c>
      <c r="AM795" s="73" t="str">
        <f t="shared" si="284"/>
        <v/>
      </c>
      <c r="AN795" s="73" t="str">
        <f t="shared" si="285"/>
        <v/>
      </c>
      <c r="AP795" s="61" t="str">
        <f t="shared" si="286"/>
        <v/>
      </c>
      <c r="AQ795" s="61" t="str">
        <f t="shared" si="287"/>
        <v/>
      </c>
      <c r="AR795" s="61" t="str">
        <f t="shared" si="288"/>
        <v/>
      </c>
    </row>
    <row r="796" spans="16:44" x14ac:dyDescent="0.25">
      <c r="P796" s="73" t="str">
        <f t="shared" si="269"/>
        <v/>
      </c>
      <c r="Q796" s="73" t="str">
        <f t="shared" si="270"/>
        <v/>
      </c>
      <c r="R796" s="74" t="str">
        <f t="shared" si="271"/>
        <v/>
      </c>
      <c r="S796" s="74" t="str">
        <f t="shared" si="272"/>
        <v/>
      </c>
      <c r="U796" s="74" t="str">
        <f t="shared" si="268"/>
        <v/>
      </c>
      <c r="V796" s="74" t="str">
        <f t="shared" si="268"/>
        <v/>
      </c>
      <c r="W796" s="74" t="str">
        <f t="shared" si="268"/>
        <v/>
      </c>
      <c r="X796" s="74" t="str">
        <f t="shared" si="268"/>
        <v/>
      </c>
      <c r="Y796" s="74" t="str">
        <f t="shared" si="268"/>
        <v/>
      </c>
      <c r="Z796" s="74" t="str">
        <f t="shared" si="273"/>
        <v/>
      </c>
      <c r="AA796" s="74">
        <f t="shared" si="274"/>
        <v>0</v>
      </c>
      <c r="AB796" s="74">
        <f t="shared" si="275"/>
        <v>0</v>
      </c>
      <c r="AC796" s="74" t="str">
        <f t="shared" si="276"/>
        <v/>
      </c>
      <c r="AE796" s="74" t="str">
        <f t="shared" si="277"/>
        <v/>
      </c>
      <c r="AF796" s="74" t="str">
        <f t="shared" si="278"/>
        <v/>
      </c>
      <c r="AG796" s="74" t="str">
        <f t="shared" si="279"/>
        <v/>
      </c>
      <c r="AH796" s="74">
        <f t="shared" si="280"/>
        <v>0</v>
      </c>
      <c r="AI796" s="74" t="str">
        <f>IF(AH796&lt;&gt;0,COUNTIF(AH$3:AH796,1),"")</f>
        <v/>
      </c>
      <c r="AJ796" s="74">
        <f t="shared" si="281"/>
        <v>0</v>
      </c>
      <c r="AK796" s="73" t="str">
        <f t="shared" si="282"/>
        <v/>
      </c>
      <c r="AL796" s="73" t="str">
        <f t="shared" si="283"/>
        <v/>
      </c>
      <c r="AM796" s="73" t="str">
        <f t="shared" si="284"/>
        <v/>
      </c>
      <c r="AN796" s="73" t="str">
        <f t="shared" si="285"/>
        <v/>
      </c>
      <c r="AP796" s="61" t="str">
        <f t="shared" si="286"/>
        <v/>
      </c>
      <c r="AQ796" s="61" t="str">
        <f t="shared" si="287"/>
        <v/>
      </c>
      <c r="AR796" s="61" t="str">
        <f t="shared" si="288"/>
        <v/>
      </c>
    </row>
    <row r="797" spans="16:44" x14ac:dyDescent="0.25">
      <c r="P797" s="73" t="str">
        <f t="shared" si="269"/>
        <v/>
      </c>
      <c r="Q797" s="73" t="str">
        <f t="shared" si="270"/>
        <v/>
      </c>
      <c r="R797" s="74" t="str">
        <f t="shared" si="271"/>
        <v/>
      </c>
      <c r="S797" s="74" t="str">
        <f t="shared" si="272"/>
        <v/>
      </c>
      <c r="U797" s="74" t="str">
        <f t="shared" si="268"/>
        <v/>
      </c>
      <c r="V797" s="74" t="str">
        <f t="shared" si="268"/>
        <v/>
      </c>
      <c r="W797" s="74" t="str">
        <f t="shared" si="268"/>
        <v/>
      </c>
      <c r="X797" s="74" t="str">
        <f t="shared" si="268"/>
        <v/>
      </c>
      <c r="Y797" s="74" t="str">
        <f t="shared" si="268"/>
        <v/>
      </c>
      <c r="Z797" s="74" t="str">
        <f t="shared" si="273"/>
        <v/>
      </c>
      <c r="AA797" s="74">
        <f t="shared" si="274"/>
        <v>0</v>
      </c>
      <c r="AB797" s="74">
        <f t="shared" si="275"/>
        <v>0</v>
      </c>
      <c r="AC797" s="74" t="str">
        <f t="shared" si="276"/>
        <v/>
      </c>
      <c r="AE797" s="74" t="str">
        <f t="shared" si="277"/>
        <v/>
      </c>
      <c r="AF797" s="74" t="str">
        <f t="shared" si="278"/>
        <v/>
      </c>
      <c r="AG797" s="74" t="str">
        <f t="shared" si="279"/>
        <v/>
      </c>
      <c r="AH797" s="74">
        <f t="shared" si="280"/>
        <v>0</v>
      </c>
      <c r="AI797" s="74" t="str">
        <f>IF(AH797&lt;&gt;0,COUNTIF(AH$3:AH797,1),"")</f>
        <v/>
      </c>
      <c r="AJ797" s="74">
        <f t="shared" si="281"/>
        <v>0</v>
      </c>
      <c r="AK797" s="73" t="str">
        <f t="shared" si="282"/>
        <v/>
      </c>
      <c r="AL797" s="73" t="str">
        <f t="shared" si="283"/>
        <v/>
      </c>
      <c r="AM797" s="73" t="str">
        <f t="shared" si="284"/>
        <v/>
      </c>
      <c r="AN797" s="73" t="str">
        <f t="shared" si="285"/>
        <v/>
      </c>
      <c r="AP797" s="61" t="str">
        <f t="shared" si="286"/>
        <v/>
      </c>
      <c r="AQ797" s="61" t="str">
        <f t="shared" si="287"/>
        <v/>
      </c>
      <c r="AR797" s="61" t="str">
        <f t="shared" si="288"/>
        <v/>
      </c>
    </row>
    <row r="798" spans="16:44" x14ac:dyDescent="0.25">
      <c r="P798" s="73" t="str">
        <f t="shared" si="269"/>
        <v/>
      </c>
      <c r="Q798" s="73" t="str">
        <f t="shared" si="270"/>
        <v/>
      </c>
      <c r="R798" s="74" t="str">
        <f t="shared" si="271"/>
        <v/>
      </c>
      <c r="S798" s="74" t="str">
        <f t="shared" si="272"/>
        <v/>
      </c>
      <c r="U798" s="74" t="str">
        <f t="shared" si="268"/>
        <v/>
      </c>
      <c r="V798" s="74" t="str">
        <f t="shared" si="268"/>
        <v/>
      </c>
      <c r="W798" s="74" t="str">
        <f t="shared" si="268"/>
        <v/>
      </c>
      <c r="X798" s="74" t="str">
        <f t="shared" si="268"/>
        <v/>
      </c>
      <c r="Y798" s="74" t="str">
        <f t="shared" si="268"/>
        <v/>
      </c>
      <c r="Z798" s="74" t="str">
        <f t="shared" si="273"/>
        <v/>
      </c>
      <c r="AA798" s="74">
        <f t="shared" si="274"/>
        <v>0</v>
      </c>
      <c r="AB798" s="74">
        <f t="shared" si="275"/>
        <v>0</v>
      </c>
      <c r="AC798" s="74" t="str">
        <f t="shared" si="276"/>
        <v/>
      </c>
      <c r="AE798" s="74" t="str">
        <f t="shared" si="277"/>
        <v/>
      </c>
      <c r="AF798" s="74" t="str">
        <f t="shared" si="278"/>
        <v/>
      </c>
      <c r="AG798" s="74" t="str">
        <f t="shared" si="279"/>
        <v/>
      </c>
      <c r="AH798" s="74">
        <f t="shared" si="280"/>
        <v>0</v>
      </c>
      <c r="AI798" s="74" t="str">
        <f>IF(AH798&lt;&gt;0,COUNTIF(AH$3:AH798,1),"")</f>
        <v/>
      </c>
      <c r="AJ798" s="74">
        <f t="shared" si="281"/>
        <v>0</v>
      </c>
      <c r="AK798" s="73" t="str">
        <f t="shared" si="282"/>
        <v/>
      </c>
      <c r="AL798" s="73" t="str">
        <f t="shared" si="283"/>
        <v/>
      </c>
      <c r="AM798" s="73" t="str">
        <f t="shared" si="284"/>
        <v/>
      </c>
      <c r="AN798" s="73" t="str">
        <f t="shared" si="285"/>
        <v/>
      </c>
      <c r="AP798" s="61" t="str">
        <f t="shared" si="286"/>
        <v/>
      </c>
      <c r="AQ798" s="61" t="str">
        <f t="shared" si="287"/>
        <v/>
      </c>
      <c r="AR798" s="61" t="str">
        <f t="shared" si="288"/>
        <v/>
      </c>
    </row>
    <row r="799" spans="16:44" x14ac:dyDescent="0.25">
      <c r="P799" s="73" t="str">
        <f t="shared" si="269"/>
        <v/>
      </c>
      <c r="Q799" s="73" t="str">
        <f t="shared" si="270"/>
        <v/>
      </c>
      <c r="R799" s="74" t="str">
        <f t="shared" si="271"/>
        <v/>
      </c>
      <c r="S799" s="74" t="str">
        <f t="shared" si="272"/>
        <v/>
      </c>
      <c r="U799" s="74" t="str">
        <f t="shared" si="268"/>
        <v/>
      </c>
      <c r="V799" s="74" t="str">
        <f t="shared" si="268"/>
        <v/>
      </c>
      <c r="W799" s="74" t="str">
        <f t="shared" si="268"/>
        <v/>
      </c>
      <c r="X799" s="74" t="str">
        <f t="shared" si="268"/>
        <v/>
      </c>
      <c r="Y799" s="74" t="str">
        <f t="shared" si="268"/>
        <v/>
      </c>
      <c r="Z799" s="74" t="str">
        <f t="shared" si="273"/>
        <v/>
      </c>
      <c r="AA799" s="74">
        <f t="shared" si="274"/>
        <v>0</v>
      </c>
      <c r="AB799" s="74">
        <f t="shared" si="275"/>
        <v>0</v>
      </c>
      <c r="AC799" s="74" t="str">
        <f t="shared" si="276"/>
        <v/>
      </c>
      <c r="AE799" s="74" t="str">
        <f t="shared" si="277"/>
        <v/>
      </c>
      <c r="AF799" s="74" t="str">
        <f t="shared" si="278"/>
        <v/>
      </c>
      <c r="AG799" s="74" t="str">
        <f t="shared" si="279"/>
        <v/>
      </c>
      <c r="AH799" s="74">
        <f t="shared" si="280"/>
        <v>0</v>
      </c>
      <c r="AI799" s="74" t="str">
        <f>IF(AH799&lt;&gt;0,COUNTIF(AH$3:AH799,1),"")</f>
        <v/>
      </c>
      <c r="AJ799" s="74">
        <f t="shared" si="281"/>
        <v>0</v>
      </c>
      <c r="AK799" s="73" t="str">
        <f t="shared" si="282"/>
        <v/>
      </c>
      <c r="AL799" s="73" t="str">
        <f t="shared" si="283"/>
        <v/>
      </c>
      <c r="AM799" s="73" t="str">
        <f t="shared" si="284"/>
        <v/>
      </c>
      <c r="AN799" s="73" t="str">
        <f t="shared" si="285"/>
        <v/>
      </c>
      <c r="AP799" s="61" t="str">
        <f t="shared" si="286"/>
        <v/>
      </c>
      <c r="AQ799" s="61" t="str">
        <f t="shared" si="287"/>
        <v/>
      </c>
      <c r="AR799" s="61" t="str">
        <f t="shared" si="288"/>
        <v/>
      </c>
    </row>
    <row r="800" spans="16:44" x14ac:dyDescent="0.25">
      <c r="P800" s="73" t="str">
        <f t="shared" si="269"/>
        <v/>
      </c>
      <c r="Q800" s="73" t="str">
        <f t="shared" si="270"/>
        <v/>
      </c>
      <c r="R800" s="74" t="str">
        <f t="shared" si="271"/>
        <v/>
      </c>
      <c r="S800" s="74" t="str">
        <f t="shared" si="272"/>
        <v/>
      </c>
      <c r="U800" s="74" t="str">
        <f t="shared" si="268"/>
        <v/>
      </c>
      <c r="V800" s="74" t="str">
        <f t="shared" si="268"/>
        <v/>
      </c>
      <c r="W800" s="74" t="str">
        <f t="shared" si="268"/>
        <v/>
      </c>
      <c r="X800" s="74" t="str">
        <f t="shared" si="268"/>
        <v/>
      </c>
      <c r="Y800" s="74" t="str">
        <f t="shared" si="268"/>
        <v/>
      </c>
      <c r="Z800" s="74" t="str">
        <f t="shared" si="273"/>
        <v/>
      </c>
      <c r="AA800" s="74">
        <f t="shared" si="274"/>
        <v>0</v>
      </c>
      <c r="AB800" s="74">
        <f t="shared" si="275"/>
        <v>0</v>
      </c>
      <c r="AC800" s="74" t="str">
        <f t="shared" si="276"/>
        <v/>
      </c>
      <c r="AE800" s="74" t="str">
        <f t="shared" si="277"/>
        <v/>
      </c>
      <c r="AF800" s="74" t="str">
        <f t="shared" si="278"/>
        <v/>
      </c>
      <c r="AG800" s="74" t="str">
        <f t="shared" si="279"/>
        <v/>
      </c>
      <c r="AH800" s="74">
        <f t="shared" si="280"/>
        <v>0</v>
      </c>
      <c r="AI800" s="74" t="str">
        <f>IF(AH800&lt;&gt;0,COUNTIF(AH$3:AH800,1),"")</f>
        <v/>
      </c>
      <c r="AJ800" s="74">
        <f t="shared" si="281"/>
        <v>0</v>
      </c>
      <c r="AK800" s="73" t="str">
        <f t="shared" si="282"/>
        <v/>
      </c>
      <c r="AL800" s="73" t="str">
        <f t="shared" si="283"/>
        <v/>
      </c>
      <c r="AM800" s="73" t="str">
        <f t="shared" si="284"/>
        <v/>
      </c>
      <c r="AN800" s="73" t="str">
        <f t="shared" si="285"/>
        <v/>
      </c>
      <c r="AP800" s="61" t="str">
        <f t="shared" si="286"/>
        <v/>
      </c>
      <c r="AQ800" s="61" t="str">
        <f t="shared" si="287"/>
        <v/>
      </c>
      <c r="AR800" s="61" t="str">
        <f t="shared" si="288"/>
        <v/>
      </c>
    </row>
    <row r="801" spans="16:44" x14ac:dyDescent="0.25">
      <c r="P801" s="73" t="str">
        <f t="shared" si="269"/>
        <v/>
      </c>
      <c r="Q801" s="73" t="str">
        <f t="shared" si="270"/>
        <v/>
      </c>
      <c r="R801" s="74" t="str">
        <f t="shared" si="271"/>
        <v/>
      </c>
      <c r="S801" s="74" t="str">
        <f t="shared" si="272"/>
        <v/>
      </c>
      <c r="U801" s="74" t="str">
        <f t="shared" si="268"/>
        <v/>
      </c>
      <c r="V801" s="74" t="str">
        <f t="shared" si="268"/>
        <v/>
      </c>
      <c r="W801" s="74" t="str">
        <f t="shared" si="268"/>
        <v/>
      </c>
      <c r="X801" s="74" t="str">
        <f t="shared" si="268"/>
        <v/>
      </c>
      <c r="Y801" s="74" t="str">
        <f t="shared" si="268"/>
        <v/>
      </c>
      <c r="Z801" s="74" t="str">
        <f t="shared" si="273"/>
        <v/>
      </c>
      <c r="AA801" s="74">
        <f t="shared" si="274"/>
        <v>0</v>
      </c>
      <c r="AB801" s="74">
        <f t="shared" si="275"/>
        <v>0</v>
      </c>
      <c r="AC801" s="74" t="str">
        <f t="shared" si="276"/>
        <v/>
      </c>
      <c r="AE801" s="74" t="str">
        <f t="shared" si="277"/>
        <v/>
      </c>
      <c r="AF801" s="74" t="str">
        <f t="shared" si="278"/>
        <v/>
      </c>
      <c r="AG801" s="74" t="str">
        <f t="shared" si="279"/>
        <v/>
      </c>
      <c r="AH801" s="74">
        <f t="shared" si="280"/>
        <v>0</v>
      </c>
      <c r="AI801" s="74" t="str">
        <f>IF(AH801&lt;&gt;0,COUNTIF(AH$3:AH801,1),"")</f>
        <v/>
      </c>
      <c r="AJ801" s="74">
        <f t="shared" si="281"/>
        <v>0</v>
      </c>
      <c r="AK801" s="73" t="str">
        <f t="shared" si="282"/>
        <v/>
      </c>
      <c r="AL801" s="73" t="str">
        <f t="shared" si="283"/>
        <v/>
      </c>
      <c r="AM801" s="73" t="str">
        <f t="shared" si="284"/>
        <v/>
      </c>
      <c r="AN801" s="73" t="str">
        <f t="shared" si="285"/>
        <v/>
      </c>
      <c r="AP801" s="61" t="str">
        <f t="shared" si="286"/>
        <v/>
      </c>
      <c r="AQ801" s="61" t="str">
        <f t="shared" si="287"/>
        <v/>
      </c>
      <c r="AR801" s="61" t="str">
        <f t="shared" si="288"/>
        <v/>
      </c>
    </row>
    <row r="802" spans="16:44" x14ac:dyDescent="0.25">
      <c r="P802" s="73" t="str">
        <f t="shared" si="269"/>
        <v/>
      </c>
      <c r="Q802" s="73" t="str">
        <f t="shared" si="270"/>
        <v/>
      </c>
      <c r="R802" s="74" t="str">
        <f t="shared" si="271"/>
        <v/>
      </c>
      <c r="S802" s="74" t="str">
        <f t="shared" si="272"/>
        <v/>
      </c>
      <c r="U802" s="74" t="str">
        <f t="shared" ref="U802:Y852" si="289">IF($F802=U$1,$E802,"")</f>
        <v/>
      </c>
      <c r="V802" s="74" t="str">
        <f t="shared" si="289"/>
        <v/>
      </c>
      <c r="W802" s="74" t="str">
        <f t="shared" si="289"/>
        <v/>
      </c>
      <c r="X802" s="74" t="str">
        <f t="shared" si="289"/>
        <v/>
      </c>
      <c r="Y802" s="74" t="str">
        <f t="shared" si="289"/>
        <v/>
      </c>
      <c r="Z802" s="74" t="str">
        <f t="shared" si="273"/>
        <v/>
      </c>
      <c r="AA802" s="74">
        <f t="shared" si="274"/>
        <v>0</v>
      </c>
      <c r="AB802" s="74">
        <f t="shared" si="275"/>
        <v>0</v>
      </c>
      <c r="AC802" s="74" t="str">
        <f t="shared" si="276"/>
        <v/>
      </c>
      <c r="AE802" s="74" t="str">
        <f t="shared" si="277"/>
        <v/>
      </c>
      <c r="AF802" s="74" t="str">
        <f t="shared" si="278"/>
        <v/>
      </c>
      <c r="AG802" s="74" t="str">
        <f t="shared" si="279"/>
        <v/>
      </c>
      <c r="AH802" s="74">
        <f t="shared" si="280"/>
        <v>0</v>
      </c>
      <c r="AI802" s="74" t="str">
        <f>IF(AH802&lt;&gt;0,COUNTIF(AH$3:AH802,1),"")</f>
        <v/>
      </c>
      <c r="AJ802" s="74">
        <f t="shared" si="281"/>
        <v>0</v>
      </c>
      <c r="AK802" s="73" t="str">
        <f t="shared" si="282"/>
        <v/>
      </c>
      <c r="AL802" s="73" t="str">
        <f t="shared" si="283"/>
        <v/>
      </c>
      <c r="AM802" s="73" t="str">
        <f t="shared" si="284"/>
        <v/>
      </c>
      <c r="AN802" s="73" t="str">
        <f t="shared" si="285"/>
        <v/>
      </c>
      <c r="AP802" s="61" t="str">
        <f t="shared" si="286"/>
        <v/>
      </c>
      <c r="AQ802" s="61" t="str">
        <f t="shared" si="287"/>
        <v/>
      </c>
      <c r="AR802" s="61" t="str">
        <f t="shared" si="288"/>
        <v/>
      </c>
    </row>
    <row r="803" spans="16:44" x14ac:dyDescent="0.25">
      <c r="P803" s="73" t="str">
        <f t="shared" si="269"/>
        <v/>
      </c>
      <c r="Q803" s="73" t="str">
        <f t="shared" si="270"/>
        <v/>
      </c>
      <c r="R803" s="74" t="str">
        <f t="shared" si="271"/>
        <v/>
      </c>
      <c r="S803" s="74" t="str">
        <f t="shared" si="272"/>
        <v/>
      </c>
      <c r="U803" s="74" t="str">
        <f t="shared" si="289"/>
        <v/>
      </c>
      <c r="V803" s="74" t="str">
        <f t="shared" si="289"/>
        <v/>
      </c>
      <c r="W803" s="74" t="str">
        <f t="shared" si="289"/>
        <v/>
      </c>
      <c r="X803" s="74" t="str">
        <f t="shared" si="289"/>
        <v/>
      </c>
      <c r="Y803" s="74" t="str">
        <f t="shared" si="289"/>
        <v/>
      </c>
      <c r="Z803" s="74" t="str">
        <f t="shared" si="273"/>
        <v/>
      </c>
      <c r="AA803" s="74">
        <f t="shared" si="274"/>
        <v>0</v>
      </c>
      <c r="AB803" s="74">
        <f t="shared" si="275"/>
        <v>0</v>
      </c>
      <c r="AC803" s="74" t="str">
        <f t="shared" si="276"/>
        <v/>
      </c>
      <c r="AE803" s="74" t="str">
        <f t="shared" si="277"/>
        <v/>
      </c>
      <c r="AF803" s="74" t="str">
        <f t="shared" si="278"/>
        <v/>
      </c>
      <c r="AG803" s="74" t="str">
        <f t="shared" si="279"/>
        <v/>
      </c>
      <c r="AH803" s="74">
        <f t="shared" si="280"/>
        <v>0</v>
      </c>
      <c r="AI803" s="74" t="str">
        <f>IF(AH803&lt;&gt;0,COUNTIF(AH$3:AH803,1),"")</f>
        <v/>
      </c>
      <c r="AJ803" s="74">
        <f t="shared" si="281"/>
        <v>0</v>
      </c>
      <c r="AK803" s="73" t="str">
        <f t="shared" si="282"/>
        <v/>
      </c>
      <c r="AL803" s="73" t="str">
        <f t="shared" si="283"/>
        <v/>
      </c>
      <c r="AM803" s="73" t="str">
        <f t="shared" si="284"/>
        <v/>
      </c>
      <c r="AN803" s="73" t="str">
        <f t="shared" si="285"/>
        <v/>
      </c>
      <c r="AP803" s="61" t="str">
        <f t="shared" si="286"/>
        <v/>
      </c>
      <c r="AQ803" s="61" t="str">
        <f t="shared" si="287"/>
        <v/>
      </c>
      <c r="AR803" s="61" t="str">
        <f t="shared" si="288"/>
        <v/>
      </c>
    </row>
    <row r="804" spans="16:44" x14ac:dyDescent="0.25">
      <c r="P804" s="73" t="str">
        <f t="shared" si="269"/>
        <v/>
      </c>
      <c r="Q804" s="73" t="str">
        <f t="shared" si="270"/>
        <v/>
      </c>
      <c r="R804" s="74" t="str">
        <f t="shared" si="271"/>
        <v/>
      </c>
      <c r="S804" s="74" t="str">
        <f t="shared" si="272"/>
        <v/>
      </c>
      <c r="U804" s="74" t="str">
        <f t="shared" si="289"/>
        <v/>
      </c>
      <c r="V804" s="74" t="str">
        <f t="shared" si="289"/>
        <v/>
      </c>
      <c r="W804" s="74" t="str">
        <f t="shared" si="289"/>
        <v/>
      </c>
      <c r="X804" s="74" t="str">
        <f t="shared" si="289"/>
        <v/>
      </c>
      <c r="Y804" s="74" t="str">
        <f t="shared" si="289"/>
        <v/>
      </c>
      <c r="Z804" s="74" t="str">
        <f t="shared" si="273"/>
        <v/>
      </c>
      <c r="AA804" s="74">
        <f t="shared" si="274"/>
        <v>0</v>
      </c>
      <c r="AB804" s="74">
        <f t="shared" si="275"/>
        <v>0</v>
      </c>
      <c r="AC804" s="74" t="str">
        <f t="shared" si="276"/>
        <v/>
      </c>
      <c r="AE804" s="74" t="str">
        <f t="shared" si="277"/>
        <v/>
      </c>
      <c r="AF804" s="74" t="str">
        <f t="shared" si="278"/>
        <v/>
      </c>
      <c r="AG804" s="74" t="str">
        <f t="shared" si="279"/>
        <v/>
      </c>
      <c r="AH804" s="74">
        <f t="shared" si="280"/>
        <v>0</v>
      </c>
      <c r="AI804" s="74" t="str">
        <f>IF(AH804&lt;&gt;0,COUNTIF(AH$3:AH804,1),"")</f>
        <v/>
      </c>
      <c r="AJ804" s="74">
        <f t="shared" si="281"/>
        <v>0</v>
      </c>
      <c r="AK804" s="73" t="str">
        <f t="shared" si="282"/>
        <v/>
      </c>
      <c r="AL804" s="73" t="str">
        <f t="shared" si="283"/>
        <v/>
      </c>
      <c r="AM804" s="73" t="str">
        <f t="shared" si="284"/>
        <v/>
      </c>
      <c r="AN804" s="73" t="str">
        <f t="shared" si="285"/>
        <v/>
      </c>
      <c r="AP804" s="61" t="str">
        <f t="shared" si="286"/>
        <v/>
      </c>
      <c r="AQ804" s="61" t="str">
        <f t="shared" si="287"/>
        <v/>
      </c>
      <c r="AR804" s="61" t="str">
        <f t="shared" si="288"/>
        <v/>
      </c>
    </row>
    <row r="805" spans="16:44" x14ac:dyDescent="0.25">
      <c r="P805" s="73" t="str">
        <f t="shared" si="269"/>
        <v/>
      </c>
      <c r="Q805" s="73" t="str">
        <f t="shared" si="270"/>
        <v/>
      </c>
      <c r="R805" s="74" t="str">
        <f t="shared" si="271"/>
        <v/>
      </c>
      <c r="S805" s="74" t="str">
        <f t="shared" si="272"/>
        <v/>
      </c>
      <c r="U805" s="74" t="str">
        <f t="shared" si="289"/>
        <v/>
      </c>
      <c r="V805" s="74" t="str">
        <f t="shared" si="289"/>
        <v/>
      </c>
      <c r="W805" s="74" t="str">
        <f t="shared" si="289"/>
        <v/>
      </c>
      <c r="X805" s="74" t="str">
        <f t="shared" si="289"/>
        <v/>
      </c>
      <c r="Y805" s="74" t="str">
        <f t="shared" si="289"/>
        <v/>
      </c>
      <c r="Z805" s="74" t="str">
        <f t="shared" si="273"/>
        <v/>
      </c>
      <c r="AA805" s="74">
        <f t="shared" si="274"/>
        <v>0</v>
      </c>
      <c r="AB805" s="74">
        <f t="shared" si="275"/>
        <v>0</v>
      </c>
      <c r="AC805" s="74" t="str">
        <f t="shared" si="276"/>
        <v/>
      </c>
      <c r="AE805" s="74" t="str">
        <f t="shared" si="277"/>
        <v/>
      </c>
      <c r="AF805" s="74" t="str">
        <f t="shared" si="278"/>
        <v/>
      </c>
      <c r="AG805" s="74" t="str">
        <f t="shared" si="279"/>
        <v/>
      </c>
      <c r="AH805" s="74">
        <f t="shared" si="280"/>
        <v>0</v>
      </c>
      <c r="AI805" s="74" t="str">
        <f>IF(AH805&lt;&gt;0,COUNTIF(AH$3:AH805,1),"")</f>
        <v/>
      </c>
      <c r="AJ805" s="74">
        <f t="shared" si="281"/>
        <v>0</v>
      </c>
      <c r="AK805" s="73" t="str">
        <f t="shared" si="282"/>
        <v/>
      </c>
      <c r="AL805" s="73" t="str">
        <f t="shared" si="283"/>
        <v/>
      </c>
      <c r="AM805" s="73" t="str">
        <f t="shared" si="284"/>
        <v/>
      </c>
      <c r="AN805" s="73" t="str">
        <f t="shared" si="285"/>
        <v/>
      </c>
      <c r="AP805" s="61" t="str">
        <f t="shared" si="286"/>
        <v/>
      </c>
      <c r="AQ805" s="61" t="str">
        <f t="shared" si="287"/>
        <v/>
      </c>
      <c r="AR805" s="61" t="str">
        <f t="shared" si="288"/>
        <v/>
      </c>
    </row>
    <row r="806" spans="16:44" x14ac:dyDescent="0.25">
      <c r="P806" s="73" t="str">
        <f t="shared" si="269"/>
        <v/>
      </c>
      <c r="Q806" s="73" t="str">
        <f t="shared" si="270"/>
        <v/>
      </c>
      <c r="R806" s="74" t="str">
        <f t="shared" si="271"/>
        <v/>
      </c>
      <c r="S806" s="74" t="str">
        <f t="shared" si="272"/>
        <v/>
      </c>
      <c r="U806" s="74" t="str">
        <f t="shared" si="289"/>
        <v/>
      </c>
      <c r="V806" s="74" t="str">
        <f t="shared" si="289"/>
        <v/>
      </c>
      <c r="W806" s="74" t="str">
        <f t="shared" si="289"/>
        <v/>
      </c>
      <c r="X806" s="74" t="str">
        <f t="shared" si="289"/>
        <v/>
      </c>
      <c r="Y806" s="74" t="str">
        <f t="shared" si="289"/>
        <v/>
      </c>
      <c r="Z806" s="74" t="str">
        <f t="shared" si="273"/>
        <v/>
      </c>
      <c r="AA806" s="74">
        <f t="shared" si="274"/>
        <v>0</v>
      </c>
      <c r="AB806" s="74">
        <f t="shared" si="275"/>
        <v>0</v>
      </c>
      <c r="AC806" s="74" t="str">
        <f t="shared" si="276"/>
        <v/>
      </c>
      <c r="AE806" s="74" t="str">
        <f t="shared" si="277"/>
        <v/>
      </c>
      <c r="AF806" s="74" t="str">
        <f t="shared" si="278"/>
        <v/>
      </c>
      <c r="AG806" s="74" t="str">
        <f t="shared" si="279"/>
        <v/>
      </c>
      <c r="AH806" s="74">
        <f t="shared" si="280"/>
        <v>0</v>
      </c>
      <c r="AI806" s="74" t="str">
        <f>IF(AH806&lt;&gt;0,COUNTIF(AH$3:AH806,1),"")</f>
        <v/>
      </c>
      <c r="AJ806" s="74">
        <f t="shared" si="281"/>
        <v>0</v>
      </c>
      <c r="AK806" s="73" t="str">
        <f t="shared" si="282"/>
        <v/>
      </c>
      <c r="AL806" s="73" t="str">
        <f t="shared" si="283"/>
        <v/>
      </c>
      <c r="AM806" s="73" t="str">
        <f t="shared" si="284"/>
        <v/>
      </c>
      <c r="AN806" s="73" t="str">
        <f t="shared" si="285"/>
        <v/>
      </c>
      <c r="AP806" s="61" t="str">
        <f t="shared" si="286"/>
        <v/>
      </c>
      <c r="AQ806" s="61" t="str">
        <f t="shared" si="287"/>
        <v/>
      </c>
      <c r="AR806" s="61" t="str">
        <f t="shared" si="288"/>
        <v/>
      </c>
    </row>
    <row r="807" spans="16:44" x14ac:dyDescent="0.25">
      <c r="P807" s="73" t="str">
        <f t="shared" si="269"/>
        <v/>
      </c>
      <c r="Q807" s="73" t="str">
        <f t="shared" si="270"/>
        <v/>
      </c>
      <c r="R807" s="74" t="str">
        <f t="shared" si="271"/>
        <v/>
      </c>
      <c r="S807" s="74" t="str">
        <f t="shared" si="272"/>
        <v/>
      </c>
      <c r="U807" s="74" t="str">
        <f t="shared" si="289"/>
        <v/>
      </c>
      <c r="V807" s="74" t="str">
        <f t="shared" si="289"/>
        <v/>
      </c>
      <c r="W807" s="74" t="str">
        <f t="shared" si="289"/>
        <v/>
      </c>
      <c r="X807" s="74" t="str">
        <f t="shared" si="289"/>
        <v/>
      </c>
      <c r="Y807" s="74" t="str">
        <f t="shared" si="289"/>
        <v/>
      </c>
      <c r="Z807" s="74" t="str">
        <f t="shared" si="273"/>
        <v/>
      </c>
      <c r="AA807" s="74">
        <f t="shared" si="274"/>
        <v>0</v>
      </c>
      <c r="AB807" s="74">
        <f t="shared" si="275"/>
        <v>0</v>
      </c>
      <c r="AC807" s="74" t="str">
        <f t="shared" si="276"/>
        <v/>
      </c>
      <c r="AE807" s="74" t="str">
        <f t="shared" si="277"/>
        <v/>
      </c>
      <c r="AF807" s="74" t="str">
        <f t="shared" si="278"/>
        <v/>
      </c>
      <c r="AG807" s="74" t="str">
        <f t="shared" si="279"/>
        <v/>
      </c>
      <c r="AH807" s="74">
        <f t="shared" si="280"/>
        <v>0</v>
      </c>
      <c r="AI807" s="74" t="str">
        <f>IF(AH807&lt;&gt;0,COUNTIF(AH$3:AH807,1),"")</f>
        <v/>
      </c>
      <c r="AJ807" s="74">
        <f t="shared" si="281"/>
        <v>0</v>
      </c>
      <c r="AK807" s="73" t="str">
        <f t="shared" si="282"/>
        <v/>
      </c>
      <c r="AL807" s="73" t="str">
        <f t="shared" si="283"/>
        <v/>
      </c>
      <c r="AM807" s="73" t="str">
        <f t="shared" si="284"/>
        <v/>
      </c>
      <c r="AN807" s="73" t="str">
        <f t="shared" si="285"/>
        <v/>
      </c>
      <c r="AP807" s="61" t="str">
        <f t="shared" si="286"/>
        <v/>
      </c>
      <c r="AQ807" s="61" t="str">
        <f t="shared" si="287"/>
        <v/>
      </c>
      <c r="AR807" s="61" t="str">
        <f t="shared" si="288"/>
        <v/>
      </c>
    </row>
    <row r="808" spans="16:44" x14ac:dyDescent="0.25">
      <c r="P808" s="73" t="str">
        <f t="shared" si="269"/>
        <v/>
      </c>
      <c r="Q808" s="73" t="str">
        <f t="shared" si="270"/>
        <v/>
      </c>
      <c r="R808" s="74" t="str">
        <f t="shared" si="271"/>
        <v/>
      </c>
      <c r="S808" s="74" t="str">
        <f t="shared" si="272"/>
        <v/>
      </c>
      <c r="U808" s="74" t="str">
        <f t="shared" si="289"/>
        <v/>
      </c>
      <c r="V808" s="74" t="str">
        <f t="shared" si="289"/>
        <v/>
      </c>
      <c r="W808" s="74" t="str">
        <f t="shared" si="289"/>
        <v/>
      </c>
      <c r="X808" s="74" t="str">
        <f t="shared" si="289"/>
        <v/>
      </c>
      <c r="Y808" s="74" t="str">
        <f t="shared" si="289"/>
        <v/>
      </c>
      <c r="Z808" s="74" t="str">
        <f t="shared" si="273"/>
        <v/>
      </c>
      <c r="AA808" s="74">
        <f t="shared" si="274"/>
        <v>0</v>
      </c>
      <c r="AB808" s="74">
        <f t="shared" si="275"/>
        <v>0</v>
      </c>
      <c r="AC808" s="74" t="str">
        <f t="shared" si="276"/>
        <v/>
      </c>
      <c r="AE808" s="74" t="str">
        <f t="shared" si="277"/>
        <v/>
      </c>
      <c r="AF808" s="74" t="str">
        <f t="shared" si="278"/>
        <v/>
      </c>
      <c r="AG808" s="74" t="str">
        <f t="shared" si="279"/>
        <v/>
      </c>
      <c r="AH808" s="74">
        <f t="shared" si="280"/>
        <v>0</v>
      </c>
      <c r="AI808" s="74" t="str">
        <f>IF(AH808&lt;&gt;0,COUNTIF(AH$3:AH808,1),"")</f>
        <v/>
      </c>
      <c r="AJ808" s="74">
        <f t="shared" si="281"/>
        <v>0</v>
      </c>
      <c r="AK808" s="73" t="str">
        <f t="shared" si="282"/>
        <v/>
      </c>
      <c r="AL808" s="73" t="str">
        <f t="shared" si="283"/>
        <v/>
      </c>
      <c r="AM808" s="73" t="str">
        <f t="shared" si="284"/>
        <v/>
      </c>
      <c r="AN808" s="73" t="str">
        <f t="shared" si="285"/>
        <v/>
      </c>
      <c r="AP808" s="61" t="str">
        <f t="shared" si="286"/>
        <v/>
      </c>
      <c r="AQ808" s="61" t="str">
        <f t="shared" si="287"/>
        <v/>
      </c>
      <c r="AR808" s="61" t="str">
        <f t="shared" si="288"/>
        <v/>
      </c>
    </row>
    <row r="809" spans="16:44" x14ac:dyDescent="0.25">
      <c r="P809" s="73" t="str">
        <f t="shared" si="269"/>
        <v/>
      </c>
      <c r="Q809" s="73" t="str">
        <f t="shared" si="270"/>
        <v/>
      </c>
      <c r="R809" s="74" t="str">
        <f t="shared" si="271"/>
        <v/>
      </c>
      <c r="S809" s="74" t="str">
        <f t="shared" si="272"/>
        <v/>
      </c>
      <c r="U809" s="74" t="str">
        <f t="shared" si="289"/>
        <v/>
      </c>
      <c r="V809" s="74" t="str">
        <f t="shared" si="289"/>
        <v/>
      </c>
      <c r="W809" s="74" t="str">
        <f t="shared" si="289"/>
        <v/>
      </c>
      <c r="X809" s="74" t="str">
        <f t="shared" si="289"/>
        <v/>
      </c>
      <c r="Y809" s="74" t="str">
        <f t="shared" si="289"/>
        <v/>
      </c>
      <c r="Z809" s="74" t="str">
        <f t="shared" si="273"/>
        <v/>
      </c>
      <c r="AA809" s="74">
        <f t="shared" si="274"/>
        <v>0</v>
      </c>
      <c r="AB809" s="74">
        <f t="shared" si="275"/>
        <v>0</v>
      </c>
      <c r="AC809" s="74" t="str">
        <f t="shared" si="276"/>
        <v/>
      </c>
      <c r="AE809" s="74" t="str">
        <f t="shared" si="277"/>
        <v/>
      </c>
      <c r="AF809" s="74" t="str">
        <f t="shared" si="278"/>
        <v/>
      </c>
      <c r="AG809" s="74" t="str">
        <f t="shared" si="279"/>
        <v/>
      </c>
      <c r="AH809" s="74">
        <f t="shared" si="280"/>
        <v>0</v>
      </c>
      <c r="AI809" s="74" t="str">
        <f>IF(AH809&lt;&gt;0,COUNTIF(AH$3:AH809,1),"")</f>
        <v/>
      </c>
      <c r="AJ809" s="74">
        <f t="shared" si="281"/>
        <v>0</v>
      </c>
      <c r="AK809" s="73" t="str">
        <f t="shared" si="282"/>
        <v/>
      </c>
      <c r="AL809" s="73" t="str">
        <f t="shared" si="283"/>
        <v/>
      </c>
      <c r="AM809" s="73" t="str">
        <f t="shared" si="284"/>
        <v/>
      </c>
      <c r="AN809" s="73" t="str">
        <f t="shared" si="285"/>
        <v/>
      </c>
      <c r="AP809" s="61" t="str">
        <f t="shared" si="286"/>
        <v/>
      </c>
      <c r="AQ809" s="61" t="str">
        <f t="shared" si="287"/>
        <v/>
      </c>
      <c r="AR809" s="61" t="str">
        <f t="shared" si="288"/>
        <v/>
      </c>
    </row>
    <row r="810" spans="16:44" x14ac:dyDescent="0.25">
      <c r="P810" s="73" t="str">
        <f t="shared" si="269"/>
        <v/>
      </c>
      <c r="Q810" s="73" t="str">
        <f t="shared" si="270"/>
        <v/>
      </c>
      <c r="R810" s="74" t="str">
        <f t="shared" si="271"/>
        <v/>
      </c>
      <c r="S810" s="74" t="str">
        <f t="shared" si="272"/>
        <v/>
      </c>
      <c r="U810" s="74" t="str">
        <f t="shared" si="289"/>
        <v/>
      </c>
      <c r="V810" s="74" t="str">
        <f t="shared" si="289"/>
        <v/>
      </c>
      <c r="W810" s="74" t="str">
        <f t="shared" si="289"/>
        <v/>
      </c>
      <c r="X810" s="74" t="str">
        <f t="shared" si="289"/>
        <v/>
      </c>
      <c r="Y810" s="74" t="str">
        <f t="shared" si="289"/>
        <v/>
      </c>
      <c r="Z810" s="74" t="str">
        <f t="shared" si="273"/>
        <v/>
      </c>
      <c r="AA810" s="74">
        <f t="shared" si="274"/>
        <v>0</v>
      </c>
      <c r="AB810" s="74">
        <f t="shared" si="275"/>
        <v>0</v>
      </c>
      <c r="AC810" s="74" t="str">
        <f t="shared" si="276"/>
        <v/>
      </c>
      <c r="AE810" s="74" t="str">
        <f t="shared" si="277"/>
        <v/>
      </c>
      <c r="AF810" s="74" t="str">
        <f t="shared" si="278"/>
        <v/>
      </c>
      <c r="AG810" s="74" t="str">
        <f t="shared" si="279"/>
        <v/>
      </c>
      <c r="AH810" s="74">
        <f t="shared" si="280"/>
        <v>0</v>
      </c>
      <c r="AI810" s="74" t="str">
        <f>IF(AH810&lt;&gt;0,COUNTIF(AH$3:AH810,1),"")</f>
        <v/>
      </c>
      <c r="AJ810" s="74">
        <f t="shared" si="281"/>
        <v>0</v>
      </c>
      <c r="AK810" s="73" t="str">
        <f t="shared" si="282"/>
        <v/>
      </c>
      <c r="AL810" s="73" t="str">
        <f t="shared" si="283"/>
        <v/>
      </c>
      <c r="AM810" s="73" t="str">
        <f t="shared" si="284"/>
        <v/>
      </c>
      <c r="AN810" s="73" t="str">
        <f t="shared" si="285"/>
        <v/>
      </c>
      <c r="AP810" s="61" t="str">
        <f t="shared" si="286"/>
        <v/>
      </c>
      <c r="AQ810" s="61" t="str">
        <f t="shared" si="287"/>
        <v/>
      </c>
      <c r="AR810" s="61" t="str">
        <f t="shared" si="288"/>
        <v/>
      </c>
    </row>
    <row r="811" spans="16:44" x14ac:dyDescent="0.25">
      <c r="P811" s="73" t="str">
        <f t="shared" si="269"/>
        <v/>
      </c>
      <c r="Q811" s="73" t="str">
        <f t="shared" si="270"/>
        <v/>
      </c>
      <c r="R811" s="74" t="str">
        <f t="shared" si="271"/>
        <v/>
      </c>
      <c r="S811" s="74" t="str">
        <f t="shared" si="272"/>
        <v/>
      </c>
      <c r="U811" s="74" t="str">
        <f t="shared" si="289"/>
        <v/>
      </c>
      <c r="V811" s="74" t="str">
        <f t="shared" si="289"/>
        <v/>
      </c>
      <c r="W811" s="74" t="str">
        <f t="shared" si="289"/>
        <v/>
      </c>
      <c r="X811" s="74" t="str">
        <f t="shared" si="289"/>
        <v/>
      </c>
      <c r="Y811" s="74" t="str">
        <f t="shared" si="289"/>
        <v/>
      </c>
      <c r="Z811" s="74" t="str">
        <f t="shared" si="273"/>
        <v/>
      </c>
      <c r="AA811" s="74">
        <f t="shared" si="274"/>
        <v>0</v>
      </c>
      <c r="AB811" s="74">
        <f t="shared" si="275"/>
        <v>0</v>
      </c>
      <c r="AC811" s="74" t="str">
        <f t="shared" si="276"/>
        <v/>
      </c>
      <c r="AE811" s="74" t="str">
        <f t="shared" si="277"/>
        <v/>
      </c>
      <c r="AF811" s="74" t="str">
        <f t="shared" si="278"/>
        <v/>
      </c>
      <c r="AG811" s="74" t="str">
        <f t="shared" si="279"/>
        <v/>
      </c>
      <c r="AH811" s="74">
        <f t="shared" si="280"/>
        <v>0</v>
      </c>
      <c r="AI811" s="74" t="str">
        <f>IF(AH811&lt;&gt;0,COUNTIF(AH$3:AH811,1),"")</f>
        <v/>
      </c>
      <c r="AJ811" s="74">
        <f t="shared" si="281"/>
        <v>0</v>
      </c>
      <c r="AK811" s="73" t="str">
        <f t="shared" si="282"/>
        <v/>
      </c>
      <c r="AL811" s="73" t="str">
        <f t="shared" si="283"/>
        <v/>
      </c>
      <c r="AM811" s="73" t="str">
        <f t="shared" si="284"/>
        <v/>
      </c>
      <c r="AN811" s="73" t="str">
        <f t="shared" si="285"/>
        <v/>
      </c>
      <c r="AP811" s="61" t="str">
        <f t="shared" si="286"/>
        <v/>
      </c>
      <c r="AQ811" s="61" t="str">
        <f t="shared" si="287"/>
        <v/>
      </c>
      <c r="AR811" s="61" t="str">
        <f t="shared" si="288"/>
        <v/>
      </c>
    </row>
    <row r="812" spans="16:44" x14ac:dyDescent="0.25">
      <c r="P812" s="73" t="str">
        <f t="shared" si="269"/>
        <v/>
      </c>
      <c r="Q812" s="73" t="str">
        <f t="shared" si="270"/>
        <v/>
      </c>
      <c r="R812" s="74" t="str">
        <f t="shared" si="271"/>
        <v/>
      </c>
      <c r="S812" s="74" t="str">
        <f t="shared" si="272"/>
        <v/>
      </c>
      <c r="U812" s="74" t="str">
        <f t="shared" si="289"/>
        <v/>
      </c>
      <c r="V812" s="74" t="str">
        <f t="shared" si="289"/>
        <v/>
      </c>
      <c r="W812" s="74" t="str">
        <f t="shared" si="289"/>
        <v/>
      </c>
      <c r="X812" s="74" t="str">
        <f t="shared" si="289"/>
        <v/>
      </c>
      <c r="Y812" s="74" t="str">
        <f t="shared" si="289"/>
        <v/>
      </c>
      <c r="Z812" s="74" t="str">
        <f t="shared" si="273"/>
        <v/>
      </c>
      <c r="AA812" s="74">
        <f t="shared" si="274"/>
        <v>0</v>
      </c>
      <c r="AB812" s="74">
        <f t="shared" si="275"/>
        <v>0</v>
      </c>
      <c r="AC812" s="74" t="str">
        <f t="shared" si="276"/>
        <v/>
      </c>
      <c r="AE812" s="74" t="str">
        <f t="shared" si="277"/>
        <v/>
      </c>
      <c r="AF812" s="74" t="str">
        <f t="shared" si="278"/>
        <v/>
      </c>
      <c r="AG812" s="74" t="str">
        <f t="shared" si="279"/>
        <v/>
      </c>
      <c r="AH812" s="74">
        <f t="shared" si="280"/>
        <v>0</v>
      </c>
      <c r="AI812" s="74" t="str">
        <f>IF(AH812&lt;&gt;0,COUNTIF(AH$3:AH812,1),"")</f>
        <v/>
      </c>
      <c r="AJ812" s="74">
        <f t="shared" si="281"/>
        <v>0</v>
      </c>
      <c r="AK812" s="73" t="str">
        <f t="shared" si="282"/>
        <v/>
      </c>
      <c r="AL812" s="73" t="str">
        <f t="shared" si="283"/>
        <v/>
      </c>
      <c r="AM812" s="73" t="str">
        <f t="shared" si="284"/>
        <v/>
      </c>
      <c r="AN812" s="73" t="str">
        <f t="shared" si="285"/>
        <v/>
      </c>
      <c r="AP812" s="61" t="str">
        <f t="shared" si="286"/>
        <v/>
      </c>
      <c r="AQ812" s="61" t="str">
        <f t="shared" si="287"/>
        <v/>
      </c>
      <c r="AR812" s="61" t="str">
        <f t="shared" si="288"/>
        <v/>
      </c>
    </row>
    <row r="813" spans="16:44" x14ac:dyDescent="0.25">
      <c r="P813" s="73" t="str">
        <f t="shared" si="269"/>
        <v/>
      </c>
      <c r="Q813" s="73" t="str">
        <f t="shared" si="270"/>
        <v/>
      </c>
      <c r="R813" s="74" t="str">
        <f t="shared" si="271"/>
        <v/>
      </c>
      <c r="S813" s="74" t="str">
        <f t="shared" si="272"/>
        <v/>
      </c>
      <c r="U813" s="74" t="str">
        <f t="shared" si="289"/>
        <v/>
      </c>
      <c r="V813" s="74" t="str">
        <f t="shared" si="289"/>
        <v/>
      </c>
      <c r="W813" s="74" t="str">
        <f t="shared" si="289"/>
        <v/>
      </c>
      <c r="X813" s="74" t="str">
        <f t="shared" si="289"/>
        <v/>
      </c>
      <c r="Y813" s="74" t="str">
        <f t="shared" si="289"/>
        <v/>
      </c>
      <c r="Z813" s="74" t="str">
        <f t="shared" si="273"/>
        <v/>
      </c>
      <c r="AA813" s="74">
        <f t="shared" si="274"/>
        <v>0</v>
      </c>
      <c r="AB813" s="74">
        <f t="shared" si="275"/>
        <v>0</v>
      </c>
      <c r="AC813" s="74" t="str">
        <f t="shared" si="276"/>
        <v/>
      </c>
      <c r="AE813" s="74" t="str">
        <f t="shared" si="277"/>
        <v/>
      </c>
      <c r="AF813" s="74" t="str">
        <f t="shared" si="278"/>
        <v/>
      </c>
      <c r="AG813" s="74" t="str">
        <f t="shared" si="279"/>
        <v/>
      </c>
      <c r="AH813" s="74">
        <f t="shared" si="280"/>
        <v>0</v>
      </c>
      <c r="AI813" s="74" t="str">
        <f>IF(AH813&lt;&gt;0,COUNTIF(AH$3:AH813,1),"")</f>
        <v/>
      </c>
      <c r="AJ813" s="74">
        <f t="shared" si="281"/>
        <v>0</v>
      </c>
      <c r="AK813" s="73" t="str">
        <f t="shared" si="282"/>
        <v/>
      </c>
      <c r="AL813" s="73" t="str">
        <f t="shared" si="283"/>
        <v/>
      </c>
      <c r="AM813" s="73" t="str">
        <f t="shared" si="284"/>
        <v/>
      </c>
      <c r="AN813" s="73" t="str">
        <f t="shared" si="285"/>
        <v/>
      </c>
      <c r="AP813" s="61" t="str">
        <f t="shared" si="286"/>
        <v/>
      </c>
      <c r="AQ813" s="61" t="str">
        <f t="shared" si="287"/>
        <v/>
      </c>
      <c r="AR813" s="61" t="str">
        <f t="shared" si="288"/>
        <v/>
      </c>
    </row>
    <row r="814" spans="16:44" x14ac:dyDescent="0.25">
      <c r="P814" s="73" t="str">
        <f t="shared" si="269"/>
        <v/>
      </c>
      <c r="Q814" s="73" t="str">
        <f t="shared" si="270"/>
        <v/>
      </c>
      <c r="R814" s="74" t="str">
        <f t="shared" si="271"/>
        <v/>
      </c>
      <c r="S814" s="74" t="str">
        <f t="shared" si="272"/>
        <v/>
      </c>
      <c r="U814" s="74" t="str">
        <f t="shared" si="289"/>
        <v/>
      </c>
      <c r="V814" s="74" t="str">
        <f t="shared" si="289"/>
        <v/>
      </c>
      <c r="W814" s="74" t="str">
        <f t="shared" si="289"/>
        <v/>
      </c>
      <c r="X814" s="74" t="str">
        <f t="shared" si="289"/>
        <v/>
      </c>
      <c r="Y814" s="74" t="str">
        <f t="shared" si="289"/>
        <v/>
      </c>
      <c r="Z814" s="74" t="str">
        <f t="shared" si="273"/>
        <v/>
      </c>
      <c r="AA814" s="74">
        <f t="shared" si="274"/>
        <v>0</v>
      </c>
      <c r="AB814" s="74">
        <f t="shared" si="275"/>
        <v>0</v>
      </c>
      <c r="AC814" s="74" t="str">
        <f t="shared" si="276"/>
        <v/>
      </c>
      <c r="AE814" s="74" t="str">
        <f t="shared" si="277"/>
        <v/>
      </c>
      <c r="AF814" s="74" t="str">
        <f t="shared" si="278"/>
        <v/>
      </c>
      <c r="AG814" s="74" t="str">
        <f t="shared" si="279"/>
        <v/>
      </c>
      <c r="AH814" s="74">
        <f t="shared" si="280"/>
        <v>0</v>
      </c>
      <c r="AI814" s="74" t="str">
        <f>IF(AH814&lt;&gt;0,COUNTIF(AH$3:AH814,1),"")</f>
        <v/>
      </c>
      <c r="AJ814" s="74">
        <f t="shared" si="281"/>
        <v>0</v>
      </c>
      <c r="AK814" s="73" t="str">
        <f t="shared" si="282"/>
        <v/>
      </c>
      <c r="AL814" s="73" t="str">
        <f t="shared" si="283"/>
        <v/>
      </c>
      <c r="AM814" s="73" t="str">
        <f t="shared" si="284"/>
        <v/>
      </c>
      <c r="AN814" s="73" t="str">
        <f t="shared" si="285"/>
        <v/>
      </c>
      <c r="AP814" s="61" t="str">
        <f t="shared" si="286"/>
        <v/>
      </c>
      <c r="AQ814" s="61" t="str">
        <f t="shared" si="287"/>
        <v/>
      </c>
      <c r="AR814" s="61" t="str">
        <f t="shared" si="288"/>
        <v/>
      </c>
    </row>
    <row r="815" spans="16:44" x14ac:dyDescent="0.25">
      <c r="P815" s="73" t="str">
        <f t="shared" si="269"/>
        <v/>
      </c>
      <c r="Q815" s="73" t="str">
        <f t="shared" si="270"/>
        <v/>
      </c>
      <c r="R815" s="74" t="str">
        <f t="shared" si="271"/>
        <v/>
      </c>
      <c r="S815" s="74" t="str">
        <f t="shared" si="272"/>
        <v/>
      </c>
      <c r="U815" s="74" t="str">
        <f t="shared" si="289"/>
        <v/>
      </c>
      <c r="V815" s="74" t="str">
        <f t="shared" si="289"/>
        <v/>
      </c>
      <c r="W815" s="74" t="str">
        <f t="shared" si="289"/>
        <v/>
      </c>
      <c r="X815" s="74" t="str">
        <f t="shared" si="289"/>
        <v/>
      </c>
      <c r="Y815" s="74" t="str">
        <f t="shared" si="289"/>
        <v/>
      </c>
      <c r="Z815" s="74" t="str">
        <f t="shared" si="273"/>
        <v/>
      </c>
      <c r="AA815" s="74">
        <f t="shared" si="274"/>
        <v>0</v>
      </c>
      <c r="AB815" s="74">
        <f t="shared" si="275"/>
        <v>0</v>
      </c>
      <c r="AC815" s="74" t="str">
        <f t="shared" si="276"/>
        <v/>
      </c>
      <c r="AE815" s="74" t="str">
        <f t="shared" si="277"/>
        <v/>
      </c>
      <c r="AF815" s="74" t="str">
        <f t="shared" si="278"/>
        <v/>
      </c>
      <c r="AG815" s="74" t="str">
        <f t="shared" si="279"/>
        <v/>
      </c>
      <c r="AH815" s="74">
        <f t="shared" si="280"/>
        <v>0</v>
      </c>
      <c r="AI815" s="74" t="str">
        <f>IF(AH815&lt;&gt;0,COUNTIF(AH$3:AH815,1),"")</f>
        <v/>
      </c>
      <c r="AJ815" s="74">
        <f t="shared" si="281"/>
        <v>0</v>
      </c>
      <c r="AK815" s="73" t="str">
        <f t="shared" si="282"/>
        <v/>
      </c>
      <c r="AL815" s="73" t="str">
        <f t="shared" si="283"/>
        <v/>
      </c>
      <c r="AM815" s="73" t="str">
        <f t="shared" si="284"/>
        <v/>
      </c>
      <c r="AN815" s="73" t="str">
        <f t="shared" si="285"/>
        <v/>
      </c>
      <c r="AP815" s="61" t="str">
        <f t="shared" si="286"/>
        <v/>
      </c>
      <c r="AQ815" s="61" t="str">
        <f t="shared" si="287"/>
        <v/>
      </c>
      <c r="AR815" s="61" t="str">
        <f t="shared" si="288"/>
        <v/>
      </c>
    </row>
    <row r="816" spans="16:44" x14ac:dyDescent="0.25">
      <c r="P816" s="73" t="str">
        <f t="shared" si="269"/>
        <v/>
      </c>
      <c r="Q816" s="73" t="str">
        <f t="shared" si="270"/>
        <v/>
      </c>
      <c r="R816" s="74" t="str">
        <f t="shared" si="271"/>
        <v/>
      </c>
      <c r="S816" s="74" t="str">
        <f t="shared" si="272"/>
        <v/>
      </c>
      <c r="U816" s="74" t="str">
        <f t="shared" si="289"/>
        <v/>
      </c>
      <c r="V816" s="74" t="str">
        <f t="shared" si="289"/>
        <v/>
      </c>
      <c r="W816" s="74" t="str">
        <f t="shared" si="289"/>
        <v/>
      </c>
      <c r="X816" s="74" t="str">
        <f t="shared" si="289"/>
        <v/>
      </c>
      <c r="Y816" s="74" t="str">
        <f t="shared" si="289"/>
        <v/>
      </c>
      <c r="Z816" s="74" t="str">
        <f t="shared" si="273"/>
        <v/>
      </c>
      <c r="AA816" s="74">
        <f t="shared" si="274"/>
        <v>0</v>
      </c>
      <c r="AB816" s="74">
        <f t="shared" si="275"/>
        <v>0</v>
      </c>
      <c r="AC816" s="74" t="str">
        <f t="shared" si="276"/>
        <v/>
      </c>
      <c r="AE816" s="74" t="str">
        <f t="shared" si="277"/>
        <v/>
      </c>
      <c r="AF816" s="74" t="str">
        <f t="shared" si="278"/>
        <v/>
      </c>
      <c r="AG816" s="74" t="str">
        <f t="shared" si="279"/>
        <v/>
      </c>
      <c r="AH816" s="74">
        <f t="shared" si="280"/>
        <v>0</v>
      </c>
      <c r="AI816" s="74" t="str">
        <f>IF(AH816&lt;&gt;0,COUNTIF(AH$3:AH816,1),"")</f>
        <v/>
      </c>
      <c r="AJ816" s="74">
        <f t="shared" si="281"/>
        <v>0</v>
      </c>
      <c r="AK816" s="73" t="str">
        <f t="shared" si="282"/>
        <v/>
      </c>
      <c r="AL816" s="73" t="str">
        <f t="shared" si="283"/>
        <v/>
      </c>
      <c r="AM816" s="73" t="str">
        <f t="shared" si="284"/>
        <v/>
      </c>
      <c r="AN816" s="73" t="str">
        <f t="shared" si="285"/>
        <v/>
      </c>
      <c r="AP816" s="61" t="str">
        <f t="shared" si="286"/>
        <v/>
      </c>
      <c r="AQ816" s="61" t="str">
        <f t="shared" si="287"/>
        <v/>
      </c>
      <c r="AR816" s="61" t="str">
        <f t="shared" si="288"/>
        <v/>
      </c>
    </row>
    <row r="817" spans="16:44" x14ac:dyDescent="0.25">
      <c r="P817" s="73" t="str">
        <f t="shared" si="269"/>
        <v/>
      </c>
      <c r="Q817" s="73" t="str">
        <f t="shared" si="270"/>
        <v/>
      </c>
      <c r="R817" s="74" t="str">
        <f t="shared" si="271"/>
        <v/>
      </c>
      <c r="S817" s="74" t="str">
        <f t="shared" si="272"/>
        <v/>
      </c>
      <c r="U817" s="74" t="str">
        <f t="shared" si="289"/>
        <v/>
      </c>
      <c r="V817" s="74" t="str">
        <f t="shared" si="289"/>
        <v/>
      </c>
      <c r="W817" s="74" t="str">
        <f t="shared" si="289"/>
        <v/>
      </c>
      <c r="X817" s="74" t="str">
        <f t="shared" si="289"/>
        <v/>
      </c>
      <c r="Y817" s="74" t="str">
        <f t="shared" si="289"/>
        <v/>
      </c>
      <c r="Z817" s="74" t="str">
        <f t="shared" si="273"/>
        <v/>
      </c>
      <c r="AA817" s="74">
        <f t="shared" si="274"/>
        <v>0</v>
      </c>
      <c r="AB817" s="74">
        <f t="shared" si="275"/>
        <v>0</v>
      </c>
      <c r="AC817" s="74" t="str">
        <f t="shared" si="276"/>
        <v/>
      </c>
      <c r="AE817" s="74" t="str">
        <f t="shared" si="277"/>
        <v/>
      </c>
      <c r="AF817" s="74" t="str">
        <f t="shared" si="278"/>
        <v/>
      </c>
      <c r="AG817" s="74" t="str">
        <f t="shared" si="279"/>
        <v/>
      </c>
      <c r="AH817" s="74">
        <f t="shared" si="280"/>
        <v>0</v>
      </c>
      <c r="AI817" s="74" t="str">
        <f>IF(AH817&lt;&gt;0,COUNTIF(AH$3:AH817,1),"")</f>
        <v/>
      </c>
      <c r="AJ817" s="74">
        <f t="shared" si="281"/>
        <v>0</v>
      </c>
      <c r="AK817" s="73" t="str">
        <f t="shared" si="282"/>
        <v/>
      </c>
      <c r="AL817" s="73" t="str">
        <f t="shared" si="283"/>
        <v/>
      </c>
      <c r="AM817" s="73" t="str">
        <f t="shared" si="284"/>
        <v/>
      </c>
      <c r="AN817" s="73" t="str">
        <f t="shared" si="285"/>
        <v/>
      </c>
      <c r="AP817" s="61" t="str">
        <f t="shared" si="286"/>
        <v/>
      </c>
      <c r="AQ817" s="61" t="str">
        <f t="shared" si="287"/>
        <v/>
      </c>
      <c r="AR817" s="61" t="str">
        <f t="shared" si="288"/>
        <v/>
      </c>
    </row>
    <row r="818" spans="16:44" x14ac:dyDescent="0.25">
      <c r="P818" s="73" t="str">
        <f t="shared" si="269"/>
        <v/>
      </c>
      <c r="Q818" s="73" t="str">
        <f t="shared" si="270"/>
        <v/>
      </c>
      <c r="R818" s="74" t="str">
        <f t="shared" si="271"/>
        <v/>
      </c>
      <c r="S818" s="74" t="str">
        <f t="shared" si="272"/>
        <v/>
      </c>
      <c r="U818" s="74" t="str">
        <f t="shared" si="289"/>
        <v/>
      </c>
      <c r="V818" s="74" t="str">
        <f t="shared" si="289"/>
        <v/>
      </c>
      <c r="W818" s="74" t="str">
        <f t="shared" si="289"/>
        <v/>
      </c>
      <c r="X818" s="74" t="str">
        <f t="shared" si="289"/>
        <v/>
      </c>
      <c r="Y818" s="74" t="str">
        <f t="shared" si="289"/>
        <v/>
      </c>
      <c r="Z818" s="74" t="str">
        <f t="shared" si="273"/>
        <v/>
      </c>
      <c r="AA818" s="74">
        <f t="shared" si="274"/>
        <v>0</v>
      </c>
      <c r="AB818" s="74">
        <f t="shared" si="275"/>
        <v>0</v>
      </c>
      <c r="AC818" s="74" t="str">
        <f t="shared" si="276"/>
        <v/>
      </c>
      <c r="AE818" s="74" t="str">
        <f t="shared" si="277"/>
        <v/>
      </c>
      <c r="AF818" s="74" t="str">
        <f t="shared" si="278"/>
        <v/>
      </c>
      <c r="AG818" s="74" t="str">
        <f t="shared" si="279"/>
        <v/>
      </c>
      <c r="AH818" s="74">
        <f t="shared" si="280"/>
        <v>0</v>
      </c>
      <c r="AI818" s="74" t="str">
        <f>IF(AH818&lt;&gt;0,COUNTIF(AH$3:AH818,1),"")</f>
        <v/>
      </c>
      <c r="AJ818" s="74">
        <f t="shared" si="281"/>
        <v>0</v>
      </c>
      <c r="AK818" s="73" t="str">
        <f t="shared" si="282"/>
        <v/>
      </c>
      <c r="AL818" s="73" t="str">
        <f t="shared" si="283"/>
        <v/>
      </c>
      <c r="AM818" s="73" t="str">
        <f t="shared" si="284"/>
        <v/>
      </c>
      <c r="AN818" s="73" t="str">
        <f t="shared" si="285"/>
        <v/>
      </c>
      <c r="AP818" s="61" t="str">
        <f t="shared" si="286"/>
        <v/>
      </c>
      <c r="AQ818" s="61" t="str">
        <f t="shared" si="287"/>
        <v/>
      </c>
      <c r="AR818" s="61" t="str">
        <f t="shared" si="288"/>
        <v/>
      </c>
    </row>
    <row r="819" spans="16:44" x14ac:dyDescent="0.25">
      <c r="P819" s="73" t="str">
        <f t="shared" si="269"/>
        <v/>
      </c>
      <c r="Q819" s="73" t="str">
        <f t="shared" si="270"/>
        <v/>
      </c>
      <c r="R819" s="74" t="str">
        <f t="shared" si="271"/>
        <v/>
      </c>
      <c r="S819" s="74" t="str">
        <f t="shared" si="272"/>
        <v/>
      </c>
      <c r="U819" s="74" t="str">
        <f t="shared" si="289"/>
        <v/>
      </c>
      <c r="V819" s="74" t="str">
        <f t="shared" si="289"/>
        <v/>
      </c>
      <c r="W819" s="74" t="str">
        <f t="shared" si="289"/>
        <v/>
      </c>
      <c r="X819" s="74" t="str">
        <f t="shared" si="289"/>
        <v/>
      </c>
      <c r="Y819" s="74" t="str">
        <f t="shared" si="289"/>
        <v/>
      </c>
      <c r="Z819" s="74" t="str">
        <f t="shared" si="273"/>
        <v/>
      </c>
      <c r="AA819" s="74">
        <f t="shared" si="274"/>
        <v>0</v>
      </c>
      <c r="AB819" s="74">
        <f t="shared" si="275"/>
        <v>0</v>
      </c>
      <c r="AC819" s="74" t="str">
        <f t="shared" si="276"/>
        <v/>
      </c>
      <c r="AE819" s="74" t="str">
        <f t="shared" si="277"/>
        <v/>
      </c>
      <c r="AF819" s="74" t="str">
        <f t="shared" si="278"/>
        <v/>
      </c>
      <c r="AG819" s="74" t="str">
        <f t="shared" si="279"/>
        <v/>
      </c>
      <c r="AH819" s="74">
        <f t="shared" si="280"/>
        <v>0</v>
      </c>
      <c r="AI819" s="74" t="str">
        <f>IF(AH819&lt;&gt;0,COUNTIF(AH$3:AH819,1),"")</f>
        <v/>
      </c>
      <c r="AJ819" s="74">
        <f t="shared" si="281"/>
        <v>0</v>
      </c>
      <c r="AK819" s="73" t="str">
        <f t="shared" si="282"/>
        <v/>
      </c>
      <c r="AL819" s="73" t="str">
        <f t="shared" si="283"/>
        <v/>
      </c>
      <c r="AM819" s="73" t="str">
        <f t="shared" si="284"/>
        <v/>
      </c>
      <c r="AN819" s="73" t="str">
        <f t="shared" si="285"/>
        <v/>
      </c>
      <c r="AP819" s="61" t="str">
        <f t="shared" si="286"/>
        <v/>
      </c>
      <c r="AQ819" s="61" t="str">
        <f t="shared" si="287"/>
        <v/>
      </c>
      <c r="AR819" s="61" t="str">
        <f t="shared" si="288"/>
        <v/>
      </c>
    </row>
    <row r="820" spans="16:44" x14ac:dyDescent="0.25">
      <c r="P820" s="73" t="str">
        <f t="shared" si="269"/>
        <v/>
      </c>
      <c r="Q820" s="73" t="str">
        <f t="shared" si="270"/>
        <v/>
      </c>
      <c r="R820" s="74" t="str">
        <f t="shared" si="271"/>
        <v/>
      </c>
      <c r="S820" s="74" t="str">
        <f t="shared" si="272"/>
        <v/>
      </c>
      <c r="U820" s="74" t="str">
        <f t="shared" si="289"/>
        <v/>
      </c>
      <c r="V820" s="74" t="str">
        <f t="shared" si="289"/>
        <v/>
      </c>
      <c r="W820" s="74" t="str">
        <f t="shared" si="289"/>
        <v/>
      </c>
      <c r="X820" s="74" t="str">
        <f t="shared" si="289"/>
        <v/>
      </c>
      <c r="Y820" s="74" t="str">
        <f t="shared" si="289"/>
        <v/>
      </c>
      <c r="Z820" s="74" t="str">
        <f t="shared" si="273"/>
        <v/>
      </c>
      <c r="AA820" s="74">
        <f t="shared" si="274"/>
        <v>0</v>
      </c>
      <c r="AB820" s="74">
        <f t="shared" si="275"/>
        <v>0</v>
      </c>
      <c r="AC820" s="74" t="str">
        <f t="shared" si="276"/>
        <v/>
      </c>
      <c r="AE820" s="74" t="str">
        <f t="shared" si="277"/>
        <v/>
      </c>
      <c r="AF820" s="74" t="str">
        <f t="shared" si="278"/>
        <v/>
      </c>
      <c r="AG820" s="74" t="str">
        <f t="shared" si="279"/>
        <v/>
      </c>
      <c r="AH820" s="74">
        <f t="shared" si="280"/>
        <v>0</v>
      </c>
      <c r="AI820" s="74" t="str">
        <f>IF(AH820&lt;&gt;0,COUNTIF(AH$3:AH820,1),"")</f>
        <v/>
      </c>
      <c r="AJ820" s="74">
        <f t="shared" si="281"/>
        <v>0</v>
      </c>
      <c r="AK820" s="73" t="str">
        <f t="shared" si="282"/>
        <v/>
      </c>
      <c r="AL820" s="73" t="str">
        <f t="shared" si="283"/>
        <v/>
      </c>
      <c r="AM820" s="73" t="str">
        <f t="shared" si="284"/>
        <v/>
      </c>
      <c r="AN820" s="73" t="str">
        <f t="shared" si="285"/>
        <v/>
      </c>
      <c r="AP820" s="61" t="str">
        <f t="shared" si="286"/>
        <v/>
      </c>
      <c r="AQ820" s="61" t="str">
        <f t="shared" si="287"/>
        <v/>
      </c>
      <c r="AR820" s="61" t="str">
        <f t="shared" si="288"/>
        <v/>
      </c>
    </row>
    <row r="821" spans="16:44" x14ac:dyDescent="0.25">
      <c r="P821" s="73" t="str">
        <f t="shared" si="269"/>
        <v/>
      </c>
      <c r="Q821" s="73" t="str">
        <f t="shared" si="270"/>
        <v/>
      </c>
      <c r="R821" s="74" t="str">
        <f t="shared" si="271"/>
        <v/>
      </c>
      <c r="S821" s="74" t="str">
        <f t="shared" si="272"/>
        <v/>
      </c>
      <c r="U821" s="74" t="str">
        <f t="shared" si="289"/>
        <v/>
      </c>
      <c r="V821" s="74" t="str">
        <f t="shared" si="289"/>
        <v/>
      </c>
      <c r="W821" s="74" t="str">
        <f t="shared" si="289"/>
        <v/>
      </c>
      <c r="X821" s="74" t="str">
        <f t="shared" si="289"/>
        <v/>
      </c>
      <c r="Y821" s="74" t="str">
        <f t="shared" si="289"/>
        <v/>
      </c>
      <c r="Z821" s="74" t="str">
        <f t="shared" si="273"/>
        <v/>
      </c>
      <c r="AA821" s="74">
        <f t="shared" si="274"/>
        <v>0</v>
      </c>
      <c r="AB821" s="74">
        <f t="shared" si="275"/>
        <v>0</v>
      </c>
      <c r="AC821" s="74" t="str">
        <f t="shared" si="276"/>
        <v/>
      </c>
      <c r="AE821" s="74" t="str">
        <f t="shared" si="277"/>
        <v/>
      </c>
      <c r="AF821" s="74" t="str">
        <f t="shared" si="278"/>
        <v/>
      </c>
      <c r="AG821" s="74" t="str">
        <f t="shared" si="279"/>
        <v/>
      </c>
      <c r="AH821" s="74">
        <f t="shared" si="280"/>
        <v>0</v>
      </c>
      <c r="AI821" s="74" t="str">
        <f>IF(AH821&lt;&gt;0,COUNTIF(AH$3:AH821,1),"")</f>
        <v/>
      </c>
      <c r="AJ821" s="74">
        <f t="shared" si="281"/>
        <v>0</v>
      </c>
      <c r="AK821" s="73" t="str">
        <f t="shared" si="282"/>
        <v/>
      </c>
      <c r="AL821" s="73" t="str">
        <f t="shared" si="283"/>
        <v/>
      </c>
      <c r="AM821" s="73" t="str">
        <f t="shared" si="284"/>
        <v/>
      </c>
      <c r="AN821" s="73" t="str">
        <f t="shared" si="285"/>
        <v/>
      </c>
      <c r="AP821" s="61" t="str">
        <f t="shared" si="286"/>
        <v/>
      </c>
      <c r="AQ821" s="61" t="str">
        <f t="shared" si="287"/>
        <v/>
      </c>
      <c r="AR821" s="61" t="str">
        <f t="shared" si="288"/>
        <v/>
      </c>
    </row>
    <row r="822" spans="16:44" x14ac:dyDescent="0.25">
      <c r="P822" s="73" t="str">
        <f t="shared" si="269"/>
        <v/>
      </c>
      <c r="Q822" s="73" t="str">
        <f t="shared" si="270"/>
        <v/>
      </c>
      <c r="R822" s="74" t="str">
        <f t="shared" si="271"/>
        <v/>
      </c>
      <c r="S822" s="74" t="str">
        <f t="shared" si="272"/>
        <v/>
      </c>
      <c r="U822" s="74" t="str">
        <f t="shared" si="289"/>
        <v/>
      </c>
      <c r="V822" s="74" t="str">
        <f t="shared" si="289"/>
        <v/>
      </c>
      <c r="W822" s="74" t="str">
        <f t="shared" si="289"/>
        <v/>
      </c>
      <c r="X822" s="74" t="str">
        <f t="shared" si="289"/>
        <v/>
      </c>
      <c r="Y822" s="74" t="str">
        <f t="shared" si="289"/>
        <v/>
      </c>
      <c r="Z822" s="74" t="str">
        <f t="shared" si="273"/>
        <v/>
      </c>
      <c r="AA822" s="74">
        <f t="shared" si="274"/>
        <v>0</v>
      </c>
      <c r="AB822" s="74">
        <f t="shared" si="275"/>
        <v>0</v>
      </c>
      <c r="AC822" s="74" t="str">
        <f t="shared" si="276"/>
        <v/>
      </c>
      <c r="AE822" s="74" t="str">
        <f t="shared" si="277"/>
        <v/>
      </c>
      <c r="AF822" s="74" t="str">
        <f t="shared" si="278"/>
        <v/>
      </c>
      <c r="AG822" s="74" t="str">
        <f t="shared" si="279"/>
        <v/>
      </c>
      <c r="AH822" s="74">
        <f t="shared" si="280"/>
        <v>0</v>
      </c>
      <c r="AI822" s="74" t="str">
        <f>IF(AH822&lt;&gt;0,COUNTIF(AH$3:AH822,1),"")</f>
        <v/>
      </c>
      <c r="AJ822" s="74">
        <f t="shared" si="281"/>
        <v>0</v>
      </c>
      <c r="AK822" s="73" t="str">
        <f t="shared" si="282"/>
        <v/>
      </c>
      <c r="AL822" s="73" t="str">
        <f t="shared" si="283"/>
        <v/>
      </c>
      <c r="AM822" s="73" t="str">
        <f t="shared" si="284"/>
        <v/>
      </c>
      <c r="AN822" s="73" t="str">
        <f t="shared" si="285"/>
        <v/>
      </c>
      <c r="AP822" s="61" t="str">
        <f t="shared" si="286"/>
        <v/>
      </c>
      <c r="AQ822" s="61" t="str">
        <f t="shared" si="287"/>
        <v/>
      </c>
      <c r="AR822" s="61" t="str">
        <f t="shared" si="288"/>
        <v/>
      </c>
    </row>
    <row r="823" spans="16:44" x14ac:dyDescent="0.25">
      <c r="P823" s="73" t="str">
        <f t="shared" si="269"/>
        <v/>
      </c>
      <c r="Q823" s="73" t="str">
        <f t="shared" si="270"/>
        <v/>
      </c>
      <c r="R823" s="74" t="str">
        <f t="shared" si="271"/>
        <v/>
      </c>
      <c r="S823" s="74" t="str">
        <f t="shared" si="272"/>
        <v/>
      </c>
      <c r="U823" s="74" t="str">
        <f t="shared" si="289"/>
        <v/>
      </c>
      <c r="V823" s="74" t="str">
        <f t="shared" si="289"/>
        <v/>
      </c>
      <c r="W823" s="74" t="str">
        <f t="shared" si="289"/>
        <v/>
      </c>
      <c r="X823" s="74" t="str">
        <f t="shared" si="289"/>
        <v/>
      </c>
      <c r="Y823" s="74" t="str">
        <f t="shared" si="289"/>
        <v/>
      </c>
      <c r="Z823" s="74" t="str">
        <f t="shared" si="273"/>
        <v/>
      </c>
      <c r="AA823" s="74">
        <f t="shared" si="274"/>
        <v>0</v>
      </c>
      <c r="AB823" s="74">
        <f t="shared" si="275"/>
        <v>0</v>
      </c>
      <c r="AC823" s="74" t="str">
        <f t="shared" si="276"/>
        <v/>
      </c>
      <c r="AE823" s="74" t="str">
        <f t="shared" si="277"/>
        <v/>
      </c>
      <c r="AF823" s="74" t="str">
        <f t="shared" si="278"/>
        <v/>
      </c>
      <c r="AG823" s="74" t="str">
        <f t="shared" si="279"/>
        <v/>
      </c>
      <c r="AH823" s="74">
        <f t="shared" si="280"/>
        <v>0</v>
      </c>
      <c r="AI823" s="74" t="str">
        <f>IF(AH823&lt;&gt;0,COUNTIF(AH$3:AH823,1),"")</f>
        <v/>
      </c>
      <c r="AJ823" s="74">
        <f t="shared" si="281"/>
        <v>0</v>
      </c>
      <c r="AK823" s="73" t="str">
        <f t="shared" si="282"/>
        <v/>
      </c>
      <c r="AL823" s="73" t="str">
        <f t="shared" si="283"/>
        <v/>
      </c>
      <c r="AM823" s="73" t="str">
        <f t="shared" si="284"/>
        <v/>
      </c>
      <c r="AN823" s="73" t="str">
        <f t="shared" si="285"/>
        <v/>
      </c>
      <c r="AP823" s="61" t="str">
        <f t="shared" si="286"/>
        <v/>
      </c>
      <c r="AQ823" s="61" t="str">
        <f t="shared" si="287"/>
        <v/>
      </c>
      <c r="AR823" s="61" t="str">
        <f t="shared" si="288"/>
        <v/>
      </c>
    </row>
    <row r="824" spans="16:44" x14ac:dyDescent="0.25">
      <c r="P824" s="73" t="str">
        <f t="shared" si="269"/>
        <v/>
      </c>
      <c r="Q824" s="73" t="str">
        <f t="shared" si="270"/>
        <v/>
      </c>
      <c r="R824" s="74" t="str">
        <f t="shared" si="271"/>
        <v/>
      </c>
      <c r="S824" s="74" t="str">
        <f t="shared" si="272"/>
        <v/>
      </c>
      <c r="U824" s="74" t="str">
        <f t="shared" si="289"/>
        <v/>
      </c>
      <c r="V824" s="74" t="str">
        <f t="shared" si="289"/>
        <v/>
      </c>
      <c r="W824" s="74" t="str">
        <f t="shared" si="289"/>
        <v/>
      </c>
      <c r="X824" s="74" t="str">
        <f t="shared" si="289"/>
        <v/>
      </c>
      <c r="Y824" s="74" t="str">
        <f t="shared" si="289"/>
        <v/>
      </c>
      <c r="Z824" s="74" t="str">
        <f t="shared" si="273"/>
        <v/>
      </c>
      <c r="AA824" s="74">
        <f t="shared" si="274"/>
        <v>0</v>
      </c>
      <c r="AB824" s="74">
        <f t="shared" si="275"/>
        <v>0</v>
      </c>
      <c r="AC824" s="74" t="str">
        <f t="shared" si="276"/>
        <v/>
      </c>
      <c r="AE824" s="74" t="str">
        <f t="shared" si="277"/>
        <v/>
      </c>
      <c r="AF824" s="74" t="str">
        <f t="shared" si="278"/>
        <v/>
      </c>
      <c r="AG824" s="74" t="str">
        <f t="shared" si="279"/>
        <v/>
      </c>
      <c r="AH824" s="74">
        <f t="shared" si="280"/>
        <v>0</v>
      </c>
      <c r="AI824" s="74" t="str">
        <f>IF(AH824&lt;&gt;0,COUNTIF(AH$3:AH824,1),"")</f>
        <v/>
      </c>
      <c r="AJ824" s="74">
        <f t="shared" si="281"/>
        <v>0</v>
      </c>
      <c r="AK824" s="73" t="str">
        <f t="shared" si="282"/>
        <v/>
      </c>
      <c r="AL824" s="73" t="str">
        <f t="shared" si="283"/>
        <v/>
      </c>
      <c r="AM824" s="73" t="str">
        <f t="shared" si="284"/>
        <v/>
      </c>
      <c r="AN824" s="73" t="str">
        <f t="shared" si="285"/>
        <v/>
      </c>
      <c r="AP824" s="61" t="str">
        <f t="shared" si="286"/>
        <v/>
      </c>
      <c r="AQ824" s="61" t="str">
        <f t="shared" si="287"/>
        <v/>
      </c>
      <c r="AR824" s="61" t="str">
        <f t="shared" si="288"/>
        <v/>
      </c>
    </row>
    <row r="825" spans="16:44" x14ac:dyDescent="0.25">
      <c r="P825" s="73" t="str">
        <f t="shared" si="269"/>
        <v/>
      </c>
      <c r="Q825" s="73" t="str">
        <f t="shared" si="270"/>
        <v/>
      </c>
      <c r="R825" s="74" t="str">
        <f t="shared" si="271"/>
        <v/>
      </c>
      <c r="S825" s="74" t="str">
        <f t="shared" si="272"/>
        <v/>
      </c>
      <c r="U825" s="74" t="str">
        <f t="shared" si="289"/>
        <v/>
      </c>
      <c r="V825" s="74" t="str">
        <f t="shared" si="289"/>
        <v/>
      </c>
      <c r="W825" s="74" t="str">
        <f t="shared" si="289"/>
        <v/>
      </c>
      <c r="X825" s="74" t="str">
        <f t="shared" si="289"/>
        <v/>
      </c>
      <c r="Y825" s="74" t="str">
        <f t="shared" si="289"/>
        <v/>
      </c>
      <c r="Z825" s="74" t="str">
        <f t="shared" si="273"/>
        <v/>
      </c>
      <c r="AA825" s="74">
        <f t="shared" si="274"/>
        <v>0</v>
      </c>
      <c r="AB825" s="74">
        <f t="shared" si="275"/>
        <v>0</v>
      </c>
      <c r="AC825" s="74" t="str">
        <f t="shared" si="276"/>
        <v/>
      </c>
      <c r="AE825" s="74" t="str">
        <f t="shared" si="277"/>
        <v/>
      </c>
      <c r="AF825" s="74" t="str">
        <f t="shared" si="278"/>
        <v/>
      </c>
      <c r="AG825" s="74" t="str">
        <f t="shared" si="279"/>
        <v/>
      </c>
      <c r="AH825" s="74">
        <f t="shared" si="280"/>
        <v>0</v>
      </c>
      <c r="AI825" s="74" t="str">
        <f>IF(AH825&lt;&gt;0,COUNTIF(AH$3:AH825,1),"")</f>
        <v/>
      </c>
      <c r="AJ825" s="74">
        <f t="shared" si="281"/>
        <v>0</v>
      </c>
      <c r="AK825" s="73" t="str">
        <f t="shared" si="282"/>
        <v/>
      </c>
      <c r="AL825" s="73" t="str">
        <f t="shared" si="283"/>
        <v/>
      </c>
      <c r="AM825" s="73" t="str">
        <f t="shared" si="284"/>
        <v/>
      </c>
      <c r="AN825" s="73" t="str">
        <f t="shared" si="285"/>
        <v/>
      </c>
      <c r="AP825" s="61" t="str">
        <f t="shared" si="286"/>
        <v/>
      </c>
      <c r="AQ825" s="61" t="str">
        <f t="shared" si="287"/>
        <v/>
      </c>
      <c r="AR825" s="61" t="str">
        <f t="shared" si="288"/>
        <v/>
      </c>
    </row>
    <row r="826" spans="16:44" x14ac:dyDescent="0.25">
      <c r="P826" s="73" t="str">
        <f t="shared" si="269"/>
        <v/>
      </c>
      <c r="Q826" s="73" t="str">
        <f t="shared" si="270"/>
        <v/>
      </c>
      <c r="R826" s="74" t="str">
        <f t="shared" si="271"/>
        <v/>
      </c>
      <c r="S826" s="74" t="str">
        <f t="shared" si="272"/>
        <v/>
      </c>
      <c r="U826" s="74" t="str">
        <f t="shared" si="289"/>
        <v/>
      </c>
      <c r="V826" s="74" t="str">
        <f t="shared" si="289"/>
        <v/>
      </c>
      <c r="W826" s="74" t="str">
        <f t="shared" si="289"/>
        <v/>
      </c>
      <c r="X826" s="74" t="str">
        <f t="shared" si="289"/>
        <v/>
      </c>
      <c r="Y826" s="74" t="str">
        <f t="shared" si="289"/>
        <v/>
      </c>
      <c r="Z826" s="74" t="str">
        <f t="shared" si="273"/>
        <v/>
      </c>
      <c r="AA826" s="74">
        <f t="shared" si="274"/>
        <v>0</v>
      </c>
      <c r="AB826" s="74">
        <f t="shared" si="275"/>
        <v>0</v>
      </c>
      <c r="AC826" s="74" t="str">
        <f t="shared" si="276"/>
        <v/>
      </c>
      <c r="AE826" s="74" t="str">
        <f t="shared" si="277"/>
        <v/>
      </c>
      <c r="AF826" s="74" t="str">
        <f t="shared" si="278"/>
        <v/>
      </c>
      <c r="AG826" s="74" t="str">
        <f t="shared" si="279"/>
        <v/>
      </c>
      <c r="AH826" s="74">
        <f t="shared" si="280"/>
        <v>0</v>
      </c>
      <c r="AI826" s="74" t="str">
        <f>IF(AH826&lt;&gt;0,COUNTIF(AH$3:AH826,1),"")</f>
        <v/>
      </c>
      <c r="AJ826" s="74">
        <f t="shared" si="281"/>
        <v>0</v>
      </c>
      <c r="AK826" s="73" t="str">
        <f t="shared" si="282"/>
        <v/>
      </c>
      <c r="AL826" s="73" t="str">
        <f t="shared" si="283"/>
        <v/>
      </c>
      <c r="AM826" s="73" t="str">
        <f t="shared" si="284"/>
        <v/>
      </c>
      <c r="AN826" s="73" t="str">
        <f t="shared" si="285"/>
        <v/>
      </c>
      <c r="AP826" s="61" t="str">
        <f t="shared" si="286"/>
        <v/>
      </c>
      <c r="AQ826" s="61" t="str">
        <f t="shared" si="287"/>
        <v/>
      </c>
      <c r="AR826" s="61" t="str">
        <f t="shared" si="288"/>
        <v/>
      </c>
    </row>
    <row r="827" spans="16:44" x14ac:dyDescent="0.25">
      <c r="P827" s="73" t="str">
        <f t="shared" si="269"/>
        <v/>
      </c>
      <c r="Q827" s="73" t="str">
        <f t="shared" si="270"/>
        <v/>
      </c>
      <c r="R827" s="74" t="str">
        <f t="shared" si="271"/>
        <v/>
      </c>
      <c r="S827" s="74" t="str">
        <f t="shared" si="272"/>
        <v/>
      </c>
      <c r="U827" s="74" t="str">
        <f t="shared" si="289"/>
        <v/>
      </c>
      <c r="V827" s="74" t="str">
        <f t="shared" si="289"/>
        <v/>
      </c>
      <c r="W827" s="74" t="str">
        <f t="shared" si="289"/>
        <v/>
      </c>
      <c r="X827" s="74" t="str">
        <f t="shared" si="289"/>
        <v/>
      </c>
      <c r="Y827" s="74" t="str">
        <f t="shared" si="289"/>
        <v/>
      </c>
      <c r="Z827" s="74" t="str">
        <f t="shared" si="273"/>
        <v/>
      </c>
      <c r="AA827" s="74">
        <f t="shared" si="274"/>
        <v>0</v>
      </c>
      <c r="AB827" s="74">
        <f t="shared" si="275"/>
        <v>0</v>
      </c>
      <c r="AC827" s="74" t="str">
        <f t="shared" si="276"/>
        <v/>
      </c>
      <c r="AE827" s="74" t="str">
        <f t="shared" si="277"/>
        <v/>
      </c>
      <c r="AF827" s="74" t="str">
        <f t="shared" si="278"/>
        <v/>
      </c>
      <c r="AG827" s="74" t="str">
        <f t="shared" si="279"/>
        <v/>
      </c>
      <c r="AH827" s="74">
        <f t="shared" si="280"/>
        <v>0</v>
      </c>
      <c r="AI827" s="74" t="str">
        <f>IF(AH827&lt;&gt;0,COUNTIF(AH$3:AH827,1),"")</f>
        <v/>
      </c>
      <c r="AJ827" s="74">
        <f t="shared" si="281"/>
        <v>0</v>
      </c>
      <c r="AK827" s="73" t="str">
        <f t="shared" si="282"/>
        <v/>
      </c>
      <c r="AL827" s="73" t="str">
        <f t="shared" si="283"/>
        <v/>
      </c>
      <c r="AM827" s="73" t="str">
        <f t="shared" si="284"/>
        <v/>
      </c>
      <c r="AN827" s="73" t="str">
        <f t="shared" si="285"/>
        <v/>
      </c>
      <c r="AP827" s="61" t="str">
        <f t="shared" si="286"/>
        <v/>
      </c>
      <c r="AQ827" s="61" t="str">
        <f t="shared" si="287"/>
        <v/>
      </c>
      <c r="AR827" s="61" t="str">
        <f t="shared" si="288"/>
        <v/>
      </c>
    </row>
    <row r="828" spans="16:44" x14ac:dyDescent="0.25">
      <c r="P828" s="73" t="str">
        <f t="shared" si="269"/>
        <v/>
      </c>
      <c r="Q828" s="73" t="str">
        <f t="shared" si="270"/>
        <v/>
      </c>
      <c r="R828" s="74" t="str">
        <f t="shared" si="271"/>
        <v/>
      </c>
      <c r="S828" s="74" t="str">
        <f t="shared" si="272"/>
        <v/>
      </c>
      <c r="U828" s="74" t="str">
        <f t="shared" si="289"/>
        <v/>
      </c>
      <c r="V828" s="74" t="str">
        <f t="shared" si="289"/>
        <v/>
      </c>
      <c r="W828" s="74" t="str">
        <f t="shared" si="289"/>
        <v/>
      </c>
      <c r="X828" s="74" t="str">
        <f t="shared" si="289"/>
        <v/>
      </c>
      <c r="Y828" s="74" t="str">
        <f t="shared" si="289"/>
        <v/>
      </c>
      <c r="Z828" s="74" t="str">
        <f t="shared" si="273"/>
        <v/>
      </c>
      <c r="AA828" s="74">
        <f t="shared" si="274"/>
        <v>0</v>
      </c>
      <c r="AB828" s="74">
        <f t="shared" si="275"/>
        <v>0</v>
      </c>
      <c r="AC828" s="74" t="str">
        <f t="shared" si="276"/>
        <v/>
      </c>
      <c r="AE828" s="74" t="str">
        <f t="shared" si="277"/>
        <v/>
      </c>
      <c r="AF828" s="74" t="str">
        <f t="shared" si="278"/>
        <v/>
      </c>
      <c r="AG828" s="74" t="str">
        <f t="shared" si="279"/>
        <v/>
      </c>
      <c r="AH828" s="74">
        <f t="shared" si="280"/>
        <v>0</v>
      </c>
      <c r="AI828" s="74" t="str">
        <f>IF(AH828&lt;&gt;0,COUNTIF(AH$3:AH828,1),"")</f>
        <v/>
      </c>
      <c r="AJ828" s="74">
        <f t="shared" si="281"/>
        <v>0</v>
      </c>
      <c r="AK828" s="73" t="str">
        <f t="shared" si="282"/>
        <v/>
      </c>
      <c r="AL828" s="73" t="str">
        <f t="shared" si="283"/>
        <v/>
      </c>
      <c r="AM828" s="73" t="str">
        <f t="shared" si="284"/>
        <v/>
      </c>
      <c r="AN828" s="73" t="str">
        <f t="shared" si="285"/>
        <v/>
      </c>
      <c r="AP828" s="61" t="str">
        <f t="shared" si="286"/>
        <v/>
      </c>
      <c r="AQ828" s="61" t="str">
        <f t="shared" si="287"/>
        <v/>
      </c>
      <c r="AR828" s="61" t="str">
        <f t="shared" si="288"/>
        <v/>
      </c>
    </row>
    <row r="829" spans="16:44" x14ac:dyDescent="0.25">
      <c r="P829" s="73" t="str">
        <f t="shared" si="269"/>
        <v/>
      </c>
      <c r="Q829" s="73" t="str">
        <f t="shared" si="270"/>
        <v/>
      </c>
      <c r="R829" s="74" t="str">
        <f t="shared" si="271"/>
        <v/>
      </c>
      <c r="S829" s="74" t="str">
        <f t="shared" si="272"/>
        <v/>
      </c>
      <c r="U829" s="74" t="str">
        <f t="shared" si="289"/>
        <v/>
      </c>
      <c r="V829" s="74" t="str">
        <f t="shared" si="289"/>
        <v/>
      </c>
      <c r="W829" s="74" t="str">
        <f t="shared" si="289"/>
        <v/>
      </c>
      <c r="X829" s="74" t="str">
        <f t="shared" si="289"/>
        <v/>
      </c>
      <c r="Y829" s="74" t="str">
        <f t="shared" si="289"/>
        <v/>
      </c>
      <c r="Z829" s="74" t="str">
        <f t="shared" si="273"/>
        <v/>
      </c>
      <c r="AA829" s="74">
        <f t="shared" si="274"/>
        <v>0</v>
      </c>
      <c r="AB829" s="74">
        <f t="shared" si="275"/>
        <v>0</v>
      </c>
      <c r="AC829" s="74" t="str">
        <f t="shared" si="276"/>
        <v/>
      </c>
      <c r="AE829" s="74" t="str">
        <f t="shared" si="277"/>
        <v/>
      </c>
      <c r="AF829" s="74" t="str">
        <f t="shared" si="278"/>
        <v/>
      </c>
      <c r="AG829" s="74" t="str">
        <f t="shared" si="279"/>
        <v/>
      </c>
      <c r="AH829" s="74">
        <f t="shared" si="280"/>
        <v>0</v>
      </c>
      <c r="AI829" s="74" t="str">
        <f>IF(AH829&lt;&gt;0,COUNTIF(AH$3:AH829,1),"")</f>
        <v/>
      </c>
      <c r="AJ829" s="74">
        <f t="shared" si="281"/>
        <v>0</v>
      </c>
      <c r="AK829" s="73" t="str">
        <f t="shared" si="282"/>
        <v/>
      </c>
      <c r="AL829" s="73" t="str">
        <f t="shared" si="283"/>
        <v/>
      </c>
      <c r="AM829" s="73" t="str">
        <f t="shared" si="284"/>
        <v/>
      </c>
      <c r="AN829" s="73" t="str">
        <f t="shared" si="285"/>
        <v/>
      </c>
      <c r="AP829" s="61" t="str">
        <f t="shared" si="286"/>
        <v/>
      </c>
      <c r="AQ829" s="61" t="str">
        <f t="shared" si="287"/>
        <v/>
      </c>
      <c r="AR829" s="61" t="str">
        <f t="shared" si="288"/>
        <v/>
      </c>
    </row>
    <row r="830" spans="16:44" x14ac:dyDescent="0.25">
      <c r="P830" s="73" t="str">
        <f t="shared" ref="P830:P893" si="290">IF(N830&lt;&gt;"",SUBSTITUTE(LEFT(N830,FIND(";",N830)),";",""),"")</f>
        <v/>
      </c>
      <c r="Q830" s="73" t="str">
        <f t="shared" ref="Q830:Q893" si="291">IF(N830&lt;&gt;"",SUBSTITUTE(RIGHT(N830,FIND(";",N830)),";",""),"")</f>
        <v/>
      </c>
      <c r="R830" s="74" t="str">
        <f t="shared" ref="R830:R893" si="292">IF(O830&lt;&gt;"",SUBSTITUTE(LEFT(O830,FIND(";",O830)),";",""),"")</f>
        <v/>
      </c>
      <c r="S830" s="74" t="str">
        <f t="shared" ref="S830:S893" si="293">IF(O830&lt;&gt;"",IFERROR(IF(FIND("OK",O830)&gt;0,TRUE),FALSE),"")</f>
        <v/>
      </c>
      <c r="U830" s="74" t="str">
        <f t="shared" si="289"/>
        <v/>
      </c>
      <c r="V830" s="74" t="str">
        <f t="shared" si="289"/>
        <v/>
      </c>
      <c r="W830" s="74" t="str">
        <f t="shared" si="289"/>
        <v/>
      </c>
      <c r="X830" s="74" t="str">
        <f t="shared" si="289"/>
        <v/>
      </c>
      <c r="Y830" s="74" t="str">
        <f t="shared" si="289"/>
        <v/>
      </c>
      <c r="Z830" s="74" t="str">
        <f t="shared" ref="Z830:Z893" si="294">IF(G830,E830,"")</f>
        <v/>
      </c>
      <c r="AA830" s="74">
        <f t="shared" ref="AA830:AA893" si="295">IF(G830=FALSE,E830,"")</f>
        <v>0</v>
      </c>
      <c r="AB830" s="74">
        <f t="shared" ref="AB830:AB893" si="296">IF(G830,1,0)</f>
        <v>0</v>
      </c>
      <c r="AC830" s="74" t="str">
        <f t="shared" ref="AC830:AC893" si="297">IF(A830&lt;&gt;"",IF(G830,0,1),"")</f>
        <v/>
      </c>
      <c r="AE830" s="74" t="str">
        <f t="shared" ref="AE830:AE893" si="298">IF(P830&lt;&gt;"",IF(AND(_xlfn.NUMBERVALUE(P830)&gt;25,_xlfn.NUMBERVALUE(P830)&lt;38),TRUE,FALSE),"")</f>
        <v/>
      </c>
      <c r="AF830" s="74" t="str">
        <f t="shared" ref="AF830:AF893" si="299">IF(Q830&lt;&gt;"",IF(AND(_xlfn.NUMBERVALUE(Q830)&gt;25,_xlfn.NUMBERVALUE(Q830)&lt;38),TRUE,FALSE),"")</f>
        <v/>
      </c>
      <c r="AG830" s="74" t="str">
        <f t="shared" ref="AG830:AG893" si="300">IF(R830&lt;&gt;"",IF(AND(_xlfn.NUMBERVALUE(R830)&gt;262,_xlfn.NUMBERVALUE(R830)&lt;307),TRUE,FALSE),"")</f>
        <v/>
      </c>
      <c r="AH830" s="74">
        <f t="shared" ref="AH830:AH893" si="301">IF(OR(AE830=FALSE,AF830=FALSE,AG830=FALSE),1,0)</f>
        <v>0</v>
      </c>
      <c r="AI830" s="74" t="str">
        <f>IF(AH830&lt;&gt;0,COUNTIF(AH$3:AH830,1),"")</f>
        <v/>
      </c>
      <c r="AJ830" s="74">
        <f t="shared" ref="AJ830:AJ893" si="302">L830</f>
        <v>0</v>
      </c>
      <c r="AK830" s="73" t="str">
        <f t="shared" ref="AK830:AK893" si="303">P830</f>
        <v/>
      </c>
      <c r="AL830" s="73" t="str">
        <f t="shared" ref="AL830:AL893" si="304">Q830</f>
        <v/>
      </c>
      <c r="AM830" s="73" t="str">
        <f t="shared" ref="AM830:AM893" si="305">R830</f>
        <v/>
      </c>
      <c r="AN830" s="73" t="str">
        <f t="shared" ref="AN830:AN893" si="306">S830</f>
        <v/>
      </c>
      <c r="AP830" s="61" t="str">
        <f t="shared" si="286"/>
        <v/>
      </c>
      <c r="AQ830" s="61" t="str">
        <f t="shared" si="287"/>
        <v/>
      </c>
      <c r="AR830" s="61" t="str">
        <f t="shared" si="288"/>
        <v/>
      </c>
    </row>
    <row r="831" spans="16:44" x14ac:dyDescent="0.25">
      <c r="P831" s="73" t="str">
        <f t="shared" si="290"/>
        <v/>
      </c>
      <c r="Q831" s="73" t="str">
        <f t="shared" si="291"/>
        <v/>
      </c>
      <c r="R831" s="74" t="str">
        <f t="shared" si="292"/>
        <v/>
      </c>
      <c r="S831" s="74" t="str">
        <f t="shared" si="293"/>
        <v/>
      </c>
      <c r="U831" s="74" t="str">
        <f t="shared" si="289"/>
        <v/>
      </c>
      <c r="V831" s="74" t="str">
        <f t="shared" si="289"/>
        <v/>
      </c>
      <c r="W831" s="74" t="str">
        <f t="shared" si="289"/>
        <v/>
      </c>
      <c r="X831" s="74" t="str">
        <f t="shared" si="289"/>
        <v/>
      </c>
      <c r="Y831" s="74" t="str">
        <f t="shared" si="289"/>
        <v/>
      </c>
      <c r="Z831" s="74" t="str">
        <f t="shared" si="294"/>
        <v/>
      </c>
      <c r="AA831" s="74">
        <f t="shared" si="295"/>
        <v>0</v>
      </c>
      <c r="AB831" s="74">
        <f t="shared" si="296"/>
        <v>0</v>
      </c>
      <c r="AC831" s="74" t="str">
        <f t="shared" si="297"/>
        <v/>
      </c>
      <c r="AE831" s="74" t="str">
        <f t="shared" si="298"/>
        <v/>
      </c>
      <c r="AF831" s="74" t="str">
        <f t="shared" si="299"/>
        <v/>
      </c>
      <c r="AG831" s="74" t="str">
        <f t="shared" si="300"/>
        <v/>
      </c>
      <c r="AH831" s="74">
        <f t="shared" si="301"/>
        <v>0</v>
      </c>
      <c r="AI831" s="74" t="str">
        <f>IF(AH831&lt;&gt;0,COUNTIF(AH$3:AH831,1),"")</f>
        <v/>
      </c>
      <c r="AJ831" s="74">
        <f t="shared" si="302"/>
        <v>0</v>
      </c>
      <c r="AK831" s="73" t="str">
        <f t="shared" si="303"/>
        <v/>
      </c>
      <c r="AL831" s="73" t="str">
        <f t="shared" si="304"/>
        <v/>
      </c>
      <c r="AM831" s="73" t="str">
        <f t="shared" si="305"/>
        <v/>
      </c>
      <c r="AN831" s="73" t="str">
        <f t="shared" si="306"/>
        <v/>
      </c>
      <c r="AP831" s="61" t="str">
        <f t="shared" si="286"/>
        <v/>
      </c>
      <c r="AQ831" s="61" t="str">
        <f t="shared" si="287"/>
        <v/>
      </c>
      <c r="AR831" s="61" t="str">
        <f t="shared" si="288"/>
        <v/>
      </c>
    </row>
    <row r="832" spans="16:44" x14ac:dyDescent="0.25">
      <c r="P832" s="73" t="str">
        <f t="shared" si="290"/>
        <v/>
      </c>
      <c r="Q832" s="73" t="str">
        <f t="shared" si="291"/>
        <v/>
      </c>
      <c r="R832" s="74" t="str">
        <f t="shared" si="292"/>
        <v/>
      </c>
      <c r="S832" s="74" t="str">
        <f t="shared" si="293"/>
        <v/>
      </c>
      <c r="U832" s="74" t="str">
        <f t="shared" si="289"/>
        <v/>
      </c>
      <c r="V832" s="74" t="str">
        <f t="shared" si="289"/>
        <v/>
      </c>
      <c r="W832" s="74" t="str">
        <f t="shared" si="289"/>
        <v/>
      </c>
      <c r="X832" s="74" t="str">
        <f t="shared" si="289"/>
        <v/>
      </c>
      <c r="Y832" s="74" t="str">
        <f t="shared" si="289"/>
        <v/>
      </c>
      <c r="Z832" s="74" t="str">
        <f t="shared" si="294"/>
        <v/>
      </c>
      <c r="AA832" s="74">
        <f t="shared" si="295"/>
        <v>0</v>
      </c>
      <c r="AB832" s="74">
        <f t="shared" si="296"/>
        <v>0</v>
      </c>
      <c r="AC832" s="74" t="str">
        <f t="shared" si="297"/>
        <v/>
      </c>
      <c r="AE832" s="74" t="str">
        <f t="shared" si="298"/>
        <v/>
      </c>
      <c r="AF832" s="74" t="str">
        <f t="shared" si="299"/>
        <v/>
      </c>
      <c r="AG832" s="74" t="str">
        <f t="shared" si="300"/>
        <v/>
      </c>
      <c r="AH832" s="74">
        <f t="shared" si="301"/>
        <v>0</v>
      </c>
      <c r="AI832" s="74" t="str">
        <f>IF(AH832&lt;&gt;0,COUNTIF(AH$3:AH832,1),"")</f>
        <v/>
      </c>
      <c r="AJ832" s="74">
        <f t="shared" si="302"/>
        <v>0</v>
      </c>
      <c r="AK832" s="73" t="str">
        <f t="shared" si="303"/>
        <v/>
      </c>
      <c r="AL832" s="73" t="str">
        <f t="shared" si="304"/>
        <v/>
      </c>
      <c r="AM832" s="73" t="str">
        <f t="shared" si="305"/>
        <v/>
      </c>
      <c r="AN832" s="73" t="str">
        <f t="shared" si="306"/>
        <v/>
      </c>
      <c r="AP832" s="61" t="str">
        <f t="shared" si="286"/>
        <v/>
      </c>
      <c r="AQ832" s="61" t="str">
        <f t="shared" si="287"/>
        <v/>
      </c>
      <c r="AR832" s="61" t="str">
        <f t="shared" si="288"/>
        <v/>
      </c>
    </row>
    <row r="833" spans="16:44" x14ac:dyDescent="0.25">
      <c r="P833" s="73" t="str">
        <f t="shared" si="290"/>
        <v/>
      </c>
      <c r="Q833" s="73" t="str">
        <f t="shared" si="291"/>
        <v/>
      </c>
      <c r="R833" s="74" t="str">
        <f t="shared" si="292"/>
        <v/>
      </c>
      <c r="S833" s="74" t="str">
        <f t="shared" si="293"/>
        <v/>
      </c>
      <c r="U833" s="74" t="str">
        <f t="shared" si="289"/>
        <v/>
      </c>
      <c r="V833" s="74" t="str">
        <f t="shared" si="289"/>
        <v/>
      </c>
      <c r="W833" s="74" t="str">
        <f t="shared" si="289"/>
        <v/>
      </c>
      <c r="X833" s="74" t="str">
        <f t="shared" si="289"/>
        <v/>
      </c>
      <c r="Y833" s="74" t="str">
        <f t="shared" si="289"/>
        <v/>
      </c>
      <c r="Z833" s="74" t="str">
        <f t="shared" si="294"/>
        <v/>
      </c>
      <c r="AA833" s="74">
        <f t="shared" si="295"/>
        <v>0</v>
      </c>
      <c r="AB833" s="74">
        <f t="shared" si="296"/>
        <v>0</v>
      </c>
      <c r="AC833" s="74" t="str">
        <f t="shared" si="297"/>
        <v/>
      </c>
      <c r="AE833" s="74" t="str">
        <f t="shared" si="298"/>
        <v/>
      </c>
      <c r="AF833" s="74" t="str">
        <f t="shared" si="299"/>
        <v/>
      </c>
      <c r="AG833" s="74" t="str">
        <f t="shared" si="300"/>
        <v/>
      </c>
      <c r="AH833" s="74">
        <f t="shared" si="301"/>
        <v>0</v>
      </c>
      <c r="AI833" s="74" t="str">
        <f>IF(AH833&lt;&gt;0,COUNTIF(AH$3:AH833,1),"")</f>
        <v/>
      </c>
      <c r="AJ833" s="74">
        <f t="shared" si="302"/>
        <v>0</v>
      </c>
      <c r="AK833" s="73" t="str">
        <f t="shared" si="303"/>
        <v/>
      </c>
      <c r="AL833" s="73" t="str">
        <f t="shared" si="304"/>
        <v/>
      </c>
      <c r="AM833" s="73" t="str">
        <f t="shared" si="305"/>
        <v/>
      </c>
      <c r="AN833" s="73" t="str">
        <f t="shared" si="306"/>
        <v/>
      </c>
      <c r="AP833" s="61" t="str">
        <f t="shared" si="286"/>
        <v/>
      </c>
      <c r="AQ833" s="61" t="str">
        <f t="shared" si="287"/>
        <v/>
      </c>
      <c r="AR833" s="61" t="str">
        <f t="shared" si="288"/>
        <v/>
      </c>
    </row>
    <row r="834" spans="16:44" x14ac:dyDescent="0.25">
      <c r="P834" s="73" t="str">
        <f t="shared" si="290"/>
        <v/>
      </c>
      <c r="Q834" s="73" t="str">
        <f t="shared" si="291"/>
        <v/>
      </c>
      <c r="R834" s="74" t="str">
        <f t="shared" si="292"/>
        <v/>
      </c>
      <c r="S834" s="74" t="str">
        <f t="shared" si="293"/>
        <v/>
      </c>
      <c r="U834" s="74" t="str">
        <f t="shared" si="289"/>
        <v/>
      </c>
      <c r="V834" s="74" t="str">
        <f t="shared" si="289"/>
        <v/>
      </c>
      <c r="W834" s="74" t="str">
        <f t="shared" si="289"/>
        <v/>
      </c>
      <c r="X834" s="74" t="str">
        <f t="shared" si="289"/>
        <v/>
      </c>
      <c r="Y834" s="74" t="str">
        <f t="shared" si="289"/>
        <v/>
      </c>
      <c r="Z834" s="74" t="str">
        <f t="shared" si="294"/>
        <v/>
      </c>
      <c r="AA834" s="74">
        <f t="shared" si="295"/>
        <v>0</v>
      </c>
      <c r="AB834" s="74">
        <f t="shared" si="296"/>
        <v>0</v>
      </c>
      <c r="AC834" s="74" t="str">
        <f t="shared" si="297"/>
        <v/>
      </c>
      <c r="AE834" s="74" t="str">
        <f t="shared" si="298"/>
        <v/>
      </c>
      <c r="AF834" s="74" t="str">
        <f t="shared" si="299"/>
        <v/>
      </c>
      <c r="AG834" s="74" t="str">
        <f t="shared" si="300"/>
        <v/>
      </c>
      <c r="AH834" s="74">
        <f t="shared" si="301"/>
        <v>0</v>
      </c>
      <c r="AI834" s="74" t="str">
        <f>IF(AH834&lt;&gt;0,COUNTIF(AH$3:AH834,1),"")</f>
        <v/>
      </c>
      <c r="AJ834" s="74">
        <f t="shared" si="302"/>
        <v>0</v>
      </c>
      <c r="AK834" s="73" t="str">
        <f t="shared" si="303"/>
        <v/>
      </c>
      <c r="AL834" s="73" t="str">
        <f t="shared" si="304"/>
        <v/>
      </c>
      <c r="AM834" s="73" t="str">
        <f t="shared" si="305"/>
        <v/>
      </c>
      <c r="AN834" s="73" t="str">
        <f t="shared" si="306"/>
        <v/>
      </c>
      <c r="AP834" s="61" t="str">
        <f t="shared" si="286"/>
        <v/>
      </c>
      <c r="AQ834" s="61" t="str">
        <f t="shared" si="287"/>
        <v/>
      </c>
      <c r="AR834" s="61" t="str">
        <f t="shared" si="288"/>
        <v/>
      </c>
    </row>
    <row r="835" spans="16:44" x14ac:dyDescent="0.25">
      <c r="P835" s="73" t="str">
        <f t="shared" si="290"/>
        <v/>
      </c>
      <c r="Q835" s="73" t="str">
        <f t="shared" si="291"/>
        <v/>
      </c>
      <c r="R835" s="74" t="str">
        <f t="shared" si="292"/>
        <v/>
      </c>
      <c r="S835" s="74" t="str">
        <f t="shared" si="293"/>
        <v/>
      </c>
      <c r="U835" s="74" t="str">
        <f t="shared" si="289"/>
        <v/>
      </c>
      <c r="V835" s="74" t="str">
        <f t="shared" si="289"/>
        <v/>
      </c>
      <c r="W835" s="74" t="str">
        <f t="shared" si="289"/>
        <v/>
      </c>
      <c r="X835" s="74" t="str">
        <f t="shared" si="289"/>
        <v/>
      </c>
      <c r="Y835" s="74" t="str">
        <f t="shared" si="289"/>
        <v/>
      </c>
      <c r="Z835" s="74" t="str">
        <f t="shared" si="294"/>
        <v/>
      </c>
      <c r="AA835" s="74">
        <f t="shared" si="295"/>
        <v>0</v>
      </c>
      <c r="AB835" s="74">
        <f t="shared" si="296"/>
        <v>0</v>
      </c>
      <c r="AC835" s="74" t="str">
        <f t="shared" si="297"/>
        <v/>
      </c>
      <c r="AE835" s="74" t="str">
        <f t="shared" si="298"/>
        <v/>
      </c>
      <c r="AF835" s="74" t="str">
        <f t="shared" si="299"/>
        <v/>
      </c>
      <c r="AG835" s="74" t="str">
        <f t="shared" si="300"/>
        <v/>
      </c>
      <c r="AH835" s="74">
        <f t="shared" si="301"/>
        <v>0</v>
      </c>
      <c r="AI835" s="74" t="str">
        <f>IF(AH835&lt;&gt;0,COUNTIF(AH$3:AH835,1),"")</f>
        <v/>
      </c>
      <c r="AJ835" s="74">
        <f t="shared" si="302"/>
        <v>0</v>
      </c>
      <c r="AK835" s="73" t="str">
        <f t="shared" si="303"/>
        <v/>
      </c>
      <c r="AL835" s="73" t="str">
        <f t="shared" si="304"/>
        <v/>
      </c>
      <c r="AM835" s="73" t="str">
        <f t="shared" si="305"/>
        <v/>
      </c>
      <c r="AN835" s="73" t="str">
        <f t="shared" si="306"/>
        <v/>
      </c>
      <c r="AP835" s="61" t="str">
        <f t="shared" si="286"/>
        <v/>
      </c>
      <c r="AQ835" s="61" t="str">
        <f t="shared" si="287"/>
        <v/>
      </c>
      <c r="AR835" s="61" t="str">
        <f t="shared" si="288"/>
        <v/>
      </c>
    </row>
    <row r="836" spans="16:44" x14ac:dyDescent="0.25">
      <c r="P836" s="73" t="str">
        <f t="shared" si="290"/>
        <v/>
      </c>
      <c r="Q836" s="73" t="str">
        <f t="shared" si="291"/>
        <v/>
      </c>
      <c r="R836" s="74" t="str">
        <f t="shared" si="292"/>
        <v/>
      </c>
      <c r="S836" s="74" t="str">
        <f t="shared" si="293"/>
        <v/>
      </c>
      <c r="U836" s="74" t="str">
        <f t="shared" si="289"/>
        <v/>
      </c>
      <c r="V836" s="74" t="str">
        <f t="shared" si="289"/>
        <v/>
      </c>
      <c r="W836" s="74" t="str">
        <f t="shared" si="289"/>
        <v/>
      </c>
      <c r="X836" s="74" t="str">
        <f t="shared" si="289"/>
        <v/>
      </c>
      <c r="Y836" s="74" t="str">
        <f t="shared" si="289"/>
        <v/>
      </c>
      <c r="Z836" s="74" t="str">
        <f t="shared" si="294"/>
        <v/>
      </c>
      <c r="AA836" s="74">
        <f t="shared" si="295"/>
        <v>0</v>
      </c>
      <c r="AB836" s="74">
        <f t="shared" si="296"/>
        <v>0</v>
      </c>
      <c r="AC836" s="74" t="str">
        <f t="shared" si="297"/>
        <v/>
      </c>
      <c r="AE836" s="74" t="str">
        <f t="shared" si="298"/>
        <v/>
      </c>
      <c r="AF836" s="74" t="str">
        <f t="shared" si="299"/>
        <v/>
      </c>
      <c r="AG836" s="74" t="str">
        <f t="shared" si="300"/>
        <v/>
      </c>
      <c r="AH836" s="74">
        <f t="shared" si="301"/>
        <v>0</v>
      </c>
      <c r="AI836" s="74" t="str">
        <f>IF(AH836&lt;&gt;0,COUNTIF(AH$3:AH836,1),"")</f>
        <v/>
      </c>
      <c r="AJ836" s="74">
        <f t="shared" si="302"/>
        <v>0</v>
      </c>
      <c r="AK836" s="73" t="str">
        <f t="shared" si="303"/>
        <v/>
      </c>
      <c r="AL836" s="73" t="str">
        <f t="shared" si="304"/>
        <v/>
      </c>
      <c r="AM836" s="73" t="str">
        <f t="shared" si="305"/>
        <v/>
      </c>
      <c r="AN836" s="73" t="str">
        <f t="shared" si="306"/>
        <v/>
      </c>
      <c r="AP836" s="61" t="str">
        <f t="shared" ref="AP836:AP899" si="307">IF(P836&lt;&gt;"",_xlfn.NUMBERVALUE(P836),"")</f>
        <v/>
      </c>
      <c r="AQ836" s="61" t="str">
        <f t="shared" ref="AQ836:AQ899" si="308">IF(Q836&lt;&gt;"",_xlfn.NUMBERVALUE(Q836),"")</f>
        <v/>
      </c>
      <c r="AR836" s="61" t="str">
        <f t="shared" ref="AR836:AR899" si="309">IF(R836&lt;&gt;"",_xlfn.NUMBERVALUE(R836),"")</f>
        <v/>
      </c>
    </row>
    <row r="837" spans="16:44" x14ac:dyDescent="0.25">
      <c r="P837" s="73" t="str">
        <f t="shared" si="290"/>
        <v/>
      </c>
      <c r="Q837" s="73" t="str">
        <f t="shared" si="291"/>
        <v/>
      </c>
      <c r="R837" s="74" t="str">
        <f t="shared" si="292"/>
        <v/>
      </c>
      <c r="S837" s="74" t="str">
        <f t="shared" si="293"/>
        <v/>
      </c>
      <c r="U837" s="74" t="str">
        <f t="shared" si="289"/>
        <v/>
      </c>
      <c r="V837" s="74" t="str">
        <f t="shared" si="289"/>
        <v/>
      </c>
      <c r="W837" s="74" t="str">
        <f t="shared" si="289"/>
        <v/>
      </c>
      <c r="X837" s="74" t="str">
        <f t="shared" si="289"/>
        <v/>
      </c>
      <c r="Y837" s="74" t="str">
        <f t="shared" si="289"/>
        <v/>
      </c>
      <c r="Z837" s="74" t="str">
        <f t="shared" si="294"/>
        <v/>
      </c>
      <c r="AA837" s="74">
        <f t="shared" si="295"/>
        <v>0</v>
      </c>
      <c r="AB837" s="74">
        <f t="shared" si="296"/>
        <v>0</v>
      </c>
      <c r="AC837" s="74" t="str">
        <f t="shared" si="297"/>
        <v/>
      </c>
      <c r="AE837" s="74" t="str">
        <f t="shared" si="298"/>
        <v/>
      </c>
      <c r="AF837" s="74" t="str">
        <f t="shared" si="299"/>
        <v/>
      </c>
      <c r="AG837" s="74" t="str">
        <f t="shared" si="300"/>
        <v/>
      </c>
      <c r="AH837" s="74">
        <f t="shared" si="301"/>
        <v>0</v>
      </c>
      <c r="AI837" s="74" t="str">
        <f>IF(AH837&lt;&gt;0,COUNTIF(AH$3:AH837,1),"")</f>
        <v/>
      </c>
      <c r="AJ837" s="74">
        <f t="shared" si="302"/>
        <v>0</v>
      </c>
      <c r="AK837" s="73" t="str">
        <f t="shared" si="303"/>
        <v/>
      </c>
      <c r="AL837" s="73" t="str">
        <f t="shared" si="304"/>
        <v/>
      </c>
      <c r="AM837" s="73" t="str">
        <f t="shared" si="305"/>
        <v/>
      </c>
      <c r="AN837" s="73" t="str">
        <f t="shared" si="306"/>
        <v/>
      </c>
      <c r="AP837" s="61" t="str">
        <f t="shared" si="307"/>
        <v/>
      </c>
      <c r="AQ837" s="61" t="str">
        <f t="shared" si="308"/>
        <v/>
      </c>
      <c r="AR837" s="61" t="str">
        <f t="shared" si="309"/>
        <v/>
      </c>
    </row>
    <row r="838" spans="16:44" x14ac:dyDescent="0.25">
      <c r="P838" s="73" t="str">
        <f t="shared" si="290"/>
        <v/>
      </c>
      <c r="Q838" s="73" t="str">
        <f t="shared" si="291"/>
        <v/>
      </c>
      <c r="R838" s="74" t="str">
        <f t="shared" si="292"/>
        <v/>
      </c>
      <c r="S838" s="74" t="str">
        <f t="shared" si="293"/>
        <v/>
      </c>
      <c r="U838" s="74" t="str">
        <f t="shared" si="289"/>
        <v/>
      </c>
      <c r="V838" s="74" t="str">
        <f t="shared" si="289"/>
        <v/>
      </c>
      <c r="W838" s="74" t="str">
        <f t="shared" si="289"/>
        <v/>
      </c>
      <c r="X838" s="74" t="str">
        <f t="shared" si="289"/>
        <v/>
      </c>
      <c r="Y838" s="74" t="str">
        <f t="shared" si="289"/>
        <v/>
      </c>
      <c r="Z838" s="74" t="str">
        <f t="shared" si="294"/>
        <v/>
      </c>
      <c r="AA838" s="74">
        <f t="shared" si="295"/>
        <v>0</v>
      </c>
      <c r="AB838" s="74">
        <f t="shared" si="296"/>
        <v>0</v>
      </c>
      <c r="AC838" s="74" t="str">
        <f t="shared" si="297"/>
        <v/>
      </c>
      <c r="AE838" s="74" t="str">
        <f t="shared" si="298"/>
        <v/>
      </c>
      <c r="AF838" s="74" t="str">
        <f t="shared" si="299"/>
        <v/>
      </c>
      <c r="AG838" s="74" t="str">
        <f t="shared" si="300"/>
        <v/>
      </c>
      <c r="AH838" s="74">
        <f t="shared" si="301"/>
        <v>0</v>
      </c>
      <c r="AI838" s="74" t="str">
        <f>IF(AH838&lt;&gt;0,COUNTIF(AH$3:AH838,1),"")</f>
        <v/>
      </c>
      <c r="AJ838" s="74">
        <f t="shared" si="302"/>
        <v>0</v>
      </c>
      <c r="AK838" s="73" t="str">
        <f t="shared" si="303"/>
        <v/>
      </c>
      <c r="AL838" s="73" t="str">
        <f t="shared" si="304"/>
        <v/>
      </c>
      <c r="AM838" s="73" t="str">
        <f t="shared" si="305"/>
        <v/>
      </c>
      <c r="AN838" s="73" t="str">
        <f t="shared" si="306"/>
        <v/>
      </c>
      <c r="AP838" s="61" t="str">
        <f t="shared" si="307"/>
        <v/>
      </c>
      <c r="AQ838" s="61" t="str">
        <f t="shared" si="308"/>
        <v/>
      </c>
      <c r="AR838" s="61" t="str">
        <f t="shared" si="309"/>
        <v/>
      </c>
    </row>
    <row r="839" spans="16:44" x14ac:dyDescent="0.25">
      <c r="P839" s="73" t="str">
        <f t="shared" si="290"/>
        <v/>
      </c>
      <c r="Q839" s="73" t="str">
        <f t="shared" si="291"/>
        <v/>
      </c>
      <c r="R839" s="74" t="str">
        <f t="shared" si="292"/>
        <v/>
      </c>
      <c r="S839" s="74" t="str">
        <f t="shared" si="293"/>
        <v/>
      </c>
      <c r="U839" s="74" t="str">
        <f t="shared" si="289"/>
        <v/>
      </c>
      <c r="V839" s="74" t="str">
        <f t="shared" si="289"/>
        <v/>
      </c>
      <c r="W839" s="74" t="str">
        <f t="shared" si="289"/>
        <v/>
      </c>
      <c r="X839" s="74" t="str">
        <f t="shared" si="289"/>
        <v/>
      </c>
      <c r="Y839" s="74" t="str">
        <f t="shared" si="289"/>
        <v/>
      </c>
      <c r="Z839" s="74" t="str">
        <f t="shared" si="294"/>
        <v/>
      </c>
      <c r="AA839" s="74">
        <f t="shared" si="295"/>
        <v>0</v>
      </c>
      <c r="AB839" s="74">
        <f t="shared" si="296"/>
        <v>0</v>
      </c>
      <c r="AC839" s="74" t="str">
        <f t="shared" si="297"/>
        <v/>
      </c>
      <c r="AE839" s="74" t="str">
        <f t="shared" si="298"/>
        <v/>
      </c>
      <c r="AF839" s="74" t="str">
        <f t="shared" si="299"/>
        <v/>
      </c>
      <c r="AG839" s="74" t="str">
        <f t="shared" si="300"/>
        <v/>
      </c>
      <c r="AH839" s="74">
        <f t="shared" si="301"/>
        <v>0</v>
      </c>
      <c r="AI839" s="74" t="str">
        <f>IF(AH839&lt;&gt;0,COUNTIF(AH$3:AH839,1),"")</f>
        <v/>
      </c>
      <c r="AJ839" s="74">
        <f t="shared" si="302"/>
        <v>0</v>
      </c>
      <c r="AK839" s="73" t="str">
        <f t="shared" si="303"/>
        <v/>
      </c>
      <c r="AL839" s="73" t="str">
        <f t="shared" si="304"/>
        <v/>
      </c>
      <c r="AM839" s="73" t="str">
        <f t="shared" si="305"/>
        <v/>
      </c>
      <c r="AN839" s="73" t="str">
        <f t="shared" si="306"/>
        <v/>
      </c>
      <c r="AP839" s="61" t="str">
        <f t="shared" si="307"/>
        <v/>
      </c>
      <c r="AQ839" s="61" t="str">
        <f t="shared" si="308"/>
        <v/>
      </c>
      <c r="AR839" s="61" t="str">
        <f t="shared" si="309"/>
        <v/>
      </c>
    </row>
    <row r="840" spans="16:44" x14ac:dyDescent="0.25">
      <c r="P840" s="73" t="str">
        <f t="shared" si="290"/>
        <v/>
      </c>
      <c r="Q840" s="73" t="str">
        <f t="shared" si="291"/>
        <v/>
      </c>
      <c r="R840" s="74" t="str">
        <f t="shared" si="292"/>
        <v/>
      </c>
      <c r="S840" s="74" t="str">
        <f t="shared" si="293"/>
        <v/>
      </c>
      <c r="U840" s="74" t="str">
        <f t="shared" si="289"/>
        <v/>
      </c>
      <c r="V840" s="74" t="str">
        <f t="shared" si="289"/>
        <v/>
      </c>
      <c r="W840" s="74" t="str">
        <f t="shared" si="289"/>
        <v/>
      </c>
      <c r="X840" s="74" t="str">
        <f t="shared" si="289"/>
        <v/>
      </c>
      <c r="Y840" s="74" t="str">
        <f t="shared" si="289"/>
        <v/>
      </c>
      <c r="Z840" s="74" t="str">
        <f t="shared" si="294"/>
        <v/>
      </c>
      <c r="AA840" s="74">
        <f t="shared" si="295"/>
        <v>0</v>
      </c>
      <c r="AB840" s="74">
        <f t="shared" si="296"/>
        <v>0</v>
      </c>
      <c r="AC840" s="74" t="str">
        <f t="shared" si="297"/>
        <v/>
      </c>
      <c r="AE840" s="74" t="str">
        <f t="shared" si="298"/>
        <v/>
      </c>
      <c r="AF840" s="74" t="str">
        <f t="shared" si="299"/>
        <v/>
      </c>
      <c r="AG840" s="74" t="str">
        <f t="shared" si="300"/>
        <v/>
      </c>
      <c r="AH840" s="74">
        <f t="shared" si="301"/>
        <v>0</v>
      </c>
      <c r="AI840" s="74" t="str">
        <f>IF(AH840&lt;&gt;0,COUNTIF(AH$3:AH840,1),"")</f>
        <v/>
      </c>
      <c r="AJ840" s="74">
        <f t="shared" si="302"/>
        <v>0</v>
      </c>
      <c r="AK840" s="73" t="str">
        <f t="shared" si="303"/>
        <v/>
      </c>
      <c r="AL840" s="73" t="str">
        <f t="shared" si="304"/>
        <v/>
      </c>
      <c r="AM840" s="73" t="str">
        <f t="shared" si="305"/>
        <v/>
      </c>
      <c r="AN840" s="73" t="str">
        <f t="shared" si="306"/>
        <v/>
      </c>
      <c r="AP840" s="61" t="str">
        <f t="shared" si="307"/>
        <v/>
      </c>
      <c r="AQ840" s="61" t="str">
        <f t="shared" si="308"/>
        <v/>
      </c>
      <c r="AR840" s="61" t="str">
        <f t="shared" si="309"/>
        <v/>
      </c>
    </row>
    <row r="841" spans="16:44" x14ac:dyDescent="0.25">
      <c r="P841" s="73" t="str">
        <f t="shared" si="290"/>
        <v/>
      </c>
      <c r="Q841" s="73" t="str">
        <f t="shared" si="291"/>
        <v/>
      </c>
      <c r="R841" s="74" t="str">
        <f t="shared" si="292"/>
        <v/>
      </c>
      <c r="S841" s="74" t="str">
        <f t="shared" si="293"/>
        <v/>
      </c>
      <c r="U841" s="74" t="str">
        <f t="shared" si="289"/>
        <v/>
      </c>
      <c r="V841" s="74" t="str">
        <f t="shared" si="289"/>
        <v/>
      </c>
      <c r="W841" s="74" t="str">
        <f t="shared" si="289"/>
        <v/>
      </c>
      <c r="X841" s="74" t="str">
        <f t="shared" si="289"/>
        <v/>
      </c>
      <c r="Y841" s="74" t="str">
        <f t="shared" si="289"/>
        <v/>
      </c>
      <c r="Z841" s="74" t="str">
        <f t="shared" si="294"/>
        <v/>
      </c>
      <c r="AA841" s="74">
        <f t="shared" si="295"/>
        <v>0</v>
      </c>
      <c r="AB841" s="74">
        <f t="shared" si="296"/>
        <v>0</v>
      </c>
      <c r="AC841" s="74" t="str">
        <f t="shared" si="297"/>
        <v/>
      </c>
      <c r="AE841" s="74" t="str">
        <f t="shared" si="298"/>
        <v/>
      </c>
      <c r="AF841" s="74" t="str">
        <f t="shared" si="299"/>
        <v/>
      </c>
      <c r="AG841" s="74" t="str">
        <f t="shared" si="300"/>
        <v/>
      </c>
      <c r="AH841" s="74">
        <f t="shared" si="301"/>
        <v>0</v>
      </c>
      <c r="AI841" s="74" t="str">
        <f>IF(AH841&lt;&gt;0,COUNTIF(AH$3:AH841,1),"")</f>
        <v/>
      </c>
      <c r="AJ841" s="74">
        <f t="shared" si="302"/>
        <v>0</v>
      </c>
      <c r="AK841" s="73" t="str">
        <f t="shared" si="303"/>
        <v/>
      </c>
      <c r="AL841" s="73" t="str">
        <f t="shared" si="304"/>
        <v/>
      </c>
      <c r="AM841" s="73" t="str">
        <f t="shared" si="305"/>
        <v/>
      </c>
      <c r="AN841" s="73" t="str">
        <f t="shared" si="306"/>
        <v/>
      </c>
      <c r="AP841" s="61" t="str">
        <f t="shared" si="307"/>
        <v/>
      </c>
      <c r="AQ841" s="61" t="str">
        <f t="shared" si="308"/>
        <v/>
      </c>
      <c r="AR841" s="61" t="str">
        <f t="shared" si="309"/>
        <v/>
      </c>
    </row>
    <row r="842" spans="16:44" x14ac:dyDescent="0.25">
      <c r="P842" s="73" t="str">
        <f t="shared" si="290"/>
        <v/>
      </c>
      <c r="Q842" s="73" t="str">
        <f t="shared" si="291"/>
        <v/>
      </c>
      <c r="R842" s="74" t="str">
        <f t="shared" si="292"/>
        <v/>
      </c>
      <c r="S842" s="74" t="str">
        <f t="shared" si="293"/>
        <v/>
      </c>
      <c r="U842" s="74" t="str">
        <f t="shared" si="289"/>
        <v/>
      </c>
      <c r="V842" s="74" t="str">
        <f t="shared" si="289"/>
        <v/>
      </c>
      <c r="W842" s="74" t="str">
        <f t="shared" si="289"/>
        <v/>
      </c>
      <c r="X842" s="74" t="str">
        <f t="shared" si="289"/>
        <v/>
      </c>
      <c r="Y842" s="74" t="str">
        <f t="shared" si="289"/>
        <v/>
      </c>
      <c r="Z842" s="74" t="str">
        <f t="shared" si="294"/>
        <v/>
      </c>
      <c r="AA842" s="74">
        <f t="shared" si="295"/>
        <v>0</v>
      </c>
      <c r="AB842" s="74">
        <f t="shared" si="296"/>
        <v>0</v>
      </c>
      <c r="AC842" s="74" t="str">
        <f t="shared" si="297"/>
        <v/>
      </c>
      <c r="AE842" s="74" t="str">
        <f t="shared" si="298"/>
        <v/>
      </c>
      <c r="AF842" s="74" t="str">
        <f t="shared" si="299"/>
        <v/>
      </c>
      <c r="AG842" s="74" t="str">
        <f t="shared" si="300"/>
        <v/>
      </c>
      <c r="AH842" s="74">
        <f t="shared" si="301"/>
        <v>0</v>
      </c>
      <c r="AI842" s="74" t="str">
        <f>IF(AH842&lt;&gt;0,COUNTIF(AH$3:AH842,1),"")</f>
        <v/>
      </c>
      <c r="AJ842" s="74">
        <f t="shared" si="302"/>
        <v>0</v>
      </c>
      <c r="AK842" s="73" t="str">
        <f t="shared" si="303"/>
        <v/>
      </c>
      <c r="AL842" s="73" t="str">
        <f t="shared" si="304"/>
        <v/>
      </c>
      <c r="AM842" s="73" t="str">
        <f t="shared" si="305"/>
        <v/>
      </c>
      <c r="AN842" s="73" t="str">
        <f t="shared" si="306"/>
        <v/>
      </c>
      <c r="AP842" s="61" t="str">
        <f t="shared" si="307"/>
        <v/>
      </c>
      <c r="AQ842" s="61" t="str">
        <f t="shared" si="308"/>
        <v/>
      </c>
      <c r="AR842" s="61" t="str">
        <f t="shared" si="309"/>
        <v/>
      </c>
    </row>
    <row r="843" spans="16:44" x14ac:dyDescent="0.25">
      <c r="P843" s="73" t="str">
        <f t="shared" si="290"/>
        <v/>
      </c>
      <c r="Q843" s="73" t="str">
        <f t="shared" si="291"/>
        <v/>
      </c>
      <c r="R843" s="74" t="str">
        <f t="shared" si="292"/>
        <v/>
      </c>
      <c r="S843" s="74" t="str">
        <f t="shared" si="293"/>
        <v/>
      </c>
      <c r="U843" s="74" t="str">
        <f t="shared" si="289"/>
        <v/>
      </c>
      <c r="V843" s="74" t="str">
        <f t="shared" si="289"/>
        <v/>
      </c>
      <c r="W843" s="74" t="str">
        <f t="shared" si="289"/>
        <v/>
      </c>
      <c r="X843" s="74" t="str">
        <f t="shared" si="289"/>
        <v/>
      </c>
      <c r="Y843" s="74" t="str">
        <f t="shared" si="289"/>
        <v/>
      </c>
      <c r="Z843" s="74" t="str">
        <f t="shared" si="294"/>
        <v/>
      </c>
      <c r="AA843" s="74">
        <f t="shared" si="295"/>
        <v>0</v>
      </c>
      <c r="AB843" s="74">
        <f t="shared" si="296"/>
        <v>0</v>
      </c>
      <c r="AC843" s="74" t="str">
        <f t="shared" si="297"/>
        <v/>
      </c>
      <c r="AE843" s="74" t="str">
        <f t="shared" si="298"/>
        <v/>
      </c>
      <c r="AF843" s="74" t="str">
        <f t="shared" si="299"/>
        <v/>
      </c>
      <c r="AG843" s="74" t="str">
        <f t="shared" si="300"/>
        <v/>
      </c>
      <c r="AH843" s="74">
        <f t="shared" si="301"/>
        <v>0</v>
      </c>
      <c r="AI843" s="74" t="str">
        <f>IF(AH843&lt;&gt;0,COUNTIF(AH$3:AH843,1),"")</f>
        <v/>
      </c>
      <c r="AJ843" s="74">
        <f t="shared" si="302"/>
        <v>0</v>
      </c>
      <c r="AK843" s="73" t="str">
        <f t="shared" si="303"/>
        <v/>
      </c>
      <c r="AL843" s="73" t="str">
        <f t="shared" si="304"/>
        <v/>
      </c>
      <c r="AM843" s="73" t="str">
        <f t="shared" si="305"/>
        <v/>
      </c>
      <c r="AN843" s="73" t="str">
        <f t="shared" si="306"/>
        <v/>
      </c>
      <c r="AP843" s="61" t="str">
        <f t="shared" si="307"/>
        <v/>
      </c>
      <c r="AQ843" s="61" t="str">
        <f t="shared" si="308"/>
        <v/>
      </c>
      <c r="AR843" s="61" t="str">
        <f t="shared" si="309"/>
        <v/>
      </c>
    </row>
    <row r="844" spans="16:44" x14ac:dyDescent="0.25">
      <c r="P844" s="73" t="str">
        <f t="shared" si="290"/>
        <v/>
      </c>
      <c r="Q844" s="73" t="str">
        <f t="shared" si="291"/>
        <v/>
      </c>
      <c r="R844" s="74" t="str">
        <f t="shared" si="292"/>
        <v/>
      </c>
      <c r="S844" s="74" t="str">
        <f t="shared" si="293"/>
        <v/>
      </c>
      <c r="U844" s="74" t="str">
        <f t="shared" si="289"/>
        <v/>
      </c>
      <c r="V844" s="74" t="str">
        <f t="shared" si="289"/>
        <v/>
      </c>
      <c r="W844" s="74" t="str">
        <f t="shared" si="289"/>
        <v/>
      </c>
      <c r="X844" s="74" t="str">
        <f t="shared" si="289"/>
        <v/>
      </c>
      <c r="Y844" s="74" t="str">
        <f t="shared" si="289"/>
        <v/>
      </c>
      <c r="Z844" s="74" t="str">
        <f t="shared" si="294"/>
        <v/>
      </c>
      <c r="AA844" s="74">
        <f t="shared" si="295"/>
        <v>0</v>
      </c>
      <c r="AB844" s="74">
        <f t="shared" si="296"/>
        <v>0</v>
      </c>
      <c r="AC844" s="74" t="str">
        <f t="shared" si="297"/>
        <v/>
      </c>
      <c r="AE844" s="74" t="str">
        <f t="shared" si="298"/>
        <v/>
      </c>
      <c r="AF844" s="74" t="str">
        <f t="shared" si="299"/>
        <v/>
      </c>
      <c r="AG844" s="74" t="str">
        <f t="shared" si="300"/>
        <v/>
      </c>
      <c r="AH844" s="74">
        <f t="shared" si="301"/>
        <v>0</v>
      </c>
      <c r="AI844" s="74" t="str">
        <f>IF(AH844&lt;&gt;0,COUNTIF(AH$3:AH844,1),"")</f>
        <v/>
      </c>
      <c r="AJ844" s="74">
        <f t="shared" si="302"/>
        <v>0</v>
      </c>
      <c r="AK844" s="73" t="str">
        <f t="shared" si="303"/>
        <v/>
      </c>
      <c r="AL844" s="73" t="str">
        <f t="shared" si="304"/>
        <v/>
      </c>
      <c r="AM844" s="73" t="str">
        <f t="shared" si="305"/>
        <v/>
      </c>
      <c r="AN844" s="73" t="str">
        <f t="shared" si="306"/>
        <v/>
      </c>
      <c r="AP844" s="61" t="str">
        <f t="shared" si="307"/>
        <v/>
      </c>
      <c r="AQ844" s="61" t="str">
        <f t="shared" si="308"/>
        <v/>
      </c>
      <c r="AR844" s="61" t="str">
        <f t="shared" si="309"/>
        <v/>
      </c>
    </row>
    <row r="845" spans="16:44" x14ac:dyDescent="0.25">
      <c r="P845" s="73" t="str">
        <f t="shared" si="290"/>
        <v/>
      </c>
      <c r="Q845" s="73" t="str">
        <f t="shared" si="291"/>
        <v/>
      </c>
      <c r="R845" s="74" t="str">
        <f t="shared" si="292"/>
        <v/>
      </c>
      <c r="S845" s="74" t="str">
        <f t="shared" si="293"/>
        <v/>
      </c>
      <c r="U845" s="74" t="str">
        <f t="shared" si="289"/>
        <v/>
      </c>
      <c r="V845" s="74" t="str">
        <f t="shared" si="289"/>
        <v/>
      </c>
      <c r="W845" s="74" t="str">
        <f t="shared" si="289"/>
        <v/>
      </c>
      <c r="X845" s="74" t="str">
        <f t="shared" si="289"/>
        <v/>
      </c>
      <c r="Y845" s="74" t="str">
        <f t="shared" si="289"/>
        <v/>
      </c>
      <c r="Z845" s="74" t="str">
        <f t="shared" si="294"/>
        <v/>
      </c>
      <c r="AA845" s="74">
        <f t="shared" si="295"/>
        <v>0</v>
      </c>
      <c r="AB845" s="74">
        <f t="shared" si="296"/>
        <v>0</v>
      </c>
      <c r="AC845" s="74" t="str">
        <f t="shared" si="297"/>
        <v/>
      </c>
      <c r="AE845" s="74" t="str">
        <f t="shared" si="298"/>
        <v/>
      </c>
      <c r="AF845" s="74" t="str">
        <f t="shared" si="299"/>
        <v/>
      </c>
      <c r="AG845" s="74" t="str">
        <f t="shared" si="300"/>
        <v/>
      </c>
      <c r="AH845" s="74">
        <f t="shared" si="301"/>
        <v>0</v>
      </c>
      <c r="AI845" s="74" t="str">
        <f>IF(AH845&lt;&gt;0,COUNTIF(AH$3:AH845,1),"")</f>
        <v/>
      </c>
      <c r="AJ845" s="74">
        <f t="shared" si="302"/>
        <v>0</v>
      </c>
      <c r="AK845" s="73" t="str">
        <f t="shared" si="303"/>
        <v/>
      </c>
      <c r="AL845" s="73" t="str">
        <f t="shared" si="304"/>
        <v/>
      </c>
      <c r="AM845" s="73" t="str">
        <f t="shared" si="305"/>
        <v/>
      </c>
      <c r="AN845" s="73" t="str">
        <f t="shared" si="306"/>
        <v/>
      </c>
      <c r="AP845" s="61" t="str">
        <f t="shared" si="307"/>
        <v/>
      </c>
      <c r="AQ845" s="61" t="str">
        <f t="shared" si="308"/>
        <v/>
      </c>
      <c r="AR845" s="61" t="str">
        <f t="shared" si="309"/>
        <v/>
      </c>
    </row>
    <row r="846" spans="16:44" x14ac:dyDescent="0.25">
      <c r="P846" s="73" t="str">
        <f t="shared" si="290"/>
        <v/>
      </c>
      <c r="Q846" s="73" t="str">
        <f t="shared" si="291"/>
        <v/>
      </c>
      <c r="R846" s="74" t="str">
        <f t="shared" si="292"/>
        <v/>
      </c>
      <c r="S846" s="74" t="str">
        <f t="shared" si="293"/>
        <v/>
      </c>
      <c r="U846" s="74" t="str">
        <f t="shared" si="289"/>
        <v/>
      </c>
      <c r="V846" s="74" t="str">
        <f t="shared" si="289"/>
        <v/>
      </c>
      <c r="W846" s="74" t="str">
        <f t="shared" si="289"/>
        <v/>
      </c>
      <c r="X846" s="74" t="str">
        <f t="shared" si="289"/>
        <v/>
      </c>
      <c r="Y846" s="74" t="str">
        <f t="shared" si="289"/>
        <v/>
      </c>
      <c r="Z846" s="74" t="str">
        <f t="shared" si="294"/>
        <v/>
      </c>
      <c r="AA846" s="74">
        <f t="shared" si="295"/>
        <v>0</v>
      </c>
      <c r="AB846" s="74">
        <f t="shared" si="296"/>
        <v>0</v>
      </c>
      <c r="AC846" s="74" t="str">
        <f t="shared" si="297"/>
        <v/>
      </c>
      <c r="AE846" s="74" t="str">
        <f t="shared" si="298"/>
        <v/>
      </c>
      <c r="AF846" s="74" t="str">
        <f t="shared" si="299"/>
        <v/>
      </c>
      <c r="AG846" s="74" t="str">
        <f t="shared" si="300"/>
        <v/>
      </c>
      <c r="AH846" s="74">
        <f t="shared" si="301"/>
        <v>0</v>
      </c>
      <c r="AI846" s="74" t="str">
        <f>IF(AH846&lt;&gt;0,COUNTIF(AH$3:AH846,1),"")</f>
        <v/>
      </c>
      <c r="AJ846" s="74">
        <f t="shared" si="302"/>
        <v>0</v>
      </c>
      <c r="AK846" s="73" t="str">
        <f t="shared" si="303"/>
        <v/>
      </c>
      <c r="AL846" s="73" t="str">
        <f t="shared" si="304"/>
        <v/>
      </c>
      <c r="AM846" s="73" t="str">
        <f t="shared" si="305"/>
        <v/>
      </c>
      <c r="AN846" s="73" t="str">
        <f t="shared" si="306"/>
        <v/>
      </c>
      <c r="AP846" s="61" t="str">
        <f t="shared" si="307"/>
        <v/>
      </c>
      <c r="AQ846" s="61" t="str">
        <f t="shared" si="308"/>
        <v/>
      </c>
      <c r="AR846" s="61" t="str">
        <f t="shared" si="309"/>
        <v/>
      </c>
    </row>
    <row r="847" spans="16:44" x14ac:dyDescent="0.25">
      <c r="P847" s="73" t="str">
        <f t="shared" si="290"/>
        <v/>
      </c>
      <c r="Q847" s="73" t="str">
        <f t="shared" si="291"/>
        <v/>
      </c>
      <c r="R847" s="74" t="str">
        <f t="shared" si="292"/>
        <v/>
      </c>
      <c r="S847" s="74" t="str">
        <f t="shared" si="293"/>
        <v/>
      </c>
      <c r="U847" s="74" t="str">
        <f t="shared" si="289"/>
        <v/>
      </c>
      <c r="V847" s="74" t="str">
        <f t="shared" si="289"/>
        <v/>
      </c>
      <c r="W847" s="74" t="str">
        <f t="shared" si="289"/>
        <v/>
      </c>
      <c r="X847" s="74" t="str">
        <f t="shared" si="289"/>
        <v/>
      </c>
      <c r="Y847" s="74" t="str">
        <f t="shared" si="289"/>
        <v/>
      </c>
      <c r="Z847" s="74" t="str">
        <f t="shared" si="294"/>
        <v/>
      </c>
      <c r="AA847" s="74">
        <f t="shared" si="295"/>
        <v>0</v>
      </c>
      <c r="AB847" s="74">
        <f t="shared" si="296"/>
        <v>0</v>
      </c>
      <c r="AC847" s="74" t="str">
        <f t="shared" si="297"/>
        <v/>
      </c>
      <c r="AE847" s="74" t="str">
        <f t="shared" si="298"/>
        <v/>
      </c>
      <c r="AF847" s="74" t="str">
        <f t="shared" si="299"/>
        <v/>
      </c>
      <c r="AG847" s="74" t="str">
        <f t="shared" si="300"/>
        <v/>
      </c>
      <c r="AH847" s="74">
        <f t="shared" si="301"/>
        <v>0</v>
      </c>
      <c r="AI847" s="74" t="str">
        <f>IF(AH847&lt;&gt;0,COUNTIF(AH$3:AH847,1),"")</f>
        <v/>
      </c>
      <c r="AJ847" s="74">
        <f t="shared" si="302"/>
        <v>0</v>
      </c>
      <c r="AK847" s="73" t="str">
        <f t="shared" si="303"/>
        <v/>
      </c>
      <c r="AL847" s="73" t="str">
        <f t="shared" si="304"/>
        <v/>
      </c>
      <c r="AM847" s="73" t="str">
        <f t="shared" si="305"/>
        <v/>
      </c>
      <c r="AN847" s="73" t="str">
        <f t="shared" si="306"/>
        <v/>
      </c>
      <c r="AP847" s="61" t="str">
        <f t="shared" si="307"/>
        <v/>
      </c>
      <c r="AQ847" s="61" t="str">
        <f t="shared" si="308"/>
        <v/>
      </c>
      <c r="AR847" s="61" t="str">
        <f t="shared" si="309"/>
        <v/>
      </c>
    </row>
    <row r="848" spans="16:44" x14ac:dyDescent="0.25">
      <c r="P848" s="73" t="str">
        <f t="shared" si="290"/>
        <v/>
      </c>
      <c r="Q848" s="73" t="str">
        <f t="shared" si="291"/>
        <v/>
      </c>
      <c r="R848" s="74" t="str">
        <f t="shared" si="292"/>
        <v/>
      </c>
      <c r="S848" s="74" t="str">
        <f t="shared" si="293"/>
        <v/>
      </c>
      <c r="U848" s="74" t="str">
        <f t="shared" si="289"/>
        <v/>
      </c>
      <c r="V848" s="74" t="str">
        <f t="shared" si="289"/>
        <v/>
      </c>
      <c r="W848" s="74" t="str">
        <f t="shared" si="289"/>
        <v/>
      </c>
      <c r="X848" s="74" t="str">
        <f t="shared" si="289"/>
        <v/>
      </c>
      <c r="Y848" s="74" t="str">
        <f t="shared" si="289"/>
        <v/>
      </c>
      <c r="Z848" s="74" t="str">
        <f t="shared" si="294"/>
        <v/>
      </c>
      <c r="AA848" s="74">
        <f t="shared" si="295"/>
        <v>0</v>
      </c>
      <c r="AB848" s="74">
        <f t="shared" si="296"/>
        <v>0</v>
      </c>
      <c r="AC848" s="74" t="str">
        <f t="shared" si="297"/>
        <v/>
      </c>
      <c r="AE848" s="74" t="str">
        <f t="shared" si="298"/>
        <v/>
      </c>
      <c r="AF848" s="74" t="str">
        <f t="shared" si="299"/>
        <v/>
      </c>
      <c r="AG848" s="74" t="str">
        <f t="shared" si="300"/>
        <v/>
      </c>
      <c r="AH848" s="74">
        <f t="shared" si="301"/>
        <v>0</v>
      </c>
      <c r="AI848" s="74" t="str">
        <f>IF(AH848&lt;&gt;0,COUNTIF(AH$3:AH848,1),"")</f>
        <v/>
      </c>
      <c r="AJ848" s="74">
        <f t="shared" si="302"/>
        <v>0</v>
      </c>
      <c r="AK848" s="73" t="str">
        <f t="shared" si="303"/>
        <v/>
      </c>
      <c r="AL848" s="73" t="str">
        <f t="shared" si="304"/>
        <v/>
      </c>
      <c r="AM848" s="73" t="str">
        <f t="shared" si="305"/>
        <v/>
      </c>
      <c r="AN848" s="73" t="str">
        <f t="shared" si="306"/>
        <v/>
      </c>
      <c r="AP848" s="61" t="str">
        <f t="shared" si="307"/>
        <v/>
      </c>
      <c r="AQ848" s="61" t="str">
        <f t="shared" si="308"/>
        <v/>
      </c>
      <c r="AR848" s="61" t="str">
        <f t="shared" si="309"/>
        <v/>
      </c>
    </row>
    <row r="849" spans="16:44" x14ac:dyDescent="0.25">
      <c r="P849" s="73" t="str">
        <f t="shared" si="290"/>
        <v/>
      </c>
      <c r="Q849" s="73" t="str">
        <f t="shared" si="291"/>
        <v/>
      </c>
      <c r="R849" s="74" t="str">
        <f t="shared" si="292"/>
        <v/>
      </c>
      <c r="S849" s="74" t="str">
        <f t="shared" si="293"/>
        <v/>
      </c>
      <c r="U849" s="74" t="str">
        <f t="shared" si="289"/>
        <v/>
      </c>
      <c r="V849" s="74" t="str">
        <f t="shared" si="289"/>
        <v/>
      </c>
      <c r="W849" s="74" t="str">
        <f t="shared" si="289"/>
        <v/>
      </c>
      <c r="X849" s="74" t="str">
        <f t="shared" si="289"/>
        <v/>
      </c>
      <c r="Y849" s="74" t="str">
        <f t="shared" si="289"/>
        <v/>
      </c>
      <c r="Z849" s="74" t="str">
        <f t="shared" si="294"/>
        <v/>
      </c>
      <c r="AA849" s="74">
        <f t="shared" si="295"/>
        <v>0</v>
      </c>
      <c r="AB849" s="74">
        <f t="shared" si="296"/>
        <v>0</v>
      </c>
      <c r="AC849" s="74" t="str">
        <f t="shared" si="297"/>
        <v/>
      </c>
      <c r="AE849" s="74" t="str">
        <f t="shared" si="298"/>
        <v/>
      </c>
      <c r="AF849" s="74" t="str">
        <f t="shared" si="299"/>
        <v/>
      </c>
      <c r="AG849" s="74" t="str">
        <f t="shared" si="300"/>
        <v/>
      </c>
      <c r="AH849" s="74">
        <f t="shared" si="301"/>
        <v>0</v>
      </c>
      <c r="AI849" s="74" t="str">
        <f>IF(AH849&lt;&gt;0,COUNTIF(AH$3:AH849,1),"")</f>
        <v/>
      </c>
      <c r="AJ849" s="74">
        <f t="shared" si="302"/>
        <v>0</v>
      </c>
      <c r="AK849" s="73" t="str">
        <f t="shared" si="303"/>
        <v/>
      </c>
      <c r="AL849" s="73" t="str">
        <f t="shared" si="304"/>
        <v/>
      </c>
      <c r="AM849" s="73" t="str">
        <f t="shared" si="305"/>
        <v/>
      </c>
      <c r="AN849" s="73" t="str">
        <f t="shared" si="306"/>
        <v/>
      </c>
      <c r="AP849" s="61" t="str">
        <f t="shared" si="307"/>
        <v/>
      </c>
      <c r="AQ849" s="61" t="str">
        <f t="shared" si="308"/>
        <v/>
      </c>
      <c r="AR849" s="61" t="str">
        <f t="shared" si="309"/>
        <v/>
      </c>
    </row>
    <row r="850" spans="16:44" x14ac:dyDescent="0.25">
      <c r="P850" s="73" t="str">
        <f t="shared" si="290"/>
        <v/>
      </c>
      <c r="Q850" s="73" t="str">
        <f t="shared" si="291"/>
        <v/>
      </c>
      <c r="R850" s="74" t="str">
        <f t="shared" si="292"/>
        <v/>
      </c>
      <c r="S850" s="74" t="str">
        <f t="shared" si="293"/>
        <v/>
      </c>
      <c r="U850" s="74" t="str">
        <f t="shared" si="289"/>
        <v/>
      </c>
      <c r="V850" s="74" t="str">
        <f t="shared" si="289"/>
        <v/>
      </c>
      <c r="W850" s="74" t="str">
        <f t="shared" si="289"/>
        <v/>
      </c>
      <c r="X850" s="74" t="str">
        <f t="shared" si="289"/>
        <v/>
      </c>
      <c r="Y850" s="74" t="str">
        <f t="shared" si="289"/>
        <v/>
      </c>
      <c r="Z850" s="74" t="str">
        <f t="shared" si="294"/>
        <v/>
      </c>
      <c r="AA850" s="74">
        <f t="shared" si="295"/>
        <v>0</v>
      </c>
      <c r="AB850" s="74">
        <f t="shared" si="296"/>
        <v>0</v>
      </c>
      <c r="AC850" s="74" t="str">
        <f t="shared" si="297"/>
        <v/>
      </c>
      <c r="AE850" s="74" t="str">
        <f t="shared" si="298"/>
        <v/>
      </c>
      <c r="AF850" s="74" t="str">
        <f t="shared" si="299"/>
        <v/>
      </c>
      <c r="AG850" s="74" t="str">
        <f t="shared" si="300"/>
        <v/>
      </c>
      <c r="AH850" s="74">
        <f t="shared" si="301"/>
        <v>0</v>
      </c>
      <c r="AI850" s="74" t="str">
        <f>IF(AH850&lt;&gt;0,COUNTIF(AH$3:AH850,1),"")</f>
        <v/>
      </c>
      <c r="AJ850" s="74">
        <f t="shared" si="302"/>
        <v>0</v>
      </c>
      <c r="AK850" s="73" t="str">
        <f t="shared" si="303"/>
        <v/>
      </c>
      <c r="AL850" s="73" t="str">
        <f t="shared" si="304"/>
        <v/>
      </c>
      <c r="AM850" s="73" t="str">
        <f t="shared" si="305"/>
        <v/>
      </c>
      <c r="AN850" s="73" t="str">
        <f t="shared" si="306"/>
        <v/>
      </c>
      <c r="AP850" s="61" t="str">
        <f t="shared" si="307"/>
        <v/>
      </c>
      <c r="AQ850" s="61" t="str">
        <f t="shared" si="308"/>
        <v/>
      </c>
      <c r="AR850" s="61" t="str">
        <f t="shared" si="309"/>
        <v/>
      </c>
    </row>
    <row r="851" spans="16:44" x14ac:dyDescent="0.25">
      <c r="P851" s="73" t="str">
        <f t="shared" si="290"/>
        <v/>
      </c>
      <c r="Q851" s="73" t="str">
        <f t="shared" si="291"/>
        <v/>
      </c>
      <c r="R851" s="74" t="str">
        <f t="shared" si="292"/>
        <v/>
      </c>
      <c r="S851" s="74" t="str">
        <f t="shared" si="293"/>
        <v/>
      </c>
      <c r="U851" s="74" t="str">
        <f t="shared" si="289"/>
        <v/>
      </c>
      <c r="V851" s="74" t="str">
        <f t="shared" si="289"/>
        <v/>
      </c>
      <c r="W851" s="74" t="str">
        <f t="shared" si="289"/>
        <v/>
      </c>
      <c r="X851" s="74" t="str">
        <f t="shared" si="289"/>
        <v/>
      </c>
      <c r="Y851" s="74" t="str">
        <f t="shared" si="289"/>
        <v/>
      </c>
      <c r="Z851" s="74" t="str">
        <f t="shared" si="294"/>
        <v/>
      </c>
      <c r="AA851" s="74">
        <f t="shared" si="295"/>
        <v>0</v>
      </c>
      <c r="AB851" s="74">
        <f t="shared" si="296"/>
        <v>0</v>
      </c>
      <c r="AC851" s="74" t="str">
        <f t="shared" si="297"/>
        <v/>
      </c>
      <c r="AE851" s="74" t="str">
        <f t="shared" si="298"/>
        <v/>
      </c>
      <c r="AF851" s="74" t="str">
        <f t="shared" si="299"/>
        <v/>
      </c>
      <c r="AG851" s="74" t="str">
        <f t="shared" si="300"/>
        <v/>
      </c>
      <c r="AH851" s="74">
        <f t="shared" si="301"/>
        <v>0</v>
      </c>
      <c r="AI851" s="74" t="str">
        <f>IF(AH851&lt;&gt;0,COUNTIF(AH$3:AH851,1),"")</f>
        <v/>
      </c>
      <c r="AJ851" s="74">
        <f t="shared" si="302"/>
        <v>0</v>
      </c>
      <c r="AK851" s="73" t="str">
        <f t="shared" si="303"/>
        <v/>
      </c>
      <c r="AL851" s="73" t="str">
        <f t="shared" si="304"/>
        <v/>
      </c>
      <c r="AM851" s="73" t="str">
        <f t="shared" si="305"/>
        <v/>
      </c>
      <c r="AN851" s="73" t="str">
        <f t="shared" si="306"/>
        <v/>
      </c>
      <c r="AP851" s="61" t="str">
        <f t="shared" si="307"/>
        <v/>
      </c>
      <c r="AQ851" s="61" t="str">
        <f t="shared" si="308"/>
        <v/>
      </c>
      <c r="AR851" s="61" t="str">
        <f t="shared" si="309"/>
        <v/>
      </c>
    </row>
    <row r="852" spans="16:44" x14ac:dyDescent="0.25">
      <c r="P852" s="73" t="str">
        <f t="shared" si="290"/>
        <v/>
      </c>
      <c r="Q852" s="73" t="str">
        <f t="shared" si="291"/>
        <v/>
      </c>
      <c r="R852" s="74" t="str">
        <f t="shared" si="292"/>
        <v/>
      </c>
      <c r="S852" s="74" t="str">
        <f t="shared" si="293"/>
        <v/>
      </c>
      <c r="U852" s="74" t="str">
        <f t="shared" si="289"/>
        <v/>
      </c>
      <c r="V852" s="74" t="str">
        <f t="shared" si="289"/>
        <v/>
      </c>
      <c r="W852" s="74" t="str">
        <f t="shared" si="289"/>
        <v/>
      </c>
      <c r="X852" s="74" t="str">
        <f t="shared" si="289"/>
        <v/>
      </c>
      <c r="Y852" s="74" t="str">
        <f t="shared" si="289"/>
        <v/>
      </c>
      <c r="Z852" s="74" t="str">
        <f t="shared" si="294"/>
        <v/>
      </c>
      <c r="AA852" s="74">
        <f t="shared" si="295"/>
        <v>0</v>
      </c>
      <c r="AB852" s="74">
        <f t="shared" si="296"/>
        <v>0</v>
      </c>
      <c r="AC852" s="74" t="str">
        <f t="shared" si="297"/>
        <v/>
      </c>
      <c r="AE852" s="74" t="str">
        <f t="shared" si="298"/>
        <v/>
      </c>
      <c r="AF852" s="74" t="str">
        <f t="shared" si="299"/>
        <v/>
      </c>
      <c r="AG852" s="74" t="str">
        <f t="shared" si="300"/>
        <v/>
      </c>
      <c r="AH852" s="74">
        <f t="shared" si="301"/>
        <v>0</v>
      </c>
      <c r="AI852" s="74" t="str">
        <f>IF(AH852&lt;&gt;0,COUNTIF(AH$3:AH852,1),"")</f>
        <v/>
      </c>
      <c r="AJ852" s="74">
        <f t="shared" si="302"/>
        <v>0</v>
      </c>
      <c r="AK852" s="73" t="str">
        <f t="shared" si="303"/>
        <v/>
      </c>
      <c r="AL852" s="73" t="str">
        <f t="shared" si="304"/>
        <v/>
      </c>
      <c r="AM852" s="73" t="str">
        <f t="shared" si="305"/>
        <v/>
      </c>
      <c r="AN852" s="73" t="str">
        <f t="shared" si="306"/>
        <v/>
      </c>
      <c r="AP852" s="61" t="str">
        <f t="shared" si="307"/>
        <v/>
      </c>
      <c r="AQ852" s="61" t="str">
        <f t="shared" si="308"/>
        <v/>
      </c>
      <c r="AR852" s="61" t="str">
        <f t="shared" si="309"/>
        <v/>
      </c>
    </row>
    <row r="853" spans="16:44" x14ac:dyDescent="0.25">
      <c r="P853" s="73" t="str">
        <f t="shared" si="290"/>
        <v/>
      </c>
      <c r="Q853" s="73" t="str">
        <f t="shared" si="291"/>
        <v/>
      </c>
      <c r="R853" s="74" t="str">
        <f t="shared" si="292"/>
        <v/>
      </c>
      <c r="S853" s="74" t="str">
        <f t="shared" si="293"/>
        <v/>
      </c>
      <c r="U853" s="74" t="str">
        <f t="shared" ref="U853:Y903" si="310">IF($F853=U$1,$E853,"")</f>
        <v/>
      </c>
      <c r="V853" s="74" t="str">
        <f t="shared" si="310"/>
        <v/>
      </c>
      <c r="W853" s="74" t="str">
        <f t="shared" si="310"/>
        <v/>
      </c>
      <c r="X853" s="74" t="str">
        <f t="shared" si="310"/>
        <v/>
      </c>
      <c r="Y853" s="74" t="str">
        <f t="shared" si="310"/>
        <v/>
      </c>
      <c r="Z853" s="74" t="str">
        <f t="shared" si="294"/>
        <v/>
      </c>
      <c r="AA853" s="74">
        <f t="shared" si="295"/>
        <v>0</v>
      </c>
      <c r="AB853" s="74">
        <f t="shared" si="296"/>
        <v>0</v>
      </c>
      <c r="AC853" s="74" t="str">
        <f t="shared" si="297"/>
        <v/>
      </c>
      <c r="AE853" s="74" t="str">
        <f t="shared" si="298"/>
        <v/>
      </c>
      <c r="AF853" s="74" t="str">
        <f t="shared" si="299"/>
        <v/>
      </c>
      <c r="AG853" s="74" t="str">
        <f t="shared" si="300"/>
        <v/>
      </c>
      <c r="AH853" s="74">
        <f t="shared" si="301"/>
        <v>0</v>
      </c>
      <c r="AI853" s="74" t="str">
        <f>IF(AH853&lt;&gt;0,COUNTIF(AH$3:AH853,1),"")</f>
        <v/>
      </c>
      <c r="AJ853" s="74">
        <f t="shared" si="302"/>
        <v>0</v>
      </c>
      <c r="AK853" s="73" t="str">
        <f t="shared" si="303"/>
        <v/>
      </c>
      <c r="AL853" s="73" t="str">
        <f t="shared" si="304"/>
        <v/>
      </c>
      <c r="AM853" s="73" t="str">
        <f t="shared" si="305"/>
        <v/>
      </c>
      <c r="AN853" s="73" t="str">
        <f t="shared" si="306"/>
        <v/>
      </c>
      <c r="AP853" s="61" t="str">
        <f t="shared" si="307"/>
        <v/>
      </c>
      <c r="AQ853" s="61" t="str">
        <f t="shared" si="308"/>
        <v/>
      </c>
      <c r="AR853" s="61" t="str">
        <f t="shared" si="309"/>
        <v/>
      </c>
    </row>
    <row r="854" spans="16:44" x14ac:dyDescent="0.25">
      <c r="P854" s="73" t="str">
        <f t="shared" si="290"/>
        <v/>
      </c>
      <c r="Q854" s="73" t="str">
        <f t="shared" si="291"/>
        <v/>
      </c>
      <c r="R854" s="74" t="str">
        <f t="shared" si="292"/>
        <v/>
      </c>
      <c r="S854" s="74" t="str">
        <f t="shared" si="293"/>
        <v/>
      </c>
      <c r="U854" s="74" t="str">
        <f t="shared" si="310"/>
        <v/>
      </c>
      <c r="V854" s="74" t="str">
        <f t="shared" si="310"/>
        <v/>
      </c>
      <c r="W854" s="74" t="str">
        <f t="shared" si="310"/>
        <v/>
      </c>
      <c r="X854" s="74" t="str">
        <f t="shared" si="310"/>
        <v/>
      </c>
      <c r="Y854" s="74" t="str">
        <f t="shared" si="310"/>
        <v/>
      </c>
      <c r="Z854" s="74" t="str">
        <f t="shared" si="294"/>
        <v/>
      </c>
      <c r="AA854" s="74">
        <f t="shared" si="295"/>
        <v>0</v>
      </c>
      <c r="AB854" s="74">
        <f t="shared" si="296"/>
        <v>0</v>
      </c>
      <c r="AC854" s="74" t="str">
        <f t="shared" si="297"/>
        <v/>
      </c>
      <c r="AE854" s="74" t="str">
        <f t="shared" si="298"/>
        <v/>
      </c>
      <c r="AF854" s="74" t="str">
        <f t="shared" si="299"/>
        <v/>
      </c>
      <c r="AG854" s="74" t="str">
        <f t="shared" si="300"/>
        <v/>
      </c>
      <c r="AH854" s="74">
        <f t="shared" si="301"/>
        <v>0</v>
      </c>
      <c r="AI854" s="74" t="str">
        <f>IF(AH854&lt;&gt;0,COUNTIF(AH$3:AH854,1),"")</f>
        <v/>
      </c>
      <c r="AJ854" s="74">
        <f t="shared" si="302"/>
        <v>0</v>
      </c>
      <c r="AK854" s="73" t="str">
        <f t="shared" si="303"/>
        <v/>
      </c>
      <c r="AL854" s="73" t="str">
        <f t="shared" si="304"/>
        <v/>
      </c>
      <c r="AM854" s="73" t="str">
        <f t="shared" si="305"/>
        <v/>
      </c>
      <c r="AN854" s="73" t="str">
        <f t="shared" si="306"/>
        <v/>
      </c>
      <c r="AP854" s="61" t="str">
        <f t="shared" si="307"/>
        <v/>
      </c>
      <c r="AQ854" s="61" t="str">
        <f t="shared" si="308"/>
        <v/>
      </c>
      <c r="AR854" s="61" t="str">
        <f t="shared" si="309"/>
        <v/>
      </c>
    </row>
    <row r="855" spans="16:44" x14ac:dyDescent="0.25">
      <c r="P855" s="73" t="str">
        <f t="shared" si="290"/>
        <v/>
      </c>
      <c r="Q855" s="73" t="str">
        <f t="shared" si="291"/>
        <v/>
      </c>
      <c r="R855" s="74" t="str">
        <f t="shared" si="292"/>
        <v/>
      </c>
      <c r="S855" s="74" t="str">
        <f t="shared" si="293"/>
        <v/>
      </c>
      <c r="U855" s="74" t="str">
        <f t="shared" si="310"/>
        <v/>
      </c>
      <c r="V855" s="74" t="str">
        <f t="shared" si="310"/>
        <v/>
      </c>
      <c r="W855" s="74" t="str">
        <f t="shared" si="310"/>
        <v/>
      </c>
      <c r="X855" s="74" t="str">
        <f t="shared" si="310"/>
        <v/>
      </c>
      <c r="Y855" s="74" t="str">
        <f t="shared" si="310"/>
        <v/>
      </c>
      <c r="Z855" s="74" t="str">
        <f t="shared" si="294"/>
        <v/>
      </c>
      <c r="AA855" s="74">
        <f t="shared" si="295"/>
        <v>0</v>
      </c>
      <c r="AB855" s="74">
        <f t="shared" si="296"/>
        <v>0</v>
      </c>
      <c r="AC855" s="74" t="str">
        <f t="shared" si="297"/>
        <v/>
      </c>
      <c r="AE855" s="74" t="str">
        <f t="shared" si="298"/>
        <v/>
      </c>
      <c r="AF855" s="74" t="str">
        <f t="shared" si="299"/>
        <v/>
      </c>
      <c r="AG855" s="74" t="str">
        <f t="shared" si="300"/>
        <v/>
      </c>
      <c r="AH855" s="74">
        <f t="shared" si="301"/>
        <v>0</v>
      </c>
      <c r="AI855" s="74" t="str">
        <f>IF(AH855&lt;&gt;0,COUNTIF(AH$3:AH855,1),"")</f>
        <v/>
      </c>
      <c r="AJ855" s="74">
        <f t="shared" si="302"/>
        <v>0</v>
      </c>
      <c r="AK855" s="73" t="str">
        <f t="shared" si="303"/>
        <v/>
      </c>
      <c r="AL855" s="73" t="str">
        <f t="shared" si="304"/>
        <v/>
      </c>
      <c r="AM855" s="73" t="str">
        <f t="shared" si="305"/>
        <v/>
      </c>
      <c r="AN855" s="73" t="str">
        <f t="shared" si="306"/>
        <v/>
      </c>
      <c r="AP855" s="61" t="str">
        <f t="shared" si="307"/>
        <v/>
      </c>
      <c r="AQ855" s="61" t="str">
        <f t="shared" si="308"/>
        <v/>
      </c>
      <c r="AR855" s="61" t="str">
        <f t="shared" si="309"/>
        <v/>
      </c>
    </row>
    <row r="856" spans="16:44" x14ac:dyDescent="0.25">
      <c r="P856" s="73" t="str">
        <f t="shared" si="290"/>
        <v/>
      </c>
      <c r="Q856" s="73" t="str">
        <f t="shared" si="291"/>
        <v/>
      </c>
      <c r="R856" s="74" t="str">
        <f t="shared" si="292"/>
        <v/>
      </c>
      <c r="S856" s="74" t="str">
        <f t="shared" si="293"/>
        <v/>
      </c>
      <c r="U856" s="74" t="str">
        <f t="shared" si="310"/>
        <v/>
      </c>
      <c r="V856" s="74" t="str">
        <f t="shared" si="310"/>
        <v/>
      </c>
      <c r="W856" s="74" t="str">
        <f t="shared" si="310"/>
        <v/>
      </c>
      <c r="X856" s="74" t="str">
        <f t="shared" si="310"/>
        <v/>
      </c>
      <c r="Y856" s="74" t="str">
        <f t="shared" si="310"/>
        <v/>
      </c>
      <c r="Z856" s="74" t="str">
        <f t="shared" si="294"/>
        <v/>
      </c>
      <c r="AA856" s="74">
        <f t="shared" si="295"/>
        <v>0</v>
      </c>
      <c r="AB856" s="74">
        <f t="shared" si="296"/>
        <v>0</v>
      </c>
      <c r="AC856" s="74" t="str">
        <f t="shared" si="297"/>
        <v/>
      </c>
      <c r="AE856" s="74" t="str">
        <f t="shared" si="298"/>
        <v/>
      </c>
      <c r="AF856" s="74" t="str">
        <f t="shared" si="299"/>
        <v/>
      </c>
      <c r="AG856" s="74" t="str">
        <f t="shared" si="300"/>
        <v/>
      </c>
      <c r="AH856" s="74">
        <f t="shared" si="301"/>
        <v>0</v>
      </c>
      <c r="AI856" s="74" t="str">
        <f>IF(AH856&lt;&gt;0,COUNTIF(AH$3:AH856,1),"")</f>
        <v/>
      </c>
      <c r="AJ856" s="74">
        <f t="shared" si="302"/>
        <v>0</v>
      </c>
      <c r="AK856" s="73" t="str">
        <f t="shared" si="303"/>
        <v/>
      </c>
      <c r="AL856" s="73" t="str">
        <f t="shared" si="304"/>
        <v/>
      </c>
      <c r="AM856" s="73" t="str">
        <f t="shared" si="305"/>
        <v/>
      </c>
      <c r="AN856" s="73" t="str">
        <f t="shared" si="306"/>
        <v/>
      </c>
      <c r="AP856" s="61" t="str">
        <f t="shared" si="307"/>
        <v/>
      </c>
      <c r="AQ856" s="61" t="str">
        <f t="shared" si="308"/>
        <v/>
      </c>
      <c r="AR856" s="61" t="str">
        <f t="shared" si="309"/>
        <v/>
      </c>
    </row>
    <row r="857" spans="16:44" x14ac:dyDescent="0.25">
      <c r="P857" s="73" t="str">
        <f t="shared" si="290"/>
        <v/>
      </c>
      <c r="Q857" s="73" t="str">
        <f t="shared" si="291"/>
        <v/>
      </c>
      <c r="R857" s="74" t="str">
        <f t="shared" si="292"/>
        <v/>
      </c>
      <c r="S857" s="74" t="str">
        <f t="shared" si="293"/>
        <v/>
      </c>
      <c r="U857" s="74" t="str">
        <f t="shared" si="310"/>
        <v/>
      </c>
      <c r="V857" s="74" t="str">
        <f t="shared" si="310"/>
        <v/>
      </c>
      <c r="W857" s="74" t="str">
        <f t="shared" si="310"/>
        <v/>
      </c>
      <c r="X857" s="74" t="str">
        <f t="shared" si="310"/>
        <v/>
      </c>
      <c r="Y857" s="74" t="str">
        <f t="shared" si="310"/>
        <v/>
      </c>
      <c r="Z857" s="74" t="str">
        <f t="shared" si="294"/>
        <v/>
      </c>
      <c r="AA857" s="74">
        <f t="shared" si="295"/>
        <v>0</v>
      </c>
      <c r="AB857" s="74">
        <f t="shared" si="296"/>
        <v>0</v>
      </c>
      <c r="AC857" s="74" t="str">
        <f t="shared" si="297"/>
        <v/>
      </c>
      <c r="AE857" s="74" t="str">
        <f t="shared" si="298"/>
        <v/>
      </c>
      <c r="AF857" s="74" t="str">
        <f t="shared" si="299"/>
        <v/>
      </c>
      <c r="AG857" s="74" t="str">
        <f t="shared" si="300"/>
        <v/>
      </c>
      <c r="AH857" s="74">
        <f t="shared" si="301"/>
        <v>0</v>
      </c>
      <c r="AI857" s="74" t="str">
        <f>IF(AH857&lt;&gt;0,COUNTIF(AH$3:AH857,1),"")</f>
        <v/>
      </c>
      <c r="AJ857" s="74">
        <f t="shared" si="302"/>
        <v>0</v>
      </c>
      <c r="AK857" s="73" t="str">
        <f t="shared" si="303"/>
        <v/>
      </c>
      <c r="AL857" s="73" t="str">
        <f t="shared" si="304"/>
        <v/>
      </c>
      <c r="AM857" s="73" t="str">
        <f t="shared" si="305"/>
        <v/>
      </c>
      <c r="AN857" s="73" t="str">
        <f t="shared" si="306"/>
        <v/>
      </c>
      <c r="AP857" s="61" t="str">
        <f t="shared" si="307"/>
        <v/>
      </c>
      <c r="AQ857" s="61" t="str">
        <f t="shared" si="308"/>
        <v/>
      </c>
      <c r="AR857" s="61" t="str">
        <f t="shared" si="309"/>
        <v/>
      </c>
    </row>
    <row r="858" spans="16:44" x14ac:dyDescent="0.25">
      <c r="P858" s="73" t="str">
        <f t="shared" si="290"/>
        <v/>
      </c>
      <c r="Q858" s="73" t="str">
        <f t="shared" si="291"/>
        <v/>
      </c>
      <c r="R858" s="74" t="str">
        <f t="shared" si="292"/>
        <v/>
      </c>
      <c r="S858" s="74" t="str">
        <f t="shared" si="293"/>
        <v/>
      </c>
      <c r="U858" s="74" t="str">
        <f t="shared" si="310"/>
        <v/>
      </c>
      <c r="V858" s="74" t="str">
        <f t="shared" si="310"/>
        <v/>
      </c>
      <c r="W858" s="74" t="str">
        <f t="shared" si="310"/>
        <v/>
      </c>
      <c r="X858" s="74" t="str">
        <f t="shared" si="310"/>
        <v/>
      </c>
      <c r="Y858" s="74" t="str">
        <f t="shared" si="310"/>
        <v/>
      </c>
      <c r="Z858" s="74" t="str">
        <f t="shared" si="294"/>
        <v/>
      </c>
      <c r="AA858" s="74">
        <f t="shared" si="295"/>
        <v>0</v>
      </c>
      <c r="AB858" s="74">
        <f t="shared" si="296"/>
        <v>0</v>
      </c>
      <c r="AC858" s="74" t="str">
        <f t="shared" si="297"/>
        <v/>
      </c>
      <c r="AE858" s="74" t="str">
        <f t="shared" si="298"/>
        <v/>
      </c>
      <c r="AF858" s="74" t="str">
        <f t="shared" si="299"/>
        <v/>
      </c>
      <c r="AG858" s="74" t="str">
        <f t="shared" si="300"/>
        <v/>
      </c>
      <c r="AH858" s="74">
        <f t="shared" si="301"/>
        <v>0</v>
      </c>
      <c r="AI858" s="74" t="str">
        <f>IF(AH858&lt;&gt;0,COUNTIF(AH$3:AH858,1),"")</f>
        <v/>
      </c>
      <c r="AJ858" s="74">
        <f t="shared" si="302"/>
        <v>0</v>
      </c>
      <c r="AK858" s="73" t="str">
        <f t="shared" si="303"/>
        <v/>
      </c>
      <c r="AL858" s="73" t="str">
        <f t="shared" si="304"/>
        <v/>
      </c>
      <c r="AM858" s="73" t="str">
        <f t="shared" si="305"/>
        <v/>
      </c>
      <c r="AN858" s="73" t="str">
        <f t="shared" si="306"/>
        <v/>
      </c>
      <c r="AP858" s="61" t="str">
        <f t="shared" si="307"/>
        <v/>
      </c>
      <c r="AQ858" s="61" t="str">
        <f t="shared" si="308"/>
        <v/>
      </c>
      <c r="AR858" s="61" t="str">
        <f t="shared" si="309"/>
        <v/>
      </c>
    </row>
    <row r="859" spans="16:44" x14ac:dyDescent="0.25">
      <c r="P859" s="73" t="str">
        <f t="shared" si="290"/>
        <v/>
      </c>
      <c r="Q859" s="73" t="str">
        <f t="shared" si="291"/>
        <v/>
      </c>
      <c r="R859" s="74" t="str">
        <f t="shared" si="292"/>
        <v/>
      </c>
      <c r="S859" s="74" t="str">
        <f t="shared" si="293"/>
        <v/>
      </c>
      <c r="U859" s="74" t="str">
        <f t="shared" si="310"/>
        <v/>
      </c>
      <c r="V859" s="74" t="str">
        <f t="shared" si="310"/>
        <v/>
      </c>
      <c r="W859" s="74" t="str">
        <f t="shared" si="310"/>
        <v/>
      </c>
      <c r="X859" s="74" t="str">
        <f t="shared" si="310"/>
        <v/>
      </c>
      <c r="Y859" s="74" t="str">
        <f t="shared" si="310"/>
        <v/>
      </c>
      <c r="Z859" s="74" t="str">
        <f t="shared" si="294"/>
        <v/>
      </c>
      <c r="AA859" s="74">
        <f t="shared" si="295"/>
        <v>0</v>
      </c>
      <c r="AB859" s="74">
        <f t="shared" si="296"/>
        <v>0</v>
      </c>
      <c r="AC859" s="74" t="str">
        <f t="shared" si="297"/>
        <v/>
      </c>
      <c r="AE859" s="74" t="str">
        <f t="shared" si="298"/>
        <v/>
      </c>
      <c r="AF859" s="74" t="str">
        <f t="shared" si="299"/>
        <v/>
      </c>
      <c r="AG859" s="74" t="str">
        <f t="shared" si="300"/>
        <v/>
      </c>
      <c r="AH859" s="74">
        <f t="shared" si="301"/>
        <v>0</v>
      </c>
      <c r="AI859" s="74" t="str">
        <f>IF(AH859&lt;&gt;0,COUNTIF(AH$3:AH859,1),"")</f>
        <v/>
      </c>
      <c r="AJ859" s="74">
        <f t="shared" si="302"/>
        <v>0</v>
      </c>
      <c r="AK859" s="73" t="str">
        <f t="shared" si="303"/>
        <v/>
      </c>
      <c r="AL859" s="73" t="str">
        <f t="shared" si="304"/>
        <v/>
      </c>
      <c r="AM859" s="73" t="str">
        <f t="shared" si="305"/>
        <v/>
      </c>
      <c r="AN859" s="73" t="str">
        <f t="shared" si="306"/>
        <v/>
      </c>
      <c r="AP859" s="61" t="str">
        <f t="shared" si="307"/>
        <v/>
      </c>
      <c r="AQ859" s="61" t="str">
        <f t="shared" si="308"/>
        <v/>
      </c>
      <c r="AR859" s="61" t="str">
        <f t="shared" si="309"/>
        <v/>
      </c>
    </row>
    <row r="860" spans="16:44" x14ac:dyDescent="0.25">
      <c r="P860" s="73" t="str">
        <f t="shared" si="290"/>
        <v/>
      </c>
      <c r="Q860" s="73" t="str">
        <f t="shared" si="291"/>
        <v/>
      </c>
      <c r="R860" s="74" t="str">
        <f t="shared" si="292"/>
        <v/>
      </c>
      <c r="S860" s="74" t="str">
        <f t="shared" si="293"/>
        <v/>
      </c>
      <c r="U860" s="74" t="str">
        <f t="shared" si="310"/>
        <v/>
      </c>
      <c r="V860" s="74" t="str">
        <f t="shared" si="310"/>
        <v/>
      </c>
      <c r="W860" s="74" t="str">
        <f t="shared" si="310"/>
        <v/>
      </c>
      <c r="X860" s="74" t="str">
        <f t="shared" si="310"/>
        <v/>
      </c>
      <c r="Y860" s="74" t="str">
        <f t="shared" si="310"/>
        <v/>
      </c>
      <c r="Z860" s="74" t="str">
        <f t="shared" si="294"/>
        <v/>
      </c>
      <c r="AA860" s="74">
        <f t="shared" si="295"/>
        <v>0</v>
      </c>
      <c r="AB860" s="74">
        <f t="shared" si="296"/>
        <v>0</v>
      </c>
      <c r="AC860" s="74" t="str">
        <f t="shared" si="297"/>
        <v/>
      </c>
      <c r="AE860" s="74" t="str">
        <f t="shared" si="298"/>
        <v/>
      </c>
      <c r="AF860" s="74" t="str">
        <f t="shared" si="299"/>
        <v/>
      </c>
      <c r="AG860" s="74" t="str">
        <f t="shared" si="300"/>
        <v/>
      </c>
      <c r="AH860" s="74">
        <f t="shared" si="301"/>
        <v>0</v>
      </c>
      <c r="AI860" s="74" t="str">
        <f>IF(AH860&lt;&gt;0,COUNTIF(AH$3:AH860,1),"")</f>
        <v/>
      </c>
      <c r="AJ860" s="74">
        <f t="shared" si="302"/>
        <v>0</v>
      </c>
      <c r="AK860" s="73" t="str">
        <f t="shared" si="303"/>
        <v/>
      </c>
      <c r="AL860" s="73" t="str">
        <f t="shared" si="304"/>
        <v/>
      </c>
      <c r="AM860" s="73" t="str">
        <f t="shared" si="305"/>
        <v/>
      </c>
      <c r="AN860" s="73" t="str">
        <f t="shared" si="306"/>
        <v/>
      </c>
      <c r="AP860" s="61" t="str">
        <f t="shared" si="307"/>
        <v/>
      </c>
      <c r="AQ860" s="61" t="str">
        <f t="shared" si="308"/>
        <v/>
      </c>
      <c r="AR860" s="61" t="str">
        <f t="shared" si="309"/>
        <v/>
      </c>
    </row>
    <row r="861" spans="16:44" x14ac:dyDescent="0.25">
      <c r="P861" s="73" t="str">
        <f t="shared" si="290"/>
        <v/>
      </c>
      <c r="Q861" s="73" t="str">
        <f t="shared" si="291"/>
        <v/>
      </c>
      <c r="R861" s="74" t="str">
        <f t="shared" si="292"/>
        <v/>
      </c>
      <c r="S861" s="74" t="str">
        <f t="shared" si="293"/>
        <v/>
      </c>
      <c r="U861" s="74" t="str">
        <f t="shared" si="310"/>
        <v/>
      </c>
      <c r="V861" s="74" t="str">
        <f t="shared" si="310"/>
        <v/>
      </c>
      <c r="W861" s="74" t="str">
        <f t="shared" si="310"/>
        <v/>
      </c>
      <c r="X861" s="74" t="str">
        <f t="shared" si="310"/>
        <v/>
      </c>
      <c r="Y861" s="74" t="str">
        <f t="shared" si="310"/>
        <v/>
      </c>
      <c r="Z861" s="74" t="str">
        <f t="shared" si="294"/>
        <v/>
      </c>
      <c r="AA861" s="74">
        <f t="shared" si="295"/>
        <v>0</v>
      </c>
      <c r="AB861" s="74">
        <f t="shared" si="296"/>
        <v>0</v>
      </c>
      <c r="AC861" s="74" t="str">
        <f t="shared" si="297"/>
        <v/>
      </c>
      <c r="AE861" s="74" t="str">
        <f t="shared" si="298"/>
        <v/>
      </c>
      <c r="AF861" s="74" t="str">
        <f t="shared" si="299"/>
        <v/>
      </c>
      <c r="AG861" s="74" t="str">
        <f t="shared" si="300"/>
        <v/>
      </c>
      <c r="AH861" s="74">
        <f t="shared" si="301"/>
        <v>0</v>
      </c>
      <c r="AI861" s="74" t="str">
        <f>IF(AH861&lt;&gt;0,COUNTIF(AH$3:AH861,1),"")</f>
        <v/>
      </c>
      <c r="AJ861" s="74">
        <f t="shared" si="302"/>
        <v>0</v>
      </c>
      <c r="AK861" s="73" t="str">
        <f t="shared" si="303"/>
        <v/>
      </c>
      <c r="AL861" s="73" t="str">
        <f t="shared" si="304"/>
        <v/>
      </c>
      <c r="AM861" s="73" t="str">
        <f t="shared" si="305"/>
        <v/>
      </c>
      <c r="AN861" s="73" t="str">
        <f t="shared" si="306"/>
        <v/>
      </c>
      <c r="AP861" s="61" t="str">
        <f t="shared" si="307"/>
        <v/>
      </c>
      <c r="AQ861" s="61" t="str">
        <f t="shared" si="308"/>
        <v/>
      </c>
      <c r="AR861" s="61" t="str">
        <f t="shared" si="309"/>
        <v/>
      </c>
    </row>
    <row r="862" spans="16:44" x14ac:dyDescent="0.25">
      <c r="P862" s="73" t="str">
        <f t="shared" si="290"/>
        <v/>
      </c>
      <c r="Q862" s="73" t="str">
        <f t="shared" si="291"/>
        <v/>
      </c>
      <c r="R862" s="74" t="str">
        <f t="shared" si="292"/>
        <v/>
      </c>
      <c r="S862" s="74" t="str">
        <f t="shared" si="293"/>
        <v/>
      </c>
      <c r="U862" s="74" t="str">
        <f t="shared" si="310"/>
        <v/>
      </c>
      <c r="V862" s="74" t="str">
        <f t="shared" si="310"/>
        <v/>
      </c>
      <c r="W862" s="74" t="str">
        <f t="shared" si="310"/>
        <v/>
      </c>
      <c r="X862" s="74" t="str">
        <f t="shared" si="310"/>
        <v/>
      </c>
      <c r="Y862" s="74" t="str">
        <f t="shared" si="310"/>
        <v/>
      </c>
      <c r="Z862" s="74" t="str">
        <f t="shared" si="294"/>
        <v/>
      </c>
      <c r="AA862" s="74">
        <f t="shared" si="295"/>
        <v>0</v>
      </c>
      <c r="AB862" s="74">
        <f t="shared" si="296"/>
        <v>0</v>
      </c>
      <c r="AC862" s="74" t="str">
        <f t="shared" si="297"/>
        <v/>
      </c>
      <c r="AE862" s="74" t="str">
        <f t="shared" si="298"/>
        <v/>
      </c>
      <c r="AF862" s="74" t="str">
        <f t="shared" si="299"/>
        <v/>
      </c>
      <c r="AG862" s="74" t="str">
        <f t="shared" si="300"/>
        <v/>
      </c>
      <c r="AH862" s="74">
        <f t="shared" si="301"/>
        <v>0</v>
      </c>
      <c r="AI862" s="74" t="str">
        <f>IF(AH862&lt;&gt;0,COUNTIF(AH$3:AH862,1),"")</f>
        <v/>
      </c>
      <c r="AJ862" s="74">
        <f t="shared" si="302"/>
        <v>0</v>
      </c>
      <c r="AK862" s="73" t="str">
        <f t="shared" si="303"/>
        <v/>
      </c>
      <c r="AL862" s="73" t="str">
        <f t="shared" si="304"/>
        <v/>
      </c>
      <c r="AM862" s="73" t="str">
        <f t="shared" si="305"/>
        <v/>
      </c>
      <c r="AN862" s="73" t="str">
        <f t="shared" si="306"/>
        <v/>
      </c>
      <c r="AP862" s="61" t="str">
        <f t="shared" si="307"/>
        <v/>
      </c>
      <c r="AQ862" s="61" t="str">
        <f t="shared" si="308"/>
        <v/>
      </c>
      <c r="AR862" s="61" t="str">
        <f t="shared" si="309"/>
        <v/>
      </c>
    </row>
    <row r="863" spans="16:44" x14ac:dyDescent="0.25">
      <c r="P863" s="73" t="str">
        <f t="shared" si="290"/>
        <v/>
      </c>
      <c r="Q863" s="73" t="str">
        <f t="shared" si="291"/>
        <v/>
      </c>
      <c r="R863" s="74" t="str">
        <f t="shared" si="292"/>
        <v/>
      </c>
      <c r="S863" s="74" t="str">
        <f t="shared" si="293"/>
        <v/>
      </c>
      <c r="U863" s="74" t="str">
        <f t="shared" si="310"/>
        <v/>
      </c>
      <c r="V863" s="74" t="str">
        <f t="shared" si="310"/>
        <v/>
      </c>
      <c r="W863" s="74" t="str">
        <f t="shared" si="310"/>
        <v/>
      </c>
      <c r="X863" s="74" t="str">
        <f t="shared" si="310"/>
        <v/>
      </c>
      <c r="Y863" s="74" t="str">
        <f t="shared" si="310"/>
        <v/>
      </c>
      <c r="Z863" s="74" t="str">
        <f t="shared" si="294"/>
        <v/>
      </c>
      <c r="AA863" s="74">
        <f t="shared" si="295"/>
        <v>0</v>
      </c>
      <c r="AB863" s="74">
        <f t="shared" si="296"/>
        <v>0</v>
      </c>
      <c r="AC863" s="74" t="str">
        <f t="shared" si="297"/>
        <v/>
      </c>
      <c r="AE863" s="74" t="str">
        <f t="shared" si="298"/>
        <v/>
      </c>
      <c r="AF863" s="74" t="str">
        <f t="shared" si="299"/>
        <v/>
      </c>
      <c r="AG863" s="74" t="str">
        <f t="shared" si="300"/>
        <v/>
      </c>
      <c r="AH863" s="74">
        <f t="shared" si="301"/>
        <v>0</v>
      </c>
      <c r="AI863" s="74" t="str">
        <f>IF(AH863&lt;&gt;0,COUNTIF(AH$3:AH863,1),"")</f>
        <v/>
      </c>
      <c r="AJ863" s="74">
        <f t="shared" si="302"/>
        <v>0</v>
      </c>
      <c r="AK863" s="73" t="str">
        <f t="shared" si="303"/>
        <v/>
      </c>
      <c r="AL863" s="73" t="str">
        <f t="shared" si="304"/>
        <v/>
      </c>
      <c r="AM863" s="73" t="str">
        <f t="shared" si="305"/>
        <v/>
      </c>
      <c r="AN863" s="73" t="str">
        <f t="shared" si="306"/>
        <v/>
      </c>
      <c r="AP863" s="61" t="str">
        <f t="shared" si="307"/>
        <v/>
      </c>
      <c r="AQ863" s="61" t="str">
        <f t="shared" si="308"/>
        <v/>
      </c>
      <c r="AR863" s="61" t="str">
        <f t="shared" si="309"/>
        <v/>
      </c>
    </row>
    <row r="864" spans="16:44" x14ac:dyDescent="0.25">
      <c r="P864" s="73" t="str">
        <f t="shared" si="290"/>
        <v/>
      </c>
      <c r="Q864" s="73" t="str">
        <f t="shared" si="291"/>
        <v/>
      </c>
      <c r="R864" s="74" t="str">
        <f t="shared" si="292"/>
        <v/>
      </c>
      <c r="S864" s="74" t="str">
        <f t="shared" si="293"/>
        <v/>
      </c>
      <c r="U864" s="74" t="str">
        <f t="shared" si="310"/>
        <v/>
      </c>
      <c r="V864" s="74" t="str">
        <f t="shared" si="310"/>
        <v/>
      </c>
      <c r="W864" s="74" t="str">
        <f t="shared" si="310"/>
        <v/>
      </c>
      <c r="X864" s="74" t="str">
        <f t="shared" si="310"/>
        <v/>
      </c>
      <c r="Y864" s="74" t="str">
        <f t="shared" si="310"/>
        <v/>
      </c>
      <c r="Z864" s="74" t="str">
        <f t="shared" si="294"/>
        <v/>
      </c>
      <c r="AA864" s="74">
        <f t="shared" si="295"/>
        <v>0</v>
      </c>
      <c r="AB864" s="74">
        <f t="shared" si="296"/>
        <v>0</v>
      </c>
      <c r="AC864" s="74" t="str">
        <f t="shared" si="297"/>
        <v/>
      </c>
      <c r="AE864" s="74" t="str">
        <f t="shared" si="298"/>
        <v/>
      </c>
      <c r="AF864" s="74" t="str">
        <f t="shared" si="299"/>
        <v/>
      </c>
      <c r="AG864" s="74" t="str">
        <f t="shared" si="300"/>
        <v/>
      </c>
      <c r="AH864" s="74">
        <f t="shared" si="301"/>
        <v>0</v>
      </c>
      <c r="AI864" s="74" t="str">
        <f>IF(AH864&lt;&gt;0,COUNTIF(AH$3:AH864,1),"")</f>
        <v/>
      </c>
      <c r="AJ864" s="74">
        <f t="shared" si="302"/>
        <v>0</v>
      </c>
      <c r="AK864" s="73" t="str">
        <f t="shared" si="303"/>
        <v/>
      </c>
      <c r="AL864" s="73" t="str">
        <f t="shared" si="304"/>
        <v/>
      </c>
      <c r="AM864" s="73" t="str">
        <f t="shared" si="305"/>
        <v/>
      </c>
      <c r="AN864" s="73" t="str">
        <f t="shared" si="306"/>
        <v/>
      </c>
      <c r="AP864" s="61" t="str">
        <f t="shared" si="307"/>
        <v/>
      </c>
      <c r="AQ864" s="61" t="str">
        <f t="shared" si="308"/>
        <v/>
      </c>
      <c r="AR864" s="61" t="str">
        <f t="shared" si="309"/>
        <v/>
      </c>
    </row>
    <row r="865" spans="16:44" x14ac:dyDescent="0.25">
      <c r="P865" s="73" t="str">
        <f t="shared" si="290"/>
        <v/>
      </c>
      <c r="Q865" s="73" t="str">
        <f t="shared" si="291"/>
        <v/>
      </c>
      <c r="R865" s="74" t="str">
        <f t="shared" si="292"/>
        <v/>
      </c>
      <c r="S865" s="74" t="str">
        <f t="shared" si="293"/>
        <v/>
      </c>
      <c r="U865" s="74" t="str">
        <f t="shared" si="310"/>
        <v/>
      </c>
      <c r="V865" s="74" t="str">
        <f t="shared" si="310"/>
        <v/>
      </c>
      <c r="W865" s="74" t="str">
        <f t="shared" si="310"/>
        <v/>
      </c>
      <c r="X865" s="74" t="str">
        <f t="shared" si="310"/>
        <v/>
      </c>
      <c r="Y865" s="74" t="str">
        <f t="shared" si="310"/>
        <v/>
      </c>
      <c r="Z865" s="74" t="str">
        <f t="shared" si="294"/>
        <v/>
      </c>
      <c r="AA865" s="74">
        <f t="shared" si="295"/>
        <v>0</v>
      </c>
      <c r="AB865" s="74">
        <f t="shared" si="296"/>
        <v>0</v>
      </c>
      <c r="AC865" s="74" t="str">
        <f t="shared" si="297"/>
        <v/>
      </c>
      <c r="AE865" s="74" t="str">
        <f t="shared" si="298"/>
        <v/>
      </c>
      <c r="AF865" s="74" t="str">
        <f t="shared" si="299"/>
        <v/>
      </c>
      <c r="AG865" s="74" t="str">
        <f t="shared" si="300"/>
        <v/>
      </c>
      <c r="AH865" s="74">
        <f t="shared" si="301"/>
        <v>0</v>
      </c>
      <c r="AI865" s="74" t="str">
        <f>IF(AH865&lt;&gt;0,COUNTIF(AH$3:AH865,1),"")</f>
        <v/>
      </c>
      <c r="AJ865" s="74">
        <f t="shared" si="302"/>
        <v>0</v>
      </c>
      <c r="AK865" s="73" t="str">
        <f t="shared" si="303"/>
        <v/>
      </c>
      <c r="AL865" s="73" t="str">
        <f t="shared" si="304"/>
        <v/>
      </c>
      <c r="AM865" s="73" t="str">
        <f t="shared" si="305"/>
        <v/>
      </c>
      <c r="AN865" s="73" t="str">
        <f t="shared" si="306"/>
        <v/>
      </c>
      <c r="AP865" s="61" t="str">
        <f t="shared" si="307"/>
        <v/>
      </c>
      <c r="AQ865" s="61" t="str">
        <f t="shared" si="308"/>
        <v/>
      </c>
      <c r="AR865" s="61" t="str">
        <f t="shared" si="309"/>
        <v/>
      </c>
    </row>
    <row r="866" spans="16:44" x14ac:dyDescent="0.25">
      <c r="P866" s="73" t="str">
        <f t="shared" si="290"/>
        <v/>
      </c>
      <c r="Q866" s="73" t="str">
        <f t="shared" si="291"/>
        <v/>
      </c>
      <c r="R866" s="74" t="str">
        <f t="shared" si="292"/>
        <v/>
      </c>
      <c r="S866" s="74" t="str">
        <f t="shared" si="293"/>
        <v/>
      </c>
      <c r="U866" s="74" t="str">
        <f t="shared" si="310"/>
        <v/>
      </c>
      <c r="V866" s="74" t="str">
        <f t="shared" si="310"/>
        <v/>
      </c>
      <c r="W866" s="74" t="str">
        <f t="shared" si="310"/>
        <v/>
      </c>
      <c r="X866" s="74" t="str">
        <f t="shared" si="310"/>
        <v/>
      </c>
      <c r="Y866" s="74" t="str">
        <f t="shared" si="310"/>
        <v/>
      </c>
      <c r="Z866" s="74" t="str">
        <f t="shared" si="294"/>
        <v/>
      </c>
      <c r="AA866" s="74">
        <f t="shared" si="295"/>
        <v>0</v>
      </c>
      <c r="AB866" s="74">
        <f t="shared" si="296"/>
        <v>0</v>
      </c>
      <c r="AC866" s="74" t="str">
        <f t="shared" si="297"/>
        <v/>
      </c>
      <c r="AE866" s="74" t="str">
        <f t="shared" si="298"/>
        <v/>
      </c>
      <c r="AF866" s="74" t="str">
        <f t="shared" si="299"/>
        <v/>
      </c>
      <c r="AG866" s="74" t="str">
        <f t="shared" si="300"/>
        <v/>
      </c>
      <c r="AH866" s="74">
        <f t="shared" si="301"/>
        <v>0</v>
      </c>
      <c r="AI866" s="74" t="str">
        <f>IF(AH866&lt;&gt;0,COUNTIF(AH$3:AH866,1),"")</f>
        <v/>
      </c>
      <c r="AJ866" s="74">
        <f t="shared" si="302"/>
        <v>0</v>
      </c>
      <c r="AK866" s="73" t="str">
        <f t="shared" si="303"/>
        <v/>
      </c>
      <c r="AL866" s="73" t="str">
        <f t="shared" si="304"/>
        <v/>
      </c>
      <c r="AM866" s="73" t="str">
        <f t="shared" si="305"/>
        <v/>
      </c>
      <c r="AN866" s="73" t="str">
        <f t="shared" si="306"/>
        <v/>
      </c>
      <c r="AP866" s="61" t="str">
        <f t="shared" si="307"/>
        <v/>
      </c>
      <c r="AQ866" s="61" t="str">
        <f t="shared" si="308"/>
        <v/>
      </c>
      <c r="AR866" s="61" t="str">
        <f t="shared" si="309"/>
        <v/>
      </c>
    </row>
    <row r="867" spans="16:44" x14ac:dyDescent="0.25">
      <c r="P867" s="73" t="str">
        <f t="shared" si="290"/>
        <v/>
      </c>
      <c r="Q867" s="73" t="str">
        <f t="shared" si="291"/>
        <v/>
      </c>
      <c r="R867" s="74" t="str">
        <f t="shared" si="292"/>
        <v/>
      </c>
      <c r="S867" s="74" t="str">
        <f t="shared" si="293"/>
        <v/>
      </c>
      <c r="U867" s="74" t="str">
        <f t="shared" si="310"/>
        <v/>
      </c>
      <c r="V867" s="74" t="str">
        <f t="shared" si="310"/>
        <v/>
      </c>
      <c r="W867" s="74" t="str">
        <f t="shared" si="310"/>
        <v/>
      </c>
      <c r="X867" s="74" t="str">
        <f t="shared" si="310"/>
        <v/>
      </c>
      <c r="Y867" s="74" t="str">
        <f t="shared" si="310"/>
        <v/>
      </c>
      <c r="Z867" s="74" t="str">
        <f t="shared" si="294"/>
        <v/>
      </c>
      <c r="AA867" s="74">
        <f t="shared" si="295"/>
        <v>0</v>
      </c>
      <c r="AB867" s="74">
        <f t="shared" si="296"/>
        <v>0</v>
      </c>
      <c r="AC867" s="74" t="str">
        <f t="shared" si="297"/>
        <v/>
      </c>
      <c r="AE867" s="74" t="str">
        <f t="shared" si="298"/>
        <v/>
      </c>
      <c r="AF867" s="74" t="str">
        <f t="shared" si="299"/>
        <v/>
      </c>
      <c r="AG867" s="74" t="str">
        <f t="shared" si="300"/>
        <v/>
      </c>
      <c r="AH867" s="74">
        <f t="shared" si="301"/>
        <v>0</v>
      </c>
      <c r="AI867" s="74" t="str">
        <f>IF(AH867&lt;&gt;0,COUNTIF(AH$3:AH867,1),"")</f>
        <v/>
      </c>
      <c r="AJ867" s="74">
        <f t="shared" si="302"/>
        <v>0</v>
      </c>
      <c r="AK867" s="73" t="str">
        <f t="shared" si="303"/>
        <v/>
      </c>
      <c r="AL867" s="73" t="str">
        <f t="shared" si="304"/>
        <v/>
      </c>
      <c r="AM867" s="73" t="str">
        <f t="shared" si="305"/>
        <v/>
      </c>
      <c r="AN867" s="73" t="str">
        <f t="shared" si="306"/>
        <v/>
      </c>
      <c r="AP867" s="61" t="str">
        <f t="shared" si="307"/>
        <v/>
      </c>
      <c r="AQ867" s="61" t="str">
        <f t="shared" si="308"/>
        <v/>
      </c>
      <c r="AR867" s="61" t="str">
        <f t="shared" si="309"/>
        <v/>
      </c>
    </row>
    <row r="868" spans="16:44" x14ac:dyDescent="0.25">
      <c r="P868" s="73" t="str">
        <f t="shared" si="290"/>
        <v/>
      </c>
      <c r="Q868" s="73" t="str">
        <f t="shared" si="291"/>
        <v/>
      </c>
      <c r="R868" s="74" t="str">
        <f t="shared" si="292"/>
        <v/>
      </c>
      <c r="S868" s="74" t="str">
        <f t="shared" si="293"/>
        <v/>
      </c>
      <c r="U868" s="74" t="str">
        <f t="shared" si="310"/>
        <v/>
      </c>
      <c r="V868" s="74" t="str">
        <f t="shared" si="310"/>
        <v/>
      </c>
      <c r="W868" s="74" t="str">
        <f t="shared" si="310"/>
        <v/>
      </c>
      <c r="X868" s="74" t="str">
        <f t="shared" si="310"/>
        <v/>
      </c>
      <c r="Y868" s="74" t="str">
        <f t="shared" si="310"/>
        <v/>
      </c>
      <c r="Z868" s="74" t="str">
        <f t="shared" si="294"/>
        <v/>
      </c>
      <c r="AA868" s="74">
        <f t="shared" si="295"/>
        <v>0</v>
      </c>
      <c r="AB868" s="74">
        <f t="shared" si="296"/>
        <v>0</v>
      </c>
      <c r="AC868" s="74" t="str">
        <f t="shared" si="297"/>
        <v/>
      </c>
      <c r="AE868" s="74" t="str">
        <f t="shared" si="298"/>
        <v/>
      </c>
      <c r="AF868" s="74" t="str">
        <f t="shared" si="299"/>
        <v/>
      </c>
      <c r="AG868" s="74" t="str">
        <f t="shared" si="300"/>
        <v/>
      </c>
      <c r="AH868" s="74">
        <f t="shared" si="301"/>
        <v>0</v>
      </c>
      <c r="AI868" s="74" t="str">
        <f>IF(AH868&lt;&gt;0,COUNTIF(AH$3:AH868,1),"")</f>
        <v/>
      </c>
      <c r="AJ868" s="74">
        <f t="shared" si="302"/>
        <v>0</v>
      </c>
      <c r="AK868" s="73" t="str">
        <f t="shared" si="303"/>
        <v/>
      </c>
      <c r="AL868" s="73" t="str">
        <f t="shared" si="304"/>
        <v/>
      </c>
      <c r="AM868" s="73" t="str">
        <f t="shared" si="305"/>
        <v/>
      </c>
      <c r="AN868" s="73" t="str">
        <f t="shared" si="306"/>
        <v/>
      </c>
      <c r="AP868" s="61" t="str">
        <f t="shared" si="307"/>
        <v/>
      </c>
      <c r="AQ868" s="61" t="str">
        <f t="shared" si="308"/>
        <v/>
      </c>
      <c r="AR868" s="61" t="str">
        <f t="shared" si="309"/>
        <v/>
      </c>
    </row>
    <row r="869" spans="16:44" x14ac:dyDescent="0.25">
      <c r="P869" s="73" t="str">
        <f t="shared" si="290"/>
        <v/>
      </c>
      <c r="Q869" s="73" t="str">
        <f t="shared" si="291"/>
        <v/>
      </c>
      <c r="R869" s="74" t="str">
        <f t="shared" si="292"/>
        <v/>
      </c>
      <c r="S869" s="74" t="str">
        <f t="shared" si="293"/>
        <v/>
      </c>
      <c r="U869" s="74" t="str">
        <f t="shared" si="310"/>
        <v/>
      </c>
      <c r="V869" s="74" t="str">
        <f t="shared" si="310"/>
        <v/>
      </c>
      <c r="W869" s="74" t="str">
        <f t="shared" si="310"/>
        <v/>
      </c>
      <c r="X869" s="74" t="str">
        <f t="shared" si="310"/>
        <v/>
      </c>
      <c r="Y869" s="74" t="str">
        <f t="shared" si="310"/>
        <v/>
      </c>
      <c r="Z869" s="74" t="str">
        <f t="shared" si="294"/>
        <v/>
      </c>
      <c r="AA869" s="74">
        <f t="shared" si="295"/>
        <v>0</v>
      </c>
      <c r="AB869" s="74">
        <f t="shared" si="296"/>
        <v>0</v>
      </c>
      <c r="AC869" s="74" t="str">
        <f t="shared" si="297"/>
        <v/>
      </c>
      <c r="AE869" s="74" t="str">
        <f t="shared" si="298"/>
        <v/>
      </c>
      <c r="AF869" s="74" t="str">
        <f t="shared" si="299"/>
        <v/>
      </c>
      <c r="AG869" s="74" t="str">
        <f t="shared" si="300"/>
        <v/>
      </c>
      <c r="AH869" s="74">
        <f t="shared" si="301"/>
        <v>0</v>
      </c>
      <c r="AI869" s="74" t="str">
        <f>IF(AH869&lt;&gt;0,COUNTIF(AH$3:AH869,1),"")</f>
        <v/>
      </c>
      <c r="AJ869" s="74">
        <f t="shared" si="302"/>
        <v>0</v>
      </c>
      <c r="AK869" s="73" t="str">
        <f t="shared" si="303"/>
        <v/>
      </c>
      <c r="AL869" s="73" t="str">
        <f t="shared" si="304"/>
        <v/>
      </c>
      <c r="AM869" s="73" t="str">
        <f t="shared" si="305"/>
        <v/>
      </c>
      <c r="AN869" s="73" t="str">
        <f t="shared" si="306"/>
        <v/>
      </c>
      <c r="AP869" s="61" t="str">
        <f t="shared" si="307"/>
        <v/>
      </c>
      <c r="AQ869" s="61" t="str">
        <f t="shared" si="308"/>
        <v/>
      </c>
      <c r="AR869" s="61" t="str">
        <f t="shared" si="309"/>
        <v/>
      </c>
    </row>
    <row r="870" spans="16:44" x14ac:dyDescent="0.25">
      <c r="P870" s="73" t="str">
        <f t="shared" si="290"/>
        <v/>
      </c>
      <c r="Q870" s="73" t="str">
        <f t="shared" si="291"/>
        <v/>
      </c>
      <c r="R870" s="74" t="str">
        <f t="shared" si="292"/>
        <v/>
      </c>
      <c r="S870" s="74" t="str">
        <f t="shared" si="293"/>
        <v/>
      </c>
      <c r="U870" s="74" t="str">
        <f t="shared" si="310"/>
        <v/>
      </c>
      <c r="V870" s="74" t="str">
        <f t="shared" si="310"/>
        <v/>
      </c>
      <c r="W870" s="74" t="str">
        <f t="shared" si="310"/>
        <v/>
      </c>
      <c r="X870" s="74" t="str">
        <f t="shared" si="310"/>
        <v/>
      </c>
      <c r="Y870" s="74" t="str">
        <f t="shared" si="310"/>
        <v/>
      </c>
      <c r="Z870" s="74" t="str">
        <f t="shared" si="294"/>
        <v/>
      </c>
      <c r="AA870" s="74">
        <f t="shared" si="295"/>
        <v>0</v>
      </c>
      <c r="AB870" s="74">
        <f t="shared" si="296"/>
        <v>0</v>
      </c>
      <c r="AC870" s="74" t="str">
        <f t="shared" si="297"/>
        <v/>
      </c>
      <c r="AE870" s="74" t="str">
        <f t="shared" si="298"/>
        <v/>
      </c>
      <c r="AF870" s="74" t="str">
        <f t="shared" si="299"/>
        <v/>
      </c>
      <c r="AG870" s="74" t="str">
        <f t="shared" si="300"/>
        <v/>
      </c>
      <c r="AH870" s="74">
        <f t="shared" si="301"/>
        <v>0</v>
      </c>
      <c r="AI870" s="74" t="str">
        <f>IF(AH870&lt;&gt;0,COUNTIF(AH$3:AH870,1),"")</f>
        <v/>
      </c>
      <c r="AJ870" s="74">
        <f t="shared" si="302"/>
        <v>0</v>
      </c>
      <c r="AK870" s="73" t="str">
        <f t="shared" si="303"/>
        <v/>
      </c>
      <c r="AL870" s="73" t="str">
        <f t="shared" si="304"/>
        <v/>
      </c>
      <c r="AM870" s="73" t="str">
        <f t="shared" si="305"/>
        <v/>
      </c>
      <c r="AN870" s="73" t="str">
        <f t="shared" si="306"/>
        <v/>
      </c>
      <c r="AP870" s="61" t="str">
        <f t="shared" si="307"/>
        <v/>
      </c>
      <c r="AQ870" s="61" t="str">
        <f t="shared" si="308"/>
        <v/>
      </c>
      <c r="AR870" s="61" t="str">
        <f t="shared" si="309"/>
        <v/>
      </c>
    </row>
    <row r="871" spans="16:44" x14ac:dyDescent="0.25">
      <c r="P871" s="73" t="str">
        <f t="shared" si="290"/>
        <v/>
      </c>
      <c r="Q871" s="73" t="str">
        <f t="shared" si="291"/>
        <v/>
      </c>
      <c r="R871" s="74" t="str">
        <f t="shared" si="292"/>
        <v/>
      </c>
      <c r="S871" s="74" t="str">
        <f t="shared" si="293"/>
        <v/>
      </c>
      <c r="U871" s="74" t="str">
        <f t="shared" si="310"/>
        <v/>
      </c>
      <c r="V871" s="74" t="str">
        <f t="shared" si="310"/>
        <v/>
      </c>
      <c r="W871" s="74" t="str">
        <f t="shared" si="310"/>
        <v/>
      </c>
      <c r="X871" s="74" t="str">
        <f t="shared" si="310"/>
        <v/>
      </c>
      <c r="Y871" s="74" t="str">
        <f t="shared" si="310"/>
        <v/>
      </c>
      <c r="Z871" s="74" t="str">
        <f t="shared" si="294"/>
        <v/>
      </c>
      <c r="AA871" s="74">
        <f t="shared" si="295"/>
        <v>0</v>
      </c>
      <c r="AB871" s="74">
        <f t="shared" si="296"/>
        <v>0</v>
      </c>
      <c r="AC871" s="74" t="str">
        <f t="shared" si="297"/>
        <v/>
      </c>
      <c r="AE871" s="74" t="str">
        <f t="shared" si="298"/>
        <v/>
      </c>
      <c r="AF871" s="74" t="str">
        <f t="shared" si="299"/>
        <v/>
      </c>
      <c r="AG871" s="74" t="str">
        <f t="shared" si="300"/>
        <v/>
      </c>
      <c r="AH871" s="74">
        <f t="shared" si="301"/>
        <v>0</v>
      </c>
      <c r="AI871" s="74" t="str">
        <f>IF(AH871&lt;&gt;0,COUNTIF(AH$3:AH871,1),"")</f>
        <v/>
      </c>
      <c r="AJ871" s="74">
        <f t="shared" si="302"/>
        <v>0</v>
      </c>
      <c r="AK871" s="73" t="str">
        <f t="shared" si="303"/>
        <v/>
      </c>
      <c r="AL871" s="73" t="str">
        <f t="shared" si="304"/>
        <v/>
      </c>
      <c r="AM871" s="73" t="str">
        <f t="shared" si="305"/>
        <v/>
      </c>
      <c r="AN871" s="73" t="str">
        <f t="shared" si="306"/>
        <v/>
      </c>
      <c r="AP871" s="61" t="str">
        <f t="shared" si="307"/>
        <v/>
      </c>
      <c r="AQ871" s="61" t="str">
        <f t="shared" si="308"/>
        <v/>
      </c>
      <c r="AR871" s="61" t="str">
        <f t="shared" si="309"/>
        <v/>
      </c>
    </row>
    <row r="872" spans="16:44" x14ac:dyDescent="0.25">
      <c r="P872" s="73" t="str">
        <f t="shared" si="290"/>
        <v/>
      </c>
      <c r="Q872" s="73" t="str">
        <f t="shared" si="291"/>
        <v/>
      </c>
      <c r="R872" s="74" t="str">
        <f t="shared" si="292"/>
        <v/>
      </c>
      <c r="S872" s="74" t="str">
        <f t="shared" si="293"/>
        <v/>
      </c>
      <c r="U872" s="74" t="str">
        <f t="shared" si="310"/>
        <v/>
      </c>
      <c r="V872" s="74" t="str">
        <f t="shared" si="310"/>
        <v/>
      </c>
      <c r="W872" s="74" t="str">
        <f t="shared" si="310"/>
        <v/>
      </c>
      <c r="X872" s="74" t="str">
        <f t="shared" si="310"/>
        <v/>
      </c>
      <c r="Y872" s="74" t="str">
        <f t="shared" si="310"/>
        <v/>
      </c>
      <c r="Z872" s="74" t="str">
        <f t="shared" si="294"/>
        <v/>
      </c>
      <c r="AA872" s="74">
        <f t="shared" si="295"/>
        <v>0</v>
      </c>
      <c r="AB872" s="74">
        <f t="shared" si="296"/>
        <v>0</v>
      </c>
      <c r="AC872" s="74" t="str">
        <f t="shared" si="297"/>
        <v/>
      </c>
      <c r="AE872" s="74" t="str">
        <f t="shared" si="298"/>
        <v/>
      </c>
      <c r="AF872" s="74" t="str">
        <f t="shared" si="299"/>
        <v/>
      </c>
      <c r="AG872" s="74" t="str">
        <f t="shared" si="300"/>
        <v/>
      </c>
      <c r="AH872" s="74">
        <f t="shared" si="301"/>
        <v>0</v>
      </c>
      <c r="AI872" s="74" t="str">
        <f>IF(AH872&lt;&gt;0,COUNTIF(AH$3:AH872,1),"")</f>
        <v/>
      </c>
      <c r="AJ872" s="74">
        <f t="shared" si="302"/>
        <v>0</v>
      </c>
      <c r="AK872" s="73" t="str">
        <f t="shared" si="303"/>
        <v/>
      </c>
      <c r="AL872" s="73" t="str">
        <f t="shared" si="304"/>
        <v/>
      </c>
      <c r="AM872" s="73" t="str">
        <f t="shared" si="305"/>
        <v/>
      </c>
      <c r="AN872" s="73" t="str">
        <f t="shared" si="306"/>
        <v/>
      </c>
      <c r="AP872" s="61" t="str">
        <f t="shared" si="307"/>
        <v/>
      </c>
      <c r="AQ872" s="61" t="str">
        <f t="shared" si="308"/>
        <v/>
      </c>
      <c r="AR872" s="61" t="str">
        <f t="shared" si="309"/>
        <v/>
      </c>
    </row>
    <row r="873" spans="16:44" x14ac:dyDescent="0.25">
      <c r="P873" s="73" t="str">
        <f t="shared" si="290"/>
        <v/>
      </c>
      <c r="Q873" s="73" t="str">
        <f t="shared" si="291"/>
        <v/>
      </c>
      <c r="R873" s="74" t="str">
        <f t="shared" si="292"/>
        <v/>
      </c>
      <c r="S873" s="74" t="str">
        <f t="shared" si="293"/>
        <v/>
      </c>
      <c r="U873" s="74" t="str">
        <f t="shared" si="310"/>
        <v/>
      </c>
      <c r="V873" s="74" t="str">
        <f t="shared" si="310"/>
        <v/>
      </c>
      <c r="W873" s="74" t="str">
        <f t="shared" si="310"/>
        <v/>
      </c>
      <c r="X873" s="74" t="str">
        <f t="shared" si="310"/>
        <v/>
      </c>
      <c r="Y873" s="74" t="str">
        <f t="shared" si="310"/>
        <v/>
      </c>
      <c r="Z873" s="74" t="str">
        <f t="shared" si="294"/>
        <v/>
      </c>
      <c r="AA873" s="74">
        <f t="shared" si="295"/>
        <v>0</v>
      </c>
      <c r="AB873" s="74">
        <f t="shared" si="296"/>
        <v>0</v>
      </c>
      <c r="AC873" s="74" t="str">
        <f t="shared" si="297"/>
        <v/>
      </c>
      <c r="AE873" s="74" t="str">
        <f t="shared" si="298"/>
        <v/>
      </c>
      <c r="AF873" s="74" t="str">
        <f t="shared" si="299"/>
        <v/>
      </c>
      <c r="AG873" s="74" t="str">
        <f t="shared" si="300"/>
        <v/>
      </c>
      <c r="AH873" s="74">
        <f t="shared" si="301"/>
        <v>0</v>
      </c>
      <c r="AI873" s="74" t="str">
        <f>IF(AH873&lt;&gt;0,COUNTIF(AH$3:AH873,1),"")</f>
        <v/>
      </c>
      <c r="AJ873" s="74">
        <f t="shared" si="302"/>
        <v>0</v>
      </c>
      <c r="AK873" s="73" t="str">
        <f t="shared" si="303"/>
        <v/>
      </c>
      <c r="AL873" s="73" t="str">
        <f t="shared" si="304"/>
        <v/>
      </c>
      <c r="AM873" s="73" t="str">
        <f t="shared" si="305"/>
        <v/>
      </c>
      <c r="AN873" s="73" t="str">
        <f t="shared" si="306"/>
        <v/>
      </c>
      <c r="AP873" s="61" t="str">
        <f t="shared" si="307"/>
        <v/>
      </c>
      <c r="AQ873" s="61" t="str">
        <f t="shared" si="308"/>
        <v/>
      </c>
      <c r="AR873" s="61" t="str">
        <f t="shared" si="309"/>
        <v/>
      </c>
    </row>
    <row r="874" spans="16:44" x14ac:dyDescent="0.25">
      <c r="P874" s="73" t="str">
        <f t="shared" si="290"/>
        <v/>
      </c>
      <c r="Q874" s="73" t="str">
        <f t="shared" si="291"/>
        <v/>
      </c>
      <c r="R874" s="74" t="str">
        <f t="shared" si="292"/>
        <v/>
      </c>
      <c r="S874" s="74" t="str">
        <f t="shared" si="293"/>
        <v/>
      </c>
      <c r="U874" s="74" t="str">
        <f t="shared" si="310"/>
        <v/>
      </c>
      <c r="V874" s="74" t="str">
        <f t="shared" si="310"/>
        <v/>
      </c>
      <c r="W874" s="74" t="str">
        <f t="shared" si="310"/>
        <v/>
      </c>
      <c r="X874" s="74" t="str">
        <f t="shared" si="310"/>
        <v/>
      </c>
      <c r="Y874" s="74" t="str">
        <f t="shared" si="310"/>
        <v/>
      </c>
      <c r="Z874" s="74" t="str">
        <f t="shared" si="294"/>
        <v/>
      </c>
      <c r="AA874" s="74">
        <f t="shared" si="295"/>
        <v>0</v>
      </c>
      <c r="AB874" s="74">
        <f t="shared" si="296"/>
        <v>0</v>
      </c>
      <c r="AC874" s="74" t="str">
        <f t="shared" si="297"/>
        <v/>
      </c>
      <c r="AE874" s="74" t="str">
        <f t="shared" si="298"/>
        <v/>
      </c>
      <c r="AF874" s="74" t="str">
        <f t="shared" si="299"/>
        <v/>
      </c>
      <c r="AG874" s="74" t="str">
        <f t="shared" si="300"/>
        <v/>
      </c>
      <c r="AH874" s="74">
        <f t="shared" si="301"/>
        <v>0</v>
      </c>
      <c r="AI874" s="74" t="str">
        <f>IF(AH874&lt;&gt;0,COUNTIF(AH$3:AH874,1),"")</f>
        <v/>
      </c>
      <c r="AJ874" s="74">
        <f t="shared" si="302"/>
        <v>0</v>
      </c>
      <c r="AK874" s="73" t="str">
        <f t="shared" si="303"/>
        <v/>
      </c>
      <c r="AL874" s="73" t="str">
        <f t="shared" si="304"/>
        <v/>
      </c>
      <c r="AM874" s="73" t="str">
        <f t="shared" si="305"/>
        <v/>
      </c>
      <c r="AN874" s="73" t="str">
        <f t="shared" si="306"/>
        <v/>
      </c>
      <c r="AP874" s="61" t="str">
        <f t="shared" si="307"/>
        <v/>
      </c>
      <c r="AQ874" s="61" t="str">
        <f t="shared" si="308"/>
        <v/>
      </c>
      <c r="AR874" s="61" t="str">
        <f t="shared" si="309"/>
        <v/>
      </c>
    </row>
    <row r="875" spans="16:44" x14ac:dyDescent="0.25">
      <c r="P875" s="73" t="str">
        <f t="shared" si="290"/>
        <v/>
      </c>
      <c r="Q875" s="73" t="str">
        <f t="shared" si="291"/>
        <v/>
      </c>
      <c r="R875" s="74" t="str">
        <f t="shared" si="292"/>
        <v/>
      </c>
      <c r="S875" s="74" t="str">
        <f t="shared" si="293"/>
        <v/>
      </c>
      <c r="U875" s="74" t="str">
        <f t="shared" si="310"/>
        <v/>
      </c>
      <c r="V875" s="74" t="str">
        <f t="shared" si="310"/>
        <v/>
      </c>
      <c r="W875" s="74" t="str">
        <f t="shared" si="310"/>
        <v/>
      </c>
      <c r="X875" s="74" t="str">
        <f t="shared" si="310"/>
        <v/>
      </c>
      <c r="Y875" s="74" t="str">
        <f t="shared" si="310"/>
        <v/>
      </c>
      <c r="Z875" s="74" t="str">
        <f t="shared" si="294"/>
        <v/>
      </c>
      <c r="AA875" s="74">
        <f t="shared" si="295"/>
        <v>0</v>
      </c>
      <c r="AB875" s="74">
        <f t="shared" si="296"/>
        <v>0</v>
      </c>
      <c r="AC875" s="74" t="str">
        <f t="shared" si="297"/>
        <v/>
      </c>
      <c r="AE875" s="74" t="str">
        <f t="shared" si="298"/>
        <v/>
      </c>
      <c r="AF875" s="74" t="str">
        <f t="shared" si="299"/>
        <v/>
      </c>
      <c r="AG875" s="74" t="str">
        <f t="shared" si="300"/>
        <v/>
      </c>
      <c r="AH875" s="74">
        <f t="shared" si="301"/>
        <v>0</v>
      </c>
      <c r="AI875" s="74" t="str">
        <f>IF(AH875&lt;&gt;0,COUNTIF(AH$3:AH875,1),"")</f>
        <v/>
      </c>
      <c r="AJ875" s="74">
        <f t="shared" si="302"/>
        <v>0</v>
      </c>
      <c r="AK875" s="73" t="str">
        <f t="shared" si="303"/>
        <v/>
      </c>
      <c r="AL875" s="73" t="str">
        <f t="shared" si="304"/>
        <v/>
      </c>
      <c r="AM875" s="73" t="str">
        <f t="shared" si="305"/>
        <v/>
      </c>
      <c r="AN875" s="73" t="str">
        <f t="shared" si="306"/>
        <v/>
      </c>
      <c r="AP875" s="61" t="str">
        <f t="shared" si="307"/>
        <v/>
      </c>
      <c r="AQ875" s="61" t="str">
        <f t="shared" si="308"/>
        <v/>
      </c>
      <c r="AR875" s="61" t="str">
        <f t="shared" si="309"/>
        <v/>
      </c>
    </row>
    <row r="876" spans="16:44" x14ac:dyDescent="0.25">
      <c r="P876" s="73" t="str">
        <f t="shared" si="290"/>
        <v/>
      </c>
      <c r="Q876" s="73" t="str">
        <f t="shared" si="291"/>
        <v/>
      </c>
      <c r="R876" s="74" t="str">
        <f t="shared" si="292"/>
        <v/>
      </c>
      <c r="S876" s="74" t="str">
        <f t="shared" si="293"/>
        <v/>
      </c>
      <c r="U876" s="74" t="str">
        <f t="shared" si="310"/>
        <v/>
      </c>
      <c r="V876" s="74" t="str">
        <f t="shared" si="310"/>
        <v/>
      </c>
      <c r="W876" s="74" t="str">
        <f t="shared" si="310"/>
        <v/>
      </c>
      <c r="X876" s="74" t="str">
        <f t="shared" si="310"/>
        <v/>
      </c>
      <c r="Y876" s="74" t="str">
        <f t="shared" si="310"/>
        <v/>
      </c>
      <c r="Z876" s="74" t="str">
        <f t="shared" si="294"/>
        <v/>
      </c>
      <c r="AA876" s="74">
        <f t="shared" si="295"/>
        <v>0</v>
      </c>
      <c r="AB876" s="74">
        <f t="shared" si="296"/>
        <v>0</v>
      </c>
      <c r="AC876" s="74" t="str">
        <f t="shared" si="297"/>
        <v/>
      </c>
      <c r="AE876" s="74" t="str">
        <f t="shared" si="298"/>
        <v/>
      </c>
      <c r="AF876" s="74" t="str">
        <f t="shared" si="299"/>
        <v/>
      </c>
      <c r="AG876" s="74" t="str">
        <f t="shared" si="300"/>
        <v/>
      </c>
      <c r="AH876" s="74">
        <f t="shared" si="301"/>
        <v>0</v>
      </c>
      <c r="AI876" s="74" t="str">
        <f>IF(AH876&lt;&gt;0,COUNTIF(AH$3:AH876,1),"")</f>
        <v/>
      </c>
      <c r="AJ876" s="74">
        <f t="shared" si="302"/>
        <v>0</v>
      </c>
      <c r="AK876" s="73" t="str">
        <f t="shared" si="303"/>
        <v/>
      </c>
      <c r="AL876" s="73" t="str">
        <f t="shared" si="304"/>
        <v/>
      </c>
      <c r="AM876" s="73" t="str">
        <f t="shared" si="305"/>
        <v/>
      </c>
      <c r="AN876" s="73" t="str">
        <f t="shared" si="306"/>
        <v/>
      </c>
      <c r="AP876" s="61" t="str">
        <f t="shared" si="307"/>
        <v/>
      </c>
      <c r="AQ876" s="61" t="str">
        <f t="shared" si="308"/>
        <v/>
      </c>
      <c r="AR876" s="61" t="str">
        <f t="shared" si="309"/>
        <v/>
      </c>
    </row>
    <row r="877" spans="16:44" x14ac:dyDescent="0.25">
      <c r="P877" s="73" t="str">
        <f t="shared" si="290"/>
        <v/>
      </c>
      <c r="Q877" s="73" t="str">
        <f t="shared" si="291"/>
        <v/>
      </c>
      <c r="R877" s="74" t="str">
        <f t="shared" si="292"/>
        <v/>
      </c>
      <c r="S877" s="74" t="str">
        <f t="shared" si="293"/>
        <v/>
      </c>
      <c r="U877" s="74" t="str">
        <f t="shared" si="310"/>
        <v/>
      </c>
      <c r="V877" s="74" t="str">
        <f t="shared" si="310"/>
        <v/>
      </c>
      <c r="W877" s="74" t="str">
        <f t="shared" si="310"/>
        <v/>
      </c>
      <c r="X877" s="74" t="str">
        <f t="shared" si="310"/>
        <v/>
      </c>
      <c r="Y877" s="74" t="str">
        <f t="shared" si="310"/>
        <v/>
      </c>
      <c r="Z877" s="74" t="str">
        <f t="shared" si="294"/>
        <v/>
      </c>
      <c r="AA877" s="74">
        <f t="shared" si="295"/>
        <v>0</v>
      </c>
      <c r="AB877" s="74">
        <f t="shared" si="296"/>
        <v>0</v>
      </c>
      <c r="AC877" s="74" t="str">
        <f t="shared" si="297"/>
        <v/>
      </c>
      <c r="AE877" s="74" t="str">
        <f t="shared" si="298"/>
        <v/>
      </c>
      <c r="AF877" s="74" t="str">
        <f t="shared" si="299"/>
        <v/>
      </c>
      <c r="AG877" s="74" t="str">
        <f t="shared" si="300"/>
        <v/>
      </c>
      <c r="AH877" s="74">
        <f t="shared" si="301"/>
        <v>0</v>
      </c>
      <c r="AI877" s="74" t="str">
        <f>IF(AH877&lt;&gt;0,COUNTIF(AH$3:AH877,1),"")</f>
        <v/>
      </c>
      <c r="AJ877" s="74">
        <f t="shared" si="302"/>
        <v>0</v>
      </c>
      <c r="AK877" s="73" t="str">
        <f t="shared" si="303"/>
        <v/>
      </c>
      <c r="AL877" s="73" t="str">
        <f t="shared" si="304"/>
        <v/>
      </c>
      <c r="AM877" s="73" t="str">
        <f t="shared" si="305"/>
        <v/>
      </c>
      <c r="AN877" s="73" t="str">
        <f t="shared" si="306"/>
        <v/>
      </c>
      <c r="AP877" s="61" t="str">
        <f t="shared" si="307"/>
        <v/>
      </c>
      <c r="AQ877" s="61" t="str">
        <f t="shared" si="308"/>
        <v/>
      </c>
      <c r="AR877" s="61" t="str">
        <f t="shared" si="309"/>
        <v/>
      </c>
    </row>
    <row r="878" spans="16:44" x14ac:dyDescent="0.25">
      <c r="P878" s="73" t="str">
        <f t="shared" si="290"/>
        <v/>
      </c>
      <c r="Q878" s="73" t="str">
        <f t="shared" si="291"/>
        <v/>
      </c>
      <c r="R878" s="74" t="str">
        <f t="shared" si="292"/>
        <v/>
      </c>
      <c r="S878" s="74" t="str">
        <f t="shared" si="293"/>
        <v/>
      </c>
      <c r="U878" s="74" t="str">
        <f t="shared" si="310"/>
        <v/>
      </c>
      <c r="V878" s="74" t="str">
        <f t="shared" si="310"/>
        <v/>
      </c>
      <c r="W878" s="74" t="str">
        <f t="shared" si="310"/>
        <v/>
      </c>
      <c r="X878" s="74" t="str">
        <f t="shared" si="310"/>
        <v/>
      </c>
      <c r="Y878" s="74" t="str">
        <f t="shared" si="310"/>
        <v/>
      </c>
      <c r="Z878" s="74" t="str">
        <f t="shared" si="294"/>
        <v/>
      </c>
      <c r="AA878" s="74">
        <f t="shared" si="295"/>
        <v>0</v>
      </c>
      <c r="AB878" s="74">
        <f t="shared" si="296"/>
        <v>0</v>
      </c>
      <c r="AC878" s="74" t="str">
        <f t="shared" si="297"/>
        <v/>
      </c>
      <c r="AE878" s="74" t="str">
        <f t="shared" si="298"/>
        <v/>
      </c>
      <c r="AF878" s="74" t="str">
        <f t="shared" si="299"/>
        <v/>
      </c>
      <c r="AG878" s="74" t="str">
        <f t="shared" si="300"/>
        <v/>
      </c>
      <c r="AH878" s="74">
        <f t="shared" si="301"/>
        <v>0</v>
      </c>
      <c r="AI878" s="74" t="str">
        <f>IF(AH878&lt;&gt;0,COUNTIF(AH$3:AH878,1),"")</f>
        <v/>
      </c>
      <c r="AJ878" s="74">
        <f t="shared" si="302"/>
        <v>0</v>
      </c>
      <c r="AK878" s="73" t="str">
        <f t="shared" si="303"/>
        <v/>
      </c>
      <c r="AL878" s="73" t="str">
        <f t="shared" si="304"/>
        <v/>
      </c>
      <c r="AM878" s="73" t="str">
        <f t="shared" si="305"/>
        <v/>
      </c>
      <c r="AN878" s="73" t="str">
        <f t="shared" si="306"/>
        <v/>
      </c>
      <c r="AP878" s="61" t="str">
        <f t="shared" si="307"/>
        <v/>
      </c>
      <c r="AQ878" s="61" t="str">
        <f t="shared" si="308"/>
        <v/>
      </c>
      <c r="AR878" s="61" t="str">
        <f t="shared" si="309"/>
        <v/>
      </c>
    </row>
    <row r="879" spans="16:44" x14ac:dyDescent="0.25">
      <c r="P879" s="73" t="str">
        <f t="shared" si="290"/>
        <v/>
      </c>
      <c r="Q879" s="73" t="str">
        <f t="shared" si="291"/>
        <v/>
      </c>
      <c r="R879" s="74" t="str">
        <f t="shared" si="292"/>
        <v/>
      </c>
      <c r="S879" s="74" t="str">
        <f t="shared" si="293"/>
        <v/>
      </c>
      <c r="U879" s="74" t="str">
        <f t="shared" si="310"/>
        <v/>
      </c>
      <c r="V879" s="74" t="str">
        <f t="shared" si="310"/>
        <v/>
      </c>
      <c r="W879" s="74" t="str">
        <f t="shared" si="310"/>
        <v/>
      </c>
      <c r="X879" s="74" t="str">
        <f t="shared" si="310"/>
        <v/>
      </c>
      <c r="Y879" s="74" t="str">
        <f t="shared" si="310"/>
        <v/>
      </c>
      <c r="Z879" s="74" t="str">
        <f t="shared" si="294"/>
        <v/>
      </c>
      <c r="AA879" s="74">
        <f t="shared" si="295"/>
        <v>0</v>
      </c>
      <c r="AB879" s="74">
        <f t="shared" si="296"/>
        <v>0</v>
      </c>
      <c r="AC879" s="74" t="str">
        <f t="shared" si="297"/>
        <v/>
      </c>
      <c r="AE879" s="74" t="str">
        <f t="shared" si="298"/>
        <v/>
      </c>
      <c r="AF879" s="74" t="str">
        <f t="shared" si="299"/>
        <v/>
      </c>
      <c r="AG879" s="74" t="str">
        <f t="shared" si="300"/>
        <v/>
      </c>
      <c r="AH879" s="74">
        <f t="shared" si="301"/>
        <v>0</v>
      </c>
      <c r="AI879" s="74" t="str">
        <f>IF(AH879&lt;&gt;0,COUNTIF(AH$3:AH879,1),"")</f>
        <v/>
      </c>
      <c r="AJ879" s="74">
        <f t="shared" si="302"/>
        <v>0</v>
      </c>
      <c r="AK879" s="73" t="str">
        <f t="shared" si="303"/>
        <v/>
      </c>
      <c r="AL879" s="73" t="str">
        <f t="shared" si="304"/>
        <v/>
      </c>
      <c r="AM879" s="73" t="str">
        <f t="shared" si="305"/>
        <v/>
      </c>
      <c r="AN879" s="73" t="str">
        <f t="shared" si="306"/>
        <v/>
      </c>
      <c r="AP879" s="61" t="str">
        <f t="shared" si="307"/>
        <v/>
      </c>
      <c r="AQ879" s="61" t="str">
        <f t="shared" si="308"/>
        <v/>
      </c>
      <c r="AR879" s="61" t="str">
        <f t="shared" si="309"/>
        <v/>
      </c>
    </row>
    <row r="880" spans="16:44" x14ac:dyDescent="0.25">
      <c r="P880" s="73" t="str">
        <f t="shared" si="290"/>
        <v/>
      </c>
      <c r="Q880" s="73" t="str">
        <f t="shared" si="291"/>
        <v/>
      </c>
      <c r="R880" s="74" t="str">
        <f t="shared" si="292"/>
        <v/>
      </c>
      <c r="S880" s="74" t="str">
        <f t="shared" si="293"/>
        <v/>
      </c>
      <c r="U880" s="74" t="str">
        <f t="shared" si="310"/>
        <v/>
      </c>
      <c r="V880" s="74" t="str">
        <f t="shared" si="310"/>
        <v/>
      </c>
      <c r="W880" s="74" t="str">
        <f t="shared" si="310"/>
        <v/>
      </c>
      <c r="X880" s="74" t="str">
        <f t="shared" si="310"/>
        <v/>
      </c>
      <c r="Y880" s="74" t="str">
        <f t="shared" si="310"/>
        <v/>
      </c>
      <c r="Z880" s="74" t="str">
        <f t="shared" si="294"/>
        <v/>
      </c>
      <c r="AA880" s="74">
        <f t="shared" si="295"/>
        <v>0</v>
      </c>
      <c r="AB880" s="74">
        <f t="shared" si="296"/>
        <v>0</v>
      </c>
      <c r="AC880" s="74" t="str">
        <f t="shared" si="297"/>
        <v/>
      </c>
      <c r="AE880" s="74" t="str">
        <f t="shared" si="298"/>
        <v/>
      </c>
      <c r="AF880" s="74" t="str">
        <f t="shared" si="299"/>
        <v/>
      </c>
      <c r="AG880" s="74" t="str">
        <f t="shared" si="300"/>
        <v/>
      </c>
      <c r="AH880" s="74">
        <f t="shared" si="301"/>
        <v>0</v>
      </c>
      <c r="AI880" s="74" t="str">
        <f>IF(AH880&lt;&gt;0,COUNTIF(AH$3:AH880,1),"")</f>
        <v/>
      </c>
      <c r="AJ880" s="74">
        <f t="shared" si="302"/>
        <v>0</v>
      </c>
      <c r="AK880" s="73" t="str">
        <f t="shared" si="303"/>
        <v/>
      </c>
      <c r="AL880" s="73" t="str">
        <f t="shared" si="304"/>
        <v/>
      </c>
      <c r="AM880" s="73" t="str">
        <f t="shared" si="305"/>
        <v/>
      </c>
      <c r="AN880" s="73" t="str">
        <f t="shared" si="306"/>
        <v/>
      </c>
      <c r="AP880" s="61" t="str">
        <f t="shared" si="307"/>
        <v/>
      </c>
      <c r="AQ880" s="61" t="str">
        <f t="shared" si="308"/>
        <v/>
      </c>
      <c r="AR880" s="61" t="str">
        <f t="shared" si="309"/>
        <v/>
      </c>
    </row>
    <row r="881" spans="16:44" x14ac:dyDescent="0.25">
      <c r="P881" s="73" t="str">
        <f t="shared" si="290"/>
        <v/>
      </c>
      <c r="Q881" s="73" t="str">
        <f t="shared" si="291"/>
        <v/>
      </c>
      <c r="R881" s="74" t="str">
        <f t="shared" si="292"/>
        <v/>
      </c>
      <c r="S881" s="74" t="str">
        <f t="shared" si="293"/>
        <v/>
      </c>
      <c r="U881" s="74" t="str">
        <f t="shared" si="310"/>
        <v/>
      </c>
      <c r="V881" s="74" t="str">
        <f t="shared" si="310"/>
        <v/>
      </c>
      <c r="W881" s="74" t="str">
        <f t="shared" si="310"/>
        <v/>
      </c>
      <c r="X881" s="74" t="str">
        <f t="shared" si="310"/>
        <v/>
      </c>
      <c r="Y881" s="74" t="str">
        <f t="shared" si="310"/>
        <v/>
      </c>
      <c r="Z881" s="74" t="str">
        <f t="shared" si="294"/>
        <v/>
      </c>
      <c r="AA881" s="74">
        <f t="shared" si="295"/>
        <v>0</v>
      </c>
      <c r="AB881" s="74">
        <f t="shared" si="296"/>
        <v>0</v>
      </c>
      <c r="AC881" s="74" t="str">
        <f t="shared" si="297"/>
        <v/>
      </c>
      <c r="AE881" s="74" t="str">
        <f t="shared" si="298"/>
        <v/>
      </c>
      <c r="AF881" s="74" t="str">
        <f t="shared" si="299"/>
        <v/>
      </c>
      <c r="AG881" s="74" t="str">
        <f t="shared" si="300"/>
        <v/>
      </c>
      <c r="AH881" s="74">
        <f t="shared" si="301"/>
        <v>0</v>
      </c>
      <c r="AI881" s="74" t="str">
        <f>IF(AH881&lt;&gt;0,COUNTIF(AH$3:AH881,1),"")</f>
        <v/>
      </c>
      <c r="AJ881" s="74">
        <f t="shared" si="302"/>
        <v>0</v>
      </c>
      <c r="AK881" s="73" t="str">
        <f t="shared" si="303"/>
        <v/>
      </c>
      <c r="AL881" s="73" t="str">
        <f t="shared" si="304"/>
        <v/>
      </c>
      <c r="AM881" s="73" t="str">
        <f t="shared" si="305"/>
        <v/>
      </c>
      <c r="AN881" s="73" t="str">
        <f t="shared" si="306"/>
        <v/>
      </c>
      <c r="AP881" s="61" t="str">
        <f t="shared" si="307"/>
        <v/>
      </c>
      <c r="AQ881" s="61" t="str">
        <f t="shared" si="308"/>
        <v/>
      </c>
      <c r="AR881" s="61" t="str">
        <f t="shared" si="309"/>
        <v/>
      </c>
    </row>
    <row r="882" spans="16:44" x14ac:dyDescent="0.25">
      <c r="P882" s="73" t="str">
        <f t="shared" si="290"/>
        <v/>
      </c>
      <c r="Q882" s="73" t="str">
        <f t="shared" si="291"/>
        <v/>
      </c>
      <c r="R882" s="74" t="str">
        <f t="shared" si="292"/>
        <v/>
      </c>
      <c r="S882" s="74" t="str">
        <f t="shared" si="293"/>
        <v/>
      </c>
      <c r="U882" s="74" t="str">
        <f t="shared" si="310"/>
        <v/>
      </c>
      <c r="V882" s="74" t="str">
        <f t="shared" si="310"/>
        <v/>
      </c>
      <c r="W882" s="74" t="str">
        <f t="shared" si="310"/>
        <v/>
      </c>
      <c r="X882" s="74" t="str">
        <f t="shared" si="310"/>
        <v/>
      </c>
      <c r="Y882" s="74" t="str">
        <f t="shared" si="310"/>
        <v/>
      </c>
      <c r="Z882" s="74" t="str">
        <f t="shared" si="294"/>
        <v/>
      </c>
      <c r="AA882" s="74">
        <f t="shared" si="295"/>
        <v>0</v>
      </c>
      <c r="AB882" s="74">
        <f t="shared" si="296"/>
        <v>0</v>
      </c>
      <c r="AC882" s="74" t="str">
        <f t="shared" si="297"/>
        <v/>
      </c>
      <c r="AE882" s="74" t="str">
        <f t="shared" si="298"/>
        <v/>
      </c>
      <c r="AF882" s="74" t="str">
        <f t="shared" si="299"/>
        <v/>
      </c>
      <c r="AG882" s="74" t="str">
        <f t="shared" si="300"/>
        <v/>
      </c>
      <c r="AH882" s="74">
        <f t="shared" si="301"/>
        <v>0</v>
      </c>
      <c r="AI882" s="74" t="str">
        <f>IF(AH882&lt;&gt;0,COUNTIF(AH$3:AH882,1),"")</f>
        <v/>
      </c>
      <c r="AJ882" s="74">
        <f t="shared" si="302"/>
        <v>0</v>
      </c>
      <c r="AK882" s="73" t="str">
        <f t="shared" si="303"/>
        <v/>
      </c>
      <c r="AL882" s="73" t="str">
        <f t="shared" si="304"/>
        <v/>
      </c>
      <c r="AM882" s="73" t="str">
        <f t="shared" si="305"/>
        <v/>
      </c>
      <c r="AN882" s="73" t="str">
        <f t="shared" si="306"/>
        <v/>
      </c>
      <c r="AP882" s="61" t="str">
        <f t="shared" si="307"/>
        <v/>
      </c>
      <c r="AQ882" s="61" t="str">
        <f t="shared" si="308"/>
        <v/>
      </c>
      <c r="AR882" s="61" t="str">
        <f t="shared" si="309"/>
        <v/>
      </c>
    </row>
    <row r="883" spans="16:44" x14ac:dyDescent="0.25">
      <c r="P883" s="73" t="str">
        <f t="shared" si="290"/>
        <v/>
      </c>
      <c r="Q883" s="73" t="str">
        <f t="shared" si="291"/>
        <v/>
      </c>
      <c r="R883" s="74" t="str">
        <f t="shared" si="292"/>
        <v/>
      </c>
      <c r="S883" s="74" t="str">
        <f t="shared" si="293"/>
        <v/>
      </c>
      <c r="U883" s="74" t="str">
        <f t="shared" si="310"/>
        <v/>
      </c>
      <c r="V883" s="74" t="str">
        <f t="shared" si="310"/>
        <v/>
      </c>
      <c r="W883" s="74" t="str">
        <f t="shared" si="310"/>
        <v/>
      </c>
      <c r="X883" s="74" t="str">
        <f t="shared" si="310"/>
        <v/>
      </c>
      <c r="Y883" s="74" t="str">
        <f t="shared" si="310"/>
        <v/>
      </c>
      <c r="Z883" s="74" t="str">
        <f t="shared" si="294"/>
        <v/>
      </c>
      <c r="AA883" s="74">
        <f t="shared" si="295"/>
        <v>0</v>
      </c>
      <c r="AB883" s="74">
        <f t="shared" si="296"/>
        <v>0</v>
      </c>
      <c r="AC883" s="74" t="str">
        <f t="shared" si="297"/>
        <v/>
      </c>
      <c r="AE883" s="74" t="str">
        <f t="shared" si="298"/>
        <v/>
      </c>
      <c r="AF883" s="74" t="str">
        <f t="shared" si="299"/>
        <v/>
      </c>
      <c r="AG883" s="74" t="str">
        <f t="shared" si="300"/>
        <v/>
      </c>
      <c r="AH883" s="74">
        <f t="shared" si="301"/>
        <v>0</v>
      </c>
      <c r="AI883" s="74" t="str">
        <f>IF(AH883&lt;&gt;0,COUNTIF(AH$3:AH883,1),"")</f>
        <v/>
      </c>
      <c r="AJ883" s="74">
        <f t="shared" si="302"/>
        <v>0</v>
      </c>
      <c r="AK883" s="73" t="str">
        <f t="shared" si="303"/>
        <v/>
      </c>
      <c r="AL883" s="73" t="str">
        <f t="shared" si="304"/>
        <v/>
      </c>
      <c r="AM883" s="73" t="str">
        <f t="shared" si="305"/>
        <v/>
      </c>
      <c r="AN883" s="73" t="str">
        <f t="shared" si="306"/>
        <v/>
      </c>
      <c r="AP883" s="61" t="str">
        <f t="shared" si="307"/>
        <v/>
      </c>
      <c r="AQ883" s="61" t="str">
        <f t="shared" si="308"/>
        <v/>
      </c>
      <c r="AR883" s="61" t="str">
        <f t="shared" si="309"/>
        <v/>
      </c>
    </row>
    <row r="884" spans="16:44" x14ac:dyDescent="0.25">
      <c r="P884" s="73" t="str">
        <f t="shared" si="290"/>
        <v/>
      </c>
      <c r="Q884" s="73" t="str">
        <f t="shared" si="291"/>
        <v/>
      </c>
      <c r="R884" s="74" t="str">
        <f t="shared" si="292"/>
        <v/>
      </c>
      <c r="S884" s="74" t="str">
        <f t="shared" si="293"/>
        <v/>
      </c>
      <c r="U884" s="74" t="str">
        <f t="shared" si="310"/>
        <v/>
      </c>
      <c r="V884" s="74" t="str">
        <f t="shared" si="310"/>
        <v/>
      </c>
      <c r="W884" s="74" t="str">
        <f t="shared" si="310"/>
        <v/>
      </c>
      <c r="X884" s="74" t="str">
        <f t="shared" si="310"/>
        <v/>
      </c>
      <c r="Y884" s="74" t="str">
        <f t="shared" si="310"/>
        <v/>
      </c>
      <c r="Z884" s="74" t="str">
        <f t="shared" si="294"/>
        <v/>
      </c>
      <c r="AA884" s="74">
        <f t="shared" si="295"/>
        <v>0</v>
      </c>
      <c r="AB884" s="74">
        <f t="shared" si="296"/>
        <v>0</v>
      </c>
      <c r="AC884" s="74" t="str">
        <f t="shared" si="297"/>
        <v/>
      </c>
      <c r="AE884" s="74" t="str">
        <f t="shared" si="298"/>
        <v/>
      </c>
      <c r="AF884" s="74" t="str">
        <f t="shared" si="299"/>
        <v/>
      </c>
      <c r="AG884" s="74" t="str">
        <f t="shared" si="300"/>
        <v/>
      </c>
      <c r="AH884" s="74">
        <f t="shared" si="301"/>
        <v>0</v>
      </c>
      <c r="AI884" s="74" t="str">
        <f>IF(AH884&lt;&gt;0,COUNTIF(AH$3:AH884,1),"")</f>
        <v/>
      </c>
      <c r="AJ884" s="74">
        <f t="shared" si="302"/>
        <v>0</v>
      </c>
      <c r="AK884" s="73" t="str">
        <f t="shared" si="303"/>
        <v/>
      </c>
      <c r="AL884" s="73" t="str">
        <f t="shared" si="304"/>
        <v/>
      </c>
      <c r="AM884" s="73" t="str">
        <f t="shared" si="305"/>
        <v/>
      </c>
      <c r="AN884" s="73" t="str">
        <f t="shared" si="306"/>
        <v/>
      </c>
      <c r="AP884" s="61" t="str">
        <f t="shared" si="307"/>
        <v/>
      </c>
      <c r="AQ884" s="61" t="str">
        <f t="shared" si="308"/>
        <v/>
      </c>
      <c r="AR884" s="61" t="str">
        <f t="shared" si="309"/>
        <v/>
      </c>
    </row>
    <row r="885" spans="16:44" x14ac:dyDescent="0.25">
      <c r="P885" s="73" t="str">
        <f t="shared" si="290"/>
        <v/>
      </c>
      <c r="Q885" s="73" t="str">
        <f t="shared" si="291"/>
        <v/>
      </c>
      <c r="R885" s="74" t="str">
        <f t="shared" si="292"/>
        <v/>
      </c>
      <c r="S885" s="74" t="str">
        <f t="shared" si="293"/>
        <v/>
      </c>
      <c r="U885" s="74" t="str">
        <f t="shared" si="310"/>
        <v/>
      </c>
      <c r="V885" s="74" t="str">
        <f t="shared" si="310"/>
        <v/>
      </c>
      <c r="W885" s="74" t="str">
        <f t="shared" si="310"/>
        <v/>
      </c>
      <c r="X885" s="74" t="str">
        <f t="shared" si="310"/>
        <v/>
      </c>
      <c r="Y885" s="74" t="str">
        <f t="shared" si="310"/>
        <v/>
      </c>
      <c r="Z885" s="74" t="str">
        <f t="shared" si="294"/>
        <v/>
      </c>
      <c r="AA885" s="74">
        <f t="shared" si="295"/>
        <v>0</v>
      </c>
      <c r="AB885" s="74">
        <f t="shared" si="296"/>
        <v>0</v>
      </c>
      <c r="AC885" s="74" t="str">
        <f t="shared" si="297"/>
        <v/>
      </c>
      <c r="AE885" s="74" t="str">
        <f t="shared" si="298"/>
        <v/>
      </c>
      <c r="AF885" s="74" t="str">
        <f t="shared" si="299"/>
        <v/>
      </c>
      <c r="AG885" s="74" t="str">
        <f t="shared" si="300"/>
        <v/>
      </c>
      <c r="AH885" s="74">
        <f t="shared" si="301"/>
        <v>0</v>
      </c>
      <c r="AI885" s="74" t="str">
        <f>IF(AH885&lt;&gt;0,COUNTIF(AH$3:AH885,1),"")</f>
        <v/>
      </c>
      <c r="AJ885" s="74">
        <f t="shared" si="302"/>
        <v>0</v>
      </c>
      <c r="AK885" s="73" t="str">
        <f t="shared" si="303"/>
        <v/>
      </c>
      <c r="AL885" s="73" t="str">
        <f t="shared" si="304"/>
        <v/>
      </c>
      <c r="AM885" s="73" t="str">
        <f t="shared" si="305"/>
        <v/>
      </c>
      <c r="AN885" s="73" t="str">
        <f t="shared" si="306"/>
        <v/>
      </c>
      <c r="AP885" s="61" t="str">
        <f t="shared" si="307"/>
        <v/>
      </c>
      <c r="AQ885" s="61" t="str">
        <f t="shared" si="308"/>
        <v/>
      </c>
      <c r="AR885" s="61" t="str">
        <f t="shared" si="309"/>
        <v/>
      </c>
    </row>
    <row r="886" spans="16:44" x14ac:dyDescent="0.25">
      <c r="P886" s="73" t="str">
        <f t="shared" si="290"/>
        <v/>
      </c>
      <c r="Q886" s="73" t="str">
        <f t="shared" si="291"/>
        <v/>
      </c>
      <c r="R886" s="74" t="str">
        <f t="shared" si="292"/>
        <v/>
      </c>
      <c r="S886" s="74" t="str">
        <f t="shared" si="293"/>
        <v/>
      </c>
      <c r="U886" s="74" t="str">
        <f t="shared" si="310"/>
        <v/>
      </c>
      <c r="V886" s="74" t="str">
        <f t="shared" si="310"/>
        <v/>
      </c>
      <c r="W886" s="74" t="str">
        <f t="shared" si="310"/>
        <v/>
      </c>
      <c r="X886" s="74" t="str">
        <f t="shared" si="310"/>
        <v/>
      </c>
      <c r="Y886" s="74" t="str">
        <f t="shared" si="310"/>
        <v/>
      </c>
      <c r="Z886" s="74" t="str">
        <f t="shared" si="294"/>
        <v/>
      </c>
      <c r="AA886" s="74">
        <f t="shared" si="295"/>
        <v>0</v>
      </c>
      <c r="AB886" s="74">
        <f t="shared" si="296"/>
        <v>0</v>
      </c>
      <c r="AC886" s="74" t="str">
        <f t="shared" si="297"/>
        <v/>
      </c>
      <c r="AE886" s="74" t="str">
        <f t="shared" si="298"/>
        <v/>
      </c>
      <c r="AF886" s="74" t="str">
        <f t="shared" si="299"/>
        <v/>
      </c>
      <c r="AG886" s="74" t="str">
        <f t="shared" si="300"/>
        <v/>
      </c>
      <c r="AH886" s="74">
        <f t="shared" si="301"/>
        <v>0</v>
      </c>
      <c r="AI886" s="74" t="str">
        <f>IF(AH886&lt;&gt;0,COUNTIF(AH$3:AH886,1),"")</f>
        <v/>
      </c>
      <c r="AJ886" s="74">
        <f t="shared" si="302"/>
        <v>0</v>
      </c>
      <c r="AK886" s="73" t="str">
        <f t="shared" si="303"/>
        <v/>
      </c>
      <c r="AL886" s="73" t="str">
        <f t="shared" si="304"/>
        <v/>
      </c>
      <c r="AM886" s="73" t="str">
        <f t="shared" si="305"/>
        <v/>
      </c>
      <c r="AN886" s="73" t="str">
        <f t="shared" si="306"/>
        <v/>
      </c>
      <c r="AP886" s="61" t="str">
        <f t="shared" si="307"/>
        <v/>
      </c>
      <c r="AQ886" s="61" t="str">
        <f t="shared" si="308"/>
        <v/>
      </c>
      <c r="AR886" s="61" t="str">
        <f t="shared" si="309"/>
        <v/>
      </c>
    </row>
    <row r="887" spans="16:44" x14ac:dyDescent="0.25">
      <c r="P887" s="73" t="str">
        <f t="shared" si="290"/>
        <v/>
      </c>
      <c r="Q887" s="73" t="str">
        <f t="shared" si="291"/>
        <v/>
      </c>
      <c r="R887" s="74" t="str">
        <f t="shared" si="292"/>
        <v/>
      </c>
      <c r="S887" s="74" t="str">
        <f t="shared" si="293"/>
        <v/>
      </c>
      <c r="U887" s="74" t="str">
        <f t="shared" si="310"/>
        <v/>
      </c>
      <c r="V887" s="74" t="str">
        <f t="shared" si="310"/>
        <v/>
      </c>
      <c r="W887" s="74" t="str">
        <f t="shared" si="310"/>
        <v/>
      </c>
      <c r="X887" s="74" t="str">
        <f t="shared" si="310"/>
        <v/>
      </c>
      <c r="Y887" s="74" t="str">
        <f t="shared" si="310"/>
        <v/>
      </c>
      <c r="Z887" s="74" t="str">
        <f t="shared" si="294"/>
        <v/>
      </c>
      <c r="AA887" s="74">
        <f t="shared" si="295"/>
        <v>0</v>
      </c>
      <c r="AB887" s="74">
        <f t="shared" si="296"/>
        <v>0</v>
      </c>
      <c r="AC887" s="74" t="str">
        <f t="shared" si="297"/>
        <v/>
      </c>
      <c r="AE887" s="74" t="str">
        <f t="shared" si="298"/>
        <v/>
      </c>
      <c r="AF887" s="74" t="str">
        <f t="shared" si="299"/>
        <v/>
      </c>
      <c r="AG887" s="74" t="str">
        <f t="shared" si="300"/>
        <v/>
      </c>
      <c r="AH887" s="74">
        <f t="shared" si="301"/>
        <v>0</v>
      </c>
      <c r="AI887" s="74" t="str">
        <f>IF(AH887&lt;&gt;0,COUNTIF(AH$3:AH887,1),"")</f>
        <v/>
      </c>
      <c r="AJ887" s="74">
        <f t="shared" si="302"/>
        <v>0</v>
      </c>
      <c r="AK887" s="73" t="str">
        <f t="shared" si="303"/>
        <v/>
      </c>
      <c r="AL887" s="73" t="str">
        <f t="shared" si="304"/>
        <v/>
      </c>
      <c r="AM887" s="73" t="str">
        <f t="shared" si="305"/>
        <v/>
      </c>
      <c r="AN887" s="73" t="str">
        <f t="shared" si="306"/>
        <v/>
      </c>
      <c r="AP887" s="61" t="str">
        <f t="shared" si="307"/>
        <v/>
      </c>
      <c r="AQ887" s="61" t="str">
        <f t="shared" si="308"/>
        <v/>
      </c>
      <c r="AR887" s="61" t="str">
        <f t="shared" si="309"/>
        <v/>
      </c>
    </row>
    <row r="888" spans="16:44" x14ac:dyDescent="0.25">
      <c r="P888" s="73" t="str">
        <f t="shared" si="290"/>
        <v/>
      </c>
      <c r="Q888" s="73" t="str">
        <f t="shared" si="291"/>
        <v/>
      </c>
      <c r="R888" s="74" t="str">
        <f t="shared" si="292"/>
        <v/>
      </c>
      <c r="S888" s="74" t="str">
        <f t="shared" si="293"/>
        <v/>
      </c>
      <c r="U888" s="74" t="str">
        <f t="shared" si="310"/>
        <v/>
      </c>
      <c r="V888" s="74" t="str">
        <f t="shared" si="310"/>
        <v/>
      </c>
      <c r="W888" s="74" t="str">
        <f t="shared" si="310"/>
        <v/>
      </c>
      <c r="X888" s="74" t="str">
        <f t="shared" si="310"/>
        <v/>
      </c>
      <c r="Y888" s="74" t="str">
        <f t="shared" si="310"/>
        <v/>
      </c>
      <c r="Z888" s="74" t="str">
        <f t="shared" si="294"/>
        <v/>
      </c>
      <c r="AA888" s="74">
        <f t="shared" si="295"/>
        <v>0</v>
      </c>
      <c r="AB888" s="74">
        <f t="shared" si="296"/>
        <v>0</v>
      </c>
      <c r="AC888" s="74" t="str">
        <f t="shared" si="297"/>
        <v/>
      </c>
      <c r="AE888" s="74" t="str">
        <f t="shared" si="298"/>
        <v/>
      </c>
      <c r="AF888" s="74" t="str">
        <f t="shared" si="299"/>
        <v/>
      </c>
      <c r="AG888" s="74" t="str">
        <f t="shared" si="300"/>
        <v/>
      </c>
      <c r="AH888" s="74">
        <f t="shared" si="301"/>
        <v>0</v>
      </c>
      <c r="AI888" s="74" t="str">
        <f>IF(AH888&lt;&gt;0,COUNTIF(AH$3:AH888,1),"")</f>
        <v/>
      </c>
      <c r="AJ888" s="74">
        <f t="shared" si="302"/>
        <v>0</v>
      </c>
      <c r="AK888" s="73" t="str">
        <f t="shared" si="303"/>
        <v/>
      </c>
      <c r="AL888" s="73" t="str">
        <f t="shared" si="304"/>
        <v/>
      </c>
      <c r="AM888" s="73" t="str">
        <f t="shared" si="305"/>
        <v/>
      </c>
      <c r="AN888" s="73" t="str">
        <f t="shared" si="306"/>
        <v/>
      </c>
      <c r="AP888" s="61" t="str">
        <f t="shared" si="307"/>
        <v/>
      </c>
      <c r="AQ888" s="61" t="str">
        <f t="shared" si="308"/>
        <v/>
      </c>
      <c r="AR888" s="61" t="str">
        <f t="shared" si="309"/>
        <v/>
      </c>
    </row>
    <row r="889" spans="16:44" x14ac:dyDescent="0.25">
      <c r="P889" s="73" t="str">
        <f t="shared" si="290"/>
        <v/>
      </c>
      <c r="Q889" s="73" t="str">
        <f t="shared" si="291"/>
        <v/>
      </c>
      <c r="R889" s="74" t="str">
        <f t="shared" si="292"/>
        <v/>
      </c>
      <c r="S889" s="74" t="str">
        <f t="shared" si="293"/>
        <v/>
      </c>
      <c r="U889" s="74" t="str">
        <f t="shared" si="310"/>
        <v/>
      </c>
      <c r="V889" s="74" t="str">
        <f t="shared" si="310"/>
        <v/>
      </c>
      <c r="W889" s="74" t="str">
        <f t="shared" si="310"/>
        <v/>
      </c>
      <c r="X889" s="74" t="str">
        <f t="shared" si="310"/>
        <v/>
      </c>
      <c r="Y889" s="74" t="str">
        <f t="shared" si="310"/>
        <v/>
      </c>
      <c r="Z889" s="74" t="str">
        <f t="shared" si="294"/>
        <v/>
      </c>
      <c r="AA889" s="74">
        <f t="shared" si="295"/>
        <v>0</v>
      </c>
      <c r="AB889" s="74">
        <f t="shared" si="296"/>
        <v>0</v>
      </c>
      <c r="AC889" s="74" t="str">
        <f t="shared" si="297"/>
        <v/>
      </c>
      <c r="AE889" s="74" t="str">
        <f t="shared" si="298"/>
        <v/>
      </c>
      <c r="AF889" s="74" t="str">
        <f t="shared" si="299"/>
        <v/>
      </c>
      <c r="AG889" s="74" t="str">
        <f t="shared" si="300"/>
        <v/>
      </c>
      <c r="AH889" s="74">
        <f t="shared" si="301"/>
        <v>0</v>
      </c>
      <c r="AI889" s="74" t="str">
        <f>IF(AH889&lt;&gt;0,COUNTIF(AH$3:AH889,1),"")</f>
        <v/>
      </c>
      <c r="AJ889" s="74">
        <f t="shared" si="302"/>
        <v>0</v>
      </c>
      <c r="AK889" s="73" t="str">
        <f t="shared" si="303"/>
        <v/>
      </c>
      <c r="AL889" s="73" t="str">
        <f t="shared" si="304"/>
        <v/>
      </c>
      <c r="AM889" s="73" t="str">
        <f t="shared" si="305"/>
        <v/>
      </c>
      <c r="AN889" s="73" t="str">
        <f t="shared" si="306"/>
        <v/>
      </c>
      <c r="AP889" s="61" t="str">
        <f t="shared" si="307"/>
        <v/>
      </c>
      <c r="AQ889" s="61" t="str">
        <f t="shared" si="308"/>
        <v/>
      </c>
      <c r="AR889" s="61" t="str">
        <f t="shared" si="309"/>
        <v/>
      </c>
    </row>
    <row r="890" spans="16:44" x14ac:dyDescent="0.25">
      <c r="P890" s="73" t="str">
        <f t="shared" si="290"/>
        <v/>
      </c>
      <c r="Q890" s="73" t="str">
        <f t="shared" si="291"/>
        <v/>
      </c>
      <c r="R890" s="74" t="str">
        <f t="shared" si="292"/>
        <v/>
      </c>
      <c r="S890" s="74" t="str">
        <f t="shared" si="293"/>
        <v/>
      </c>
      <c r="U890" s="74" t="str">
        <f t="shared" si="310"/>
        <v/>
      </c>
      <c r="V890" s="74" t="str">
        <f t="shared" si="310"/>
        <v/>
      </c>
      <c r="W890" s="74" t="str">
        <f t="shared" si="310"/>
        <v/>
      </c>
      <c r="X890" s="74" t="str">
        <f t="shared" si="310"/>
        <v/>
      </c>
      <c r="Y890" s="74" t="str">
        <f t="shared" si="310"/>
        <v/>
      </c>
      <c r="Z890" s="74" t="str">
        <f t="shared" si="294"/>
        <v/>
      </c>
      <c r="AA890" s="74">
        <f t="shared" si="295"/>
        <v>0</v>
      </c>
      <c r="AB890" s="74">
        <f t="shared" si="296"/>
        <v>0</v>
      </c>
      <c r="AC890" s="74" t="str">
        <f t="shared" si="297"/>
        <v/>
      </c>
      <c r="AE890" s="74" t="str">
        <f t="shared" si="298"/>
        <v/>
      </c>
      <c r="AF890" s="74" t="str">
        <f t="shared" si="299"/>
        <v/>
      </c>
      <c r="AG890" s="74" t="str">
        <f t="shared" si="300"/>
        <v/>
      </c>
      <c r="AH890" s="74">
        <f t="shared" si="301"/>
        <v>0</v>
      </c>
      <c r="AI890" s="74" t="str">
        <f>IF(AH890&lt;&gt;0,COUNTIF(AH$3:AH890,1),"")</f>
        <v/>
      </c>
      <c r="AJ890" s="74">
        <f t="shared" si="302"/>
        <v>0</v>
      </c>
      <c r="AK890" s="73" t="str">
        <f t="shared" si="303"/>
        <v/>
      </c>
      <c r="AL890" s="73" t="str">
        <f t="shared" si="304"/>
        <v/>
      </c>
      <c r="AM890" s="73" t="str">
        <f t="shared" si="305"/>
        <v/>
      </c>
      <c r="AN890" s="73" t="str">
        <f t="shared" si="306"/>
        <v/>
      </c>
      <c r="AP890" s="61" t="str">
        <f t="shared" si="307"/>
        <v/>
      </c>
      <c r="AQ890" s="61" t="str">
        <f t="shared" si="308"/>
        <v/>
      </c>
      <c r="AR890" s="61" t="str">
        <f t="shared" si="309"/>
        <v/>
      </c>
    </row>
    <row r="891" spans="16:44" x14ac:dyDescent="0.25">
      <c r="P891" s="73" t="str">
        <f t="shared" si="290"/>
        <v/>
      </c>
      <c r="Q891" s="73" t="str">
        <f t="shared" si="291"/>
        <v/>
      </c>
      <c r="R891" s="74" t="str">
        <f t="shared" si="292"/>
        <v/>
      </c>
      <c r="S891" s="74" t="str">
        <f t="shared" si="293"/>
        <v/>
      </c>
      <c r="U891" s="74" t="str">
        <f t="shared" si="310"/>
        <v/>
      </c>
      <c r="V891" s="74" t="str">
        <f t="shared" si="310"/>
        <v/>
      </c>
      <c r="W891" s="74" t="str">
        <f t="shared" si="310"/>
        <v/>
      </c>
      <c r="X891" s="74" t="str">
        <f t="shared" si="310"/>
        <v/>
      </c>
      <c r="Y891" s="74" t="str">
        <f t="shared" si="310"/>
        <v/>
      </c>
      <c r="Z891" s="74" t="str">
        <f t="shared" si="294"/>
        <v/>
      </c>
      <c r="AA891" s="74">
        <f t="shared" si="295"/>
        <v>0</v>
      </c>
      <c r="AB891" s="74">
        <f t="shared" si="296"/>
        <v>0</v>
      </c>
      <c r="AC891" s="74" t="str">
        <f t="shared" si="297"/>
        <v/>
      </c>
      <c r="AE891" s="74" t="str">
        <f t="shared" si="298"/>
        <v/>
      </c>
      <c r="AF891" s="74" t="str">
        <f t="shared" si="299"/>
        <v/>
      </c>
      <c r="AG891" s="74" t="str">
        <f t="shared" si="300"/>
        <v/>
      </c>
      <c r="AH891" s="74">
        <f t="shared" si="301"/>
        <v>0</v>
      </c>
      <c r="AI891" s="74" t="str">
        <f>IF(AH891&lt;&gt;0,COUNTIF(AH$3:AH891,1),"")</f>
        <v/>
      </c>
      <c r="AJ891" s="74">
        <f t="shared" si="302"/>
        <v>0</v>
      </c>
      <c r="AK891" s="73" t="str">
        <f t="shared" si="303"/>
        <v/>
      </c>
      <c r="AL891" s="73" t="str">
        <f t="shared" si="304"/>
        <v/>
      </c>
      <c r="AM891" s="73" t="str">
        <f t="shared" si="305"/>
        <v/>
      </c>
      <c r="AN891" s="73" t="str">
        <f t="shared" si="306"/>
        <v/>
      </c>
      <c r="AP891" s="61" t="str">
        <f t="shared" si="307"/>
        <v/>
      </c>
      <c r="AQ891" s="61" t="str">
        <f t="shared" si="308"/>
        <v/>
      </c>
      <c r="AR891" s="61" t="str">
        <f t="shared" si="309"/>
        <v/>
      </c>
    </row>
    <row r="892" spans="16:44" x14ac:dyDescent="0.25">
      <c r="P892" s="73" t="str">
        <f t="shared" si="290"/>
        <v/>
      </c>
      <c r="Q892" s="73" t="str">
        <f t="shared" si="291"/>
        <v/>
      </c>
      <c r="R892" s="74" t="str">
        <f t="shared" si="292"/>
        <v/>
      </c>
      <c r="S892" s="74" t="str">
        <f t="shared" si="293"/>
        <v/>
      </c>
      <c r="U892" s="74" t="str">
        <f t="shared" si="310"/>
        <v/>
      </c>
      <c r="V892" s="74" t="str">
        <f t="shared" si="310"/>
        <v/>
      </c>
      <c r="W892" s="74" t="str">
        <f t="shared" si="310"/>
        <v/>
      </c>
      <c r="X892" s="74" t="str">
        <f t="shared" si="310"/>
        <v/>
      </c>
      <c r="Y892" s="74" t="str">
        <f t="shared" si="310"/>
        <v/>
      </c>
      <c r="Z892" s="74" t="str">
        <f t="shared" si="294"/>
        <v/>
      </c>
      <c r="AA892" s="74">
        <f t="shared" si="295"/>
        <v>0</v>
      </c>
      <c r="AB892" s="74">
        <f t="shared" si="296"/>
        <v>0</v>
      </c>
      <c r="AC892" s="74" t="str">
        <f t="shared" si="297"/>
        <v/>
      </c>
      <c r="AE892" s="74" t="str">
        <f t="shared" si="298"/>
        <v/>
      </c>
      <c r="AF892" s="74" t="str">
        <f t="shared" si="299"/>
        <v/>
      </c>
      <c r="AG892" s="74" t="str">
        <f t="shared" si="300"/>
        <v/>
      </c>
      <c r="AH892" s="74">
        <f t="shared" si="301"/>
        <v>0</v>
      </c>
      <c r="AI892" s="74" t="str">
        <f>IF(AH892&lt;&gt;0,COUNTIF(AH$3:AH892,1),"")</f>
        <v/>
      </c>
      <c r="AJ892" s="74">
        <f t="shared" si="302"/>
        <v>0</v>
      </c>
      <c r="AK892" s="73" t="str">
        <f t="shared" si="303"/>
        <v/>
      </c>
      <c r="AL892" s="73" t="str">
        <f t="shared" si="304"/>
        <v/>
      </c>
      <c r="AM892" s="73" t="str">
        <f t="shared" si="305"/>
        <v/>
      </c>
      <c r="AN892" s="73" t="str">
        <f t="shared" si="306"/>
        <v/>
      </c>
      <c r="AP892" s="61" t="str">
        <f t="shared" si="307"/>
        <v/>
      </c>
      <c r="AQ892" s="61" t="str">
        <f t="shared" si="308"/>
        <v/>
      </c>
      <c r="AR892" s="61" t="str">
        <f t="shared" si="309"/>
        <v/>
      </c>
    </row>
    <row r="893" spans="16:44" x14ac:dyDescent="0.25">
      <c r="P893" s="73" t="str">
        <f t="shared" si="290"/>
        <v/>
      </c>
      <c r="Q893" s="73" t="str">
        <f t="shared" si="291"/>
        <v/>
      </c>
      <c r="R893" s="74" t="str">
        <f t="shared" si="292"/>
        <v/>
      </c>
      <c r="S893" s="74" t="str">
        <f t="shared" si="293"/>
        <v/>
      </c>
      <c r="U893" s="74" t="str">
        <f t="shared" si="310"/>
        <v/>
      </c>
      <c r="V893" s="74" t="str">
        <f t="shared" si="310"/>
        <v/>
      </c>
      <c r="W893" s="74" t="str">
        <f t="shared" si="310"/>
        <v/>
      </c>
      <c r="X893" s="74" t="str">
        <f t="shared" si="310"/>
        <v/>
      </c>
      <c r="Y893" s="74" t="str">
        <f t="shared" si="310"/>
        <v/>
      </c>
      <c r="Z893" s="74" t="str">
        <f t="shared" si="294"/>
        <v/>
      </c>
      <c r="AA893" s="74">
        <f t="shared" si="295"/>
        <v>0</v>
      </c>
      <c r="AB893" s="74">
        <f t="shared" si="296"/>
        <v>0</v>
      </c>
      <c r="AC893" s="74" t="str">
        <f t="shared" si="297"/>
        <v/>
      </c>
      <c r="AE893" s="74" t="str">
        <f t="shared" si="298"/>
        <v/>
      </c>
      <c r="AF893" s="74" t="str">
        <f t="shared" si="299"/>
        <v/>
      </c>
      <c r="AG893" s="74" t="str">
        <f t="shared" si="300"/>
        <v/>
      </c>
      <c r="AH893" s="74">
        <f t="shared" si="301"/>
        <v>0</v>
      </c>
      <c r="AI893" s="74" t="str">
        <f>IF(AH893&lt;&gt;0,COUNTIF(AH$3:AH893,1),"")</f>
        <v/>
      </c>
      <c r="AJ893" s="74">
        <f t="shared" si="302"/>
        <v>0</v>
      </c>
      <c r="AK893" s="73" t="str">
        <f t="shared" si="303"/>
        <v/>
      </c>
      <c r="AL893" s="73" t="str">
        <f t="shared" si="304"/>
        <v/>
      </c>
      <c r="AM893" s="73" t="str">
        <f t="shared" si="305"/>
        <v/>
      </c>
      <c r="AN893" s="73" t="str">
        <f t="shared" si="306"/>
        <v/>
      </c>
      <c r="AP893" s="61" t="str">
        <f t="shared" si="307"/>
        <v/>
      </c>
      <c r="AQ893" s="61" t="str">
        <f t="shared" si="308"/>
        <v/>
      </c>
      <c r="AR893" s="61" t="str">
        <f t="shared" si="309"/>
        <v/>
      </c>
    </row>
    <row r="894" spans="16:44" x14ac:dyDescent="0.25">
      <c r="P894" s="73" t="str">
        <f t="shared" ref="P894:P957" si="311">IF(N894&lt;&gt;"",SUBSTITUTE(LEFT(N894,FIND(";",N894)),";",""),"")</f>
        <v/>
      </c>
      <c r="Q894" s="73" t="str">
        <f t="shared" ref="Q894:Q957" si="312">IF(N894&lt;&gt;"",SUBSTITUTE(RIGHT(N894,FIND(";",N894)),";",""),"")</f>
        <v/>
      </c>
      <c r="R894" s="74" t="str">
        <f t="shared" ref="R894:R957" si="313">IF(O894&lt;&gt;"",SUBSTITUTE(LEFT(O894,FIND(";",O894)),";",""),"")</f>
        <v/>
      </c>
      <c r="S894" s="74" t="str">
        <f t="shared" ref="S894:S957" si="314">IF(O894&lt;&gt;"",IFERROR(IF(FIND("OK",O894)&gt;0,TRUE),FALSE),"")</f>
        <v/>
      </c>
      <c r="U894" s="74" t="str">
        <f t="shared" si="310"/>
        <v/>
      </c>
      <c r="V894" s="74" t="str">
        <f t="shared" si="310"/>
        <v/>
      </c>
      <c r="W894" s="74" t="str">
        <f t="shared" si="310"/>
        <v/>
      </c>
      <c r="X894" s="74" t="str">
        <f t="shared" si="310"/>
        <v/>
      </c>
      <c r="Y894" s="74" t="str">
        <f t="shared" si="310"/>
        <v/>
      </c>
      <c r="Z894" s="74" t="str">
        <f t="shared" ref="Z894:Z957" si="315">IF(G894,E894,"")</f>
        <v/>
      </c>
      <c r="AA894" s="74">
        <f t="shared" ref="AA894:AA957" si="316">IF(G894=FALSE,E894,"")</f>
        <v>0</v>
      </c>
      <c r="AB894" s="74">
        <f t="shared" ref="AB894:AB957" si="317">IF(G894,1,0)</f>
        <v>0</v>
      </c>
      <c r="AC894" s="74" t="str">
        <f t="shared" ref="AC894:AC957" si="318">IF(A894&lt;&gt;"",IF(G894,0,1),"")</f>
        <v/>
      </c>
      <c r="AE894" s="74" t="str">
        <f t="shared" ref="AE894:AE957" si="319">IF(P894&lt;&gt;"",IF(AND(_xlfn.NUMBERVALUE(P894)&gt;25,_xlfn.NUMBERVALUE(P894)&lt;38),TRUE,FALSE),"")</f>
        <v/>
      </c>
      <c r="AF894" s="74" t="str">
        <f t="shared" ref="AF894:AF957" si="320">IF(Q894&lt;&gt;"",IF(AND(_xlfn.NUMBERVALUE(Q894)&gt;25,_xlfn.NUMBERVALUE(Q894)&lt;38),TRUE,FALSE),"")</f>
        <v/>
      </c>
      <c r="AG894" s="74" t="str">
        <f t="shared" ref="AG894:AG957" si="321">IF(R894&lt;&gt;"",IF(AND(_xlfn.NUMBERVALUE(R894)&gt;262,_xlfn.NUMBERVALUE(R894)&lt;307),TRUE,FALSE),"")</f>
        <v/>
      </c>
      <c r="AH894" s="74">
        <f t="shared" ref="AH894:AH957" si="322">IF(OR(AE894=FALSE,AF894=FALSE,AG894=FALSE),1,0)</f>
        <v>0</v>
      </c>
      <c r="AI894" s="74" t="str">
        <f>IF(AH894&lt;&gt;0,COUNTIF(AH$3:AH894,1),"")</f>
        <v/>
      </c>
      <c r="AJ894" s="74">
        <f t="shared" ref="AJ894:AJ957" si="323">L894</f>
        <v>0</v>
      </c>
      <c r="AK894" s="73" t="str">
        <f t="shared" ref="AK894:AK957" si="324">P894</f>
        <v/>
      </c>
      <c r="AL894" s="73" t="str">
        <f t="shared" ref="AL894:AL957" si="325">Q894</f>
        <v/>
      </c>
      <c r="AM894" s="73" t="str">
        <f t="shared" ref="AM894:AM957" si="326">R894</f>
        <v/>
      </c>
      <c r="AN894" s="73" t="str">
        <f t="shared" ref="AN894:AN957" si="327">S894</f>
        <v/>
      </c>
      <c r="AP894" s="61" t="str">
        <f t="shared" si="307"/>
        <v/>
      </c>
      <c r="AQ894" s="61" t="str">
        <f t="shared" si="308"/>
        <v/>
      </c>
      <c r="AR894" s="61" t="str">
        <f t="shared" si="309"/>
        <v/>
      </c>
    </row>
    <row r="895" spans="16:44" x14ac:dyDescent="0.25">
      <c r="P895" s="73" t="str">
        <f t="shared" si="311"/>
        <v/>
      </c>
      <c r="Q895" s="73" t="str">
        <f t="shared" si="312"/>
        <v/>
      </c>
      <c r="R895" s="74" t="str">
        <f t="shared" si="313"/>
        <v/>
      </c>
      <c r="S895" s="74" t="str">
        <f t="shared" si="314"/>
        <v/>
      </c>
      <c r="U895" s="74" t="str">
        <f t="shared" si="310"/>
        <v/>
      </c>
      <c r="V895" s="74" t="str">
        <f t="shared" si="310"/>
        <v/>
      </c>
      <c r="W895" s="74" t="str">
        <f t="shared" si="310"/>
        <v/>
      </c>
      <c r="X895" s="74" t="str">
        <f t="shared" si="310"/>
        <v/>
      </c>
      <c r="Y895" s="74" t="str">
        <f t="shared" si="310"/>
        <v/>
      </c>
      <c r="Z895" s="74" t="str">
        <f t="shared" si="315"/>
        <v/>
      </c>
      <c r="AA895" s="74">
        <f t="shared" si="316"/>
        <v>0</v>
      </c>
      <c r="AB895" s="74">
        <f t="shared" si="317"/>
        <v>0</v>
      </c>
      <c r="AC895" s="74" t="str">
        <f t="shared" si="318"/>
        <v/>
      </c>
      <c r="AE895" s="74" t="str">
        <f t="shared" si="319"/>
        <v/>
      </c>
      <c r="AF895" s="74" t="str">
        <f t="shared" si="320"/>
        <v/>
      </c>
      <c r="AG895" s="74" t="str">
        <f t="shared" si="321"/>
        <v/>
      </c>
      <c r="AH895" s="74">
        <f t="shared" si="322"/>
        <v>0</v>
      </c>
      <c r="AI895" s="74" t="str">
        <f>IF(AH895&lt;&gt;0,COUNTIF(AH$3:AH895,1),"")</f>
        <v/>
      </c>
      <c r="AJ895" s="74">
        <f t="shared" si="323"/>
        <v>0</v>
      </c>
      <c r="AK895" s="73" t="str">
        <f t="shared" si="324"/>
        <v/>
      </c>
      <c r="AL895" s="73" t="str">
        <f t="shared" si="325"/>
        <v/>
      </c>
      <c r="AM895" s="73" t="str">
        <f t="shared" si="326"/>
        <v/>
      </c>
      <c r="AN895" s="73" t="str">
        <f t="shared" si="327"/>
        <v/>
      </c>
      <c r="AP895" s="61" t="str">
        <f t="shared" si="307"/>
        <v/>
      </c>
      <c r="AQ895" s="61" t="str">
        <f t="shared" si="308"/>
        <v/>
      </c>
      <c r="AR895" s="61" t="str">
        <f t="shared" si="309"/>
        <v/>
      </c>
    </row>
    <row r="896" spans="16:44" x14ac:dyDescent="0.25">
      <c r="P896" s="73" t="str">
        <f t="shared" si="311"/>
        <v/>
      </c>
      <c r="Q896" s="73" t="str">
        <f t="shared" si="312"/>
        <v/>
      </c>
      <c r="R896" s="74" t="str">
        <f t="shared" si="313"/>
        <v/>
      </c>
      <c r="S896" s="74" t="str">
        <f t="shared" si="314"/>
        <v/>
      </c>
      <c r="U896" s="74" t="str">
        <f t="shared" si="310"/>
        <v/>
      </c>
      <c r="V896" s="74" t="str">
        <f t="shared" si="310"/>
        <v/>
      </c>
      <c r="W896" s="74" t="str">
        <f t="shared" si="310"/>
        <v/>
      </c>
      <c r="X896" s="74" t="str">
        <f t="shared" si="310"/>
        <v/>
      </c>
      <c r="Y896" s="74" t="str">
        <f t="shared" si="310"/>
        <v/>
      </c>
      <c r="Z896" s="74" t="str">
        <f t="shared" si="315"/>
        <v/>
      </c>
      <c r="AA896" s="74">
        <f t="shared" si="316"/>
        <v>0</v>
      </c>
      <c r="AB896" s="74">
        <f t="shared" si="317"/>
        <v>0</v>
      </c>
      <c r="AC896" s="74" t="str">
        <f t="shared" si="318"/>
        <v/>
      </c>
      <c r="AE896" s="74" t="str">
        <f t="shared" si="319"/>
        <v/>
      </c>
      <c r="AF896" s="74" t="str">
        <f t="shared" si="320"/>
        <v/>
      </c>
      <c r="AG896" s="74" t="str">
        <f t="shared" si="321"/>
        <v/>
      </c>
      <c r="AH896" s="74">
        <f t="shared" si="322"/>
        <v>0</v>
      </c>
      <c r="AI896" s="74" t="str">
        <f>IF(AH896&lt;&gt;0,COUNTIF(AH$3:AH896,1),"")</f>
        <v/>
      </c>
      <c r="AJ896" s="74">
        <f t="shared" si="323"/>
        <v>0</v>
      </c>
      <c r="AK896" s="73" t="str">
        <f t="shared" si="324"/>
        <v/>
      </c>
      <c r="AL896" s="73" t="str">
        <f t="shared" si="325"/>
        <v/>
      </c>
      <c r="AM896" s="73" t="str">
        <f t="shared" si="326"/>
        <v/>
      </c>
      <c r="AN896" s="73" t="str">
        <f t="shared" si="327"/>
        <v/>
      </c>
      <c r="AP896" s="61" t="str">
        <f t="shared" si="307"/>
        <v/>
      </c>
      <c r="AQ896" s="61" t="str">
        <f t="shared" si="308"/>
        <v/>
      </c>
      <c r="AR896" s="61" t="str">
        <f t="shared" si="309"/>
        <v/>
      </c>
    </row>
    <row r="897" spans="16:44" x14ac:dyDescent="0.25">
      <c r="P897" s="73" t="str">
        <f t="shared" si="311"/>
        <v/>
      </c>
      <c r="Q897" s="73" t="str">
        <f t="shared" si="312"/>
        <v/>
      </c>
      <c r="R897" s="74" t="str">
        <f t="shared" si="313"/>
        <v/>
      </c>
      <c r="S897" s="74" t="str">
        <f t="shared" si="314"/>
        <v/>
      </c>
      <c r="U897" s="74" t="str">
        <f t="shared" si="310"/>
        <v/>
      </c>
      <c r="V897" s="74" t="str">
        <f t="shared" si="310"/>
        <v/>
      </c>
      <c r="W897" s="74" t="str">
        <f t="shared" si="310"/>
        <v/>
      </c>
      <c r="X897" s="74" t="str">
        <f t="shared" si="310"/>
        <v/>
      </c>
      <c r="Y897" s="74" t="str">
        <f t="shared" si="310"/>
        <v/>
      </c>
      <c r="Z897" s="74" t="str">
        <f t="shared" si="315"/>
        <v/>
      </c>
      <c r="AA897" s="74">
        <f t="shared" si="316"/>
        <v>0</v>
      </c>
      <c r="AB897" s="74">
        <f t="shared" si="317"/>
        <v>0</v>
      </c>
      <c r="AC897" s="74" t="str">
        <f t="shared" si="318"/>
        <v/>
      </c>
      <c r="AE897" s="74" t="str">
        <f t="shared" si="319"/>
        <v/>
      </c>
      <c r="AF897" s="74" t="str">
        <f t="shared" si="320"/>
        <v/>
      </c>
      <c r="AG897" s="74" t="str">
        <f t="shared" si="321"/>
        <v/>
      </c>
      <c r="AH897" s="74">
        <f t="shared" si="322"/>
        <v>0</v>
      </c>
      <c r="AI897" s="74" t="str">
        <f>IF(AH897&lt;&gt;0,COUNTIF(AH$3:AH897,1),"")</f>
        <v/>
      </c>
      <c r="AJ897" s="74">
        <f t="shared" si="323"/>
        <v>0</v>
      </c>
      <c r="AK897" s="73" t="str">
        <f t="shared" si="324"/>
        <v/>
      </c>
      <c r="AL897" s="73" t="str">
        <f t="shared" si="325"/>
        <v/>
      </c>
      <c r="AM897" s="73" t="str">
        <f t="shared" si="326"/>
        <v/>
      </c>
      <c r="AN897" s="73" t="str">
        <f t="shared" si="327"/>
        <v/>
      </c>
      <c r="AP897" s="61" t="str">
        <f t="shared" si="307"/>
        <v/>
      </c>
      <c r="AQ897" s="61" t="str">
        <f t="shared" si="308"/>
        <v/>
      </c>
      <c r="AR897" s="61" t="str">
        <f t="shared" si="309"/>
        <v/>
      </c>
    </row>
    <row r="898" spans="16:44" x14ac:dyDescent="0.25">
      <c r="P898" s="73" t="str">
        <f t="shared" si="311"/>
        <v/>
      </c>
      <c r="Q898" s="73" t="str">
        <f t="shared" si="312"/>
        <v/>
      </c>
      <c r="R898" s="74" t="str">
        <f t="shared" si="313"/>
        <v/>
      </c>
      <c r="S898" s="74" t="str">
        <f t="shared" si="314"/>
        <v/>
      </c>
      <c r="U898" s="74" t="str">
        <f t="shared" si="310"/>
        <v/>
      </c>
      <c r="V898" s="74" t="str">
        <f t="shared" si="310"/>
        <v/>
      </c>
      <c r="W898" s="74" t="str">
        <f t="shared" si="310"/>
        <v/>
      </c>
      <c r="X898" s="74" t="str">
        <f t="shared" si="310"/>
        <v/>
      </c>
      <c r="Y898" s="74" t="str">
        <f t="shared" si="310"/>
        <v/>
      </c>
      <c r="Z898" s="74" t="str">
        <f t="shared" si="315"/>
        <v/>
      </c>
      <c r="AA898" s="74">
        <f t="shared" si="316"/>
        <v>0</v>
      </c>
      <c r="AB898" s="74">
        <f t="shared" si="317"/>
        <v>0</v>
      </c>
      <c r="AC898" s="74" t="str">
        <f t="shared" si="318"/>
        <v/>
      </c>
      <c r="AE898" s="74" t="str">
        <f t="shared" si="319"/>
        <v/>
      </c>
      <c r="AF898" s="74" t="str">
        <f t="shared" si="320"/>
        <v/>
      </c>
      <c r="AG898" s="74" t="str">
        <f t="shared" si="321"/>
        <v/>
      </c>
      <c r="AH898" s="74">
        <f t="shared" si="322"/>
        <v>0</v>
      </c>
      <c r="AI898" s="74" t="str">
        <f>IF(AH898&lt;&gt;0,COUNTIF(AH$3:AH898,1),"")</f>
        <v/>
      </c>
      <c r="AJ898" s="74">
        <f t="shared" si="323"/>
        <v>0</v>
      </c>
      <c r="AK898" s="73" t="str">
        <f t="shared" si="324"/>
        <v/>
      </c>
      <c r="AL898" s="73" t="str">
        <f t="shared" si="325"/>
        <v/>
      </c>
      <c r="AM898" s="73" t="str">
        <f t="shared" si="326"/>
        <v/>
      </c>
      <c r="AN898" s="73" t="str">
        <f t="shared" si="327"/>
        <v/>
      </c>
      <c r="AP898" s="61" t="str">
        <f t="shared" si="307"/>
        <v/>
      </c>
      <c r="AQ898" s="61" t="str">
        <f t="shared" si="308"/>
        <v/>
      </c>
      <c r="AR898" s="61" t="str">
        <f t="shared" si="309"/>
        <v/>
      </c>
    </row>
    <row r="899" spans="16:44" x14ac:dyDescent="0.25">
      <c r="P899" s="73" t="str">
        <f t="shared" si="311"/>
        <v/>
      </c>
      <c r="Q899" s="73" t="str">
        <f t="shared" si="312"/>
        <v/>
      </c>
      <c r="R899" s="74" t="str">
        <f t="shared" si="313"/>
        <v/>
      </c>
      <c r="S899" s="74" t="str">
        <f t="shared" si="314"/>
        <v/>
      </c>
      <c r="U899" s="74" t="str">
        <f t="shared" si="310"/>
        <v/>
      </c>
      <c r="V899" s="74" t="str">
        <f t="shared" si="310"/>
        <v/>
      </c>
      <c r="W899" s="74" t="str">
        <f t="shared" si="310"/>
        <v/>
      </c>
      <c r="X899" s="74" t="str">
        <f t="shared" si="310"/>
        <v/>
      </c>
      <c r="Y899" s="74" t="str">
        <f t="shared" si="310"/>
        <v/>
      </c>
      <c r="Z899" s="74" t="str">
        <f t="shared" si="315"/>
        <v/>
      </c>
      <c r="AA899" s="74">
        <f t="shared" si="316"/>
        <v>0</v>
      </c>
      <c r="AB899" s="74">
        <f t="shared" si="317"/>
        <v>0</v>
      </c>
      <c r="AC899" s="74" t="str">
        <f t="shared" si="318"/>
        <v/>
      </c>
      <c r="AE899" s="74" t="str">
        <f t="shared" si="319"/>
        <v/>
      </c>
      <c r="AF899" s="74" t="str">
        <f t="shared" si="320"/>
        <v/>
      </c>
      <c r="AG899" s="74" t="str">
        <f t="shared" si="321"/>
        <v/>
      </c>
      <c r="AH899" s="74">
        <f t="shared" si="322"/>
        <v>0</v>
      </c>
      <c r="AI899" s="74" t="str">
        <f>IF(AH899&lt;&gt;0,COUNTIF(AH$3:AH899,1),"")</f>
        <v/>
      </c>
      <c r="AJ899" s="74">
        <f t="shared" si="323"/>
        <v>0</v>
      </c>
      <c r="AK899" s="73" t="str">
        <f t="shared" si="324"/>
        <v/>
      </c>
      <c r="AL899" s="73" t="str">
        <f t="shared" si="325"/>
        <v/>
      </c>
      <c r="AM899" s="73" t="str">
        <f t="shared" si="326"/>
        <v/>
      </c>
      <c r="AN899" s="73" t="str">
        <f t="shared" si="327"/>
        <v/>
      </c>
      <c r="AP899" s="61" t="str">
        <f t="shared" si="307"/>
        <v/>
      </c>
      <c r="AQ899" s="61" t="str">
        <f t="shared" si="308"/>
        <v/>
      </c>
      <c r="AR899" s="61" t="str">
        <f t="shared" si="309"/>
        <v/>
      </c>
    </row>
    <row r="900" spans="16:44" x14ac:dyDescent="0.25">
      <c r="P900" s="73" t="str">
        <f t="shared" si="311"/>
        <v/>
      </c>
      <c r="Q900" s="73" t="str">
        <f t="shared" si="312"/>
        <v/>
      </c>
      <c r="R900" s="74" t="str">
        <f t="shared" si="313"/>
        <v/>
      </c>
      <c r="S900" s="74" t="str">
        <f t="shared" si="314"/>
        <v/>
      </c>
      <c r="U900" s="74" t="str">
        <f t="shared" si="310"/>
        <v/>
      </c>
      <c r="V900" s="74" t="str">
        <f t="shared" si="310"/>
        <v/>
      </c>
      <c r="W900" s="74" t="str">
        <f t="shared" si="310"/>
        <v/>
      </c>
      <c r="X900" s="74" t="str">
        <f t="shared" si="310"/>
        <v/>
      </c>
      <c r="Y900" s="74" t="str">
        <f t="shared" si="310"/>
        <v/>
      </c>
      <c r="Z900" s="74" t="str">
        <f t="shared" si="315"/>
        <v/>
      </c>
      <c r="AA900" s="74">
        <f t="shared" si="316"/>
        <v>0</v>
      </c>
      <c r="AB900" s="74">
        <f t="shared" si="317"/>
        <v>0</v>
      </c>
      <c r="AC900" s="74" t="str">
        <f t="shared" si="318"/>
        <v/>
      </c>
      <c r="AE900" s="74" t="str">
        <f t="shared" si="319"/>
        <v/>
      </c>
      <c r="AF900" s="74" t="str">
        <f t="shared" si="320"/>
        <v/>
      </c>
      <c r="AG900" s="74" t="str">
        <f t="shared" si="321"/>
        <v/>
      </c>
      <c r="AH900" s="74">
        <f t="shared" si="322"/>
        <v>0</v>
      </c>
      <c r="AI900" s="74" t="str">
        <f>IF(AH900&lt;&gt;0,COUNTIF(AH$3:AH900,1),"")</f>
        <v/>
      </c>
      <c r="AJ900" s="74">
        <f t="shared" si="323"/>
        <v>0</v>
      </c>
      <c r="AK900" s="73" t="str">
        <f t="shared" si="324"/>
        <v/>
      </c>
      <c r="AL900" s="73" t="str">
        <f t="shared" si="325"/>
        <v/>
      </c>
      <c r="AM900" s="73" t="str">
        <f t="shared" si="326"/>
        <v/>
      </c>
      <c r="AN900" s="73" t="str">
        <f t="shared" si="327"/>
        <v/>
      </c>
      <c r="AP900" s="61" t="str">
        <f t="shared" ref="AP900:AP924" si="328">IF(P900&lt;&gt;"",_xlfn.NUMBERVALUE(P900),"")</f>
        <v/>
      </c>
      <c r="AQ900" s="61" t="str">
        <f t="shared" ref="AQ900:AQ924" si="329">IF(Q900&lt;&gt;"",_xlfn.NUMBERVALUE(Q900),"")</f>
        <v/>
      </c>
      <c r="AR900" s="61" t="str">
        <f t="shared" ref="AR900:AR924" si="330">IF(R900&lt;&gt;"",_xlfn.NUMBERVALUE(R900),"")</f>
        <v/>
      </c>
    </row>
    <row r="901" spans="16:44" x14ac:dyDescent="0.25">
      <c r="P901" s="73" t="str">
        <f t="shared" si="311"/>
        <v/>
      </c>
      <c r="Q901" s="73" t="str">
        <f t="shared" si="312"/>
        <v/>
      </c>
      <c r="R901" s="74" t="str">
        <f t="shared" si="313"/>
        <v/>
      </c>
      <c r="S901" s="74" t="str">
        <f t="shared" si="314"/>
        <v/>
      </c>
      <c r="U901" s="74" t="str">
        <f t="shared" si="310"/>
        <v/>
      </c>
      <c r="V901" s="74" t="str">
        <f t="shared" si="310"/>
        <v/>
      </c>
      <c r="W901" s="74" t="str">
        <f t="shared" si="310"/>
        <v/>
      </c>
      <c r="X901" s="74" t="str">
        <f t="shared" si="310"/>
        <v/>
      </c>
      <c r="Y901" s="74" t="str">
        <f t="shared" si="310"/>
        <v/>
      </c>
      <c r="Z901" s="74" t="str">
        <f t="shared" si="315"/>
        <v/>
      </c>
      <c r="AA901" s="74">
        <f t="shared" si="316"/>
        <v>0</v>
      </c>
      <c r="AB901" s="74">
        <f t="shared" si="317"/>
        <v>0</v>
      </c>
      <c r="AC901" s="74" t="str">
        <f t="shared" si="318"/>
        <v/>
      </c>
      <c r="AE901" s="74" t="str">
        <f t="shared" si="319"/>
        <v/>
      </c>
      <c r="AF901" s="74" t="str">
        <f t="shared" si="320"/>
        <v/>
      </c>
      <c r="AG901" s="74" t="str">
        <f t="shared" si="321"/>
        <v/>
      </c>
      <c r="AH901" s="74">
        <f t="shared" si="322"/>
        <v>0</v>
      </c>
      <c r="AI901" s="74" t="str">
        <f>IF(AH901&lt;&gt;0,COUNTIF(AH$3:AH901,1),"")</f>
        <v/>
      </c>
      <c r="AJ901" s="74">
        <f t="shared" si="323"/>
        <v>0</v>
      </c>
      <c r="AK901" s="73" t="str">
        <f t="shared" si="324"/>
        <v/>
      </c>
      <c r="AL901" s="73" t="str">
        <f t="shared" si="325"/>
        <v/>
      </c>
      <c r="AM901" s="73" t="str">
        <f t="shared" si="326"/>
        <v/>
      </c>
      <c r="AN901" s="73" t="str">
        <f t="shared" si="327"/>
        <v/>
      </c>
      <c r="AP901" s="61" t="str">
        <f t="shared" si="328"/>
        <v/>
      </c>
      <c r="AQ901" s="61" t="str">
        <f t="shared" si="329"/>
        <v/>
      </c>
      <c r="AR901" s="61" t="str">
        <f t="shared" si="330"/>
        <v/>
      </c>
    </row>
    <row r="902" spans="16:44" x14ac:dyDescent="0.25">
      <c r="P902" s="73" t="str">
        <f t="shared" si="311"/>
        <v/>
      </c>
      <c r="Q902" s="73" t="str">
        <f t="shared" si="312"/>
        <v/>
      </c>
      <c r="R902" s="74" t="str">
        <f t="shared" si="313"/>
        <v/>
      </c>
      <c r="S902" s="74" t="str">
        <f t="shared" si="314"/>
        <v/>
      </c>
      <c r="U902" s="74" t="str">
        <f t="shared" si="310"/>
        <v/>
      </c>
      <c r="V902" s="74" t="str">
        <f t="shared" si="310"/>
        <v/>
      </c>
      <c r="W902" s="74" t="str">
        <f t="shared" si="310"/>
        <v/>
      </c>
      <c r="X902" s="74" t="str">
        <f t="shared" si="310"/>
        <v/>
      </c>
      <c r="Y902" s="74" t="str">
        <f t="shared" si="310"/>
        <v/>
      </c>
      <c r="Z902" s="74" t="str">
        <f t="shared" si="315"/>
        <v/>
      </c>
      <c r="AA902" s="74">
        <f t="shared" si="316"/>
        <v>0</v>
      </c>
      <c r="AB902" s="74">
        <f t="shared" si="317"/>
        <v>0</v>
      </c>
      <c r="AC902" s="74" t="str">
        <f t="shared" si="318"/>
        <v/>
      </c>
      <c r="AE902" s="74" t="str">
        <f t="shared" si="319"/>
        <v/>
      </c>
      <c r="AF902" s="74" t="str">
        <f t="shared" si="320"/>
        <v/>
      </c>
      <c r="AG902" s="74" t="str">
        <f t="shared" si="321"/>
        <v/>
      </c>
      <c r="AH902" s="74">
        <f t="shared" si="322"/>
        <v>0</v>
      </c>
      <c r="AI902" s="74" t="str">
        <f>IF(AH902&lt;&gt;0,COUNTIF(AH$3:AH902,1),"")</f>
        <v/>
      </c>
      <c r="AJ902" s="74">
        <f t="shared" si="323"/>
        <v>0</v>
      </c>
      <c r="AK902" s="73" t="str">
        <f t="shared" si="324"/>
        <v/>
      </c>
      <c r="AL902" s="73" t="str">
        <f t="shared" si="325"/>
        <v/>
      </c>
      <c r="AM902" s="73" t="str">
        <f t="shared" si="326"/>
        <v/>
      </c>
      <c r="AN902" s="73" t="str">
        <f t="shared" si="327"/>
        <v/>
      </c>
      <c r="AP902" s="61" t="str">
        <f t="shared" si="328"/>
        <v/>
      </c>
      <c r="AQ902" s="61" t="str">
        <f t="shared" si="329"/>
        <v/>
      </c>
      <c r="AR902" s="61" t="str">
        <f t="shared" si="330"/>
        <v/>
      </c>
    </row>
    <row r="903" spans="16:44" x14ac:dyDescent="0.25">
      <c r="P903" s="73" t="str">
        <f t="shared" si="311"/>
        <v/>
      </c>
      <c r="Q903" s="73" t="str">
        <f t="shared" si="312"/>
        <v/>
      </c>
      <c r="R903" s="74" t="str">
        <f t="shared" si="313"/>
        <v/>
      </c>
      <c r="S903" s="74" t="str">
        <f t="shared" si="314"/>
        <v/>
      </c>
      <c r="U903" s="74" t="str">
        <f t="shared" si="310"/>
        <v/>
      </c>
      <c r="V903" s="74" t="str">
        <f t="shared" si="310"/>
        <v/>
      </c>
      <c r="W903" s="74" t="str">
        <f t="shared" si="310"/>
        <v/>
      </c>
      <c r="X903" s="74" t="str">
        <f t="shared" si="310"/>
        <v/>
      </c>
      <c r="Y903" s="74" t="str">
        <f t="shared" si="310"/>
        <v/>
      </c>
      <c r="Z903" s="74" t="str">
        <f t="shared" si="315"/>
        <v/>
      </c>
      <c r="AA903" s="74">
        <f t="shared" si="316"/>
        <v>0</v>
      </c>
      <c r="AB903" s="74">
        <f t="shared" si="317"/>
        <v>0</v>
      </c>
      <c r="AC903" s="74" t="str">
        <f t="shared" si="318"/>
        <v/>
      </c>
      <c r="AE903" s="74" t="str">
        <f t="shared" si="319"/>
        <v/>
      </c>
      <c r="AF903" s="74" t="str">
        <f t="shared" si="320"/>
        <v/>
      </c>
      <c r="AG903" s="74" t="str">
        <f t="shared" si="321"/>
        <v/>
      </c>
      <c r="AH903" s="74">
        <f t="shared" si="322"/>
        <v>0</v>
      </c>
      <c r="AI903" s="74" t="str">
        <f>IF(AH903&lt;&gt;0,COUNTIF(AH$3:AH903,1),"")</f>
        <v/>
      </c>
      <c r="AJ903" s="74">
        <f t="shared" si="323"/>
        <v>0</v>
      </c>
      <c r="AK903" s="73" t="str">
        <f t="shared" si="324"/>
        <v/>
      </c>
      <c r="AL903" s="73" t="str">
        <f t="shared" si="325"/>
        <v/>
      </c>
      <c r="AM903" s="73" t="str">
        <f t="shared" si="326"/>
        <v/>
      </c>
      <c r="AN903" s="73" t="str">
        <f t="shared" si="327"/>
        <v/>
      </c>
      <c r="AP903" s="61" t="str">
        <f t="shared" si="328"/>
        <v/>
      </c>
      <c r="AQ903" s="61" t="str">
        <f t="shared" si="329"/>
        <v/>
      </c>
      <c r="AR903" s="61" t="str">
        <f t="shared" si="330"/>
        <v/>
      </c>
    </row>
    <row r="904" spans="16:44" x14ac:dyDescent="0.25">
      <c r="P904" s="73" t="str">
        <f t="shared" si="311"/>
        <v/>
      </c>
      <c r="Q904" s="73" t="str">
        <f t="shared" si="312"/>
        <v/>
      </c>
      <c r="R904" s="74" t="str">
        <f t="shared" si="313"/>
        <v/>
      </c>
      <c r="S904" s="74" t="str">
        <f t="shared" si="314"/>
        <v/>
      </c>
      <c r="U904" s="74" t="str">
        <f t="shared" ref="U904:Y954" si="331">IF($F904=U$1,$E904,"")</f>
        <v/>
      </c>
      <c r="V904" s="74" t="str">
        <f t="shared" si="331"/>
        <v/>
      </c>
      <c r="W904" s="74" t="str">
        <f t="shared" si="331"/>
        <v/>
      </c>
      <c r="X904" s="74" t="str">
        <f t="shared" si="331"/>
        <v/>
      </c>
      <c r="Y904" s="74" t="str">
        <f t="shared" si="331"/>
        <v/>
      </c>
      <c r="Z904" s="74" t="str">
        <f t="shared" si="315"/>
        <v/>
      </c>
      <c r="AA904" s="74">
        <f t="shared" si="316"/>
        <v>0</v>
      </c>
      <c r="AB904" s="74">
        <f t="shared" si="317"/>
        <v>0</v>
      </c>
      <c r="AC904" s="74" t="str">
        <f t="shared" si="318"/>
        <v/>
      </c>
      <c r="AE904" s="74" t="str">
        <f t="shared" si="319"/>
        <v/>
      </c>
      <c r="AF904" s="74" t="str">
        <f t="shared" si="320"/>
        <v/>
      </c>
      <c r="AG904" s="74" t="str">
        <f t="shared" si="321"/>
        <v/>
      </c>
      <c r="AH904" s="74">
        <f t="shared" si="322"/>
        <v>0</v>
      </c>
      <c r="AI904" s="74" t="str">
        <f>IF(AH904&lt;&gt;0,COUNTIF(AH$3:AH904,1),"")</f>
        <v/>
      </c>
      <c r="AJ904" s="74">
        <f t="shared" si="323"/>
        <v>0</v>
      </c>
      <c r="AK904" s="73" t="str">
        <f t="shared" si="324"/>
        <v/>
      </c>
      <c r="AL904" s="73" t="str">
        <f t="shared" si="325"/>
        <v/>
      </c>
      <c r="AM904" s="73" t="str">
        <f t="shared" si="326"/>
        <v/>
      </c>
      <c r="AN904" s="73" t="str">
        <f t="shared" si="327"/>
        <v/>
      </c>
      <c r="AP904" s="61" t="str">
        <f t="shared" si="328"/>
        <v/>
      </c>
      <c r="AQ904" s="61" t="str">
        <f t="shared" si="329"/>
        <v/>
      </c>
      <c r="AR904" s="61" t="str">
        <f t="shared" si="330"/>
        <v/>
      </c>
    </row>
    <row r="905" spans="16:44" x14ac:dyDescent="0.25">
      <c r="P905" s="73" t="str">
        <f t="shared" si="311"/>
        <v/>
      </c>
      <c r="Q905" s="73" t="str">
        <f t="shared" si="312"/>
        <v/>
      </c>
      <c r="R905" s="74" t="str">
        <f t="shared" si="313"/>
        <v/>
      </c>
      <c r="S905" s="74" t="str">
        <f t="shared" si="314"/>
        <v/>
      </c>
      <c r="U905" s="74" t="str">
        <f t="shared" si="331"/>
        <v/>
      </c>
      <c r="V905" s="74" t="str">
        <f t="shared" si="331"/>
        <v/>
      </c>
      <c r="W905" s="74" t="str">
        <f t="shared" si="331"/>
        <v/>
      </c>
      <c r="X905" s="74" t="str">
        <f t="shared" si="331"/>
        <v/>
      </c>
      <c r="Y905" s="74" t="str">
        <f t="shared" si="331"/>
        <v/>
      </c>
      <c r="Z905" s="74" t="str">
        <f t="shared" si="315"/>
        <v/>
      </c>
      <c r="AA905" s="74">
        <f t="shared" si="316"/>
        <v>0</v>
      </c>
      <c r="AB905" s="74">
        <f t="shared" si="317"/>
        <v>0</v>
      </c>
      <c r="AC905" s="74" t="str">
        <f t="shared" si="318"/>
        <v/>
      </c>
      <c r="AE905" s="74" t="str">
        <f t="shared" si="319"/>
        <v/>
      </c>
      <c r="AF905" s="74" t="str">
        <f t="shared" si="320"/>
        <v/>
      </c>
      <c r="AG905" s="74" t="str">
        <f t="shared" si="321"/>
        <v/>
      </c>
      <c r="AH905" s="74">
        <f t="shared" si="322"/>
        <v>0</v>
      </c>
      <c r="AI905" s="74" t="str">
        <f>IF(AH905&lt;&gt;0,COUNTIF(AH$3:AH905,1),"")</f>
        <v/>
      </c>
      <c r="AJ905" s="74">
        <f t="shared" si="323"/>
        <v>0</v>
      </c>
      <c r="AK905" s="73" t="str">
        <f t="shared" si="324"/>
        <v/>
      </c>
      <c r="AL905" s="73" t="str">
        <f t="shared" si="325"/>
        <v/>
      </c>
      <c r="AM905" s="73" t="str">
        <f t="shared" si="326"/>
        <v/>
      </c>
      <c r="AN905" s="73" t="str">
        <f t="shared" si="327"/>
        <v/>
      </c>
      <c r="AP905" s="61" t="str">
        <f t="shared" si="328"/>
        <v/>
      </c>
      <c r="AQ905" s="61" t="str">
        <f t="shared" si="329"/>
        <v/>
      </c>
      <c r="AR905" s="61" t="str">
        <f t="shared" si="330"/>
        <v/>
      </c>
    </row>
    <row r="906" spans="16:44" x14ac:dyDescent="0.25">
      <c r="P906" s="73" t="str">
        <f t="shared" si="311"/>
        <v/>
      </c>
      <c r="Q906" s="73" t="str">
        <f t="shared" si="312"/>
        <v/>
      </c>
      <c r="R906" s="74" t="str">
        <f t="shared" si="313"/>
        <v/>
      </c>
      <c r="S906" s="74" t="str">
        <f t="shared" si="314"/>
        <v/>
      </c>
      <c r="U906" s="74" t="str">
        <f t="shared" si="331"/>
        <v/>
      </c>
      <c r="V906" s="74" t="str">
        <f t="shared" si="331"/>
        <v/>
      </c>
      <c r="W906" s="74" t="str">
        <f t="shared" si="331"/>
        <v/>
      </c>
      <c r="X906" s="74" t="str">
        <f t="shared" si="331"/>
        <v/>
      </c>
      <c r="Y906" s="74" t="str">
        <f t="shared" si="331"/>
        <v/>
      </c>
      <c r="Z906" s="74" t="str">
        <f t="shared" si="315"/>
        <v/>
      </c>
      <c r="AA906" s="74">
        <f t="shared" si="316"/>
        <v>0</v>
      </c>
      <c r="AB906" s="74">
        <f t="shared" si="317"/>
        <v>0</v>
      </c>
      <c r="AC906" s="74" t="str">
        <f t="shared" si="318"/>
        <v/>
      </c>
      <c r="AE906" s="74" t="str">
        <f t="shared" si="319"/>
        <v/>
      </c>
      <c r="AF906" s="74" t="str">
        <f t="shared" si="320"/>
        <v/>
      </c>
      <c r="AG906" s="74" t="str">
        <f t="shared" si="321"/>
        <v/>
      </c>
      <c r="AH906" s="74">
        <f t="shared" si="322"/>
        <v>0</v>
      </c>
      <c r="AI906" s="74" t="str">
        <f>IF(AH906&lt;&gt;0,COUNTIF(AH$3:AH906,1),"")</f>
        <v/>
      </c>
      <c r="AJ906" s="74">
        <f t="shared" si="323"/>
        <v>0</v>
      </c>
      <c r="AK906" s="73" t="str">
        <f t="shared" si="324"/>
        <v/>
      </c>
      <c r="AL906" s="73" t="str">
        <f t="shared" si="325"/>
        <v/>
      </c>
      <c r="AM906" s="73" t="str">
        <f t="shared" si="326"/>
        <v/>
      </c>
      <c r="AN906" s="73" t="str">
        <f t="shared" si="327"/>
        <v/>
      </c>
      <c r="AP906" s="61" t="str">
        <f t="shared" si="328"/>
        <v/>
      </c>
      <c r="AQ906" s="61" t="str">
        <f t="shared" si="329"/>
        <v/>
      </c>
      <c r="AR906" s="61" t="str">
        <f t="shared" si="330"/>
        <v/>
      </c>
    </row>
    <row r="907" spans="16:44" x14ac:dyDescent="0.25">
      <c r="P907" s="73" t="str">
        <f t="shared" si="311"/>
        <v/>
      </c>
      <c r="Q907" s="73" t="str">
        <f t="shared" si="312"/>
        <v/>
      </c>
      <c r="R907" s="74" t="str">
        <f t="shared" si="313"/>
        <v/>
      </c>
      <c r="S907" s="74" t="str">
        <f t="shared" si="314"/>
        <v/>
      </c>
      <c r="U907" s="74" t="str">
        <f t="shared" si="331"/>
        <v/>
      </c>
      <c r="V907" s="74" t="str">
        <f t="shared" si="331"/>
        <v/>
      </c>
      <c r="W907" s="74" t="str">
        <f t="shared" si="331"/>
        <v/>
      </c>
      <c r="X907" s="74" t="str">
        <f t="shared" si="331"/>
        <v/>
      </c>
      <c r="Y907" s="74" t="str">
        <f t="shared" si="331"/>
        <v/>
      </c>
      <c r="Z907" s="74" t="str">
        <f t="shared" si="315"/>
        <v/>
      </c>
      <c r="AA907" s="74">
        <f t="shared" si="316"/>
        <v>0</v>
      </c>
      <c r="AB907" s="74">
        <f t="shared" si="317"/>
        <v>0</v>
      </c>
      <c r="AC907" s="74" t="str">
        <f t="shared" si="318"/>
        <v/>
      </c>
      <c r="AE907" s="74" t="str">
        <f t="shared" si="319"/>
        <v/>
      </c>
      <c r="AF907" s="74" t="str">
        <f t="shared" si="320"/>
        <v/>
      </c>
      <c r="AG907" s="74" t="str">
        <f t="shared" si="321"/>
        <v/>
      </c>
      <c r="AH907" s="74">
        <f t="shared" si="322"/>
        <v>0</v>
      </c>
      <c r="AI907" s="74" t="str">
        <f>IF(AH907&lt;&gt;0,COUNTIF(AH$3:AH907,1),"")</f>
        <v/>
      </c>
      <c r="AJ907" s="74">
        <f t="shared" si="323"/>
        <v>0</v>
      </c>
      <c r="AK907" s="73" t="str">
        <f t="shared" si="324"/>
        <v/>
      </c>
      <c r="AL907" s="73" t="str">
        <f t="shared" si="325"/>
        <v/>
      </c>
      <c r="AM907" s="73" t="str">
        <f t="shared" si="326"/>
        <v/>
      </c>
      <c r="AN907" s="73" t="str">
        <f t="shared" si="327"/>
        <v/>
      </c>
      <c r="AP907" s="61" t="str">
        <f t="shared" si="328"/>
        <v/>
      </c>
      <c r="AQ907" s="61" t="str">
        <f t="shared" si="329"/>
        <v/>
      </c>
      <c r="AR907" s="61" t="str">
        <f t="shared" si="330"/>
        <v/>
      </c>
    </row>
    <row r="908" spans="16:44" x14ac:dyDescent="0.25">
      <c r="P908" s="73" t="str">
        <f t="shared" si="311"/>
        <v/>
      </c>
      <c r="Q908" s="73" t="str">
        <f t="shared" si="312"/>
        <v/>
      </c>
      <c r="R908" s="74" t="str">
        <f t="shared" si="313"/>
        <v/>
      </c>
      <c r="S908" s="74" t="str">
        <f t="shared" si="314"/>
        <v/>
      </c>
      <c r="U908" s="74" t="str">
        <f t="shared" si="331"/>
        <v/>
      </c>
      <c r="V908" s="74" t="str">
        <f t="shared" si="331"/>
        <v/>
      </c>
      <c r="W908" s="74" t="str">
        <f t="shared" si="331"/>
        <v/>
      </c>
      <c r="X908" s="74" t="str">
        <f t="shared" si="331"/>
        <v/>
      </c>
      <c r="Y908" s="74" t="str">
        <f t="shared" si="331"/>
        <v/>
      </c>
      <c r="Z908" s="74" t="str">
        <f t="shared" si="315"/>
        <v/>
      </c>
      <c r="AA908" s="74">
        <f t="shared" si="316"/>
        <v>0</v>
      </c>
      <c r="AB908" s="74">
        <f t="shared" si="317"/>
        <v>0</v>
      </c>
      <c r="AC908" s="74" t="str">
        <f t="shared" si="318"/>
        <v/>
      </c>
      <c r="AE908" s="74" t="str">
        <f t="shared" si="319"/>
        <v/>
      </c>
      <c r="AF908" s="74" t="str">
        <f t="shared" si="320"/>
        <v/>
      </c>
      <c r="AG908" s="74" t="str">
        <f t="shared" si="321"/>
        <v/>
      </c>
      <c r="AH908" s="74">
        <f t="shared" si="322"/>
        <v>0</v>
      </c>
      <c r="AI908" s="74" t="str">
        <f>IF(AH908&lt;&gt;0,COUNTIF(AH$3:AH908,1),"")</f>
        <v/>
      </c>
      <c r="AJ908" s="74">
        <f t="shared" si="323"/>
        <v>0</v>
      </c>
      <c r="AK908" s="73" t="str">
        <f t="shared" si="324"/>
        <v/>
      </c>
      <c r="AL908" s="73" t="str">
        <f t="shared" si="325"/>
        <v/>
      </c>
      <c r="AM908" s="73" t="str">
        <f t="shared" si="326"/>
        <v/>
      </c>
      <c r="AN908" s="73" t="str">
        <f t="shared" si="327"/>
        <v/>
      </c>
      <c r="AP908" s="61" t="str">
        <f t="shared" si="328"/>
        <v/>
      </c>
      <c r="AQ908" s="61" t="str">
        <f t="shared" si="329"/>
        <v/>
      </c>
      <c r="AR908" s="61" t="str">
        <f t="shared" si="330"/>
        <v/>
      </c>
    </row>
    <row r="909" spans="16:44" x14ac:dyDescent="0.25">
      <c r="P909" s="73" t="str">
        <f t="shared" si="311"/>
        <v/>
      </c>
      <c r="Q909" s="73" t="str">
        <f t="shared" si="312"/>
        <v/>
      </c>
      <c r="R909" s="74" t="str">
        <f t="shared" si="313"/>
        <v/>
      </c>
      <c r="S909" s="74" t="str">
        <f t="shared" si="314"/>
        <v/>
      </c>
      <c r="U909" s="74" t="str">
        <f t="shared" si="331"/>
        <v/>
      </c>
      <c r="V909" s="74" t="str">
        <f t="shared" si="331"/>
        <v/>
      </c>
      <c r="W909" s="74" t="str">
        <f t="shared" si="331"/>
        <v/>
      </c>
      <c r="X909" s="74" t="str">
        <f t="shared" si="331"/>
        <v/>
      </c>
      <c r="Y909" s="74" t="str">
        <f t="shared" si="331"/>
        <v/>
      </c>
      <c r="Z909" s="74" t="str">
        <f t="shared" si="315"/>
        <v/>
      </c>
      <c r="AA909" s="74">
        <f t="shared" si="316"/>
        <v>0</v>
      </c>
      <c r="AB909" s="74">
        <f t="shared" si="317"/>
        <v>0</v>
      </c>
      <c r="AC909" s="74" t="str">
        <f t="shared" si="318"/>
        <v/>
      </c>
      <c r="AE909" s="74" t="str">
        <f t="shared" si="319"/>
        <v/>
      </c>
      <c r="AF909" s="74" t="str">
        <f t="shared" si="320"/>
        <v/>
      </c>
      <c r="AG909" s="74" t="str">
        <f t="shared" si="321"/>
        <v/>
      </c>
      <c r="AH909" s="74">
        <f t="shared" si="322"/>
        <v>0</v>
      </c>
      <c r="AI909" s="74" t="str">
        <f>IF(AH909&lt;&gt;0,COUNTIF(AH$3:AH909,1),"")</f>
        <v/>
      </c>
      <c r="AJ909" s="74">
        <f t="shared" si="323"/>
        <v>0</v>
      </c>
      <c r="AK909" s="73" t="str">
        <f t="shared" si="324"/>
        <v/>
      </c>
      <c r="AL909" s="73" t="str">
        <f t="shared" si="325"/>
        <v/>
      </c>
      <c r="AM909" s="73" t="str">
        <f t="shared" si="326"/>
        <v/>
      </c>
      <c r="AN909" s="73" t="str">
        <f t="shared" si="327"/>
        <v/>
      </c>
      <c r="AP909" s="61" t="str">
        <f t="shared" si="328"/>
        <v/>
      </c>
      <c r="AQ909" s="61" t="str">
        <f t="shared" si="329"/>
        <v/>
      </c>
      <c r="AR909" s="61" t="str">
        <f t="shared" si="330"/>
        <v/>
      </c>
    </row>
    <row r="910" spans="16:44" x14ac:dyDescent="0.25">
      <c r="P910" s="73" t="str">
        <f t="shared" si="311"/>
        <v/>
      </c>
      <c r="Q910" s="73" t="str">
        <f t="shared" si="312"/>
        <v/>
      </c>
      <c r="R910" s="74" t="str">
        <f t="shared" si="313"/>
        <v/>
      </c>
      <c r="S910" s="74" t="str">
        <f t="shared" si="314"/>
        <v/>
      </c>
      <c r="U910" s="74" t="str">
        <f t="shared" si="331"/>
        <v/>
      </c>
      <c r="V910" s="74" t="str">
        <f t="shared" si="331"/>
        <v/>
      </c>
      <c r="W910" s="74" t="str">
        <f t="shared" si="331"/>
        <v/>
      </c>
      <c r="X910" s="74" t="str">
        <f t="shared" si="331"/>
        <v/>
      </c>
      <c r="Y910" s="74" t="str">
        <f t="shared" si="331"/>
        <v/>
      </c>
      <c r="Z910" s="74" t="str">
        <f t="shared" si="315"/>
        <v/>
      </c>
      <c r="AA910" s="74">
        <f t="shared" si="316"/>
        <v>0</v>
      </c>
      <c r="AB910" s="74">
        <f t="shared" si="317"/>
        <v>0</v>
      </c>
      <c r="AC910" s="74" t="str">
        <f t="shared" si="318"/>
        <v/>
      </c>
      <c r="AE910" s="74" t="str">
        <f t="shared" si="319"/>
        <v/>
      </c>
      <c r="AF910" s="74" t="str">
        <f t="shared" si="320"/>
        <v/>
      </c>
      <c r="AG910" s="74" t="str">
        <f t="shared" si="321"/>
        <v/>
      </c>
      <c r="AH910" s="74">
        <f t="shared" si="322"/>
        <v>0</v>
      </c>
      <c r="AI910" s="74" t="str">
        <f>IF(AH910&lt;&gt;0,COUNTIF(AH$3:AH910,1),"")</f>
        <v/>
      </c>
      <c r="AJ910" s="74">
        <f t="shared" si="323"/>
        <v>0</v>
      </c>
      <c r="AK910" s="73" t="str">
        <f t="shared" si="324"/>
        <v/>
      </c>
      <c r="AL910" s="73" t="str">
        <f t="shared" si="325"/>
        <v/>
      </c>
      <c r="AM910" s="73" t="str">
        <f t="shared" si="326"/>
        <v/>
      </c>
      <c r="AN910" s="73" t="str">
        <f t="shared" si="327"/>
        <v/>
      </c>
      <c r="AP910" s="61" t="str">
        <f t="shared" si="328"/>
        <v/>
      </c>
      <c r="AQ910" s="61" t="str">
        <f t="shared" si="329"/>
        <v/>
      </c>
      <c r="AR910" s="61" t="str">
        <f t="shared" si="330"/>
        <v/>
      </c>
    </row>
    <row r="911" spans="16:44" x14ac:dyDescent="0.25">
      <c r="P911" s="73" t="str">
        <f t="shared" si="311"/>
        <v/>
      </c>
      <c r="Q911" s="73" t="str">
        <f t="shared" si="312"/>
        <v/>
      </c>
      <c r="R911" s="74" t="str">
        <f t="shared" si="313"/>
        <v/>
      </c>
      <c r="S911" s="74" t="str">
        <f t="shared" si="314"/>
        <v/>
      </c>
      <c r="U911" s="74" t="str">
        <f t="shared" si="331"/>
        <v/>
      </c>
      <c r="V911" s="74" t="str">
        <f t="shared" si="331"/>
        <v/>
      </c>
      <c r="W911" s="74" t="str">
        <f t="shared" si="331"/>
        <v/>
      </c>
      <c r="X911" s="74" t="str">
        <f t="shared" si="331"/>
        <v/>
      </c>
      <c r="Y911" s="74" t="str">
        <f t="shared" si="331"/>
        <v/>
      </c>
      <c r="Z911" s="74" t="str">
        <f t="shared" si="315"/>
        <v/>
      </c>
      <c r="AA911" s="74">
        <f t="shared" si="316"/>
        <v>0</v>
      </c>
      <c r="AB911" s="74">
        <f t="shared" si="317"/>
        <v>0</v>
      </c>
      <c r="AC911" s="74" t="str">
        <f t="shared" si="318"/>
        <v/>
      </c>
      <c r="AE911" s="74" t="str">
        <f t="shared" si="319"/>
        <v/>
      </c>
      <c r="AF911" s="74" t="str">
        <f t="shared" si="320"/>
        <v/>
      </c>
      <c r="AG911" s="74" t="str">
        <f t="shared" si="321"/>
        <v/>
      </c>
      <c r="AH911" s="74">
        <f t="shared" si="322"/>
        <v>0</v>
      </c>
      <c r="AI911" s="74" t="str">
        <f>IF(AH911&lt;&gt;0,COUNTIF(AH$3:AH911,1),"")</f>
        <v/>
      </c>
      <c r="AJ911" s="74">
        <f t="shared" si="323"/>
        <v>0</v>
      </c>
      <c r="AK911" s="73" t="str">
        <f t="shared" si="324"/>
        <v/>
      </c>
      <c r="AL911" s="73" t="str">
        <f t="shared" si="325"/>
        <v/>
      </c>
      <c r="AM911" s="73" t="str">
        <f t="shared" si="326"/>
        <v/>
      </c>
      <c r="AN911" s="73" t="str">
        <f t="shared" si="327"/>
        <v/>
      </c>
      <c r="AP911" s="61" t="str">
        <f t="shared" si="328"/>
        <v/>
      </c>
      <c r="AQ911" s="61" t="str">
        <f t="shared" si="329"/>
        <v/>
      </c>
      <c r="AR911" s="61" t="str">
        <f t="shared" si="330"/>
        <v/>
      </c>
    </row>
    <row r="912" spans="16:44" x14ac:dyDescent="0.25">
      <c r="P912" s="73" t="str">
        <f t="shared" si="311"/>
        <v/>
      </c>
      <c r="Q912" s="73" t="str">
        <f t="shared" si="312"/>
        <v/>
      </c>
      <c r="R912" s="74" t="str">
        <f t="shared" si="313"/>
        <v/>
      </c>
      <c r="S912" s="74" t="str">
        <f t="shared" si="314"/>
        <v/>
      </c>
      <c r="U912" s="74" t="str">
        <f t="shared" si="331"/>
        <v/>
      </c>
      <c r="V912" s="74" t="str">
        <f t="shared" si="331"/>
        <v/>
      </c>
      <c r="W912" s="74" t="str">
        <f t="shared" si="331"/>
        <v/>
      </c>
      <c r="X912" s="74" t="str">
        <f t="shared" si="331"/>
        <v/>
      </c>
      <c r="Y912" s="74" t="str">
        <f t="shared" si="331"/>
        <v/>
      </c>
      <c r="Z912" s="74" t="str">
        <f t="shared" si="315"/>
        <v/>
      </c>
      <c r="AA912" s="74">
        <f t="shared" si="316"/>
        <v>0</v>
      </c>
      <c r="AB912" s="74">
        <f t="shared" si="317"/>
        <v>0</v>
      </c>
      <c r="AC912" s="74" t="str">
        <f t="shared" si="318"/>
        <v/>
      </c>
      <c r="AE912" s="74" t="str">
        <f t="shared" si="319"/>
        <v/>
      </c>
      <c r="AF912" s="74" t="str">
        <f t="shared" si="320"/>
        <v/>
      </c>
      <c r="AG912" s="74" t="str">
        <f t="shared" si="321"/>
        <v/>
      </c>
      <c r="AH912" s="74">
        <f t="shared" si="322"/>
        <v>0</v>
      </c>
      <c r="AI912" s="74" t="str">
        <f>IF(AH912&lt;&gt;0,COUNTIF(AH$3:AH912,1),"")</f>
        <v/>
      </c>
      <c r="AJ912" s="74">
        <f t="shared" si="323"/>
        <v>0</v>
      </c>
      <c r="AK912" s="73" t="str">
        <f t="shared" si="324"/>
        <v/>
      </c>
      <c r="AL912" s="73" t="str">
        <f t="shared" si="325"/>
        <v/>
      </c>
      <c r="AM912" s="73" t="str">
        <f t="shared" si="326"/>
        <v/>
      </c>
      <c r="AN912" s="73" t="str">
        <f t="shared" si="327"/>
        <v/>
      </c>
      <c r="AP912" s="61" t="str">
        <f t="shared" si="328"/>
        <v/>
      </c>
      <c r="AQ912" s="61" t="str">
        <f t="shared" si="329"/>
        <v/>
      </c>
      <c r="AR912" s="61" t="str">
        <f t="shared" si="330"/>
        <v/>
      </c>
    </row>
    <row r="913" spans="16:44" x14ac:dyDescent="0.25">
      <c r="P913" s="73" t="str">
        <f t="shared" si="311"/>
        <v/>
      </c>
      <c r="Q913" s="73" t="str">
        <f t="shared" si="312"/>
        <v/>
      </c>
      <c r="R913" s="74" t="str">
        <f t="shared" si="313"/>
        <v/>
      </c>
      <c r="S913" s="74" t="str">
        <f t="shared" si="314"/>
        <v/>
      </c>
      <c r="U913" s="74" t="str">
        <f t="shared" si="331"/>
        <v/>
      </c>
      <c r="V913" s="74" t="str">
        <f t="shared" si="331"/>
        <v/>
      </c>
      <c r="W913" s="74" t="str">
        <f t="shared" si="331"/>
        <v/>
      </c>
      <c r="X913" s="74" t="str">
        <f t="shared" si="331"/>
        <v/>
      </c>
      <c r="Y913" s="74" t="str">
        <f t="shared" si="331"/>
        <v/>
      </c>
      <c r="Z913" s="74" t="str">
        <f t="shared" si="315"/>
        <v/>
      </c>
      <c r="AA913" s="74">
        <f t="shared" si="316"/>
        <v>0</v>
      </c>
      <c r="AB913" s="74">
        <f t="shared" si="317"/>
        <v>0</v>
      </c>
      <c r="AC913" s="74" t="str">
        <f t="shared" si="318"/>
        <v/>
      </c>
      <c r="AE913" s="74" t="str">
        <f t="shared" si="319"/>
        <v/>
      </c>
      <c r="AF913" s="74" t="str">
        <f t="shared" si="320"/>
        <v/>
      </c>
      <c r="AG913" s="74" t="str">
        <f t="shared" si="321"/>
        <v/>
      </c>
      <c r="AH913" s="74">
        <f t="shared" si="322"/>
        <v>0</v>
      </c>
      <c r="AI913" s="74" t="str">
        <f>IF(AH913&lt;&gt;0,COUNTIF(AH$3:AH913,1),"")</f>
        <v/>
      </c>
      <c r="AJ913" s="74">
        <f t="shared" si="323"/>
        <v>0</v>
      </c>
      <c r="AK913" s="73" t="str">
        <f t="shared" si="324"/>
        <v/>
      </c>
      <c r="AL913" s="73" t="str">
        <f t="shared" si="325"/>
        <v/>
      </c>
      <c r="AM913" s="73" t="str">
        <f t="shared" si="326"/>
        <v/>
      </c>
      <c r="AN913" s="73" t="str">
        <f t="shared" si="327"/>
        <v/>
      </c>
      <c r="AP913" s="61" t="str">
        <f t="shared" si="328"/>
        <v/>
      </c>
      <c r="AQ913" s="61" t="str">
        <f t="shared" si="329"/>
        <v/>
      </c>
      <c r="AR913" s="61" t="str">
        <f t="shared" si="330"/>
        <v/>
      </c>
    </row>
    <row r="914" spans="16:44" x14ac:dyDescent="0.25">
      <c r="P914" s="73" t="str">
        <f t="shared" si="311"/>
        <v/>
      </c>
      <c r="Q914" s="73" t="str">
        <f t="shared" si="312"/>
        <v/>
      </c>
      <c r="R914" s="74" t="str">
        <f t="shared" si="313"/>
        <v/>
      </c>
      <c r="S914" s="74" t="str">
        <f t="shared" si="314"/>
        <v/>
      </c>
      <c r="U914" s="74" t="str">
        <f t="shared" si="331"/>
        <v/>
      </c>
      <c r="V914" s="74" t="str">
        <f t="shared" si="331"/>
        <v/>
      </c>
      <c r="W914" s="74" t="str">
        <f t="shared" si="331"/>
        <v/>
      </c>
      <c r="X914" s="74" t="str">
        <f t="shared" si="331"/>
        <v/>
      </c>
      <c r="Y914" s="74" t="str">
        <f t="shared" si="331"/>
        <v/>
      </c>
      <c r="Z914" s="74" t="str">
        <f t="shared" si="315"/>
        <v/>
      </c>
      <c r="AA914" s="74">
        <f t="shared" si="316"/>
        <v>0</v>
      </c>
      <c r="AB914" s="74">
        <f t="shared" si="317"/>
        <v>0</v>
      </c>
      <c r="AC914" s="74" t="str">
        <f t="shared" si="318"/>
        <v/>
      </c>
      <c r="AE914" s="74" t="str">
        <f t="shared" si="319"/>
        <v/>
      </c>
      <c r="AF914" s="74" t="str">
        <f t="shared" si="320"/>
        <v/>
      </c>
      <c r="AG914" s="74" t="str">
        <f t="shared" si="321"/>
        <v/>
      </c>
      <c r="AH914" s="74">
        <f t="shared" si="322"/>
        <v>0</v>
      </c>
      <c r="AI914" s="74" t="str">
        <f>IF(AH914&lt;&gt;0,COUNTIF(AH$3:AH914,1),"")</f>
        <v/>
      </c>
      <c r="AJ914" s="74">
        <f t="shared" si="323"/>
        <v>0</v>
      </c>
      <c r="AK914" s="73" t="str">
        <f t="shared" si="324"/>
        <v/>
      </c>
      <c r="AL914" s="73" t="str">
        <f t="shared" si="325"/>
        <v/>
      </c>
      <c r="AM914" s="73" t="str">
        <f t="shared" si="326"/>
        <v/>
      </c>
      <c r="AN914" s="73" t="str">
        <f t="shared" si="327"/>
        <v/>
      </c>
      <c r="AP914" s="61" t="str">
        <f t="shared" si="328"/>
        <v/>
      </c>
      <c r="AQ914" s="61" t="str">
        <f t="shared" si="329"/>
        <v/>
      </c>
      <c r="AR914" s="61" t="str">
        <f t="shared" si="330"/>
        <v/>
      </c>
    </row>
    <row r="915" spans="16:44" x14ac:dyDescent="0.25">
      <c r="P915" s="73" t="str">
        <f t="shared" si="311"/>
        <v/>
      </c>
      <c r="Q915" s="73" t="str">
        <f t="shared" si="312"/>
        <v/>
      </c>
      <c r="R915" s="74" t="str">
        <f t="shared" si="313"/>
        <v/>
      </c>
      <c r="S915" s="74" t="str">
        <f t="shared" si="314"/>
        <v/>
      </c>
      <c r="U915" s="74" t="str">
        <f t="shared" si="331"/>
        <v/>
      </c>
      <c r="V915" s="74" t="str">
        <f t="shared" si="331"/>
        <v/>
      </c>
      <c r="W915" s="74" t="str">
        <f t="shared" si="331"/>
        <v/>
      </c>
      <c r="X915" s="74" t="str">
        <f t="shared" si="331"/>
        <v/>
      </c>
      <c r="Y915" s="74" t="str">
        <f t="shared" si="331"/>
        <v/>
      </c>
      <c r="Z915" s="74" t="str">
        <f t="shared" si="315"/>
        <v/>
      </c>
      <c r="AA915" s="74">
        <f t="shared" si="316"/>
        <v>0</v>
      </c>
      <c r="AB915" s="74">
        <f t="shared" si="317"/>
        <v>0</v>
      </c>
      <c r="AC915" s="74" t="str">
        <f t="shared" si="318"/>
        <v/>
      </c>
      <c r="AE915" s="74" t="str">
        <f t="shared" si="319"/>
        <v/>
      </c>
      <c r="AF915" s="74" t="str">
        <f t="shared" si="320"/>
        <v/>
      </c>
      <c r="AG915" s="74" t="str">
        <f t="shared" si="321"/>
        <v/>
      </c>
      <c r="AH915" s="74">
        <f t="shared" si="322"/>
        <v>0</v>
      </c>
      <c r="AI915" s="74" t="str">
        <f>IF(AH915&lt;&gt;0,COUNTIF(AH$3:AH915,1),"")</f>
        <v/>
      </c>
      <c r="AJ915" s="74">
        <f t="shared" si="323"/>
        <v>0</v>
      </c>
      <c r="AK915" s="73" t="str">
        <f t="shared" si="324"/>
        <v/>
      </c>
      <c r="AL915" s="73" t="str">
        <f t="shared" si="325"/>
        <v/>
      </c>
      <c r="AM915" s="73" t="str">
        <f t="shared" si="326"/>
        <v/>
      </c>
      <c r="AN915" s="73" t="str">
        <f t="shared" si="327"/>
        <v/>
      </c>
      <c r="AP915" s="61" t="str">
        <f t="shared" si="328"/>
        <v/>
      </c>
      <c r="AQ915" s="61" t="str">
        <f t="shared" si="329"/>
        <v/>
      </c>
      <c r="AR915" s="61" t="str">
        <f t="shared" si="330"/>
        <v/>
      </c>
    </row>
    <row r="916" spans="16:44" x14ac:dyDescent="0.25">
      <c r="P916" s="73" t="str">
        <f t="shared" si="311"/>
        <v/>
      </c>
      <c r="Q916" s="73" t="str">
        <f t="shared" si="312"/>
        <v/>
      </c>
      <c r="R916" s="74" t="str">
        <f t="shared" si="313"/>
        <v/>
      </c>
      <c r="S916" s="74" t="str">
        <f t="shared" si="314"/>
        <v/>
      </c>
      <c r="U916" s="74" t="str">
        <f t="shared" si="331"/>
        <v/>
      </c>
      <c r="V916" s="74" t="str">
        <f t="shared" si="331"/>
        <v/>
      </c>
      <c r="W916" s="74" t="str">
        <f t="shared" si="331"/>
        <v/>
      </c>
      <c r="X916" s="74" t="str">
        <f t="shared" si="331"/>
        <v/>
      </c>
      <c r="Y916" s="74" t="str">
        <f t="shared" si="331"/>
        <v/>
      </c>
      <c r="Z916" s="74" t="str">
        <f t="shared" si="315"/>
        <v/>
      </c>
      <c r="AA916" s="74">
        <f t="shared" si="316"/>
        <v>0</v>
      </c>
      <c r="AB916" s="74">
        <f t="shared" si="317"/>
        <v>0</v>
      </c>
      <c r="AC916" s="74" t="str">
        <f t="shared" si="318"/>
        <v/>
      </c>
      <c r="AE916" s="74" t="str">
        <f t="shared" si="319"/>
        <v/>
      </c>
      <c r="AF916" s="74" t="str">
        <f t="shared" si="320"/>
        <v/>
      </c>
      <c r="AG916" s="74" t="str">
        <f t="shared" si="321"/>
        <v/>
      </c>
      <c r="AH916" s="74">
        <f t="shared" si="322"/>
        <v>0</v>
      </c>
      <c r="AI916" s="74" t="str">
        <f>IF(AH916&lt;&gt;0,COUNTIF(AH$3:AH916,1),"")</f>
        <v/>
      </c>
      <c r="AJ916" s="74">
        <f t="shared" si="323"/>
        <v>0</v>
      </c>
      <c r="AK916" s="73" t="str">
        <f t="shared" si="324"/>
        <v/>
      </c>
      <c r="AL916" s="73" t="str">
        <f t="shared" si="325"/>
        <v/>
      </c>
      <c r="AM916" s="73" t="str">
        <f t="shared" si="326"/>
        <v/>
      </c>
      <c r="AN916" s="73" t="str">
        <f t="shared" si="327"/>
        <v/>
      </c>
      <c r="AP916" s="61" t="str">
        <f t="shared" si="328"/>
        <v/>
      </c>
      <c r="AQ916" s="61" t="str">
        <f t="shared" si="329"/>
        <v/>
      </c>
      <c r="AR916" s="61" t="str">
        <f t="shared" si="330"/>
        <v/>
      </c>
    </row>
    <row r="917" spans="16:44" x14ac:dyDescent="0.25">
      <c r="P917" s="73" t="str">
        <f t="shared" si="311"/>
        <v/>
      </c>
      <c r="Q917" s="73" t="str">
        <f t="shared" si="312"/>
        <v/>
      </c>
      <c r="R917" s="74" t="str">
        <f t="shared" si="313"/>
        <v/>
      </c>
      <c r="S917" s="74" t="str">
        <f t="shared" si="314"/>
        <v/>
      </c>
      <c r="U917" s="74" t="str">
        <f t="shared" si="331"/>
        <v/>
      </c>
      <c r="V917" s="74" t="str">
        <f t="shared" si="331"/>
        <v/>
      </c>
      <c r="W917" s="74" t="str">
        <f t="shared" si="331"/>
        <v/>
      </c>
      <c r="X917" s="74" t="str">
        <f t="shared" si="331"/>
        <v/>
      </c>
      <c r="Y917" s="74" t="str">
        <f t="shared" si="331"/>
        <v/>
      </c>
      <c r="Z917" s="74" t="str">
        <f t="shared" si="315"/>
        <v/>
      </c>
      <c r="AA917" s="74">
        <f t="shared" si="316"/>
        <v>0</v>
      </c>
      <c r="AB917" s="74">
        <f t="shared" si="317"/>
        <v>0</v>
      </c>
      <c r="AC917" s="74" t="str">
        <f t="shared" si="318"/>
        <v/>
      </c>
      <c r="AE917" s="74" t="str">
        <f t="shared" si="319"/>
        <v/>
      </c>
      <c r="AF917" s="74" t="str">
        <f t="shared" si="320"/>
        <v/>
      </c>
      <c r="AG917" s="74" t="str">
        <f t="shared" si="321"/>
        <v/>
      </c>
      <c r="AH917" s="74">
        <f t="shared" si="322"/>
        <v>0</v>
      </c>
      <c r="AI917" s="74" t="str">
        <f>IF(AH917&lt;&gt;0,COUNTIF(AH$3:AH917,1),"")</f>
        <v/>
      </c>
      <c r="AJ917" s="74">
        <f t="shared" si="323"/>
        <v>0</v>
      </c>
      <c r="AK917" s="73" t="str">
        <f t="shared" si="324"/>
        <v/>
      </c>
      <c r="AL917" s="73" t="str">
        <f t="shared" si="325"/>
        <v/>
      </c>
      <c r="AM917" s="73" t="str">
        <f t="shared" si="326"/>
        <v/>
      </c>
      <c r="AN917" s="73" t="str">
        <f t="shared" si="327"/>
        <v/>
      </c>
      <c r="AP917" s="61" t="str">
        <f t="shared" si="328"/>
        <v/>
      </c>
      <c r="AQ917" s="61" t="str">
        <f t="shared" si="329"/>
        <v/>
      </c>
      <c r="AR917" s="61" t="str">
        <f t="shared" si="330"/>
        <v/>
      </c>
    </row>
    <row r="918" spans="16:44" x14ac:dyDescent="0.25">
      <c r="P918" s="73" t="str">
        <f t="shared" si="311"/>
        <v/>
      </c>
      <c r="Q918" s="73" t="str">
        <f t="shared" si="312"/>
        <v/>
      </c>
      <c r="R918" s="74" t="str">
        <f t="shared" si="313"/>
        <v/>
      </c>
      <c r="S918" s="74" t="str">
        <f t="shared" si="314"/>
        <v/>
      </c>
      <c r="U918" s="74" t="str">
        <f t="shared" si="331"/>
        <v/>
      </c>
      <c r="V918" s="74" t="str">
        <f t="shared" si="331"/>
        <v/>
      </c>
      <c r="W918" s="74" t="str">
        <f t="shared" si="331"/>
        <v/>
      </c>
      <c r="X918" s="74" t="str">
        <f t="shared" si="331"/>
        <v/>
      </c>
      <c r="Y918" s="74" t="str">
        <f t="shared" si="331"/>
        <v/>
      </c>
      <c r="Z918" s="74" t="str">
        <f t="shared" si="315"/>
        <v/>
      </c>
      <c r="AA918" s="74">
        <f t="shared" si="316"/>
        <v>0</v>
      </c>
      <c r="AB918" s="74">
        <f t="shared" si="317"/>
        <v>0</v>
      </c>
      <c r="AC918" s="74" t="str">
        <f t="shared" si="318"/>
        <v/>
      </c>
      <c r="AE918" s="74" t="str">
        <f t="shared" si="319"/>
        <v/>
      </c>
      <c r="AF918" s="74" t="str">
        <f t="shared" si="320"/>
        <v/>
      </c>
      <c r="AG918" s="74" t="str">
        <f t="shared" si="321"/>
        <v/>
      </c>
      <c r="AH918" s="74">
        <f t="shared" si="322"/>
        <v>0</v>
      </c>
      <c r="AI918" s="74" t="str">
        <f>IF(AH918&lt;&gt;0,COUNTIF(AH$3:AH918,1),"")</f>
        <v/>
      </c>
      <c r="AJ918" s="74">
        <f t="shared" si="323"/>
        <v>0</v>
      </c>
      <c r="AK918" s="73" t="str">
        <f t="shared" si="324"/>
        <v/>
      </c>
      <c r="AL918" s="73" t="str">
        <f t="shared" si="325"/>
        <v/>
      </c>
      <c r="AM918" s="73" t="str">
        <f t="shared" si="326"/>
        <v/>
      </c>
      <c r="AN918" s="73" t="str">
        <f t="shared" si="327"/>
        <v/>
      </c>
      <c r="AP918" s="61" t="str">
        <f t="shared" si="328"/>
        <v/>
      </c>
      <c r="AQ918" s="61" t="str">
        <f t="shared" si="329"/>
        <v/>
      </c>
      <c r="AR918" s="61" t="str">
        <f t="shared" si="330"/>
        <v/>
      </c>
    </row>
    <row r="919" spans="16:44" x14ac:dyDescent="0.25">
      <c r="P919" s="73" t="str">
        <f t="shared" si="311"/>
        <v/>
      </c>
      <c r="Q919" s="73" t="str">
        <f t="shared" si="312"/>
        <v/>
      </c>
      <c r="R919" s="74" t="str">
        <f t="shared" si="313"/>
        <v/>
      </c>
      <c r="S919" s="74" t="str">
        <f t="shared" si="314"/>
        <v/>
      </c>
      <c r="U919" s="74" t="str">
        <f t="shared" si="331"/>
        <v/>
      </c>
      <c r="V919" s="74" t="str">
        <f t="shared" si="331"/>
        <v/>
      </c>
      <c r="W919" s="74" t="str">
        <f t="shared" si="331"/>
        <v/>
      </c>
      <c r="X919" s="74" t="str">
        <f t="shared" si="331"/>
        <v/>
      </c>
      <c r="Y919" s="74" t="str">
        <f t="shared" si="331"/>
        <v/>
      </c>
      <c r="Z919" s="74" t="str">
        <f t="shared" si="315"/>
        <v/>
      </c>
      <c r="AA919" s="74">
        <f t="shared" si="316"/>
        <v>0</v>
      </c>
      <c r="AB919" s="74">
        <f t="shared" si="317"/>
        <v>0</v>
      </c>
      <c r="AC919" s="74" t="str">
        <f t="shared" si="318"/>
        <v/>
      </c>
      <c r="AE919" s="74" t="str">
        <f t="shared" si="319"/>
        <v/>
      </c>
      <c r="AF919" s="74" t="str">
        <f t="shared" si="320"/>
        <v/>
      </c>
      <c r="AG919" s="74" t="str">
        <f t="shared" si="321"/>
        <v/>
      </c>
      <c r="AH919" s="74">
        <f t="shared" si="322"/>
        <v>0</v>
      </c>
      <c r="AI919" s="74" t="str">
        <f>IF(AH919&lt;&gt;0,COUNTIF(AH$3:AH919,1),"")</f>
        <v/>
      </c>
      <c r="AJ919" s="74">
        <f t="shared" si="323"/>
        <v>0</v>
      </c>
      <c r="AK919" s="73" t="str">
        <f t="shared" si="324"/>
        <v/>
      </c>
      <c r="AL919" s="73" t="str">
        <f t="shared" si="325"/>
        <v/>
      </c>
      <c r="AM919" s="73" t="str">
        <f t="shared" si="326"/>
        <v/>
      </c>
      <c r="AN919" s="73" t="str">
        <f t="shared" si="327"/>
        <v/>
      </c>
      <c r="AP919" s="61" t="str">
        <f t="shared" si="328"/>
        <v/>
      </c>
      <c r="AQ919" s="61" t="str">
        <f t="shared" si="329"/>
        <v/>
      </c>
      <c r="AR919" s="61" t="str">
        <f t="shared" si="330"/>
        <v/>
      </c>
    </row>
    <row r="920" spans="16:44" x14ac:dyDescent="0.25">
      <c r="P920" s="73" t="str">
        <f t="shared" si="311"/>
        <v/>
      </c>
      <c r="Q920" s="73" t="str">
        <f t="shared" si="312"/>
        <v/>
      </c>
      <c r="R920" s="74" t="str">
        <f t="shared" si="313"/>
        <v/>
      </c>
      <c r="S920" s="74" t="str">
        <f t="shared" si="314"/>
        <v/>
      </c>
      <c r="U920" s="74" t="str">
        <f t="shared" si="331"/>
        <v/>
      </c>
      <c r="V920" s="74" t="str">
        <f t="shared" si="331"/>
        <v/>
      </c>
      <c r="W920" s="74" t="str">
        <f t="shared" si="331"/>
        <v/>
      </c>
      <c r="X920" s="74" t="str">
        <f t="shared" si="331"/>
        <v/>
      </c>
      <c r="Y920" s="74" t="str">
        <f t="shared" si="331"/>
        <v/>
      </c>
      <c r="Z920" s="74" t="str">
        <f t="shared" si="315"/>
        <v/>
      </c>
      <c r="AA920" s="74">
        <f t="shared" si="316"/>
        <v>0</v>
      </c>
      <c r="AB920" s="74">
        <f t="shared" si="317"/>
        <v>0</v>
      </c>
      <c r="AC920" s="74" t="str">
        <f t="shared" si="318"/>
        <v/>
      </c>
      <c r="AE920" s="74" t="str">
        <f t="shared" si="319"/>
        <v/>
      </c>
      <c r="AF920" s="74" t="str">
        <f t="shared" si="320"/>
        <v/>
      </c>
      <c r="AG920" s="74" t="str">
        <f t="shared" si="321"/>
        <v/>
      </c>
      <c r="AH920" s="74">
        <f t="shared" si="322"/>
        <v>0</v>
      </c>
      <c r="AI920" s="74" t="str">
        <f>IF(AH920&lt;&gt;0,COUNTIF(AH$3:AH920,1),"")</f>
        <v/>
      </c>
      <c r="AJ920" s="74">
        <f t="shared" si="323"/>
        <v>0</v>
      </c>
      <c r="AK920" s="73" t="str">
        <f t="shared" si="324"/>
        <v/>
      </c>
      <c r="AL920" s="73" t="str">
        <f t="shared" si="325"/>
        <v/>
      </c>
      <c r="AM920" s="73" t="str">
        <f t="shared" si="326"/>
        <v/>
      </c>
      <c r="AN920" s="73" t="str">
        <f t="shared" si="327"/>
        <v/>
      </c>
      <c r="AP920" s="61" t="str">
        <f t="shared" si="328"/>
        <v/>
      </c>
      <c r="AQ920" s="61" t="str">
        <f t="shared" si="329"/>
        <v/>
      </c>
      <c r="AR920" s="61" t="str">
        <f t="shared" si="330"/>
        <v/>
      </c>
    </row>
    <row r="921" spans="16:44" x14ac:dyDescent="0.25">
      <c r="P921" s="73" t="str">
        <f t="shared" si="311"/>
        <v/>
      </c>
      <c r="Q921" s="73" t="str">
        <f t="shared" si="312"/>
        <v/>
      </c>
      <c r="R921" s="74" t="str">
        <f t="shared" si="313"/>
        <v/>
      </c>
      <c r="S921" s="74" t="str">
        <f t="shared" si="314"/>
        <v/>
      </c>
      <c r="U921" s="74" t="str">
        <f t="shared" si="331"/>
        <v/>
      </c>
      <c r="V921" s="74" t="str">
        <f t="shared" si="331"/>
        <v/>
      </c>
      <c r="W921" s="74" t="str">
        <f t="shared" si="331"/>
        <v/>
      </c>
      <c r="X921" s="74" t="str">
        <f t="shared" si="331"/>
        <v/>
      </c>
      <c r="Y921" s="74" t="str">
        <f t="shared" si="331"/>
        <v/>
      </c>
      <c r="Z921" s="74" t="str">
        <f t="shared" si="315"/>
        <v/>
      </c>
      <c r="AA921" s="74">
        <f t="shared" si="316"/>
        <v>0</v>
      </c>
      <c r="AB921" s="74">
        <f t="shared" si="317"/>
        <v>0</v>
      </c>
      <c r="AC921" s="74" t="str">
        <f t="shared" si="318"/>
        <v/>
      </c>
      <c r="AE921" s="74" t="str">
        <f t="shared" si="319"/>
        <v/>
      </c>
      <c r="AF921" s="74" t="str">
        <f t="shared" si="320"/>
        <v/>
      </c>
      <c r="AG921" s="74" t="str">
        <f t="shared" si="321"/>
        <v/>
      </c>
      <c r="AH921" s="74">
        <f t="shared" si="322"/>
        <v>0</v>
      </c>
      <c r="AI921" s="74" t="str">
        <f>IF(AH921&lt;&gt;0,COUNTIF(AH$3:AH921,1),"")</f>
        <v/>
      </c>
      <c r="AJ921" s="74">
        <f t="shared" si="323"/>
        <v>0</v>
      </c>
      <c r="AK921" s="73" t="str">
        <f t="shared" si="324"/>
        <v/>
      </c>
      <c r="AL921" s="73" t="str">
        <f t="shared" si="325"/>
        <v/>
      </c>
      <c r="AM921" s="73" t="str">
        <f t="shared" si="326"/>
        <v/>
      </c>
      <c r="AN921" s="73" t="str">
        <f t="shared" si="327"/>
        <v/>
      </c>
      <c r="AP921" s="61" t="str">
        <f t="shared" si="328"/>
        <v/>
      </c>
      <c r="AQ921" s="61" t="str">
        <f t="shared" si="329"/>
        <v/>
      </c>
      <c r="AR921" s="61" t="str">
        <f t="shared" si="330"/>
        <v/>
      </c>
    </row>
    <row r="922" spans="16:44" x14ac:dyDescent="0.25">
      <c r="P922" s="73" t="str">
        <f t="shared" si="311"/>
        <v/>
      </c>
      <c r="Q922" s="73" t="str">
        <f t="shared" si="312"/>
        <v/>
      </c>
      <c r="R922" s="74" t="str">
        <f t="shared" si="313"/>
        <v/>
      </c>
      <c r="S922" s="74" t="str">
        <f t="shared" si="314"/>
        <v/>
      </c>
      <c r="U922" s="74" t="str">
        <f t="shared" si="331"/>
        <v/>
      </c>
      <c r="V922" s="74" t="str">
        <f t="shared" si="331"/>
        <v/>
      </c>
      <c r="W922" s="74" t="str">
        <f t="shared" si="331"/>
        <v/>
      </c>
      <c r="X922" s="74" t="str">
        <f t="shared" si="331"/>
        <v/>
      </c>
      <c r="Y922" s="74" t="str">
        <f t="shared" si="331"/>
        <v/>
      </c>
      <c r="Z922" s="74" t="str">
        <f t="shared" si="315"/>
        <v/>
      </c>
      <c r="AA922" s="74">
        <f t="shared" si="316"/>
        <v>0</v>
      </c>
      <c r="AB922" s="74">
        <f t="shared" si="317"/>
        <v>0</v>
      </c>
      <c r="AC922" s="74" t="str">
        <f t="shared" si="318"/>
        <v/>
      </c>
      <c r="AE922" s="74" t="str">
        <f t="shared" si="319"/>
        <v/>
      </c>
      <c r="AF922" s="74" t="str">
        <f t="shared" si="320"/>
        <v/>
      </c>
      <c r="AG922" s="74" t="str">
        <f t="shared" si="321"/>
        <v/>
      </c>
      <c r="AH922" s="74">
        <f t="shared" si="322"/>
        <v>0</v>
      </c>
      <c r="AI922" s="74" t="str">
        <f>IF(AH922&lt;&gt;0,COUNTIF(AH$3:AH922,1),"")</f>
        <v/>
      </c>
      <c r="AJ922" s="74">
        <f t="shared" si="323"/>
        <v>0</v>
      </c>
      <c r="AK922" s="73" t="str">
        <f t="shared" si="324"/>
        <v/>
      </c>
      <c r="AL922" s="73" t="str">
        <f t="shared" si="325"/>
        <v/>
      </c>
      <c r="AM922" s="73" t="str">
        <f t="shared" si="326"/>
        <v/>
      </c>
      <c r="AN922" s="73" t="str">
        <f t="shared" si="327"/>
        <v/>
      </c>
      <c r="AP922" s="61" t="str">
        <f t="shared" si="328"/>
        <v/>
      </c>
      <c r="AQ922" s="61" t="str">
        <f t="shared" si="329"/>
        <v/>
      </c>
      <c r="AR922" s="61" t="str">
        <f t="shared" si="330"/>
        <v/>
      </c>
    </row>
    <row r="923" spans="16:44" x14ac:dyDescent="0.25">
      <c r="P923" s="73" t="str">
        <f t="shared" si="311"/>
        <v/>
      </c>
      <c r="Q923" s="73" t="str">
        <f t="shared" si="312"/>
        <v/>
      </c>
      <c r="R923" s="74" t="str">
        <f t="shared" si="313"/>
        <v/>
      </c>
      <c r="S923" s="74" t="str">
        <f t="shared" si="314"/>
        <v/>
      </c>
      <c r="U923" s="74" t="str">
        <f t="shared" si="331"/>
        <v/>
      </c>
      <c r="V923" s="74" t="str">
        <f t="shared" si="331"/>
        <v/>
      </c>
      <c r="W923" s="74" t="str">
        <f t="shared" si="331"/>
        <v/>
      </c>
      <c r="X923" s="74" t="str">
        <f t="shared" si="331"/>
        <v/>
      </c>
      <c r="Y923" s="74" t="str">
        <f t="shared" si="331"/>
        <v/>
      </c>
      <c r="Z923" s="74" t="str">
        <f t="shared" si="315"/>
        <v/>
      </c>
      <c r="AA923" s="74">
        <f t="shared" si="316"/>
        <v>0</v>
      </c>
      <c r="AB923" s="74">
        <f t="shared" si="317"/>
        <v>0</v>
      </c>
      <c r="AC923" s="74" t="str">
        <f t="shared" si="318"/>
        <v/>
      </c>
      <c r="AE923" s="74" t="str">
        <f t="shared" si="319"/>
        <v/>
      </c>
      <c r="AF923" s="74" t="str">
        <f t="shared" si="320"/>
        <v/>
      </c>
      <c r="AG923" s="74" t="str">
        <f t="shared" si="321"/>
        <v/>
      </c>
      <c r="AH923" s="74">
        <f t="shared" si="322"/>
        <v>0</v>
      </c>
      <c r="AI923" s="74" t="str">
        <f>IF(AH923&lt;&gt;0,COUNTIF(AH$3:AH923,1),"")</f>
        <v/>
      </c>
      <c r="AJ923" s="74">
        <f t="shared" si="323"/>
        <v>0</v>
      </c>
      <c r="AK923" s="73" t="str">
        <f t="shared" si="324"/>
        <v/>
      </c>
      <c r="AL923" s="73" t="str">
        <f t="shared" si="325"/>
        <v/>
      </c>
      <c r="AM923" s="73" t="str">
        <f t="shared" si="326"/>
        <v/>
      </c>
      <c r="AN923" s="73" t="str">
        <f t="shared" si="327"/>
        <v/>
      </c>
      <c r="AP923" s="61" t="str">
        <f t="shared" si="328"/>
        <v/>
      </c>
      <c r="AQ923" s="61" t="str">
        <f t="shared" si="329"/>
        <v/>
      </c>
      <c r="AR923" s="61" t="str">
        <f t="shared" si="330"/>
        <v/>
      </c>
    </row>
    <row r="924" spans="16:44" x14ac:dyDescent="0.25">
      <c r="P924" s="73" t="str">
        <f t="shared" si="311"/>
        <v/>
      </c>
      <c r="Q924" s="73" t="str">
        <f t="shared" si="312"/>
        <v/>
      </c>
      <c r="R924" s="74" t="str">
        <f t="shared" si="313"/>
        <v/>
      </c>
      <c r="S924" s="74" t="str">
        <f t="shared" si="314"/>
        <v/>
      </c>
      <c r="U924" s="74" t="str">
        <f t="shared" si="331"/>
        <v/>
      </c>
      <c r="V924" s="74" t="str">
        <f t="shared" si="331"/>
        <v/>
      </c>
      <c r="W924" s="74" t="str">
        <f t="shared" si="331"/>
        <v/>
      </c>
      <c r="X924" s="74" t="str">
        <f t="shared" si="331"/>
        <v/>
      </c>
      <c r="Y924" s="74" t="str">
        <f t="shared" si="331"/>
        <v/>
      </c>
      <c r="Z924" s="74" t="str">
        <f t="shared" si="315"/>
        <v/>
      </c>
      <c r="AA924" s="74">
        <f t="shared" si="316"/>
        <v>0</v>
      </c>
      <c r="AB924" s="74">
        <f t="shared" si="317"/>
        <v>0</v>
      </c>
      <c r="AC924" s="74" t="str">
        <f t="shared" si="318"/>
        <v/>
      </c>
      <c r="AE924" s="74" t="str">
        <f t="shared" si="319"/>
        <v/>
      </c>
      <c r="AF924" s="74" t="str">
        <f t="shared" si="320"/>
        <v/>
      </c>
      <c r="AG924" s="74" t="str">
        <f t="shared" si="321"/>
        <v/>
      </c>
      <c r="AH924" s="74">
        <f t="shared" si="322"/>
        <v>0</v>
      </c>
      <c r="AI924" s="74" t="str">
        <f>IF(AH924&lt;&gt;0,COUNTIF(AH$3:AH924,1),"")</f>
        <v/>
      </c>
      <c r="AJ924" s="74">
        <f t="shared" si="323"/>
        <v>0</v>
      </c>
      <c r="AK924" s="73" t="str">
        <f t="shared" si="324"/>
        <v/>
      </c>
      <c r="AL924" s="73" t="str">
        <f t="shared" si="325"/>
        <v/>
      </c>
      <c r="AM924" s="73" t="str">
        <f t="shared" si="326"/>
        <v/>
      </c>
      <c r="AN924" s="73" t="str">
        <f t="shared" si="327"/>
        <v/>
      </c>
      <c r="AP924" s="61" t="str">
        <f t="shared" si="328"/>
        <v/>
      </c>
      <c r="AQ924" s="61" t="str">
        <f t="shared" si="329"/>
        <v/>
      </c>
      <c r="AR924" s="61" t="str">
        <f t="shared" si="330"/>
        <v/>
      </c>
    </row>
    <row r="925" spans="16:44" x14ac:dyDescent="0.25">
      <c r="P925" s="73" t="str">
        <f t="shared" si="311"/>
        <v/>
      </c>
      <c r="Q925" s="73" t="str">
        <f t="shared" si="312"/>
        <v/>
      </c>
      <c r="R925" s="74" t="str">
        <f t="shared" si="313"/>
        <v/>
      </c>
      <c r="S925" s="74" t="str">
        <f t="shared" si="314"/>
        <v/>
      </c>
      <c r="U925" s="74" t="str">
        <f t="shared" si="331"/>
        <v/>
      </c>
      <c r="V925" s="74" t="str">
        <f t="shared" si="331"/>
        <v/>
      </c>
      <c r="W925" s="74" t="str">
        <f t="shared" si="331"/>
        <v/>
      </c>
      <c r="X925" s="74" t="str">
        <f t="shared" si="331"/>
        <v/>
      </c>
      <c r="Y925" s="74" t="str">
        <f t="shared" si="331"/>
        <v/>
      </c>
      <c r="Z925" s="74" t="str">
        <f t="shared" si="315"/>
        <v/>
      </c>
      <c r="AA925" s="74">
        <f t="shared" si="316"/>
        <v>0</v>
      </c>
      <c r="AB925" s="74">
        <f t="shared" si="317"/>
        <v>0</v>
      </c>
      <c r="AC925" s="74" t="str">
        <f t="shared" si="318"/>
        <v/>
      </c>
      <c r="AE925" s="74" t="str">
        <f t="shared" si="319"/>
        <v/>
      </c>
      <c r="AF925" s="74" t="str">
        <f t="shared" si="320"/>
        <v/>
      </c>
      <c r="AG925" s="74" t="str">
        <f t="shared" si="321"/>
        <v/>
      </c>
      <c r="AH925" s="74">
        <f t="shared" si="322"/>
        <v>0</v>
      </c>
      <c r="AI925" s="74" t="str">
        <f>IF(AH925&lt;&gt;0,COUNTIF(AH$3:AH925,1),"")</f>
        <v/>
      </c>
      <c r="AJ925" s="74">
        <f t="shared" si="323"/>
        <v>0</v>
      </c>
      <c r="AK925" s="73" t="str">
        <f t="shared" si="324"/>
        <v/>
      </c>
      <c r="AL925" s="73" t="str">
        <f t="shared" si="325"/>
        <v/>
      </c>
      <c r="AM925" s="73" t="str">
        <f t="shared" si="326"/>
        <v/>
      </c>
      <c r="AN925" s="73" t="str">
        <f t="shared" si="327"/>
        <v/>
      </c>
    </row>
    <row r="926" spans="16:44" x14ac:dyDescent="0.25">
      <c r="P926" s="73" t="str">
        <f t="shared" si="311"/>
        <v/>
      </c>
      <c r="Q926" s="73" t="str">
        <f t="shared" si="312"/>
        <v/>
      </c>
      <c r="R926" s="74" t="str">
        <f t="shared" si="313"/>
        <v/>
      </c>
      <c r="S926" s="74" t="str">
        <f t="shared" si="314"/>
        <v/>
      </c>
      <c r="U926" s="74" t="str">
        <f t="shared" si="331"/>
        <v/>
      </c>
      <c r="V926" s="74" t="str">
        <f t="shared" si="331"/>
        <v/>
      </c>
      <c r="W926" s="74" t="str">
        <f t="shared" si="331"/>
        <v/>
      </c>
      <c r="X926" s="74" t="str">
        <f t="shared" si="331"/>
        <v/>
      </c>
      <c r="Y926" s="74" t="str">
        <f t="shared" si="331"/>
        <v/>
      </c>
      <c r="Z926" s="74" t="str">
        <f t="shared" si="315"/>
        <v/>
      </c>
      <c r="AA926" s="74">
        <f t="shared" si="316"/>
        <v>0</v>
      </c>
      <c r="AB926" s="74">
        <f t="shared" si="317"/>
        <v>0</v>
      </c>
      <c r="AC926" s="74" t="str">
        <f t="shared" si="318"/>
        <v/>
      </c>
      <c r="AE926" s="74" t="str">
        <f t="shared" si="319"/>
        <v/>
      </c>
      <c r="AF926" s="74" t="str">
        <f t="shared" si="320"/>
        <v/>
      </c>
      <c r="AG926" s="74" t="str">
        <f t="shared" si="321"/>
        <v/>
      </c>
      <c r="AH926" s="74">
        <f t="shared" si="322"/>
        <v>0</v>
      </c>
      <c r="AI926" s="74" t="str">
        <f>IF(AH926&lt;&gt;0,COUNTIF(AH$3:AH926,1),"")</f>
        <v/>
      </c>
      <c r="AJ926" s="74">
        <f t="shared" si="323"/>
        <v>0</v>
      </c>
      <c r="AK926" s="73" t="str">
        <f t="shared" si="324"/>
        <v/>
      </c>
      <c r="AL926" s="73" t="str">
        <f t="shared" si="325"/>
        <v/>
      </c>
      <c r="AM926" s="73" t="str">
        <f t="shared" si="326"/>
        <v/>
      </c>
      <c r="AN926" s="73" t="str">
        <f t="shared" si="327"/>
        <v/>
      </c>
    </row>
    <row r="927" spans="16:44" x14ac:dyDescent="0.25">
      <c r="P927" s="73" t="str">
        <f t="shared" si="311"/>
        <v/>
      </c>
      <c r="Q927" s="73" t="str">
        <f t="shared" si="312"/>
        <v/>
      </c>
      <c r="R927" s="74" t="str">
        <f t="shared" si="313"/>
        <v/>
      </c>
      <c r="S927" s="74" t="str">
        <f t="shared" si="314"/>
        <v/>
      </c>
      <c r="U927" s="74" t="str">
        <f t="shared" si="331"/>
        <v/>
      </c>
      <c r="V927" s="74" t="str">
        <f t="shared" si="331"/>
        <v/>
      </c>
      <c r="W927" s="74" t="str">
        <f t="shared" si="331"/>
        <v/>
      </c>
      <c r="X927" s="74" t="str">
        <f t="shared" si="331"/>
        <v/>
      </c>
      <c r="Y927" s="74" t="str">
        <f t="shared" si="331"/>
        <v/>
      </c>
      <c r="Z927" s="74" t="str">
        <f t="shared" si="315"/>
        <v/>
      </c>
      <c r="AA927" s="74">
        <f t="shared" si="316"/>
        <v>0</v>
      </c>
      <c r="AB927" s="74">
        <f t="shared" si="317"/>
        <v>0</v>
      </c>
      <c r="AC927" s="74" t="str">
        <f t="shared" si="318"/>
        <v/>
      </c>
      <c r="AE927" s="74" t="str">
        <f t="shared" si="319"/>
        <v/>
      </c>
      <c r="AF927" s="74" t="str">
        <f t="shared" si="320"/>
        <v/>
      </c>
      <c r="AG927" s="74" t="str">
        <f t="shared" si="321"/>
        <v/>
      </c>
      <c r="AH927" s="74">
        <f t="shared" si="322"/>
        <v>0</v>
      </c>
      <c r="AI927" s="74" t="str">
        <f>IF(AH927&lt;&gt;0,COUNTIF(AH$3:AH927,1),"")</f>
        <v/>
      </c>
      <c r="AJ927" s="74">
        <f t="shared" si="323"/>
        <v>0</v>
      </c>
      <c r="AK927" s="73" t="str">
        <f t="shared" si="324"/>
        <v/>
      </c>
      <c r="AL927" s="73" t="str">
        <f t="shared" si="325"/>
        <v/>
      </c>
      <c r="AM927" s="73" t="str">
        <f t="shared" si="326"/>
        <v/>
      </c>
      <c r="AN927" s="73" t="str">
        <f t="shared" si="327"/>
        <v/>
      </c>
    </row>
    <row r="928" spans="16:44" x14ac:dyDescent="0.25">
      <c r="P928" s="73" t="str">
        <f t="shared" si="311"/>
        <v/>
      </c>
      <c r="Q928" s="73" t="str">
        <f t="shared" si="312"/>
        <v/>
      </c>
      <c r="R928" s="74" t="str">
        <f t="shared" si="313"/>
        <v/>
      </c>
      <c r="S928" s="74" t="str">
        <f t="shared" si="314"/>
        <v/>
      </c>
      <c r="U928" s="74" t="str">
        <f t="shared" si="331"/>
        <v/>
      </c>
      <c r="V928" s="74" t="str">
        <f t="shared" si="331"/>
        <v/>
      </c>
      <c r="W928" s="74" t="str">
        <f t="shared" si="331"/>
        <v/>
      </c>
      <c r="X928" s="74" t="str">
        <f t="shared" si="331"/>
        <v/>
      </c>
      <c r="Y928" s="74" t="str">
        <f t="shared" si="331"/>
        <v/>
      </c>
      <c r="Z928" s="74" t="str">
        <f t="shared" si="315"/>
        <v/>
      </c>
      <c r="AA928" s="74">
        <f t="shared" si="316"/>
        <v>0</v>
      </c>
      <c r="AB928" s="74">
        <f t="shared" si="317"/>
        <v>0</v>
      </c>
      <c r="AC928" s="74" t="str">
        <f t="shared" si="318"/>
        <v/>
      </c>
      <c r="AE928" s="74" t="str">
        <f t="shared" si="319"/>
        <v/>
      </c>
      <c r="AF928" s="74" t="str">
        <f t="shared" si="320"/>
        <v/>
      </c>
      <c r="AG928" s="74" t="str">
        <f t="shared" si="321"/>
        <v/>
      </c>
      <c r="AH928" s="74">
        <f t="shared" si="322"/>
        <v>0</v>
      </c>
      <c r="AI928" s="74" t="str">
        <f>IF(AH928&lt;&gt;0,COUNTIF(AH$3:AH928,1),"")</f>
        <v/>
      </c>
      <c r="AJ928" s="74">
        <f t="shared" si="323"/>
        <v>0</v>
      </c>
      <c r="AK928" s="73" t="str">
        <f t="shared" si="324"/>
        <v/>
      </c>
      <c r="AL928" s="73" t="str">
        <f t="shared" si="325"/>
        <v/>
      </c>
      <c r="AM928" s="73" t="str">
        <f t="shared" si="326"/>
        <v/>
      </c>
      <c r="AN928" s="73" t="str">
        <f t="shared" si="327"/>
        <v/>
      </c>
    </row>
    <row r="929" spans="16:40" x14ac:dyDescent="0.25">
      <c r="P929" s="73" t="str">
        <f t="shared" si="311"/>
        <v/>
      </c>
      <c r="Q929" s="73" t="str">
        <f t="shared" si="312"/>
        <v/>
      </c>
      <c r="R929" s="74" t="str">
        <f t="shared" si="313"/>
        <v/>
      </c>
      <c r="S929" s="74" t="str">
        <f t="shared" si="314"/>
        <v/>
      </c>
      <c r="U929" s="74" t="str">
        <f t="shared" si="331"/>
        <v/>
      </c>
      <c r="V929" s="74" t="str">
        <f t="shared" si="331"/>
        <v/>
      </c>
      <c r="W929" s="74" t="str">
        <f t="shared" si="331"/>
        <v/>
      </c>
      <c r="X929" s="74" t="str">
        <f t="shared" si="331"/>
        <v/>
      </c>
      <c r="Y929" s="74" t="str">
        <f t="shared" si="331"/>
        <v/>
      </c>
      <c r="Z929" s="74" t="str">
        <f t="shared" si="315"/>
        <v/>
      </c>
      <c r="AA929" s="74">
        <f t="shared" si="316"/>
        <v>0</v>
      </c>
      <c r="AB929" s="74">
        <f t="shared" si="317"/>
        <v>0</v>
      </c>
      <c r="AC929" s="74" t="str">
        <f t="shared" si="318"/>
        <v/>
      </c>
      <c r="AE929" s="74" t="str">
        <f t="shared" si="319"/>
        <v/>
      </c>
      <c r="AF929" s="74" t="str">
        <f t="shared" si="320"/>
        <v/>
      </c>
      <c r="AG929" s="74" t="str">
        <f t="shared" si="321"/>
        <v/>
      </c>
      <c r="AH929" s="74">
        <f t="shared" si="322"/>
        <v>0</v>
      </c>
      <c r="AI929" s="74" t="str">
        <f>IF(AH929&lt;&gt;0,COUNTIF(AH$3:AH929,1),"")</f>
        <v/>
      </c>
      <c r="AJ929" s="74">
        <f t="shared" si="323"/>
        <v>0</v>
      </c>
      <c r="AK929" s="73" t="str">
        <f t="shared" si="324"/>
        <v/>
      </c>
      <c r="AL929" s="73" t="str">
        <f t="shared" si="325"/>
        <v/>
      </c>
      <c r="AM929" s="73" t="str">
        <f t="shared" si="326"/>
        <v/>
      </c>
      <c r="AN929" s="73" t="str">
        <f t="shared" si="327"/>
        <v/>
      </c>
    </row>
    <row r="930" spans="16:40" x14ac:dyDescent="0.25">
      <c r="P930" s="73" t="str">
        <f t="shared" si="311"/>
        <v/>
      </c>
      <c r="Q930" s="73" t="str">
        <f t="shared" si="312"/>
        <v/>
      </c>
      <c r="R930" s="74" t="str">
        <f t="shared" si="313"/>
        <v/>
      </c>
      <c r="S930" s="74" t="str">
        <f t="shared" si="314"/>
        <v/>
      </c>
      <c r="U930" s="74" t="str">
        <f t="shared" si="331"/>
        <v/>
      </c>
      <c r="V930" s="74" t="str">
        <f t="shared" si="331"/>
        <v/>
      </c>
      <c r="W930" s="74" t="str">
        <f t="shared" si="331"/>
        <v/>
      </c>
      <c r="X930" s="74" t="str">
        <f t="shared" si="331"/>
        <v/>
      </c>
      <c r="Y930" s="74" t="str">
        <f t="shared" si="331"/>
        <v/>
      </c>
      <c r="Z930" s="74" t="str">
        <f t="shared" si="315"/>
        <v/>
      </c>
      <c r="AA930" s="74">
        <f t="shared" si="316"/>
        <v>0</v>
      </c>
      <c r="AB930" s="74">
        <f t="shared" si="317"/>
        <v>0</v>
      </c>
      <c r="AC930" s="74" t="str">
        <f t="shared" si="318"/>
        <v/>
      </c>
      <c r="AE930" s="74" t="str">
        <f t="shared" si="319"/>
        <v/>
      </c>
      <c r="AF930" s="74" t="str">
        <f t="shared" si="320"/>
        <v/>
      </c>
      <c r="AG930" s="74" t="str">
        <f t="shared" si="321"/>
        <v/>
      </c>
      <c r="AH930" s="74">
        <f t="shared" si="322"/>
        <v>0</v>
      </c>
      <c r="AI930" s="74" t="str">
        <f>IF(AH930&lt;&gt;0,COUNTIF(AH$3:AH930,1),"")</f>
        <v/>
      </c>
      <c r="AJ930" s="74">
        <f t="shared" si="323"/>
        <v>0</v>
      </c>
      <c r="AK930" s="73" t="str">
        <f t="shared" si="324"/>
        <v/>
      </c>
      <c r="AL930" s="73" t="str">
        <f t="shared" si="325"/>
        <v/>
      </c>
      <c r="AM930" s="73" t="str">
        <f t="shared" si="326"/>
        <v/>
      </c>
      <c r="AN930" s="73" t="str">
        <f t="shared" si="327"/>
        <v/>
      </c>
    </row>
    <row r="931" spans="16:40" x14ac:dyDescent="0.25">
      <c r="P931" s="73" t="str">
        <f t="shared" si="311"/>
        <v/>
      </c>
      <c r="Q931" s="73" t="str">
        <f t="shared" si="312"/>
        <v/>
      </c>
      <c r="R931" s="74" t="str">
        <f t="shared" si="313"/>
        <v/>
      </c>
      <c r="S931" s="74" t="str">
        <f t="shared" si="314"/>
        <v/>
      </c>
      <c r="U931" s="74" t="str">
        <f t="shared" si="331"/>
        <v/>
      </c>
      <c r="V931" s="74" t="str">
        <f t="shared" si="331"/>
        <v/>
      </c>
      <c r="W931" s="74" t="str">
        <f t="shared" si="331"/>
        <v/>
      </c>
      <c r="X931" s="74" t="str">
        <f t="shared" si="331"/>
        <v/>
      </c>
      <c r="Y931" s="74" t="str">
        <f t="shared" si="331"/>
        <v/>
      </c>
      <c r="Z931" s="74" t="str">
        <f t="shared" si="315"/>
        <v/>
      </c>
      <c r="AA931" s="74">
        <f t="shared" si="316"/>
        <v>0</v>
      </c>
      <c r="AB931" s="74">
        <f t="shared" si="317"/>
        <v>0</v>
      </c>
      <c r="AC931" s="74" t="str">
        <f t="shared" si="318"/>
        <v/>
      </c>
      <c r="AE931" s="74" t="str">
        <f t="shared" si="319"/>
        <v/>
      </c>
      <c r="AF931" s="74" t="str">
        <f t="shared" si="320"/>
        <v/>
      </c>
      <c r="AG931" s="74" t="str">
        <f t="shared" si="321"/>
        <v/>
      </c>
      <c r="AH931" s="74">
        <f t="shared" si="322"/>
        <v>0</v>
      </c>
      <c r="AI931" s="74" t="str">
        <f>IF(AH931&lt;&gt;0,COUNTIF(AH$3:AH931,1),"")</f>
        <v/>
      </c>
      <c r="AJ931" s="74">
        <f t="shared" si="323"/>
        <v>0</v>
      </c>
      <c r="AK931" s="73" t="str">
        <f t="shared" si="324"/>
        <v/>
      </c>
      <c r="AL931" s="73" t="str">
        <f t="shared" si="325"/>
        <v/>
      </c>
      <c r="AM931" s="73" t="str">
        <f t="shared" si="326"/>
        <v/>
      </c>
      <c r="AN931" s="73" t="str">
        <f t="shared" si="327"/>
        <v/>
      </c>
    </row>
    <row r="932" spans="16:40" x14ac:dyDescent="0.25">
      <c r="P932" s="73" t="str">
        <f t="shared" si="311"/>
        <v/>
      </c>
      <c r="Q932" s="73" t="str">
        <f t="shared" si="312"/>
        <v/>
      </c>
      <c r="R932" s="74" t="str">
        <f t="shared" si="313"/>
        <v/>
      </c>
      <c r="S932" s="74" t="str">
        <f t="shared" si="314"/>
        <v/>
      </c>
      <c r="U932" s="74" t="str">
        <f t="shared" si="331"/>
        <v/>
      </c>
      <c r="V932" s="74" t="str">
        <f t="shared" si="331"/>
        <v/>
      </c>
      <c r="W932" s="74" t="str">
        <f t="shared" si="331"/>
        <v/>
      </c>
      <c r="X932" s="74" t="str">
        <f t="shared" si="331"/>
        <v/>
      </c>
      <c r="Y932" s="74" t="str">
        <f t="shared" si="331"/>
        <v/>
      </c>
      <c r="Z932" s="74" t="str">
        <f t="shared" si="315"/>
        <v/>
      </c>
      <c r="AA932" s="74">
        <f t="shared" si="316"/>
        <v>0</v>
      </c>
      <c r="AB932" s="74">
        <f t="shared" si="317"/>
        <v>0</v>
      </c>
      <c r="AC932" s="74" t="str">
        <f t="shared" si="318"/>
        <v/>
      </c>
      <c r="AE932" s="74" t="str">
        <f t="shared" si="319"/>
        <v/>
      </c>
      <c r="AF932" s="74" t="str">
        <f t="shared" si="320"/>
        <v/>
      </c>
      <c r="AG932" s="74" t="str">
        <f t="shared" si="321"/>
        <v/>
      </c>
      <c r="AH932" s="74">
        <f t="shared" si="322"/>
        <v>0</v>
      </c>
      <c r="AI932" s="74" t="str">
        <f>IF(AH932&lt;&gt;0,COUNTIF(AH$3:AH932,1),"")</f>
        <v/>
      </c>
      <c r="AJ932" s="74">
        <f t="shared" si="323"/>
        <v>0</v>
      </c>
      <c r="AK932" s="73" t="str">
        <f t="shared" si="324"/>
        <v/>
      </c>
      <c r="AL932" s="73" t="str">
        <f t="shared" si="325"/>
        <v/>
      </c>
      <c r="AM932" s="73" t="str">
        <f t="shared" si="326"/>
        <v/>
      </c>
      <c r="AN932" s="73" t="str">
        <f t="shared" si="327"/>
        <v/>
      </c>
    </row>
    <row r="933" spans="16:40" x14ac:dyDescent="0.25">
      <c r="P933" s="73" t="str">
        <f t="shared" si="311"/>
        <v/>
      </c>
      <c r="Q933" s="73" t="str">
        <f t="shared" si="312"/>
        <v/>
      </c>
      <c r="R933" s="74" t="str">
        <f t="shared" si="313"/>
        <v/>
      </c>
      <c r="S933" s="74" t="str">
        <f t="shared" si="314"/>
        <v/>
      </c>
      <c r="U933" s="74" t="str">
        <f t="shared" si="331"/>
        <v/>
      </c>
      <c r="V933" s="74" t="str">
        <f t="shared" si="331"/>
        <v/>
      </c>
      <c r="W933" s="74" t="str">
        <f t="shared" si="331"/>
        <v/>
      </c>
      <c r="X933" s="74" t="str">
        <f t="shared" si="331"/>
        <v/>
      </c>
      <c r="Y933" s="74" t="str">
        <f t="shared" si="331"/>
        <v/>
      </c>
      <c r="Z933" s="74" t="str">
        <f t="shared" si="315"/>
        <v/>
      </c>
      <c r="AA933" s="74">
        <f t="shared" si="316"/>
        <v>0</v>
      </c>
      <c r="AB933" s="74">
        <f t="shared" si="317"/>
        <v>0</v>
      </c>
      <c r="AC933" s="74" t="str">
        <f t="shared" si="318"/>
        <v/>
      </c>
      <c r="AE933" s="74" t="str">
        <f t="shared" si="319"/>
        <v/>
      </c>
      <c r="AF933" s="74" t="str">
        <f t="shared" si="320"/>
        <v/>
      </c>
      <c r="AG933" s="74" t="str">
        <f t="shared" si="321"/>
        <v/>
      </c>
      <c r="AH933" s="74">
        <f t="shared" si="322"/>
        <v>0</v>
      </c>
      <c r="AI933" s="74" t="str">
        <f>IF(AH933&lt;&gt;0,COUNTIF(AH$3:AH933,1),"")</f>
        <v/>
      </c>
      <c r="AJ933" s="74">
        <f t="shared" si="323"/>
        <v>0</v>
      </c>
      <c r="AK933" s="73" t="str">
        <f t="shared" si="324"/>
        <v/>
      </c>
      <c r="AL933" s="73" t="str">
        <f t="shared" si="325"/>
        <v/>
      </c>
      <c r="AM933" s="73" t="str">
        <f t="shared" si="326"/>
        <v/>
      </c>
      <c r="AN933" s="73" t="str">
        <f t="shared" si="327"/>
        <v/>
      </c>
    </row>
    <row r="934" spans="16:40" x14ac:dyDescent="0.25">
      <c r="P934" s="73" t="str">
        <f t="shared" si="311"/>
        <v/>
      </c>
      <c r="Q934" s="73" t="str">
        <f t="shared" si="312"/>
        <v/>
      </c>
      <c r="R934" s="74" t="str">
        <f t="shared" si="313"/>
        <v/>
      </c>
      <c r="S934" s="74" t="str">
        <f t="shared" si="314"/>
        <v/>
      </c>
      <c r="U934" s="74" t="str">
        <f t="shared" si="331"/>
        <v/>
      </c>
      <c r="V934" s="74" t="str">
        <f t="shared" si="331"/>
        <v/>
      </c>
      <c r="W934" s="74" t="str">
        <f t="shared" si="331"/>
        <v/>
      </c>
      <c r="X934" s="74" t="str">
        <f t="shared" si="331"/>
        <v/>
      </c>
      <c r="Y934" s="74" t="str">
        <f t="shared" si="331"/>
        <v/>
      </c>
      <c r="Z934" s="74" t="str">
        <f t="shared" si="315"/>
        <v/>
      </c>
      <c r="AA934" s="74">
        <f t="shared" si="316"/>
        <v>0</v>
      </c>
      <c r="AB934" s="74">
        <f t="shared" si="317"/>
        <v>0</v>
      </c>
      <c r="AC934" s="74" t="str">
        <f t="shared" si="318"/>
        <v/>
      </c>
      <c r="AE934" s="74" t="str">
        <f t="shared" si="319"/>
        <v/>
      </c>
      <c r="AF934" s="74" t="str">
        <f t="shared" si="320"/>
        <v/>
      </c>
      <c r="AG934" s="74" t="str">
        <f t="shared" si="321"/>
        <v/>
      </c>
      <c r="AH934" s="74">
        <f t="shared" si="322"/>
        <v>0</v>
      </c>
      <c r="AI934" s="74" t="str">
        <f>IF(AH934&lt;&gt;0,COUNTIF(AH$3:AH934,1),"")</f>
        <v/>
      </c>
      <c r="AJ934" s="74">
        <f t="shared" si="323"/>
        <v>0</v>
      </c>
      <c r="AK934" s="73" t="str">
        <f t="shared" si="324"/>
        <v/>
      </c>
      <c r="AL934" s="73" t="str">
        <f t="shared" si="325"/>
        <v/>
      </c>
      <c r="AM934" s="73" t="str">
        <f t="shared" si="326"/>
        <v/>
      </c>
      <c r="AN934" s="73" t="str">
        <f t="shared" si="327"/>
        <v/>
      </c>
    </row>
    <row r="935" spans="16:40" x14ac:dyDescent="0.25">
      <c r="P935" s="73" t="str">
        <f t="shared" si="311"/>
        <v/>
      </c>
      <c r="Q935" s="73" t="str">
        <f t="shared" si="312"/>
        <v/>
      </c>
      <c r="R935" s="74" t="str">
        <f t="shared" si="313"/>
        <v/>
      </c>
      <c r="S935" s="74" t="str">
        <f t="shared" si="314"/>
        <v/>
      </c>
      <c r="U935" s="74" t="str">
        <f t="shared" si="331"/>
        <v/>
      </c>
      <c r="V935" s="74" t="str">
        <f t="shared" si="331"/>
        <v/>
      </c>
      <c r="W935" s="74" t="str">
        <f t="shared" si="331"/>
        <v/>
      </c>
      <c r="X935" s="74" t="str">
        <f t="shared" si="331"/>
        <v/>
      </c>
      <c r="Y935" s="74" t="str">
        <f t="shared" si="331"/>
        <v/>
      </c>
      <c r="Z935" s="74" t="str">
        <f t="shared" si="315"/>
        <v/>
      </c>
      <c r="AA935" s="74">
        <f t="shared" si="316"/>
        <v>0</v>
      </c>
      <c r="AB935" s="74">
        <f t="shared" si="317"/>
        <v>0</v>
      </c>
      <c r="AC935" s="74" t="str">
        <f t="shared" si="318"/>
        <v/>
      </c>
      <c r="AE935" s="74" t="str">
        <f t="shared" si="319"/>
        <v/>
      </c>
      <c r="AF935" s="74" t="str">
        <f t="shared" si="320"/>
        <v/>
      </c>
      <c r="AG935" s="74" t="str">
        <f t="shared" si="321"/>
        <v/>
      </c>
      <c r="AH935" s="74">
        <f t="shared" si="322"/>
        <v>0</v>
      </c>
      <c r="AI935" s="74" t="str">
        <f>IF(AH935&lt;&gt;0,COUNTIF(AH$3:AH935,1),"")</f>
        <v/>
      </c>
      <c r="AJ935" s="74">
        <f t="shared" si="323"/>
        <v>0</v>
      </c>
      <c r="AK935" s="73" t="str">
        <f t="shared" si="324"/>
        <v/>
      </c>
      <c r="AL935" s="73" t="str">
        <f t="shared" si="325"/>
        <v/>
      </c>
      <c r="AM935" s="73" t="str">
        <f t="shared" si="326"/>
        <v/>
      </c>
      <c r="AN935" s="73" t="str">
        <f t="shared" si="327"/>
        <v/>
      </c>
    </row>
    <row r="936" spans="16:40" x14ac:dyDescent="0.25">
      <c r="P936" s="73" t="str">
        <f t="shared" si="311"/>
        <v/>
      </c>
      <c r="Q936" s="73" t="str">
        <f t="shared" si="312"/>
        <v/>
      </c>
      <c r="R936" s="74" t="str">
        <f t="shared" si="313"/>
        <v/>
      </c>
      <c r="S936" s="74" t="str">
        <f t="shared" si="314"/>
        <v/>
      </c>
      <c r="U936" s="74" t="str">
        <f t="shared" si="331"/>
        <v/>
      </c>
      <c r="V936" s="74" t="str">
        <f t="shared" si="331"/>
        <v/>
      </c>
      <c r="W936" s="74" t="str">
        <f t="shared" si="331"/>
        <v/>
      </c>
      <c r="X936" s="74" t="str">
        <f t="shared" si="331"/>
        <v/>
      </c>
      <c r="Y936" s="74" t="str">
        <f t="shared" si="331"/>
        <v/>
      </c>
      <c r="Z936" s="74" t="str">
        <f t="shared" si="315"/>
        <v/>
      </c>
      <c r="AA936" s="74">
        <f t="shared" si="316"/>
        <v>0</v>
      </c>
      <c r="AB936" s="74">
        <f t="shared" si="317"/>
        <v>0</v>
      </c>
      <c r="AC936" s="74" t="str">
        <f t="shared" si="318"/>
        <v/>
      </c>
      <c r="AE936" s="74" t="str">
        <f t="shared" si="319"/>
        <v/>
      </c>
      <c r="AF936" s="74" t="str">
        <f t="shared" si="320"/>
        <v/>
      </c>
      <c r="AG936" s="74" t="str">
        <f t="shared" si="321"/>
        <v/>
      </c>
      <c r="AH936" s="74">
        <f t="shared" si="322"/>
        <v>0</v>
      </c>
      <c r="AI936" s="74" t="str">
        <f>IF(AH936&lt;&gt;0,COUNTIF(AH$3:AH936,1),"")</f>
        <v/>
      </c>
      <c r="AJ936" s="74">
        <f t="shared" si="323"/>
        <v>0</v>
      </c>
      <c r="AK936" s="73" t="str">
        <f t="shared" si="324"/>
        <v/>
      </c>
      <c r="AL936" s="73" t="str">
        <f t="shared" si="325"/>
        <v/>
      </c>
      <c r="AM936" s="73" t="str">
        <f t="shared" si="326"/>
        <v/>
      </c>
      <c r="AN936" s="73" t="str">
        <f t="shared" si="327"/>
        <v/>
      </c>
    </row>
    <row r="937" spans="16:40" x14ac:dyDescent="0.25">
      <c r="P937" s="73" t="str">
        <f t="shared" si="311"/>
        <v/>
      </c>
      <c r="Q937" s="73" t="str">
        <f t="shared" si="312"/>
        <v/>
      </c>
      <c r="R937" s="74" t="str">
        <f t="shared" si="313"/>
        <v/>
      </c>
      <c r="S937" s="74" t="str">
        <f t="shared" si="314"/>
        <v/>
      </c>
      <c r="U937" s="74" t="str">
        <f t="shared" si="331"/>
        <v/>
      </c>
      <c r="V937" s="74" t="str">
        <f t="shared" si="331"/>
        <v/>
      </c>
      <c r="W937" s="74" t="str">
        <f t="shared" si="331"/>
        <v/>
      </c>
      <c r="X937" s="74" t="str">
        <f t="shared" si="331"/>
        <v/>
      </c>
      <c r="Y937" s="74" t="str">
        <f t="shared" si="331"/>
        <v/>
      </c>
      <c r="Z937" s="74" t="str">
        <f t="shared" si="315"/>
        <v/>
      </c>
      <c r="AA937" s="74">
        <f t="shared" si="316"/>
        <v>0</v>
      </c>
      <c r="AB937" s="74">
        <f t="shared" si="317"/>
        <v>0</v>
      </c>
      <c r="AC937" s="74" t="str">
        <f t="shared" si="318"/>
        <v/>
      </c>
      <c r="AE937" s="74" t="str">
        <f t="shared" si="319"/>
        <v/>
      </c>
      <c r="AF937" s="74" t="str">
        <f t="shared" si="320"/>
        <v/>
      </c>
      <c r="AG937" s="74" t="str">
        <f t="shared" si="321"/>
        <v/>
      </c>
      <c r="AH937" s="74">
        <f t="shared" si="322"/>
        <v>0</v>
      </c>
      <c r="AI937" s="74" t="str">
        <f>IF(AH937&lt;&gt;0,COUNTIF(AH$3:AH937,1),"")</f>
        <v/>
      </c>
      <c r="AJ937" s="74">
        <f t="shared" si="323"/>
        <v>0</v>
      </c>
      <c r="AK937" s="73" t="str">
        <f t="shared" si="324"/>
        <v/>
      </c>
      <c r="AL937" s="73" t="str">
        <f t="shared" si="325"/>
        <v/>
      </c>
      <c r="AM937" s="73" t="str">
        <f t="shared" si="326"/>
        <v/>
      </c>
      <c r="AN937" s="73" t="str">
        <f t="shared" si="327"/>
        <v/>
      </c>
    </row>
    <row r="938" spans="16:40" x14ac:dyDescent="0.25">
      <c r="P938" s="73" t="str">
        <f t="shared" si="311"/>
        <v/>
      </c>
      <c r="Q938" s="73" t="str">
        <f t="shared" si="312"/>
        <v/>
      </c>
      <c r="R938" s="74" t="str">
        <f t="shared" si="313"/>
        <v/>
      </c>
      <c r="S938" s="74" t="str">
        <f t="shared" si="314"/>
        <v/>
      </c>
      <c r="U938" s="74" t="str">
        <f t="shared" si="331"/>
        <v/>
      </c>
      <c r="V938" s="74" t="str">
        <f t="shared" si="331"/>
        <v/>
      </c>
      <c r="W938" s="74" t="str">
        <f t="shared" si="331"/>
        <v/>
      </c>
      <c r="X938" s="74" t="str">
        <f t="shared" si="331"/>
        <v/>
      </c>
      <c r="Y938" s="74" t="str">
        <f t="shared" si="331"/>
        <v/>
      </c>
      <c r="Z938" s="74" t="str">
        <f t="shared" si="315"/>
        <v/>
      </c>
      <c r="AA938" s="74">
        <f t="shared" si="316"/>
        <v>0</v>
      </c>
      <c r="AB938" s="74">
        <f t="shared" si="317"/>
        <v>0</v>
      </c>
      <c r="AC938" s="74" t="str">
        <f t="shared" si="318"/>
        <v/>
      </c>
      <c r="AE938" s="74" t="str">
        <f t="shared" si="319"/>
        <v/>
      </c>
      <c r="AF938" s="74" t="str">
        <f t="shared" si="320"/>
        <v/>
      </c>
      <c r="AG938" s="74" t="str">
        <f t="shared" si="321"/>
        <v/>
      </c>
      <c r="AH938" s="74">
        <f t="shared" si="322"/>
        <v>0</v>
      </c>
      <c r="AI938" s="74" t="str">
        <f>IF(AH938&lt;&gt;0,COUNTIF(AH$3:AH938,1),"")</f>
        <v/>
      </c>
      <c r="AJ938" s="74">
        <f t="shared" si="323"/>
        <v>0</v>
      </c>
      <c r="AK938" s="73" t="str">
        <f t="shared" si="324"/>
        <v/>
      </c>
      <c r="AL938" s="73" t="str">
        <f t="shared" si="325"/>
        <v/>
      </c>
      <c r="AM938" s="73" t="str">
        <f t="shared" si="326"/>
        <v/>
      </c>
      <c r="AN938" s="73" t="str">
        <f t="shared" si="327"/>
        <v/>
      </c>
    </row>
    <row r="939" spans="16:40" x14ac:dyDescent="0.25">
      <c r="P939" s="73" t="str">
        <f t="shared" si="311"/>
        <v/>
      </c>
      <c r="Q939" s="73" t="str">
        <f t="shared" si="312"/>
        <v/>
      </c>
      <c r="R939" s="74" t="str">
        <f t="shared" si="313"/>
        <v/>
      </c>
      <c r="S939" s="74" t="str">
        <f t="shared" si="314"/>
        <v/>
      </c>
      <c r="U939" s="74" t="str">
        <f t="shared" si="331"/>
        <v/>
      </c>
      <c r="V939" s="74" t="str">
        <f t="shared" si="331"/>
        <v/>
      </c>
      <c r="W939" s="74" t="str">
        <f t="shared" si="331"/>
        <v/>
      </c>
      <c r="X939" s="74" t="str">
        <f t="shared" si="331"/>
        <v/>
      </c>
      <c r="Y939" s="74" t="str">
        <f t="shared" si="331"/>
        <v/>
      </c>
      <c r="Z939" s="74" t="str">
        <f t="shared" si="315"/>
        <v/>
      </c>
      <c r="AA939" s="74">
        <f t="shared" si="316"/>
        <v>0</v>
      </c>
      <c r="AB939" s="74">
        <f t="shared" si="317"/>
        <v>0</v>
      </c>
      <c r="AC939" s="74" t="str">
        <f t="shared" si="318"/>
        <v/>
      </c>
      <c r="AE939" s="74" t="str">
        <f t="shared" si="319"/>
        <v/>
      </c>
      <c r="AF939" s="74" t="str">
        <f t="shared" si="320"/>
        <v/>
      </c>
      <c r="AG939" s="74" t="str">
        <f t="shared" si="321"/>
        <v/>
      </c>
      <c r="AH939" s="74">
        <f t="shared" si="322"/>
        <v>0</v>
      </c>
      <c r="AI939" s="74" t="str">
        <f>IF(AH939&lt;&gt;0,COUNTIF(AH$3:AH939,1),"")</f>
        <v/>
      </c>
      <c r="AJ939" s="74">
        <f t="shared" si="323"/>
        <v>0</v>
      </c>
      <c r="AK939" s="73" t="str">
        <f t="shared" si="324"/>
        <v/>
      </c>
      <c r="AL939" s="73" t="str">
        <f t="shared" si="325"/>
        <v/>
      </c>
      <c r="AM939" s="73" t="str">
        <f t="shared" si="326"/>
        <v/>
      </c>
      <c r="AN939" s="73" t="str">
        <f t="shared" si="327"/>
        <v/>
      </c>
    </row>
    <row r="940" spans="16:40" x14ac:dyDescent="0.25">
      <c r="P940" s="73" t="str">
        <f t="shared" si="311"/>
        <v/>
      </c>
      <c r="Q940" s="73" t="str">
        <f t="shared" si="312"/>
        <v/>
      </c>
      <c r="R940" s="74" t="str">
        <f t="shared" si="313"/>
        <v/>
      </c>
      <c r="S940" s="74" t="str">
        <f t="shared" si="314"/>
        <v/>
      </c>
      <c r="U940" s="74" t="str">
        <f t="shared" si="331"/>
        <v/>
      </c>
      <c r="V940" s="74" t="str">
        <f t="shared" si="331"/>
        <v/>
      </c>
      <c r="W940" s="74" t="str">
        <f t="shared" si="331"/>
        <v/>
      </c>
      <c r="X940" s="74" t="str">
        <f t="shared" si="331"/>
        <v/>
      </c>
      <c r="Y940" s="74" t="str">
        <f t="shared" si="331"/>
        <v/>
      </c>
      <c r="Z940" s="74" t="str">
        <f t="shared" si="315"/>
        <v/>
      </c>
      <c r="AA940" s="74">
        <f t="shared" si="316"/>
        <v>0</v>
      </c>
      <c r="AB940" s="74">
        <f t="shared" si="317"/>
        <v>0</v>
      </c>
      <c r="AC940" s="74" t="str">
        <f t="shared" si="318"/>
        <v/>
      </c>
      <c r="AE940" s="74" t="str">
        <f t="shared" si="319"/>
        <v/>
      </c>
      <c r="AF940" s="74" t="str">
        <f t="shared" si="320"/>
        <v/>
      </c>
      <c r="AG940" s="74" t="str">
        <f t="shared" si="321"/>
        <v/>
      </c>
      <c r="AH940" s="74">
        <f t="shared" si="322"/>
        <v>0</v>
      </c>
      <c r="AI940" s="74" t="str">
        <f>IF(AH940&lt;&gt;0,COUNTIF(AH$3:AH940,1),"")</f>
        <v/>
      </c>
      <c r="AJ940" s="74">
        <f t="shared" si="323"/>
        <v>0</v>
      </c>
      <c r="AK940" s="73" t="str">
        <f t="shared" si="324"/>
        <v/>
      </c>
      <c r="AL940" s="73" t="str">
        <f t="shared" si="325"/>
        <v/>
      </c>
      <c r="AM940" s="73" t="str">
        <f t="shared" si="326"/>
        <v/>
      </c>
      <c r="AN940" s="73" t="str">
        <f t="shared" si="327"/>
        <v/>
      </c>
    </row>
    <row r="941" spans="16:40" x14ac:dyDescent="0.25">
      <c r="P941" s="73" t="str">
        <f t="shared" si="311"/>
        <v/>
      </c>
      <c r="Q941" s="73" t="str">
        <f t="shared" si="312"/>
        <v/>
      </c>
      <c r="R941" s="74" t="str">
        <f t="shared" si="313"/>
        <v/>
      </c>
      <c r="S941" s="74" t="str">
        <f t="shared" si="314"/>
        <v/>
      </c>
      <c r="U941" s="74" t="str">
        <f t="shared" si="331"/>
        <v/>
      </c>
      <c r="V941" s="74" t="str">
        <f t="shared" si="331"/>
        <v/>
      </c>
      <c r="W941" s="74" t="str">
        <f t="shared" si="331"/>
        <v/>
      </c>
      <c r="X941" s="74" t="str">
        <f t="shared" si="331"/>
        <v/>
      </c>
      <c r="Y941" s="74" t="str">
        <f t="shared" si="331"/>
        <v/>
      </c>
      <c r="Z941" s="74" t="str">
        <f t="shared" si="315"/>
        <v/>
      </c>
      <c r="AA941" s="74">
        <f t="shared" si="316"/>
        <v>0</v>
      </c>
      <c r="AB941" s="74">
        <f t="shared" si="317"/>
        <v>0</v>
      </c>
      <c r="AC941" s="74" t="str">
        <f t="shared" si="318"/>
        <v/>
      </c>
      <c r="AE941" s="74" t="str">
        <f t="shared" si="319"/>
        <v/>
      </c>
      <c r="AF941" s="74" t="str">
        <f t="shared" si="320"/>
        <v/>
      </c>
      <c r="AG941" s="74" t="str">
        <f t="shared" si="321"/>
        <v/>
      </c>
      <c r="AH941" s="74">
        <f t="shared" si="322"/>
        <v>0</v>
      </c>
      <c r="AI941" s="74" t="str">
        <f>IF(AH941&lt;&gt;0,COUNTIF(AH$3:AH941,1),"")</f>
        <v/>
      </c>
      <c r="AJ941" s="74">
        <f t="shared" si="323"/>
        <v>0</v>
      </c>
      <c r="AK941" s="73" t="str">
        <f t="shared" si="324"/>
        <v/>
      </c>
      <c r="AL941" s="73" t="str">
        <f t="shared" si="325"/>
        <v/>
      </c>
      <c r="AM941" s="73" t="str">
        <f t="shared" si="326"/>
        <v/>
      </c>
      <c r="AN941" s="73" t="str">
        <f t="shared" si="327"/>
        <v/>
      </c>
    </row>
    <row r="942" spans="16:40" x14ac:dyDescent="0.25">
      <c r="P942" s="73" t="str">
        <f t="shared" si="311"/>
        <v/>
      </c>
      <c r="Q942" s="73" t="str">
        <f t="shared" si="312"/>
        <v/>
      </c>
      <c r="R942" s="74" t="str">
        <f t="shared" si="313"/>
        <v/>
      </c>
      <c r="S942" s="74" t="str">
        <f t="shared" si="314"/>
        <v/>
      </c>
      <c r="U942" s="74" t="str">
        <f t="shared" si="331"/>
        <v/>
      </c>
      <c r="V942" s="74" t="str">
        <f t="shared" si="331"/>
        <v/>
      </c>
      <c r="W942" s="74" t="str">
        <f t="shared" si="331"/>
        <v/>
      </c>
      <c r="X942" s="74" t="str">
        <f t="shared" si="331"/>
        <v/>
      </c>
      <c r="Y942" s="74" t="str">
        <f t="shared" si="331"/>
        <v/>
      </c>
      <c r="Z942" s="74" t="str">
        <f t="shared" si="315"/>
        <v/>
      </c>
      <c r="AA942" s="74">
        <f t="shared" si="316"/>
        <v>0</v>
      </c>
      <c r="AB942" s="74">
        <f t="shared" si="317"/>
        <v>0</v>
      </c>
      <c r="AC942" s="74" t="str">
        <f t="shared" si="318"/>
        <v/>
      </c>
      <c r="AE942" s="74" t="str">
        <f t="shared" si="319"/>
        <v/>
      </c>
      <c r="AF942" s="74" t="str">
        <f t="shared" si="320"/>
        <v/>
      </c>
      <c r="AG942" s="74" t="str">
        <f t="shared" si="321"/>
        <v/>
      </c>
      <c r="AH942" s="74">
        <f t="shared" si="322"/>
        <v>0</v>
      </c>
      <c r="AI942" s="74" t="str">
        <f>IF(AH942&lt;&gt;0,COUNTIF(AH$3:AH942,1),"")</f>
        <v/>
      </c>
      <c r="AJ942" s="74">
        <f t="shared" si="323"/>
        <v>0</v>
      </c>
      <c r="AK942" s="73" t="str">
        <f t="shared" si="324"/>
        <v/>
      </c>
      <c r="AL942" s="73" t="str">
        <f t="shared" si="325"/>
        <v/>
      </c>
      <c r="AM942" s="73" t="str">
        <f t="shared" si="326"/>
        <v/>
      </c>
      <c r="AN942" s="73" t="str">
        <f t="shared" si="327"/>
        <v/>
      </c>
    </row>
    <row r="943" spans="16:40" x14ac:dyDescent="0.25">
      <c r="P943" s="73" t="str">
        <f t="shared" si="311"/>
        <v/>
      </c>
      <c r="Q943" s="73" t="str">
        <f t="shared" si="312"/>
        <v/>
      </c>
      <c r="R943" s="74" t="str">
        <f t="shared" si="313"/>
        <v/>
      </c>
      <c r="S943" s="74" t="str">
        <f t="shared" si="314"/>
        <v/>
      </c>
      <c r="U943" s="74" t="str">
        <f t="shared" si="331"/>
        <v/>
      </c>
      <c r="V943" s="74" t="str">
        <f t="shared" si="331"/>
        <v/>
      </c>
      <c r="W943" s="74" t="str">
        <f t="shared" si="331"/>
        <v/>
      </c>
      <c r="X943" s="74" t="str">
        <f t="shared" si="331"/>
        <v/>
      </c>
      <c r="Y943" s="74" t="str">
        <f t="shared" si="331"/>
        <v/>
      </c>
      <c r="Z943" s="74" t="str">
        <f t="shared" si="315"/>
        <v/>
      </c>
      <c r="AA943" s="74">
        <f t="shared" si="316"/>
        <v>0</v>
      </c>
      <c r="AB943" s="74">
        <f t="shared" si="317"/>
        <v>0</v>
      </c>
      <c r="AC943" s="74" t="str">
        <f t="shared" si="318"/>
        <v/>
      </c>
      <c r="AE943" s="74" t="str">
        <f t="shared" si="319"/>
        <v/>
      </c>
      <c r="AF943" s="74" t="str">
        <f t="shared" si="320"/>
        <v/>
      </c>
      <c r="AG943" s="74" t="str">
        <f t="shared" si="321"/>
        <v/>
      </c>
      <c r="AH943" s="74">
        <f t="shared" si="322"/>
        <v>0</v>
      </c>
      <c r="AI943" s="74" t="str">
        <f>IF(AH943&lt;&gt;0,COUNTIF(AH$3:AH943,1),"")</f>
        <v/>
      </c>
      <c r="AJ943" s="74">
        <f t="shared" si="323"/>
        <v>0</v>
      </c>
      <c r="AK943" s="73" t="str">
        <f t="shared" si="324"/>
        <v/>
      </c>
      <c r="AL943" s="73" t="str">
        <f t="shared" si="325"/>
        <v/>
      </c>
      <c r="AM943" s="73" t="str">
        <f t="shared" si="326"/>
        <v/>
      </c>
      <c r="AN943" s="73" t="str">
        <f t="shared" si="327"/>
        <v/>
      </c>
    </row>
    <row r="944" spans="16:40" x14ac:dyDescent="0.25">
      <c r="P944" s="73" t="str">
        <f t="shared" si="311"/>
        <v/>
      </c>
      <c r="Q944" s="73" t="str">
        <f t="shared" si="312"/>
        <v/>
      </c>
      <c r="R944" s="74" t="str">
        <f t="shared" si="313"/>
        <v/>
      </c>
      <c r="S944" s="74" t="str">
        <f t="shared" si="314"/>
        <v/>
      </c>
      <c r="U944" s="74" t="str">
        <f t="shared" si="331"/>
        <v/>
      </c>
      <c r="V944" s="74" t="str">
        <f t="shared" si="331"/>
        <v/>
      </c>
      <c r="W944" s="74" t="str">
        <f t="shared" si="331"/>
        <v/>
      </c>
      <c r="X944" s="74" t="str">
        <f t="shared" si="331"/>
        <v/>
      </c>
      <c r="Y944" s="74" t="str">
        <f t="shared" si="331"/>
        <v/>
      </c>
      <c r="Z944" s="74" t="str">
        <f t="shared" si="315"/>
        <v/>
      </c>
      <c r="AA944" s="74">
        <f t="shared" si="316"/>
        <v>0</v>
      </c>
      <c r="AB944" s="74">
        <f t="shared" si="317"/>
        <v>0</v>
      </c>
      <c r="AC944" s="74" t="str">
        <f t="shared" si="318"/>
        <v/>
      </c>
      <c r="AE944" s="74" t="str">
        <f t="shared" si="319"/>
        <v/>
      </c>
      <c r="AF944" s="74" t="str">
        <f t="shared" si="320"/>
        <v/>
      </c>
      <c r="AG944" s="74" t="str">
        <f t="shared" si="321"/>
        <v/>
      </c>
      <c r="AH944" s="74">
        <f t="shared" si="322"/>
        <v>0</v>
      </c>
      <c r="AI944" s="74" t="str">
        <f>IF(AH944&lt;&gt;0,COUNTIF(AH$3:AH944,1),"")</f>
        <v/>
      </c>
      <c r="AJ944" s="74">
        <f t="shared" si="323"/>
        <v>0</v>
      </c>
      <c r="AK944" s="73" t="str">
        <f t="shared" si="324"/>
        <v/>
      </c>
      <c r="AL944" s="73" t="str">
        <f t="shared" si="325"/>
        <v/>
      </c>
      <c r="AM944" s="73" t="str">
        <f t="shared" si="326"/>
        <v/>
      </c>
      <c r="AN944" s="73" t="str">
        <f t="shared" si="327"/>
        <v/>
      </c>
    </row>
    <row r="945" spans="16:40" x14ac:dyDescent="0.25">
      <c r="P945" s="73" t="str">
        <f t="shared" si="311"/>
        <v/>
      </c>
      <c r="Q945" s="73" t="str">
        <f t="shared" si="312"/>
        <v/>
      </c>
      <c r="R945" s="74" t="str">
        <f t="shared" si="313"/>
        <v/>
      </c>
      <c r="S945" s="74" t="str">
        <f t="shared" si="314"/>
        <v/>
      </c>
      <c r="U945" s="74" t="str">
        <f t="shared" si="331"/>
        <v/>
      </c>
      <c r="V945" s="74" t="str">
        <f t="shared" si="331"/>
        <v/>
      </c>
      <c r="W945" s="74" t="str">
        <f t="shared" si="331"/>
        <v/>
      </c>
      <c r="X945" s="74" t="str">
        <f t="shared" si="331"/>
        <v/>
      </c>
      <c r="Y945" s="74" t="str">
        <f t="shared" si="331"/>
        <v/>
      </c>
      <c r="Z945" s="74" t="str">
        <f t="shared" si="315"/>
        <v/>
      </c>
      <c r="AA945" s="74">
        <f t="shared" si="316"/>
        <v>0</v>
      </c>
      <c r="AB945" s="74">
        <f t="shared" si="317"/>
        <v>0</v>
      </c>
      <c r="AC945" s="74" t="str">
        <f t="shared" si="318"/>
        <v/>
      </c>
      <c r="AE945" s="74" t="str">
        <f t="shared" si="319"/>
        <v/>
      </c>
      <c r="AF945" s="74" t="str">
        <f t="shared" si="320"/>
        <v/>
      </c>
      <c r="AG945" s="74" t="str">
        <f t="shared" si="321"/>
        <v/>
      </c>
      <c r="AH945" s="74">
        <f t="shared" si="322"/>
        <v>0</v>
      </c>
      <c r="AI945" s="74" t="str">
        <f>IF(AH945&lt;&gt;0,COUNTIF(AH$3:AH945,1),"")</f>
        <v/>
      </c>
      <c r="AJ945" s="74">
        <f t="shared" si="323"/>
        <v>0</v>
      </c>
      <c r="AK945" s="73" t="str">
        <f t="shared" si="324"/>
        <v/>
      </c>
      <c r="AL945" s="73" t="str">
        <f t="shared" si="325"/>
        <v/>
      </c>
      <c r="AM945" s="73" t="str">
        <f t="shared" si="326"/>
        <v/>
      </c>
      <c r="AN945" s="73" t="str">
        <f t="shared" si="327"/>
        <v/>
      </c>
    </row>
    <row r="946" spans="16:40" x14ac:dyDescent="0.25">
      <c r="P946" s="73" t="str">
        <f t="shared" si="311"/>
        <v/>
      </c>
      <c r="Q946" s="73" t="str">
        <f t="shared" si="312"/>
        <v/>
      </c>
      <c r="R946" s="74" t="str">
        <f t="shared" si="313"/>
        <v/>
      </c>
      <c r="S946" s="74" t="str">
        <f t="shared" si="314"/>
        <v/>
      </c>
      <c r="U946" s="74" t="str">
        <f t="shared" si="331"/>
        <v/>
      </c>
      <c r="V946" s="74" t="str">
        <f t="shared" si="331"/>
        <v/>
      </c>
      <c r="W946" s="74" t="str">
        <f t="shared" si="331"/>
        <v/>
      </c>
      <c r="X946" s="74" t="str">
        <f t="shared" si="331"/>
        <v/>
      </c>
      <c r="Y946" s="74" t="str">
        <f t="shared" si="331"/>
        <v/>
      </c>
      <c r="Z946" s="74" t="str">
        <f t="shared" si="315"/>
        <v/>
      </c>
      <c r="AA946" s="74">
        <f t="shared" si="316"/>
        <v>0</v>
      </c>
      <c r="AB946" s="74">
        <f t="shared" si="317"/>
        <v>0</v>
      </c>
      <c r="AC946" s="74" t="str">
        <f t="shared" si="318"/>
        <v/>
      </c>
      <c r="AE946" s="74" t="str">
        <f t="shared" si="319"/>
        <v/>
      </c>
      <c r="AF946" s="74" t="str">
        <f t="shared" si="320"/>
        <v/>
      </c>
      <c r="AG946" s="74" t="str">
        <f t="shared" si="321"/>
        <v/>
      </c>
      <c r="AH946" s="74">
        <f t="shared" si="322"/>
        <v>0</v>
      </c>
      <c r="AI946" s="74" t="str">
        <f>IF(AH946&lt;&gt;0,COUNTIF(AH$3:AH946,1),"")</f>
        <v/>
      </c>
      <c r="AJ946" s="74">
        <f t="shared" si="323"/>
        <v>0</v>
      </c>
      <c r="AK946" s="73" t="str">
        <f t="shared" si="324"/>
        <v/>
      </c>
      <c r="AL946" s="73" t="str">
        <f t="shared" si="325"/>
        <v/>
      </c>
      <c r="AM946" s="73" t="str">
        <f t="shared" si="326"/>
        <v/>
      </c>
      <c r="AN946" s="73" t="str">
        <f t="shared" si="327"/>
        <v/>
      </c>
    </row>
    <row r="947" spans="16:40" x14ac:dyDescent="0.25">
      <c r="P947" s="73" t="str">
        <f t="shared" si="311"/>
        <v/>
      </c>
      <c r="Q947" s="73" t="str">
        <f t="shared" si="312"/>
        <v/>
      </c>
      <c r="R947" s="74" t="str">
        <f t="shared" si="313"/>
        <v/>
      </c>
      <c r="S947" s="74" t="str">
        <f t="shared" si="314"/>
        <v/>
      </c>
      <c r="U947" s="74" t="str">
        <f t="shared" si="331"/>
        <v/>
      </c>
      <c r="V947" s="74" t="str">
        <f t="shared" si="331"/>
        <v/>
      </c>
      <c r="W947" s="74" t="str">
        <f t="shared" si="331"/>
        <v/>
      </c>
      <c r="X947" s="74" t="str">
        <f t="shared" si="331"/>
        <v/>
      </c>
      <c r="Y947" s="74" t="str">
        <f t="shared" si="331"/>
        <v/>
      </c>
      <c r="Z947" s="74" t="str">
        <f t="shared" si="315"/>
        <v/>
      </c>
      <c r="AA947" s="74">
        <f t="shared" si="316"/>
        <v>0</v>
      </c>
      <c r="AB947" s="74">
        <f t="shared" si="317"/>
        <v>0</v>
      </c>
      <c r="AC947" s="74" t="str">
        <f t="shared" si="318"/>
        <v/>
      </c>
      <c r="AE947" s="74" t="str">
        <f t="shared" si="319"/>
        <v/>
      </c>
      <c r="AF947" s="74" t="str">
        <f t="shared" si="320"/>
        <v/>
      </c>
      <c r="AG947" s="74" t="str">
        <f t="shared" si="321"/>
        <v/>
      </c>
      <c r="AH947" s="74">
        <f t="shared" si="322"/>
        <v>0</v>
      </c>
      <c r="AI947" s="74" t="str">
        <f>IF(AH947&lt;&gt;0,COUNTIF(AH$3:AH947,1),"")</f>
        <v/>
      </c>
      <c r="AJ947" s="74">
        <f t="shared" si="323"/>
        <v>0</v>
      </c>
      <c r="AK947" s="73" t="str">
        <f t="shared" si="324"/>
        <v/>
      </c>
      <c r="AL947" s="73" t="str">
        <f t="shared" si="325"/>
        <v/>
      </c>
      <c r="AM947" s="73" t="str">
        <f t="shared" si="326"/>
        <v/>
      </c>
      <c r="AN947" s="73" t="str">
        <f t="shared" si="327"/>
        <v/>
      </c>
    </row>
    <row r="948" spans="16:40" x14ac:dyDescent="0.25">
      <c r="P948" s="73" t="str">
        <f t="shared" si="311"/>
        <v/>
      </c>
      <c r="Q948" s="73" t="str">
        <f t="shared" si="312"/>
        <v/>
      </c>
      <c r="R948" s="74" t="str">
        <f t="shared" si="313"/>
        <v/>
      </c>
      <c r="S948" s="74" t="str">
        <f t="shared" si="314"/>
        <v/>
      </c>
      <c r="U948" s="74" t="str">
        <f t="shared" si="331"/>
        <v/>
      </c>
      <c r="V948" s="74" t="str">
        <f t="shared" si="331"/>
        <v/>
      </c>
      <c r="W948" s="74" t="str">
        <f t="shared" si="331"/>
        <v/>
      </c>
      <c r="X948" s="74" t="str">
        <f t="shared" si="331"/>
        <v/>
      </c>
      <c r="Y948" s="74" t="str">
        <f t="shared" si="331"/>
        <v/>
      </c>
      <c r="Z948" s="74" t="str">
        <f t="shared" si="315"/>
        <v/>
      </c>
      <c r="AA948" s="74">
        <f t="shared" si="316"/>
        <v>0</v>
      </c>
      <c r="AB948" s="74">
        <f t="shared" si="317"/>
        <v>0</v>
      </c>
      <c r="AC948" s="74" t="str">
        <f t="shared" si="318"/>
        <v/>
      </c>
      <c r="AE948" s="74" t="str">
        <f t="shared" si="319"/>
        <v/>
      </c>
      <c r="AF948" s="74" t="str">
        <f t="shared" si="320"/>
        <v/>
      </c>
      <c r="AG948" s="74" t="str">
        <f t="shared" si="321"/>
        <v/>
      </c>
      <c r="AH948" s="74">
        <f t="shared" si="322"/>
        <v>0</v>
      </c>
      <c r="AI948" s="74" t="str">
        <f>IF(AH948&lt;&gt;0,COUNTIF(AH$3:AH948,1),"")</f>
        <v/>
      </c>
      <c r="AJ948" s="74">
        <f t="shared" si="323"/>
        <v>0</v>
      </c>
      <c r="AK948" s="73" t="str">
        <f t="shared" si="324"/>
        <v/>
      </c>
      <c r="AL948" s="73" t="str">
        <f t="shared" si="325"/>
        <v/>
      </c>
      <c r="AM948" s="73" t="str">
        <f t="shared" si="326"/>
        <v/>
      </c>
      <c r="AN948" s="73" t="str">
        <f t="shared" si="327"/>
        <v/>
      </c>
    </row>
    <row r="949" spans="16:40" x14ac:dyDescent="0.25">
      <c r="P949" s="73" t="str">
        <f t="shared" si="311"/>
        <v/>
      </c>
      <c r="Q949" s="73" t="str">
        <f t="shared" si="312"/>
        <v/>
      </c>
      <c r="R949" s="74" t="str">
        <f t="shared" si="313"/>
        <v/>
      </c>
      <c r="S949" s="74" t="str">
        <f t="shared" si="314"/>
        <v/>
      </c>
      <c r="U949" s="74" t="str">
        <f t="shared" si="331"/>
        <v/>
      </c>
      <c r="V949" s="74" t="str">
        <f t="shared" si="331"/>
        <v/>
      </c>
      <c r="W949" s="74" t="str">
        <f t="shared" si="331"/>
        <v/>
      </c>
      <c r="X949" s="74" t="str">
        <f t="shared" si="331"/>
        <v/>
      </c>
      <c r="Y949" s="74" t="str">
        <f t="shared" si="331"/>
        <v/>
      </c>
      <c r="Z949" s="74" t="str">
        <f t="shared" si="315"/>
        <v/>
      </c>
      <c r="AA949" s="74">
        <f t="shared" si="316"/>
        <v>0</v>
      </c>
      <c r="AB949" s="74">
        <f t="shared" si="317"/>
        <v>0</v>
      </c>
      <c r="AC949" s="74" t="str">
        <f t="shared" si="318"/>
        <v/>
      </c>
      <c r="AE949" s="74" t="str">
        <f t="shared" si="319"/>
        <v/>
      </c>
      <c r="AF949" s="74" t="str">
        <f t="shared" si="320"/>
        <v/>
      </c>
      <c r="AG949" s="74" t="str">
        <f t="shared" si="321"/>
        <v/>
      </c>
      <c r="AH949" s="74">
        <f t="shared" si="322"/>
        <v>0</v>
      </c>
      <c r="AI949" s="74" t="str">
        <f>IF(AH949&lt;&gt;0,COUNTIF(AH$3:AH949,1),"")</f>
        <v/>
      </c>
      <c r="AJ949" s="74">
        <f t="shared" si="323"/>
        <v>0</v>
      </c>
      <c r="AK949" s="73" t="str">
        <f t="shared" si="324"/>
        <v/>
      </c>
      <c r="AL949" s="73" t="str">
        <f t="shared" si="325"/>
        <v/>
      </c>
      <c r="AM949" s="73" t="str">
        <f t="shared" si="326"/>
        <v/>
      </c>
      <c r="AN949" s="73" t="str">
        <f t="shared" si="327"/>
        <v/>
      </c>
    </row>
    <row r="950" spans="16:40" x14ac:dyDescent="0.25">
      <c r="P950" s="73" t="str">
        <f t="shared" si="311"/>
        <v/>
      </c>
      <c r="Q950" s="73" t="str">
        <f t="shared" si="312"/>
        <v/>
      </c>
      <c r="R950" s="74" t="str">
        <f t="shared" si="313"/>
        <v/>
      </c>
      <c r="S950" s="74" t="str">
        <f t="shared" si="314"/>
        <v/>
      </c>
      <c r="U950" s="74" t="str">
        <f t="shared" si="331"/>
        <v/>
      </c>
      <c r="V950" s="74" t="str">
        <f t="shared" si="331"/>
        <v/>
      </c>
      <c r="W950" s="74" t="str">
        <f t="shared" si="331"/>
        <v/>
      </c>
      <c r="X950" s="74" t="str">
        <f t="shared" si="331"/>
        <v/>
      </c>
      <c r="Y950" s="74" t="str">
        <f t="shared" si="331"/>
        <v/>
      </c>
      <c r="Z950" s="74" t="str">
        <f t="shared" si="315"/>
        <v/>
      </c>
      <c r="AA950" s="74">
        <f t="shared" si="316"/>
        <v>0</v>
      </c>
      <c r="AB950" s="74">
        <f t="shared" si="317"/>
        <v>0</v>
      </c>
      <c r="AC950" s="74" t="str">
        <f t="shared" si="318"/>
        <v/>
      </c>
      <c r="AE950" s="74" t="str">
        <f t="shared" si="319"/>
        <v/>
      </c>
      <c r="AF950" s="74" t="str">
        <f t="shared" si="320"/>
        <v/>
      </c>
      <c r="AG950" s="74" t="str">
        <f t="shared" si="321"/>
        <v/>
      </c>
      <c r="AH950" s="74">
        <f t="shared" si="322"/>
        <v>0</v>
      </c>
      <c r="AI950" s="74" t="str">
        <f>IF(AH950&lt;&gt;0,COUNTIF(AH$3:AH950,1),"")</f>
        <v/>
      </c>
      <c r="AJ950" s="74">
        <f t="shared" si="323"/>
        <v>0</v>
      </c>
      <c r="AK950" s="73" t="str">
        <f t="shared" si="324"/>
        <v/>
      </c>
      <c r="AL950" s="73" t="str">
        <f t="shared" si="325"/>
        <v/>
      </c>
      <c r="AM950" s="73" t="str">
        <f t="shared" si="326"/>
        <v/>
      </c>
      <c r="AN950" s="73" t="str">
        <f t="shared" si="327"/>
        <v/>
      </c>
    </row>
    <row r="951" spans="16:40" x14ac:dyDescent="0.25">
      <c r="P951" s="73" t="str">
        <f t="shared" si="311"/>
        <v/>
      </c>
      <c r="Q951" s="73" t="str">
        <f t="shared" si="312"/>
        <v/>
      </c>
      <c r="R951" s="74" t="str">
        <f t="shared" si="313"/>
        <v/>
      </c>
      <c r="S951" s="74" t="str">
        <f t="shared" si="314"/>
        <v/>
      </c>
      <c r="U951" s="74" t="str">
        <f t="shared" si="331"/>
        <v/>
      </c>
      <c r="V951" s="74" t="str">
        <f t="shared" si="331"/>
        <v/>
      </c>
      <c r="W951" s="74" t="str">
        <f t="shared" si="331"/>
        <v/>
      </c>
      <c r="X951" s="74" t="str">
        <f t="shared" si="331"/>
        <v/>
      </c>
      <c r="Y951" s="74" t="str">
        <f t="shared" si="331"/>
        <v/>
      </c>
      <c r="Z951" s="74" t="str">
        <f t="shared" si="315"/>
        <v/>
      </c>
      <c r="AA951" s="74">
        <f t="shared" si="316"/>
        <v>0</v>
      </c>
      <c r="AB951" s="74">
        <f t="shared" si="317"/>
        <v>0</v>
      </c>
      <c r="AC951" s="74" t="str">
        <f t="shared" si="318"/>
        <v/>
      </c>
      <c r="AE951" s="74" t="str">
        <f t="shared" si="319"/>
        <v/>
      </c>
      <c r="AF951" s="74" t="str">
        <f t="shared" si="320"/>
        <v/>
      </c>
      <c r="AG951" s="74" t="str">
        <f t="shared" si="321"/>
        <v/>
      </c>
      <c r="AH951" s="74">
        <f t="shared" si="322"/>
        <v>0</v>
      </c>
      <c r="AI951" s="74" t="str">
        <f>IF(AH951&lt;&gt;0,COUNTIF(AH$3:AH951,1),"")</f>
        <v/>
      </c>
      <c r="AJ951" s="74">
        <f t="shared" si="323"/>
        <v>0</v>
      </c>
      <c r="AK951" s="73" t="str">
        <f t="shared" si="324"/>
        <v/>
      </c>
      <c r="AL951" s="73" t="str">
        <f t="shared" si="325"/>
        <v/>
      </c>
      <c r="AM951" s="73" t="str">
        <f t="shared" si="326"/>
        <v/>
      </c>
      <c r="AN951" s="73" t="str">
        <f t="shared" si="327"/>
        <v/>
      </c>
    </row>
    <row r="952" spans="16:40" x14ac:dyDescent="0.25">
      <c r="P952" s="73" t="str">
        <f t="shared" si="311"/>
        <v/>
      </c>
      <c r="Q952" s="73" t="str">
        <f t="shared" si="312"/>
        <v/>
      </c>
      <c r="R952" s="74" t="str">
        <f t="shared" si="313"/>
        <v/>
      </c>
      <c r="S952" s="74" t="str">
        <f t="shared" si="314"/>
        <v/>
      </c>
      <c r="U952" s="74" t="str">
        <f t="shared" si="331"/>
        <v/>
      </c>
      <c r="V952" s="74" t="str">
        <f t="shared" si="331"/>
        <v/>
      </c>
      <c r="W952" s="74" t="str">
        <f t="shared" si="331"/>
        <v/>
      </c>
      <c r="X952" s="74" t="str">
        <f t="shared" si="331"/>
        <v/>
      </c>
      <c r="Y952" s="74" t="str">
        <f t="shared" si="331"/>
        <v/>
      </c>
      <c r="Z952" s="74" t="str">
        <f t="shared" si="315"/>
        <v/>
      </c>
      <c r="AA952" s="74">
        <f t="shared" si="316"/>
        <v>0</v>
      </c>
      <c r="AB952" s="74">
        <f t="shared" si="317"/>
        <v>0</v>
      </c>
      <c r="AC952" s="74" t="str">
        <f t="shared" si="318"/>
        <v/>
      </c>
      <c r="AE952" s="74" t="str">
        <f t="shared" si="319"/>
        <v/>
      </c>
      <c r="AF952" s="74" t="str">
        <f t="shared" si="320"/>
        <v/>
      </c>
      <c r="AG952" s="74" t="str">
        <f t="shared" si="321"/>
        <v/>
      </c>
      <c r="AH952" s="74">
        <f t="shared" si="322"/>
        <v>0</v>
      </c>
      <c r="AI952" s="74" t="str">
        <f>IF(AH952&lt;&gt;0,COUNTIF(AH$3:AH952,1),"")</f>
        <v/>
      </c>
      <c r="AJ952" s="74">
        <f t="shared" si="323"/>
        <v>0</v>
      </c>
      <c r="AK952" s="73" t="str">
        <f t="shared" si="324"/>
        <v/>
      </c>
      <c r="AL952" s="73" t="str">
        <f t="shared" si="325"/>
        <v/>
      </c>
      <c r="AM952" s="73" t="str">
        <f t="shared" si="326"/>
        <v/>
      </c>
      <c r="AN952" s="73" t="str">
        <f t="shared" si="327"/>
        <v/>
      </c>
    </row>
    <row r="953" spans="16:40" x14ac:dyDescent="0.25">
      <c r="P953" s="73" t="str">
        <f t="shared" si="311"/>
        <v/>
      </c>
      <c r="Q953" s="73" t="str">
        <f t="shared" si="312"/>
        <v/>
      </c>
      <c r="R953" s="74" t="str">
        <f t="shared" si="313"/>
        <v/>
      </c>
      <c r="S953" s="74" t="str">
        <f t="shared" si="314"/>
        <v/>
      </c>
      <c r="U953" s="74" t="str">
        <f t="shared" si="331"/>
        <v/>
      </c>
      <c r="V953" s="74" t="str">
        <f t="shared" si="331"/>
        <v/>
      </c>
      <c r="W953" s="74" t="str">
        <f t="shared" si="331"/>
        <v/>
      </c>
      <c r="X953" s="74" t="str">
        <f t="shared" si="331"/>
        <v/>
      </c>
      <c r="Y953" s="74" t="str">
        <f t="shared" si="331"/>
        <v/>
      </c>
      <c r="Z953" s="74" t="str">
        <f t="shared" si="315"/>
        <v/>
      </c>
      <c r="AA953" s="74">
        <f t="shared" si="316"/>
        <v>0</v>
      </c>
      <c r="AB953" s="74">
        <f t="shared" si="317"/>
        <v>0</v>
      </c>
      <c r="AC953" s="74" t="str">
        <f t="shared" si="318"/>
        <v/>
      </c>
      <c r="AE953" s="74" t="str">
        <f t="shared" si="319"/>
        <v/>
      </c>
      <c r="AF953" s="74" t="str">
        <f t="shared" si="320"/>
        <v/>
      </c>
      <c r="AG953" s="74" t="str">
        <f t="shared" si="321"/>
        <v/>
      </c>
      <c r="AH953" s="74">
        <f t="shared" si="322"/>
        <v>0</v>
      </c>
      <c r="AI953" s="74" t="str">
        <f>IF(AH953&lt;&gt;0,COUNTIF(AH$3:AH953,1),"")</f>
        <v/>
      </c>
      <c r="AJ953" s="74">
        <f t="shared" si="323"/>
        <v>0</v>
      </c>
      <c r="AK953" s="73" t="str">
        <f t="shared" si="324"/>
        <v/>
      </c>
      <c r="AL953" s="73" t="str">
        <f t="shared" si="325"/>
        <v/>
      </c>
      <c r="AM953" s="73" t="str">
        <f t="shared" si="326"/>
        <v/>
      </c>
      <c r="AN953" s="73" t="str">
        <f t="shared" si="327"/>
        <v/>
      </c>
    </row>
    <row r="954" spans="16:40" x14ac:dyDescent="0.25">
      <c r="P954" s="73" t="str">
        <f t="shared" si="311"/>
        <v/>
      </c>
      <c r="Q954" s="73" t="str">
        <f t="shared" si="312"/>
        <v/>
      </c>
      <c r="R954" s="74" t="str">
        <f t="shared" si="313"/>
        <v/>
      </c>
      <c r="S954" s="74" t="str">
        <f t="shared" si="314"/>
        <v/>
      </c>
      <c r="U954" s="74" t="str">
        <f t="shared" si="331"/>
        <v/>
      </c>
      <c r="V954" s="74" t="str">
        <f t="shared" si="331"/>
        <v/>
      </c>
      <c r="W954" s="74" t="str">
        <f t="shared" si="331"/>
        <v/>
      </c>
      <c r="X954" s="74" t="str">
        <f t="shared" si="331"/>
        <v/>
      </c>
      <c r="Y954" s="74" t="str">
        <f t="shared" si="331"/>
        <v/>
      </c>
      <c r="Z954" s="74" t="str">
        <f t="shared" si="315"/>
        <v/>
      </c>
      <c r="AA954" s="74">
        <f t="shared" si="316"/>
        <v>0</v>
      </c>
      <c r="AB954" s="74">
        <f t="shared" si="317"/>
        <v>0</v>
      </c>
      <c r="AC954" s="74" t="str">
        <f t="shared" si="318"/>
        <v/>
      </c>
      <c r="AE954" s="74" t="str">
        <f t="shared" si="319"/>
        <v/>
      </c>
      <c r="AF954" s="74" t="str">
        <f t="shared" si="320"/>
        <v/>
      </c>
      <c r="AG954" s="74" t="str">
        <f t="shared" si="321"/>
        <v/>
      </c>
      <c r="AH954" s="74">
        <f t="shared" si="322"/>
        <v>0</v>
      </c>
      <c r="AI954" s="74" t="str">
        <f>IF(AH954&lt;&gt;0,COUNTIF(AH$3:AH954,1),"")</f>
        <v/>
      </c>
      <c r="AJ954" s="74">
        <f t="shared" si="323"/>
        <v>0</v>
      </c>
      <c r="AK954" s="73" t="str">
        <f t="shared" si="324"/>
        <v/>
      </c>
      <c r="AL954" s="73" t="str">
        <f t="shared" si="325"/>
        <v/>
      </c>
      <c r="AM954" s="73" t="str">
        <f t="shared" si="326"/>
        <v/>
      </c>
      <c r="AN954" s="73" t="str">
        <f t="shared" si="327"/>
        <v/>
      </c>
    </row>
    <row r="955" spans="16:40" x14ac:dyDescent="0.25">
      <c r="P955" s="73" t="str">
        <f t="shared" si="311"/>
        <v/>
      </c>
      <c r="Q955" s="73" t="str">
        <f t="shared" si="312"/>
        <v/>
      </c>
      <c r="R955" s="74" t="str">
        <f t="shared" si="313"/>
        <v/>
      </c>
      <c r="S955" s="74" t="str">
        <f t="shared" si="314"/>
        <v/>
      </c>
      <c r="U955" s="74" t="str">
        <f t="shared" ref="U955:Y1005" si="332">IF($F955=U$1,$E955,"")</f>
        <v/>
      </c>
      <c r="V955" s="74" t="str">
        <f t="shared" si="332"/>
        <v/>
      </c>
      <c r="W955" s="74" t="str">
        <f t="shared" si="332"/>
        <v/>
      </c>
      <c r="X955" s="74" t="str">
        <f t="shared" si="332"/>
        <v/>
      </c>
      <c r="Y955" s="74" t="str">
        <f t="shared" si="332"/>
        <v/>
      </c>
      <c r="Z955" s="74" t="str">
        <f t="shared" si="315"/>
        <v/>
      </c>
      <c r="AA955" s="74">
        <f t="shared" si="316"/>
        <v>0</v>
      </c>
      <c r="AB955" s="74">
        <f t="shared" si="317"/>
        <v>0</v>
      </c>
      <c r="AC955" s="74" t="str">
        <f t="shared" si="318"/>
        <v/>
      </c>
      <c r="AE955" s="74" t="str">
        <f t="shared" si="319"/>
        <v/>
      </c>
      <c r="AF955" s="74" t="str">
        <f t="shared" si="320"/>
        <v/>
      </c>
      <c r="AG955" s="74" t="str">
        <f t="shared" si="321"/>
        <v/>
      </c>
      <c r="AH955" s="74">
        <f t="shared" si="322"/>
        <v>0</v>
      </c>
      <c r="AI955" s="74" t="str">
        <f>IF(AH955&lt;&gt;0,COUNTIF(AH$3:AH955,1),"")</f>
        <v/>
      </c>
      <c r="AJ955" s="74">
        <f t="shared" si="323"/>
        <v>0</v>
      </c>
      <c r="AK955" s="73" t="str">
        <f t="shared" si="324"/>
        <v/>
      </c>
      <c r="AL955" s="73" t="str">
        <f t="shared" si="325"/>
        <v/>
      </c>
      <c r="AM955" s="73" t="str">
        <f t="shared" si="326"/>
        <v/>
      </c>
      <c r="AN955" s="73" t="str">
        <f t="shared" si="327"/>
        <v/>
      </c>
    </row>
    <row r="956" spans="16:40" x14ac:dyDescent="0.25">
      <c r="P956" s="73" t="str">
        <f t="shared" si="311"/>
        <v/>
      </c>
      <c r="Q956" s="73" t="str">
        <f t="shared" si="312"/>
        <v/>
      </c>
      <c r="R956" s="74" t="str">
        <f t="shared" si="313"/>
        <v/>
      </c>
      <c r="S956" s="74" t="str">
        <f t="shared" si="314"/>
        <v/>
      </c>
      <c r="U956" s="74" t="str">
        <f t="shared" si="332"/>
        <v/>
      </c>
      <c r="V956" s="74" t="str">
        <f t="shared" si="332"/>
        <v/>
      </c>
      <c r="W956" s="74" t="str">
        <f t="shared" si="332"/>
        <v/>
      </c>
      <c r="X956" s="74" t="str">
        <f t="shared" si="332"/>
        <v/>
      </c>
      <c r="Y956" s="74" t="str">
        <f t="shared" si="332"/>
        <v/>
      </c>
      <c r="Z956" s="74" t="str">
        <f t="shared" si="315"/>
        <v/>
      </c>
      <c r="AA956" s="74">
        <f t="shared" si="316"/>
        <v>0</v>
      </c>
      <c r="AB956" s="74">
        <f t="shared" si="317"/>
        <v>0</v>
      </c>
      <c r="AC956" s="74" t="str">
        <f t="shared" si="318"/>
        <v/>
      </c>
      <c r="AE956" s="74" t="str">
        <f t="shared" si="319"/>
        <v/>
      </c>
      <c r="AF956" s="74" t="str">
        <f t="shared" si="320"/>
        <v/>
      </c>
      <c r="AG956" s="74" t="str">
        <f t="shared" si="321"/>
        <v/>
      </c>
      <c r="AH956" s="74">
        <f t="shared" si="322"/>
        <v>0</v>
      </c>
      <c r="AI956" s="74" t="str">
        <f>IF(AH956&lt;&gt;0,COUNTIF(AH$3:AH956,1),"")</f>
        <v/>
      </c>
      <c r="AJ956" s="74">
        <f t="shared" si="323"/>
        <v>0</v>
      </c>
      <c r="AK956" s="73" t="str">
        <f t="shared" si="324"/>
        <v/>
      </c>
      <c r="AL956" s="73" t="str">
        <f t="shared" si="325"/>
        <v/>
      </c>
      <c r="AM956" s="73" t="str">
        <f t="shared" si="326"/>
        <v/>
      </c>
      <c r="AN956" s="73" t="str">
        <f t="shared" si="327"/>
        <v/>
      </c>
    </row>
    <row r="957" spans="16:40" x14ac:dyDescent="0.25">
      <c r="P957" s="73" t="str">
        <f t="shared" si="311"/>
        <v/>
      </c>
      <c r="Q957" s="73" t="str">
        <f t="shared" si="312"/>
        <v/>
      </c>
      <c r="R957" s="74" t="str">
        <f t="shared" si="313"/>
        <v/>
      </c>
      <c r="S957" s="74" t="str">
        <f t="shared" si="314"/>
        <v/>
      </c>
      <c r="U957" s="74" t="str">
        <f t="shared" si="332"/>
        <v/>
      </c>
      <c r="V957" s="74" t="str">
        <f t="shared" si="332"/>
        <v/>
      </c>
      <c r="W957" s="74" t="str">
        <f t="shared" si="332"/>
        <v/>
      </c>
      <c r="X957" s="74" t="str">
        <f t="shared" si="332"/>
        <v/>
      </c>
      <c r="Y957" s="74" t="str">
        <f t="shared" si="332"/>
        <v/>
      </c>
      <c r="Z957" s="74" t="str">
        <f t="shared" si="315"/>
        <v/>
      </c>
      <c r="AA957" s="74">
        <f t="shared" si="316"/>
        <v>0</v>
      </c>
      <c r="AB957" s="74">
        <f t="shared" si="317"/>
        <v>0</v>
      </c>
      <c r="AC957" s="74" t="str">
        <f t="shared" si="318"/>
        <v/>
      </c>
      <c r="AE957" s="74" t="str">
        <f t="shared" si="319"/>
        <v/>
      </c>
      <c r="AF957" s="74" t="str">
        <f t="shared" si="320"/>
        <v/>
      </c>
      <c r="AG957" s="74" t="str">
        <f t="shared" si="321"/>
        <v/>
      </c>
      <c r="AH957" s="74">
        <f t="shared" si="322"/>
        <v>0</v>
      </c>
      <c r="AI957" s="74" t="str">
        <f>IF(AH957&lt;&gt;0,COUNTIF(AH$3:AH957,1),"")</f>
        <v/>
      </c>
      <c r="AJ957" s="74">
        <f t="shared" si="323"/>
        <v>0</v>
      </c>
      <c r="AK957" s="73" t="str">
        <f t="shared" si="324"/>
        <v/>
      </c>
      <c r="AL957" s="73" t="str">
        <f t="shared" si="325"/>
        <v/>
      </c>
      <c r="AM957" s="73" t="str">
        <f t="shared" si="326"/>
        <v/>
      </c>
      <c r="AN957" s="73" t="str">
        <f t="shared" si="327"/>
        <v/>
      </c>
    </row>
    <row r="958" spans="16:40" x14ac:dyDescent="0.25">
      <c r="P958" s="73" t="str">
        <f t="shared" ref="P958:P1021" si="333">IF(N958&lt;&gt;"",SUBSTITUTE(LEFT(N958,FIND(";",N958)),";",""),"")</f>
        <v/>
      </c>
      <c r="Q958" s="73" t="str">
        <f t="shared" ref="Q958:Q1021" si="334">IF(N958&lt;&gt;"",SUBSTITUTE(RIGHT(N958,FIND(";",N958)),";",""),"")</f>
        <v/>
      </c>
      <c r="R958" s="74" t="str">
        <f t="shared" ref="R958:R1021" si="335">IF(O958&lt;&gt;"",SUBSTITUTE(LEFT(O958,FIND(";",O958)),";",""),"")</f>
        <v/>
      </c>
      <c r="S958" s="74" t="str">
        <f t="shared" ref="S958:S1021" si="336">IF(O958&lt;&gt;"",IFERROR(IF(FIND("OK",O958)&gt;0,TRUE),FALSE),"")</f>
        <v/>
      </c>
      <c r="U958" s="74" t="str">
        <f t="shared" si="332"/>
        <v/>
      </c>
      <c r="V958" s="74" t="str">
        <f t="shared" si="332"/>
        <v/>
      </c>
      <c r="W958" s="74" t="str">
        <f t="shared" si="332"/>
        <v/>
      </c>
      <c r="X958" s="74" t="str">
        <f t="shared" si="332"/>
        <v/>
      </c>
      <c r="Y958" s="74" t="str">
        <f t="shared" si="332"/>
        <v/>
      </c>
      <c r="Z958" s="74" t="str">
        <f t="shared" ref="Z958:Z1021" si="337">IF(G958,E958,"")</f>
        <v/>
      </c>
      <c r="AA958" s="74">
        <f t="shared" ref="AA958:AA1021" si="338">IF(G958=FALSE,E958,"")</f>
        <v>0</v>
      </c>
      <c r="AB958" s="74">
        <f t="shared" ref="AB958:AB1021" si="339">IF(G958,1,0)</f>
        <v>0</v>
      </c>
      <c r="AC958" s="74" t="str">
        <f t="shared" ref="AC958:AC1021" si="340">IF(A958&lt;&gt;"",IF(G958,0,1),"")</f>
        <v/>
      </c>
      <c r="AE958" s="74" t="str">
        <f t="shared" ref="AE958:AE1021" si="341">IF(P958&lt;&gt;"",IF(AND(_xlfn.NUMBERVALUE(P958)&gt;25,_xlfn.NUMBERVALUE(P958)&lt;38),TRUE,FALSE),"")</f>
        <v/>
      </c>
      <c r="AF958" s="74" t="str">
        <f t="shared" ref="AF958:AF1021" si="342">IF(Q958&lt;&gt;"",IF(AND(_xlfn.NUMBERVALUE(Q958)&gt;25,_xlfn.NUMBERVALUE(Q958)&lt;38),TRUE,FALSE),"")</f>
        <v/>
      </c>
      <c r="AG958" s="74" t="str">
        <f t="shared" ref="AG958:AG1021" si="343">IF(R958&lt;&gt;"",IF(AND(_xlfn.NUMBERVALUE(R958)&gt;262,_xlfn.NUMBERVALUE(R958)&lt;307),TRUE,FALSE),"")</f>
        <v/>
      </c>
      <c r="AH958" s="74">
        <f t="shared" ref="AH958:AH1021" si="344">IF(OR(AE958=FALSE,AF958=FALSE,AG958=FALSE),1,0)</f>
        <v>0</v>
      </c>
      <c r="AI958" s="74" t="str">
        <f>IF(AH958&lt;&gt;0,COUNTIF(AH$3:AH958,1),"")</f>
        <v/>
      </c>
      <c r="AJ958" s="74">
        <f t="shared" ref="AJ958:AJ1021" si="345">L958</f>
        <v>0</v>
      </c>
      <c r="AK958" s="73" t="str">
        <f t="shared" ref="AK958:AK1021" si="346">P958</f>
        <v/>
      </c>
      <c r="AL958" s="73" t="str">
        <f t="shared" ref="AL958:AL1021" si="347">Q958</f>
        <v/>
      </c>
      <c r="AM958" s="73" t="str">
        <f t="shared" ref="AM958:AM1021" si="348">R958</f>
        <v/>
      </c>
      <c r="AN958" s="73" t="str">
        <f t="shared" ref="AN958:AN1021" si="349">S958</f>
        <v/>
      </c>
    </row>
    <row r="959" spans="16:40" x14ac:dyDescent="0.25">
      <c r="P959" s="73" t="str">
        <f t="shared" si="333"/>
        <v/>
      </c>
      <c r="Q959" s="73" t="str">
        <f t="shared" si="334"/>
        <v/>
      </c>
      <c r="R959" s="74" t="str">
        <f t="shared" si="335"/>
        <v/>
      </c>
      <c r="S959" s="74" t="str">
        <f t="shared" si="336"/>
        <v/>
      </c>
      <c r="U959" s="74" t="str">
        <f t="shared" si="332"/>
        <v/>
      </c>
      <c r="V959" s="74" t="str">
        <f t="shared" si="332"/>
        <v/>
      </c>
      <c r="W959" s="74" t="str">
        <f t="shared" si="332"/>
        <v/>
      </c>
      <c r="X959" s="74" t="str">
        <f t="shared" si="332"/>
        <v/>
      </c>
      <c r="Y959" s="74" t="str">
        <f t="shared" si="332"/>
        <v/>
      </c>
      <c r="Z959" s="74" t="str">
        <f t="shared" si="337"/>
        <v/>
      </c>
      <c r="AA959" s="74">
        <f t="shared" si="338"/>
        <v>0</v>
      </c>
      <c r="AB959" s="74">
        <f t="shared" si="339"/>
        <v>0</v>
      </c>
      <c r="AC959" s="74" t="str">
        <f t="shared" si="340"/>
        <v/>
      </c>
      <c r="AE959" s="74" t="str">
        <f t="shared" si="341"/>
        <v/>
      </c>
      <c r="AF959" s="74" t="str">
        <f t="shared" si="342"/>
        <v/>
      </c>
      <c r="AG959" s="74" t="str">
        <f t="shared" si="343"/>
        <v/>
      </c>
      <c r="AH959" s="74">
        <f t="shared" si="344"/>
        <v>0</v>
      </c>
      <c r="AI959" s="74" t="str">
        <f>IF(AH959&lt;&gt;0,COUNTIF(AH$3:AH959,1),"")</f>
        <v/>
      </c>
      <c r="AJ959" s="74">
        <f t="shared" si="345"/>
        <v>0</v>
      </c>
      <c r="AK959" s="73" t="str">
        <f t="shared" si="346"/>
        <v/>
      </c>
      <c r="AL959" s="73" t="str">
        <f t="shared" si="347"/>
        <v/>
      </c>
      <c r="AM959" s="73" t="str">
        <f t="shared" si="348"/>
        <v/>
      </c>
      <c r="AN959" s="73" t="str">
        <f t="shared" si="349"/>
        <v/>
      </c>
    </row>
    <row r="960" spans="16:40" x14ac:dyDescent="0.25">
      <c r="P960" s="73" t="str">
        <f t="shared" si="333"/>
        <v/>
      </c>
      <c r="Q960" s="73" t="str">
        <f t="shared" si="334"/>
        <v/>
      </c>
      <c r="R960" s="74" t="str">
        <f t="shared" si="335"/>
        <v/>
      </c>
      <c r="S960" s="74" t="str">
        <f t="shared" si="336"/>
        <v/>
      </c>
      <c r="U960" s="74" t="str">
        <f t="shared" si="332"/>
        <v/>
      </c>
      <c r="V960" s="74" t="str">
        <f t="shared" si="332"/>
        <v/>
      </c>
      <c r="W960" s="74" t="str">
        <f t="shared" si="332"/>
        <v/>
      </c>
      <c r="X960" s="74" t="str">
        <f t="shared" si="332"/>
        <v/>
      </c>
      <c r="Y960" s="74" t="str">
        <f t="shared" si="332"/>
        <v/>
      </c>
      <c r="Z960" s="74" t="str">
        <f t="shared" si="337"/>
        <v/>
      </c>
      <c r="AA960" s="74">
        <f t="shared" si="338"/>
        <v>0</v>
      </c>
      <c r="AB960" s="74">
        <f t="shared" si="339"/>
        <v>0</v>
      </c>
      <c r="AC960" s="74" t="str">
        <f t="shared" si="340"/>
        <v/>
      </c>
      <c r="AE960" s="74" t="str">
        <f t="shared" si="341"/>
        <v/>
      </c>
      <c r="AF960" s="74" t="str">
        <f t="shared" si="342"/>
        <v/>
      </c>
      <c r="AG960" s="74" t="str">
        <f t="shared" si="343"/>
        <v/>
      </c>
      <c r="AH960" s="74">
        <f t="shared" si="344"/>
        <v>0</v>
      </c>
      <c r="AI960" s="74" t="str">
        <f>IF(AH960&lt;&gt;0,COUNTIF(AH$3:AH960,1),"")</f>
        <v/>
      </c>
      <c r="AJ960" s="74">
        <f t="shared" si="345"/>
        <v>0</v>
      </c>
      <c r="AK960" s="73" t="str">
        <f t="shared" si="346"/>
        <v/>
      </c>
      <c r="AL960" s="73" t="str">
        <f t="shared" si="347"/>
        <v/>
      </c>
      <c r="AM960" s="73" t="str">
        <f t="shared" si="348"/>
        <v/>
      </c>
      <c r="AN960" s="73" t="str">
        <f t="shared" si="349"/>
        <v/>
      </c>
    </row>
    <row r="961" spans="16:40" x14ac:dyDescent="0.25">
      <c r="P961" s="73" t="str">
        <f t="shared" si="333"/>
        <v/>
      </c>
      <c r="Q961" s="73" t="str">
        <f t="shared" si="334"/>
        <v/>
      </c>
      <c r="R961" s="74" t="str">
        <f t="shared" si="335"/>
        <v/>
      </c>
      <c r="S961" s="74" t="str">
        <f t="shared" si="336"/>
        <v/>
      </c>
      <c r="U961" s="74" t="str">
        <f t="shared" si="332"/>
        <v/>
      </c>
      <c r="V961" s="74" t="str">
        <f t="shared" si="332"/>
        <v/>
      </c>
      <c r="W961" s="74" t="str">
        <f t="shared" si="332"/>
        <v/>
      </c>
      <c r="X961" s="74" t="str">
        <f t="shared" si="332"/>
        <v/>
      </c>
      <c r="Y961" s="74" t="str">
        <f t="shared" si="332"/>
        <v/>
      </c>
      <c r="Z961" s="74" t="str">
        <f t="shared" si="337"/>
        <v/>
      </c>
      <c r="AA961" s="74">
        <f t="shared" si="338"/>
        <v>0</v>
      </c>
      <c r="AB961" s="74">
        <f t="shared" si="339"/>
        <v>0</v>
      </c>
      <c r="AC961" s="74" t="str">
        <f t="shared" si="340"/>
        <v/>
      </c>
      <c r="AE961" s="74" t="str">
        <f t="shared" si="341"/>
        <v/>
      </c>
      <c r="AF961" s="74" t="str">
        <f t="shared" si="342"/>
        <v/>
      </c>
      <c r="AG961" s="74" t="str">
        <f t="shared" si="343"/>
        <v/>
      </c>
      <c r="AH961" s="74">
        <f t="shared" si="344"/>
        <v>0</v>
      </c>
      <c r="AI961" s="74" t="str">
        <f>IF(AH961&lt;&gt;0,COUNTIF(AH$3:AH961,1),"")</f>
        <v/>
      </c>
      <c r="AJ961" s="74">
        <f t="shared" si="345"/>
        <v>0</v>
      </c>
      <c r="AK961" s="73" t="str">
        <f t="shared" si="346"/>
        <v/>
      </c>
      <c r="AL961" s="73" t="str">
        <f t="shared" si="347"/>
        <v/>
      </c>
      <c r="AM961" s="73" t="str">
        <f t="shared" si="348"/>
        <v/>
      </c>
      <c r="AN961" s="73" t="str">
        <f t="shared" si="349"/>
        <v/>
      </c>
    </row>
    <row r="962" spans="16:40" x14ac:dyDescent="0.25">
      <c r="P962" s="73" t="str">
        <f t="shared" si="333"/>
        <v/>
      </c>
      <c r="Q962" s="73" t="str">
        <f t="shared" si="334"/>
        <v/>
      </c>
      <c r="R962" s="74" t="str">
        <f t="shared" si="335"/>
        <v/>
      </c>
      <c r="S962" s="74" t="str">
        <f t="shared" si="336"/>
        <v/>
      </c>
      <c r="U962" s="74" t="str">
        <f t="shared" si="332"/>
        <v/>
      </c>
      <c r="V962" s="74" t="str">
        <f t="shared" si="332"/>
        <v/>
      </c>
      <c r="W962" s="74" t="str">
        <f t="shared" si="332"/>
        <v/>
      </c>
      <c r="X962" s="74" t="str">
        <f t="shared" si="332"/>
        <v/>
      </c>
      <c r="Y962" s="74" t="str">
        <f t="shared" si="332"/>
        <v/>
      </c>
      <c r="Z962" s="74" t="str">
        <f t="shared" si="337"/>
        <v/>
      </c>
      <c r="AA962" s="74">
        <f t="shared" si="338"/>
        <v>0</v>
      </c>
      <c r="AB962" s="74">
        <f t="shared" si="339"/>
        <v>0</v>
      </c>
      <c r="AC962" s="74" t="str">
        <f t="shared" si="340"/>
        <v/>
      </c>
      <c r="AE962" s="74" t="str">
        <f t="shared" si="341"/>
        <v/>
      </c>
      <c r="AF962" s="74" t="str">
        <f t="shared" si="342"/>
        <v/>
      </c>
      <c r="AG962" s="74" t="str">
        <f t="shared" si="343"/>
        <v/>
      </c>
      <c r="AH962" s="74">
        <f t="shared" si="344"/>
        <v>0</v>
      </c>
      <c r="AI962" s="74" t="str">
        <f>IF(AH962&lt;&gt;0,COUNTIF(AH$3:AH962,1),"")</f>
        <v/>
      </c>
      <c r="AJ962" s="74">
        <f t="shared" si="345"/>
        <v>0</v>
      </c>
      <c r="AK962" s="73" t="str">
        <f t="shared" si="346"/>
        <v/>
      </c>
      <c r="AL962" s="73" t="str">
        <f t="shared" si="347"/>
        <v/>
      </c>
      <c r="AM962" s="73" t="str">
        <f t="shared" si="348"/>
        <v/>
      </c>
      <c r="AN962" s="73" t="str">
        <f t="shared" si="349"/>
        <v/>
      </c>
    </row>
    <row r="963" spans="16:40" x14ac:dyDescent="0.25">
      <c r="P963" s="73" t="str">
        <f t="shared" si="333"/>
        <v/>
      </c>
      <c r="Q963" s="73" t="str">
        <f t="shared" si="334"/>
        <v/>
      </c>
      <c r="R963" s="74" t="str">
        <f t="shared" si="335"/>
        <v/>
      </c>
      <c r="S963" s="74" t="str">
        <f t="shared" si="336"/>
        <v/>
      </c>
      <c r="U963" s="74" t="str">
        <f t="shared" si="332"/>
        <v/>
      </c>
      <c r="V963" s="74" t="str">
        <f t="shared" si="332"/>
        <v/>
      </c>
      <c r="W963" s="74" t="str">
        <f t="shared" si="332"/>
        <v/>
      </c>
      <c r="X963" s="74" t="str">
        <f t="shared" si="332"/>
        <v/>
      </c>
      <c r="Y963" s="74" t="str">
        <f t="shared" si="332"/>
        <v/>
      </c>
      <c r="Z963" s="74" t="str">
        <f t="shared" si="337"/>
        <v/>
      </c>
      <c r="AA963" s="74">
        <f t="shared" si="338"/>
        <v>0</v>
      </c>
      <c r="AB963" s="74">
        <f t="shared" si="339"/>
        <v>0</v>
      </c>
      <c r="AC963" s="74" t="str">
        <f t="shared" si="340"/>
        <v/>
      </c>
      <c r="AE963" s="74" t="str">
        <f t="shared" si="341"/>
        <v/>
      </c>
      <c r="AF963" s="74" t="str">
        <f t="shared" si="342"/>
        <v/>
      </c>
      <c r="AG963" s="74" t="str">
        <f t="shared" si="343"/>
        <v/>
      </c>
      <c r="AH963" s="74">
        <f t="shared" si="344"/>
        <v>0</v>
      </c>
      <c r="AI963" s="74" t="str">
        <f>IF(AH963&lt;&gt;0,COUNTIF(AH$3:AH963,1),"")</f>
        <v/>
      </c>
      <c r="AJ963" s="74">
        <f t="shared" si="345"/>
        <v>0</v>
      </c>
      <c r="AK963" s="73" t="str">
        <f t="shared" si="346"/>
        <v/>
      </c>
      <c r="AL963" s="73" t="str">
        <f t="shared" si="347"/>
        <v/>
      </c>
      <c r="AM963" s="73" t="str">
        <f t="shared" si="348"/>
        <v/>
      </c>
      <c r="AN963" s="73" t="str">
        <f t="shared" si="349"/>
        <v/>
      </c>
    </row>
    <row r="964" spans="16:40" x14ac:dyDescent="0.25">
      <c r="P964" s="73" t="str">
        <f t="shared" si="333"/>
        <v/>
      </c>
      <c r="Q964" s="73" t="str">
        <f t="shared" si="334"/>
        <v/>
      </c>
      <c r="R964" s="74" t="str">
        <f t="shared" si="335"/>
        <v/>
      </c>
      <c r="S964" s="74" t="str">
        <f t="shared" si="336"/>
        <v/>
      </c>
      <c r="U964" s="74" t="str">
        <f t="shared" si="332"/>
        <v/>
      </c>
      <c r="V964" s="74" t="str">
        <f t="shared" si="332"/>
        <v/>
      </c>
      <c r="W964" s="74" t="str">
        <f t="shared" si="332"/>
        <v/>
      </c>
      <c r="X964" s="74" t="str">
        <f t="shared" si="332"/>
        <v/>
      </c>
      <c r="Y964" s="74" t="str">
        <f t="shared" si="332"/>
        <v/>
      </c>
      <c r="Z964" s="74" t="str">
        <f t="shared" si="337"/>
        <v/>
      </c>
      <c r="AA964" s="74">
        <f t="shared" si="338"/>
        <v>0</v>
      </c>
      <c r="AB964" s="74">
        <f t="shared" si="339"/>
        <v>0</v>
      </c>
      <c r="AC964" s="74" t="str">
        <f t="shared" si="340"/>
        <v/>
      </c>
      <c r="AE964" s="74" t="str">
        <f t="shared" si="341"/>
        <v/>
      </c>
      <c r="AF964" s="74" t="str">
        <f t="shared" si="342"/>
        <v/>
      </c>
      <c r="AG964" s="74" t="str">
        <f t="shared" si="343"/>
        <v/>
      </c>
      <c r="AH964" s="74">
        <f t="shared" si="344"/>
        <v>0</v>
      </c>
      <c r="AI964" s="74" t="str">
        <f>IF(AH964&lt;&gt;0,COUNTIF(AH$3:AH964,1),"")</f>
        <v/>
      </c>
      <c r="AJ964" s="74">
        <f t="shared" si="345"/>
        <v>0</v>
      </c>
      <c r="AK964" s="73" t="str">
        <f t="shared" si="346"/>
        <v/>
      </c>
      <c r="AL964" s="73" t="str">
        <f t="shared" si="347"/>
        <v/>
      </c>
      <c r="AM964" s="73" t="str">
        <f t="shared" si="348"/>
        <v/>
      </c>
      <c r="AN964" s="73" t="str">
        <f t="shared" si="349"/>
        <v/>
      </c>
    </row>
    <row r="965" spans="16:40" x14ac:dyDescent="0.25">
      <c r="P965" s="73" t="str">
        <f t="shared" si="333"/>
        <v/>
      </c>
      <c r="Q965" s="73" t="str">
        <f t="shared" si="334"/>
        <v/>
      </c>
      <c r="R965" s="74" t="str">
        <f t="shared" si="335"/>
        <v/>
      </c>
      <c r="S965" s="74" t="str">
        <f t="shared" si="336"/>
        <v/>
      </c>
      <c r="U965" s="74" t="str">
        <f t="shared" si="332"/>
        <v/>
      </c>
      <c r="V965" s="74" t="str">
        <f t="shared" si="332"/>
        <v/>
      </c>
      <c r="W965" s="74" t="str">
        <f t="shared" si="332"/>
        <v/>
      </c>
      <c r="X965" s="74" t="str">
        <f t="shared" si="332"/>
        <v/>
      </c>
      <c r="Y965" s="74" t="str">
        <f t="shared" si="332"/>
        <v/>
      </c>
      <c r="Z965" s="74" t="str">
        <f t="shared" si="337"/>
        <v/>
      </c>
      <c r="AA965" s="74">
        <f t="shared" si="338"/>
        <v>0</v>
      </c>
      <c r="AB965" s="74">
        <f t="shared" si="339"/>
        <v>0</v>
      </c>
      <c r="AC965" s="74" t="str">
        <f t="shared" si="340"/>
        <v/>
      </c>
      <c r="AE965" s="74" t="str">
        <f t="shared" si="341"/>
        <v/>
      </c>
      <c r="AF965" s="74" t="str">
        <f t="shared" si="342"/>
        <v/>
      </c>
      <c r="AG965" s="74" t="str">
        <f t="shared" si="343"/>
        <v/>
      </c>
      <c r="AH965" s="74">
        <f t="shared" si="344"/>
        <v>0</v>
      </c>
      <c r="AI965" s="74" t="str">
        <f>IF(AH965&lt;&gt;0,COUNTIF(AH$3:AH965,1),"")</f>
        <v/>
      </c>
      <c r="AJ965" s="74">
        <f t="shared" si="345"/>
        <v>0</v>
      </c>
      <c r="AK965" s="73" t="str">
        <f t="shared" si="346"/>
        <v/>
      </c>
      <c r="AL965" s="73" t="str">
        <f t="shared" si="347"/>
        <v/>
      </c>
      <c r="AM965" s="73" t="str">
        <f t="shared" si="348"/>
        <v/>
      </c>
      <c r="AN965" s="73" t="str">
        <f t="shared" si="349"/>
        <v/>
      </c>
    </row>
    <row r="966" spans="16:40" x14ac:dyDescent="0.25">
      <c r="P966" s="73" t="str">
        <f t="shared" si="333"/>
        <v/>
      </c>
      <c r="Q966" s="73" t="str">
        <f t="shared" si="334"/>
        <v/>
      </c>
      <c r="R966" s="74" t="str">
        <f t="shared" si="335"/>
        <v/>
      </c>
      <c r="S966" s="74" t="str">
        <f t="shared" si="336"/>
        <v/>
      </c>
      <c r="U966" s="74" t="str">
        <f t="shared" si="332"/>
        <v/>
      </c>
      <c r="V966" s="74" t="str">
        <f t="shared" si="332"/>
        <v/>
      </c>
      <c r="W966" s="74" t="str">
        <f t="shared" si="332"/>
        <v/>
      </c>
      <c r="X966" s="74" t="str">
        <f t="shared" si="332"/>
        <v/>
      </c>
      <c r="Y966" s="74" t="str">
        <f t="shared" si="332"/>
        <v/>
      </c>
      <c r="Z966" s="74" t="str">
        <f t="shared" si="337"/>
        <v/>
      </c>
      <c r="AA966" s="74">
        <f t="shared" si="338"/>
        <v>0</v>
      </c>
      <c r="AB966" s="74">
        <f t="shared" si="339"/>
        <v>0</v>
      </c>
      <c r="AC966" s="74" t="str">
        <f t="shared" si="340"/>
        <v/>
      </c>
      <c r="AE966" s="74" t="str">
        <f t="shared" si="341"/>
        <v/>
      </c>
      <c r="AF966" s="74" t="str">
        <f t="shared" si="342"/>
        <v/>
      </c>
      <c r="AG966" s="74" t="str">
        <f t="shared" si="343"/>
        <v/>
      </c>
      <c r="AH966" s="74">
        <f t="shared" si="344"/>
        <v>0</v>
      </c>
      <c r="AI966" s="74" t="str">
        <f>IF(AH966&lt;&gt;0,COUNTIF(AH$3:AH966,1),"")</f>
        <v/>
      </c>
      <c r="AJ966" s="74">
        <f t="shared" si="345"/>
        <v>0</v>
      </c>
      <c r="AK966" s="73" t="str">
        <f t="shared" si="346"/>
        <v/>
      </c>
      <c r="AL966" s="73" t="str">
        <f t="shared" si="347"/>
        <v/>
      </c>
      <c r="AM966" s="73" t="str">
        <f t="shared" si="348"/>
        <v/>
      </c>
      <c r="AN966" s="73" t="str">
        <f t="shared" si="349"/>
        <v/>
      </c>
    </row>
    <row r="967" spans="16:40" x14ac:dyDescent="0.25">
      <c r="P967" s="73" t="str">
        <f t="shared" si="333"/>
        <v/>
      </c>
      <c r="Q967" s="73" t="str">
        <f t="shared" si="334"/>
        <v/>
      </c>
      <c r="R967" s="74" t="str">
        <f t="shared" si="335"/>
        <v/>
      </c>
      <c r="S967" s="74" t="str">
        <f t="shared" si="336"/>
        <v/>
      </c>
      <c r="U967" s="74" t="str">
        <f t="shared" si="332"/>
        <v/>
      </c>
      <c r="V967" s="74" t="str">
        <f t="shared" si="332"/>
        <v/>
      </c>
      <c r="W967" s="74" t="str">
        <f t="shared" si="332"/>
        <v/>
      </c>
      <c r="X967" s="74" t="str">
        <f t="shared" si="332"/>
        <v/>
      </c>
      <c r="Y967" s="74" t="str">
        <f t="shared" si="332"/>
        <v/>
      </c>
      <c r="Z967" s="74" t="str">
        <f t="shared" si="337"/>
        <v/>
      </c>
      <c r="AA967" s="74">
        <f t="shared" si="338"/>
        <v>0</v>
      </c>
      <c r="AB967" s="74">
        <f t="shared" si="339"/>
        <v>0</v>
      </c>
      <c r="AC967" s="74" t="str">
        <f t="shared" si="340"/>
        <v/>
      </c>
      <c r="AE967" s="74" t="str">
        <f t="shared" si="341"/>
        <v/>
      </c>
      <c r="AF967" s="74" t="str">
        <f t="shared" si="342"/>
        <v/>
      </c>
      <c r="AG967" s="74" t="str">
        <f t="shared" si="343"/>
        <v/>
      </c>
      <c r="AH967" s="74">
        <f t="shared" si="344"/>
        <v>0</v>
      </c>
      <c r="AI967" s="74" t="str">
        <f>IF(AH967&lt;&gt;0,COUNTIF(AH$3:AH967,1),"")</f>
        <v/>
      </c>
      <c r="AJ967" s="74">
        <f t="shared" si="345"/>
        <v>0</v>
      </c>
      <c r="AK967" s="73" t="str">
        <f t="shared" si="346"/>
        <v/>
      </c>
      <c r="AL967" s="73" t="str">
        <f t="shared" si="347"/>
        <v/>
      </c>
      <c r="AM967" s="73" t="str">
        <f t="shared" si="348"/>
        <v/>
      </c>
      <c r="AN967" s="73" t="str">
        <f t="shared" si="349"/>
        <v/>
      </c>
    </row>
    <row r="968" spans="16:40" x14ac:dyDescent="0.25">
      <c r="P968" s="73" t="str">
        <f t="shared" si="333"/>
        <v/>
      </c>
      <c r="Q968" s="73" t="str">
        <f t="shared" si="334"/>
        <v/>
      </c>
      <c r="R968" s="74" t="str">
        <f t="shared" si="335"/>
        <v/>
      </c>
      <c r="S968" s="74" t="str">
        <f t="shared" si="336"/>
        <v/>
      </c>
      <c r="U968" s="74" t="str">
        <f t="shared" si="332"/>
        <v/>
      </c>
      <c r="V968" s="74" t="str">
        <f t="shared" si="332"/>
        <v/>
      </c>
      <c r="W968" s="74" t="str">
        <f t="shared" si="332"/>
        <v/>
      </c>
      <c r="X968" s="74" t="str">
        <f t="shared" si="332"/>
        <v/>
      </c>
      <c r="Y968" s="74" t="str">
        <f t="shared" si="332"/>
        <v/>
      </c>
      <c r="Z968" s="74" t="str">
        <f t="shared" si="337"/>
        <v/>
      </c>
      <c r="AA968" s="74">
        <f t="shared" si="338"/>
        <v>0</v>
      </c>
      <c r="AB968" s="74">
        <f t="shared" si="339"/>
        <v>0</v>
      </c>
      <c r="AC968" s="74" t="str">
        <f t="shared" si="340"/>
        <v/>
      </c>
      <c r="AE968" s="74" t="str">
        <f t="shared" si="341"/>
        <v/>
      </c>
      <c r="AF968" s="74" t="str">
        <f t="shared" si="342"/>
        <v/>
      </c>
      <c r="AG968" s="74" t="str">
        <f t="shared" si="343"/>
        <v/>
      </c>
      <c r="AH968" s="74">
        <f t="shared" si="344"/>
        <v>0</v>
      </c>
      <c r="AI968" s="74" t="str">
        <f>IF(AH968&lt;&gt;0,COUNTIF(AH$3:AH968,1),"")</f>
        <v/>
      </c>
      <c r="AJ968" s="74">
        <f t="shared" si="345"/>
        <v>0</v>
      </c>
      <c r="AK968" s="73" t="str">
        <f t="shared" si="346"/>
        <v/>
      </c>
      <c r="AL968" s="73" t="str">
        <f t="shared" si="347"/>
        <v/>
      </c>
      <c r="AM968" s="73" t="str">
        <f t="shared" si="348"/>
        <v/>
      </c>
      <c r="AN968" s="73" t="str">
        <f t="shared" si="349"/>
        <v/>
      </c>
    </row>
    <row r="969" spans="16:40" x14ac:dyDescent="0.25">
      <c r="P969" s="73" t="str">
        <f t="shared" si="333"/>
        <v/>
      </c>
      <c r="Q969" s="73" t="str">
        <f t="shared" si="334"/>
        <v/>
      </c>
      <c r="R969" s="74" t="str">
        <f t="shared" si="335"/>
        <v/>
      </c>
      <c r="S969" s="74" t="str">
        <f t="shared" si="336"/>
        <v/>
      </c>
      <c r="U969" s="74" t="str">
        <f t="shared" si="332"/>
        <v/>
      </c>
      <c r="V969" s="74" t="str">
        <f t="shared" si="332"/>
        <v/>
      </c>
      <c r="W969" s="74" t="str">
        <f t="shared" si="332"/>
        <v/>
      </c>
      <c r="X969" s="74" t="str">
        <f t="shared" si="332"/>
        <v/>
      </c>
      <c r="Y969" s="74" t="str">
        <f t="shared" si="332"/>
        <v/>
      </c>
      <c r="Z969" s="74" t="str">
        <f t="shared" si="337"/>
        <v/>
      </c>
      <c r="AA969" s="74">
        <f t="shared" si="338"/>
        <v>0</v>
      </c>
      <c r="AB969" s="74">
        <f t="shared" si="339"/>
        <v>0</v>
      </c>
      <c r="AC969" s="74" t="str">
        <f t="shared" si="340"/>
        <v/>
      </c>
      <c r="AE969" s="74" t="str">
        <f t="shared" si="341"/>
        <v/>
      </c>
      <c r="AF969" s="74" t="str">
        <f t="shared" si="342"/>
        <v/>
      </c>
      <c r="AG969" s="74" t="str">
        <f t="shared" si="343"/>
        <v/>
      </c>
      <c r="AH969" s="74">
        <f t="shared" si="344"/>
        <v>0</v>
      </c>
      <c r="AI969" s="74" t="str">
        <f>IF(AH969&lt;&gt;0,COUNTIF(AH$3:AH969,1),"")</f>
        <v/>
      </c>
      <c r="AJ969" s="74">
        <f t="shared" si="345"/>
        <v>0</v>
      </c>
      <c r="AK969" s="73" t="str">
        <f t="shared" si="346"/>
        <v/>
      </c>
      <c r="AL969" s="73" t="str">
        <f t="shared" si="347"/>
        <v/>
      </c>
      <c r="AM969" s="73" t="str">
        <f t="shared" si="348"/>
        <v/>
      </c>
      <c r="AN969" s="73" t="str">
        <f t="shared" si="349"/>
        <v/>
      </c>
    </row>
    <row r="970" spans="16:40" x14ac:dyDescent="0.25">
      <c r="P970" s="73" t="str">
        <f t="shared" si="333"/>
        <v/>
      </c>
      <c r="Q970" s="73" t="str">
        <f t="shared" si="334"/>
        <v/>
      </c>
      <c r="R970" s="74" t="str">
        <f t="shared" si="335"/>
        <v/>
      </c>
      <c r="S970" s="74" t="str">
        <f t="shared" si="336"/>
        <v/>
      </c>
      <c r="U970" s="74" t="str">
        <f t="shared" si="332"/>
        <v/>
      </c>
      <c r="V970" s="74" t="str">
        <f t="shared" si="332"/>
        <v/>
      </c>
      <c r="W970" s="74" t="str">
        <f t="shared" si="332"/>
        <v/>
      </c>
      <c r="X970" s="74" t="str">
        <f t="shared" si="332"/>
        <v/>
      </c>
      <c r="Y970" s="74" t="str">
        <f t="shared" si="332"/>
        <v/>
      </c>
      <c r="Z970" s="74" t="str">
        <f t="shared" si="337"/>
        <v/>
      </c>
      <c r="AA970" s="74">
        <f t="shared" si="338"/>
        <v>0</v>
      </c>
      <c r="AB970" s="74">
        <f t="shared" si="339"/>
        <v>0</v>
      </c>
      <c r="AC970" s="74" t="str">
        <f t="shared" si="340"/>
        <v/>
      </c>
      <c r="AE970" s="74" t="str">
        <f t="shared" si="341"/>
        <v/>
      </c>
      <c r="AF970" s="74" t="str">
        <f t="shared" si="342"/>
        <v/>
      </c>
      <c r="AG970" s="74" t="str">
        <f t="shared" si="343"/>
        <v/>
      </c>
      <c r="AH970" s="74">
        <f t="shared" si="344"/>
        <v>0</v>
      </c>
      <c r="AI970" s="74" t="str">
        <f>IF(AH970&lt;&gt;0,COUNTIF(AH$3:AH970,1),"")</f>
        <v/>
      </c>
      <c r="AJ970" s="74">
        <f t="shared" si="345"/>
        <v>0</v>
      </c>
      <c r="AK970" s="73" t="str">
        <f t="shared" si="346"/>
        <v/>
      </c>
      <c r="AL970" s="73" t="str">
        <f t="shared" si="347"/>
        <v/>
      </c>
      <c r="AM970" s="73" t="str">
        <f t="shared" si="348"/>
        <v/>
      </c>
      <c r="AN970" s="73" t="str">
        <f t="shared" si="349"/>
        <v/>
      </c>
    </row>
    <row r="971" spans="16:40" x14ac:dyDescent="0.25">
      <c r="P971" s="73" t="str">
        <f t="shared" si="333"/>
        <v/>
      </c>
      <c r="Q971" s="73" t="str">
        <f t="shared" si="334"/>
        <v/>
      </c>
      <c r="R971" s="74" t="str">
        <f t="shared" si="335"/>
        <v/>
      </c>
      <c r="S971" s="74" t="str">
        <f t="shared" si="336"/>
        <v/>
      </c>
      <c r="U971" s="74" t="str">
        <f t="shared" si="332"/>
        <v/>
      </c>
      <c r="V971" s="74" t="str">
        <f t="shared" si="332"/>
        <v/>
      </c>
      <c r="W971" s="74" t="str">
        <f t="shared" si="332"/>
        <v/>
      </c>
      <c r="X971" s="74" t="str">
        <f t="shared" si="332"/>
        <v/>
      </c>
      <c r="Y971" s="74" t="str">
        <f t="shared" si="332"/>
        <v/>
      </c>
      <c r="Z971" s="74" t="str">
        <f t="shared" si="337"/>
        <v/>
      </c>
      <c r="AA971" s="74">
        <f t="shared" si="338"/>
        <v>0</v>
      </c>
      <c r="AB971" s="74">
        <f t="shared" si="339"/>
        <v>0</v>
      </c>
      <c r="AC971" s="74" t="str">
        <f t="shared" si="340"/>
        <v/>
      </c>
      <c r="AE971" s="74" t="str">
        <f t="shared" si="341"/>
        <v/>
      </c>
      <c r="AF971" s="74" t="str">
        <f t="shared" si="342"/>
        <v/>
      </c>
      <c r="AG971" s="74" t="str">
        <f t="shared" si="343"/>
        <v/>
      </c>
      <c r="AH971" s="74">
        <f t="shared" si="344"/>
        <v>0</v>
      </c>
      <c r="AI971" s="74" t="str">
        <f>IF(AH971&lt;&gt;0,COUNTIF(AH$3:AH971,1),"")</f>
        <v/>
      </c>
      <c r="AJ971" s="74">
        <f t="shared" si="345"/>
        <v>0</v>
      </c>
      <c r="AK971" s="73" t="str">
        <f t="shared" si="346"/>
        <v/>
      </c>
      <c r="AL971" s="73" t="str">
        <f t="shared" si="347"/>
        <v/>
      </c>
      <c r="AM971" s="73" t="str">
        <f t="shared" si="348"/>
        <v/>
      </c>
      <c r="AN971" s="73" t="str">
        <f t="shared" si="349"/>
        <v/>
      </c>
    </row>
    <row r="972" spans="16:40" x14ac:dyDescent="0.25">
      <c r="P972" s="73" t="str">
        <f t="shared" si="333"/>
        <v/>
      </c>
      <c r="Q972" s="73" t="str">
        <f t="shared" si="334"/>
        <v/>
      </c>
      <c r="R972" s="74" t="str">
        <f t="shared" si="335"/>
        <v/>
      </c>
      <c r="S972" s="74" t="str">
        <f t="shared" si="336"/>
        <v/>
      </c>
      <c r="U972" s="74" t="str">
        <f t="shared" si="332"/>
        <v/>
      </c>
      <c r="V972" s="74" t="str">
        <f t="shared" si="332"/>
        <v/>
      </c>
      <c r="W972" s="74" t="str">
        <f t="shared" si="332"/>
        <v/>
      </c>
      <c r="X972" s="74" t="str">
        <f t="shared" si="332"/>
        <v/>
      </c>
      <c r="Y972" s="74" t="str">
        <f t="shared" si="332"/>
        <v/>
      </c>
      <c r="Z972" s="74" t="str">
        <f t="shared" si="337"/>
        <v/>
      </c>
      <c r="AA972" s="74">
        <f t="shared" si="338"/>
        <v>0</v>
      </c>
      <c r="AB972" s="74">
        <f t="shared" si="339"/>
        <v>0</v>
      </c>
      <c r="AC972" s="74" t="str">
        <f t="shared" si="340"/>
        <v/>
      </c>
      <c r="AE972" s="74" t="str">
        <f t="shared" si="341"/>
        <v/>
      </c>
      <c r="AF972" s="74" t="str">
        <f t="shared" si="342"/>
        <v/>
      </c>
      <c r="AG972" s="74" t="str">
        <f t="shared" si="343"/>
        <v/>
      </c>
      <c r="AH972" s="74">
        <f t="shared" si="344"/>
        <v>0</v>
      </c>
      <c r="AI972" s="74" t="str">
        <f>IF(AH972&lt;&gt;0,COUNTIF(AH$3:AH972,1),"")</f>
        <v/>
      </c>
      <c r="AJ972" s="74">
        <f t="shared" si="345"/>
        <v>0</v>
      </c>
      <c r="AK972" s="73" t="str">
        <f t="shared" si="346"/>
        <v/>
      </c>
      <c r="AL972" s="73" t="str">
        <f t="shared" si="347"/>
        <v/>
      </c>
      <c r="AM972" s="73" t="str">
        <f t="shared" si="348"/>
        <v/>
      </c>
      <c r="AN972" s="73" t="str">
        <f t="shared" si="349"/>
        <v/>
      </c>
    </row>
    <row r="973" spans="16:40" x14ac:dyDescent="0.25">
      <c r="P973" s="73" t="str">
        <f t="shared" si="333"/>
        <v/>
      </c>
      <c r="Q973" s="73" t="str">
        <f t="shared" si="334"/>
        <v/>
      </c>
      <c r="R973" s="74" t="str">
        <f t="shared" si="335"/>
        <v/>
      </c>
      <c r="S973" s="74" t="str">
        <f t="shared" si="336"/>
        <v/>
      </c>
      <c r="U973" s="74" t="str">
        <f t="shared" si="332"/>
        <v/>
      </c>
      <c r="V973" s="74" t="str">
        <f t="shared" si="332"/>
        <v/>
      </c>
      <c r="W973" s="74" t="str">
        <f t="shared" si="332"/>
        <v/>
      </c>
      <c r="X973" s="74" t="str">
        <f t="shared" si="332"/>
        <v/>
      </c>
      <c r="Y973" s="74" t="str">
        <f t="shared" si="332"/>
        <v/>
      </c>
      <c r="Z973" s="74" t="str">
        <f t="shared" si="337"/>
        <v/>
      </c>
      <c r="AA973" s="74">
        <f t="shared" si="338"/>
        <v>0</v>
      </c>
      <c r="AB973" s="74">
        <f t="shared" si="339"/>
        <v>0</v>
      </c>
      <c r="AC973" s="74" t="str">
        <f t="shared" si="340"/>
        <v/>
      </c>
      <c r="AE973" s="74" t="str">
        <f t="shared" si="341"/>
        <v/>
      </c>
      <c r="AF973" s="74" t="str">
        <f t="shared" si="342"/>
        <v/>
      </c>
      <c r="AG973" s="74" t="str">
        <f t="shared" si="343"/>
        <v/>
      </c>
      <c r="AH973" s="74">
        <f t="shared" si="344"/>
        <v>0</v>
      </c>
      <c r="AI973" s="74" t="str">
        <f>IF(AH973&lt;&gt;0,COUNTIF(AH$3:AH973,1),"")</f>
        <v/>
      </c>
      <c r="AJ973" s="74">
        <f t="shared" si="345"/>
        <v>0</v>
      </c>
      <c r="AK973" s="73" t="str">
        <f t="shared" si="346"/>
        <v/>
      </c>
      <c r="AL973" s="73" t="str">
        <f t="shared" si="347"/>
        <v/>
      </c>
      <c r="AM973" s="73" t="str">
        <f t="shared" si="348"/>
        <v/>
      </c>
      <c r="AN973" s="73" t="str">
        <f t="shared" si="349"/>
        <v/>
      </c>
    </row>
    <row r="974" spans="16:40" x14ac:dyDescent="0.25">
      <c r="P974" s="73" t="str">
        <f t="shared" si="333"/>
        <v/>
      </c>
      <c r="Q974" s="73" t="str">
        <f t="shared" si="334"/>
        <v/>
      </c>
      <c r="R974" s="74" t="str">
        <f t="shared" si="335"/>
        <v/>
      </c>
      <c r="S974" s="74" t="str">
        <f t="shared" si="336"/>
        <v/>
      </c>
      <c r="U974" s="74" t="str">
        <f t="shared" si="332"/>
        <v/>
      </c>
      <c r="V974" s="74" t="str">
        <f t="shared" si="332"/>
        <v/>
      </c>
      <c r="W974" s="74" t="str">
        <f t="shared" si="332"/>
        <v/>
      </c>
      <c r="X974" s="74" t="str">
        <f t="shared" si="332"/>
        <v/>
      </c>
      <c r="Y974" s="74" t="str">
        <f t="shared" si="332"/>
        <v/>
      </c>
      <c r="Z974" s="74" t="str">
        <f t="shared" si="337"/>
        <v/>
      </c>
      <c r="AA974" s="74">
        <f t="shared" si="338"/>
        <v>0</v>
      </c>
      <c r="AB974" s="74">
        <f t="shared" si="339"/>
        <v>0</v>
      </c>
      <c r="AC974" s="74" t="str">
        <f t="shared" si="340"/>
        <v/>
      </c>
      <c r="AE974" s="74" t="str">
        <f t="shared" si="341"/>
        <v/>
      </c>
      <c r="AF974" s="74" t="str">
        <f t="shared" si="342"/>
        <v/>
      </c>
      <c r="AG974" s="74" t="str">
        <f t="shared" si="343"/>
        <v/>
      </c>
      <c r="AH974" s="74">
        <f t="shared" si="344"/>
        <v>0</v>
      </c>
      <c r="AI974" s="74" t="str">
        <f>IF(AH974&lt;&gt;0,COUNTIF(AH$3:AH974,1),"")</f>
        <v/>
      </c>
      <c r="AJ974" s="74">
        <f t="shared" si="345"/>
        <v>0</v>
      </c>
      <c r="AK974" s="73" t="str">
        <f t="shared" si="346"/>
        <v/>
      </c>
      <c r="AL974" s="73" t="str">
        <f t="shared" si="347"/>
        <v/>
      </c>
      <c r="AM974" s="73" t="str">
        <f t="shared" si="348"/>
        <v/>
      </c>
      <c r="AN974" s="73" t="str">
        <f t="shared" si="349"/>
        <v/>
      </c>
    </row>
    <row r="975" spans="16:40" x14ac:dyDescent="0.25">
      <c r="P975" s="73" t="str">
        <f t="shared" si="333"/>
        <v/>
      </c>
      <c r="Q975" s="73" t="str">
        <f t="shared" si="334"/>
        <v/>
      </c>
      <c r="R975" s="74" t="str">
        <f t="shared" si="335"/>
        <v/>
      </c>
      <c r="S975" s="74" t="str">
        <f t="shared" si="336"/>
        <v/>
      </c>
      <c r="U975" s="74" t="str">
        <f t="shared" si="332"/>
        <v/>
      </c>
      <c r="V975" s="74" t="str">
        <f t="shared" si="332"/>
        <v/>
      </c>
      <c r="W975" s="74" t="str">
        <f t="shared" si="332"/>
        <v/>
      </c>
      <c r="X975" s="74" t="str">
        <f t="shared" si="332"/>
        <v/>
      </c>
      <c r="Y975" s="74" t="str">
        <f t="shared" si="332"/>
        <v/>
      </c>
      <c r="Z975" s="74" t="str">
        <f t="shared" si="337"/>
        <v/>
      </c>
      <c r="AA975" s="74">
        <f t="shared" si="338"/>
        <v>0</v>
      </c>
      <c r="AB975" s="74">
        <f t="shared" si="339"/>
        <v>0</v>
      </c>
      <c r="AC975" s="74" t="str">
        <f t="shared" si="340"/>
        <v/>
      </c>
      <c r="AE975" s="74" t="str">
        <f t="shared" si="341"/>
        <v/>
      </c>
      <c r="AF975" s="74" t="str">
        <f t="shared" si="342"/>
        <v/>
      </c>
      <c r="AG975" s="74" t="str">
        <f t="shared" si="343"/>
        <v/>
      </c>
      <c r="AH975" s="74">
        <f t="shared" si="344"/>
        <v>0</v>
      </c>
      <c r="AI975" s="74" t="str">
        <f>IF(AH975&lt;&gt;0,COUNTIF(AH$3:AH975,1),"")</f>
        <v/>
      </c>
      <c r="AJ975" s="74">
        <f t="shared" si="345"/>
        <v>0</v>
      </c>
      <c r="AK975" s="73" t="str">
        <f t="shared" si="346"/>
        <v/>
      </c>
      <c r="AL975" s="73" t="str">
        <f t="shared" si="347"/>
        <v/>
      </c>
      <c r="AM975" s="73" t="str">
        <f t="shared" si="348"/>
        <v/>
      </c>
      <c r="AN975" s="73" t="str">
        <f t="shared" si="349"/>
        <v/>
      </c>
    </row>
    <row r="976" spans="16:40" x14ac:dyDescent="0.25">
      <c r="P976" s="73" t="str">
        <f t="shared" si="333"/>
        <v/>
      </c>
      <c r="Q976" s="73" t="str">
        <f t="shared" si="334"/>
        <v/>
      </c>
      <c r="R976" s="74" t="str">
        <f t="shared" si="335"/>
        <v/>
      </c>
      <c r="S976" s="74" t="str">
        <f t="shared" si="336"/>
        <v/>
      </c>
      <c r="U976" s="74" t="str">
        <f t="shared" si="332"/>
        <v/>
      </c>
      <c r="V976" s="74" t="str">
        <f t="shared" si="332"/>
        <v/>
      </c>
      <c r="W976" s="74" t="str">
        <f t="shared" si="332"/>
        <v/>
      </c>
      <c r="X976" s="74" t="str">
        <f t="shared" si="332"/>
        <v/>
      </c>
      <c r="Y976" s="74" t="str">
        <f t="shared" si="332"/>
        <v/>
      </c>
      <c r="Z976" s="74" t="str">
        <f t="shared" si="337"/>
        <v/>
      </c>
      <c r="AA976" s="74">
        <f t="shared" si="338"/>
        <v>0</v>
      </c>
      <c r="AB976" s="74">
        <f t="shared" si="339"/>
        <v>0</v>
      </c>
      <c r="AC976" s="74" t="str">
        <f t="shared" si="340"/>
        <v/>
      </c>
      <c r="AE976" s="74" t="str">
        <f t="shared" si="341"/>
        <v/>
      </c>
      <c r="AF976" s="74" t="str">
        <f t="shared" si="342"/>
        <v/>
      </c>
      <c r="AG976" s="74" t="str">
        <f t="shared" si="343"/>
        <v/>
      </c>
      <c r="AH976" s="74">
        <f t="shared" si="344"/>
        <v>0</v>
      </c>
      <c r="AI976" s="74" t="str">
        <f>IF(AH976&lt;&gt;0,COUNTIF(AH$3:AH976,1),"")</f>
        <v/>
      </c>
      <c r="AJ976" s="74">
        <f t="shared" si="345"/>
        <v>0</v>
      </c>
      <c r="AK976" s="73" t="str">
        <f t="shared" si="346"/>
        <v/>
      </c>
      <c r="AL976" s="73" t="str">
        <f t="shared" si="347"/>
        <v/>
      </c>
      <c r="AM976" s="73" t="str">
        <f t="shared" si="348"/>
        <v/>
      </c>
      <c r="AN976" s="73" t="str">
        <f t="shared" si="349"/>
        <v/>
      </c>
    </row>
    <row r="977" spans="16:40" x14ac:dyDescent="0.25">
      <c r="P977" s="73" t="str">
        <f t="shared" si="333"/>
        <v/>
      </c>
      <c r="Q977" s="73" t="str">
        <f t="shared" si="334"/>
        <v/>
      </c>
      <c r="R977" s="74" t="str">
        <f t="shared" si="335"/>
        <v/>
      </c>
      <c r="S977" s="74" t="str">
        <f t="shared" si="336"/>
        <v/>
      </c>
      <c r="U977" s="74" t="str">
        <f t="shared" si="332"/>
        <v/>
      </c>
      <c r="V977" s="74" t="str">
        <f t="shared" si="332"/>
        <v/>
      </c>
      <c r="W977" s="74" t="str">
        <f t="shared" si="332"/>
        <v/>
      </c>
      <c r="X977" s="74" t="str">
        <f t="shared" si="332"/>
        <v/>
      </c>
      <c r="Y977" s="74" t="str">
        <f t="shared" si="332"/>
        <v/>
      </c>
      <c r="Z977" s="74" t="str">
        <f t="shared" si="337"/>
        <v/>
      </c>
      <c r="AA977" s="74">
        <f t="shared" si="338"/>
        <v>0</v>
      </c>
      <c r="AB977" s="74">
        <f t="shared" si="339"/>
        <v>0</v>
      </c>
      <c r="AC977" s="74" t="str">
        <f t="shared" si="340"/>
        <v/>
      </c>
      <c r="AE977" s="74" t="str">
        <f t="shared" si="341"/>
        <v/>
      </c>
      <c r="AF977" s="74" t="str">
        <f t="shared" si="342"/>
        <v/>
      </c>
      <c r="AG977" s="74" t="str">
        <f t="shared" si="343"/>
        <v/>
      </c>
      <c r="AH977" s="74">
        <f t="shared" si="344"/>
        <v>0</v>
      </c>
      <c r="AI977" s="74" t="str">
        <f>IF(AH977&lt;&gt;0,COUNTIF(AH$3:AH977,1),"")</f>
        <v/>
      </c>
      <c r="AJ977" s="74">
        <f t="shared" si="345"/>
        <v>0</v>
      </c>
      <c r="AK977" s="73" t="str">
        <f t="shared" si="346"/>
        <v/>
      </c>
      <c r="AL977" s="73" t="str">
        <f t="shared" si="347"/>
        <v/>
      </c>
      <c r="AM977" s="73" t="str">
        <f t="shared" si="348"/>
        <v/>
      </c>
      <c r="AN977" s="73" t="str">
        <f t="shared" si="349"/>
        <v/>
      </c>
    </row>
    <row r="978" spans="16:40" x14ac:dyDescent="0.25">
      <c r="P978" s="73" t="str">
        <f t="shared" si="333"/>
        <v/>
      </c>
      <c r="Q978" s="73" t="str">
        <f t="shared" si="334"/>
        <v/>
      </c>
      <c r="R978" s="74" t="str">
        <f t="shared" si="335"/>
        <v/>
      </c>
      <c r="S978" s="74" t="str">
        <f t="shared" si="336"/>
        <v/>
      </c>
      <c r="U978" s="74" t="str">
        <f t="shared" si="332"/>
        <v/>
      </c>
      <c r="V978" s="74" t="str">
        <f t="shared" si="332"/>
        <v/>
      </c>
      <c r="W978" s="74" t="str">
        <f t="shared" si="332"/>
        <v/>
      </c>
      <c r="X978" s="74" t="str">
        <f t="shared" si="332"/>
        <v/>
      </c>
      <c r="Y978" s="74" t="str">
        <f t="shared" si="332"/>
        <v/>
      </c>
      <c r="Z978" s="74" t="str">
        <f t="shared" si="337"/>
        <v/>
      </c>
      <c r="AA978" s="74">
        <f t="shared" si="338"/>
        <v>0</v>
      </c>
      <c r="AB978" s="74">
        <f t="shared" si="339"/>
        <v>0</v>
      </c>
      <c r="AC978" s="74" t="str">
        <f t="shared" si="340"/>
        <v/>
      </c>
      <c r="AE978" s="74" t="str">
        <f t="shared" si="341"/>
        <v/>
      </c>
      <c r="AF978" s="74" t="str">
        <f t="shared" si="342"/>
        <v/>
      </c>
      <c r="AG978" s="74" t="str">
        <f t="shared" si="343"/>
        <v/>
      </c>
      <c r="AH978" s="74">
        <f t="shared" si="344"/>
        <v>0</v>
      </c>
      <c r="AI978" s="74" t="str">
        <f>IF(AH978&lt;&gt;0,COUNTIF(AH$3:AH978,1),"")</f>
        <v/>
      </c>
      <c r="AJ978" s="74">
        <f t="shared" si="345"/>
        <v>0</v>
      </c>
      <c r="AK978" s="73" t="str">
        <f t="shared" si="346"/>
        <v/>
      </c>
      <c r="AL978" s="73" t="str">
        <f t="shared" si="347"/>
        <v/>
      </c>
      <c r="AM978" s="73" t="str">
        <f t="shared" si="348"/>
        <v/>
      </c>
      <c r="AN978" s="73" t="str">
        <f t="shared" si="349"/>
        <v/>
      </c>
    </row>
    <row r="979" spans="16:40" x14ac:dyDescent="0.25">
      <c r="P979" s="73" t="str">
        <f t="shared" si="333"/>
        <v/>
      </c>
      <c r="Q979" s="73" t="str">
        <f t="shared" si="334"/>
        <v/>
      </c>
      <c r="R979" s="74" t="str">
        <f t="shared" si="335"/>
        <v/>
      </c>
      <c r="S979" s="74" t="str">
        <f t="shared" si="336"/>
        <v/>
      </c>
      <c r="U979" s="74" t="str">
        <f t="shared" si="332"/>
        <v/>
      </c>
      <c r="V979" s="74" t="str">
        <f t="shared" si="332"/>
        <v/>
      </c>
      <c r="W979" s="74" t="str">
        <f t="shared" si="332"/>
        <v/>
      </c>
      <c r="X979" s="74" t="str">
        <f t="shared" si="332"/>
        <v/>
      </c>
      <c r="Y979" s="74" t="str">
        <f t="shared" si="332"/>
        <v/>
      </c>
      <c r="Z979" s="74" t="str">
        <f t="shared" si="337"/>
        <v/>
      </c>
      <c r="AA979" s="74">
        <f t="shared" si="338"/>
        <v>0</v>
      </c>
      <c r="AB979" s="74">
        <f t="shared" si="339"/>
        <v>0</v>
      </c>
      <c r="AC979" s="74" t="str">
        <f t="shared" si="340"/>
        <v/>
      </c>
      <c r="AE979" s="74" t="str">
        <f t="shared" si="341"/>
        <v/>
      </c>
      <c r="AF979" s="74" t="str">
        <f t="shared" si="342"/>
        <v/>
      </c>
      <c r="AG979" s="74" t="str">
        <f t="shared" si="343"/>
        <v/>
      </c>
      <c r="AH979" s="74">
        <f t="shared" si="344"/>
        <v>0</v>
      </c>
      <c r="AI979" s="74" t="str">
        <f>IF(AH979&lt;&gt;0,COUNTIF(AH$3:AH979,1),"")</f>
        <v/>
      </c>
      <c r="AJ979" s="74">
        <f t="shared" si="345"/>
        <v>0</v>
      </c>
      <c r="AK979" s="73" t="str">
        <f t="shared" si="346"/>
        <v/>
      </c>
      <c r="AL979" s="73" t="str">
        <f t="shared" si="347"/>
        <v/>
      </c>
      <c r="AM979" s="73" t="str">
        <f t="shared" si="348"/>
        <v/>
      </c>
      <c r="AN979" s="73" t="str">
        <f t="shared" si="349"/>
        <v/>
      </c>
    </row>
    <row r="980" spans="16:40" x14ac:dyDescent="0.25">
      <c r="P980" s="73" t="str">
        <f t="shared" si="333"/>
        <v/>
      </c>
      <c r="Q980" s="73" t="str">
        <f t="shared" si="334"/>
        <v/>
      </c>
      <c r="R980" s="74" t="str">
        <f t="shared" si="335"/>
        <v/>
      </c>
      <c r="S980" s="74" t="str">
        <f t="shared" si="336"/>
        <v/>
      </c>
      <c r="U980" s="74" t="str">
        <f t="shared" si="332"/>
        <v/>
      </c>
      <c r="V980" s="74" t="str">
        <f t="shared" si="332"/>
        <v/>
      </c>
      <c r="W980" s="74" t="str">
        <f t="shared" si="332"/>
        <v/>
      </c>
      <c r="X980" s="74" t="str">
        <f t="shared" si="332"/>
        <v/>
      </c>
      <c r="Y980" s="74" t="str">
        <f t="shared" si="332"/>
        <v/>
      </c>
      <c r="Z980" s="74" t="str">
        <f t="shared" si="337"/>
        <v/>
      </c>
      <c r="AA980" s="74">
        <f t="shared" si="338"/>
        <v>0</v>
      </c>
      <c r="AB980" s="74">
        <f t="shared" si="339"/>
        <v>0</v>
      </c>
      <c r="AC980" s="74" t="str">
        <f t="shared" si="340"/>
        <v/>
      </c>
      <c r="AE980" s="74" t="str">
        <f t="shared" si="341"/>
        <v/>
      </c>
      <c r="AF980" s="74" t="str">
        <f t="shared" si="342"/>
        <v/>
      </c>
      <c r="AG980" s="74" t="str">
        <f t="shared" si="343"/>
        <v/>
      </c>
      <c r="AH980" s="74">
        <f t="shared" si="344"/>
        <v>0</v>
      </c>
      <c r="AI980" s="74" t="str">
        <f>IF(AH980&lt;&gt;0,COUNTIF(AH$3:AH980,1),"")</f>
        <v/>
      </c>
      <c r="AJ980" s="74">
        <f t="shared" si="345"/>
        <v>0</v>
      </c>
      <c r="AK980" s="73" t="str">
        <f t="shared" si="346"/>
        <v/>
      </c>
      <c r="AL980" s="73" t="str">
        <f t="shared" si="347"/>
        <v/>
      </c>
      <c r="AM980" s="73" t="str">
        <f t="shared" si="348"/>
        <v/>
      </c>
      <c r="AN980" s="73" t="str">
        <f t="shared" si="349"/>
        <v/>
      </c>
    </row>
    <row r="981" spans="16:40" x14ac:dyDescent="0.25">
      <c r="P981" s="73" t="str">
        <f t="shared" si="333"/>
        <v/>
      </c>
      <c r="Q981" s="73" t="str">
        <f t="shared" si="334"/>
        <v/>
      </c>
      <c r="R981" s="74" t="str">
        <f t="shared" si="335"/>
        <v/>
      </c>
      <c r="S981" s="74" t="str">
        <f t="shared" si="336"/>
        <v/>
      </c>
      <c r="U981" s="74" t="str">
        <f t="shared" si="332"/>
        <v/>
      </c>
      <c r="V981" s="74" t="str">
        <f t="shared" si="332"/>
        <v/>
      </c>
      <c r="W981" s="74" t="str">
        <f t="shared" si="332"/>
        <v/>
      </c>
      <c r="X981" s="74" t="str">
        <f t="shared" si="332"/>
        <v/>
      </c>
      <c r="Y981" s="74" t="str">
        <f t="shared" si="332"/>
        <v/>
      </c>
      <c r="Z981" s="74" t="str">
        <f t="shared" si="337"/>
        <v/>
      </c>
      <c r="AA981" s="74">
        <f t="shared" si="338"/>
        <v>0</v>
      </c>
      <c r="AB981" s="74">
        <f t="shared" si="339"/>
        <v>0</v>
      </c>
      <c r="AC981" s="74" t="str">
        <f t="shared" si="340"/>
        <v/>
      </c>
      <c r="AE981" s="74" t="str">
        <f t="shared" si="341"/>
        <v/>
      </c>
      <c r="AF981" s="74" t="str">
        <f t="shared" si="342"/>
        <v/>
      </c>
      <c r="AG981" s="74" t="str">
        <f t="shared" si="343"/>
        <v/>
      </c>
      <c r="AH981" s="74">
        <f t="shared" si="344"/>
        <v>0</v>
      </c>
      <c r="AI981" s="74" t="str">
        <f>IF(AH981&lt;&gt;0,COUNTIF(AH$3:AH981,1),"")</f>
        <v/>
      </c>
      <c r="AJ981" s="74">
        <f t="shared" si="345"/>
        <v>0</v>
      </c>
      <c r="AK981" s="73" t="str">
        <f t="shared" si="346"/>
        <v/>
      </c>
      <c r="AL981" s="73" t="str">
        <f t="shared" si="347"/>
        <v/>
      </c>
      <c r="AM981" s="73" t="str">
        <f t="shared" si="348"/>
        <v/>
      </c>
      <c r="AN981" s="73" t="str">
        <f t="shared" si="349"/>
        <v/>
      </c>
    </row>
    <row r="982" spans="16:40" x14ac:dyDescent="0.25">
      <c r="P982" s="73" t="str">
        <f t="shared" si="333"/>
        <v/>
      </c>
      <c r="Q982" s="73" t="str">
        <f t="shared" si="334"/>
        <v/>
      </c>
      <c r="R982" s="74" t="str">
        <f t="shared" si="335"/>
        <v/>
      </c>
      <c r="S982" s="74" t="str">
        <f t="shared" si="336"/>
        <v/>
      </c>
      <c r="U982" s="74" t="str">
        <f t="shared" si="332"/>
        <v/>
      </c>
      <c r="V982" s="74" t="str">
        <f t="shared" si="332"/>
        <v/>
      </c>
      <c r="W982" s="74" t="str">
        <f t="shared" si="332"/>
        <v/>
      </c>
      <c r="X982" s="74" t="str">
        <f t="shared" si="332"/>
        <v/>
      </c>
      <c r="Y982" s="74" t="str">
        <f t="shared" si="332"/>
        <v/>
      </c>
      <c r="Z982" s="74" t="str">
        <f t="shared" si="337"/>
        <v/>
      </c>
      <c r="AA982" s="74">
        <f t="shared" si="338"/>
        <v>0</v>
      </c>
      <c r="AB982" s="74">
        <f t="shared" si="339"/>
        <v>0</v>
      </c>
      <c r="AC982" s="74" t="str">
        <f t="shared" si="340"/>
        <v/>
      </c>
      <c r="AE982" s="74" t="str">
        <f t="shared" si="341"/>
        <v/>
      </c>
      <c r="AF982" s="74" t="str">
        <f t="shared" si="342"/>
        <v/>
      </c>
      <c r="AG982" s="74" t="str">
        <f t="shared" si="343"/>
        <v/>
      </c>
      <c r="AH982" s="74">
        <f t="shared" si="344"/>
        <v>0</v>
      </c>
      <c r="AI982" s="74" t="str">
        <f>IF(AH982&lt;&gt;0,COUNTIF(AH$3:AH982,1),"")</f>
        <v/>
      </c>
      <c r="AJ982" s="74">
        <f t="shared" si="345"/>
        <v>0</v>
      </c>
      <c r="AK982" s="73" t="str">
        <f t="shared" si="346"/>
        <v/>
      </c>
      <c r="AL982" s="73" t="str">
        <f t="shared" si="347"/>
        <v/>
      </c>
      <c r="AM982" s="73" t="str">
        <f t="shared" si="348"/>
        <v/>
      </c>
      <c r="AN982" s="73" t="str">
        <f t="shared" si="349"/>
        <v/>
      </c>
    </row>
    <row r="983" spans="16:40" x14ac:dyDescent="0.25">
      <c r="P983" s="73" t="str">
        <f t="shared" si="333"/>
        <v/>
      </c>
      <c r="Q983" s="73" t="str">
        <f t="shared" si="334"/>
        <v/>
      </c>
      <c r="R983" s="74" t="str">
        <f t="shared" si="335"/>
        <v/>
      </c>
      <c r="S983" s="74" t="str">
        <f t="shared" si="336"/>
        <v/>
      </c>
      <c r="U983" s="74" t="str">
        <f t="shared" si="332"/>
        <v/>
      </c>
      <c r="V983" s="74" t="str">
        <f t="shared" si="332"/>
        <v/>
      </c>
      <c r="W983" s="74" t="str">
        <f t="shared" si="332"/>
        <v/>
      </c>
      <c r="X983" s="74" t="str">
        <f t="shared" si="332"/>
        <v/>
      </c>
      <c r="Y983" s="74" t="str">
        <f t="shared" si="332"/>
        <v/>
      </c>
      <c r="Z983" s="74" t="str">
        <f t="shared" si="337"/>
        <v/>
      </c>
      <c r="AA983" s="74">
        <f t="shared" si="338"/>
        <v>0</v>
      </c>
      <c r="AB983" s="74">
        <f t="shared" si="339"/>
        <v>0</v>
      </c>
      <c r="AC983" s="74" t="str">
        <f t="shared" si="340"/>
        <v/>
      </c>
      <c r="AE983" s="74" t="str">
        <f t="shared" si="341"/>
        <v/>
      </c>
      <c r="AF983" s="74" t="str">
        <f t="shared" si="342"/>
        <v/>
      </c>
      <c r="AG983" s="74" t="str">
        <f t="shared" si="343"/>
        <v/>
      </c>
      <c r="AH983" s="74">
        <f t="shared" si="344"/>
        <v>0</v>
      </c>
      <c r="AI983" s="74" t="str">
        <f>IF(AH983&lt;&gt;0,COUNTIF(AH$3:AH983,1),"")</f>
        <v/>
      </c>
      <c r="AJ983" s="74">
        <f t="shared" si="345"/>
        <v>0</v>
      </c>
      <c r="AK983" s="73" t="str">
        <f t="shared" si="346"/>
        <v/>
      </c>
      <c r="AL983" s="73" t="str">
        <f t="shared" si="347"/>
        <v/>
      </c>
      <c r="AM983" s="73" t="str">
        <f t="shared" si="348"/>
        <v/>
      </c>
      <c r="AN983" s="73" t="str">
        <f t="shared" si="349"/>
        <v/>
      </c>
    </row>
    <row r="984" spans="16:40" x14ac:dyDescent="0.25">
      <c r="P984" s="73" t="str">
        <f t="shared" si="333"/>
        <v/>
      </c>
      <c r="Q984" s="73" t="str">
        <f t="shared" si="334"/>
        <v/>
      </c>
      <c r="R984" s="74" t="str">
        <f t="shared" si="335"/>
        <v/>
      </c>
      <c r="S984" s="74" t="str">
        <f t="shared" si="336"/>
        <v/>
      </c>
      <c r="U984" s="74" t="str">
        <f t="shared" si="332"/>
        <v/>
      </c>
      <c r="V984" s="74" t="str">
        <f t="shared" si="332"/>
        <v/>
      </c>
      <c r="W984" s="74" t="str">
        <f t="shared" si="332"/>
        <v/>
      </c>
      <c r="X984" s="74" t="str">
        <f t="shared" si="332"/>
        <v/>
      </c>
      <c r="Y984" s="74" t="str">
        <f t="shared" si="332"/>
        <v/>
      </c>
      <c r="Z984" s="74" t="str">
        <f t="shared" si="337"/>
        <v/>
      </c>
      <c r="AA984" s="74">
        <f t="shared" si="338"/>
        <v>0</v>
      </c>
      <c r="AB984" s="74">
        <f t="shared" si="339"/>
        <v>0</v>
      </c>
      <c r="AC984" s="74" t="str">
        <f t="shared" si="340"/>
        <v/>
      </c>
      <c r="AE984" s="74" t="str">
        <f t="shared" si="341"/>
        <v/>
      </c>
      <c r="AF984" s="74" t="str">
        <f t="shared" si="342"/>
        <v/>
      </c>
      <c r="AG984" s="74" t="str">
        <f t="shared" si="343"/>
        <v/>
      </c>
      <c r="AH984" s="74">
        <f t="shared" si="344"/>
        <v>0</v>
      </c>
      <c r="AI984" s="74" t="str">
        <f>IF(AH984&lt;&gt;0,COUNTIF(AH$3:AH984,1),"")</f>
        <v/>
      </c>
      <c r="AJ984" s="74">
        <f t="shared" si="345"/>
        <v>0</v>
      </c>
      <c r="AK984" s="73" t="str">
        <f t="shared" si="346"/>
        <v/>
      </c>
      <c r="AL984" s="73" t="str">
        <f t="shared" si="347"/>
        <v/>
      </c>
      <c r="AM984" s="73" t="str">
        <f t="shared" si="348"/>
        <v/>
      </c>
      <c r="AN984" s="73" t="str">
        <f t="shared" si="349"/>
        <v/>
      </c>
    </row>
    <row r="985" spans="16:40" x14ac:dyDescent="0.25">
      <c r="P985" s="73" t="str">
        <f t="shared" si="333"/>
        <v/>
      </c>
      <c r="Q985" s="73" t="str">
        <f t="shared" si="334"/>
        <v/>
      </c>
      <c r="R985" s="74" t="str">
        <f t="shared" si="335"/>
        <v/>
      </c>
      <c r="S985" s="74" t="str">
        <f t="shared" si="336"/>
        <v/>
      </c>
      <c r="U985" s="74" t="str">
        <f t="shared" si="332"/>
        <v/>
      </c>
      <c r="V985" s="74" t="str">
        <f t="shared" si="332"/>
        <v/>
      </c>
      <c r="W985" s="74" t="str">
        <f t="shared" si="332"/>
        <v/>
      </c>
      <c r="X985" s="74" t="str">
        <f t="shared" si="332"/>
        <v/>
      </c>
      <c r="Y985" s="74" t="str">
        <f t="shared" si="332"/>
        <v/>
      </c>
      <c r="Z985" s="74" t="str">
        <f t="shared" si="337"/>
        <v/>
      </c>
      <c r="AA985" s="74">
        <f t="shared" si="338"/>
        <v>0</v>
      </c>
      <c r="AB985" s="74">
        <f t="shared" si="339"/>
        <v>0</v>
      </c>
      <c r="AC985" s="74" t="str">
        <f t="shared" si="340"/>
        <v/>
      </c>
      <c r="AE985" s="74" t="str">
        <f t="shared" si="341"/>
        <v/>
      </c>
      <c r="AF985" s="74" t="str">
        <f t="shared" si="342"/>
        <v/>
      </c>
      <c r="AG985" s="74" t="str">
        <f t="shared" si="343"/>
        <v/>
      </c>
      <c r="AH985" s="74">
        <f t="shared" si="344"/>
        <v>0</v>
      </c>
      <c r="AI985" s="74" t="str">
        <f>IF(AH985&lt;&gt;0,COUNTIF(AH$3:AH985,1),"")</f>
        <v/>
      </c>
      <c r="AJ985" s="74">
        <f t="shared" si="345"/>
        <v>0</v>
      </c>
      <c r="AK985" s="73" t="str">
        <f t="shared" si="346"/>
        <v/>
      </c>
      <c r="AL985" s="73" t="str">
        <f t="shared" si="347"/>
        <v/>
      </c>
      <c r="AM985" s="73" t="str">
        <f t="shared" si="348"/>
        <v/>
      </c>
      <c r="AN985" s="73" t="str">
        <f t="shared" si="349"/>
        <v/>
      </c>
    </row>
    <row r="986" spans="16:40" x14ac:dyDescent="0.25">
      <c r="P986" s="73" t="str">
        <f t="shared" si="333"/>
        <v/>
      </c>
      <c r="Q986" s="73" t="str">
        <f t="shared" si="334"/>
        <v/>
      </c>
      <c r="R986" s="74" t="str">
        <f t="shared" si="335"/>
        <v/>
      </c>
      <c r="S986" s="74" t="str">
        <f t="shared" si="336"/>
        <v/>
      </c>
      <c r="U986" s="74" t="str">
        <f t="shared" si="332"/>
        <v/>
      </c>
      <c r="V986" s="74" t="str">
        <f t="shared" si="332"/>
        <v/>
      </c>
      <c r="W986" s="74" t="str">
        <f t="shared" si="332"/>
        <v/>
      </c>
      <c r="X986" s="74" t="str">
        <f t="shared" si="332"/>
        <v/>
      </c>
      <c r="Y986" s="74" t="str">
        <f t="shared" si="332"/>
        <v/>
      </c>
      <c r="Z986" s="74" t="str">
        <f t="shared" si="337"/>
        <v/>
      </c>
      <c r="AA986" s="74">
        <f t="shared" si="338"/>
        <v>0</v>
      </c>
      <c r="AB986" s="74">
        <f t="shared" si="339"/>
        <v>0</v>
      </c>
      <c r="AC986" s="74" t="str">
        <f t="shared" si="340"/>
        <v/>
      </c>
      <c r="AE986" s="74" t="str">
        <f t="shared" si="341"/>
        <v/>
      </c>
      <c r="AF986" s="74" t="str">
        <f t="shared" si="342"/>
        <v/>
      </c>
      <c r="AG986" s="74" t="str">
        <f t="shared" si="343"/>
        <v/>
      </c>
      <c r="AH986" s="74">
        <f t="shared" si="344"/>
        <v>0</v>
      </c>
      <c r="AI986" s="74" t="str">
        <f>IF(AH986&lt;&gt;0,COUNTIF(AH$3:AH986,1),"")</f>
        <v/>
      </c>
      <c r="AJ986" s="74">
        <f t="shared" si="345"/>
        <v>0</v>
      </c>
      <c r="AK986" s="73" t="str">
        <f t="shared" si="346"/>
        <v/>
      </c>
      <c r="AL986" s="73" t="str">
        <f t="shared" si="347"/>
        <v/>
      </c>
      <c r="AM986" s="73" t="str">
        <f t="shared" si="348"/>
        <v/>
      </c>
      <c r="AN986" s="73" t="str">
        <f t="shared" si="349"/>
        <v/>
      </c>
    </row>
    <row r="987" spans="16:40" x14ac:dyDescent="0.25">
      <c r="P987" s="73" t="str">
        <f t="shared" si="333"/>
        <v/>
      </c>
      <c r="Q987" s="73" t="str">
        <f t="shared" si="334"/>
        <v/>
      </c>
      <c r="R987" s="74" t="str">
        <f t="shared" si="335"/>
        <v/>
      </c>
      <c r="S987" s="74" t="str">
        <f t="shared" si="336"/>
        <v/>
      </c>
      <c r="U987" s="74" t="str">
        <f t="shared" si="332"/>
        <v/>
      </c>
      <c r="V987" s="74" t="str">
        <f t="shared" si="332"/>
        <v/>
      </c>
      <c r="W987" s="74" t="str">
        <f t="shared" si="332"/>
        <v/>
      </c>
      <c r="X987" s="74" t="str">
        <f t="shared" si="332"/>
        <v/>
      </c>
      <c r="Y987" s="74" t="str">
        <f t="shared" si="332"/>
        <v/>
      </c>
      <c r="Z987" s="74" t="str">
        <f t="shared" si="337"/>
        <v/>
      </c>
      <c r="AA987" s="74">
        <f t="shared" si="338"/>
        <v>0</v>
      </c>
      <c r="AB987" s="74">
        <f t="shared" si="339"/>
        <v>0</v>
      </c>
      <c r="AC987" s="74" t="str">
        <f t="shared" si="340"/>
        <v/>
      </c>
      <c r="AE987" s="74" t="str">
        <f t="shared" si="341"/>
        <v/>
      </c>
      <c r="AF987" s="74" t="str">
        <f t="shared" si="342"/>
        <v/>
      </c>
      <c r="AG987" s="74" t="str">
        <f t="shared" si="343"/>
        <v/>
      </c>
      <c r="AH987" s="74">
        <f t="shared" si="344"/>
        <v>0</v>
      </c>
      <c r="AI987" s="74" t="str">
        <f>IF(AH987&lt;&gt;0,COUNTIF(AH$3:AH987,1),"")</f>
        <v/>
      </c>
      <c r="AJ987" s="74">
        <f t="shared" si="345"/>
        <v>0</v>
      </c>
      <c r="AK987" s="73" t="str">
        <f t="shared" si="346"/>
        <v/>
      </c>
      <c r="AL987" s="73" t="str">
        <f t="shared" si="347"/>
        <v/>
      </c>
      <c r="AM987" s="73" t="str">
        <f t="shared" si="348"/>
        <v/>
      </c>
      <c r="AN987" s="73" t="str">
        <f t="shared" si="349"/>
        <v/>
      </c>
    </row>
    <row r="988" spans="16:40" x14ac:dyDescent="0.25">
      <c r="P988" s="73" t="str">
        <f t="shared" si="333"/>
        <v/>
      </c>
      <c r="Q988" s="73" t="str">
        <f t="shared" si="334"/>
        <v/>
      </c>
      <c r="R988" s="74" t="str">
        <f t="shared" si="335"/>
        <v/>
      </c>
      <c r="S988" s="74" t="str">
        <f t="shared" si="336"/>
        <v/>
      </c>
      <c r="U988" s="74" t="str">
        <f t="shared" si="332"/>
        <v/>
      </c>
      <c r="V988" s="74" t="str">
        <f t="shared" si="332"/>
        <v/>
      </c>
      <c r="W988" s="74" t="str">
        <f t="shared" si="332"/>
        <v/>
      </c>
      <c r="X988" s="74" t="str">
        <f t="shared" si="332"/>
        <v/>
      </c>
      <c r="Y988" s="74" t="str">
        <f t="shared" si="332"/>
        <v/>
      </c>
      <c r="Z988" s="74" t="str">
        <f t="shared" si="337"/>
        <v/>
      </c>
      <c r="AA988" s="74">
        <f t="shared" si="338"/>
        <v>0</v>
      </c>
      <c r="AB988" s="74">
        <f t="shared" si="339"/>
        <v>0</v>
      </c>
      <c r="AC988" s="74" t="str">
        <f t="shared" si="340"/>
        <v/>
      </c>
      <c r="AE988" s="74" t="str">
        <f t="shared" si="341"/>
        <v/>
      </c>
      <c r="AF988" s="74" t="str">
        <f t="shared" si="342"/>
        <v/>
      </c>
      <c r="AG988" s="74" t="str">
        <f t="shared" si="343"/>
        <v/>
      </c>
      <c r="AH988" s="74">
        <f t="shared" si="344"/>
        <v>0</v>
      </c>
      <c r="AI988" s="74" t="str">
        <f>IF(AH988&lt;&gt;0,COUNTIF(AH$3:AH988,1),"")</f>
        <v/>
      </c>
      <c r="AJ988" s="74">
        <f t="shared" si="345"/>
        <v>0</v>
      </c>
      <c r="AK988" s="73" t="str">
        <f t="shared" si="346"/>
        <v/>
      </c>
      <c r="AL988" s="73" t="str">
        <f t="shared" si="347"/>
        <v/>
      </c>
      <c r="AM988" s="73" t="str">
        <f t="shared" si="348"/>
        <v/>
      </c>
      <c r="AN988" s="73" t="str">
        <f t="shared" si="349"/>
        <v/>
      </c>
    </row>
    <row r="989" spans="16:40" x14ac:dyDescent="0.25">
      <c r="P989" s="73" t="str">
        <f t="shared" si="333"/>
        <v/>
      </c>
      <c r="Q989" s="73" t="str">
        <f t="shared" si="334"/>
        <v/>
      </c>
      <c r="R989" s="74" t="str">
        <f t="shared" si="335"/>
        <v/>
      </c>
      <c r="S989" s="74" t="str">
        <f t="shared" si="336"/>
        <v/>
      </c>
      <c r="U989" s="74" t="str">
        <f t="shared" si="332"/>
        <v/>
      </c>
      <c r="V989" s="74" t="str">
        <f t="shared" si="332"/>
        <v/>
      </c>
      <c r="W989" s="74" t="str">
        <f t="shared" si="332"/>
        <v/>
      </c>
      <c r="X989" s="74" t="str">
        <f t="shared" si="332"/>
        <v/>
      </c>
      <c r="Y989" s="74" t="str">
        <f t="shared" si="332"/>
        <v/>
      </c>
      <c r="Z989" s="74" t="str">
        <f t="shared" si="337"/>
        <v/>
      </c>
      <c r="AA989" s="74">
        <f t="shared" si="338"/>
        <v>0</v>
      </c>
      <c r="AB989" s="74">
        <f t="shared" si="339"/>
        <v>0</v>
      </c>
      <c r="AC989" s="74" t="str">
        <f t="shared" si="340"/>
        <v/>
      </c>
      <c r="AE989" s="74" t="str">
        <f t="shared" si="341"/>
        <v/>
      </c>
      <c r="AF989" s="74" t="str">
        <f t="shared" si="342"/>
        <v/>
      </c>
      <c r="AG989" s="74" t="str">
        <f t="shared" si="343"/>
        <v/>
      </c>
      <c r="AH989" s="74">
        <f t="shared" si="344"/>
        <v>0</v>
      </c>
      <c r="AI989" s="74" t="str">
        <f>IF(AH989&lt;&gt;0,COUNTIF(AH$3:AH989,1),"")</f>
        <v/>
      </c>
      <c r="AJ989" s="74">
        <f t="shared" si="345"/>
        <v>0</v>
      </c>
      <c r="AK989" s="73" t="str">
        <f t="shared" si="346"/>
        <v/>
      </c>
      <c r="AL989" s="73" t="str">
        <f t="shared" si="347"/>
        <v/>
      </c>
      <c r="AM989" s="73" t="str">
        <f t="shared" si="348"/>
        <v/>
      </c>
      <c r="AN989" s="73" t="str">
        <f t="shared" si="349"/>
        <v/>
      </c>
    </row>
    <row r="990" spans="16:40" x14ac:dyDescent="0.25">
      <c r="P990" s="73" t="str">
        <f t="shared" si="333"/>
        <v/>
      </c>
      <c r="Q990" s="73" t="str">
        <f t="shared" si="334"/>
        <v/>
      </c>
      <c r="R990" s="74" t="str">
        <f t="shared" si="335"/>
        <v/>
      </c>
      <c r="S990" s="74" t="str">
        <f t="shared" si="336"/>
        <v/>
      </c>
      <c r="U990" s="74" t="str">
        <f t="shared" si="332"/>
        <v/>
      </c>
      <c r="V990" s="74" t="str">
        <f t="shared" si="332"/>
        <v/>
      </c>
      <c r="W990" s="74" t="str">
        <f t="shared" si="332"/>
        <v/>
      </c>
      <c r="X990" s="74" t="str">
        <f t="shared" si="332"/>
        <v/>
      </c>
      <c r="Y990" s="74" t="str">
        <f t="shared" si="332"/>
        <v/>
      </c>
      <c r="Z990" s="74" t="str">
        <f t="shared" si="337"/>
        <v/>
      </c>
      <c r="AA990" s="74">
        <f t="shared" si="338"/>
        <v>0</v>
      </c>
      <c r="AB990" s="74">
        <f t="shared" si="339"/>
        <v>0</v>
      </c>
      <c r="AC990" s="74" t="str">
        <f t="shared" si="340"/>
        <v/>
      </c>
      <c r="AE990" s="74" t="str">
        <f t="shared" si="341"/>
        <v/>
      </c>
      <c r="AF990" s="74" t="str">
        <f t="shared" si="342"/>
        <v/>
      </c>
      <c r="AG990" s="74" t="str">
        <f t="shared" si="343"/>
        <v/>
      </c>
      <c r="AH990" s="74">
        <f t="shared" si="344"/>
        <v>0</v>
      </c>
      <c r="AI990" s="74" t="str">
        <f>IF(AH990&lt;&gt;0,COUNTIF(AH$3:AH990,1),"")</f>
        <v/>
      </c>
      <c r="AJ990" s="74">
        <f t="shared" si="345"/>
        <v>0</v>
      </c>
      <c r="AK990" s="73" t="str">
        <f t="shared" si="346"/>
        <v/>
      </c>
      <c r="AL990" s="73" t="str">
        <f t="shared" si="347"/>
        <v/>
      </c>
      <c r="AM990" s="73" t="str">
        <f t="shared" si="348"/>
        <v/>
      </c>
      <c r="AN990" s="73" t="str">
        <f t="shared" si="349"/>
        <v/>
      </c>
    </row>
    <row r="991" spans="16:40" x14ac:dyDescent="0.25">
      <c r="P991" s="73" t="str">
        <f t="shared" si="333"/>
        <v/>
      </c>
      <c r="Q991" s="73" t="str">
        <f t="shared" si="334"/>
        <v/>
      </c>
      <c r="R991" s="74" t="str">
        <f t="shared" si="335"/>
        <v/>
      </c>
      <c r="S991" s="74" t="str">
        <f t="shared" si="336"/>
        <v/>
      </c>
      <c r="U991" s="74" t="str">
        <f t="shared" si="332"/>
        <v/>
      </c>
      <c r="V991" s="74" t="str">
        <f t="shared" si="332"/>
        <v/>
      </c>
      <c r="W991" s="74" t="str">
        <f t="shared" si="332"/>
        <v/>
      </c>
      <c r="X991" s="74" t="str">
        <f t="shared" si="332"/>
        <v/>
      </c>
      <c r="Y991" s="74" t="str">
        <f t="shared" si="332"/>
        <v/>
      </c>
      <c r="Z991" s="74" t="str">
        <f t="shared" si="337"/>
        <v/>
      </c>
      <c r="AA991" s="74">
        <f t="shared" si="338"/>
        <v>0</v>
      </c>
      <c r="AB991" s="74">
        <f t="shared" si="339"/>
        <v>0</v>
      </c>
      <c r="AC991" s="74" t="str">
        <f t="shared" si="340"/>
        <v/>
      </c>
      <c r="AE991" s="74" t="str">
        <f t="shared" si="341"/>
        <v/>
      </c>
      <c r="AF991" s="74" t="str">
        <f t="shared" si="342"/>
        <v/>
      </c>
      <c r="AG991" s="74" t="str">
        <f t="shared" si="343"/>
        <v/>
      </c>
      <c r="AH991" s="74">
        <f t="shared" si="344"/>
        <v>0</v>
      </c>
      <c r="AI991" s="74" t="str">
        <f>IF(AH991&lt;&gt;0,COUNTIF(AH$3:AH991,1),"")</f>
        <v/>
      </c>
      <c r="AJ991" s="74">
        <f t="shared" si="345"/>
        <v>0</v>
      </c>
      <c r="AK991" s="73" t="str">
        <f t="shared" si="346"/>
        <v/>
      </c>
      <c r="AL991" s="73" t="str">
        <f t="shared" si="347"/>
        <v/>
      </c>
      <c r="AM991" s="73" t="str">
        <f t="shared" si="348"/>
        <v/>
      </c>
      <c r="AN991" s="73" t="str">
        <f t="shared" si="349"/>
        <v/>
      </c>
    </row>
    <row r="992" spans="16:40" x14ac:dyDescent="0.25">
      <c r="P992" s="73" t="str">
        <f t="shared" si="333"/>
        <v/>
      </c>
      <c r="Q992" s="73" t="str">
        <f t="shared" si="334"/>
        <v/>
      </c>
      <c r="R992" s="74" t="str">
        <f t="shared" si="335"/>
        <v/>
      </c>
      <c r="S992" s="74" t="str">
        <f t="shared" si="336"/>
        <v/>
      </c>
      <c r="U992" s="74" t="str">
        <f t="shared" si="332"/>
        <v/>
      </c>
      <c r="V992" s="74" t="str">
        <f t="shared" si="332"/>
        <v/>
      </c>
      <c r="W992" s="74" t="str">
        <f t="shared" si="332"/>
        <v/>
      </c>
      <c r="X992" s="74" t="str">
        <f t="shared" si="332"/>
        <v/>
      </c>
      <c r="Y992" s="74" t="str">
        <f t="shared" si="332"/>
        <v/>
      </c>
      <c r="Z992" s="74" t="str">
        <f t="shared" si="337"/>
        <v/>
      </c>
      <c r="AA992" s="74">
        <f t="shared" si="338"/>
        <v>0</v>
      </c>
      <c r="AB992" s="74">
        <f t="shared" si="339"/>
        <v>0</v>
      </c>
      <c r="AC992" s="74" t="str">
        <f t="shared" si="340"/>
        <v/>
      </c>
      <c r="AE992" s="74" t="str">
        <f t="shared" si="341"/>
        <v/>
      </c>
      <c r="AF992" s="74" t="str">
        <f t="shared" si="342"/>
        <v/>
      </c>
      <c r="AG992" s="74" t="str">
        <f t="shared" si="343"/>
        <v/>
      </c>
      <c r="AH992" s="74">
        <f t="shared" si="344"/>
        <v>0</v>
      </c>
      <c r="AI992" s="74" t="str">
        <f>IF(AH992&lt;&gt;0,COUNTIF(AH$3:AH992,1),"")</f>
        <v/>
      </c>
      <c r="AJ992" s="74">
        <f t="shared" si="345"/>
        <v>0</v>
      </c>
      <c r="AK992" s="73" t="str">
        <f t="shared" si="346"/>
        <v/>
      </c>
      <c r="AL992" s="73" t="str">
        <f t="shared" si="347"/>
        <v/>
      </c>
      <c r="AM992" s="73" t="str">
        <f t="shared" si="348"/>
        <v/>
      </c>
      <c r="AN992" s="73" t="str">
        <f t="shared" si="349"/>
        <v/>
      </c>
    </row>
    <row r="993" spans="16:40" x14ac:dyDescent="0.25">
      <c r="P993" s="73" t="str">
        <f t="shared" si="333"/>
        <v/>
      </c>
      <c r="Q993" s="73" t="str">
        <f t="shared" si="334"/>
        <v/>
      </c>
      <c r="R993" s="74" t="str">
        <f t="shared" si="335"/>
        <v/>
      </c>
      <c r="S993" s="74" t="str">
        <f t="shared" si="336"/>
        <v/>
      </c>
      <c r="U993" s="74" t="str">
        <f t="shared" si="332"/>
        <v/>
      </c>
      <c r="V993" s="74" t="str">
        <f t="shared" si="332"/>
        <v/>
      </c>
      <c r="W993" s="74" t="str">
        <f t="shared" si="332"/>
        <v/>
      </c>
      <c r="X993" s="74" t="str">
        <f t="shared" si="332"/>
        <v/>
      </c>
      <c r="Y993" s="74" t="str">
        <f t="shared" si="332"/>
        <v/>
      </c>
      <c r="Z993" s="74" t="str">
        <f t="shared" si="337"/>
        <v/>
      </c>
      <c r="AA993" s="74">
        <f t="shared" si="338"/>
        <v>0</v>
      </c>
      <c r="AB993" s="74">
        <f t="shared" si="339"/>
        <v>0</v>
      </c>
      <c r="AC993" s="74" t="str">
        <f t="shared" si="340"/>
        <v/>
      </c>
      <c r="AE993" s="74" t="str">
        <f t="shared" si="341"/>
        <v/>
      </c>
      <c r="AF993" s="74" t="str">
        <f t="shared" si="342"/>
        <v/>
      </c>
      <c r="AG993" s="74" t="str">
        <f t="shared" si="343"/>
        <v/>
      </c>
      <c r="AH993" s="74">
        <f t="shared" si="344"/>
        <v>0</v>
      </c>
      <c r="AI993" s="74" t="str">
        <f>IF(AH993&lt;&gt;0,COUNTIF(AH$3:AH993,1),"")</f>
        <v/>
      </c>
      <c r="AJ993" s="74">
        <f t="shared" si="345"/>
        <v>0</v>
      </c>
      <c r="AK993" s="73" t="str">
        <f t="shared" si="346"/>
        <v/>
      </c>
      <c r="AL993" s="73" t="str">
        <f t="shared" si="347"/>
        <v/>
      </c>
      <c r="AM993" s="73" t="str">
        <f t="shared" si="348"/>
        <v/>
      </c>
      <c r="AN993" s="73" t="str">
        <f t="shared" si="349"/>
        <v/>
      </c>
    </row>
    <row r="994" spans="16:40" x14ac:dyDescent="0.25">
      <c r="P994" s="73" t="str">
        <f t="shared" si="333"/>
        <v/>
      </c>
      <c r="Q994" s="73" t="str">
        <f t="shared" si="334"/>
        <v/>
      </c>
      <c r="R994" s="74" t="str">
        <f t="shared" si="335"/>
        <v/>
      </c>
      <c r="S994" s="74" t="str">
        <f t="shared" si="336"/>
        <v/>
      </c>
      <c r="U994" s="74" t="str">
        <f t="shared" si="332"/>
        <v/>
      </c>
      <c r="V994" s="74" t="str">
        <f t="shared" si="332"/>
        <v/>
      </c>
      <c r="W994" s="74" t="str">
        <f t="shared" si="332"/>
        <v/>
      </c>
      <c r="X994" s="74" t="str">
        <f t="shared" si="332"/>
        <v/>
      </c>
      <c r="Y994" s="74" t="str">
        <f t="shared" si="332"/>
        <v/>
      </c>
      <c r="Z994" s="74" t="str">
        <f t="shared" si="337"/>
        <v/>
      </c>
      <c r="AA994" s="74">
        <f t="shared" si="338"/>
        <v>0</v>
      </c>
      <c r="AB994" s="74">
        <f t="shared" si="339"/>
        <v>0</v>
      </c>
      <c r="AC994" s="74" t="str">
        <f t="shared" si="340"/>
        <v/>
      </c>
      <c r="AE994" s="74" t="str">
        <f t="shared" si="341"/>
        <v/>
      </c>
      <c r="AF994" s="74" t="str">
        <f t="shared" si="342"/>
        <v/>
      </c>
      <c r="AG994" s="74" t="str">
        <f t="shared" si="343"/>
        <v/>
      </c>
      <c r="AH994" s="74">
        <f t="shared" si="344"/>
        <v>0</v>
      </c>
      <c r="AI994" s="74" t="str">
        <f>IF(AH994&lt;&gt;0,COUNTIF(AH$3:AH994,1),"")</f>
        <v/>
      </c>
      <c r="AJ994" s="74">
        <f t="shared" si="345"/>
        <v>0</v>
      </c>
      <c r="AK994" s="73" t="str">
        <f t="shared" si="346"/>
        <v/>
      </c>
      <c r="AL994" s="73" t="str">
        <f t="shared" si="347"/>
        <v/>
      </c>
      <c r="AM994" s="73" t="str">
        <f t="shared" si="348"/>
        <v/>
      </c>
      <c r="AN994" s="73" t="str">
        <f t="shared" si="349"/>
        <v/>
      </c>
    </row>
    <row r="995" spans="16:40" x14ac:dyDescent="0.25">
      <c r="P995" s="73" t="str">
        <f t="shared" si="333"/>
        <v/>
      </c>
      <c r="Q995" s="73" t="str">
        <f t="shared" si="334"/>
        <v/>
      </c>
      <c r="R995" s="74" t="str">
        <f t="shared" si="335"/>
        <v/>
      </c>
      <c r="S995" s="74" t="str">
        <f t="shared" si="336"/>
        <v/>
      </c>
      <c r="U995" s="74" t="str">
        <f t="shared" si="332"/>
        <v/>
      </c>
      <c r="V995" s="74" t="str">
        <f t="shared" si="332"/>
        <v/>
      </c>
      <c r="W995" s="74" t="str">
        <f t="shared" si="332"/>
        <v/>
      </c>
      <c r="X995" s="74" t="str">
        <f t="shared" si="332"/>
        <v/>
      </c>
      <c r="Y995" s="74" t="str">
        <f t="shared" si="332"/>
        <v/>
      </c>
      <c r="Z995" s="74" t="str">
        <f t="shared" si="337"/>
        <v/>
      </c>
      <c r="AA995" s="74">
        <f t="shared" si="338"/>
        <v>0</v>
      </c>
      <c r="AB995" s="74">
        <f t="shared" si="339"/>
        <v>0</v>
      </c>
      <c r="AC995" s="74" t="str">
        <f t="shared" si="340"/>
        <v/>
      </c>
      <c r="AE995" s="74" t="str">
        <f t="shared" si="341"/>
        <v/>
      </c>
      <c r="AF995" s="74" t="str">
        <f t="shared" si="342"/>
        <v/>
      </c>
      <c r="AG995" s="74" t="str">
        <f t="shared" si="343"/>
        <v/>
      </c>
      <c r="AH995" s="74">
        <f t="shared" si="344"/>
        <v>0</v>
      </c>
      <c r="AI995" s="74" t="str">
        <f>IF(AH995&lt;&gt;0,COUNTIF(AH$3:AH995,1),"")</f>
        <v/>
      </c>
      <c r="AJ995" s="74">
        <f t="shared" si="345"/>
        <v>0</v>
      </c>
      <c r="AK995" s="73" t="str">
        <f t="shared" si="346"/>
        <v/>
      </c>
      <c r="AL995" s="73" t="str">
        <f t="shared" si="347"/>
        <v/>
      </c>
      <c r="AM995" s="73" t="str">
        <f t="shared" si="348"/>
        <v/>
      </c>
      <c r="AN995" s="73" t="str">
        <f t="shared" si="349"/>
        <v/>
      </c>
    </row>
    <row r="996" spans="16:40" x14ac:dyDescent="0.25">
      <c r="P996" s="73" t="str">
        <f t="shared" si="333"/>
        <v/>
      </c>
      <c r="Q996" s="73" t="str">
        <f t="shared" si="334"/>
        <v/>
      </c>
      <c r="R996" s="74" t="str">
        <f t="shared" si="335"/>
        <v/>
      </c>
      <c r="S996" s="74" t="str">
        <f t="shared" si="336"/>
        <v/>
      </c>
      <c r="U996" s="74" t="str">
        <f t="shared" si="332"/>
        <v/>
      </c>
      <c r="V996" s="74" t="str">
        <f t="shared" si="332"/>
        <v/>
      </c>
      <c r="W996" s="74" t="str">
        <f t="shared" si="332"/>
        <v/>
      </c>
      <c r="X996" s="74" t="str">
        <f t="shared" si="332"/>
        <v/>
      </c>
      <c r="Y996" s="74" t="str">
        <f t="shared" si="332"/>
        <v/>
      </c>
      <c r="Z996" s="74" t="str">
        <f t="shared" si="337"/>
        <v/>
      </c>
      <c r="AA996" s="74">
        <f t="shared" si="338"/>
        <v>0</v>
      </c>
      <c r="AB996" s="74">
        <f t="shared" si="339"/>
        <v>0</v>
      </c>
      <c r="AC996" s="74" t="str">
        <f t="shared" si="340"/>
        <v/>
      </c>
      <c r="AE996" s="74" t="str">
        <f t="shared" si="341"/>
        <v/>
      </c>
      <c r="AF996" s="74" t="str">
        <f t="shared" si="342"/>
        <v/>
      </c>
      <c r="AG996" s="74" t="str">
        <f t="shared" si="343"/>
        <v/>
      </c>
      <c r="AH996" s="74">
        <f t="shared" si="344"/>
        <v>0</v>
      </c>
      <c r="AI996" s="74" t="str">
        <f>IF(AH996&lt;&gt;0,COUNTIF(AH$3:AH996,1),"")</f>
        <v/>
      </c>
      <c r="AJ996" s="74">
        <f t="shared" si="345"/>
        <v>0</v>
      </c>
      <c r="AK996" s="73" t="str">
        <f t="shared" si="346"/>
        <v/>
      </c>
      <c r="AL996" s="73" t="str">
        <f t="shared" si="347"/>
        <v/>
      </c>
      <c r="AM996" s="73" t="str">
        <f t="shared" si="348"/>
        <v/>
      </c>
      <c r="AN996" s="73" t="str">
        <f t="shared" si="349"/>
        <v/>
      </c>
    </row>
    <row r="997" spans="16:40" x14ac:dyDescent="0.25">
      <c r="P997" s="73" t="str">
        <f t="shared" si="333"/>
        <v/>
      </c>
      <c r="Q997" s="73" t="str">
        <f t="shared" si="334"/>
        <v/>
      </c>
      <c r="R997" s="74" t="str">
        <f t="shared" si="335"/>
        <v/>
      </c>
      <c r="S997" s="74" t="str">
        <f t="shared" si="336"/>
        <v/>
      </c>
      <c r="U997" s="74" t="str">
        <f t="shared" si="332"/>
        <v/>
      </c>
      <c r="V997" s="74" t="str">
        <f t="shared" si="332"/>
        <v/>
      </c>
      <c r="W997" s="74" t="str">
        <f t="shared" si="332"/>
        <v/>
      </c>
      <c r="X997" s="74" t="str">
        <f t="shared" si="332"/>
        <v/>
      </c>
      <c r="Y997" s="74" t="str">
        <f t="shared" si="332"/>
        <v/>
      </c>
      <c r="Z997" s="74" t="str">
        <f t="shared" si="337"/>
        <v/>
      </c>
      <c r="AA997" s="74">
        <f t="shared" si="338"/>
        <v>0</v>
      </c>
      <c r="AB997" s="74">
        <f t="shared" si="339"/>
        <v>0</v>
      </c>
      <c r="AC997" s="74" t="str">
        <f t="shared" si="340"/>
        <v/>
      </c>
      <c r="AE997" s="74" t="str">
        <f t="shared" si="341"/>
        <v/>
      </c>
      <c r="AF997" s="74" t="str">
        <f t="shared" si="342"/>
        <v/>
      </c>
      <c r="AG997" s="74" t="str">
        <f t="shared" si="343"/>
        <v/>
      </c>
      <c r="AH997" s="74">
        <f t="shared" si="344"/>
        <v>0</v>
      </c>
      <c r="AI997" s="74" t="str">
        <f>IF(AH997&lt;&gt;0,COUNTIF(AH$3:AH997,1),"")</f>
        <v/>
      </c>
      <c r="AJ997" s="74">
        <f t="shared" si="345"/>
        <v>0</v>
      </c>
      <c r="AK997" s="73" t="str">
        <f t="shared" si="346"/>
        <v/>
      </c>
      <c r="AL997" s="73" t="str">
        <f t="shared" si="347"/>
        <v/>
      </c>
      <c r="AM997" s="73" t="str">
        <f t="shared" si="348"/>
        <v/>
      </c>
      <c r="AN997" s="73" t="str">
        <f t="shared" si="349"/>
        <v/>
      </c>
    </row>
    <row r="998" spans="16:40" x14ac:dyDescent="0.25">
      <c r="P998" s="73" t="str">
        <f t="shared" si="333"/>
        <v/>
      </c>
      <c r="Q998" s="73" t="str">
        <f t="shared" si="334"/>
        <v/>
      </c>
      <c r="R998" s="74" t="str">
        <f t="shared" si="335"/>
        <v/>
      </c>
      <c r="S998" s="74" t="str">
        <f t="shared" si="336"/>
        <v/>
      </c>
      <c r="U998" s="74" t="str">
        <f t="shared" si="332"/>
        <v/>
      </c>
      <c r="V998" s="74" t="str">
        <f t="shared" si="332"/>
        <v/>
      </c>
      <c r="W998" s="74" t="str">
        <f t="shared" si="332"/>
        <v/>
      </c>
      <c r="X998" s="74" t="str">
        <f t="shared" si="332"/>
        <v/>
      </c>
      <c r="Y998" s="74" t="str">
        <f t="shared" si="332"/>
        <v/>
      </c>
      <c r="Z998" s="74" t="str">
        <f t="shared" si="337"/>
        <v/>
      </c>
      <c r="AA998" s="74">
        <f t="shared" si="338"/>
        <v>0</v>
      </c>
      <c r="AB998" s="74">
        <f t="shared" si="339"/>
        <v>0</v>
      </c>
      <c r="AC998" s="74" t="str">
        <f t="shared" si="340"/>
        <v/>
      </c>
      <c r="AE998" s="74" t="str">
        <f t="shared" si="341"/>
        <v/>
      </c>
      <c r="AF998" s="74" t="str">
        <f t="shared" si="342"/>
        <v/>
      </c>
      <c r="AG998" s="74" t="str">
        <f t="shared" si="343"/>
        <v/>
      </c>
      <c r="AH998" s="74">
        <f t="shared" si="344"/>
        <v>0</v>
      </c>
      <c r="AI998" s="74" t="str">
        <f>IF(AH998&lt;&gt;0,COUNTIF(AH$3:AH998,1),"")</f>
        <v/>
      </c>
      <c r="AJ998" s="74">
        <f t="shared" si="345"/>
        <v>0</v>
      </c>
      <c r="AK998" s="73" t="str">
        <f t="shared" si="346"/>
        <v/>
      </c>
      <c r="AL998" s="73" t="str">
        <f t="shared" si="347"/>
        <v/>
      </c>
      <c r="AM998" s="73" t="str">
        <f t="shared" si="348"/>
        <v/>
      </c>
      <c r="AN998" s="73" t="str">
        <f t="shared" si="349"/>
        <v/>
      </c>
    </row>
    <row r="999" spans="16:40" x14ac:dyDescent="0.25">
      <c r="P999" s="73" t="str">
        <f t="shared" si="333"/>
        <v/>
      </c>
      <c r="Q999" s="73" t="str">
        <f t="shared" si="334"/>
        <v/>
      </c>
      <c r="R999" s="74" t="str">
        <f t="shared" si="335"/>
        <v/>
      </c>
      <c r="S999" s="74" t="str">
        <f t="shared" si="336"/>
        <v/>
      </c>
      <c r="U999" s="74" t="str">
        <f t="shared" si="332"/>
        <v/>
      </c>
      <c r="V999" s="74" t="str">
        <f t="shared" si="332"/>
        <v/>
      </c>
      <c r="W999" s="74" t="str">
        <f t="shared" si="332"/>
        <v/>
      </c>
      <c r="X999" s="74" t="str">
        <f t="shared" si="332"/>
        <v/>
      </c>
      <c r="Y999" s="74" t="str">
        <f t="shared" si="332"/>
        <v/>
      </c>
      <c r="Z999" s="74" t="str">
        <f t="shared" si="337"/>
        <v/>
      </c>
      <c r="AA999" s="74">
        <f t="shared" si="338"/>
        <v>0</v>
      </c>
      <c r="AB999" s="74">
        <f t="shared" si="339"/>
        <v>0</v>
      </c>
      <c r="AC999" s="74" t="str">
        <f t="shared" si="340"/>
        <v/>
      </c>
      <c r="AE999" s="74" t="str">
        <f t="shared" si="341"/>
        <v/>
      </c>
      <c r="AF999" s="74" t="str">
        <f t="shared" si="342"/>
        <v/>
      </c>
      <c r="AG999" s="74" t="str">
        <f t="shared" si="343"/>
        <v/>
      </c>
      <c r="AH999" s="74">
        <f t="shared" si="344"/>
        <v>0</v>
      </c>
      <c r="AI999" s="74" t="str">
        <f>IF(AH999&lt;&gt;0,COUNTIF(AH$3:AH999,1),"")</f>
        <v/>
      </c>
      <c r="AJ999" s="74">
        <f t="shared" si="345"/>
        <v>0</v>
      </c>
      <c r="AK999" s="73" t="str">
        <f t="shared" si="346"/>
        <v/>
      </c>
      <c r="AL999" s="73" t="str">
        <f t="shared" si="347"/>
        <v/>
      </c>
      <c r="AM999" s="73" t="str">
        <f t="shared" si="348"/>
        <v/>
      </c>
      <c r="AN999" s="73" t="str">
        <f t="shared" si="349"/>
        <v/>
      </c>
    </row>
    <row r="1000" spans="16:40" x14ac:dyDescent="0.25">
      <c r="P1000" s="73" t="str">
        <f t="shared" si="333"/>
        <v/>
      </c>
      <c r="Q1000" s="73" t="str">
        <f t="shared" si="334"/>
        <v/>
      </c>
      <c r="R1000" s="74" t="str">
        <f t="shared" si="335"/>
        <v/>
      </c>
      <c r="S1000" s="74" t="str">
        <f t="shared" si="336"/>
        <v/>
      </c>
      <c r="U1000" s="74" t="str">
        <f t="shared" si="332"/>
        <v/>
      </c>
      <c r="V1000" s="74" t="str">
        <f t="shared" si="332"/>
        <v/>
      </c>
      <c r="W1000" s="74" t="str">
        <f t="shared" si="332"/>
        <v/>
      </c>
      <c r="X1000" s="74" t="str">
        <f t="shared" si="332"/>
        <v/>
      </c>
      <c r="Y1000" s="74" t="str">
        <f t="shared" si="332"/>
        <v/>
      </c>
      <c r="Z1000" s="74" t="str">
        <f t="shared" si="337"/>
        <v/>
      </c>
      <c r="AA1000" s="74">
        <f t="shared" si="338"/>
        <v>0</v>
      </c>
      <c r="AB1000" s="74">
        <f t="shared" si="339"/>
        <v>0</v>
      </c>
      <c r="AC1000" s="74" t="str">
        <f t="shared" si="340"/>
        <v/>
      </c>
      <c r="AE1000" s="74" t="str">
        <f t="shared" si="341"/>
        <v/>
      </c>
      <c r="AF1000" s="74" t="str">
        <f t="shared" si="342"/>
        <v/>
      </c>
      <c r="AG1000" s="74" t="str">
        <f t="shared" si="343"/>
        <v/>
      </c>
      <c r="AH1000" s="74">
        <f t="shared" si="344"/>
        <v>0</v>
      </c>
      <c r="AI1000" s="74" t="str">
        <f>IF(AH1000&lt;&gt;0,COUNTIF(AH$3:AH1000,1),"")</f>
        <v/>
      </c>
      <c r="AJ1000" s="74">
        <f t="shared" si="345"/>
        <v>0</v>
      </c>
      <c r="AK1000" s="73" t="str">
        <f t="shared" si="346"/>
        <v/>
      </c>
      <c r="AL1000" s="73" t="str">
        <f t="shared" si="347"/>
        <v/>
      </c>
      <c r="AM1000" s="73" t="str">
        <f t="shared" si="348"/>
        <v/>
      </c>
      <c r="AN1000" s="73" t="str">
        <f t="shared" si="349"/>
        <v/>
      </c>
    </row>
    <row r="1001" spans="16:40" x14ac:dyDescent="0.25">
      <c r="P1001" s="73" t="str">
        <f t="shared" si="333"/>
        <v/>
      </c>
      <c r="Q1001" s="73" t="str">
        <f t="shared" si="334"/>
        <v/>
      </c>
      <c r="R1001" s="74" t="str">
        <f t="shared" si="335"/>
        <v/>
      </c>
      <c r="S1001" s="74" t="str">
        <f t="shared" si="336"/>
        <v/>
      </c>
      <c r="U1001" s="74" t="str">
        <f t="shared" si="332"/>
        <v/>
      </c>
      <c r="V1001" s="74" t="str">
        <f t="shared" si="332"/>
        <v/>
      </c>
      <c r="W1001" s="74" t="str">
        <f t="shared" si="332"/>
        <v/>
      </c>
      <c r="X1001" s="74" t="str">
        <f t="shared" si="332"/>
        <v/>
      </c>
      <c r="Y1001" s="74" t="str">
        <f t="shared" si="332"/>
        <v/>
      </c>
      <c r="Z1001" s="74" t="str">
        <f t="shared" si="337"/>
        <v/>
      </c>
      <c r="AA1001" s="74">
        <f t="shared" si="338"/>
        <v>0</v>
      </c>
      <c r="AB1001" s="74">
        <f t="shared" si="339"/>
        <v>0</v>
      </c>
      <c r="AC1001" s="74" t="str">
        <f t="shared" si="340"/>
        <v/>
      </c>
      <c r="AE1001" s="74" t="str">
        <f t="shared" si="341"/>
        <v/>
      </c>
      <c r="AF1001" s="74" t="str">
        <f t="shared" si="342"/>
        <v/>
      </c>
      <c r="AG1001" s="74" t="str">
        <f t="shared" si="343"/>
        <v/>
      </c>
      <c r="AH1001" s="74">
        <f t="shared" si="344"/>
        <v>0</v>
      </c>
      <c r="AI1001" s="74" t="str">
        <f>IF(AH1001&lt;&gt;0,COUNTIF(AH$3:AH1001,1),"")</f>
        <v/>
      </c>
      <c r="AJ1001" s="74">
        <f t="shared" si="345"/>
        <v>0</v>
      </c>
      <c r="AK1001" s="73" t="str">
        <f t="shared" si="346"/>
        <v/>
      </c>
      <c r="AL1001" s="73" t="str">
        <f t="shared" si="347"/>
        <v/>
      </c>
      <c r="AM1001" s="73" t="str">
        <f t="shared" si="348"/>
        <v/>
      </c>
      <c r="AN1001" s="73" t="str">
        <f t="shared" si="349"/>
        <v/>
      </c>
    </row>
    <row r="1002" spans="16:40" x14ac:dyDescent="0.25">
      <c r="P1002" s="73" t="str">
        <f t="shared" si="333"/>
        <v/>
      </c>
      <c r="Q1002" s="73" t="str">
        <f t="shared" si="334"/>
        <v/>
      </c>
      <c r="R1002" s="74" t="str">
        <f t="shared" si="335"/>
        <v/>
      </c>
      <c r="S1002" s="74" t="str">
        <f t="shared" si="336"/>
        <v/>
      </c>
      <c r="U1002" s="74" t="str">
        <f t="shared" si="332"/>
        <v/>
      </c>
      <c r="V1002" s="74" t="str">
        <f t="shared" si="332"/>
        <v/>
      </c>
      <c r="W1002" s="74" t="str">
        <f t="shared" si="332"/>
        <v/>
      </c>
      <c r="X1002" s="74" t="str">
        <f t="shared" si="332"/>
        <v/>
      </c>
      <c r="Y1002" s="74" t="str">
        <f t="shared" si="332"/>
        <v/>
      </c>
      <c r="Z1002" s="74" t="str">
        <f t="shared" si="337"/>
        <v/>
      </c>
      <c r="AA1002" s="74">
        <f t="shared" si="338"/>
        <v>0</v>
      </c>
      <c r="AB1002" s="74">
        <f t="shared" si="339"/>
        <v>0</v>
      </c>
      <c r="AC1002" s="74" t="str">
        <f t="shared" si="340"/>
        <v/>
      </c>
      <c r="AE1002" s="74" t="str">
        <f t="shared" si="341"/>
        <v/>
      </c>
      <c r="AF1002" s="74" t="str">
        <f t="shared" si="342"/>
        <v/>
      </c>
      <c r="AG1002" s="74" t="str">
        <f t="shared" si="343"/>
        <v/>
      </c>
      <c r="AH1002" s="74">
        <f t="shared" si="344"/>
        <v>0</v>
      </c>
      <c r="AI1002" s="74" t="str">
        <f>IF(AH1002&lt;&gt;0,COUNTIF(AH$3:AH1002,1),"")</f>
        <v/>
      </c>
      <c r="AJ1002" s="74">
        <f t="shared" si="345"/>
        <v>0</v>
      </c>
      <c r="AK1002" s="73" t="str">
        <f t="shared" si="346"/>
        <v/>
      </c>
      <c r="AL1002" s="73" t="str">
        <f t="shared" si="347"/>
        <v/>
      </c>
      <c r="AM1002" s="73" t="str">
        <f t="shared" si="348"/>
        <v/>
      </c>
      <c r="AN1002" s="73" t="str">
        <f t="shared" si="349"/>
        <v/>
      </c>
    </row>
    <row r="1003" spans="16:40" x14ac:dyDescent="0.25">
      <c r="P1003" s="73" t="str">
        <f t="shared" si="333"/>
        <v/>
      </c>
      <c r="Q1003" s="73" t="str">
        <f t="shared" si="334"/>
        <v/>
      </c>
      <c r="R1003" s="74" t="str">
        <f t="shared" si="335"/>
        <v/>
      </c>
      <c r="S1003" s="74" t="str">
        <f t="shared" si="336"/>
        <v/>
      </c>
      <c r="U1003" s="74" t="str">
        <f t="shared" si="332"/>
        <v/>
      </c>
      <c r="V1003" s="74" t="str">
        <f t="shared" si="332"/>
        <v/>
      </c>
      <c r="W1003" s="74" t="str">
        <f t="shared" si="332"/>
        <v/>
      </c>
      <c r="X1003" s="74" t="str">
        <f t="shared" si="332"/>
        <v/>
      </c>
      <c r="Y1003" s="74" t="str">
        <f t="shared" si="332"/>
        <v/>
      </c>
      <c r="Z1003" s="74" t="str">
        <f t="shared" si="337"/>
        <v/>
      </c>
      <c r="AA1003" s="74">
        <f t="shared" si="338"/>
        <v>0</v>
      </c>
      <c r="AB1003" s="74">
        <f t="shared" si="339"/>
        <v>0</v>
      </c>
      <c r="AC1003" s="74" t="str">
        <f t="shared" si="340"/>
        <v/>
      </c>
      <c r="AE1003" s="74" t="str">
        <f t="shared" si="341"/>
        <v/>
      </c>
      <c r="AF1003" s="74" t="str">
        <f t="shared" si="342"/>
        <v/>
      </c>
      <c r="AG1003" s="74" t="str">
        <f t="shared" si="343"/>
        <v/>
      </c>
      <c r="AH1003" s="74">
        <f t="shared" si="344"/>
        <v>0</v>
      </c>
      <c r="AI1003" s="74" t="str">
        <f>IF(AH1003&lt;&gt;0,COUNTIF(AH$3:AH1003,1),"")</f>
        <v/>
      </c>
      <c r="AJ1003" s="74">
        <f t="shared" si="345"/>
        <v>0</v>
      </c>
      <c r="AK1003" s="73" t="str">
        <f t="shared" si="346"/>
        <v/>
      </c>
      <c r="AL1003" s="73" t="str">
        <f t="shared" si="347"/>
        <v/>
      </c>
      <c r="AM1003" s="73" t="str">
        <f t="shared" si="348"/>
        <v/>
      </c>
      <c r="AN1003" s="73" t="str">
        <f t="shared" si="349"/>
        <v/>
      </c>
    </row>
    <row r="1004" spans="16:40" x14ac:dyDescent="0.25">
      <c r="P1004" s="73" t="str">
        <f t="shared" si="333"/>
        <v/>
      </c>
      <c r="Q1004" s="73" t="str">
        <f t="shared" si="334"/>
        <v/>
      </c>
      <c r="R1004" s="74" t="str">
        <f t="shared" si="335"/>
        <v/>
      </c>
      <c r="S1004" s="74" t="str">
        <f t="shared" si="336"/>
        <v/>
      </c>
      <c r="U1004" s="74" t="str">
        <f t="shared" si="332"/>
        <v/>
      </c>
      <c r="V1004" s="74" t="str">
        <f t="shared" si="332"/>
        <v/>
      </c>
      <c r="W1004" s="74" t="str">
        <f t="shared" si="332"/>
        <v/>
      </c>
      <c r="X1004" s="74" t="str">
        <f t="shared" si="332"/>
        <v/>
      </c>
      <c r="Y1004" s="74" t="str">
        <f t="shared" si="332"/>
        <v/>
      </c>
      <c r="Z1004" s="74" t="str">
        <f t="shared" si="337"/>
        <v/>
      </c>
      <c r="AA1004" s="74">
        <f t="shared" si="338"/>
        <v>0</v>
      </c>
      <c r="AB1004" s="74">
        <f t="shared" si="339"/>
        <v>0</v>
      </c>
      <c r="AC1004" s="74" t="str">
        <f t="shared" si="340"/>
        <v/>
      </c>
      <c r="AE1004" s="74" t="str">
        <f t="shared" si="341"/>
        <v/>
      </c>
      <c r="AF1004" s="74" t="str">
        <f t="shared" si="342"/>
        <v/>
      </c>
      <c r="AG1004" s="74" t="str">
        <f t="shared" si="343"/>
        <v/>
      </c>
      <c r="AH1004" s="74">
        <f t="shared" si="344"/>
        <v>0</v>
      </c>
      <c r="AI1004" s="74" t="str">
        <f>IF(AH1004&lt;&gt;0,COUNTIF(AH$3:AH1004,1),"")</f>
        <v/>
      </c>
      <c r="AJ1004" s="74">
        <f t="shared" si="345"/>
        <v>0</v>
      </c>
      <c r="AK1004" s="73" t="str">
        <f t="shared" si="346"/>
        <v/>
      </c>
      <c r="AL1004" s="73" t="str">
        <f t="shared" si="347"/>
        <v/>
      </c>
      <c r="AM1004" s="73" t="str">
        <f t="shared" si="348"/>
        <v/>
      </c>
      <c r="AN1004" s="73" t="str">
        <f t="shared" si="349"/>
        <v/>
      </c>
    </row>
    <row r="1005" spans="16:40" x14ac:dyDescent="0.25">
      <c r="P1005" s="73" t="str">
        <f t="shared" si="333"/>
        <v/>
      </c>
      <c r="Q1005" s="73" t="str">
        <f t="shared" si="334"/>
        <v/>
      </c>
      <c r="R1005" s="74" t="str">
        <f t="shared" si="335"/>
        <v/>
      </c>
      <c r="S1005" s="74" t="str">
        <f t="shared" si="336"/>
        <v/>
      </c>
      <c r="U1005" s="74" t="str">
        <f t="shared" si="332"/>
        <v/>
      </c>
      <c r="V1005" s="74" t="str">
        <f t="shared" si="332"/>
        <v/>
      </c>
      <c r="W1005" s="74" t="str">
        <f t="shared" si="332"/>
        <v/>
      </c>
      <c r="X1005" s="74" t="str">
        <f t="shared" si="332"/>
        <v/>
      </c>
      <c r="Y1005" s="74" t="str">
        <f t="shared" si="332"/>
        <v/>
      </c>
      <c r="Z1005" s="74" t="str">
        <f t="shared" si="337"/>
        <v/>
      </c>
      <c r="AA1005" s="74">
        <f t="shared" si="338"/>
        <v>0</v>
      </c>
      <c r="AB1005" s="74">
        <f t="shared" si="339"/>
        <v>0</v>
      </c>
      <c r="AC1005" s="74" t="str">
        <f t="shared" si="340"/>
        <v/>
      </c>
      <c r="AE1005" s="74" t="str">
        <f t="shared" si="341"/>
        <v/>
      </c>
      <c r="AF1005" s="74" t="str">
        <f t="shared" si="342"/>
        <v/>
      </c>
      <c r="AG1005" s="74" t="str">
        <f t="shared" si="343"/>
        <v/>
      </c>
      <c r="AH1005" s="74">
        <f t="shared" si="344"/>
        <v>0</v>
      </c>
      <c r="AI1005" s="74" t="str">
        <f>IF(AH1005&lt;&gt;0,COUNTIF(AH$3:AH1005,1),"")</f>
        <v/>
      </c>
      <c r="AJ1005" s="74">
        <f t="shared" si="345"/>
        <v>0</v>
      </c>
      <c r="AK1005" s="73" t="str">
        <f t="shared" si="346"/>
        <v/>
      </c>
      <c r="AL1005" s="73" t="str">
        <f t="shared" si="347"/>
        <v/>
      </c>
      <c r="AM1005" s="73" t="str">
        <f t="shared" si="348"/>
        <v/>
      </c>
      <c r="AN1005" s="73" t="str">
        <f t="shared" si="349"/>
        <v/>
      </c>
    </row>
    <row r="1006" spans="16:40" x14ac:dyDescent="0.25">
      <c r="P1006" s="73" t="str">
        <f t="shared" si="333"/>
        <v/>
      </c>
      <c r="Q1006" s="73" t="str">
        <f t="shared" si="334"/>
        <v/>
      </c>
      <c r="R1006" s="74" t="str">
        <f t="shared" si="335"/>
        <v/>
      </c>
      <c r="S1006" s="74" t="str">
        <f t="shared" si="336"/>
        <v/>
      </c>
      <c r="U1006" s="74" t="str">
        <f t="shared" ref="U1006:Y1056" si="350">IF($F1006=U$1,$E1006,"")</f>
        <v/>
      </c>
      <c r="V1006" s="74" t="str">
        <f t="shared" si="350"/>
        <v/>
      </c>
      <c r="W1006" s="74" t="str">
        <f t="shared" si="350"/>
        <v/>
      </c>
      <c r="X1006" s="74" t="str">
        <f t="shared" si="350"/>
        <v/>
      </c>
      <c r="Y1006" s="74" t="str">
        <f t="shared" si="350"/>
        <v/>
      </c>
      <c r="Z1006" s="74" t="str">
        <f t="shared" si="337"/>
        <v/>
      </c>
      <c r="AA1006" s="74">
        <f t="shared" si="338"/>
        <v>0</v>
      </c>
      <c r="AB1006" s="74">
        <f t="shared" si="339"/>
        <v>0</v>
      </c>
      <c r="AC1006" s="74" t="str">
        <f t="shared" si="340"/>
        <v/>
      </c>
      <c r="AE1006" s="74" t="str">
        <f t="shared" si="341"/>
        <v/>
      </c>
      <c r="AF1006" s="74" t="str">
        <f t="shared" si="342"/>
        <v/>
      </c>
      <c r="AG1006" s="74" t="str">
        <f t="shared" si="343"/>
        <v/>
      </c>
      <c r="AH1006" s="74">
        <f t="shared" si="344"/>
        <v>0</v>
      </c>
      <c r="AI1006" s="74" t="str">
        <f>IF(AH1006&lt;&gt;0,COUNTIF(AH$3:AH1006,1),"")</f>
        <v/>
      </c>
      <c r="AJ1006" s="74">
        <f t="shared" si="345"/>
        <v>0</v>
      </c>
      <c r="AK1006" s="73" t="str">
        <f t="shared" si="346"/>
        <v/>
      </c>
      <c r="AL1006" s="73" t="str">
        <f t="shared" si="347"/>
        <v/>
      </c>
      <c r="AM1006" s="73" t="str">
        <f t="shared" si="348"/>
        <v/>
      </c>
      <c r="AN1006" s="73" t="str">
        <f t="shared" si="349"/>
        <v/>
      </c>
    </row>
    <row r="1007" spans="16:40" x14ac:dyDescent="0.25">
      <c r="P1007" s="73" t="str">
        <f t="shared" si="333"/>
        <v/>
      </c>
      <c r="Q1007" s="73" t="str">
        <f t="shared" si="334"/>
        <v/>
      </c>
      <c r="R1007" s="74" t="str">
        <f t="shared" si="335"/>
        <v/>
      </c>
      <c r="S1007" s="74" t="str">
        <f t="shared" si="336"/>
        <v/>
      </c>
      <c r="U1007" s="74" t="str">
        <f t="shared" si="350"/>
        <v/>
      </c>
      <c r="V1007" s="74" t="str">
        <f t="shared" si="350"/>
        <v/>
      </c>
      <c r="W1007" s="74" t="str">
        <f t="shared" si="350"/>
        <v/>
      </c>
      <c r="X1007" s="74" t="str">
        <f t="shared" si="350"/>
        <v/>
      </c>
      <c r="Y1007" s="74" t="str">
        <f t="shared" si="350"/>
        <v/>
      </c>
      <c r="Z1007" s="74" t="str">
        <f t="shared" si="337"/>
        <v/>
      </c>
      <c r="AA1007" s="74">
        <f t="shared" si="338"/>
        <v>0</v>
      </c>
      <c r="AB1007" s="74">
        <f t="shared" si="339"/>
        <v>0</v>
      </c>
      <c r="AC1007" s="74" t="str">
        <f t="shared" si="340"/>
        <v/>
      </c>
      <c r="AE1007" s="74" t="str">
        <f t="shared" si="341"/>
        <v/>
      </c>
      <c r="AF1007" s="74" t="str">
        <f t="shared" si="342"/>
        <v/>
      </c>
      <c r="AG1007" s="74" t="str">
        <f t="shared" si="343"/>
        <v/>
      </c>
      <c r="AH1007" s="74">
        <f t="shared" si="344"/>
        <v>0</v>
      </c>
      <c r="AI1007" s="74" t="str">
        <f>IF(AH1007&lt;&gt;0,COUNTIF(AH$3:AH1007,1),"")</f>
        <v/>
      </c>
      <c r="AJ1007" s="74">
        <f t="shared" si="345"/>
        <v>0</v>
      </c>
      <c r="AK1007" s="73" t="str">
        <f t="shared" si="346"/>
        <v/>
      </c>
      <c r="AL1007" s="73" t="str">
        <f t="shared" si="347"/>
        <v/>
      </c>
      <c r="AM1007" s="73" t="str">
        <f t="shared" si="348"/>
        <v/>
      </c>
      <c r="AN1007" s="73" t="str">
        <f t="shared" si="349"/>
        <v/>
      </c>
    </row>
    <row r="1008" spans="16:40" x14ac:dyDescent="0.25">
      <c r="P1008" s="73" t="str">
        <f t="shared" si="333"/>
        <v/>
      </c>
      <c r="Q1008" s="73" t="str">
        <f t="shared" si="334"/>
        <v/>
      </c>
      <c r="R1008" s="74" t="str">
        <f t="shared" si="335"/>
        <v/>
      </c>
      <c r="S1008" s="74" t="str">
        <f t="shared" si="336"/>
        <v/>
      </c>
      <c r="U1008" s="74" t="str">
        <f t="shared" si="350"/>
        <v/>
      </c>
      <c r="V1008" s="74" t="str">
        <f t="shared" si="350"/>
        <v/>
      </c>
      <c r="W1008" s="74" t="str">
        <f t="shared" si="350"/>
        <v/>
      </c>
      <c r="X1008" s="74" t="str">
        <f t="shared" si="350"/>
        <v/>
      </c>
      <c r="Y1008" s="74" t="str">
        <f t="shared" si="350"/>
        <v/>
      </c>
      <c r="Z1008" s="74" t="str">
        <f t="shared" si="337"/>
        <v/>
      </c>
      <c r="AA1008" s="74">
        <f t="shared" si="338"/>
        <v>0</v>
      </c>
      <c r="AB1008" s="74">
        <f t="shared" si="339"/>
        <v>0</v>
      </c>
      <c r="AC1008" s="74" t="str">
        <f t="shared" si="340"/>
        <v/>
      </c>
      <c r="AE1008" s="74" t="str">
        <f t="shared" si="341"/>
        <v/>
      </c>
      <c r="AF1008" s="74" t="str">
        <f t="shared" si="342"/>
        <v/>
      </c>
      <c r="AG1008" s="74" t="str">
        <f t="shared" si="343"/>
        <v/>
      </c>
      <c r="AH1008" s="74">
        <f t="shared" si="344"/>
        <v>0</v>
      </c>
      <c r="AI1008" s="74" t="str">
        <f>IF(AH1008&lt;&gt;0,COUNTIF(AH$3:AH1008,1),"")</f>
        <v/>
      </c>
      <c r="AJ1008" s="74">
        <f t="shared" si="345"/>
        <v>0</v>
      </c>
      <c r="AK1008" s="73" t="str">
        <f t="shared" si="346"/>
        <v/>
      </c>
      <c r="AL1008" s="73" t="str">
        <f t="shared" si="347"/>
        <v/>
      </c>
      <c r="AM1008" s="73" t="str">
        <f t="shared" si="348"/>
        <v/>
      </c>
      <c r="AN1008" s="73" t="str">
        <f t="shared" si="349"/>
        <v/>
      </c>
    </row>
    <row r="1009" spans="16:40" x14ac:dyDescent="0.25">
      <c r="P1009" s="73" t="str">
        <f t="shared" si="333"/>
        <v/>
      </c>
      <c r="Q1009" s="73" t="str">
        <f t="shared" si="334"/>
        <v/>
      </c>
      <c r="R1009" s="74" t="str">
        <f t="shared" si="335"/>
        <v/>
      </c>
      <c r="S1009" s="74" t="str">
        <f t="shared" si="336"/>
        <v/>
      </c>
      <c r="U1009" s="74" t="str">
        <f t="shared" si="350"/>
        <v/>
      </c>
      <c r="V1009" s="74" t="str">
        <f t="shared" si="350"/>
        <v/>
      </c>
      <c r="W1009" s="74" t="str">
        <f t="shared" si="350"/>
        <v/>
      </c>
      <c r="X1009" s="74" t="str">
        <f t="shared" si="350"/>
        <v/>
      </c>
      <c r="Y1009" s="74" t="str">
        <f t="shared" si="350"/>
        <v/>
      </c>
      <c r="Z1009" s="74" t="str">
        <f t="shared" si="337"/>
        <v/>
      </c>
      <c r="AA1009" s="74">
        <f t="shared" si="338"/>
        <v>0</v>
      </c>
      <c r="AB1009" s="74">
        <f t="shared" si="339"/>
        <v>0</v>
      </c>
      <c r="AC1009" s="74" t="str">
        <f t="shared" si="340"/>
        <v/>
      </c>
      <c r="AE1009" s="74" t="str">
        <f t="shared" si="341"/>
        <v/>
      </c>
      <c r="AF1009" s="74" t="str">
        <f t="shared" si="342"/>
        <v/>
      </c>
      <c r="AG1009" s="74" t="str">
        <f t="shared" si="343"/>
        <v/>
      </c>
      <c r="AH1009" s="74">
        <f t="shared" si="344"/>
        <v>0</v>
      </c>
      <c r="AI1009" s="74" t="str">
        <f>IF(AH1009&lt;&gt;0,COUNTIF(AH$3:AH1009,1),"")</f>
        <v/>
      </c>
      <c r="AJ1009" s="74">
        <f t="shared" si="345"/>
        <v>0</v>
      </c>
      <c r="AK1009" s="73" t="str">
        <f t="shared" si="346"/>
        <v/>
      </c>
      <c r="AL1009" s="73" t="str">
        <f t="shared" si="347"/>
        <v/>
      </c>
      <c r="AM1009" s="73" t="str">
        <f t="shared" si="348"/>
        <v/>
      </c>
      <c r="AN1009" s="73" t="str">
        <f t="shared" si="349"/>
        <v/>
      </c>
    </row>
    <row r="1010" spans="16:40" x14ac:dyDescent="0.25">
      <c r="P1010" s="73" t="str">
        <f t="shared" si="333"/>
        <v/>
      </c>
      <c r="Q1010" s="73" t="str">
        <f t="shared" si="334"/>
        <v/>
      </c>
      <c r="R1010" s="74" t="str">
        <f t="shared" si="335"/>
        <v/>
      </c>
      <c r="S1010" s="74" t="str">
        <f t="shared" si="336"/>
        <v/>
      </c>
      <c r="U1010" s="74" t="str">
        <f t="shared" si="350"/>
        <v/>
      </c>
      <c r="V1010" s="74" t="str">
        <f t="shared" si="350"/>
        <v/>
      </c>
      <c r="W1010" s="74" t="str">
        <f t="shared" si="350"/>
        <v/>
      </c>
      <c r="X1010" s="74" t="str">
        <f t="shared" si="350"/>
        <v/>
      </c>
      <c r="Y1010" s="74" t="str">
        <f t="shared" si="350"/>
        <v/>
      </c>
      <c r="Z1010" s="74" t="str">
        <f t="shared" si="337"/>
        <v/>
      </c>
      <c r="AA1010" s="74">
        <f t="shared" si="338"/>
        <v>0</v>
      </c>
      <c r="AB1010" s="74">
        <f t="shared" si="339"/>
        <v>0</v>
      </c>
      <c r="AC1010" s="74" t="str">
        <f t="shared" si="340"/>
        <v/>
      </c>
      <c r="AE1010" s="74" t="str">
        <f t="shared" si="341"/>
        <v/>
      </c>
      <c r="AF1010" s="74" t="str">
        <f t="shared" si="342"/>
        <v/>
      </c>
      <c r="AG1010" s="74" t="str">
        <f t="shared" si="343"/>
        <v/>
      </c>
      <c r="AH1010" s="74">
        <f t="shared" si="344"/>
        <v>0</v>
      </c>
      <c r="AI1010" s="74" t="str">
        <f>IF(AH1010&lt;&gt;0,COUNTIF(AH$3:AH1010,1),"")</f>
        <v/>
      </c>
      <c r="AJ1010" s="74">
        <f t="shared" si="345"/>
        <v>0</v>
      </c>
      <c r="AK1010" s="73" t="str">
        <f t="shared" si="346"/>
        <v/>
      </c>
      <c r="AL1010" s="73" t="str">
        <f t="shared" si="347"/>
        <v/>
      </c>
      <c r="AM1010" s="73" t="str">
        <f t="shared" si="348"/>
        <v/>
      </c>
      <c r="AN1010" s="73" t="str">
        <f t="shared" si="349"/>
        <v/>
      </c>
    </row>
    <row r="1011" spans="16:40" x14ac:dyDescent="0.25">
      <c r="P1011" s="73" t="str">
        <f t="shared" si="333"/>
        <v/>
      </c>
      <c r="Q1011" s="73" t="str">
        <f t="shared" si="334"/>
        <v/>
      </c>
      <c r="R1011" s="74" t="str">
        <f t="shared" si="335"/>
        <v/>
      </c>
      <c r="S1011" s="74" t="str">
        <f t="shared" si="336"/>
        <v/>
      </c>
      <c r="U1011" s="74" t="str">
        <f t="shared" si="350"/>
        <v/>
      </c>
      <c r="V1011" s="74" t="str">
        <f t="shared" si="350"/>
        <v/>
      </c>
      <c r="W1011" s="74" t="str">
        <f t="shared" si="350"/>
        <v/>
      </c>
      <c r="X1011" s="74" t="str">
        <f t="shared" si="350"/>
        <v/>
      </c>
      <c r="Y1011" s="74" t="str">
        <f t="shared" si="350"/>
        <v/>
      </c>
      <c r="Z1011" s="74" t="str">
        <f t="shared" si="337"/>
        <v/>
      </c>
      <c r="AA1011" s="74">
        <f t="shared" si="338"/>
        <v>0</v>
      </c>
      <c r="AB1011" s="74">
        <f t="shared" si="339"/>
        <v>0</v>
      </c>
      <c r="AC1011" s="74" t="str">
        <f t="shared" si="340"/>
        <v/>
      </c>
      <c r="AE1011" s="74" t="str">
        <f t="shared" si="341"/>
        <v/>
      </c>
      <c r="AF1011" s="74" t="str">
        <f t="shared" si="342"/>
        <v/>
      </c>
      <c r="AG1011" s="74" t="str">
        <f t="shared" si="343"/>
        <v/>
      </c>
      <c r="AH1011" s="74">
        <f t="shared" si="344"/>
        <v>0</v>
      </c>
      <c r="AI1011" s="74" t="str">
        <f>IF(AH1011&lt;&gt;0,COUNTIF(AH$3:AH1011,1),"")</f>
        <v/>
      </c>
      <c r="AJ1011" s="74">
        <f t="shared" si="345"/>
        <v>0</v>
      </c>
      <c r="AK1011" s="73" t="str">
        <f t="shared" si="346"/>
        <v/>
      </c>
      <c r="AL1011" s="73" t="str">
        <f t="shared" si="347"/>
        <v/>
      </c>
      <c r="AM1011" s="73" t="str">
        <f t="shared" si="348"/>
        <v/>
      </c>
      <c r="AN1011" s="73" t="str">
        <f t="shared" si="349"/>
        <v/>
      </c>
    </row>
    <row r="1012" spans="16:40" x14ac:dyDescent="0.25">
      <c r="P1012" s="73" t="str">
        <f t="shared" si="333"/>
        <v/>
      </c>
      <c r="Q1012" s="73" t="str">
        <f t="shared" si="334"/>
        <v/>
      </c>
      <c r="R1012" s="74" t="str">
        <f t="shared" si="335"/>
        <v/>
      </c>
      <c r="S1012" s="74" t="str">
        <f t="shared" si="336"/>
        <v/>
      </c>
      <c r="U1012" s="74" t="str">
        <f t="shared" si="350"/>
        <v/>
      </c>
      <c r="V1012" s="74" t="str">
        <f t="shared" si="350"/>
        <v/>
      </c>
      <c r="W1012" s="74" t="str">
        <f t="shared" si="350"/>
        <v/>
      </c>
      <c r="X1012" s="74" t="str">
        <f t="shared" si="350"/>
        <v/>
      </c>
      <c r="Y1012" s="74" t="str">
        <f t="shared" si="350"/>
        <v/>
      </c>
      <c r="Z1012" s="74" t="str">
        <f t="shared" si="337"/>
        <v/>
      </c>
      <c r="AA1012" s="74">
        <f t="shared" si="338"/>
        <v>0</v>
      </c>
      <c r="AB1012" s="74">
        <f t="shared" si="339"/>
        <v>0</v>
      </c>
      <c r="AC1012" s="74" t="str">
        <f t="shared" si="340"/>
        <v/>
      </c>
      <c r="AE1012" s="74" t="str">
        <f t="shared" si="341"/>
        <v/>
      </c>
      <c r="AF1012" s="74" t="str">
        <f t="shared" si="342"/>
        <v/>
      </c>
      <c r="AG1012" s="74" t="str">
        <f t="shared" si="343"/>
        <v/>
      </c>
      <c r="AH1012" s="74">
        <f t="shared" si="344"/>
        <v>0</v>
      </c>
      <c r="AI1012" s="74" t="str">
        <f>IF(AH1012&lt;&gt;0,COUNTIF(AH$3:AH1012,1),"")</f>
        <v/>
      </c>
      <c r="AJ1012" s="74">
        <f t="shared" si="345"/>
        <v>0</v>
      </c>
      <c r="AK1012" s="73" t="str">
        <f t="shared" si="346"/>
        <v/>
      </c>
      <c r="AL1012" s="73" t="str">
        <f t="shared" si="347"/>
        <v/>
      </c>
      <c r="AM1012" s="73" t="str">
        <f t="shared" si="348"/>
        <v/>
      </c>
      <c r="AN1012" s="73" t="str">
        <f t="shared" si="349"/>
        <v/>
      </c>
    </row>
    <row r="1013" spans="16:40" x14ac:dyDescent="0.25">
      <c r="P1013" s="73" t="str">
        <f t="shared" si="333"/>
        <v/>
      </c>
      <c r="Q1013" s="73" t="str">
        <f t="shared" si="334"/>
        <v/>
      </c>
      <c r="R1013" s="74" t="str">
        <f t="shared" si="335"/>
        <v/>
      </c>
      <c r="S1013" s="74" t="str">
        <f t="shared" si="336"/>
        <v/>
      </c>
      <c r="U1013" s="74" t="str">
        <f t="shared" si="350"/>
        <v/>
      </c>
      <c r="V1013" s="74" t="str">
        <f t="shared" si="350"/>
        <v/>
      </c>
      <c r="W1013" s="74" t="str">
        <f t="shared" si="350"/>
        <v/>
      </c>
      <c r="X1013" s="74" t="str">
        <f t="shared" si="350"/>
        <v/>
      </c>
      <c r="Y1013" s="74" t="str">
        <f t="shared" si="350"/>
        <v/>
      </c>
      <c r="Z1013" s="74" t="str">
        <f t="shared" si="337"/>
        <v/>
      </c>
      <c r="AA1013" s="74">
        <f t="shared" si="338"/>
        <v>0</v>
      </c>
      <c r="AB1013" s="74">
        <f t="shared" si="339"/>
        <v>0</v>
      </c>
      <c r="AC1013" s="74" t="str">
        <f t="shared" si="340"/>
        <v/>
      </c>
      <c r="AE1013" s="74" t="str">
        <f t="shared" si="341"/>
        <v/>
      </c>
      <c r="AF1013" s="74" t="str">
        <f t="shared" si="342"/>
        <v/>
      </c>
      <c r="AG1013" s="74" t="str">
        <f t="shared" si="343"/>
        <v/>
      </c>
      <c r="AH1013" s="74">
        <f t="shared" si="344"/>
        <v>0</v>
      </c>
      <c r="AI1013" s="74" t="str">
        <f>IF(AH1013&lt;&gt;0,COUNTIF(AH$3:AH1013,1),"")</f>
        <v/>
      </c>
      <c r="AJ1013" s="74">
        <f t="shared" si="345"/>
        <v>0</v>
      </c>
      <c r="AK1013" s="73" t="str">
        <f t="shared" si="346"/>
        <v/>
      </c>
      <c r="AL1013" s="73" t="str">
        <f t="shared" si="347"/>
        <v/>
      </c>
      <c r="AM1013" s="73" t="str">
        <f t="shared" si="348"/>
        <v/>
      </c>
      <c r="AN1013" s="73" t="str">
        <f t="shared" si="349"/>
        <v/>
      </c>
    </row>
    <row r="1014" spans="16:40" x14ac:dyDescent="0.25">
      <c r="P1014" s="73" t="str">
        <f t="shared" si="333"/>
        <v/>
      </c>
      <c r="Q1014" s="73" t="str">
        <f t="shared" si="334"/>
        <v/>
      </c>
      <c r="R1014" s="74" t="str">
        <f t="shared" si="335"/>
        <v/>
      </c>
      <c r="S1014" s="74" t="str">
        <f t="shared" si="336"/>
        <v/>
      </c>
      <c r="U1014" s="74" t="str">
        <f t="shared" si="350"/>
        <v/>
      </c>
      <c r="V1014" s="74" t="str">
        <f t="shared" si="350"/>
        <v/>
      </c>
      <c r="W1014" s="74" t="str">
        <f t="shared" si="350"/>
        <v/>
      </c>
      <c r="X1014" s="74" t="str">
        <f t="shared" si="350"/>
        <v/>
      </c>
      <c r="Y1014" s="74" t="str">
        <f t="shared" si="350"/>
        <v/>
      </c>
      <c r="Z1014" s="74" t="str">
        <f t="shared" si="337"/>
        <v/>
      </c>
      <c r="AA1014" s="74">
        <f t="shared" si="338"/>
        <v>0</v>
      </c>
      <c r="AB1014" s="74">
        <f t="shared" si="339"/>
        <v>0</v>
      </c>
      <c r="AC1014" s="74" t="str">
        <f t="shared" si="340"/>
        <v/>
      </c>
      <c r="AE1014" s="74" t="str">
        <f t="shared" si="341"/>
        <v/>
      </c>
      <c r="AF1014" s="74" t="str">
        <f t="shared" si="342"/>
        <v/>
      </c>
      <c r="AG1014" s="74" t="str">
        <f t="shared" si="343"/>
        <v/>
      </c>
      <c r="AH1014" s="74">
        <f t="shared" si="344"/>
        <v>0</v>
      </c>
      <c r="AI1014" s="74" t="str">
        <f>IF(AH1014&lt;&gt;0,COUNTIF(AH$3:AH1014,1),"")</f>
        <v/>
      </c>
      <c r="AJ1014" s="74">
        <f t="shared" si="345"/>
        <v>0</v>
      </c>
      <c r="AK1014" s="73" t="str">
        <f t="shared" si="346"/>
        <v/>
      </c>
      <c r="AL1014" s="73" t="str">
        <f t="shared" si="347"/>
        <v/>
      </c>
      <c r="AM1014" s="73" t="str">
        <f t="shared" si="348"/>
        <v/>
      </c>
      <c r="AN1014" s="73" t="str">
        <f t="shared" si="349"/>
        <v/>
      </c>
    </row>
    <row r="1015" spans="16:40" x14ac:dyDescent="0.25">
      <c r="P1015" s="73" t="str">
        <f t="shared" si="333"/>
        <v/>
      </c>
      <c r="Q1015" s="73" t="str">
        <f t="shared" si="334"/>
        <v/>
      </c>
      <c r="R1015" s="74" t="str">
        <f t="shared" si="335"/>
        <v/>
      </c>
      <c r="S1015" s="74" t="str">
        <f t="shared" si="336"/>
        <v/>
      </c>
      <c r="U1015" s="74" t="str">
        <f t="shared" si="350"/>
        <v/>
      </c>
      <c r="V1015" s="74" t="str">
        <f t="shared" si="350"/>
        <v/>
      </c>
      <c r="W1015" s="74" t="str">
        <f t="shared" si="350"/>
        <v/>
      </c>
      <c r="X1015" s="74" t="str">
        <f t="shared" si="350"/>
        <v/>
      </c>
      <c r="Y1015" s="74" t="str">
        <f t="shared" si="350"/>
        <v/>
      </c>
      <c r="Z1015" s="74" t="str">
        <f t="shared" si="337"/>
        <v/>
      </c>
      <c r="AA1015" s="74">
        <f t="shared" si="338"/>
        <v>0</v>
      </c>
      <c r="AB1015" s="74">
        <f t="shared" si="339"/>
        <v>0</v>
      </c>
      <c r="AC1015" s="74" t="str">
        <f t="shared" si="340"/>
        <v/>
      </c>
      <c r="AE1015" s="74" t="str">
        <f t="shared" si="341"/>
        <v/>
      </c>
      <c r="AF1015" s="74" t="str">
        <f t="shared" si="342"/>
        <v/>
      </c>
      <c r="AG1015" s="74" t="str">
        <f t="shared" si="343"/>
        <v/>
      </c>
      <c r="AH1015" s="74">
        <f t="shared" si="344"/>
        <v>0</v>
      </c>
      <c r="AI1015" s="74" t="str">
        <f>IF(AH1015&lt;&gt;0,COUNTIF(AH$3:AH1015,1),"")</f>
        <v/>
      </c>
      <c r="AJ1015" s="74">
        <f t="shared" si="345"/>
        <v>0</v>
      </c>
      <c r="AK1015" s="73" t="str">
        <f t="shared" si="346"/>
        <v/>
      </c>
      <c r="AL1015" s="73" t="str">
        <f t="shared" si="347"/>
        <v/>
      </c>
      <c r="AM1015" s="73" t="str">
        <f t="shared" si="348"/>
        <v/>
      </c>
      <c r="AN1015" s="73" t="str">
        <f t="shared" si="349"/>
        <v/>
      </c>
    </row>
    <row r="1016" spans="16:40" x14ac:dyDescent="0.25">
      <c r="P1016" s="73" t="str">
        <f t="shared" si="333"/>
        <v/>
      </c>
      <c r="Q1016" s="73" t="str">
        <f t="shared" si="334"/>
        <v/>
      </c>
      <c r="R1016" s="74" t="str">
        <f t="shared" si="335"/>
        <v/>
      </c>
      <c r="S1016" s="74" t="str">
        <f t="shared" si="336"/>
        <v/>
      </c>
      <c r="U1016" s="74" t="str">
        <f t="shared" si="350"/>
        <v/>
      </c>
      <c r="V1016" s="74" t="str">
        <f t="shared" si="350"/>
        <v/>
      </c>
      <c r="W1016" s="74" t="str">
        <f t="shared" si="350"/>
        <v/>
      </c>
      <c r="X1016" s="74" t="str">
        <f t="shared" si="350"/>
        <v/>
      </c>
      <c r="Y1016" s="74" t="str">
        <f t="shared" si="350"/>
        <v/>
      </c>
      <c r="Z1016" s="74" t="str">
        <f t="shared" si="337"/>
        <v/>
      </c>
      <c r="AA1016" s="74">
        <f t="shared" si="338"/>
        <v>0</v>
      </c>
      <c r="AB1016" s="74">
        <f t="shared" si="339"/>
        <v>0</v>
      </c>
      <c r="AC1016" s="74" t="str">
        <f t="shared" si="340"/>
        <v/>
      </c>
      <c r="AE1016" s="74" t="str">
        <f t="shared" si="341"/>
        <v/>
      </c>
      <c r="AF1016" s="74" t="str">
        <f t="shared" si="342"/>
        <v/>
      </c>
      <c r="AG1016" s="74" t="str">
        <f t="shared" si="343"/>
        <v/>
      </c>
      <c r="AH1016" s="74">
        <f t="shared" si="344"/>
        <v>0</v>
      </c>
      <c r="AI1016" s="74" t="str">
        <f>IF(AH1016&lt;&gt;0,COUNTIF(AH$3:AH1016,1),"")</f>
        <v/>
      </c>
      <c r="AJ1016" s="74">
        <f t="shared" si="345"/>
        <v>0</v>
      </c>
      <c r="AK1016" s="73" t="str">
        <f t="shared" si="346"/>
        <v/>
      </c>
      <c r="AL1016" s="73" t="str">
        <f t="shared" si="347"/>
        <v/>
      </c>
      <c r="AM1016" s="73" t="str">
        <f t="shared" si="348"/>
        <v/>
      </c>
      <c r="AN1016" s="73" t="str">
        <f t="shared" si="349"/>
        <v/>
      </c>
    </row>
    <row r="1017" spans="16:40" x14ac:dyDescent="0.25">
      <c r="P1017" s="73" t="str">
        <f t="shared" si="333"/>
        <v/>
      </c>
      <c r="Q1017" s="73" t="str">
        <f t="shared" si="334"/>
        <v/>
      </c>
      <c r="R1017" s="74" t="str">
        <f t="shared" si="335"/>
        <v/>
      </c>
      <c r="S1017" s="74" t="str">
        <f t="shared" si="336"/>
        <v/>
      </c>
      <c r="U1017" s="74" t="str">
        <f t="shared" si="350"/>
        <v/>
      </c>
      <c r="V1017" s="74" t="str">
        <f t="shared" si="350"/>
        <v/>
      </c>
      <c r="W1017" s="74" t="str">
        <f t="shared" si="350"/>
        <v/>
      </c>
      <c r="X1017" s="74" t="str">
        <f t="shared" si="350"/>
        <v/>
      </c>
      <c r="Y1017" s="74" t="str">
        <f t="shared" si="350"/>
        <v/>
      </c>
      <c r="Z1017" s="74" t="str">
        <f t="shared" si="337"/>
        <v/>
      </c>
      <c r="AA1017" s="74">
        <f t="shared" si="338"/>
        <v>0</v>
      </c>
      <c r="AB1017" s="74">
        <f t="shared" si="339"/>
        <v>0</v>
      </c>
      <c r="AC1017" s="74" t="str">
        <f t="shared" si="340"/>
        <v/>
      </c>
      <c r="AE1017" s="74" t="str">
        <f t="shared" si="341"/>
        <v/>
      </c>
      <c r="AF1017" s="74" t="str">
        <f t="shared" si="342"/>
        <v/>
      </c>
      <c r="AG1017" s="74" t="str">
        <f t="shared" si="343"/>
        <v/>
      </c>
      <c r="AH1017" s="74">
        <f t="shared" si="344"/>
        <v>0</v>
      </c>
      <c r="AI1017" s="74" t="str">
        <f>IF(AH1017&lt;&gt;0,COUNTIF(AH$3:AH1017,1),"")</f>
        <v/>
      </c>
      <c r="AJ1017" s="74">
        <f t="shared" si="345"/>
        <v>0</v>
      </c>
      <c r="AK1017" s="73" t="str">
        <f t="shared" si="346"/>
        <v/>
      </c>
      <c r="AL1017" s="73" t="str">
        <f t="shared" si="347"/>
        <v/>
      </c>
      <c r="AM1017" s="73" t="str">
        <f t="shared" si="348"/>
        <v/>
      </c>
      <c r="AN1017" s="73" t="str">
        <f t="shared" si="349"/>
        <v/>
      </c>
    </row>
    <row r="1018" spans="16:40" x14ac:dyDescent="0.25">
      <c r="P1018" s="73" t="str">
        <f t="shared" si="333"/>
        <v/>
      </c>
      <c r="Q1018" s="73" t="str">
        <f t="shared" si="334"/>
        <v/>
      </c>
      <c r="R1018" s="74" t="str">
        <f t="shared" si="335"/>
        <v/>
      </c>
      <c r="S1018" s="74" t="str">
        <f t="shared" si="336"/>
        <v/>
      </c>
      <c r="U1018" s="74" t="str">
        <f t="shared" si="350"/>
        <v/>
      </c>
      <c r="V1018" s="74" t="str">
        <f t="shared" si="350"/>
        <v/>
      </c>
      <c r="W1018" s="74" t="str">
        <f t="shared" si="350"/>
        <v/>
      </c>
      <c r="X1018" s="74" t="str">
        <f t="shared" si="350"/>
        <v/>
      </c>
      <c r="Y1018" s="74" t="str">
        <f t="shared" si="350"/>
        <v/>
      </c>
      <c r="Z1018" s="74" t="str">
        <f t="shared" si="337"/>
        <v/>
      </c>
      <c r="AA1018" s="74">
        <f t="shared" si="338"/>
        <v>0</v>
      </c>
      <c r="AB1018" s="74">
        <f t="shared" si="339"/>
        <v>0</v>
      </c>
      <c r="AC1018" s="74" t="str">
        <f t="shared" si="340"/>
        <v/>
      </c>
      <c r="AE1018" s="74" t="str">
        <f t="shared" si="341"/>
        <v/>
      </c>
      <c r="AF1018" s="74" t="str">
        <f t="shared" si="342"/>
        <v/>
      </c>
      <c r="AG1018" s="74" t="str">
        <f t="shared" si="343"/>
        <v/>
      </c>
      <c r="AH1018" s="74">
        <f t="shared" si="344"/>
        <v>0</v>
      </c>
      <c r="AI1018" s="74" t="str">
        <f>IF(AH1018&lt;&gt;0,COUNTIF(AH$3:AH1018,1),"")</f>
        <v/>
      </c>
      <c r="AJ1018" s="74">
        <f t="shared" si="345"/>
        <v>0</v>
      </c>
      <c r="AK1018" s="73" t="str">
        <f t="shared" si="346"/>
        <v/>
      </c>
      <c r="AL1018" s="73" t="str">
        <f t="shared" si="347"/>
        <v/>
      </c>
      <c r="AM1018" s="73" t="str">
        <f t="shared" si="348"/>
        <v/>
      </c>
      <c r="AN1018" s="73" t="str">
        <f t="shared" si="349"/>
        <v/>
      </c>
    </row>
    <row r="1019" spans="16:40" x14ac:dyDescent="0.25">
      <c r="P1019" s="73" t="str">
        <f t="shared" si="333"/>
        <v/>
      </c>
      <c r="Q1019" s="73" t="str">
        <f t="shared" si="334"/>
        <v/>
      </c>
      <c r="R1019" s="74" t="str">
        <f t="shared" si="335"/>
        <v/>
      </c>
      <c r="S1019" s="74" t="str">
        <f t="shared" si="336"/>
        <v/>
      </c>
      <c r="U1019" s="74" t="str">
        <f t="shared" si="350"/>
        <v/>
      </c>
      <c r="V1019" s="74" t="str">
        <f t="shared" si="350"/>
        <v/>
      </c>
      <c r="W1019" s="74" t="str">
        <f t="shared" si="350"/>
        <v/>
      </c>
      <c r="X1019" s="74" t="str">
        <f t="shared" si="350"/>
        <v/>
      </c>
      <c r="Y1019" s="74" t="str">
        <f t="shared" si="350"/>
        <v/>
      </c>
      <c r="Z1019" s="74" t="str">
        <f t="shared" si="337"/>
        <v/>
      </c>
      <c r="AA1019" s="74">
        <f t="shared" si="338"/>
        <v>0</v>
      </c>
      <c r="AB1019" s="74">
        <f t="shared" si="339"/>
        <v>0</v>
      </c>
      <c r="AC1019" s="74" t="str">
        <f t="shared" si="340"/>
        <v/>
      </c>
      <c r="AE1019" s="74" t="str">
        <f t="shared" si="341"/>
        <v/>
      </c>
      <c r="AF1019" s="74" t="str">
        <f t="shared" si="342"/>
        <v/>
      </c>
      <c r="AG1019" s="74" t="str">
        <f t="shared" si="343"/>
        <v/>
      </c>
      <c r="AH1019" s="74">
        <f t="shared" si="344"/>
        <v>0</v>
      </c>
      <c r="AI1019" s="74" t="str">
        <f>IF(AH1019&lt;&gt;0,COUNTIF(AH$3:AH1019,1),"")</f>
        <v/>
      </c>
      <c r="AJ1019" s="74">
        <f t="shared" si="345"/>
        <v>0</v>
      </c>
      <c r="AK1019" s="73" t="str">
        <f t="shared" si="346"/>
        <v/>
      </c>
      <c r="AL1019" s="73" t="str">
        <f t="shared" si="347"/>
        <v/>
      </c>
      <c r="AM1019" s="73" t="str">
        <f t="shared" si="348"/>
        <v/>
      </c>
      <c r="AN1019" s="73" t="str">
        <f t="shared" si="349"/>
        <v/>
      </c>
    </row>
    <row r="1020" spans="16:40" x14ac:dyDescent="0.25">
      <c r="P1020" s="73" t="str">
        <f t="shared" si="333"/>
        <v/>
      </c>
      <c r="Q1020" s="73" t="str">
        <f t="shared" si="334"/>
        <v/>
      </c>
      <c r="R1020" s="74" t="str">
        <f t="shared" si="335"/>
        <v/>
      </c>
      <c r="S1020" s="74" t="str">
        <f t="shared" si="336"/>
        <v/>
      </c>
      <c r="U1020" s="74" t="str">
        <f t="shared" si="350"/>
        <v/>
      </c>
      <c r="V1020" s="74" t="str">
        <f t="shared" si="350"/>
        <v/>
      </c>
      <c r="W1020" s="74" t="str">
        <f t="shared" si="350"/>
        <v/>
      </c>
      <c r="X1020" s="74" t="str">
        <f t="shared" si="350"/>
        <v/>
      </c>
      <c r="Y1020" s="74" t="str">
        <f t="shared" si="350"/>
        <v/>
      </c>
      <c r="Z1020" s="74" t="str">
        <f t="shared" si="337"/>
        <v/>
      </c>
      <c r="AA1020" s="74">
        <f t="shared" si="338"/>
        <v>0</v>
      </c>
      <c r="AB1020" s="74">
        <f t="shared" si="339"/>
        <v>0</v>
      </c>
      <c r="AC1020" s="74" t="str">
        <f t="shared" si="340"/>
        <v/>
      </c>
      <c r="AE1020" s="74" t="str">
        <f t="shared" si="341"/>
        <v/>
      </c>
      <c r="AF1020" s="74" t="str">
        <f t="shared" si="342"/>
        <v/>
      </c>
      <c r="AG1020" s="74" t="str">
        <f t="shared" si="343"/>
        <v/>
      </c>
      <c r="AH1020" s="74">
        <f t="shared" si="344"/>
        <v>0</v>
      </c>
      <c r="AI1020" s="74" t="str">
        <f>IF(AH1020&lt;&gt;0,COUNTIF(AH$3:AH1020,1),"")</f>
        <v/>
      </c>
      <c r="AJ1020" s="74">
        <f t="shared" si="345"/>
        <v>0</v>
      </c>
      <c r="AK1020" s="73" t="str">
        <f t="shared" si="346"/>
        <v/>
      </c>
      <c r="AL1020" s="73" t="str">
        <f t="shared" si="347"/>
        <v/>
      </c>
      <c r="AM1020" s="73" t="str">
        <f t="shared" si="348"/>
        <v/>
      </c>
      <c r="AN1020" s="73" t="str">
        <f t="shared" si="349"/>
        <v/>
      </c>
    </row>
    <row r="1021" spans="16:40" x14ac:dyDescent="0.25">
      <c r="P1021" s="73" t="str">
        <f t="shared" si="333"/>
        <v/>
      </c>
      <c r="Q1021" s="73" t="str">
        <f t="shared" si="334"/>
        <v/>
      </c>
      <c r="R1021" s="74" t="str">
        <f t="shared" si="335"/>
        <v/>
      </c>
      <c r="S1021" s="74" t="str">
        <f t="shared" si="336"/>
        <v/>
      </c>
      <c r="U1021" s="74" t="str">
        <f t="shared" si="350"/>
        <v/>
      </c>
      <c r="V1021" s="74" t="str">
        <f t="shared" si="350"/>
        <v/>
      </c>
      <c r="W1021" s="74" t="str">
        <f t="shared" si="350"/>
        <v/>
      </c>
      <c r="X1021" s="74" t="str">
        <f t="shared" si="350"/>
        <v/>
      </c>
      <c r="Y1021" s="74" t="str">
        <f t="shared" si="350"/>
        <v/>
      </c>
      <c r="Z1021" s="74" t="str">
        <f t="shared" si="337"/>
        <v/>
      </c>
      <c r="AA1021" s="74">
        <f t="shared" si="338"/>
        <v>0</v>
      </c>
      <c r="AB1021" s="74">
        <f t="shared" si="339"/>
        <v>0</v>
      </c>
      <c r="AC1021" s="74" t="str">
        <f t="shared" si="340"/>
        <v/>
      </c>
      <c r="AE1021" s="74" t="str">
        <f t="shared" si="341"/>
        <v/>
      </c>
      <c r="AF1021" s="74" t="str">
        <f t="shared" si="342"/>
        <v/>
      </c>
      <c r="AG1021" s="74" t="str">
        <f t="shared" si="343"/>
        <v/>
      </c>
      <c r="AH1021" s="74">
        <f t="shared" si="344"/>
        <v>0</v>
      </c>
      <c r="AI1021" s="74" t="str">
        <f>IF(AH1021&lt;&gt;0,COUNTIF(AH$3:AH1021,1),"")</f>
        <v/>
      </c>
      <c r="AJ1021" s="74">
        <f t="shared" si="345"/>
        <v>0</v>
      </c>
      <c r="AK1021" s="73" t="str">
        <f t="shared" si="346"/>
        <v/>
      </c>
      <c r="AL1021" s="73" t="str">
        <f t="shared" si="347"/>
        <v/>
      </c>
      <c r="AM1021" s="73" t="str">
        <f t="shared" si="348"/>
        <v/>
      </c>
      <c r="AN1021" s="73" t="str">
        <f t="shared" si="349"/>
        <v/>
      </c>
    </row>
    <row r="1022" spans="16:40" x14ac:dyDescent="0.25">
      <c r="P1022" s="73" t="str">
        <f t="shared" ref="P1022:P1085" si="351">IF(N1022&lt;&gt;"",SUBSTITUTE(LEFT(N1022,FIND(";",N1022)),";",""),"")</f>
        <v/>
      </c>
      <c r="Q1022" s="73" t="str">
        <f t="shared" ref="Q1022:Q1085" si="352">IF(N1022&lt;&gt;"",SUBSTITUTE(RIGHT(N1022,FIND(";",N1022)),";",""),"")</f>
        <v/>
      </c>
      <c r="R1022" s="74" t="str">
        <f t="shared" ref="R1022:R1085" si="353">IF(O1022&lt;&gt;"",SUBSTITUTE(LEFT(O1022,FIND(";",O1022)),";",""),"")</f>
        <v/>
      </c>
      <c r="S1022" s="74" t="str">
        <f t="shared" ref="S1022:S1085" si="354">IF(O1022&lt;&gt;"",IFERROR(IF(FIND("OK",O1022)&gt;0,TRUE),FALSE),"")</f>
        <v/>
      </c>
      <c r="U1022" s="74" t="str">
        <f t="shared" si="350"/>
        <v/>
      </c>
      <c r="V1022" s="74" t="str">
        <f t="shared" si="350"/>
        <v/>
      </c>
      <c r="W1022" s="74" t="str">
        <f t="shared" si="350"/>
        <v/>
      </c>
      <c r="X1022" s="74" t="str">
        <f t="shared" si="350"/>
        <v/>
      </c>
      <c r="Y1022" s="74" t="str">
        <f t="shared" si="350"/>
        <v/>
      </c>
      <c r="Z1022" s="74" t="str">
        <f t="shared" ref="Z1022:Z1085" si="355">IF(G1022,E1022,"")</f>
        <v/>
      </c>
      <c r="AA1022" s="74">
        <f t="shared" ref="AA1022:AA1085" si="356">IF(G1022=FALSE,E1022,"")</f>
        <v>0</v>
      </c>
      <c r="AB1022" s="74">
        <f t="shared" ref="AB1022:AB1085" si="357">IF(G1022,1,0)</f>
        <v>0</v>
      </c>
      <c r="AC1022" s="74" t="str">
        <f t="shared" ref="AC1022:AC1085" si="358">IF(A1022&lt;&gt;"",IF(G1022,0,1),"")</f>
        <v/>
      </c>
      <c r="AE1022" s="74" t="str">
        <f t="shared" ref="AE1022:AE1085" si="359">IF(P1022&lt;&gt;"",IF(AND(_xlfn.NUMBERVALUE(P1022)&gt;25,_xlfn.NUMBERVALUE(P1022)&lt;38),TRUE,FALSE),"")</f>
        <v/>
      </c>
      <c r="AF1022" s="74" t="str">
        <f t="shared" ref="AF1022:AF1085" si="360">IF(Q1022&lt;&gt;"",IF(AND(_xlfn.NUMBERVALUE(Q1022)&gt;25,_xlfn.NUMBERVALUE(Q1022)&lt;38),TRUE,FALSE),"")</f>
        <v/>
      </c>
      <c r="AG1022" s="74" t="str">
        <f t="shared" ref="AG1022:AG1085" si="361">IF(R1022&lt;&gt;"",IF(AND(_xlfn.NUMBERVALUE(R1022)&gt;262,_xlfn.NUMBERVALUE(R1022)&lt;307),TRUE,FALSE),"")</f>
        <v/>
      </c>
      <c r="AH1022" s="74">
        <f t="shared" ref="AH1022:AH1085" si="362">IF(OR(AE1022=FALSE,AF1022=FALSE,AG1022=FALSE),1,0)</f>
        <v>0</v>
      </c>
      <c r="AI1022" s="74" t="str">
        <f>IF(AH1022&lt;&gt;0,COUNTIF(AH$3:AH1022,1),"")</f>
        <v/>
      </c>
      <c r="AJ1022" s="74">
        <f t="shared" ref="AJ1022:AJ1085" si="363">L1022</f>
        <v>0</v>
      </c>
      <c r="AK1022" s="73" t="str">
        <f t="shared" ref="AK1022:AK1085" si="364">P1022</f>
        <v/>
      </c>
      <c r="AL1022" s="73" t="str">
        <f t="shared" ref="AL1022:AL1085" si="365">Q1022</f>
        <v/>
      </c>
      <c r="AM1022" s="73" t="str">
        <f t="shared" ref="AM1022:AM1085" si="366">R1022</f>
        <v/>
      </c>
      <c r="AN1022" s="73" t="str">
        <f t="shared" ref="AN1022:AN1085" si="367">S1022</f>
        <v/>
      </c>
    </row>
    <row r="1023" spans="16:40" x14ac:dyDescent="0.25">
      <c r="P1023" s="73" t="str">
        <f t="shared" si="351"/>
        <v/>
      </c>
      <c r="Q1023" s="73" t="str">
        <f t="shared" si="352"/>
        <v/>
      </c>
      <c r="R1023" s="74" t="str">
        <f t="shared" si="353"/>
        <v/>
      </c>
      <c r="S1023" s="74" t="str">
        <f t="shared" si="354"/>
        <v/>
      </c>
      <c r="U1023" s="74" t="str">
        <f t="shared" si="350"/>
        <v/>
      </c>
      <c r="V1023" s="74" t="str">
        <f t="shared" si="350"/>
        <v/>
      </c>
      <c r="W1023" s="74" t="str">
        <f t="shared" si="350"/>
        <v/>
      </c>
      <c r="X1023" s="74" t="str">
        <f t="shared" si="350"/>
        <v/>
      </c>
      <c r="Y1023" s="74" t="str">
        <f t="shared" si="350"/>
        <v/>
      </c>
      <c r="Z1023" s="74" t="str">
        <f t="shared" si="355"/>
        <v/>
      </c>
      <c r="AA1023" s="74">
        <f t="shared" si="356"/>
        <v>0</v>
      </c>
      <c r="AB1023" s="74">
        <f t="shared" si="357"/>
        <v>0</v>
      </c>
      <c r="AC1023" s="74" t="str">
        <f t="shared" si="358"/>
        <v/>
      </c>
      <c r="AE1023" s="74" t="str">
        <f t="shared" si="359"/>
        <v/>
      </c>
      <c r="AF1023" s="74" t="str">
        <f t="shared" si="360"/>
        <v/>
      </c>
      <c r="AG1023" s="74" t="str">
        <f t="shared" si="361"/>
        <v/>
      </c>
      <c r="AH1023" s="74">
        <f t="shared" si="362"/>
        <v>0</v>
      </c>
      <c r="AI1023" s="74" t="str">
        <f>IF(AH1023&lt;&gt;0,COUNTIF(AH$3:AH1023,1),"")</f>
        <v/>
      </c>
      <c r="AJ1023" s="74">
        <f t="shared" si="363"/>
        <v>0</v>
      </c>
      <c r="AK1023" s="73" t="str">
        <f t="shared" si="364"/>
        <v/>
      </c>
      <c r="AL1023" s="73" t="str">
        <f t="shared" si="365"/>
        <v/>
      </c>
      <c r="AM1023" s="73" t="str">
        <f t="shared" si="366"/>
        <v/>
      </c>
      <c r="AN1023" s="73" t="str">
        <f t="shared" si="367"/>
        <v/>
      </c>
    </row>
    <row r="1024" spans="16:40" x14ac:dyDescent="0.25">
      <c r="P1024" s="73" t="str">
        <f t="shared" si="351"/>
        <v/>
      </c>
      <c r="Q1024" s="73" t="str">
        <f t="shared" si="352"/>
        <v/>
      </c>
      <c r="R1024" s="74" t="str">
        <f t="shared" si="353"/>
        <v/>
      </c>
      <c r="S1024" s="74" t="str">
        <f t="shared" si="354"/>
        <v/>
      </c>
      <c r="U1024" s="74" t="str">
        <f t="shared" si="350"/>
        <v/>
      </c>
      <c r="V1024" s="74" t="str">
        <f t="shared" si="350"/>
        <v/>
      </c>
      <c r="W1024" s="74" t="str">
        <f t="shared" si="350"/>
        <v/>
      </c>
      <c r="X1024" s="74" t="str">
        <f t="shared" si="350"/>
        <v/>
      </c>
      <c r="Y1024" s="74" t="str">
        <f t="shared" si="350"/>
        <v/>
      </c>
      <c r="Z1024" s="74" t="str">
        <f t="shared" si="355"/>
        <v/>
      </c>
      <c r="AA1024" s="74">
        <f t="shared" si="356"/>
        <v>0</v>
      </c>
      <c r="AB1024" s="74">
        <f t="shared" si="357"/>
        <v>0</v>
      </c>
      <c r="AC1024" s="74" t="str">
        <f t="shared" si="358"/>
        <v/>
      </c>
      <c r="AE1024" s="74" t="str">
        <f t="shared" si="359"/>
        <v/>
      </c>
      <c r="AF1024" s="74" t="str">
        <f t="shared" si="360"/>
        <v/>
      </c>
      <c r="AG1024" s="74" t="str">
        <f t="shared" si="361"/>
        <v/>
      </c>
      <c r="AH1024" s="74">
        <f t="shared" si="362"/>
        <v>0</v>
      </c>
      <c r="AI1024" s="74" t="str">
        <f>IF(AH1024&lt;&gt;0,COUNTIF(AH$3:AH1024,1),"")</f>
        <v/>
      </c>
      <c r="AJ1024" s="74">
        <f t="shared" si="363"/>
        <v>0</v>
      </c>
      <c r="AK1024" s="73" t="str">
        <f t="shared" si="364"/>
        <v/>
      </c>
      <c r="AL1024" s="73" t="str">
        <f t="shared" si="365"/>
        <v/>
      </c>
      <c r="AM1024" s="73" t="str">
        <f t="shared" si="366"/>
        <v/>
      </c>
      <c r="AN1024" s="73" t="str">
        <f t="shared" si="367"/>
        <v/>
      </c>
    </row>
    <row r="1025" spans="16:40" x14ac:dyDescent="0.25">
      <c r="P1025" s="73" t="str">
        <f t="shared" si="351"/>
        <v/>
      </c>
      <c r="Q1025" s="73" t="str">
        <f t="shared" si="352"/>
        <v/>
      </c>
      <c r="R1025" s="74" t="str">
        <f t="shared" si="353"/>
        <v/>
      </c>
      <c r="S1025" s="74" t="str">
        <f t="shared" si="354"/>
        <v/>
      </c>
      <c r="U1025" s="74" t="str">
        <f t="shared" si="350"/>
        <v/>
      </c>
      <c r="V1025" s="74" t="str">
        <f t="shared" si="350"/>
        <v/>
      </c>
      <c r="W1025" s="74" t="str">
        <f t="shared" si="350"/>
        <v/>
      </c>
      <c r="X1025" s="74" t="str">
        <f t="shared" si="350"/>
        <v/>
      </c>
      <c r="Y1025" s="74" t="str">
        <f t="shared" si="350"/>
        <v/>
      </c>
      <c r="Z1025" s="74" t="str">
        <f t="shared" si="355"/>
        <v/>
      </c>
      <c r="AA1025" s="74">
        <f t="shared" si="356"/>
        <v>0</v>
      </c>
      <c r="AB1025" s="74">
        <f t="shared" si="357"/>
        <v>0</v>
      </c>
      <c r="AC1025" s="74" t="str">
        <f t="shared" si="358"/>
        <v/>
      </c>
      <c r="AE1025" s="74" t="str">
        <f t="shared" si="359"/>
        <v/>
      </c>
      <c r="AF1025" s="74" t="str">
        <f t="shared" si="360"/>
        <v/>
      </c>
      <c r="AG1025" s="74" t="str">
        <f t="shared" si="361"/>
        <v/>
      </c>
      <c r="AH1025" s="74">
        <f t="shared" si="362"/>
        <v>0</v>
      </c>
      <c r="AI1025" s="74" t="str">
        <f>IF(AH1025&lt;&gt;0,COUNTIF(AH$3:AH1025,1),"")</f>
        <v/>
      </c>
      <c r="AJ1025" s="74">
        <f t="shared" si="363"/>
        <v>0</v>
      </c>
      <c r="AK1025" s="73" t="str">
        <f t="shared" si="364"/>
        <v/>
      </c>
      <c r="AL1025" s="73" t="str">
        <f t="shared" si="365"/>
        <v/>
      </c>
      <c r="AM1025" s="73" t="str">
        <f t="shared" si="366"/>
        <v/>
      </c>
      <c r="AN1025" s="73" t="str">
        <f t="shared" si="367"/>
        <v/>
      </c>
    </row>
    <row r="1026" spans="16:40" x14ac:dyDescent="0.25">
      <c r="P1026" s="73" t="str">
        <f t="shared" si="351"/>
        <v/>
      </c>
      <c r="Q1026" s="73" t="str">
        <f t="shared" si="352"/>
        <v/>
      </c>
      <c r="R1026" s="74" t="str">
        <f t="shared" si="353"/>
        <v/>
      </c>
      <c r="S1026" s="74" t="str">
        <f t="shared" si="354"/>
        <v/>
      </c>
      <c r="U1026" s="74" t="str">
        <f t="shared" si="350"/>
        <v/>
      </c>
      <c r="V1026" s="74" t="str">
        <f t="shared" si="350"/>
        <v/>
      </c>
      <c r="W1026" s="74" t="str">
        <f t="shared" si="350"/>
        <v/>
      </c>
      <c r="X1026" s="74" t="str">
        <f t="shared" si="350"/>
        <v/>
      </c>
      <c r="Y1026" s="74" t="str">
        <f t="shared" si="350"/>
        <v/>
      </c>
      <c r="Z1026" s="74" t="str">
        <f t="shared" si="355"/>
        <v/>
      </c>
      <c r="AA1026" s="74">
        <f t="shared" si="356"/>
        <v>0</v>
      </c>
      <c r="AB1026" s="74">
        <f t="shared" si="357"/>
        <v>0</v>
      </c>
      <c r="AC1026" s="74" t="str">
        <f t="shared" si="358"/>
        <v/>
      </c>
      <c r="AE1026" s="74" t="str">
        <f t="shared" si="359"/>
        <v/>
      </c>
      <c r="AF1026" s="74" t="str">
        <f t="shared" si="360"/>
        <v/>
      </c>
      <c r="AG1026" s="74" t="str">
        <f t="shared" si="361"/>
        <v/>
      </c>
      <c r="AH1026" s="74">
        <f t="shared" si="362"/>
        <v>0</v>
      </c>
      <c r="AI1026" s="74" t="str">
        <f>IF(AH1026&lt;&gt;0,COUNTIF(AH$3:AH1026,1),"")</f>
        <v/>
      </c>
      <c r="AJ1026" s="74">
        <f t="shared" si="363"/>
        <v>0</v>
      </c>
      <c r="AK1026" s="73" t="str">
        <f t="shared" si="364"/>
        <v/>
      </c>
      <c r="AL1026" s="73" t="str">
        <f t="shared" si="365"/>
        <v/>
      </c>
      <c r="AM1026" s="73" t="str">
        <f t="shared" si="366"/>
        <v/>
      </c>
      <c r="AN1026" s="73" t="str">
        <f t="shared" si="367"/>
        <v/>
      </c>
    </row>
    <row r="1027" spans="16:40" x14ac:dyDescent="0.25">
      <c r="P1027" s="73" t="str">
        <f t="shared" si="351"/>
        <v/>
      </c>
      <c r="Q1027" s="73" t="str">
        <f t="shared" si="352"/>
        <v/>
      </c>
      <c r="R1027" s="74" t="str">
        <f t="shared" si="353"/>
        <v/>
      </c>
      <c r="S1027" s="74" t="str">
        <f t="shared" si="354"/>
        <v/>
      </c>
      <c r="U1027" s="74" t="str">
        <f t="shared" si="350"/>
        <v/>
      </c>
      <c r="V1027" s="74" t="str">
        <f t="shared" si="350"/>
        <v/>
      </c>
      <c r="W1027" s="74" t="str">
        <f t="shared" si="350"/>
        <v/>
      </c>
      <c r="X1027" s="74" t="str">
        <f t="shared" si="350"/>
        <v/>
      </c>
      <c r="Y1027" s="74" t="str">
        <f t="shared" si="350"/>
        <v/>
      </c>
      <c r="Z1027" s="74" t="str">
        <f t="shared" si="355"/>
        <v/>
      </c>
      <c r="AA1027" s="74">
        <f t="shared" si="356"/>
        <v>0</v>
      </c>
      <c r="AB1027" s="74">
        <f t="shared" si="357"/>
        <v>0</v>
      </c>
      <c r="AC1027" s="74" t="str">
        <f t="shared" si="358"/>
        <v/>
      </c>
      <c r="AE1027" s="74" t="str">
        <f t="shared" si="359"/>
        <v/>
      </c>
      <c r="AF1027" s="74" t="str">
        <f t="shared" si="360"/>
        <v/>
      </c>
      <c r="AG1027" s="74" t="str">
        <f t="shared" si="361"/>
        <v/>
      </c>
      <c r="AH1027" s="74">
        <f t="shared" si="362"/>
        <v>0</v>
      </c>
      <c r="AI1027" s="74" t="str">
        <f>IF(AH1027&lt;&gt;0,COUNTIF(AH$3:AH1027,1),"")</f>
        <v/>
      </c>
      <c r="AJ1027" s="74">
        <f t="shared" si="363"/>
        <v>0</v>
      </c>
      <c r="AK1027" s="73" t="str">
        <f t="shared" si="364"/>
        <v/>
      </c>
      <c r="AL1027" s="73" t="str">
        <f t="shared" si="365"/>
        <v/>
      </c>
      <c r="AM1027" s="73" t="str">
        <f t="shared" si="366"/>
        <v/>
      </c>
      <c r="AN1027" s="73" t="str">
        <f t="shared" si="367"/>
        <v/>
      </c>
    </row>
    <row r="1028" spans="16:40" x14ac:dyDescent="0.25">
      <c r="P1028" s="73" t="str">
        <f t="shared" si="351"/>
        <v/>
      </c>
      <c r="Q1028" s="73" t="str">
        <f t="shared" si="352"/>
        <v/>
      </c>
      <c r="R1028" s="74" t="str">
        <f t="shared" si="353"/>
        <v/>
      </c>
      <c r="S1028" s="74" t="str">
        <f t="shared" si="354"/>
        <v/>
      </c>
      <c r="U1028" s="74" t="str">
        <f t="shared" si="350"/>
        <v/>
      </c>
      <c r="V1028" s="74" t="str">
        <f t="shared" si="350"/>
        <v/>
      </c>
      <c r="W1028" s="74" t="str">
        <f t="shared" si="350"/>
        <v/>
      </c>
      <c r="X1028" s="74" t="str">
        <f t="shared" si="350"/>
        <v/>
      </c>
      <c r="Y1028" s="74" t="str">
        <f t="shared" si="350"/>
        <v/>
      </c>
      <c r="Z1028" s="74" t="str">
        <f t="shared" si="355"/>
        <v/>
      </c>
      <c r="AA1028" s="74">
        <f t="shared" si="356"/>
        <v>0</v>
      </c>
      <c r="AB1028" s="74">
        <f t="shared" si="357"/>
        <v>0</v>
      </c>
      <c r="AC1028" s="74" t="str">
        <f t="shared" si="358"/>
        <v/>
      </c>
      <c r="AE1028" s="74" t="str">
        <f t="shared" si="359"/>
        <v/>
      </c>
      <c r="AF1028" s="74" t="str">
        <f t="shared" si="360"/>
        <v/>
      </c>
      <c r="AG1028" s="74" t="str">
        <f t="shared" si="361"/>
        <v/>
      </c>
      <c r="AH1028" s="74">
        <f t="shared" si="362"/>
        <v>0</v>
      </c>
      <c r="AI1028" s="74" t="str">
        <f>IF(AH1028&lt;&gt;0,COUNTIF(AH$3:AH1028,1),"")</f>
        <v/>
      </c>
      <c r="AJ1028" s="74">
        <f t="shared" si="363"/>
        <v>0</v>
      </c>
      <c r="AK1028" s="73" t="str">
        <f t="shared" si="364"/>
        <v/>
      </c>
      <c r="AL1028" s="73" t="str">
        <f t="shared" si="365"/>
        <v/>
      </c>
      <c r="AM1028" s="73" t="str">
        <f t="shared" si="366"/>
        <v/>
      </c>
      <c r="AN1028" s="73" t="str">
        <f t="shared" si="367"/>
        <v/>
      </c>
    </row>
    <row r="1029" spans="16:40" x14ac:dyDescent="0.25">
      <c r="P1029" s="73" t="str">
        <f t="shared" si="351"/>
        <v/>
      </c>
      <c r="Q1029" s="73" t="str">
        <f t="shared" si="352"/>
        <v/>
      </c>
      <c r="R1029" s="74" t="str">
        <f t="shared" si="353"/>
        <v/>
      </c>
      <c r="S1029" s="74" t="str">
        <f t="shared" si="354"/>
        <v/>
      </c>
      <c r="U1029" s="74" t="str">
        <f t="shared" si="350"/>
        <v/>
      </c>
      <c r="V1029" s="74" t="str">
        <f t="shared" si="350"/>
        <v/>
      </c>
      <c r="W1029" s="74" t="str">
        <f t="shared" si="350"/>
        <v/>
      </c>
      <c r="X1029" s="74" t="str">
        <f t="shared" si="350"/>
        <v/>
      </c>
      <c r="Y1029" s="74" t="str">
        <f t="shared" si="350"/>
        <v/>
      </c>
      <c r="Z1029" s="74" t="str">
        <f t="shared" si="355"/>
        <v/>
      </c>
      <c r="AA1029" s="74">
        <f t="shared" si="356"/>
        <v>0</v>
      </c>
      <c r="AB1029" s="74">
        <f t="shared" si="357"/>
        <v>0</v>
      </c>
      <c r="AC1029" s="74" t="str">
        <f t="shared" si="358"/>
        <v/>
      </c>
      <c r="AE1029" s="74" t="str">
        <f t="shared" si="359"/>
        <v/>
      </c>
      <c r="AF1029" s="74" t="str">
        <f t="shared" si="360"/>
        <v/>
      </c>
      <c r="AG1029" s="74" t="str">
        <f t="shared" si="361"/>
        <v/>
      </c>
      <c r="AH1029" s="74">
        <f t="shared" si="362"/>
        <v>0</v>
      </c>
      <c r="AI1029" s="74" t="str">
        <f>IF(AH1029&lt;&gt;0,COUNTIF(AH$3:AH1029,1),"")</f>
        <v/>
      </c>
      <c r="AJ1029" s="74">
        <f t="shared" si="363"/>
        <v>0</v>
      </c>
      <c r="AK1029" s="73" t="str">
        <f t="shared" si="364"/>
        <v/>
      </c>
      <c r="AL1029" s="73" t="str">
        <f t="shared" si="365"/>
        <v/>
      </c>
      <c r="AM1029" s="73" t="str">
        <f t="shared" si="366"/>
        <v/>
      </c>
      <c r="AN1029" s="73" t="str">
        <f t="shared" si="367"/>
        <v/>
      </c>
    </row>
    <row r="1030" spans="16:40" x14ac:dyDescent="0.25">
      <c r="P1030" s="73" t="str">
        <f t="shared" si="351"/>
        <v/>
      </c>
      <c r="Q1030" s="73" t="str">
        <f t="shared" si="352"/>
        <v/>
      </c>
      <c r="R1030" s="74" t="str">
        <f t="shared" si="353"/>
        <v/>
      </c>
      <c r="S1030" s="74" t="str">
        <f t="shared" si="354"/>
        <v/>
      </c>
      <c r="U1030" s="74" t="str">
        <f t="shared" si="350"/>
        <v/>
      </c>
      <c r="V1030" s="74" t="str">
        <f t="shared" si="350"/>
        <v/>
      </c>
      <c r="W1030" s="74" t="str">
        <f t="shared" si="350"/>
        <v/>
      </c>
      <c r="X1030" s="74" t="str">
        <f t="shared" si="350"/>
        <v/>
      </c>
      <c r="Y1030" s="74" t="str">
        <f t="shared" si="350"/>
        <v/>
      </c>
      <c r="Z1030" s="74" t="str">
        <f t="shared" si="355"/>
        <v/>
      </c>
      <c r="AA1030" s="74">
        <f t="shared" si="356"/>
        <v>0</v>
      </c>
      <c r="AB1030" s="74">
        <f t="shared" si="357"/>
        <v>0</v>
      </c>
      <c r="AC1030" s="74" t="str">
        <f t="shared" si="358"/>
        <v/>
      </c>
      <c r="AE1030" s="74" t="str">
        <f t="shared" si="359"/>
        <v/>
      </c>
      <c r="AF1030" s="74" t="str">
        <f t="shared" si="360"/>
        <v/>
      </c>
      <c r="AG1030" s="74" t="str">
        <f t="shared" si="361"/>
        <v/>
      </c>
      <c r="AH1030" s="74">
        <f t="shared" si="362"/>
        <v>0</v>
      </c>
      <c r="AI1030" s="74" t="str">
        <f>IF(AH1030&lt;&gt;0,COUNTIF(AH$3:AH1030,1),"")</f>
        <v/>
      </c>
      <c r="AJ1030" s="74">
        <f t="shared" si="363"/>
        <v>0</v>
      </c>
      <c r="AK1030" s="73" t="str">
        <f t="shared" si="364"/>
        <v/>
      </c>
      <c r="AL1030" s="73" t="str">
        <f t="shared" si="365"/>
        <v/>
      </c>
      <c r="AM1030" s="73" t="str">
        <f t="shared" si="366"/>
        <v/>
      </c>
      <c r="AN1030" s="73" t="str">
        <f t="shared" si="367"/>
        <v/>
      </c>
    </row>
    <row r="1031" spans="16:40" x14ac:dyDescent="0.25">
      <c r="P1031" s="73" t="str">
        <f t="shared" si="351"/>
        <v/>
      </c>
      <c r="Q1031" s="73" t="str">
        <f t="shared" si="352"/>
        <v/>
      </c>
      <c r="R1031" s="74" t="str">
        <f t="shared" si="353"/>
        <v/>
      </c>
      <c r="S1031" s="74" t="str">
        <f t="shared" si="354"/>
        <v/>
      </c>
      <c r="U1031" s="74" t="str">
        <f t="shared" si="350"/>
        <v/>
      </c>
      <c r="V1031" s="74" t="str">
        <f t="shared" si="350"/>
        <v/>
      </c>
      <c r="W1031" s="74" t="str">
        <f t="shared" si="350"/>
        <v/>
      </c>
      <c r="X1031" s="74" t="str">
        <f t="shared" si="350"/>
        <v/>
      </c>
      <c r="Y1031" s="74" t="str">
        <f t="shared" si="350"/>
        <v/>
      </c>
      <c r="Z1031" s="74" t="str">
        <f t="shared" si="355"/>
        <v/>
      </c>
      <c r="AA1031" s="74">
        <f t="shared" si="356"/>
        <v>0</v>
      </c>
      <c r="AB1031" s="74">
        <f t="shared" si="357"/>
        <v>0</v>
      </c>
      <c r="AC1031" s="74" t="str">
        <f t="shared" si="358"/>
        <v/>
      </c>
      <c r="AE1031" s="74" t="str">
        <f t="shared" si="359"/>
        <v/>
      </c>
      <c r="AF1031" s="74" t="str">
        <f t="shared" si="360"/>
        <v/>
      </c>
      <c r="AG1031" s="74" t="str">
        <f t="shared" si="361"/>
        <v/>
      </c>
      <c r="AH1031" s="74">
        <f t="shared" si="362"/>
        <v>0</v>
      </c>
      <c r="AI1031" s="74" t="str">
        <f>IF(AH1031&lt;&gt;0,COUNTIF(AH$3:AH1031,1),"")</f>
        <v/>
      </c>
      <c r="AJ1031" s="74">
        <f t="shared" si="363"/>
        <v>0</v>
      </c>
      <c r="AK1031" s="73" t="str">
        <f t="shared" si="364"/>
        <v/>
      </c>
      <c r="AL1031" s="73" t="str">
        <f t="shared" si="365"/>
        <v/>
      </c>
      <c r="AM1031" s="73" t="str">
        <f t="shared" si="366"/>
        <v/>
      </c>
      <c r="AN1031" s="73" t="str">
        <f t="shared" si="367"/>
        <v/>
      </c>
    </row>
    <row r="1032" spans="16:40" x14ac:dyDescent="0.25">
      <c r="P1032" s="73" t="str">
        <f t="shared" si="351"/>
        <v/>
      </c>
      <c r="Q1032" s="73" t="str">
        <f t="shared" si="352"/>
        <v/>
      </c>
      <c r="R1032" s="74" t="str">
        <f t="shared" si="353"/>
        <v/>
      </c>
      <c r="S1032" s="74" t="str">
        <f t="shared" si="354"/>
        <v/>
      </c>
      <c r="U1032" s="74" t="str">
        <f t="shared" si="350"/>
        <v/>
      </c>
      <c r="V1032" s="74" t="str">
        <f t="shared" si="350"/>
        <v/>
      </c>
      <c r="W1032" s="74" t="str">
        <f t="shared" si="350"/>
        <v/>
      </c>
      <c r="X1032" s="74" t="str">
        <f t="shared" si="350"/>
        <v/>
      </c>
      <c r="Y1032" s="74" t="str">
        <f t="shared" si="350"/>
        <v/>
      </c>
      <c r="Z1032" s="74" t="str">
        <f t="shared" si="355"/>
        <v/>
      </c>
      <c r="AA1032" s="74">
        <f t="shared" si="356"/>
        <v>0</v>
      </c>
      <c r="AB1032" s="74">
        <f t="shared" si="357"/>
        <v>0</v>
      </c>
      <c r="AC1032" s="74" t="str">
        <f t="shared" si="358"/>
        <v/>
      </c>
      <c r="AE1032" s="74" t="str">
        <f t="shared" si="359"/>
        <v/>
      </c>
      <c r="AF1032" s="74" t="str">
        <f t="shared" si="360"/>
        <v/>
      </c>
      <c r="AG1032" s="74" t="str">
        <f t="shared" si="361"/>
        <v/>
      </c>
      <c r="AH1032" s="74">
        <f t="shared" si="362"/>
        <v>0</v>
      </c>
      <c r="AI1032" s="74" t="str">
        <f>IF(AH1032&lt;&gt;0,COUNTIF(AH$3:AH1032,1),"")</f>
        <v/>
      </c>
      <c r="AJ1032" s="74">
        <f t="shared" si="363"/>
        <v>0</v>
      </c>
      <c r="AK1032" s="73" t="str">
        <f t="shared" si="364"/>
        <v/>
      </c>
      <c r="AL1032" s="73" t="str">
        <f t="shared" si="365"/>
        <v/>
      </c>
      <c r="AM1032" s="73" t="str">
        <f t="shared" si="366"/>
        <v/>
      </c>
      <c r="AN1032" s="73" t="str">
        <f t="shared" si="367"/>
        <v/>
      </c>
    </row>
    <row r="1033" spans="16:40" x14ac:dyDescent="0.25">
      <c r="P1033" s="73" t="str">
        <f t="shared" si="351"/>
        <v/>
      </c>
      <c r="Q1033" s="73" t="str">
        <f t="shared" si="352"/>
        <v/>
      </c>
      <c r="R1033" s="74" t="str">
        <f t="shared" si="353"/>
        <v/>
      </c>
      <c r="S1033" s="74" t="str">
        <f t="shared" si="354"/>
        <v/>
      </c>
      <c r="U1033" s="74" t="str">
        <f t="shared" si="350"/>
        <v/>
      </c>
      <c r="V1033" s="74" t="str">
        <f t="shared" si="350"/>
        <v/>
      </c>
      <c r="W1033" s="74" t="str">
        <f t="shared" si="350"/>
        <v/>
      </c>
      <c r="X1033" s="74" t="str">
        <f t="shared" si="350"/>
        <v/>
      </c>
      <c r="Y1033" s="74" t="str">
        <f t="shared" si="350"/>
        <v/>
      </c>
      <c r="Z1033" s="74" t="str">
        <f t="shared" si="355"/>
        <v/>
      </c>
      <c r="AA1033" s="74">
        <f t="shared" si="356"/>
        <v>0</v>
      </c>
      <c r="AB1033" s="74">
        <f t="shared" si="357"/>
        <v>0</v>
      </c>
      <c r="AC1033" s="74" t="str">
        <f t="shared" si="358"/>
        <v/>
      </c>
      <c r="AE1033" s="74" t="str">
        <f t="shared" si="359"/>
        <v/>
      </c>
      <c r="AF1033" s="74" t="str">
        <f t="shared" si="360"/>
        <v/>
      </c>
      <c r="AG1033" s="74" t="str">
        <f t="shared" si="361"/>
        <v/>
      </c>
      <c r="AH1033" s="74">
        <f t="shared" si="362"/>
        <v>0</v>
      </c>
      <c r="AI1033" s="74" t="str">
        <f>IF(AH1033&lt;&gt;0,COUNTIF(AH$3:AH1033,1),"")</f>
        <v/>
      </c>
      <c r="AJ1033" s="74">
        <f t="shared" si="363"/>
        <v>0</v>
      </c>
      <c r="AK1033" s="73" t="str">
        <f t="shared" si="364"/>
        <v/>
      </c>
      <c r="AL1033" s="73" t="str">
        <f t="shared" si="365"/>
        <v/>
      </c>
      <c r="AM1033" s="73" t="str">
        <f t="shared" si="366"/>
        <v/>
      </c>
      <c r="AN1033" s="73" t="str">
        <f t="shared" si="367"/>
        <v/>
      </c>
    </row>
    <row r="1034" spans="16:40" x14ac:dyDescent="0.25">
      <c r="P1034" s="73" t="str">
        <f t="shared" si="351"/>
        <v/>
      </c>
      <c r="Q1034" s="73" t="str">
        <f t="shared" si="352"/>
        <v/>
      </c>
      <c r="R1034" s="74" t="str">
        <f t="shared" si="353"/>
        <v/>
      </c>
      <c r="S1034" s="74" t="str">
        <f t="shared" si="354"/>
        <v/>
      </c>
      <c r="U1034" s="74" t="str">
        <f t="shared" si="350"/>
        <v/>
      </c>
      <c r="V1034" s="74" t="str">
        <f t="shared" si="350"/>
        <v/>
      </c>
      <c r="W1034" s="74" t="str">
        <f t="shared" si="350"/>
        <v/>
      </c>
      <c r="X1034" s="74" t="str">
        <f t="shared" si="350"/>
        <v/>
      </c>
      <c r="Y1034" s="74" t="str">
        <f t="shared" si="350"/>
        <v/>
      </c>
      <c r="Z1034" s="74" t="str">
        <f t="shared" si="355"/>
        <v/>
      </c>
      <c r="AA1034" s="74">
        <f t="shared" si="356"/>
        <v>0</v>
      </c>
      <c r="AB1034" s="74">
        <f t="shared" si="357"/>
        <v>0</v>
      </c>
      <c r="AC1034" s="74" t="str">
        <f t="shared" si="358"/>
        <v/>
      </c>
      <c r="AE1034" s="74" t="str">
        <f t="shared" si="359"/>
        <v/>
      </c>
      <c r="AF1034" s="74" t="str">
        <f t="shared" si="360"/>
        <v/>
      </c>
      <c r="AG1034" s="74" t="str">
        <f t="shared" si="361"/>
        <v/>
      </c>
      <c r="AH1034" s="74">
        <f t="shared" si="362"/>
        <v>0</v>
      </c>
      <c r="AI1034" s="74" t="str">
        <f>IF(AH1034&lt;&gt;0,COUNTIF(AH$3:AH1034,1),"")</f>
        <v/>
      </c>
      <c r="AJ1034" s="74">
        <f t="shared" si="363"/>
        <v>0</v>
      </c>
      <c r="AK1034" s="73" t="str">
        <f t="shared" si="364"/>
        <v/>
      </c>
      <c r="AL1034" s="73" t="str">
        <f t="shared" si="365"/>
        <v/>
      </c>
      <c r="AM1034" s="73" t="str">
        <f t="shared" si="366"/>
        <v/>
      </c>
      <c r="AN1034" s="73" t="str">
        <f t="shared" si="367"/>
        <v/>
      </c>
    </row>
    <row r="1035" spans="16:40" x14ac:dyDescent="0.25">
      <c r="P1035" s="73" t="str">
        <f t="shared" si="351"/>
        <v/>
      </c>
      <c r="Q1035" s="73" t="str">
        <f t="shared" si="352"/>
        <v/>
      </c>
      <c r="R1035" s="74" t="str">
        <f t="shared" si="353"/>
        <v/>
      </c>
      <c r="S1035" s="74" t="str">
        <f t="shared" si="354"/>
        <v/>
      </c>
      <c r="U1035" s="74" t="str">
        <f t="shared" si="350"/>
        <v/>
      </c>
      <c r="V1035" s="74" t="str">
        <f t="shared" si="350"/>
        <v/>
      </c>
      <c r="W1035" s="74" t="str">
        <f t="shared" si="350"/>
        <v/>
      </c>
      <c r="X1035" s="74" t="str">
        <f t="shared" si="350"/>
        <v/>
      </c>
      <c r="Y1035" s="74" t="str">
        <f t="shared" si="350"/>
        <v/>
      </c>
      <c r="Z1035" s="74" t="str">
        <f t="shared" si="355"/>
        <v/>
      </c>
      <c r="AA1035" s="74">
        <f t="shared" si="356"/>
        <v>0</v>
      </c>
      <c r="AB1035" s="74">
        <f t="shared" si="357"/>
        <v>0</v>
      </c>
      <c r="AC1035" s="74" t="str">
        <f t="shared" si="358"/>
        <v/>
      </c>
      <c r="AE1035" s="74" t="str">
        <f t="shared" si="359"/>
        <v/>
      </c>
      <c r="AF1035" s="74" t="str">
        <f t="shared" si="360"/>
        <v/>
      </c>
      <c r="AG1035" s="74" t="str">
        <f t="shared" si="361"/>
        <v/>
      </c>
      <c r="AH1035" s="74">
        <f t="shared" si="362"/>
        <v>0</v>
      </c>
      <c r="AI1035" s="74" t="str">
        <f>IF(AH1035&lt;&gt;0,COUNTIF(AH$3:AH1035,1),"")</f>
        <v/>
      </c>
      <c r="AJ1035" s="74">
        <f t="shared" si="363"/>
        <v>0</v>
      </c>
      <c r="AK1035" s="73" t="str">
        <f t="shared" si="364"/>
        <v/>
      </c>
      <c r="AL1035" s="73" t="str">
        <f t="shared" si="365"/>
        <v/>
      </c>
      <c r="AM1035" s="73" t="str">
        <f t="shared" si="366"/>
        <v/>
      </c>
      <c r="AN1035" s="73" t="str">
        <f t="shared" si="367"/>
        <v/>
      </c>
    </row>
    <row r="1036" spans="16:40" x14ac:dyDescent="0.25">
      <c r="P1036" s="73" t="str">
        <f t="shared" si="351"/>
        <v/>
      </c>
      <c r="Q1036" s="73" t="str">
        <f t="shared" si="352"/>
        <v/>
      </c>
      <c r="R1036" s="74" t="str">
        <f t="shared" si="353"/>
        <v/>
      </c>
      <c r="S1036" s="74" t="str">
        <f t="shared" si="354"/>
        <v/>
      </c>
      <c r="U1036" s="74" t="str">
        <f t="shared" si="350"/>
        <v/>
      </c>
      <c r="V1036" s="74" t="str">
        <f t="shared" si="350"/>
        <v/>
      </c>
      <c r="W1036" s="74" t="str">
        <f t="shared" si="350"/>
        <v/>
      </c>
      <c r="X1036" s="74" t="str">
        <f t="shared" si="350"/>
        <v/>
      </c>
      <c r="Y1036" s="74" t="str">
        <f t="shared" si="350"/>
        <v/>
      </c>
      <c r="Z1036" s="74" t="str">
        <f t="shared" si="355"/>
        <v/>
      </c>
      <c r="AA1036" s="74">
        <f t="shared" si="356"/>
        <v>0</v>
      </c>
      <c r="AB1036" s="74">
        <f t="shared" si="357"/>
        <v>0</v>
      </c>
      <c r="AC1036" s="74" t="str">
        <f t="shared" si="358"/>
        <v/>
      </c>
      <c r="AE1036" s="74" t="str">
        <f t="shared" si="359"/>
        <v/>
      </c>
      <c r="AF1036" s="74" t="str">
        <f t="shared" si="360"/>
        <v/>
      </c>
      <c r="AG1036" s="74" t="str">
        <f t="shared" si="361"/>
        <v/>
      </c>
      <c r="AH1036" s="74">
        <f t="shared" si="362"/>
        <v>0</v>
      </c>
      <c r="AI1036" s="74" t="str">
        <f>IF(AH1036&lt;&gt;0,COUNTIF(AH$3:AH1036,1),"")</f>
        <v/>
      </c>
      <c r="AJ1036" s="74">
        <f t="shared" si="363"/>
        <v>0</v>
      </c>
      <c r="AK1036" s="73" t="str">
        <f t="shared" si="364"/>
        <v/>
      </c>
      <c r="AL1036" s="73" t="str">
        <f t="shared" si="365"/>
        <v/>
      </c>
      <c r="AM1036" s="73" t="str">
        <f t="shared" si="366"/>
        <v/>
      </c>
      <c r="AN1036" s="73" t="str">
        <f t="shared" si="367"/>
        <v/>
      </c>
    </row>
    <row r="1037" spans="16:40" x14ac:dyDescent="0.25">
      <c r="P1037" s="73" t="str">
        <f t="shared" si="351"/>
        <v/>
      </c>
      <c r="Q1037" s="73" t="str">
        <f t="shared" si="352"/>
        <v/>
      </c>
      <c r="R1037" s="74" t="str">
        <f t="shared" si="353"/>
        <v/>
      </c>
      <c r="S1037" s="74" t="str">
        <f t="shared" si="354"/>
        <v/>
      </c>
      <c r="U1037" s="74" t="str">
        <f t="shared" si="350"/>
        <v/>
      </c>
      <c r="V1037" s="74" t="str">
        <f t="shared" si="350"/>
        <v/>
      </c>
      <c r="W1037" s="74" t="str">
        <f t="shared" si="350"/>
        <v/>
      </c>
      <c r="X1037" s="74" t="str">
        <f t="shared" si="350"/>
        <v/>
      </c>
      <c r="Y1037" s="74" t="str">
        <f t="shared" si="350"/>
        <v/>
      </c>
      <c r="Z1037" s="74" t="str">
        <f t="shared" si="355"/>
        <v/>
      </c>
      <c r="AA1037" s="74">
        <f t="shared" si="356"/>
        <v>0</v>
      </c>
      <c r="AB1037" s="74">
        <f t="shared" si="357"/>
        <v>0</v>
      </c>
      <c r="AC1037" s="74" t="str">
        <f t="shared" si="358"/>
        <v/>
      </c>
      <c r="AE1037" s="74" t="str">
        <f t="shared" si="359"/>
        <v/>
      </c>
      <c r="AF1037" s="74" t="str">
        <f t="shared" si="360"/>
        <v/>
      </c>
      <c r="AG1037" s="74" t="str">
        <f t="shared" si="361"/>
        <v/>
      </c>
      <c r="AH1037" s="74">
        <f t="shared" si="362"/>
        <v>0</v>
      </c>
      <c r="AI1037" s="74" t="str">
        <f>IF(AH1037&lt;&gt;0,COUNTIF(AH$3:AH1037,1),"")</f>
        <v/>
      </c>
      <c r="AJ1037" s="74">
        <f t="shared" si="363"/>
        <v>0</v>
      </c>
      <c r="AK1037" s="73" t="str">
        <f t="shared" si="364"/>
        <v/>
      </c>
      <c r="AL1037" s="73" t="str">
        <f t="shared" si="365"/>
        <v/>
      </c>
      <c r="AM1037" s="73" t="str">
        <f t="shared" si="366"/>
        <v/>
      </c>
      <c r="AN1037" s="73" t="str">
        <f t="shared" si="367"/>
        <v/>
      </c>
    </row>
    <row r="1038" spans="16:40" x14ac:dyDescent="0.25">
      <c r="P1038" s="73" t="str">
        <f t="shared" si="351"/>
        <v/>
      </c>
      <c r="Q1038" s="73" t="str">
        <f t="shared" si="352"/>
        <v/>
      </c>
      <c r="R1038" s="74" t="str">
        <f t="shared" si="353"/>
        <v/>
      </c>
      <c r="S1038" s="74" t="str">
        <f t="shared" si="354"/>
        <v/>
      </c>
      <c r="U1038" s="74" t="str">
        <f t="shared" si="350"/>
        <v/>
      </c>
      <c r="V1038" s="74" t="str">
        <f t="shared" si="350"/>
        <v/>
      </c>
      <c r="W1038" s="74" t="str">
        <f t="shared" si="350"/>
        <v/>
      </c>
      <c r="X1038" s="74" t="str">
        <f t="shared" si="350"/>
        <v/>
      </c>
      <c r="Y1038" s="74" t="str">
        <f t="shared" si="350"/>
        <v/>
      </c>
      <c r="Z1038" s="74" t="str">
        <f t="shared" si="355"/>
        <v/>
      </c>
      <c r="AA1038" s="74">
        <f t="shared" si="356"/>
        <v>0</v>
      </c>
      <c r="AB1038" s="74">
        <f t="shared" si="357"/>
        <v>0</v>
      </c>
      <c r="AC1038" s="74" t="str">
        <f t="shared" si="358"/>
        <v/>
      </c>
      <c r="AE1038" s="74" t="str">
        <f t="shared" si="359"/>
        <v/>
      </c>
      <c r="AF1038" s="74" t="str">
        <f t="shared" si="360"/>
        <v/>
      </c>
      <c r="AG1038" s="74" t="str">
        <f t="shared" si="361"/>
        <v/>
      </c>
      <c r="AH1038" s="74">
        <f t="shared" si="362"/>
        <v>0</v>
      </c>
      <c r="AI1038" s="74" t="str">
        <f>IF(AH1038&lt;&gt;0,COUNTIF(AH$3:AH1038,1),"")</f>
        <v/>
      </c>
      <c r="AJ1038" s="74">
        <f t="shared" si="363"/>
        <v>0</v>
      </c>
      <c r="AK1038" s="73" t="str">
        <f t="shared" si="364"/>
        <v/>
      </c>
      <c r="AL1038" s="73" t="str">
        <f t="shared" si="365"/>
        <v/>
      </c>
      <c r="AM1038" s="73" t="str">
        <f t="shared" si="366"/>
        <v/>
      </c>
      <c r="AN1038" s="73" t="str">
        <f t="shared" si="367"/>
        <v/>
      </c>
    </row>
    <row r="1039" spans="16:40" x14ac:dyDescent="0.25">
      <c r="P1039" s="73" t="str">
        <f t="shared" si="351"/>
        <v/>
      </c>
      <c r="Q1039" s="73" t="str">
        <f t="shared" si="352"/>
        <v/>
      </c>
      <c r="R1039" s="74" t="str">
        <f t="shared" si="353"/>
        <v/>
      </c>
      <c r="S1039" s="74" t="str">
        <f t="shared" si="354"/>
        <v/>
      </c>
      <c r="U1039" s="74" t="str">
        <f t="shared" si="350"/>
        <v/>
      </c>
      <c r="V1039" s="74" t="str">
        <f t="shared" si="350"/>
        <v/>
      </c>
      <c r="W1039" s="74" t="str">
        <f t="shared" si="350"/>
        <v/>
      </c>
      <c r="X1039" s="74" t="str">
        <f t="shared" si="350"/>
        <v/>
      </c>
      <c r="Y1039" s="74" t="str">
        <f t="shared" si="350"/>
        <v/>
      </c>
      <c r="Z1039" s="74" t="str">
        <f t="shared" si="355"/>
        <v/>
      </c>
      <c r="AA1039" s="74">
        <f t="shared" si="356"/>
        <v>0</v>
      </c>
      <c r="AB1039" s="74">
        <f t="shared" si="357"/>
        <v>0</v>
      </c>
      <c r="AC1039" s="74" t="str">
        <f t="shared" si="358"/>
        <v/>
      </c>
      <c r="AE1039" s="74" t="str">
        <f t="shared" si="359"/>
        <v/>
      </c>
      <c r="AF1039" s="74" t="str">
        <f t="shared" si="360"/>
        <v/>
      </c>
      <c r="AG1039" s="74" t="str">
        <f t="shared" si="361"/>
        <v/>
      </c>
      <c r="AH1039" s="74">
        <f t="shared" si="362"/>
        <v>0</v>
      </c>
      <c r="AI1039" s="74" t="str">
        <f>IF(AH1039&lt;&gt;0,COUNTIF(AH$3:AH1039,1),"")</f>
        <v/>
      </c>
      <c r="AJ1039" s="74">
        <f t="shared" si="363"/>
        <v>0</v>
      </c>
      <c r="AK1039" s="73" t="str">
        <f t="shared" si="364"/>
        <v/>
      </c>
      <c r="AL1039" s="73" t="str">
        <f t="shared" si="365"/>
        <v/>
      </c>
      <c r="AM1039" s="73" t="str">
        <f t="shared" si="366"/>
        <v/>
      </c>
      <c r="AN1039" s="73" t="str">
        <f t="shared" si="367"/>
        <v/>
      </c>
    </row>
    <row r="1040" spans="16:40" x14ac:dyDescent="0.25">
      <c r="P1040" s="73" t="str">
        <f t="shared" si="351"/>
        <v/>
      </c>
      <c r="Q1040" s="73" t="str">
        <f t="shared" si="352"/>
        <v/>
      </c>
      <c r="R1040" s="74" t="str">
        <f t="shared" si="353"/>
        <v/>
      </c>
      <c r="S1040" s="74" t="str">
        <f t="shared" si="354"/>
        <v/>
      </c>
      <c r="U1040" s="74" t="str">
        <f t="shared" si="350"/>
        <v/>
      </c>
      <c r="V1040" s="74" t="str">
        <f t="shared" si="350"/>
        <v/>
      </c>
      <c r="W1040" s="74" t="str">
        <f t="shared" si="350"/>
        <v/>
      </c>
      <c r="X1040" s="74" t="str">
        <f t="shared" si="350"/>
        <v/>
      </c>
      <c r="Y1040" s="74" t="str">
        <f t="shared" si="350"/>
        <v/>
      </c>
      <c r="Z1040" s="74" t="str">
        <f t="shared" si="355"/>
        <v/>
      </c>
      <c r="AA1040" s="74">
        <f t="shared" si="356"/>
        <v>0</v>
      </c>
      <c r="AB1040" s="74">
        <f t="shared" si="357"/>
        <v>0</v>
      </c>
      <c r="AC1040" s="74" t="str">
        <f t="shared" si="358"/>
        <v/>
      </c>
      <c r="AE1040" s="74" t="str">
        <f t="shared" si="359"/>
        <v/>
      </c>
      <c r="AF1040" s="74" t="str">
        <f t="shared" si="360"/>
        <v/>
      </c>
      <c r="AG1040" s="74" t="str">
        <f t="shared" si="361"/>
        <v/>
      </c>
      <c r="AH1040" s="74">
        <f t="shared" si="362"/>
        <v>0</v>
      </c>
      <c r="AI1040" s="74" t="str">
        <f>IF(AH1040&lt;&gt;0,COUNTIF(AH$3:AH1040,1),"")</f>
        <v/>
      </c>
      <c r="AJ1040" s="74">
        <f t="shared" si="363"/>
        <v>0</v>
      </c>
      <c r="AK1040" s="73" t="str">
        <f t="shared" si="364"/>
        <v/>
      </c>
      <c r="AL1040" s="73" t="str">
        <f t="shared" si="365"/>
        <v/>
      </c>
      <c r="AM1040" s="73" t="str">
        <f t="shared" si="366"/>
        <v/>
      </c>
      <c r="AN1040" s="73" t="str">
        <f t="shared" si="367"/>
        <v/>
      </c>
    </row>
    <row r="1041" spans="16:40" x14ac:dyDescent="0.25">
      <c r="P1041" s="73" t="str">
        <f t="shared" si="351"/>
        <v/>
      </c>
      <c r="Q1041" s="73" t="str">
        <f t="shared" si="352"/>
        <v/>
      </c>
      <c r="R1041" s="74" t="str">
        <f t="shared" si="353"/>
        <v/>
      </c>
      <c r="S1041" s="74" t="str">
        <f t="shared" si="354"/>
        <v/>
      </c>
      <c r="U1041" s="74" t="str">
        <f t="shared" si="350"/>
        <v/>
      </c>
      <c r="V1041" s="74" t="str">
        <f t="shared" si="350"/>
        <v/>
      </c>
      <c r="W1041" s="74" t="str">
        <f t="shared" si="350"/>
        <v/>
      </c>
      <c r="X1041" s="74" t="str">
        <f t="shared" si="350"/>
        <v/>
      </c>
      <c r="Y1041" s="74" t="str">
        <f t="shared" si="350"/>
        <v/>
      </c>
      <c r="Z1041" s="74" t="str">
        <f t="shared" si="355"/>
        <v/>
      </c>
      <c r="AA1041" s="74">
        <f t="shared" si="356"/>
        <v>0</v>
      </c>
      <c r="AB1041" s="74">
        <f t="shared" si="357"/>
        <v>0</v>
      </c>
      <c r="AC1041" s="74" t="str">
        <f t="shared" si="358"/>
        <v/>
      </c>
      <c r="AE1041" s="74" t="str">
        <f t="shared" si="359"/>
        <v/>
      </c>
      <c r="AF1041" s="74" t="str">
        <f t="shared" si="360"/>
        <v/>
      </c>
      <c r="AG1041" s="74" t="str">
        <f t="shared" si="361"/>
        <v/>
      </c>
      <c r="AH1041" s="74">
        <f t="shared" si="362"/>
        <v>0</v>
      </c>
      <c r="AI1041" s="74" t="str">
        <f>IF(AH1041&lt;&gt;0,COUNTIF(AH$3:AH1041,1),"")</f>
        <v/>
      </c>
      <c r="AJ1041" s="74">
        <f t="shared" si="363"/>
        <v>0</v>
      </c>
      <c r="AK1041" s="73" t="str">
        <f t="shared" si="364"/>
        <v/>
      </c>
      <c r="AL1041" s="73" t="str">
        <f t="shared" si="365"/>
        <v/>
      </c>
      <c r="AM1041" s="73" t="str">
        <f t="shared" si="366"/>
        <v/>
      </c>
      <c r="AN1041" s="73" t="str">
        <f t="shared" si="367"/>
        <v/>
      </c>
    </row>
    <row r="1042" spans="16:40" x14ac:dyDescent="0.25">
      <c r="P1042" s="73" t="str">
        <f t="shared" si="351"/>
        <v/>
      </c>
      <c r="Q1042" s="73" t="str">
        <f t="shared" si="352"/>
        <v/>
      </c>
      <c r="R1042" s="74" t="str">
        <f t="shared" si="353"/>
        <v/>
      </c>
      <c r="S1042" s="74" t="str">
        <f t="shared" si="354"/>
        <v/>
      </c>
      <c r="U1042" s="74" t="str">
        <f t="shared" si="350"/>
        <v/>
      </c>
      <c r="V1042" s="74" t="str">
        <f t="shared" si="350"/>
        <v/>
      </c>
      <c r="W1042" s="74" t="str">
        <f t="shared" si="350"/>
        <v/>
      </c>
      <c r="X1042" s="74" t="str">
        <f t="shared" si="350"/>
        <v/>
      </c>
      <c r="Y1042" s="74" t="str">
        <f t="shared" si="350"/>
        <v/>
      </c>
      <c r="Z1042" s="74" t="str">
        <f t="shared" si="355"/>
        <v/>
      </c>
      <c r="AA1042" s="74">
        <f t="shared" si="356"/>
        <v>0</v>
      </c>
      <c r="AB1042" s="74">
        <f t="shared" si="357"/>
        <v>0</v>
      </c>
      <c r="AC1042" s="74" t="str">
        <f t="shared" si="358"/>
        <v/>
      </c>
      <c r="AE1042" s="74" t="str">
        <f t="shared" si="359"/>
        <v/>
      </c>
      <c r="AF1042" s="74" t="str">
        <f t="shared" si="360"/>
        <v/>
      </c>
      <c r="AG1042" s="74" t="str">
        <f t="shared" si="361"/>
        <v/>
      </c>
      <c r="AH1042" s="74">
        <f t="shared" si="362"/>
        <v>0</v>
      </c>
      <c r="AI1042" s="74" t="str">
        <f>IF(AH1042&lt;&gt;0,COUNTIF(AH$3:AH1042,1),"")</f>
        <v/>
      </c>
      <c r="AJ1042" s="74">
        <f t="shared" si="363"/>
        <v>0</v>
      </c>
      <c r="AK1042" s="73" t="str">
        <f t="shared" si="364"/>
        <v/>
      </c>
      <c r="AL1042" s="73" t="str">
        <f t="shared" si="365"/>
        <v/>
      </c>
      <c r="AM1042" s="73" t="str">
        <f t="shared" si="366"/>
        <v/>
      </c>
      <c r="AN1042" s="73" t="str">
        <f t="shared" si="367"/>
        <v/>
      </c>
    </row>
    <row r="1043" spans="16:40" x14ac:dyDescent="0.25">
      <c r="P1043" s="73" t="str">
        <f t="shared" si="351"/>
        <v/>
      </c>
      <c r="Q1043" s="73" t="str">
        <f t="shared" si="352"/>
        <v/>
      </c>
      <c r="R1043" s="74" t="str">
        <f t="shared" si="353"/>
        <v/>
      </c>
      <c r="S1043" s="74" t="str">
        <f t="shared" si="354"/>
        <v/>
      </c>
      <c r="U1043" s="74" t="str">
        <f t="shared" si="350"/>
        <v/>
      </c>
      <c r="V1043" s="74" t="str">
        <f t="shared" si="350"/>
        <v/>
      </c>
      <c r="W1043" s="74" t="str">
        <f t="shared" si="350"/>
        <v/>
      </c>
      <c r="X1043" s="74" t="str">
        <f t="shared" si="350"/>
        <v/>
      </c>
      <c r="Y1043" s="74" t="str">
        <f t="shared" si="350"/>
        <v/>
      </c>
      <c r="Z1043" s="74" t="str">
        <f t="shared" si="355"/>
        <v/>
      </c>
      <c r="AA1043" s="74">
        <f t="shared" si="356"/>
        <v>0</v>
      </c>
      <c r="AB1043" s="74">
        <f t="shared" si="357"/>
        <v>0</v>
      </c>
      <c r="AC1043" s="74" t="str">
        <f t="shared" si="358"/>
        <v/>
      </c>
      <c r="AE1043" s="74" t="str">
        <f t="shared" si="359"/>
        <v/>
      </c>
      <c r="AF1043" s="74" t="str">
        <f t="shared" si="360"/>
        <v/>
      </c>
      <c r="AG1043" s="74" t="str">
        <f t="shared" si="361"/>
        <v/>
      </c>
      <c r="AH1043" s="74">
        <f t="shared" si="362"/>
        <v>0</v>
      </c>
      <c r="AI1043" s="74" t="str">
        <f>IF(AH1043&lt;&gt;0,COUNTIF(AH$3:AH1043,1),"")</f>
        <v/>
      </c>
      <c r="AJ1043" s="74">
        <f t="shared" si="363"/>
        <v>0</v>
      </c>
      <c r="AK1043" s="73" t="str">
        <f t="shared" si="364"/>
        <v/>
      </c>
      <c r="AL1043" s="73" t="str">
        <f t="shared" si="365"/>
        <v/>
      </c>
      <c r="AM1043" s="73" t="str">
        <f t="shared" si="366"/>
        <v/>
      </c>
      <c r="AN1043" s="73" t="str">
        <f t="shared" si="367"/>
        <v/>
      </c>
    </row>
    <row r="1044" spans="16:40" x14ac:dyDescent="0.25">
      <c r="P1044" s="73" t="str">
        <f t="shared" si="351"/>
        <v/>
      </c>
      <c r="Q1044" s="73" t="str">
        <f t="shared" si="352"/>
        <v/>
      </c>
      <c r="R1044" s="74" t="str">
        <f t="shared" si="353"/>
        <v/>
      </c>
      <c r="S1044" s="74" t="str">
        <f t="shared" si="354"/>
        <v/>
      </c>
      <c r="U1044" s="74" t="str">
        <f t="shared" si="350"/>
        <v/>
      </c>
      <c r="V1044" s="74" t="str">
        <f t="shared" si="350"/>
        <v/>
      </c>
      <c r="W1044" s="74" t="str">
        <f t="shared" si="350"/>
        <v/>
      </c>
      <c r="X1044" s="74" t="str">
        <f t="shared" si="350"/>
        <v/>
      </c>
      <c r="Y1044" s="74" t="str">
        <f t="shared" si="350"/>
        <v/>
      </c>
      <c r="Z1044" s="74" t="str">
        <f t="shared" si="355"/>
        <v/>
      </c>
      <c r="AA1044" s="74">
        <f t="shared" si="356"/>
        <v>0</v>
      </c>
      <c r="AB1044" s="74">
        <f t="shared" si="357"/>
        <v>0</v>
      </c>
      <c r="AC1044" s="74" t="str">
        <f t="shared" si="358"/>
        <v/>
      </c>
      <c r="AE1044" s="74" t="str">
        <f t="shared" si="359"/>
        <v/>
      </c>
      <c r="AF1044" s="74" t="str">
        <f t="shared" si="360"/>
        <v/>
      </c>
      <c r="AG1044" s="74" t="str">
        <f t="shared" si="361"/>
        <v/>
      </c>
      <c r="AH1044" s="74">
        <f t="shared" si="362"/>
        <v>0</v>
      </c>
      <c r="AI1044" s="74" t="str">
        <f>IF(AH1044&lt;&gt;0,COUNTIF(AH$3:AH1044,1),"")</f>
        <v/>
      </c>
      <c r="AJ1044" s="74">
        <f t="shared" si="363"/>
        <v>0</v>
      </c>
      <c r="AK1044" s="73" t="str">
        <f t="shared" si="364"/>
        <v/>
      </c>
      <c r="AL1044" s="73" t="str">
        <f t="shared" si="365"/>
        <v/>
      </c>
      <c r="AM1044" s="73" t="str">
        <f t="shared" si="366"/>
        <v/>
      </c>
      <c r="AN1044" s="73" t="str">
        <f t="shared" si="367"/>
        <v/>
      </c>
    </row>
    <row r="1045" spans="16:40" x14ac:dyDescent="0.25">
      <c r="P1045" s="73" t="str">
        <f t="shared" si="351"/>
        <v/>
      </c>
      <c r="Q1045" s="73" t="str">
        <f t="shared" si="352"/>
        <v/>
      </c>
      <c r="R1045" s="74" t="str">
        <f t="shared" si="353"/>
        <v/>
      </c>
      <c r="S1045" s="74" t="str">
        <f t="shared" si="354"/>
        <v/>
      </c>
      <c r="U1045" s="74" t="str">
        <f t="shared" si="350"/>
        <v/>
      </c>
      <c r="V1045" s="74" t="str">
        <f t="shared" si="350"/>
        <v/>
      </c>
      <c r="W1045" s="74" t="str">
        <f t="shared" si="350"/>
        <v/>
      </c>
      <c r="X1045" s="74" t="str">
        <f t="shared" si="350"/>
        <v/>
      </c>
      <c r="Y1045" s="74" t="str">
        <f t="shared" si="350"/>
        <v/>
      </c>
      <c r="Z1045" s="74" t="str">
        <f t="shared" si="355"/>
        <v/>
      </c>
      <c r="AA1045" s="74">
        <f t="shared" si="356"/>
        <v>0</v>
      </c>
      <c r="AB1045" s="74">
        <f t="shared" si="357"/>
        <v>0</v>
      </c>
      <c r="AC1045" s="74" t="str">
        <f t="shared" si="358"/>
        <v/>
      </c>
      <c r="AE1045" s="74" t="str">
        <f t="shared" si="359"/>
        <v/>
      </c>
      <c r="AF1045" s="74" t="str">
        <f t="shared" si="360"/>
        <v/>
      </c>
      <c r="AG1045" s="74" t="str">
        <f t="shared" si="361"/>
        <v/>
      </c>
      <c r="AH1045" s="74">
        <f t="shared" si="362"/>
        <v>0</v>
      </c>
      <c r="AI1045" s="74" t="str">
        <f>IF(AH1045&lt;&gt;0,COUNTIF(AH$3:AH1045,1),"")</f>
        <v/>
      </c>
      <c r="AJ1045" s="74">
        <f t="shared" si="363"/>
        <v>0</v>
      </c>
      <c r="AK1045" s="73" t="str">
        <f t="shared" si="364"/>
        <v/>
      </c>
      <c r="AL1045" s="73" t="str">
        <f t="shared" si="365"/>
        <v/>
      </c>
      <c r="AM1045" s="73" t="str">
        <f t="shared" si="366"/>
        <v/>
      </c>
      <c r="AN1045" s="73" t="str">
        <f t="shared" si="367"/>
        <v/>
      </c>
    </row>
    <row r="1046" spans="16:40" x14ac:dyDescent="0.25">
      <c r="P1046" s="73" t="str">
        <f t="shared" si="351"/>
        <v/>
      </c>
      <c r="Q1046" s="73" t="str">
        <f t="shared" si="352"/>
        <v/>
      </c>
      <c r="R1046" s="74" t="str">
        <f t="shared" si="353"/>
        <v/>
      </c>
      <c r="S1046" s="74" t="str">
        <f t="shared" si="354"/>
        <v/>
      </c>
      <c r="U1046" s="74" t="str">
        <f t="shared" si="350"/>
        <v/>
      </c>
      <c r="V1046" s="74" t="str">
        <f t="shared" si="350"/>
        <v/>
      </c>
      <c r="W1046" s="74" t="str">
        <f t="shared" si="350"/>
        <v/>
      </c>
      <c r="X1046" s="74" t="str">
        <f t="shared" si="350"/>
        <v/>
      </c>
      <c r="Y1046" s="74" t="str">
        <f t="shared" si="350"/>
        <v/>
      </c>
      <c r="Z1046" s="74" t="str">
        <f t="shared" si="355"/>
        <v/>
      </c>
      <c r="AA1046" s="74">
        <f t="shared" si="356"/>
        <v>0</v>
      </c>
      <c r="AB1046" s="74">
        <f t="shared" si="357"/>
        <v>0</v>
      </c>
      <c r="AC1046" s="74" t="str">
        <f t="shared" si="358"/>
        <v/>
      </c>
      <c r="AE1046" s="74" t="str">
        <f t="shared" si="359"/>
        <v/>
      </c>
      <c r="AF1046" s="74" t="str">
        <f t="shared" si="360"/>
        <v/>
      </c>
      <c r="AG1046" s="74" t="str">
        <f t="shared" si="361"/>
        <v/>
      </c>
      <c r="AH1046" s="74">
        <f t="shared" si="362"/>
        <v>0</v>
      </c>
      <c r="AI1046" s="74" t="str">
        <f>IF(AH1046&lt;&gt;0,COUNTIF(AH$3:AH1046,1),"")</f>
        <v/>
      </c>
      <c r="AJ1046" s="74">
        <f t="shared" si="363"/>
        <v>0</v>
      </c>
      <c r="AK1046" s="73" t="str">
        <f t="shared" si="364"/>
        <v/>
      </c>
      <c r="AL1046" s="73" t="str">
        <f t="shared" si="365"/>
        <v/>
      </c>
      <c r="AM1046" s="73" t="str">
        <f t="shared" si="366"/>
        <v/>
      </c>
      <c r="AN1046" s="73" t="str">
        <f t="shared" si="367"/>
        <v/>
      </c>
    </row>
    <row r="1047" spans="16:40" x14ac:dyDescent="0.25">
      <c r="P1047" s="73" t="str">
        <f t="shared" si="351"/>
        <v/>
      </c>
      <c r="Q1047" s="73" t="str">
        <f t="shared" si="352"/>
        <v/>
      </c>
      <c r="R1047" s="74" t="str">
        <f t="shared" si="353"/>
        <v/>
      </c>
      <c r="S1047" s="74" t="str">
        <f t="shared" si="354"/>
        <v/>
      </c>
      <c r="U1047" s="74" t="str">
        <f t="shared" si="350"/>
        <v/>
      </c>
      <c r="V1047" s="74" t="str">
        <f t="shared" si="350"/>
        <v/>
      </c>
      <c r="W1047" s="74" t="str">
        <f t="shared" si="350"/>
        <v/>
      </c>
      <c r="X1047" s="74" t="str">
        <f t="shared" si="350"/>
        <v/>
      </c>
      <c r="Y1047" s="74" t="str">
        <f t="shared" si="350"/>
        <v/>
      </c>
      <c r="Z1047" s="74" t="str">
        <f t="shared" si="355"/>
        <v/>
      </c>
      <c r="AA1047" s="74">
        <f t="shared" si="356"/>
        <v>0</v>
      </c>
      <c r="AB1047" s="74">
        <f t="shared" si="357"/>
        <v>0</v>
      </c>
      <c r="AC1047" s="74" t="str">
        <f t="shared" si="358"/>
        <v/>
      </c>
      <c r="AE1047" s="74" t="str">
        <f t="shared" si="359"/>
        <v/>
      </c>
      <c r="AF1047" s="74" t="str">
        <f t="shared" si="360"/>
        <v/>
      </c>
      <c r="AG1047" s="74" t="str">
        <f t="shared" si="361"/>
        <v/>
      </c>
      <c r="AH1047" s="74">
        <f t="shared" si="362"/>
        <v>0</v>
      </c>
      <c r="AI1047" s="74" t="str">
        <f>IF(AH1047&lt;&gt;0,COUNTIF(AH$3:AH1047,1),"")</f>
        <v/>
      </c>
      <c r="AJ1047" s="74">
        <f t="shared" si="363"/>
        <v>0</v>
      </c>
      <c r="AK1047" s="73" t="str">
        <f t="shared" si="364"/>
        <v/>
      </c>
      <c r="AL1047" s="73" t="str">
        <f t="shared" si="365"/>
        <v/>
      </c>
      <c r="AM1047" s="73" t="str">
        <f t="shared" si="366"/>
        <v/>
      </c>
      <c r="AN1047" s="73" t="str">
        <f t="shared" si="367"/>
        <v/>
      </c>
    </row>
    <row r="1048" spans="16:40" x14ac:dyDescent="0.25">
      <c r="P1048" s="73" t="str">
        <f t="shared" si="351"/>
        <v/>
      </c>
      <c r="Q1048" s="73" t="str">
        <f t="shared" si="352"/>
        <v/>
      </c>
      <c r="R1048" s="74" t="str">
        <f t="shared" si="353"/>
        <v/>
      </c>
      <c r="S1048" s="74" t="str">
        <f t="shared" si="354"/>
        <v/>
      </c>
      <c r="U1048" s="74" t="str">
        <f t="shared" si="350"/>
        <v/>
      </c>
      <c r="V1048" s="74" t="str">
        <f t="shared" si="350"/>
        <v/>
      </c>
      <c r="W1048" s="74" t="str">
        <f t="shared" si="350"/>
        <v/>
      </c>
      <c r="X1048" s="74" t="str">
        <f t="shared" si="350"/>
        <v/>
      </c>
      <c r="Y1048" s="74" t="str">
        <f t="shared" si="350"/>
        <v/>
      </c>
      <c r="Z1048" s="74" t="str">
        <f t="shared" si="355"/>
        <v/>
      </c>
      <c r="AA1048" s="74">
        <f t="shared" si="356"/>
        <v>0</v>
      </c>
      <c r="AB1048" s="74">
        <f t="shared" si="357"/>
        <v>0</v>
      </c>
      <c r="AC1048" s="74" t="str">
        <f t="shared" si="358"/>
        <v/>
      </c>
      <c r="AE1048" s="74" t="str">
        <f t="shared" si="359"/>
        <v/>
      </c>
      <c r="AF1048" s="74" t="str">
        <f t="shared" si="360"/>
        <v/>
      </c>
      <c r="AG1048" s="74" t="str">
        <f t="shared" si="361"/>
        <v/>
      </c>
      <c r="AH1048" s="74">
        <f t="shared" si="362"/>
        <v>0</v>
      </c>
      <c r="AI1048" s="74" t="str">
        <f>IF(AH1048&lt;&gt;0,COUNTIF(AH$3:AH1048,1),"")</f>
        <v/>
      </c>
      <c r="AJ1048" s="74">
        <f t="shared" si="363"/>
        <v>0</v>
      </c>
      <c r="AK1048" s="73" t="str">
        <f t="shared" si="364"/>
        <v/>
      </c>
      <c r="AL1048" s="73" t="str">
        <f t="shared" si="365"/>
        <v/>
      </c>
      <c r="AM1048" s="73" t="str">
        <f t="shared" si="366"/>
        <v/>
      </c>
      <c r="AN1048" s="73" t="str">
        <f t="shared" si="367"/>
        <v/>
      </c>
    </row>
    <row r="1049" spans="16:40" x14ac:dyDescent="0.25">
      <c r="P1049" s="73" t="str">
        <f t="shared" si="351"/>
        <v/>
      </c>
      <c r="Q1049" s="73" t="str">
        <f t="shared" si="352"/>
        <v/>
      </c>
      <c r="R1049" s="74" t="str">
        <f t="shared" si="353"/>
        <v/>
      </c>
      <c r="S1049" s="74" t="str">
        <f t="shared" si="354"/>
        <v/>
      </c>
      <c r="U1049" s="74" t="str">
        <f t="shared" si="350"/>
        <v/>
      </c>
      <c r="V1049" s="74" t="str">
        <f t="shared" si="350"/>
        <v/>
      </c>
      <c r="W1049" s="74" t="str">
        <f t="shared" si="350"/>
        <v/>
      </c>
      <c r="X1049" s="74" t="str">
        <f t="shared" si="350"/>
        <v/>
      </c>
      <c r="Y1049" s="74" t="str">
        <f t="shared" si="350"/>
        <v/>
      </c>
      <c r="Z1049" s="74" t="str">
        <f t="shared" si="355"/>
        <v/>
      </c>
      <c r="AA1049" s="74">
        <f t="shared" si="356"/>
        <v>0</v>
      </c>
      <c r="AB1049" s="74">
        <f t="shared" si="357"/>
        <v>0</v>
      </c>
      <c r="AC1049" s="74" t="str">
        <f t="shared" si="358"/>
        <v/>
      </c>
      <c r="AE1049" s="74" t="str">
        <f t="shared" si="359"/>
        <v/>
      </c>
      <c r="AF1049" s="74" t="str">
        <f t="shared" si="360"/>
        <v/>
      </c>
      <c r="AG1049" s="74" t="str">
        <f t="shared" si="361"/>
        <v/>
      </c>
      <c r="AH1049" s="74">
        <f t="shared" si="362"/>
        <v>0</v>
      </c>
      <c r="AI1049" s="74" t="str">
        <f>IF(AH1049&lt;&gt;0,COUNTIF(AH$3:AH1049,1),"")</f>
        <v/>
      </c>
      <c r="AJ1049" s="74">
        <f t="shared" si="363"/>
        <v>0</v>
      </c>
      <c r="AK1049" s="73" t="str">
        <f t="shared" si="364"/>
        <v/>
      </c>
      <c r="AL1049" s="73" t="str">
        <f t="shared" si="365"/>
        <v/>
      </c>
      <c r="AM1049" s="73" t="str">
        <f t="shared" si="366"/>
        <v/>
      </c>
      <c r="AN1049" s="73" t="str">
        <f t="shared" si="367"/>
        <v/>
      </c>
    </row>
    <row r="1050" spans="16:40" x14ac:dyDescent="0.25">
      <c r="P1050" s="73" t="str">
        <f t="shared" si="351"/>
        <v/>
      </c>
      <c r="Q1050" s="73" t="str">
        <f t="shared" si="352"/>
        <v/>
      </c>
      <c r="R1050" s="74" t="str">
        <f t="shared" si="353"/>
        <v/>
      </c>
      <c r="S1050" s="74" t="str">
        <f t="shared" si="354"/>
        <v/>
      </c>
      <c r="U1050" s="74" t="str">
        <f t="shared" si="350"/>
        <v/>
      </c>
      <c r="V1050" s="74" t="str">
        <f t="shared" si="350"/>
        <v/>
      </c>
      <c r="W1050" s="74" t="str">
        <f t="shared" si="350"/>
        <v/>
      </c>
      <c r="X1050" s="74" t="str">
        <f t="shared" si="350"/>
        <v/>
      </c>
      <c r="Y1050" s="74" t="str">
        <f t="shared" si="350"/>
        <v/>
      </c>
      <c r="Z1050" s="74" t="str">
        <f t="shared" si="355"/>
        <v/>
      </c>
      <c r="AA1050" s="74">
        <f t="shared" si="356"/>
        <v>0</v>
      </c>
      <c r="AB1050" s="74">
        <f t="shared" si="357"/>
        <v>0</v>
      </c>
      <c r="AC1050" s="74" t="str">
        <f t="shared" si="358"/>
        <v/>
      </c>
      <c r="AE1050" s="74" t="str">
        <f t="shared" si="359"/>
        <v/>
      </c>
      <c r="AF1050" s="74" t="str">
        <f t="shared" si="360"/>
        <v/>
      </c>
      <c r="AG1050" s="74" t="str">
        <f t="shared" si="361"/>
        <v/>
      </c>
      <c r="AH1050" s="74">
        <f t="shared" si="362"/>
        <v>0</v>
      </c>
      <c r="AI1050" s="74" t="str">
        <f>IF(AH1050&lt;&gt;0,COUNTIF(AH$3:AH1050,1),"")</f>
        <v/>
      </c>
      <c r="AJ1050" s="74">
        <f t="shared" si="363"/>
        <v>0</v>
      </c>
      <c r="AK1050" s="73" t="str">
        <f t="shared" si="364"/>
        <v/>
      </c>
      <c r="AL1050" s="73" t="str">
        <f t="shared" si="365"/>
        <v/>
      </c>
      <c r="AM1050" s="73" t="str">
        <f t="shared" si="366"/>
        <v/>
      </c>
      <c r="AN1050" s="73" t="str">
        <f t="shared" si="367"/>
        <v/>
      </c>
    </row>
    <row r="1051" spans="16:40" x14ac:dyDescent="0.25">
      <c r="P1051" s="73" t="str">
        <f t="shared" si="351"/>
        <v/>
      </c>
      <c r="Q1051" s="73" t="str">
        <f t="shared" si="352"/>
        <v/>
      </c>
      <c r="R1051" s="74" t="str">
        <f t="shared" si="353"/>
        <v/>
      </c>
      <c r="S1051" s="74" t="str">
        <f t="shared" si="354"/>
        <v/>
      </c>
      <c r="U1051" s="74" t="str">
        <f t="shared" si="350"/>
        <v/>
      </c>
      <c r="V1051" s="74" t="str">
        <f t="shared" si="350"/>
        <v/>
      </c>
      <c r="W1051" s="74" t="str">
        <f t="shared" si="350"/>
        <v/>
      </c>
      <c r="X1051" s="74" t="str">
        <f t="shared" si="350"/>
        <v/>
      </c>
      <c r="Y1051" s="74" t="str">
        <f t="shared" si="350"/>
        <v/>
      </c>
      <c r="Z1051" s="74" t="str">
        <f t="shared" si="355"/>
        <v/>
      </c>
      <c r="AA1051" s="74">
        <f t="shared" si="356"/>
        <v>0</v>
      </c>
      <c r="AB1051" s="74">
        <f t="shared" si="357"/>
        <v>0</v>
      </c>
      <c r="AC1051" s="74" t="str">
        <f t="shared" si="358"/>
        <v/>
      </c>
      <c r="AE1051" s="74" t="str">
        <f t="shared" si="359"/>
        <v/>
      </c>
      <c r="AF1051" s="74" t="str">
        <f t="shared" si="360"/>
        <v/>
      </c>
      <c r="AG1051" s="74" t="str">
        <f t="shared" si="361"/>
        <v/>
      </c>
      <c r="AH1051" s="74">
        <f t="shared" si="362"/>
        <v>0</v>
      </c>
      <c r="AI1051" s="74" t="str">
        <f>IF(AH1051&lt;&gt;0,COUNTIF(AH$3:AH1051,1),"")</f>
        <v/>
      </c>
      <c r="AJ1051" s="74">
        <f t="shared" si="363"/>
        <v>0</v>
      </c>
      <c r="AK1051" s="73" t="str">
        <f t="shared" si="364"/>
        <v/>
      </c>
      <c r="AL1051" s="73" t="str">
        <f t="shared" si="365"/>
        <v/>
      </c>
      <c r="AM1051" s="73" t="str">
        <f t="shared" si="366"/>
        <v/>
      </c>
      <c r="AN1051" s="73" t="str">
        <f t="shared" si="367"/>
        <v/>
      </c>
    </row>
    <row r="1052" spans="16:40" x14ac:dyDescent="0.25">
      <c r="P1052" s="73" t="str">
        <f t="shared" si="351"/>
        <v/>
      </c>
      <c r="Q1052" s="73" t="str">
        <f t="shared" si="352"/>
        <v/>
      </c>
      <c r="R1052" s="74" t="str">
        <f t="shared" si="353"/>
        <v/>
      </c>
      <c r="S1052" s="74" t="str">
        <f t="shared" si="354"/>
        <v/>
      </c>
      <c r="U1052" s="74" t="str">
        <f t="shared" si="350"/>
        <v/>
      </c>
      <c r="V1052" s="74" t="str">
        <f t="shared" si="350"/>
        <v/>
      </c>
      <c r="W1052" s="74" t="str">
        <f t="shared" si="350"/>
        <v/>
      </c>
      <c r="X1052" s="74" t="str">
        <f t="shared" si="350"/>
        <v/>
      </c>
      <c r="Y1052" s="74" t="str">
        <f t="shared" si="350"/>
        <v/>
      </c>
      <c r="Z1052" s="74" t="str">
        <f t="shared" si="355"/>
        <v/>
      </c>
      <c r="AA1052" s="74">
        <f t="shared" si="356"/>
        <v>0</v>
      </c>
      <c r="AB1052" s="74">
        <f t="shared" si="357"/>
        <v>0</v>
      </c>
      <c r="AC1052" s="74" t="str">
        <f t="shared" si="358"/>
        <v/>
      </c>
      <c r="AE1052" s="74" t="str">
        <f t="shared" si="359"/>
        <v/>
      </c>
      <c r="AF1052" s="74" t="str">
        <f t="shared" si="360"/>
        <v/>
      </c>
      <c r="AG1052" s="74" t="str">
        <f t="shared" si="361"/>
        <v/>
      </c>
      <c r="AH1052" s="74">
        <f t="shared" si="362"/>
        <v>0</v>
      </c>
      <c r="AI1052" s="74" t="str">
        <f>IF(AH1052&lt;&gt;0,COUNTIF(AH$3:AH1052,1),"")</f>
        <v/>
      </c>
      <c r="AJ1052" s="74">
        <f t="shared" si="363"/>
        <v>0</v>
      </c>
      <c r="AK1052" s="73" t="str">
        <f t="shared" si="364"/>
        <v/>
      </c>
      <c r="AL1052" s="73" t="str">
        <f t="shared" si="365"/>
        <v/>
      </c>
      <c r="AM1052" s="73" t="str">
        <f t="shared" si="366"/>
        <v/>
      </c>
      <c r="AN1052" s="73" t="str">
        <f t="shared" si="367"/>
        <v/>
      </c>
    </row>
    <row r="1053" spans="16:40" x14ac:dyDescent="0.25">
      <c r="P1053" s="73" t="str">
        <f t="shared" si="351"/>
        <v/>
      </c>
      <c r="Q1053" s="73" t="str">
        <f t="shared" si="352"/>
        <v/>
      </c>
      <c r="R1053" s="74" t="str">
        <f t="shared" si="353"/>
        <v/>
      </c>
      <c r="S1053" s="74" t="str">
        <f t="shared" si="354"/>
        <v/>
      </c>
      <c r="U1053" s="74" t="str">
        <f t="shared" si="350"/>
        <v/>
      </c>
      <c r="V1053" s="74" t="str">
        <f t="shared" si="350"/>
        <v/>
      </c>
      <c r="W1053" s="74" t="str">
        <f t="shared" si="350"/>
        <v/>
      </c>
      <c r="X1053" s="74" t="str">
        <f t="shared" si="350"/>
        <v/>
      </c>
      <c r="Y1053" s="74" t="str">
        <f t="shared" si="350"/>
        <v/>
      </c>
      <c r="Z1053" s="74" t="str">
        <f t="shared" si="355"/>
        <v/>
      </c>
      <c r="AA1053" s="74">
        <f t="shared" si="356"/>
        <v>0</v>
      </c>
      <c r="AB1053" s="74">
        <f t="shared" si="357"/>
        <v>0</v>
      </c>
      <c r="AC1053" s="74" t="str">
        <f t="shared" si="358"/>
        <v/>
      </c>
      <c r="AE1053" s="74" t="str">
        <f t="shared" si="359"/>
        <v/>
      </c>
      <c r="AF1053" s="74" t="str">
        <f t="shared" si="360"/>
        <v/>
      </c>
      <c r="AG1053" s="74" t="str">
        <f t="shared" si="361"/>
        <v/>
      </c>
      <c r="AH1053" s="74">
        <f t="shared" si="362"/>
        <v>0</v>
      </c>
      <c r="AI1053" s="74" t="str">
        <f>IF(AH1053&lt;&gt;0,COUNTIF(AH$3:AH1053,1),"")</f>
        <v/>
      </c>
      <c r="AJ1053" s="74">
        <f t="shared" si="363"/>
        <v>0</v>
      </c>
      <c r="AK1053" s="73" t="str">
        <f t="shared" si="364"/>
        <v/>
      </c>
      <c r="AL1053" s="73" t="str">
        <f t="shared" si="365"/>
        <v/>
      </c>
      <c r="AM1053" s="73" t="str">
        <f t="shared" si="366"/>
        <v/>
      </c>
      <c r="AN1053" s="73" t="str">
        <f t="shared" si="367"/>
        <v/>
      </c>
    </row>
    <row r="1054" spans="16:40" x14ac:dyDescent="0.25">
      <c r="P1054" s="73" t="str">
        <f t="shared" si="351"/>
        <v/>
      </c>
      <c r="Q1054" s="73" t="str">
        <f t="shared" si="352"/>
        <v/>
      </c>
      <c r="R1054" s="74" t="str">
        <f t="shared" si="353"/>
        <v/>
      </c>
      <c r="S1054" s="74" t="str">
        <f t="shared" si="354"/>
        <v/>
      </c>
      <c r="U1054" s="74" t="str">
        <f t="shared" si="350"/>
        <v/>
      </c>
      <c r="V1054" s="74" t="str">
        <f t="shared" si="350"/>
        <v/>
      </c>
      <c r="W1054" s="74" t="str">
        <f t="shared" si="350"/>
        <v/>
      </c>
      <c r="X1054" s="74" t="str">
        <f t="shared" si="350"/>
        <v/>
      </c>
      <c r="Y1054" s="74" t="str">
        <f t="shared" si="350"/>
        <v/>
      </c>
      <c r="Z1054" s="74" t="str">
        <f t="shared" si="355"/>
        <v/>
      </c>
      <c r="AA1054" s="74">
        <f t="shared" si="356"/>
        <v>0</v>
      </c>
      <c r="AB1054" s="74">
        <f t="shared" si="357"/>
        <v>0</v>
      </c>
      <c r="AC1054" s="74" t="str">
        <f t="shared" si="358"/>
        <v/>
      </c>
      <c r="AE1054" s="74" t="str">
        <f t="shared" si="359"/>
        <v/>
      </c>
      <c r="AF1054" s="74" t="str">
        <f t="shared" si="360"/>
        <v/>
      </c>
      <c r="AG1054" s="74" t="str">
        <f t="shared" si="361"/>
        <v/>
      </c>
      <c r="AH1054" s="74">
        <f t="shared" si="362"/>
        <v>0</v>
      </c>
      <c r="AI1054" s="74" t="str">
        <f>IF(AH1054&lt;&gt;0,COUNTIF(AH$3:AH1054,1),"")</f>
        <v/>
      </c>
      <c r="AJ1054" s="74">
        <f t="shared" si="363"/>
        <v>0</v>
      </c>
      <c r="AK1054" s="73" t="str">
        <f t="shared" si="364"/>
        <v/>
      </c>
      <c r="AL1054" s="73" t="str">
        <f t="shared" si="365"/>
        <v/>
      </c>
      <c r="AM1054" s="73" t="str">
        <f t="shared" si="366"/>
        <v/>
      </c>
      <c r="AN1054" s="73" t="str">
        <f t="shared" si="367"/>
        <v/>
      </c>
    </row>
    <row r="1055" spans="16:40" x14ac:dyDescent="0.25">
      <c r="P1055" s="73" t="str">
        <f t="shared" si="351"/>
        <v/>
      </c>
      <c r="Q1055" s="73" t="str">
        <f t="shared" si="352"/>
        <v/>
      </c>
      <c r="R1055" s="74" t="str">
        <f t="shared" si="353"/>
        <v/>
      </c>
      <c r="S1055" s="74" t="str">
        <f t="shared" si="354"/>
        <v/>
      </c>
      <c r="U1055" s="74" t="str">
        <f t="shared" si="350"/>
        <v/>
      </c>
      <c r="V1055" s="74" t="str">
        <f t="shared" si="350"/>
        <v/>
      </c>
      <c r="W1055" s="74" t="str">
        <f t="shared" si="350"/>
        <v/>
      </c>
      <c r="X1055" s="74" t="str">
        <f t="shared" si="350"/>
        <v/>
      </c>
      <c r="Y1055" s="74" t="str">
        <f t="shared" si="350"/>
        <v/>
      </c>
      <c r="Z1055" s="74" t="str">
        <f t="shared" si="355"/>
        <v/>
      </c>
      <c r="AA1055" s="74">
        <f t="shared" si="356"/>
        <v>0</v>
      </c>
      <c r="AB1055" s="74">
        <f t="shared" si="357"/>
        <v>0</v>
      </c>
      <c r="AC1055" s="74" t="str">
        <f t="shared" si="358"/>
        <v/>
      </c>
      <c r="AE1055" s="74" t="str">
        <f t="shared" si="359"/>
        <v/>
      </c>
      <c r="AF1055" s="74" t="str">
        <f t="shared" si="360"/>
        <v/>
      </c>
      <c r="AG1055" s="74" t="str">
        <f t="shared" si="361"/>
        <v/>
      </c>
      <c r="AH1055" s="74">
        <f t="shared" si="362"/>
        <v>0</v>
      </c>
      <c r="AI1055" s="74" t="str">
        <f>IF(AH1055&lt;&gt;0,COUNTIF(AH$3:AH1055,1),"")</f>
        <v/>
      </c>
      <c r="AJ1055" s="74">
        <f t="shared" si="363"/>
        <v>0</v>
      </c>
      <c r="AK1055" s="73" t="str">
        <f t="shared" si="364"/>
        <v/>
      </c>
      <c r="AL1055" s="73" t="str">
        <f t="shared" si="365"/>
        <v/>
      </c>
      <c r="AM1055" s="73" t="str">
        <f t="shared" si="366"/>
        <v/>
      </c>
      <c r="AN1055" s="73" t="str">
        <f t="shared" si="367"/>
        <v/>
      </c>
    </row>
    <row r="1056" spans="16:40" x14ac:dyDescent="0.25">
      <c r="P1056" s="73" t="str">
        <f t="shared" si="351"/>
        <v/>
      </c>
      <c r="Q1056" s="73" t="str">
        <f t="shared" si="352"/>
        <v/>
      </c>
      <c r="R1056" s="74" t="str">
        <f t="shared" si="353"/>
        <v/>
      </c>
      <c r="S1056" s="74" t="str">
        <f t="shared" si="354"/>
        <v/>
      </c>
      <c r="U1056" s="74" t="str">
        <f t="shared" si="350"/>
        <v/>
      </c>
      <c r="V1056" s="74" t="str">
        <f t="shared" si="350"/>
        <v/>
      </c>
      <c r="W1056" s="74" t="str">
        <f t="shared" si="350"/>
        <v/>
      </c>
      <c r="X1056" s="74" t="str">
        <f t="shared" si="350"/>
        <v/>
      </c>
      <c r="Y1056" s="74" t="str">
        <f t="shared" si="350"/>
        <v/>
      </c>
      <c r="Z1056" s="74" t="str">
        <f t="shared" si="355"/>
        <v/>
      </c>
      <c r="AA1056" s="74">
        <f t="shared" si="356"/>
        <v>0</v>
      </c>
      <c r="AB1056" s="74">
        <f t="shared" si="357"/>
        <v>0</v>
      </c>
      <c r="AC1056" s="74" t="str">
        <f t="shared" si="358"/>
        <v/>
      </c>
      <c r="AE1056" s="74" t="str">
        <f t="shared" si="359"/>
        <v/>
      </c>
      <c r="AF1056" s="74" t="str">
        <f t="shared" si="360"/>
        <v/>
      </c>
      <c r="AG1056" s="74" t="str">
        <f t="shared" si="361"/>
        <v/>
      </c>
      <c r="AH1056" s="74">
        <f t="shared" si="362"/>
        <v>0</v>
      </c>
      <c r="AI1056" s="74" t="str">
        <f>IF(AH1056&lt;&gt;0,COUNTIF(AH$3:AH1056,1),"")</f>
        <v/>
      </c>
      <c r="AJ1056" s="74">
        <f t="shared" si="363"/>
        <v>0</v>
      </c>
      <c r="AK1056" s="73" t="str">
        <f t="shared" si="364"/>
        <v/>
      </c>
      <c r="AL1056" s="73" t="str">
        <f t="shared" si="365"/>
        <v/>
      </c>
      <c r="AM1056" s="73" t="str">
        <f t="shared" si="366"/>
        <v/>
      </c>
      <c r="AN1056" s="73" t="str">
        <f t="shared" si="367"/>
        <v/>
      </c>
    </row>
    <row r="1057" spans="16:40" x14ac:dyDescent="0.25">
      <c r="P1057" s="73" t="str">
        <f t="shared" si="351"/>
        <v/>
      </c>
      <c r="Q1057" s="73" t="str">
        <f t="shared" si="352"/>
        <v/>
      </c>
      <c r="R1057" s="74" t="str">
        <f t="shared" si="353"/>
        <v/>
      </c>
      <c r="S1057" s="74" t="str">
        <f t="shared" si="354"/>
        <v/>
      </c>
      <c r="U1057" s="74" t="str">
        <f t="shared" ref="U1057:Y1107" si="368">IF($F1057=U$1,$E1057,"")</f>
        <v/>
      </c>
      <c r="V1057" s="74" t="str">
        <f t="shared" si="368"/>
        <v/>
      </c>
      <c r="W1057" s="74" t="str">
        <f t="shared" si="368"/>
        <v/>
      </c>
      <c r="X1057" s="74" t="str">
        <f t="shared" si="368"/>
        <v/>
      </c>
      <c r="Y1057" s="74" t="str">
        <f t="shared" si="368"/>
        <v/>
      </c>
      <c r="Z1057" s="74" t="str">
        <f t="shared" si="355"/>
        <v/>
      </c>
      <c r="AA1057" s="74">
        <f t="shared" si="356"/>
        <v>0</v>
      </c>
      <c r="AB1057" s="74">
        <f t="shared" si="357"/>
        <v>0</v>
      </c>
      <c r="AC1057" s="74" t="str">
        <f t="shared" si="358"/>
        <v/>
      </c>
      <c r="AE1057" s="74" t="str">
        <f t="shared" si="359"/>
        <v/>
      </c>
      <c r="AF1057" s="74" t="str">
        <f t="shared" si="360"/>
        <v/>
      </c>
      <c r="AG1057" s="74" t="str">
        <f t="shared" si="361"/>
        <v/>
      </c>
      <c r="AH1057" s="74">
        <f t="shared" si="362"/>
        <v>0</v>
      </c>
      <c r="AI1057" s="74" t="str">
        <f>IF(AH1057&lt;&gt;0,COUNTIF(AH$3:AH1057,1),"")</f>
        <v/>
      </c>
      <c r="AJ1057" s="74">
        <f t="shared" si="363"/>
        <v>0</v>
      </c>
      <c r="AK1057" s="73" t="str">
        <f t="shared" si="364"/>
        <v/>
      </c>
      <c r="AL1057" s="73" t="str">
        <f t="shared" si="365"/>
        <v/>
      </c>
      <c r="AM1057" s="73" t="str">
        <f t="shared" si="366"/>
        <v/>
      </c>
      <c r="AN1057" s="73" t="str">
        <f t="shared" si="367"/>
        <v/>
      </c>
    </row>
    <row r="1058" spans="16:40" x14ac:dyDescent="0.25">
      <c r="P1058" s="73" t="str">
        <f t="shared" si="351"/>
        <v/>
      </c>
      <c r="Q1058" s="73" t="str">
        <f t="shared" si="352"/>
        <v/>
      </c>
      <c r="R1058" s="74" t="str">
        <f t="shared" si="353"/>
        <v/>
      </c>
      <c r="S1058" s="74" t="str">
        <f t="shared" si="354"/>
        <v/>
      </c>
      <c r="U1058" s="74" t="str">
        <f t="shared" si="368"/>
        <v/>
      </c>
      <c r="V1058" s="74" t="str">
        <f t="shared" si="368"/>
        <v/>
      </c>
      <c r="W1058" s="74" t="str">
        <f t="shared" si="368"/>
        <v/>
      </c>
      <c r="X1058" s="74" t="str">
        <f t="shared" si="368"/>
        <v/>
      </c>
      <c r="Y1058" s="74" t="str">
        <f t="shared" si="368"/>
        <v/>
      </c>
      <c r="Z1058" s="74" t="str">
        <f t="shared" si="355"/>
        <v/>
      </c>
      <c r="AA1058" s="74">
        <f t="shared" si="356"/>
        <v>0</v>
      </c>
      <c r="AB1058" s="74">
        <f t="shared" si="357"/>
        <v>0</v>
      </c>
      <c r="AC1058" s="74" t="str">
        <f t="shared" si="358"/>
        <v/>
      </c>
      <c r="AE1058" s="74" t="str">
        <f t="shared" si="359"/>
        <v/>
      </c>
      <c r="AF1058" s="74" t="str">
        <f t="shared" si="360"/>
        <v/>
      </c>
      <c r="AG1058" s="74" t="str">
        <f t="shared" si="361"/>
        <v/>
      </c>
      <c r="AH1058" s="74">
        <f t="shared" si="362"/>
        <v>0</v>
      </c>
      <c r="AI1058" s="74" t="str">
        <f>IF(AH1058&lt;&gt;0,COUNTIF(AH$3:AH1058,1),"")</f>
        <v/>
      </c>
      <c r="AJ1058" s="74">
        <f t="shared" si="363"/>
        <v>0</v>
      </c>
      <c r="AK1058" s="73" t="str">
        <f t="shared" si="364"/>
        <v/>
      </c>
      <c r="AL1058" s="73" t="str">
        <f t="shared" si="365"/>
        <v/>
      </c>
      <c r="AM1058" s="73" t="str">
        <f t="shared" si="366"/>
        <v/>
      </c>
      <c r="AN1058" s="73" t="str">
        <f t="shared" si="367"/>
        <v/>
      </c>
    </row>
    <row r="1059" spans="16:40" x14ac:dyDescent="0.25">
      <c r="P1059" s="73" t="str">
        <f t="shared" si="351"/>
        <v/>
      </c>
      <c r="Q1059" s="73" t="str">
        <f t="shared" si="352"/>
        <v/>
      </c>
      <c r="R1059" s="74" t="str">
        <f t="shared" si="353"/>
        <v/>
      </c>
      <c r="S1059" s="74" t="str">
        <f t="shared" si="354"/>
        <v/>
      </c>
      <c r="U1059" s="74" t="str">
        <f t="shared" si="368"/>
        <v/>
      </c>
      <c r="V1059" s="74" t="str">
        <f t="shared" si="368"/>
        <v/>
      </c>
      <c r="W1059" s="74" t="str">
        <f t="shared" si="368"/>
        <v/>
      </c>
      <c r="X1059" s="74" t="str">
        <f t="shared" si="368"/>
        <v/>
      </c>
      <c r="Y1059" s="74" t="str">
        <f t="shared" si="368"/>
        <v/>
      </c>
      <c r="Z1059" s="74" t="str">
        <f t="shared" si="355"/>
        <v/>
      </c>
      <c r="AA1059" s="74">
        <f t="shared" si="356"/>
        <v>0</v>
      </c>
      <c r="AB1059" s="74">
        <f t="shared" si="357"/>
        <v>0</v>
      </c>
      <c r="AC1059" s="74" t="str">
        <f t="shared" si="358"/>
        <v/>
      </c>
      <c r="AE1059" s="74" t="str">
        <f t="shared" si="359"/>
        <v/>
      </c>
      <c r="AF1059" s="74" t="str">
        <f t="shared" si="360"/>
        <v/>
      </c>
      <c r="AG1059" s="74" t="str">
        <f t="shared" si="361"/>
        <v/>
      </c>
      <c r="AH1059" s="74">
        <f t="shared" si="362"/>
        <v>0</v>
      </c>
      <c r="AI1059" s="74" t="str">
        <f>IF(AH1059&lt;&gt;0,COUNTIF(AH$3:AH1059,1),"")</f>
        <v/>
      </c>
      <c r="AJ1059" s="74">
        <f t="shared" si="363"/>
        <v>0</v>
      </c>
      <c r="AK1059" s="73" t="str">
        <f t="shared" si="364"/>
        <v/>
      </c>
      <c r="AL1059" s="73" t="str">
        <f t="shared" si="365"/>
        <v/>
      </c>
      <c r="AM1059" s="73" t="str">
        <f t="shared" si="366"/>
        <v/>
      </c>
      <c r="AN1059" s="73" t="str">
        <f t="shared" si="367"/>
        <v/>
      </c>
    </row>
    <row r="1060" spans="16:40" x14ac:dyDescent="0.25">
      <c r="P1060" s="73" t="str">
        <f t="shared" si="351"/>
        <v/>
      </c>
      <c r="Q1060" s="73" t="str">
        <f t="shared" si="352"/>
        <v/>
      </c>
      <c r="R1060" s="74" t="str">
        <f t="shared" si="353"/>
        <v/>
      </c>
      <c r="S1060" s="74" t="str">
        <f t="shared" si="354"/>
        <v/>
      </c>
      <c r="U1060" s="74" t="str">
        <f t="shared" si="368"/>
        <v/>
      </c>
      <c r="V1060" s="74" t="str">
        <f t="shared" si="368"/>
        <v/>
      </c>
      <c r="W1060" s="74" t="str">
        <f t="shared" si="368"/>
        <v/>
      </c>
      <c r="X1060" s="74" t="str">
        <f t="shared" si="368"/>
        <v/>
      </c>
      <c r="Y1060" s="74" t="str">
        <f t="shared" si="368"/>
        <v/>
      </c>
      <c r="Z1060" s="74" t="str">
        <f t="shared" si="355"/>
        <v/>
      </c>
      <c r="AA1060" s="74">
        <f t="shared" si="356"/>
        <v>0</v>
      </c>
      <c r="AB1060" s="74">
        <f t="shared" si="357"/>
        <v>0</v>
      </c>
      <c r="AC1060" s="74" t="str">
        <f t="shared" si="358"/>
        <v/>
      </c>
      <c r="AE1060" s="74" t="str">
        <f t="shared" si="359"/>
        <v/>
      </c>
      <c r="AF1060" s="74" t="str">
        <f t="shared" si="360"/>
        <v/>
      </c>
      <c r="AG1060" s="74" t="str">
        <f t="shared" si="361"/>
        <v/>
      </c>
      <c r="AH1060" s="74">
        <f t="shared" si="362"/>
        <v>0</v>
      </c>
      <c r="AI1060" s="74" t="str">
        <f>IF(AH1060&lt;&gt;0,COUNTIF(AH$3:AH1060,1),"")</f>
        <v/>
      </c>
      <c r="AJ1060" s="74">
        <f t="shared" si="363"/>
        <v>0</v>
      </c>
      <c r="AK1060" s="73" t="str">
        <f t="shared" si="364"/>
        <v/>
      </c>
      <c r="AL1060" s="73" t="str">
        <f t="shared" si="365"/>
        <v/>
      </c>
      <c r="AM1060" s="73" t="str">
        <f t="shared" si="366"/>
        <v/>
      </c>
      <c r="AN1060" s="73" t="str">
        <f t="shared" si="367"/>
        <v/>
      </c>
    </row>
    <row r="1061" spans="16:40" x14ac:dyDescent="0.25">
      <c r="P1061" s="73" t="str">
        <f t="shared" si="351"/>
        <v/>
      </c>
      <c r="Q1061" s="73" t="str">
        <f t="shared" si="352"/>
        <v/>
      </c>
      <c r="R1061" s="74" t="str">
        <f t="shared" si="353"/>
        <v/>
      </c>
      <c r="S1061" s="74" t="str">
        <f t="shared" si="354"/>
        <v/>
      </c>
      <c r="U1061" s="74" t="str">
        <f t="shared" si="368"/>
        <v/>
      </c>
      <c r="V1061" s="74" t="str">
        <f t="shared" si="368"/>
        <v/>
      </c>
      <c r="W1061" s="74" t="str">
        <f t="shared" si="368"/>
        <v/>
      </c>
      <c r="X1061" s="74" t="str">
        <f t="shared" si="368"/>
        <v/>
      </c>
      <c r="Y1061" s="74" t="str">
        <f t="shared" si="368"/>
        <v/>
      </c>
      <c r="Z1061" s="74" t="str">
        <f t="shared" si="355"/>
        <v/>
      </c>
      <c r="AA1061" s="74">
        <f t="shared" si="356"/>
        <v>0</v>
      </c>
      <c r="AB1061" s="74">
        <f t="shared" si="357"/>
        <v>0</v>
      </c>
      <c r="AC1061" s="74" t="str">
        <f t="shared" si="358"/>
        <v/>
      </c>
      <c r="AE1061" s="74" t="str">
        <f t="shared" si="359"/>
        <v/>
      </c>
      <c r="AF1061" s="74" t="str">
        <f t="shared" si="360"/>
        <v/>
      </c>
      <c r="AG1061" s="74" t="str">
        <f t="shared" si="361"/>
        <v/>
      </c>
      <c r="AH1061" s="74">
        <f t="shared" si="362"/>
        <v>0</v>
      </c>
      <c r="AI1061" s="74" t="str">
        <f>IF(AH1061&lt;&gt;0,COUNTIF(AH$3:AH1061,1),"")</f>
        <v/>
      </c>
      <c r="AJ1061" s="74">
        <f t="shared" si="363"/>
        <v>0</v>
      </c>
      <c r="AK1061" s="73" t="str">
        <f t="shared" si="364"/>
        <v/>
      </c>
      <c r="AL1061" s="73" t="str">
        <f t="shared" si="365"/>
        <v/>
      </c>
      <c r="AM1061" s="73" t="str">
        <f t="shared" si="366"/>
        <v/>
      </c>
      <c r="AN1061" s="73" t="str">
        <f t="shared" si="367"/>
        <v/>
      </c>
    </row>
    <row r="1062" spans="16:40" x14ac:dyDescent="0.25">
      <c r="P1062" s="73" t="str">
        <f t="shared" si="351"/>
        <v/>
      </c>
      <c r="Q1062" s="73" t="str">
        <f t="shared" si="352"/>
        <v/>
      </c>
      <c r="R1062" s="74" t="str">
        <f t="shared" si="353"/>
        <v/>
      </c>
      <c r="S1062" s="74" t="str">
        <f t="shared" si="354"/>
        <v/>
      </c>
      <c r="U1062" s="74" t="str">
        <f t="shared" si="368"/>
        <v/>
      </c>
      <c r="V1062" s="74" t="str">
        <f t="shared" si="368"/>
        <v/>
      </c>
      <c r="W1062" s="74" t="str">
        <f t="shared" si="368"/>
        <v/>
      </c>
      <c r="X1062" s="74" t="str">
        <f t="shared" si="368"/>
        <v/>
      </c>
      <c r="Y1062" s="74" t="str">
        <f t="shared" si="368"/>
        <v/>
      </c>
      <c r="Z1062" s="74" t="str">
        <f t="shared" si="355"/>
        <v/>
      </c>
      <c r="AA1062" s="74">
        <f t="shared" si="356"/>
        <v>0</v>
      </c>
      <c r="AB1062" s="74">
        <f t="shared" si="357"/>
        <v>0</v>
      </c>
      <c r="AC1062" s="74" t="str">
        <f t="shared" si="358"/>
        <v/>
      </c>
      <c r="AE1062" s="74" t="str">
        <f t="shared" si="359"/>
        <v/>
      </c>
      <c r="AF1062" s="74" t="str">
        <f t="shared" si="360"/>
        <v/>
      </c>
      <c r="AG1062" s="74" t="str">
        <f t="shared" si="361"/>
        <v/>
      </c>
      <c r="AH1062" s="74">
        <f t="shared" si="362"/>
        <v>0</v>
      </c>
      <c r="AI1062" s="74" t="str">
        <f>IF(AH1062&lt;&gt;0,COUNTIF(AH$3:AH1062,1),"")</f>
        <v/>
      </c>
      <c r="AJ1062" s="74">
        <f t="shared" si="363"/>
        <v>0</v>
      </c>
      <c r="AK1062" s="73" t="str">
        <f t="shared" si="364"/>
        <v/>
      </c>
      <c r="AL1062" s="73" t="str">
        <f t="shared" si="365"/>
        <v/>
      </c>
      <c r="AM1062" s="73" t="str">
        <f t="shared" si="366"/>
        <v/>
      </c>
      <c r="AN1062" s="73" t="str">
        <f t="shared" si="367"/>
        <v/>
      </c>
    </row>
    <row r="1063" spans="16:40" x14ac:dyDescent="0.25">
      <c r="P1063" s="73" t="str">
        <f t="shared" si="351"/>
        <v/>
      </c>
      <c r="Q1063" s="73" t="str">
        <f t="shared" si="352"/>
        <v/>
      </c>
      <c r="R1063" s="74" t="str">
        <f t="shared" si="353"/>
        <v/>
      </c>
      <c r="S1063" s="74" t="str">
        <f t="shared" si="354"/>
        <v/>
      </c>
      <c r="U1063" s="74" t="str">
        <f t="shared" si="368"/>
        <v/>
      </c>
      <c r="V1063" s="74" t="str">
        <f t="shared" si="368"/>
        <v/>
      </c>
      <c r="W1063" s="74" t="str">
        <f t="shared" si="368"/>
        <v/>
      </c>
      <c r="X1063" s="74" t="str">
        <f t="shared" si="368"/>
        <v/>
      </c>
      <c r="Y1063" s="74" t="str">
        <f t="shared" si="368"/>
        <v/>
      </c>
      <c r="Z1063" s="74" t="str">
        <f t="shared" si="355"/>
        <v/>
      </c>
      <c r="AA1063" s="74">
        <f t="shared" si="356"/>
        <v>0</v>
      </c>
      <c r="AB1063" s="74">
        <f t="shared" si="357"/>
        <v>0</v>
      </c>
      <c r="AC1063" s="74" t="str">
        <f t="shared" si="358"/>
        <v/>
      </c>
      <c r="AE1063" s="74" t="str">
        <f t="shared" si="359"/>
        <v/>
      </c>
      <c r="AF1063" s="74" t="str">
        <f t="shared" si="360"/>
        <v/>
      </c>
      <c r="AG1063" s="74" t="str">
        <f t="shared" si="361"/>
        <v/>
      </c>
      <c r="AH1063" s="74">
        <f t="shared" si="362"/>
        <v>0</v>
      </c>
      <c r="AI1063" s="74" t="str">
        <f>IF(AH1063&lt;&gt;0,COUNTIF(AH$3:AH1063,1),"")</f>
        <v/>
      </c>
      <c r="AJ1063" s="74">
        <f t="shared" si="363"/>
        <v>0</v>
      </c>
      <c r="AK1063" s="73" t="str">
        <f t="shared" si="364"/>
        <v/>
      </c>
      <c r="AL1063" s="73" t="str">
        <f t="shared" si="365"/>
        <v/>
      </c>
      <c r="AM1063" s="73" t="str">
        <f t="shared" si="366"/>
        <v/>
      </c>
      <c r="AN1063" s="73" t="str">
        <f t="shared" si="367"/>
        <v/>
      </c>
    </row>
    <row r="1064" spans="16:40" x14ac:dyDescent="0.25">
      <c r="P1064" s="73" t="str">
        <f t="shared" si="351"/>
        <v/>
      </c>
      <c r="Q1064" s="73" t="str">
        <f t="shared" si="352"/>
        <v/>
      </c>
      <c r="R1064" s="74" t="str">
        <f t="shared" si="353"/>
        <v/>
      </c>
      <c r="S1064" s="74" t="str">
        <f t="shared" si="354"/>
        <v/>
      </c>
      <c r="U1064" s="74" t="str">
        <f t="shared" si="368"/>
        <v/>
      </c>
      <c r="V1064" s="74" t="str">
        <f t="shared" si="368"/>
        <v/>
      </c>
      <c r="W1064" s="74" t="str">
        <f t="shared" si="368"/>
        <v/>
      </c>
      <c r="X1064" s="74" t="str">
        <f t="shared" si="368"/>
        <v/>
      </c>
      <c r="Y1064" s="74" t="str">
        <f t="shared" si="368"/>
        <v/>
      </c>
      <c r="Z1064" s="74" t="str">
        <f t="shared" si="355"/>
        <v/>
      </c>
      <c r="AA1064" s="74">
        <f t="shared" si="356"/>
        <v>0</v>
      </c>
      <c r="AB1064" s="74">
        <f t="shared" si="357"/>
        <v>0</v>
      </c>
      <c r="AC1064" s="74" t="str">
        <f t="shared" si="358"/>
        <v/>
      </c>
      <c r="AE1064" s="74" t="str">
        <f t="shared" si="359"/>
        <v/>
      </c>
      <c r="AF1064" s="74" t="str">
        <f t="shared" si="360"/>
        <v/>
      </c>
      <c r="AG1064" s="74" t="str">
        <f t="shared" si="361"/>
        <v/>
      </c>
      <c r="AH1064" s="74">
        <f t="shared" si="362"/>
        <v>0</v>
      </c>
      <c r="AI1064" s="74" t="str">
        <f>IF(AH1064&lt;&gt;0,COUNTIF(AH$3:AH1064,1),"")</f>
        <v/>
      </c>
      <c r="AJ1064" s="74">
        <f t="shared" si="363"/>
        <v>0</v>
      </c>
      <c r="AK1064" s="73" t="str">
        <f t="shared" si="364"/>
        <v/>
      </c>
      <c r="AL1064" s="73" t="str">
        <f t="shared" si="365"/>
        <v/>
      </c>
      <c r="AM1064" s="73" t="str">
        <f t="shared" si="366"/>
        <v/>
      </c>
      <c r="AN1064" s="73" t="str">
        <f t="shared" si="367"/>
        <v/>
      </c>
    </row>
    <row r="1065" spans="16:40" x14ac:dyDescent="0.25">
      <c r="P1065" s="73" t="str">
        <f t="shared" si="351"/>
        <v/>
      </c>
      <c r="Q1065" s="73" t="str">
        <f t="shared" si="352"/>
        <v/>
      </c>
      <c r="R1065" s="74" t="str">
        <f t="shared" si="353"/>
        <v/>
      </c>
      <c r="S1065" s="74" t="str">
        <f t="shared" si="354"/>
        <v/>
      </c>
      <c r="U1065" s="74" t="str">
        <f t="shared" si="368"/>
        <v/>
      </c>
      <c r="V1065" s="74" t="str">
        <f t="shared" si="368"/>
        <v/>
      </c>
      <c r="W1065" s="74" t="str">
        <f t="shared" si="368"/>
        <v/>
      </c>
      <c r="X1065" s="74" t="str">
        <f t="shared" si="368"/>
        <v/>
      </c>
      <c r="Y1065" s="74" t="str">
        <f t="shared" si="368"/>
        <v/>
      </c>
      <c r="Z1065" s="74" t="str">
        <f t="shared" si="355"/>
        <v/>
      </c>
      <c r="AA1065" s="74">
        <f t="shared" si="356"/>
        <v>0</v>
      </c>
      <c r="AB1065" s="74">
        <f t="shared" si="357"/>
        <v>0</v>
      </c>
      <c r="AC1065" s="74" t="str">
        <f t="shared" si="358"/>
        <v/>
      </c>
      <c r="AE1065" s="74" t="str">
        <f t="shared" si="359"/>
        <v/>
      </c>
      <c r="AF1065" s="74" t="str">
        <f t="shared" si="360"/>
        <v/>
      </c>
      <c r="AG1065" s="74" t="str">
        <f t="shared" si="361"/>
        <v/>
      </c>
      <c r="AH1065" s="74">
        <f t="shared" si="362"/>
        <v>0</v>
      </c>
      <c r="AI1065" s="74" t="str">
        <f>IF(AH1065&lt;&gt;0,COUNTIF(AH$3:AH1065,1),"")</f>
        <v/>
      </c>
      <c r="AJ1065" s="74">
        <f t="shared" si="363"/>
        <v>0</v>
      </c>
      <c r="AK1065" s="73" t="str">
        <f t="shared" si="364"/>
        <v/>
      </c>
      <c r="AL1065" s="73" t="str">
        <f t="shared" si="365"/>
        <v/>
      </c>
      <c r="AM1065" s="73" t="str">
        <f t="shared" si="366"/>
        <v/>
      </c>
      <c r="AN1065" s="73" t="str">
        <f t="shared" si="367"/>
        <v/>
      </c>
    </row>
    <row r="1066" spans="16:40" x14ac:dyDescent="0.25">
      <c r="P1066" s="73" t="str">
        <f t="shared" si="351"/>
        <v/>
      </c>
      <c r="Q1066" s="73" t="str">
        <f t="shared" si="352"/>
        <v/>
      </c>
      <c r="R1066" s="74" t="str">
        <f t="shared" si="353"/>
        <v/>
      </c>
      <c r="S1066" s="74" t="str">
        <f t="shared" si="354"/>
        <v/>
      </c>
      <c r="U1066" s="74" t="str">
        <f t="shared" si="368"/>
        <v/>
      </c>
      <c r="V1066" s="74" t="str">
        <f t="shared" si="368"/>
        <v/>
      </c>
      <c r="W1066" s="74" t="str">
        <f t="shared" si="368"/>
        <v/>
      </c>
      <c r="X1066" s="74" t="str">
        <f t="shared" si="368"/>
        <v/>
      </c>
      <c r="Y1066" s="74" t="str">
        <f t="shared" si="368"/>
        <v/>
      </c>
      <c r="Z1066" s="74" t="str">
        <f t="shared" si="355"/>
        <v/>
      </c>
      <c r="AA1066" s="74">
        <f t="shared" si="356"/>
        <v>0</v>
      </c>
      <c r="AB1066" s="74">
        <f t="shared" si="357"/>
        <v>0</v>
      </c>
      <c r="AC1066" s="74" t="str">
        <f t="shared" si="358"/>
        <v/>
      </c>
      <c r="AE1066" s="74" t="str">
        <f t="shared" si="359"/>
        <v/>
      </c>
      <c r="AF1066" s="74" t="str">
        <f t="shared" si="360"/>
        <v/>
      </c>
      <c r="AG1066" s="74" t="str">
        <f t="shared" si="361"/>
        <v/>
      </c>
      <c r="AH1066" s="74">
        <f t="shared" si="362"/>
        <v>0</v>
      </c>
      <c r="AI1066" s="74" t="str">
        <f>IF(AH1066&lt;&gt;0,COUNTIF(AH$3:AH1066,1),"")</f>
        <v/>
      </c>
      <c r="AJ1066" s="74">
        <f t="shared" si="363"/>
        <v>0</v>
      </c>
      <c r="AK1066" s="73" t="str">
        <f t="shared" si="364"/>
        <v/>
      </c>
      <c r="AL1066" s="73" t="str">
        <f t="shared" si="365"/>
        <v/>
      </c>
      <c r="AM1066" s="73" t="str">
        <f t="shared" si="366"/>
        <v/>
      </c>
      <c r="AN1066" s="73" t="str">
        <f t="shared" si="367"/>
        <v/>
      </c>
    </row>
    <row r="1067" spans="16:40" x14ac:dyDescent="0.25">
      <c r="P1067" s="73" t="str">
        <f t="shared" si="351"/>
        <v/>
      </c>
      <c r="Q1067" s="73" t="str">
        <f t="shared" si="352"/>
        <v/>
      </c>
      <c r="R1067" s="74" t="str">
        <f t="shared" si="353"/>
        <v/>
      </c>
      <c r="S1067" s="74" t="str">
        <f t="shared" si="354"/>
        <v/>
      </c>
      <c r="U1067" s="74" t="str">
        <f t="shared" si="368"/>
        <v/>
      </c>
      <c r="V1067" s="74" t="str">
        <f t="shared" si="368"/>
        <v/>
      </c>
      <c r="W1067" s="74" t="str">
        <f t="shared" si="368"/>
        <v/>
      </c>
      <c r="X1067" s="74" t="str">
        <f t="shared" si="368"/>
        <v/>
      </c>
      <c r="Y1067" s="74" t="str">
        <f t="shared" si="368"/>
        <v/>
      </c>
      <c r="Z1067" s="74" t="str">
        <f t="shared" si="355"/>
        <v/>
      </c>
      <c r="AA1067" s="74">
        <f t="shared" si="356"/>
        <v>0</v>
      </c>
      <c r="AB1067" s="74">
        <f t="shared" si="357"/>
        <v>0</v>
      </c>
      <c r="AC1067" s="74" t="str">
        <f t="shared" si="358"/>
        <v/>
      </c>
      <c r="AE1067" s="74" t="str">
        <f t="shared" si="359"/>
        <v/>
      </c>
      <c r="AF1067" s="74" t="str">
        <f t="shared" si="360"/>
        <v/>
      </c>
      <c r="AG1067" s="74" t="str">
        <f t="shared" si="361"/>
        <v/>
      </c>
      <c r="AH1067" s="74">
        <f t="shared" si="362"/>
        <v>0</v>
      </c>
      <c r="AI1067" s="74" t="str">
        <f>IF(AH1067&lt;&gt;0,COUNTIF(AH$3:AH1067,1),"")</f>
        <v/>
      </c>
      <c r="AJ1067" s="74">
        <f t="shared" si="363"/>
        <v>0</v>
      </c>
      <c r="AK1067" s="73" t="str">
        <f t="shared" si="364"/>
        <v/>
      </c>
      <c r="AL1067" s="73" t="str">
        <f t="shared" si="365"/>
        <v/>
      </c>
      <c r="AM1067" s="73" t="str">
        <f t="shared" si="366"/>
        <v/>
      </c>
      <c r="AN1067" s="73" t="str">
        <f t="shared" si="367"/>
        <v/>
      </c>
    </row>
    <row r="1068" spans="16:40" x14ac:dyDescent="0.25">
      <c r="P1068" s="73" t="str">
        <f t="shared" si="351"/>
        <v/>
      </c>
      <c r="Q1068" s="73" t="str">
        <f t="shared" si="352"/>
        <v/>
      </c>
      <c r="R1068" s="74" t="str">
        <f t="shared" si="353"/>
        <v/>
      </c>
      <c r="S1068" s="74" t="str">
        <f t="shared" si="354"/>
        <v/>
      </c>
      <c r="U1068" s="74" t="str">
        <f t="shared" si="368"/>
        <v/>
      </c>
      <c r="V1068" s="74" t="str">
        <f t="shared" si="368"/>
        <v/>
      </c>
      <c r="W1068" s="74" t="str">
        <f t="shared" si="368"/>
        <v/>
      </c>
      <c r="X1068" s="74" t="str">
        <f t="shared" si="368"/>
        <v/>
      </c>
      <c r="Y1068" s="74" t="str">
        <f t="shared" si="368"/>
        <v/>
      </c>
      <c r="Z1068" s="74" t="str">
        <f t="shared" si="355"/>
        <v/>
      </c>
      <c r="AA1068" s="74">
        <f t="shared" si="356"/>
        <v>0</v>
      </c>
      <c r="AB1068" s="74">
        <f t="shared" si="357"/>
        <v>0</v>
      </c>
      <c r="AC1068" s="74" t="str">
        <f t="shared" si="358"/>
        <v/>
      </c>
      <c r="AE1068" s="74" t="str">
        <f t="shared" si="359"/>
        <v/>
      </c>
      <c r="AF1068" s="74" t="str">
        <f t="shared" si="360"/>
        <v/>
      </c>
      <c r="AG1068" s="74" t="str">
        <f t="shared" si="361"/>
        <v/>
      </c>
      <c r="AH1068" s="74">
        <f t="shared" si="362"/>
        <v>0</v>
      </c>
      <c r="AI1068" s="74" t="str">
        <f>IF(AH1068&lt;&gt;0,COUNTIF(AH$3:AH1068,1),"")</f>
        <v/>
      </c>
      <c r="AJ1068" s="74">
        <f t="shared" si="363"/>
        <v>0</v>
      </c>
      <c r="AK1068" s="73" t="str">
        <f t="shared" si="364"/>
        <v/>
      </c>
      <c r="AL1068" s="73" t="str">
        <f t="shared" si="365"/>
        <v/>
      </c>
      <c r="AM1068" s="73" t="str">
        <f t="shared" si="366"/>
        <v/>
      </c>
      <c r="AN1068" s="73" t="str">
        <f t="shared" si="367"/>
        <v/>
      </c>
    </row>
    <row r="1069" spans="16:40" x14ac:dyDescent="0.25">
      <c r="P1069" s="73" t="str">
        <f t="shared" si="351"/>
        <v/>
      </c>
      <c r="Q1069" s="73" t="str">
        <f t="shared" si="352"/>
        <v/>
      </c>
      <c r="R1069" s="74" t="str">
        <f t="shared" si="353"/>
        <v/>
      </c>
      <c r="S1069" s="74" t="str">
        <f t="shared" si="354"/>
        <v/>
      </c>
      <c r="U1069" s="74" t="str">
        <f t="shared" si="368"/>
        <v/>
      </c>
      <c r="V1069" s="74" t="str">
        <f t="shared" si="368"/>
        <v/>
      </c>
      <c r="W1069" s="74" t="str">
        <f t="shared" si="368"/>
        <v/>
      </c>
      <c r="X1069" s="74" t="str">
        <f t="shared" si="368"/>
        <v/>
      </c>
      <c r="Y1069" s="74" t="str">
        <f t="shared" si="368"/>
        <v/>
      </c>
      <c r="Z1069" s="74" t="str">
        <f t="shared" si="355"/>
        <v/>
      </c>
      <c r="AA1069" s="74">
        <f t="shared" si="356"/>
        <v>0</v>
      </c>
      <c r="AB1069" s="74">
        <f t="shared" si="357"/>
        <v>0</v>
      </c>
      <c r="AC1069" s="74" t="str">
        <f t="shared" si="358"/>
        <v/>
      </c>
      <c r="AE1069" s="74" t="str">
        <f t="shared" si="359"/>
        <v/>
      </c>
      <c r="AF1069" s="74" t="str">
        <f t="shared" si="360"/>
        <v/>
      </c>
      <c r="AG1069" s="74" t="str">
        <f t="shared" si="361"/>
        <v/>
      </c>
      <c r="AH1069" s="74">
        <f t="shared" si="362"/>
        <v>0</v>
      </c>
      <c r="AI1069" s="74" t="str">
        <f>IF(AH1069&lt;&gt;0,COUNTIF(AH$3:AH1069,1),"")</f>
        <v/>
      </c>
      <c r="AJ1069" s="74">
        <f t="shared" si="363"/>
        <v>0</v>
      </c>
      <c r="AK1069" s="73" t="str">
        <f t="shared" si="364"/>
        <v/>
      </c>
      <c r="AL1069" s="73" t="str">
        <f t="shared" si="365"/>
        <v/>
      </c>
      <c r="AM1069" s="73" t="str">
        <f t="shared" si="366"/>
        <v/>
      </c>
      <c r="AN1069" s="73" t="str">
        <f t="shared" si="367"/>
        <v/>
      </c>
    </row>
    <row r="1070" spans="16:40" x14ac:dyDescent="0.25">
      <c r="P1070" s="73" t="str">
        <f t="shared" si="351"/>
        <v/>
      </c>
      <c r="Q1070" s="73" t="str">
        <f t="shared" si="352"/>
        <v/>
      </c>
      <c r="R1070" s="74" t="str">
        <f t="shared" si="353"/>
        <v/>
      </c>
      <c r="S1070" s="74" t="str">
        <f t="shared" si="354"/>
        <v/>
      </c>
      <c r="U1070" s="74" t="str">
        <f t="shared" si="368"/>
        <v/>
      </c>
      <c r="V1070" s="74" t="str">
        <f t="shared" si="368"/>
        <v/>
      </c>
      <c r="W1070" s="74" t="str">
        <f t="shared" si="368"/>
        <v/>
      </c>
      <c r="X1070" s="74" t="str">
        <f t="shared" si="368"/>
        <v/>
      </c>
      <c r="Y1070" s="74" t="str">
        <f t="shared" si="368"/>
        <v/>
      </c>
      <c r="Z1070" s="74" t="str">
        <f t="shared" si="355"/>
        <v/>
      </c>
      <c r="AA1070" s="74">
        <f t="shared" si="356"/>
        <v>0</v>
      </c>
      <c r="AB1070" s="74">
        <f t="shared" si="357"/>
        <v>0</v>
      </c>
      <c r="AC1070" s="74" t="str">
        <f t="shared" si="358"/>
        <v/>
      </c>
      <c r="AE1070" s="74" t="str">
        <f t="shared" si="359"/>
        <v/>
      </c>
      <c r="AF1070" s="74" t="str">
        <f t="shared" si="360"/>
        <v/>
      </c>
      <c r="AG1070" s="74" t="str">
        <f t="shared" si="361"/>
        <v/>
      </c>
      <c r="AH1070" s="74">
        <f t="shared" si="362"/>
        <v>0</v>
      </c>
      <c r="AI1070" s="74" t="str">
        <f>IF(AH1070&lt;&gt;0,COUNTIF(AH$3:AH1070,1),"")</f>
        <v/>
      </c>
      <c r="AJ1070" s="74">
        <f t="shared" si="363"/>
        <v>0</v>
      </c>
      <c r="AK1070" s="73" t="str">
        <f t="shared" si="364"/>
        <v/>
      </c>
      <c r="AL1070" s="73" t="str">
        <f t="shared" si="365"/>
        <v/>
      </c>
      <c r="AM1070" s="73" t="str">
        <f t="shared" si="366"/>
        <v/>
      </c>
      <c r="AN1070" s="73" t="str">
        <f t="shared" si="367"/>
        <v/>
      </c>
    </row>
    <row r="1071" spans="16:40" x14ac:dyDescent="0.25">
      <c r="P1071" s="73" t="str">
        <f t="shared" si="351"/>
        <v/>
      </c>
      <c r="Q1071" s="73" t="str">
        <f t="shared" si="352"/>
        <v/>
      </c>
      <c r="R1071" s="74" t="str">
        <f t="shared" si="353"/>
        <v/>
      </c>
      <c r="S1071" s="74" t="str">
        <f t="shared" si="354"/>
        <v/>
      </c>
      <c r="U1071" s="74" t="str">
        <f t="shared" si="368"/>
        <v/>
      </c>
      <c r="V1071" s="74" t="str">
        <f t="shared" si="368"/>
        <v/>
      </c>
      <c r="W1071" s="74" t="str">
        <f t="shared" si="368"/>
        <v/>
      </c>
      <c r="X1071" s="74" t="str">
        <f t="shared" si="368"/>
        <v/>
      </c>
      <c r="Y1071" s="74" t="str">
        <f t="shared" si="368"/>
        <v/>
      </c>
      <c r="Z1071" s="74" t="str">
        <f t="shared" si="355"/>
        <v/>
      </c>
      <c r="AA1071" s="74">
        <f t="shared" si="356"/>
        <v>0</v>
      </c>
      <c r="AB1071" s="74">
        <f t="shared" si="357"/>
        <v>0</v>
      </c>
      <c r="AC1071" s="74" t="str">
        <f t="shared" si="358"/>
        <v/>
      </c>
      <c r="AE1071" s="74" t="str">
        <f t="shared" si="359"/>
        <v/>
      </c>
      <c r="AF1071" s="74" t="str">
        <f t="shared" si="360"/>
        <v/>
      </c>
      <c r="AG1071" s="74" t="str">
        <f t="shared" si="361"/>
        <v/>
      </c>
      <c r="AH1071" s="74">
        <f t="shared" si="362"/>
        <v>0</v>
      </c>
      <c r="AI1071" s="74" t="str">
        <f>IF(AH1071&lt;&gt;0,COUNTIF(AH$3:AH1071,1),"")</f>
        <v/>
      </c>
      <c r="AJ1071" s="74">
        <f t="shared" si="363"/>
        <v>0</v>
      </c>
      <c r="AK1071" s="73" t="str">
        <f t="shared" si="364"/>
        <v/>
      </c>
      <c r="AL1071" s="73" t="str">
        <f t="shared" si="365"/>
        <v/>
      </c>
      <c r="AM1071" s="73" t="str">
        <f t="shared" si="366"/>
        <v/>
      </c>
      <c r="AN1071" s="73" t="str">
        <f t="shared" si="367"/>
        <v/>
      </c>
    </row>
    <row r="1072" spans="16:40" x14ac:dyDescent="0.25">
      <c r="P1072" s="73" t="str">
        <f t="shared" si="351"/>
        <v/>
      </c>
      <c r="Q1072" s="73" t="str">
        <f t="shared" si="352"/>
        <v/>
      </c>
      <c r="R1072" s="74" t="str">
        <f t="shared" si="353"/>
        <v/>
      </c>
      <c r="S1072" s="74" t="str">
        <f t="shared" si="354"/>
        <v/>
      </c>
      <c r="U1072" s="74" t="str">
        <f t="shared" si="368"/>
        <v/>
      </c>
      <c r="V1072" s="74" t="str">
        <f t="shared" si="368"/>
        <v/>
      </c>
      <c r="W1072" s="74" t="str">
        <f t="shared" si="368"/>
        <v/>
      </c>
      <c r="X1072" s="74" t="str">
        <f t="shared" si="368"/>
        <v/>
      </c>
      <c r="Y1072" s="74" t="str">
        <f t="shared" si="368"/>
        <v/>
      </c>
      <c r="Z1072" s="74" t="str">
        <f t="shared" si="355"/>
        <v/>
      </c>
      <c r="AA1072" s="74">
        <f t="shared" si="356"/>
        <v>0</v>
      </c>
      <c r="AB1072" s="74">
        <f t="shared" si="357"/>
        <v>0</v>
      </c>
      <c r="AC1072" s="74" t="str">
        <f t="shared" si="358"/>
        <v/>
      </c>
      <c r="AE1072" s="74" t="str">
        <f t="shared" si="359"/>
        <v/>
      </c>
      <c r="AF1072" s="74" t="str">
        <f t="shared" si="360"/>
        <v/>
      </c>
      <c r="AG1072" s="74" t="str">
        <f t="shared" si="361"/>
        <v/>
      </c>
      <c r="AH1072" s="74">
        <f t="shared" si="362"/>
        <v>0</v>
      </c>
      <c r="AI1072" s="74" t="str">
        <f>IF(AH1072&lt;&gt;0,COUNTIF(AH$3:AH1072,1),"")</f>
        <v/>
      </c>
      <c r="AJ1072" s="74">
        <f t="shared" si="363"/>
        <v>0</v>
      </c>
      <c r="AK1072" s="73" t="str">
        <f t="shared" si="364"/>
        <v/>
      </c>
      <c r="AL1072" s="73" t="str">
        <f t="shared" si="365"/>
        <v/>
      </c>
      <c r="AM1072" s="73" t="str">
        <f t="shared" si="366"/>
        <v/>
      </c>
      <c r="AN1072" s="73" t="str">
        <f t="shared" si="367"/>
        <v/>
      </c>
    </row>
    <row r="1073" spans="16:40" x14ac:dyDescent="0.25">
      <c r="P1073" s="73" t="str">
        <f t="shared" si="351"/>
        <v/>
      </c>
      <c r="Q1073" s="73" t="str">
        <f t="shared" si="352"/>
        <v/>
      </c>
      <c r="R1073" s="74" t="str">
        <f t="shared" si="353"/>
        <v/>
      </c>
      <c r="S1073" s="74" t="str">
        <f t="shared" si="354"/>
        <v/>
      </c>
      <c r="U1073" s="74" t="str">
        <f t="shared" si="368"/>
        <v/>
      </c>
      <c r="V1073" s="74" t="str">
        <f t="shared" si="368"/>
        <v/>
      </c>
      <c r="W1073" s="74" t="str">
        <f t="shared" si="368"/>
        <v/>
      </c>
      <c r="X1073" s="74" t="str">
        <f t="shared" si="368"/>
        <v/>
      </c>
      <c r="Y1073" s="74" t="str">
        <f t="shared" si="368"/>
        <v/>
      </c>
      <c r="Z1073" s="74" t="str">
        <f t="shared" si="355"/>
        <v/>
      </c>
      <c r="AA1073" s="74">
        <f t="shared" si="356"/>
        <v>0</v>
      </c>
      <c r="AB1073" s="74">
        <f t="shared" si="357"/>
        <v>0</v>
      </c>
      <c r="AC1073" s="74" t="str">
        <f t="shared" si="358"/>
        <v/>
      </c>
      <c r="AE1073" s="74" t="str">
        <f t="shared" si="359"/>
        <v/>
      </c>
      <c r="AF1073" s="74" t="str">
        <f t="shared" si="360"/>
        <v/>
      </c>
      <c r="AG1073" s="74" t="str">
        <f t="shared" si="361"/>
        <v/>
      </c>
      <c r="AH1073" s="74">
        <f t="shared" si="362"/>
        <v>0</v>
      </c>
      <c r="AI1073" s="74" t="str">
        <f>IF(AH1073&lt;&gt;0,COUNTIF(AH$3:AH1073,1),"")</f>
        <v/>
      </c>
      <c r="AJ1073" s="74">
        <f t="shared" si="363"/>
        <v>0</v>
      </c>
      <c r="AK1073" s="73" t="str">
        <f t="shared" si="364"/>
        <v/>
      </c>
      <c r="AL1073" s="73" t="str">
        <f t="shared" si="365"/>
        <v/>
      </c>
      <c r="AM1073" s="73" t="str">
        <f t="shared" si="366"/>
        <v/>
      </c>
      <c r="AN1073" s="73" t="str">
        <f t="shared" si="367"/>
        <v/>
      </c>
    </row>
    <row r="1074" spans="16:40" x14ac:dyDescent="0.25">
      <c r="P1074" s="73" t="str">
        <f t="shared" si="351"/>
        <v/>
      </c>
      <c r="Q1074" s="73" t="str">
        <f t="shared" si="352"/>
        <v/>
      </c>
      <c r="R1074" s="74" t="str">
        <f t="shared" si="353"/>
        <v/>
      </c>
      <c r="S1074" s="74" t="str">
        <f t="shared" si="354"/>
        <v/>
      </c>
      <c r="U1074" s="74" t="str">
        <f t="shared" si="368"/>
        <v/>
      </c>
      <c r="V1074" s="74" t="str">
        <f t="shared" si="368"/>
        <v/>
      </c>
      <c r="W1074" s="74" t="str">
        <f t="shared" si="368"/>
        <v/>
      </c>
      <c r="X1074" s="74" t="str">
        <f t="shared" si="368"/>
        <v/>
      </c>
      <c r="Y1074" s="74" t="str">
        <f t="shared" si="368"/>
        <v/>
      </c>
      <c r="Z1074" s="74" t="str">
        <f t="shared" si="355"/>
        <v/>
      </c>
      <c r="AA1074" s="74">
        <f t="shared" si="356"/>
        <v>0</v>
      </c>
      <c r="AB1074" s="74">
        <f t="shared" si="357"/>
        <v>0</v>
      </c>
      <c r="AC1074" s="74" t="str">
        <f t="shared" si="358"/>
        <v/>
      </c>
      <c r="AE1074" s="74" t="str">
        <f t="shared" si="359"/>
        <v/>
      </c>
      <c r="AF1074" s="74" t="str">
        <f t="shared" si="360"/>
        <v/>
      </c>
      <c r="AG1074" s="74" t="str">
        <f t="shared" si="361"/>
        <v/>
      </c>
      <c r="AH1074" s="74">
        <f t="shared" si="362"/>
        <v>0</v>
      </c>
      <c r="AI1074" s="74" t="str">
        <f>IF(AH1074&lt;&gt;0,COUNTIF(AH$3:AH1074,1),"")</f>
        <v/>
      </c>
      <c r="AJ1074" s="74">
        <f t="shared" si="363"/>
        <v>0</v>
      </c>
      <c r="AK1074" s="73" t="str">
        <f t="shared" si="364"/>
        <v/>
      </c>
      <c r="AL1074" s="73" t="str">
        <f t="shared" si="365"/>
        <v/>
      </c>
      <c r="AM1074" s="73" t="str">
        <f t="shared" si="366"/>
        <v/>
      </c>
      <c r="AN1074" s="73" t="str">
        <f t="shared" si="367"/>
        <v/>
      </c>
    </row>
    <row r="1075" spans="16:40" x14ac:dyDescent="0.25">
      <c r="P1075" s="73" t="str">
        <f t="shared" si="351"/>
        <v/>
      </c>
      <c r="Q1075" s="73" t="str">
        <f t="shared" si="352"/>
        <v/>
      </c>
      <c r="R1075" s="74" t="str">
        <f t="shared" si="353"/>
        <v/>
      </c>
      <c r="S1075" s="74" t="str">
        <f t="shared" si="354"/>
        <v/>
      </c>
      <c r="U1075" s="74" t="str">
        <f t="shared" si="368"/>
        <v/>
      </c>
      <c r="V1075" s="74" t="str">
        <f t="shared" si="368"/>
        <v/>
      </c>
      <c r="W1075" s="74" t="str">
        <f t="shared" si="368"/>
        <v/>
      </c>
      <c r="X1075" s="74" t="str">
        <f t="shared" si="368"/>
        <v/>
      </c>
      <c r="Y1075" s="74" t="str">
        <f t="shared" si="368"/>
        <v/>
      </c>
      <c r="Z1075" s="74" t="str">
        <f t="shared" si="355"/>
        <v/>
      </c>
      <c r="AA1075" s="74">
        <f t="shared" si="356"/>
        <v>0</v>
      </c>
      <c r="AB1075" s="74">
        <f t="shared" si="357"/>
        <v>0</v>
      </c>
      <c r="AC1075" s="74" t="str">
        <f t="shared" si="358"/>
        <v/>
      </c>
      <c r="AE1075" s="74" t="str">
        <f t="shared" si="359"/>
        <v/>
      </c>
      <c r="AF1075" s="74" t="str">
        <f t="shared" si="360"/>
        <v/>
      </c>
      <c r="AG1075" s="74" t="str">
        <f t="shared" si="361"/>
        <v/>
      </c>
      <c r="AH1075" s="74">
        <f t="shared" si="362"/>
        <v>0</v>
      </c>
      <c r="AI1075" s="74" t="str">
        <f>IF(AH1075&lt;&gt;0,COUNTIF(AH$3:AH1075,1),"")</f>
        <v/>
      </c>
      <c r="AJ1075" s="74">
        <f t="shared" si="363"/>
        <v>0</v>
      </c>
      <c r="AK1075" s="73" t="str">
        <f t="shared" si="364"/>
        <v/>
      </c>
      <c r="AL1075" s="73" t="str">
        <f t="shared" si="365"/>
        <v/>
      </c>
      <c r="AM1075" s="73" t="str">
        <f t="shared" si="366"/>
        <v/>
      </c>
      <c r="AN1075" s="73" t="str">
        <f t="shared" si="367"/>
        <v/>
      </c>
    </row>
    <row r="1076" spans="16:40" x14ac:dyDescent="0.25">
      <c r="P1076" s="73" t="str">
        <f t="shared" si="351"/>
        <v/>
      </c>
      <c r="Q1076" s="73" t="str">
        <f t="shared" si="352"/>
        <v/>
      </c>
      <c r="R1076" s="74" t="str">
        <f t="shared" si="353"/>
        <v/>
      </c>
      <c r="S1076" s="74" t="str">
        <f t="shared" si="354"/>
        <v/>
      </c>
      <c r="U1076" s="74" t="str">
        <f t="shared" si="368"/>
        <v/>
      </c>
      <c r="V1076" s="74" t="str">
        <f t="shared" si="368"/>
        <v/>
      </c>
      <c r="W1076" s="74" t="str">
        <f t="shared" si="368"/>
        <v/>
      </c>
      <c r="X1076" s="74" t="str">
        <f t="shared" si="368"/>
        <v/>
      </c>
      <c r="Y1076" s="74" t="str">
        <f t="shared" si="368"/>
        <v/>
      </c>
      <c r="Z1076" s="74" t="str">
        <f t="shared" si="355"/>
        <v/>
      </c>
      <c r="AA1076" s="74">
        <f t="shared" si="356"/>
        <v>0</v>
      </c>
      <c r="AB1076" s="74">
        <f t="shared" si="357"/>
        <v>0</v>
      </c>
      <c r="AC1076" s="74" t="str">
        <f t="shared" si="358"/>
        <v/>
      </c>
      <c r="AE1076" s="74" t="str">
        <f t="shared" si="359"/>
        <v/>
      </c>
      <c r="AF1076" s="74" t="str">
        <f t="shared" si="360"/>
        <v/>
      </c>
      <c r="AG1076" s="74" t="str">
        <f t="shared" si="361"/>
        <v/>
      </c>
      <c r="AH1076" s="74">
        <f t="shared" si="362"/>
        <v>0</v>
      </c>
      <c r="AI1076" s="74" t="str">
        <f>IF(AH1076&lt;&gt;0,COUNTIF(AH$3:AH1076,1),"")</f>
        <v/>
      </c>
      <c r="AJ1076" s="74">
        <f t="shared" si="363"/>
        <v>0</v>
      </c>
      <c r="AK1076" s="73" t="str">
        <f t="shared" si="364"/>
        <v/>
      </c>
      <c r="AL1076" s="73" t="str">
        <f t="shared" si="365"/>
        <v/>
      </c>
      <c r="AM1076" s="73" t="str">
        <f t="shared" si="366"/>
        <v/>
      </c>
      <c r="AN1076" s="73" t="str">
        <f t="shared" si="367"/>
        <v/>
      </c>
    </row>
    <row r="1077" spans="16:40" x14ac:dyDescent="0.25">
      <c r="P1077" s="73" t="str">
        <f t="shared" si="351"/>
        <v/>
      </c>
      <c r="Q1077" s="73" t="str">
        <f t="shared" si="352"/>
        <v/>
      </c>
      <c r="R1077" s="74" t="str">
        <f t="shared" si="353"/>
        <v/>
      </c>
      <c r="S1077" s="74" t="str">
        <f t="shared" si="354"/>
        <v/>
      </c>
      <c r="U1077" s="74" t="str">
        <f t="shared" si="368"/>
        <v/>
      </c>
      <c r="V1077" s="74" t="str">
        <f t="shared" si="368"/>
        <v/>
      </c>
      <c r="W1077" s="74" t="str">
        <f t="shared" si="368"/>
        <v/>
      </c>
      <c r="X1077" s="74" t="str">
        <f t="shared" si="368"/>
        <v/>
      </c>
      <c r="Y1077" s="74" t="str">
        <f t="shared" si="368"/>
        <v/>
      </c>
      <c r="Z1077" s="74" t="str">
        <f t="shared" si="355"/>
        <v/>
      </c>
      <c r="AA1077" s="74">
        <f t="shared" si="356"/>
        <v>0</v>
      </c>
      <c r="AB1077" s="74">
        <f t="shared" si="357"/>
        <v>0</v>
      </c>
      <c r="AC1077" s="74" t="str">
        <f t="shared" si="358"/>
        <v/>
      </c>
      <c r="AE1077" s="74" t="str">
        <f t="shared" si="359"/>
        <v/>
      </c>
      <c r="AF1077" s="74" t="str">
        <f t="shared" si="360"/>
        <v/>
      </c>
      <c r="AG1077" s="74" t="str">
        <f t="shared" si="361"/>
        <v/>
      </c>
      <c r="AH1077" s="74">
        <f t="shared" si="362"/>
        <v>0</v>
      </c>
      <c r="AI1077" s="74" t="str">
        <f>IF(AH1077&lt;&gt;0,COUNTIF(AH$3:AH1077,1),"")</f>
        <v/>
      </c>
      <c r="AJ1077" s="74">
        <f t="shared" si="363"/>
        <v>0</v>
      </c>
      <c r="AK1077" s="73" t="str">
        <f t="shared" si="364"/>
        <v/>
      </c>
      <c r="AL1077" s="73" t="str">
        <f t="shared" si="365"/>
        <v/>
      </c>
      <c r="AM1077" s="73" t="str">
        <f t="shared" si="366"/>
        <v/>
      </c>
      <c r="AN1077" s="73" t="str">
        <f t="shared" si="367"/>
        <v/>
      </c>
    </row>
    <row r="1078" spans="16:40" x14ac:dyDescent="0.25">
      <c r="P1078" s="73" t="str">
        <f t="shared" si="351"/>
        <v/>
      </c>
      <c r="Q1078" s="73" t="str">
        <f t="shared" si="352"/>
        <v/>
      </c>
      <c r="R1078" s="74" t="str">
        <f t="shared" si="353"/>
        <v/>
      </c>
      <c r="S1078" s="74" t="str">
        <f t="shared" si="354"/>
        <v/>
      </c>
      <c r="U1078" s="74" t="str">
        <f t="shared" si="368"/>
        <v/>
      </c>
      <c r="V1078" s="74" t="str">
        <f t="shared" si="368"/>
        <v/>
      </c>
      <c r="W1078" s="74" t="str">
        <f t="shared" si="368"/>
        <v/>
      </c>
      <c r="X1078" s="74" t="str">
        <f t="shared" si="368"/>
        <v/>
      </c>
      <c r="Y1078" s="74" t="str">
        <f t="shared" si="368"/>
        <v/>
      </c>
      <c r="Z1078" s="74" t="str">
        <f t="shared" si="355"/>
        <v/>
      </c>
      <c r="AA1078" s="74">
        <f t="shared" si="356"/>
        <v>0</v>
      </c>
      <c r="AB1078" s="74">
        <f t="shared" si="357"/>
        <v>0</v>
      </c>
      <c r="AC1078" s="74" t="str">
        <f t="shared" si="358"/>
        <v/>
      </c>
      <c r="AE1078" s="74" t="str">
        <f t="shared" si="359"/>
        <v/>
      </c>
      <c r="AF1078" s="74" t="str">
        <f t="shared" si="360"/>
        <v/>
      </c>
      <c r="AG1078" s="74" t="str">
        <f t="shared" si="361"/>
        <v/>
      </c>
      <c r="AH1078" s="74">
        <f t="shared" si="362"/>
        <v>0</v>
      </c>
      <c r="AI1078" s="74" t="str">
        <f>IF(AH1078&lt;&gt;0,COUNTIF(AH$3:AH1078,1),"")</f>
        <v/>
      </c>
      <c r="AJ1078" s="74">
        <f t="shared" si="363"/>
        <v>0</v>
      </c>
      <c r="AK1078" s="73" t="str">
        <f t="shared" si="364"/>
        <v/>
      </c>
      <c r="AL1078" s="73" t="str">
        <f t="shared" si="365"/>
        <v/>
      </c>
      <c r="AM1078" s="73" t="str">
        <f t="shared" si="366"/>
        <v/>
      </c>
      <c r="AN1078" s="73" t="str">
        <f t="shared" si="367"/>
        <v/>
      </c>
    </row>
    <row r="1079" spans="16:40" x14ac:dyDescent="0.25">
      <c r="P1079" s="73" t="str">
        <f t="shared" si="351"/>
        <v/>
      </c>
      <c r="Q1079" s="73" t="str">
        <f t="shared" si="352"/>
        <v/>
      </c>
      <c r="R1079" s="74" t="str">
        <f t="shared" si="353"/>
        <v/>
      </c>
      <c r="S1079" s="74" t="str">
        <f t="shared" si="354"/>
        <v/>
      </c>
      <c r="U1079" s="74" t="str">
        <f t="shared" si="368"/>
        <v/>
      </c>
      <c r="V1079" s="74" t="str">
        <f t="shared" si="368"/>
        <v/>
      </c>
      <c r="W1079" s="74" t="str">
        <f t="shared" si="368"/>
        <v/>
      </c>
      <c r="X1079" s="74" t="str">
        <f t="shared" si="368"/>
        <v/>
      </c>
      <c r="Y1079" s="74" t="str">
        <f t="shared" si="368"/>
        <v/>
      </c>
      <c r="Z1079" s="74" t="str">
        <f t="shared" si="355"/>
        <v/>
      </c>
      <c r="AA1079" s="74">
        <f t="shared" si="356"/>
        <v>0</v>
      </c>
      <c r="AB1079" s="74">
        <f t="shared" si="357"/>
        <v>0</v>
      </c>
      <c r="AC1079" s="74" t="str">
        <f t="shared" si="358"/>
        <v/>
      </c>
      <c r="AE1079" s="74" t="str">
        <f t="shared" si="359"/>
        <v/>
      </c>
      <c r="AF1079" s="74" t="str">
        <f t="shared" si="360"/>
        <v/>
      </c>
      <c r="AG1079" s="74" t="str">
        <f t="shared" si="361"/>
        <v/>
      </c>
      <c r="AH1079" s="74">
        <f t="shared" si="362"/>
        <v>0</v>
      </c>
      <c r="AI1079" s="74" t="str">
        <f>IF(AH1079&lt;&gt;0,COUNTIF(AH$3:AH1079,1),"")</f>
        <v/>
      </c>
      <c r="AJ1079" s="74">
        <f t="shared" si="363"/>
        <v>0</v>
      </c>
      <c r="AK1079" s="73" t="str">
        <f t="shared" si="364"/>
        <v/>
      </c>
      <c r="AL1079" s="73" t="str">
        <f t="shared" si="365"/>
        <v/>
      </c>
      <c r="AM1079" s="73" t="str">
        <f t="shared" si="366"/>
        <v/>
      </c>
      <c r="AN1079" s="73" t="str">
        <f t="shared" si="367"/>
        <v/>
      </c>
    </row>
    <row r="1080" spans="16:40" x14ac:dyDescent="0.25">
      <c r="P1080" s="73" t="str">
        <f t="shared" si="351"/>
        <v/>
      </c>
      <c r="Q1080" s="73" t="str">
        <f t="shared" si="352"/>
        <v/>
      </c>
      <c r="R1080" s="74" t="str">
        <f t="shared" si="353"/>
        <v/>
      </c>
      <c r="S1080" s="74" t="str">
        <f t="shared" si="354"/>
        <v/>
      </c>
      <c r="U1080" s="74" t="str">
        <f t="shared" si="368"/>
        <v/>
      </c>
      <c r="V1080" s="74" t="str">
        <f t="shared" si="368"/>
        <v/>
      </c>
      <c r="W1080" s="74" t="str">
        <f t="shared" si="368"/>
        <v/>
      </c>
      <c r="X1080" s="74" t="str">
        <f t="shared" si="368"/>
        <v/>
      </c>
      <c r="Y1080" s="74" t="str">
        <f t="shared" si="368"/>
        <v/>
      </c>
      <c r="Z1080" s="74" t="str">
        <f t="shared" si="355"/>
        <v/>
      </c>
      <c r="AA1080" s="74">
        <f t="shared" si="356"/>
        <v>0</v>
      </c>
      <c r="AB1080" s="74">
        <f t="shared" si="357"/>
        <v>0</v>
      </c>
      <c r="AC1080" s="74" t="str">
        <f t="shared" si="358"/>
        <v/>
      </c>
      <c r="AE1080" s="74" t="str">
        <f t="shared" si="359"/>
        <v/>
      </c>
      <c r="AF1080" s="74" t="str">
        <f t="shared" si="360"/>
        <v/>
      </c>
      <c r="AG1080" s="74" t="str">
        <f t="shared" si="361"/>
        <v/>
      </c>
      <c r="AH1080" s="74">
        <f t="shared" si="362"/>
        <v>0</v>
      </c>
      <c r="AI1080" s="74" t="str">
        <f>IF(AH1080&lt;&gt;0,COUNTIF(AH$3:AH1080,1),"")</f>
        <v/>
      </c>
      <c r="AJ1080" s="74">
        <f t="shared" si="363"/>
        <v>0</v>
      </c>
      <c r="AK1080" s="73" t="str">
        <f t="shared" si="364"/>
        <v/>
      </c>
      <c r="AL1080" s="73" t="str">
        <f t="shared" si="365"/>
        <v/>
      </c>
      <c r="AM1080" s="73" t="str">
        <f t="shared" si="366"/>
        <v/>
      </c>
      <c r="AN1080" s="73" t="str">
        <f t="shared" si="367"/>
        <v/>
      </c>
    </row>
    <row r="1081" spans="16:40" x14ac:dyDescent="0.25">
      <c r="P1081" s="73" t="str">
        <f t="shared" si="351"/>
        <v/>
      </c>
      <c r="Q1081" s="73" t="str">
        <f t="shared" si="352"/>
        <v/>
      </c>
      <c r="R1081" s="74" t="str">
        <f t="shared" si="353"/>
        <v/>
      </c>
      <c r="S1081" s="74" t="str">
        <f t="shared" si="354"/>
        <v/>
      </c>
      <c r="U1081" s="74" t="str">
        <f t="shared" si="368"/>
        <v/>
      </c>
      <c r="V1081" s="74" t="str">
        <f t="shared" si="368"/>
        <v/>
      </c>
      <c r="W1081" s="74" t="str">
        <f t="shared" si="368"/>
        <v/>
      </c>
      <c r="X1081" s="74" t="str">
        <f t="shared" si="368"/>
        <v/>
      </c>
      <c r="Y1081" s="74" t="str">
        <f t="shared" si="368"/>
        <v/>
      </c>
      <c r="Z1081" s="74" t="str">
        <f t="shared" si="355"/>
        <v/>
      </c>
      <c r="AA1081" s="74">
        <f t="shared" si="356"/>
        <v>0</v>
      </c>
      <c r="AB1081" s="74">
        <f t="shared" si="357"/>
        <v>0</v>
      </c>
      <c r="AC1081" s="74" t="str">
        <f t="shared" si="358"/>
        <v/>
      </c>
      <c r="AE1081" s="74" t="str">
        <f t="shared" si="359"/>
        <v/>
      </c>
      <c r="AF1081" s="74" t="str">
        <f t="shared" si="360"/>
        <v/>
      </c>
      <c r="AG1081" s="74" t="str">
        <f t="shared" si="361"/>
        <v/>
      </c>
      <c r="AH1081" s="74">
        <f t="shared" si="362"/>
        <v>0</v>
      </c>
      <c r="AI1081" s="74" t="str">
        <f>IF(AH1081&lt;&gt;0,COUNTIF(AH$3:AH1081,1),"")</f>
        <v/>
      </c>
      <c r="AJ1081" s="74">
        <f t="shared" si="363"/>
        <v>0</v>
      </c>
      <c r="AK1081" s="73" t="str">
        <f t="shared" si="364"/>
        <v/>
      </c>
      <c r="AL1081" s="73" t="str">
        <f t="shared" si="365"/>
        <v/>
      </c>
      <c r="AM1081" s="73" t="str">
        <f t="shared" si="366"/>
        <v/>
      </c>
      <c r="AN1081" s="73" t="str">
        <f t="shared" si="367"/>
        <v/>
      </c>
    </row>
    <row r="1082" spans="16:40" x14ac:dyDescent="0.25">
      <c r="P1082" s="73" t="str">
        <f t="shared" si="351"/>
        <v/>
      </c>
      <c r="Q1082" s="73" t="str">
        <f t="shared" si="352"/>
        <v/>
      </c>
      <c r="R1082" s="74" t="str">
        <f t="shared" si="353"/>
        <v/>
      </c>
      <c r="S1082" s="74" t="str">
        <f t="shared" si="354"/>
        <v/>
      </c>
      <c r="U1082" s="74" t="str">
        <f t="shared" si="368"/>
        <v/>
      </c>
      <c r="V1082" s="74" t="str">
        <f t="shared" si="368"/>
        <v/>
      </c>
      <c r="W1082" s="74" t="str">
        <f t="shared" si="368"/>
        <v/>
      </c>
      <c r="X1082" s="74" t="str">
        <f t="shared" si="368"/>
        <v/>
      </c>
      <c r="Y1082" s="74" t="str">
        <f t="shared" si="368"/>
        <v/>
      </c>
      <c r="Z1082" s="74" t="str">
        <f t="shared" si="355"/>
        <v/>
      </c>
      <c r="AA1082" s="74">
        <f t="shared" si="356"/>
        <v>0</v>
      </c>
      <c r="AB1082" s="74">
        <f t="shared" si="357"/>
        <v>0</v>
      </c>
      <c r="AC1082" s="74" t="str">
        <f t="shared" si="358"/>
        <v/>
      </c>
      <c r="AE1082" s="74" t="str">
        <f t="shared" si="359"/>
        <v/>
      </c>
      <c r="AF1082" s="74" t="str">
        <f t="shared" si="360"/>
        <v/>
      </c>
      <c r="AG1082" s="74" t="str">
        <f t="shared" si="361"/>
        <v/>
      </c>
      <c r="AH1082" s="74">
        <f t="shared" si="362"/>
        <v>0</v>
      </c>
      <c r="AI1082" s="74" t="str">
        <f>IF(AH1082&lt;&gt;0,COUNTIF(AH$3:AH1082,1),"")</f>
        <v/>
      </c>
      <c r="AJ1082" s="74">
        <f t="shared" si="363"/>
        <v>0</v>
      </c>
      <c r="AK1082" s="73" t="str">
        <f t="shared" si="364"/>
        <v/>
      </c>
      <c r="AL1082" s="73" t="str">
        <f t="shared" si="365"/>
        <v/>
      </c>
      <c r="AM1082" s="73" t="str">
        <f t="shared" si="366"/>
        <v/>
      </c>
      <c r="AN1082" s="73" t="str">
        <f t="shared" si="367"/>
        <v/>
      </c>
    </row>
    <row r="1083" spans="16:40" x14ac:dyDescent="0.25">
      <c r="P1083" s="73" t="str">
        <f t="shared" si="351"/>
        <v/>
      </c>
      <c r="Q1083" s="73" t="str">
        <f t="shared" si="352"/>
        <v/>
      </c>
      <c r="R1083" s="74" t="str">
        <f t="shared" si="353"/>
        <v/>
      </c>
      <c r="S1083" s="74" t="str">
        <f t="shared" si="354"/>
        <v/>
      </c>
      <c r="U1083" s="74" t="str">
        <f t="shared" si="368"/>
        <v/>
      </c>
      <c r="V1083" s="74" t="str">
        <f t="shared" si="368"/>
        <v/>
      </c>
      <c r="W1083" s="74" t="str">
        <f t="shared" si="368"/>
        <v/>
      </c>
      <c r="X1083" s="74" t="str">
        <f t="shared" si="368"/>
        <v/>
      </c>
      <c r="Y1083" s="74" t="str">
        <f t="shared" si="368"/>
        <v/>
      </c>
      <c r="Z1083" s="74" t="str">
        <f t="shared" si="355"/>
        <v/>
      </c>
      <c r="AA1083" s="74">
        <f t="shared" si="356"/>
        <v>0</v>
      </c>
      <c r="AB1083" s="74">
        <f t="shared" si="357"/>
        <v>0</v>
      </c>
      <c r="AC1083" s="74" t="str">
        <f t="shared" si="358"/>
        <v/>
      </c>
      <c r="AE1083" s="74" t="str">
        <f t="shared" si="359"/>
        <v/>
      </c>
      <c r="AF1083" s="74" t="str">
        <f t="shared" si="360"/>
        <v/>
      </c>
      <c r="AG1083" s="74" t="str">
        <f t="shared" si="361"/>
        <v/>
      </c>
      <c r="AH1083" s="74">
        <f t="shared" si="362"/>
        <v>0</v>
      </c>
      <c r="AI1083" s="74" t="str">
        <f>IF(AH1083&lt;&gt;0,COUNTIF(AH$3:AH1083,1),"")</f>
        <v/>
      </c>
      <c r="AJ1083" s="74">
        <f t="shared" si="363"/>
        <v>0</v>
      </c>
      <c r="AK1083" s="73" t="str">
        <f t="shared" si="364"/>
        <v/>
      </c>
      <c r="AL1083" s="73" t="str">
        <f t="shared" si="365"/>
        <v/>
      </c>
      <c r="AM1083" s="73" t="str">
        <f t="shared" si="366"/>
        <v/>
      </c>
      <c r="AN1083" s="73" t="str">
        <f t="shared" si="367"/>
        <v/>
      </c>
    </row>
    <row r="1084" spans="16:40" x14ac:dyDescent="0.25">
      <c r="P1084" s="73" t="str">
        <f t="shared" si="351"/>
        <v/>
      </c>
      <c r="Q1084" s="73" t="str">
        <f t="shared" si="352"/>
        <v/>
      </c>
      <c r="R1084" s="74" t="str">
        <f t="shared" si="353"/>
        <v/>
      </c>
      <c r="S1084" s="74" t="str">
        <f t="shared" si="354"/>
        <v/>
      </c>
      <c r="U1084" s="74" t="str">
        <f t="shared" si="368"/>
        <v/>
      </c>
      <c r="V1084" s="74" t="str">
        <f t="shared" si="368"/>
        <v/>
      </c>
      <c r="W1084" s="74" t="str">
        <f t="shared" si="368"/>
        <v/>
      </c>
      <c r="X1084" s="74" t="str">
        <f t="shared" si="368"/>
        <v/>
      </c>
      <c r="Y1084" s="74" t="str">
        <f t="shared" si="368"/>
        <v/>
      </c>
      <c r="Z1084" s="74" t="str">
        <f t="shared" si="355"/>
        <v/>
      </c>
      <c r="AA1084" s="74">
        <f t="shared" si="356"/>
        <v>0</v>
      </c>
      <c r="AB1084" s="74">
        <f t="shared" si="357"/>
        <v>0</v>
      </c>
      <c r="AC1084" s="74" t="str">
        <f t="shared" si="358"/>
        <v/>
      </c>
      <c r="AE1084" s="74" t="str">
        <f t="shared" si="359"/>
        <v/>
      </c>
      <c r="AF1084" s="74" t="str">
        <f t="shared" si="360"/>
        <v/>
      </c>
      <c r="AG1084" s="74" t="str">
        <f t="shared" si="361"/>
        <v/>
      </c>
      <c r="AH1084" s="74">
        <f t="shared" si="362"/>
        <v>0</v>
      </c>
      <c r="AI1084" s="74" t="str">
        <f>IF(AH1084&lt;&gt;0,COUNTIF(AH$3:AH1084,1),"")</f>
        <v/>
      </c>
      <c r="AJ1084" s="74">
        <f t="shared" si="363"/>
        <v>0</v>
      </c>
      <c r="AK1084" s="73" t="str">
        <f t="shared" si="364"/>
        <v/>
      </c>
      <c r="AL1084" s="73" t="str">
        <f t="shared" si="365"/>
        <v/>
      </c>
      <c r="AM1084" s="73" t="str">
        <f t="shared" si="366"/>
        <v/>
      </c>
      <c r="AN1084" s="73" t="str">
        <f t="shared" si="367"/>
        <v/>
      </c>
    </row>
    <row r="1085" spans="16:40" x14ac:dyDescent="0.25">
      <c r="P1085" s="73" t="str">
        <f t="shared" si="351"/>
        <v/>
      </c>
      <c r="Q1085" s="73" t="str">
        <f t="shared" si="352"/>
        <v/>
      </c>
      <c r="R1085" s="74" t="str">
        <f t="shared" si="353"/>
        <v/>
      </c>
      <c r="S1085" s="74" t="str">
        <f t="shared" si="354"/>
        <v/>
      </c>
      <c r="U1085" s="74" t="str">
        <f t="shared" si="368"/>
        <v/>
      </c>
      <c r="V1085" s="74" t="str">
        <f t="shared" si="368"/>
        <v/>
      </c>
      <c r="W1085" s="74" t="str">
        <f t="shared" si="368"/>
        <v/>
      </c>
      <c r="X1085" s="74" t="str">
        <f t="shared" si="368"/>
        <v/>
      </c>
      <c r="Y1085" s="74" t="str">
        <f t="shared" si="368"/>
        <v/>
      </c>
      <c r="Z1085" s="74" t="str">
        <f t="shared" si="355"/>
        <v/>
      </c>
      <c r="AA1085" s="74">
        <f t="shared" si="356"/>
        <v>0</v>
      </c>
      <c r="AB1085" s="74">
        <f t="shared" si="357"/>
        <v>0</v>
      </c>
      <c r="AC1085" s="74" t="str">
        <f t="shared" si="358"/>
        <v/>
      </c>
      <c r="AE1085" s="74" t="str">
        <f t="shared" si="359"/>
        <v/>
      </c>
      <c r="AF1085" s="74" t="str">
        <f t="shared" si="360"/>
        <v/>
      </c>
      <c r="AG1085" s="74" t="str">
        <f t="shared" si="361"/>
        <v/>
      </c>
      <c r="AH1085" s="74">
        <f t="shared" si="362"/>
        <v>0</v>
      </c>
      <c r="AI1085" s="74" t="str">
        <f>IF(AH1085&lt;&gt;0,COUNTIF(AH$3:AH1085,1),"")</f>
        <v/>
      </c>
      <c r="AJ1085" s="74">
        <f t="shared" si="363"/>
        <v>0</v>
      </c>
      <c r="AK1085" s="73" t="str">
        <f t="shared" si="364"/>
        <v/>
      </c>
      <c r="AL1085" s="73" t="str">
        <f t="shared" si="365"/>
        <v/>
      </c>
      <c r="AM1085" s="73" t="str">
        <f t="shared" si="366"/>
        <v/>
      </c>
      <c r="AN1085" s="73" t="str">
        <f t="shared" si="367"/>
        <v/>
      </c>
    </row>
    <row r="1086" spans="16:40" x14ac:dyDescent="0.25">
      <c r="P1086" s="73" t="str">
        <f t="shared" ref="P1086:P1149" si="369">IF(N1086&lt;&gt;"",SUBSTITUTE(LEFT(N1086,FIND(";",N1086)),";",""),"")</f>
        <v/>
      </c>
      <c r="Q1086" s="73" t="str">
        <f t="shared" ref="Q1086:Q1149" si="370">IF(N1086&lt;&gt;"",SUBSTITUTE(RIGHT(N1086,FIND(";",N1086)),";",""),"")</f>
        <v/>
      </c>
      <c r="R1086" s="74" t="str">
        <f t="shared" ref="R1086:R1149" si="371">IF(O1086&lt;&gt;"",SUBSTITUTE(LEFT(O1086,FIND(";",O1086)),";",""),"")</f>
        <v/>
      </c>
      <c r="S1086" s="74" t="str">
        <f t="shared" ref="S1086:S1149" si="372">IF(O1086&lt;&gt;"",IFERROR(IF(FIND("OK",O1086)&gt;0,TRUE),FALSE),"")</f>
        <v/>
      </c>
      <c r="U1086" s="74" t="str">
        <f t="shared" si="368"/>
        <v/>
      </c>
      <c r="V1086" s="74" t="str">
        <f t="shared" si="368"/>
        <v/>
      </c>
      <c r="W1086" s="74" t="str">
        <f t="shared" si="368"/>
        <v/>
      </c>
      <c r="X1086" s="74" t="str">
        <f t="shared" si="368"/>
        <v/>
      </c>
      <c r="Y1086" s="74" t="str">
        <f t="shared" si="368"/>
        <v/>
      </c>
      <c r="Z1086" s="74" t="str">
        <f t="shared" ref="Z1086:Z1149" si="373">IF(G1086,E1086,"")</f>
        <v/>
      </c>
      <c r="AA1086" s="74">
        <f t="shared" ref="AA1086:AA1149" si="374">IF(G1086=FALSE,E1086,"")</f>
        <v>0</v>
      </c>
      <c r="AB1086" s="74">
        <f t="shared" ref="AB1086:AB1149" si="375">IF(G1086,1,0)</f>
        <v>0</v>
      </c>
      <c r="AC1086" s="74" t="str">
        <f t="shared" ref="AC1086:AC1149" si="376">IF(A1086&lt;&gt;"",IF(G1086,0,1),"")</f>
        <v/>
      </c>
      <c r="AE1086" s="74" t="str">
        <f t="shared" ref="AE1086:AE1149" si="377">IF(P1086&lt;&gt;"",IF(AND(_xlfn.NUMBERVALUE(P1086)&gt;25,_xlfn.NUMBERVALUE(P1086)&lt;38),TRUE,FALSE),"")</f>
        <v/>
      </c>
      <c r="AF1086" s="74" t="str">
        <f t="shared" ref="AF1086:AF1149" si="378">IF(Q1086&lt;&gt;"",IF(AND(_xlfn.NUMBERVALUE(Q1086)&gt;25,_xlfn.NUMBERVALUE(Q1086)&lt;38),TRUE,FALSE),"")</f>
        <v/>
      </c>
      <c r="AG1086" s="74" t="str">
        <f t="shared" ref="AG1086:AG1149" si="379">IF(R1086&lt;&gt;"",IF(AND(_xlfn.NUMBERVALUE(R1086)&gt;262,_xlfn.NUMBERVALUE(R1086)&lt;307),TRUE,FALSE),"")</f>
        <v/>
      </c>
      <c r="AH1086" s="74">
        <f t="shared" ref="AH1086:AH1149" si="380">IF(OR(AE1086=FALSE,AF1086=FALSE,AG1086=FALSE),1,0)</f>
        <v>0</v>
      </c>
      <c r="AI1086" s="74" t="str">
        <f>IF(AH1086&lt;&gt;0,COUNTIF(AH$3:AH1086,1),"")</f>
        <v/>
      </c>
      <c r="AJ1086" s="74">
        <f t="shared" ref="AJ1086:AJ1149" si="381">L1086</f>
        <v>0</v>
      </c>
      <c r="AK1086" s="73" t="str">
        <f t="shared" ref="AK1086:AK1149" si="382">P1086</f>
        <v/>
      </c>
      <c r="AL1086" s="73" t="str">
        <f t="shared" ref="AL1086:AL1149" si="383">Q1086</f>
        <v/>
      </c>
      <c r="AM1086" s="73" t="str">
        <f t="shared" ref="AM1086:AM1149" si="384">R1086</f>
        <v/>
      </c>
      <c r="AN1086" s="73" t="str">
        <f t="shared" ref="AN1086:AN1149" si="385">S1086</f>
        <v/>
      </c>
    </row>
    <row r="1087" spans="16:40" x14ac:dyDescent="0.25">
      <c r="P1087" s="73" t="str">
        <f t="shared" si="369"/>
        <v/>
      </c>
      <c r="Q1087" s="73" t="str">
        <f t="shared" si="370"/>
        <v/>
      </c>
      <c r="R1087" s="74" t="str">
        <f t="shared" si="371"/>
        <v/>
      </c>
      <c r="S1087" s="74" t="str">
        <f t="shared" si="372"/>
        <v/>
      </c>
      <c r="U1087" s="74" t="str">
        <f t="shared" si="368"/>
        <v/>
      </c>
      <c r="V1087" s="74" t="str">
        <f t="shared" si="368"/>
        <v/>
      </c>
      <c r="W1087" s="74" t="str">
        <f t="shared" si="368"/>
        <v/>
      </c>
      <c r="X1087" s="74" t="str">
        <f t="shared" si="368"/>
        <v/>
      </c>
      <c r="Y1087" s="74" t="str">
        <f t="shared" si="368"/>
        <v/>
      </c>
      <c r="Z1087" s="74" t="str">
        <f t="shared" si="373"/>
        <v/>
      </c>
      <c r="AA1087" s="74">
        <f t="shared" si="374"/>
        <v>0</v>
      </c>
      <c r="AB1087" s="74">
        <f t="shared" si="375"/>
        <v>0</v>
      </c>
      <c r="AC1087" s="74" t="str">
        <f t="shared" si="376"/>
        <v/>
      </c>
      <c r="AE1087" s="74" t="str">
        <f t="shared" si="377"/>
        <v/>
      </c>
      <c r="AF1087" s="74" t="str">
        <f t="shared" si="378"/>
        <v/>
      </c>
      <c r="AG1087" s="74" t="str">
        <f t="shared" si="379"/>
        <v/>
      </c>
      <c r="AH1087" s="74">
        <f t="shared" si="380"/>
        <v>0</v>
      </c>
      <c r="AI1087" s="74" t="str">
        <f>IF(AH1087&lt;&gt;0,COUNTIF(AH$3:AH1087,1),"")</f>
        <v/>
      </c>
      <c r="AJ1087" s="74">
        <f t="shared" si="381"/>
        <v>0</v>
      </c>
      <c r="AK1087" s="73" t="str">
        <f t="shared" si="382"/>
        <v/>
      </c>
      <c r="AL1087" s="73" t="str">
        <f t="shared" si="383"/>
        <v/>
      </c>
      <c r="AM1087" s="73" t="str">
        <f t="shared" si="384"/>
        <v/>
      </c>
      <c r="AN1087" s="73" t="str">
        <f t="shared" si="385"/>
        <v/>
      </c>
    </row>
    <row r="1088" spans="16:40" x14ac:dyDescent="0.25">
      <c r="P1088" s="73" t="str">
        <f t="shared" si="369"/>
        <v/>
      </c>
      <c r="Q1088" s="73" t="str">
        <f t="shared" si="370"/>
        <v/>
      </c>
      <c r="R1088" s="74" t="str">
        <f t="shared" si="371"/>
        <v/>
      </c>
      <c r="S1088" s="74" t="str">
        <f t="shared" si="372"/>
        <v/>
      </c>
      <c r="U1088" s="74" t="str">
        <f t="shared" si="368"/>
        <v/>
      </c>
      <c r="V1088" s="74" t="str">
        <f t="shared" si="368"/>
        <v/>
      </c>
      <c r="W1088" s="74" t="str">
        <f t="shared" si="368"/>
        <v/>
      </c>
      <c r="X1088" s="74" t="str">
        <f t="shared" si="368"/>
        <v/>
      </c>
      <c r="Y1088" s="74" t="str">
        <f t="shared" si="368"/>
        <v/>
      </c>
      <c r="Z1088" s="74" t="str">
        <f t="shared" si="373"/>
        <v/>
      </c>
      <c r="AA1088" s="74">
        <f t="shared" si="374"/>
        <v>0</v>
      </c>
      <c r="AB1088" s="74">
        <f t="shared" si="375"/>
        <v>0</v>
      </c>
      <c r="AC1088" s="74" t="str">
        <f t="shared" si="376"/>
        <v/>
      </c>
      <c r="AE1088" s="74" t="str">
        <f t="shared" si="377"/>
        <v/>
      </c>
      <c r="AF1088" s="74" t="str">
        <f t="shared" si="378"/>
        <v/>
      </c>
      <c r="AG1088" s="74" t="str">
        <f t="shared" si="379"/>
        <v/>
      </c>
      <c r="AH1088" s="74">
        <f t="shared" si="380"/>
        <v>0</v>
      </c>
      <c r="AI1088" s="74" t="str">
        <f>IF(AH1088&lt;&gt;0,COUNTIF(AH$3:AH1088,1),"")</f>
        <v/>
      </c>
      <c r="AJ1088" s="74">
        <f t="shared" si="381"/>
        <v>0</v>
      </c>
      <c r="AK1088" s="73" t="str">
        <f t="shared" si="382"/>
        <v/>
      </c>
      <c r="AL1088" s="73" t="str">
        <f t="shared" si="383"/>
        <v/>
      </c>
      <c r="AM1088" s="73" t="str">
        <f t="shared" si="384"/>
        <v/>
      </c>
      <c r="AN1088" s="73" t="str">
        <f t="shared" si="385"/>
        <v/>
      </c>
    </row>
    <row r="1089" spans="16:40" x14ac:dyDescent="0.25">
      <c r="P1089" s="73" t="str">
        <f t="shared" si="369"/>
        <v/>
      </c>
      <c r="Q1089" s="73" t="str">
        <f t="shared" si="370"/>
        <v/>
      </c>
      <c r="R1089" s="74" t="str">
        <f t="shared" si="371"/>
        <v/>
      </c>
      <c r="S1089" s="74" t="str">
        <f t="shared" si="372"/>
        <v/>
      </c>
      <c r="U1089" s="74" t="str">
        <f t="shared" si="368"/>
        <v/>
      </c>
      <c r="V1089" s="74" t="str">
        <f t="shared" si="368"/>
        <v/>
      </c>
      <c r="W1089" s="74" t="str">
        <f t="shared" si="368"/>
        <v/>
      </c>
      <c r="X1089" s="74" t="str">
        <f t="shared" si="368"/>
        <v/>
      </c>
      <c r="Y1089" s="74" t="str">
        <f t="shared" si="368"/>
        <v/>
      </c>
      <c r="Z1089" s="74" t="str">
        <f t="shared" si="373"/>
        <v/>
      </c>
      <c r="AA1089" s="74">
        <f t="shared" si="374"/>
        <v>0</v>
      </c>
      <c r="AB1089" s="74">
        <f t="shared" si="375"/>
        <v>0</v>
      </c>
      <c r="AC1089" s="74" t="str">
        <f t="shared" si="376"/>
        <v/>
      </c>
      <c r="AE1089" s="74" t="str">
        <f t="shared" si="377"/>
        <v/>
      </c>
      <c r="AF1089" s="74" t="str">
        <f t="shared" si="378"/>
        <v/>
      </c>
      <c r="AG1089" s="74" t="str">
        <f t="shared" si="379"/>
        <v/>
      </c>
      <c r="AH1089" s="74">
        <f t="shared" si="380"/>
        <v>0</v>
      </c>
      <c r="AI1089" s="74" t="str">
        <f>IF(AH1089&lt;&gt;0,COUNTIF(AH$3:AH1089,1),"")</f>
        <v/>
      </c>
      <c r="AJ1089" s="74">
        <f t="shared" si="381"/>
        <v>0</v>
      </c>
      <c r="AK1089" s="73" t="str">
        <f t="shared" si="382"/>
        <v/>
      </c>
      <c r="AL1089" s="73" t="str">
        <f t="shared" si="383"/>
        <v/>
      </c>
      <c r="AM1089" s="73" t="str">
        <f t="shared" si="384"/>
        <v/>
      </c>
      <c r="AN1089" s="73" t="str">
        <f t="shared" si="385"/>
        <v/>
      </c>
    </row>
    <row r="1090" spans="16:40" x14ac:dyDescent="0.25">
      <c r="P1090" s="73" t="str">
        <f t="shared" si="369"/>
        <v/>
      </c>
      <c r="Q1090" s="73" t="str">
        <f t="shared" si="370"/>
        <v/>
      </c>
      <c r="R1090" s="74" t="str">
        <f t="shared" si="371"/>
        <v/>
      </c>
      <c r="S1090" s="74" t="str">
        <f t="shared" si="372"/>
        <v/>
      </c>
      <c r="U1090" s="74" t="str">
        <f t="shared" si="368"/>
        <v/>
      </c>
      <c r="V1090" s="74" t="str">
        <f t="shared" si="368"/>
        <v/>
      </c>
      <c r="W1090" s="74" t="str">
        <f t="shared" si="368"/>
        <v/>
      </c>
      <c r="X1090" s="74" t="str">
        <f t="shared" si="368"/>
        <v/>
      </c>
      <c r="Y1090" s="74" t="str">
        <f t="shared" si="368"/>
        <v/>
      </c>
      <c r="Z1090" s="74" t="str">
        <f t="shared" si="373"/>
        <v/>
      </c>
      <c r="AA1090" s="74">
        <f t="shared" si="374"/>
        <v>0</v>
      </c>
      <c r="AB1090" s="74">
        <f t="shared" si="375"/>
        <v>0</v>
      </c>
      <c r="AC1090" s="74" t="str">
        <f t="shared" si="376"/>
        <v/>
      </c>
      <c r="AE1090" s="74" t="str">
        <f t="shared" si="377"/>
        <v/>
      </c>
      <c r="AF1090" s="74" t="str">
        <f t="shared" si="378"/>
        <v/>
      </c>
      <c r="AG1090" s="74" t="str">
        <f t="shared" si="379"/>
        <v/>
      </c>
      <c r="AH1090" s="74">
        <f t="shared" si="380"/>
        <v>0</v>
      </c>
      <c r="AI1090" s="74" t="str">
        <f>IF(AH1090&lt;&gt;0,COUNTIF(AH$3:AH1090,1),"")</f>
        <v/>
      </c>
      <c r="AJ1090" s="74">
        <f t="shared" si="381"/>
        <v>0</v>
      </c>
      <c r="AK1090" s="73" t="str">
        <f t="shared" si="382"/>
        <v/>
      </c>
      <c r="AL1090" s="73" t="str">
        <f t="shared" si="383"/>
        <v/>
      </c>
      <c r="AM1090" s="73" t="str">
        <f t="shared" si="384"/>
        <v/>
      </c>
      <c r="AN1090" s="73" t="str">
        <f t="shared" si="385"/>
        <v/>
      </c>
    </row>
    <row r="1091" spans="16:40" x14ac:dyDescent="0.25">
      <c r="P1091" s="73" t="str">
        <f t="shared" si="369"/>
        <v/>
      </c>
      <c r="Q1091" s="73" t="str">
        <f t="shared" si="370"/>
        <v/>
      </c>
      <c r="R1091" s="74" t="str">
        <f t="shared" si="371"/>
        <v/>
      </c>
      <c r="S1091" s="74" t="str">
        <f t="shared" si="372"/>
        <v/>
      </c>
      <c r="U1091" s="74" t="str">
        <f t="shared" si="368"/>
        <v/>
      </c>
      <c r="V1091" s="74" t="str">
        <f t="shared" si="368"/>
        <v/>
      </c>
      <c r="W1091" s="74" t="str">
        <f t="shared" si="368"/>
        <v/>
      </c>
      <c r="X1091" s="74" t="str">
        <f t="shared" si="368"/>
        <v/>
      </c>
      <c r="Y1091" s="74" t="str">
        <f t="shared" si="368"/>
        <v/>
      </c>
      <c r="Z1091" s="74" t="str">
        <f t="shared" si="373"/>
        <v/>
      </c>
      <c r="AA1091" s="74">
        <f t="shared" si="374"/>
        <v>0</v>
      </c>
      <c r="AB1091" s="74">
        <f t="shared" si="375"/>
        <v>0</v>
      </c>
      <c r="AC1091" s="74" t="str">
        <f t="shared" si="376"/>
        <v/>
      </c>
      <c r="AE1091" s="74" t="str">
        <f t="shared" si="377"/>
        <v/>
      </c>
      <c r="AF1091" s="74" t="str">
        <f t="shared" si="378"/>
        <v/>
      </c>
      <c r="AG1091" s="74" t="str">
        <f t="shared" si="379"/>
        <v/>
      </c>
      <c r="AH1091" s="74">
        <f t="shared" si="380"/>
        <v>0</v>
      </c>
      <c r="AI1091" s="74" t="str">
        <f>IF(AH1091&lt;&gt;0,COUNTIF(AH$3:AH1091,1),"")</f>
        <v/>
      </c>
      <c r="AJ1091" s="74">
        <f t="shared" si="381"/>
        <v>0</v>
      </c>
      <c r="AK1091" s="73" t="str">
        <f t="shared" si="382"/>
        <v/>
      </c>
      <c r="AL1091" s="73" t="str">
        <f t="shared" si="383"/>
        <v/>
      </c>
      <c r="AM1091" s="73" t="str">
        <f t="shared" si="384"/>
        <v/>
      </c>
      <c r="AN1091" s="73" t="str">
        <f t="shared" si="385"/>
        <v/>
      </c>
    </row>
    <row r="1092" spans="16:40" x14ac:dyDescent="0.25">
      <c r="P1092" s="73" t="str">
        <f t="shared" si="369"/>
        <v/>
      </c>
      <c r="Q1092" s="73" t="str">
        <f t="shared" si="370"/>
        <v/>
      </c>
      <c r="R1092" s="74" t="str">
        <f t="shared" si="371"/>
        <v/>
      </c>
      <c r="S1092" s="74" t="str">
        <f t="shared" si="372"/>
        <v/>
      </c>
      <c r="U1092" s="74" t="str">
        <f t="shared" si="368"/>
        <v/>
      </c>
      <c r="V1092" s="74" t="str">
        <f t="shared" si="368"/>
        <v/>
      </c>
      <c r="W1092" s="74" t="str">
        <f t="shared" si="368"/>
        <v/>
      </c>
      <c r="X1092" s="74" t="str">
        <f t="shared" si="368"/>
        <v/>
      </c>
      <c r="Y1092" s="74" t="str">
        <f t="shared" si="368"/>
        <v/>
      </c>
      <c r="Z1092" s="74" t="str">
        <f t="shared" si="373"/>
        <v/>
      </c>
      <c r="AA1092" s="74">
        <f t="shared" si="374"/>
        <v>0</v>
      </c>
      <c r="AB1092" s="74">
        <f t="shared" si="375"/>
        <v>0</v>
      </c>
      <c r="AC1092" s="74" t="str">
        <f t="shared" si="376"/>
        <v/>
      </c>
      <c r="AE1092" s="74" t="str">
        <f t="shared" si="377"/>
        <v/>
      </c>
      <c r="AF1092" s="74" t="str">
        <f t="shared" si="378"/>
        <v/>
      </c>
      <c r="AG1092" s="74" t="str">
        <f t="shared" si="379"/>
        <v/>
      </c>
      <c r="AH1092" s="74">
        <f t="shared" si="380"/>
        <v>0</v>
      </c>
      <c r="AI1092" s="74" t="str">
        <f>IF(AH1092&lt;&gt;0,COUNTIF(AH$3:AH1092,1),"")</f>
        <v/>
      </c>
      <c r="AJ1092" s="74">
        <f t="shared" si="381"/>
        <v>0</v>
      </c>
      <c r="AK1092" s="73" t="str">
        <f t="shared" si="382"/>
        <v/>
      </c>
      <c r="AL1092" s="73" t="str">
        <f t="shared" si="383"/>
        <v/>
      </c>
      <c r="AM1092" s="73" t="str">
        <f t="shared" si="384"/>
        <v/>
      </c>
      <c r="AN1092" s="73" t="str">
        <f t="shared" si="385"/>
        <v/>
      </c>
    </row>
    <row r="1093" spans="16:40" x14ac:dyDescent="0.25">
      <c r="P1093" s="73" t="str">
        <f t="shared" si="369"/>
        <v/>
      </c>
      <c r="Q1093" s="73" t="str">
        <f t="shared" si="370"/>
        <v/>
      </c>
      <c r="R1093" s="74" t="str">
        <f t="shared" si="371"/>
        <v/>
      </c>
      <c r="S1093" s="74" t="str">
        <f t="shared" si="372"/>
        <v/>
      </c>
      <c r="U1093" s="74" t="str">
        <f t="shared" si="368"/>
        <v/>
      </c>
      <c r="V1093" s="74" t="str">
        <f t="shared" si="368"/>
        <v/>
      </c>
      <c r="W1093" s="74" t="str">
        <f t="shared" si="368"/>
        <v/>
      </c>
      <c r="X1093" s="74" t="str">
        <f t="shared" si="368"/>
        <v/>
      </c>
      <c r="Y1093" s="74" t="str">
        <f t="shared" si="368"/>
        <v/>
      </c>
      <c r="Z1093" s="74" t="str">
        <f t="shared" si="373"/>
        <v/>
      </c>
      <c r="AA1093" s="74">
        <f t="shared" si="374"/>
        <v>0</v>
      </c>
      <c r="AB1093" s="74">
        <f t="shared" si="375"/>
        <v>0</v>
      </c>
      <c r="AC1093" s="74" t="str">
        <f t="shared" si="376"/>
        <v/>
      </c>
      <c r="AE1093" s="74" t="str">
        <f t="shared" si="377"/>
        <v/>
      </c>
      <c r="AF1093" s="74" t="str">
        <f t="shared" si="378"/>
        <v/>
      </c>
      <c r="AG1093" s="74" t="str">
        <f t="shared" si="379"/>
        <v/>
      </c>
      <c r="AH1093" s="74">
        <f t="shared" si="380"/>
        <v>0</v>
      </c>
      <c r="AI1093" s="74" t="str">
        <f>IF(AH1093&lt;&gt;0,COUNTIF(AH$3:AH1093,1),"")</f>
        <v/>
      </c>
      <c r="AJ1093" s="74">
        <f t="shared" si="381"/>
        <v>0</v>
      </c>
      <c r="AK1093" s="73" t="str">
        <f t="shared" si="382"/>
        <v/>
      </c>
      <c r="AL1093" s="73" t="str">
        <f t="shared" si="383"/>
        <v/>
      </c>
      <c r="AM1093" s="73" t="str">
        <f t="shared" si="384"/>
        <v/>
      </c>
      <c r="AN1093" s="73" t="str">
        <f t="shared" si="385"/>
        <v/>
      </c>
    </row>
    <row r="1094" spans="16:40" x14ac:dyDescent="0.25">
      <c r="P1094" s="73" t="str">
        <f t="shared" si="369"/>
        <v/>
      </c>
      <c r="Q1094" s="73" t="str">
        <f t="shared" si="370"/>
        <v/>
      </c>
      <c r="R1094" s="74" t="str">
        <f t="shared" si="371"/>
        <v/>
      </c>
      <c r="S1094" s="74" t="str">
        <f t="shared" si="372"/>
        <v/>
      </c>
      <c r="U1094" s="74" t="str">
        <f t="shared" si="368"/>
        <v/>
      </c>
      <c r="V1094" s="74" t="str">
        <f t="shared" si="368"/>
        <v/>
      </c>
      <c r="W1094" s="74" t="str">
        <f t="shared" si="368"/>
        <v/>
      </c>
      <c r="X1094" s="74" t="str">
        <f t="shared" si="368"/>
        <v/>
      </c>
      <c r="Y1094" s="74" t="str">
        <f t="shared" si="368"/>
        <v/>
      </c>
      <c r="Z1094" s="74" t="str">
        <f t="shared" si="373"/>
        <v/>
      </c>
      <c r="AA1094" s="74">
        <f t="shared" si="374"/>
        <v>0</v>
      </c>
      <c r="AB1094" s="74">
        <f t="shared" si="375"/>
        <v>0</v>
      </c>
      <c r="AC1094" s="74" t="str">
        <f t="shared" si="376"/>
        <v/>
      </c>
      <c r="AE1094" s="74" t="str">
        <f t="shared" si="377"/>
        <v/>
      </c>
      <c r="AF1094" s="74" t="str">
        <f t="shared" si="378"/>
        <v/>
      </c>
      <c r="AG1094" s="74" t="str">
        <f t="shared" si="379"/>
        <v/>
      </c>
      <c r="AH1094" s="74">
        <f t="shared" si="380"/>
        <v>0</v>
      </c>
      <c r="AI1094" s="74" t="str">
        <f>IF(AH1094&lt;&gt;0,COUNTIF(AH$3:AH1094,1),"")</f>
        <v/>
      </c>
      <c r="AJ1094" s="74">
        <f t="shared" si="381"/>
        <v>0</v>
      </c>
      <c r="AK1094" s="73" t="str">
        <f t="shared" si="382"/>
        <v/>
      </c>
      <c r="AL1094" s="73" t="str">
        <f t="shared" si="383"/>
        <v/>
      </c>
      <c r="AM1094" s="73" t="str">
        <f t="shared" si="384"/>
        <v/>
      </c>
      <c r="AN1094" s="73" t="str">
        <f t="shared" si="385"/>
        <v/>
      </c>
    </row>
    <row r="1095" spans="16:40" x14ac:dyDescent="0.25">
      <c r="P1095" s="73" t="str">
        <f t="shared" si="369"/>
        <v/>
      </c>
      <c r="Q1095" s="73" t="str">
        <f t="shared" si="370"/>
        <v/>
      </c>
      <c r="R1095" s="74" t="str">
        <f t="shared" si="371"/>
        <v/>
      </c>
      <c r="S1095" s="74" t="str">
        <f t="shared" si="372"/>
        <v/>
      </c>
      <c r="U1095" s="74" t="str">
        <f t="shared" si="368"/>
        <v/>
      </c>
      <c r="V1095" s="74" t="str">
        <f t="shared" si="368"/>
        <v/>
      </c>
      <c r="W1095" s="74" t="str">
        <f t="shared" si="368"/>
        <v/>
      </c>
      <c r="X1095" s="74" t="str">
        <f t="shared" si="368"/>
        <v/>
      </c>
      <c r="Y1095" s="74" t="str">
        <f t="shared" si="368"/>
        <v/>
      </c>
      <c r="Z1095" s="74" t="str">
        <f t="shared" si="373"/>
        <v/>
      </c>
      <c r="AA1095" s="74">
        <f t="shared" si="374"/>
        <v>0</v>
      </c>
      <c r="AB1095" s="74">
        <f t="shared" si="375"/>
        <v>0</v>
      </c>
      <c r="AC1095" s="74" t="str">
        <f t="shared" si="376"/>
        <v/>
      </c>
      <c r="AE1095" s="74" t="str">
        <f t="shared" si="377"/>
        <v/>
      </c>
      <c r="AF1095" s="74" t="str">
        <f t="shared" si="378"/>
        <v/>
      </c>
      <c r="AG1095" s="74" t="str">
        <f t="shared" si="379"/>
        <v/>
      </c>
      <c r="AH1095" s="74">
        <f t="shared" si="380"/>
        <v>0</v>
      </c>
      <c r="AI1095" s="74" t="str">
        <f>IF(AH1095&lt;&gt;0,COUNTIF(AH$3:AH1095,1),"")</f>
        <v/>
      </c>
      <c r="AJ1095" s="74">
        <f t="shared" si="381"/>
        <v>0</v>
      </c>
      <c r="AK1095" s="73" t="str">
        <f t="shared" si="382"/>
        <v/>
      </c>
      <c r="AL1095" s="73" t="str">
        <f t="shared" si="383"/>
        <v/>
      </c>
      <c r="AM1095" s="73" t="str">
        <f t="shared" si="384"/>
        <v/>
      </c>
      <c r="AN1095" s="73" t="str">
        <f t="shared" si="385"/>
        <v/>
      </c>
    </row>
    <row r="1096" spans="16:40" x14ac:dyDescent="0.25">
      <c r="P1096" s="73" t="str">
        <f t="shared" si="369"/>
        <v/>
      </c>
      <c r="Q1096" s="73" t="str">
        <f t="shared" si="370"/>
        <v/>
      </c>
      <c r="R1096" s="74" t="str">
        <f t="shared" si="371"/>
        <v/>
      </c>
      <c r="S1096" s="74" t="str">
        <f t="shared" si="372"/>
        <v/>
      </c>
      <c r="U1096" s="74" t="str">
        <f t="shared" si="368"/>
        <v/>
      </c>
      <c r="V1096" s="74" t="str">
        <f t="shared" si="368"/>
        <v/>
      </c>
      <c r="W1096" s="74" t="str">
        <f t="shared" si="368"/>
        <v/>
      </c>
      <c r="X1096" s="74" t="str">
        <f t="shared" si="368"/>
        <v/>
      </c>
      <c r="Y1096" s="74" t="str">
        <f t="shared" si="368"/>
        <v/>
      </c>
      <c r="Z1096" s="74" t="str">
        <f t="shared" si="373"/>
        <v/>
      </c>
      <c r="AA1096" s="74">
        <f t="shared" si="374"/>
        <v>0</v>
      </c>
      <c r="AB1096" s="74">
        <f t="shared" si="375"/>
        <v>0</v>
      </c>
      <c r="AC1096" s="74" t="str">
        <f t="shared" si="376"/>
        <v/>
      </c>
      <c r="AE1096" s="74" t="str">
        <f t="shared" si="377"/>
        <v/>
      </c>
      <c r="AF1096" s="74" t="str">
        <f t="shared" si="378"/>
        <v/>
      </c>
      <c r="AG1096" s="74" t="str">
        <f t="shared" si="379"/>
        <v/>
      </c>
      <c r="AH1096" s="74">
        <f t="shared" si="380"/>
        <v>0</v>
      </c>
      <c r="AI1096" s="74" t="str">
        <f>IF(AH1096&lt;&gt;0,COUNTIF(AH$3:AH1096,1),"")</f>
        <v/>
      </c>
      <c r="AJ1096" s="74">
        <f t="shared" si="381"/>
        <v>0</v>
      </c>
      <c r="AK1096" s="73" t="str">
        <f t="shared" si="382"/>
        <v/>
      </c>
      <c r="AL1096" s="73" t="str">
        <f t="shared" si="383"/>
        <v/>
      </c>
      <c r="AM1096" s="73" t="str">
        <f t="shared" si="384"/>
        <v/>
      </c>
      <c r="AN1096" s="73" t="str">
        <f t="shared" si="385"/>
        <v/>
      </c>
    </row>
    <row r="1097" spans="16:40" x14ac:dyDescent="0.25">
      <c r="P1097" s="73" t="str">
        <f t="shared" si="369"/>
        <v/>
      </c>
      <c r="Q1097" s="73" t="str">
        <f t="shared" si="370"/>
        <v/>
      </c>
      <c r="R1097" s="74" t="str">
        <f t="shared" si="371"/>
        <v/>
      </c>
      <c r="S1097" s="74" t="str">
        <f t="shared" si="372"/>
        <v/>
      </c>
      <c r="U1097" s="74" t="str">
        <f t="shared" si="368"/>
        <v/>
      </c>
      <c r="V1097" s="74" t="str">
        <f t="shared" si="368"/>
        <v/>
      </c>
      <c r="W1097" s="74" t="str">
        <f t="shared" si="368"/>
        <v/>
      </c>
      <c r="X1097" s="74" t="str">
        <f t="shared" si="368"/>
        <v/>
      </c>
      <c r="Y1097" s="74" t="str">
        <f t="shared" si="368"/>
        <v/>
      </c>
      <c r="Z1097" s="74" t="str">
        <f t="shared" si="373"/>
        <v/>
      </c>
      <c r="AA1097" s="74">
        <f t="shared" si="374"/>
        <v>0</v>
      </c>
      <c r="AB1097" s="74">
        <f t="shared" si="375"/>
        <v>0</v>
      </c>
      <c r="AC1097" s="74" t="str">
        <f t="shared" si="376"/>
        <v/>
      </c>
      <c r="AE1097" s="74" t="str">
        <f t="shared" si="377"/>
        <v/>
      </c>
      <c r="AF1097" s="74" t="str">
        <f t="shared" si="378"/>
        <v/>
      </c>
      <c r="AG1097" s="74" t="str">
        <f t="shared" si="379"/>
        <v/>
      </c>
      <c r="AH1097" s="74">
        <f t="shared" si="380"/>
        <v>0</v>
      </c>
      <c r="AI1097" s="74" t="str">
        <f>IF(AH1097&lt;&gt;0,COUNTIF(AH$3:AH1097,1),"")</f>
        <v/>
      </c>
      <c r="AJ1097" s="74">
        <f t="shared" si="381"/>
        <v>0</v>
      </c>
      <c r="AK1097" s="73" t="str">
        <f t="shared" si="382"/>
        <v/>
      </c>
      <c r="AL1097" s="73" t="str">
        <f t="shared" si="383"/>
        <v/>
      </c>
      <c r="AM1097" s="73" t="str">
        <f t="shared" si="384"/>
        <v/>
      </c>
      <c r="AN1097" s="73" t="str">
        <f t="shared" si="385"/>
        <v/>
      </c>
    </row>
    <row r="1098" spans="16:40" x14ac:dyDescent="0.25">
      <c r="P1098" s="73" t="str">
        <f t="shared" si="369"/>
        <v/>
      </c>
      <c r="Q1098" s="73" t="str">
        <f t="shared" si="370"/>
        <v/>
      </c>
      <c r="R1098" s="74" t="str">
        <f t="shared" si="371"/>
        <v/>
      </c>
      <c r="S1098" s="74" t="str">
        <f t="shared" si="372"/>
        <v/>
      </c>
      <c r="U1098" s="74" t="str">
        <f t="shared" si="368"/>
        <v/>
      </c>
      <c r="V1098" s="74" t="str">
        <f t="shared" si="368"/>
        <v/>
      </c>
      <c r="W1098" s="74" t="str">
        <f t="shared" si="368"/>
        <v/>
      </c>
      <c r="X1098" s="74" t="str">
        <f t="shared" si="368"/>
        <v/>
      </c>
      <c r="Y1098" s="74" t="str">
        <f t="shared" si="368"/>
        <v/>
      </c>
      <c r="Z1098" s="74" t="str">
        <f t="shared" si="373"/>
        <v/>
      </c>
      <c r="AA1098" s="74">
        <f t="shared" si="374"/>
        <v>0</v>
      </c>
      <c r="AB1098" s="74">
        <f t="shared" si="375"/>
        <v>0</v>
      </c>
      <c r="AC1098" s="74" t="str">
        <f t="shared" si="376"/>
        <v/>
      </c>
      <c r="AE1098" s="74" t="str">
        <f t="shared" si="377"/>
        <v/>
      </c>
      <c r="AF1098" s="74" t="str">
        <f t="shared" si="378"/>
        <v/>
      </c>
      <c r="AG1098" s="74" t="str">
        <f t="shared" si="379"/>
        <v/>
      </c>
      <c r="AH1098" s="74">
        <f t="shared" si="380"/>
        <v>0</v>
      </c>
      <c r="AI1098" s="74" t="str">
        <f>IF(AH1098&lt;&gt;0,COUNTIF(AH$3:AH1098,1),"")</f>
        <v/>
      </c>
      <c r="AJ1098" s="74">
        <f t="shared" si="381"/>
        <v>0</v>
      </c>
      <c r="AK1098" s="73" t="str">
        <f t="shared" si="382"/>
        <v/>
      </c>
      <c r="AL1098" s="73" t="str">
        <f t="shared" si="383"/>
        <v/>
      </c>
      <c r="AM1098" s="73" t="str">
        <f t="shared" si="384"/>
        <v/>
      </c>
      <c r="AN1098" s="73" t="str">
        <f t="shared" si="385"/>
        <v/>
      </c>
    </row>
    <row r="1099" spans="16:40" x14ac:dyDescent="0.25">
      <c r="P1099" s="73" t="str">
        <f t="shared" si="369"/>
        <v/>
      </c>
      <c r="Q1099" s="73" t="str">
        <f t="shared" si="370"/>
        <v/>
      </c>
      <c r="R1099" s="74" t="str">
        <f t="shared" si="371"/>
        <v/>
      </c>
      <c r="S1099" s="74" t="str">
        <f t="shared" si="372"/>
        <v/>
      </c>
      <c r="U1099" s="74" t="str">
        <f t="shared" si="368"/>
        <v/>
      </c>
      <c r="V1099" s="74" t="str">
        <f t="shared" si="368"/>
        <v/>
      </c>
      <c r="W1099" s="74" t="str">
        <f t="shared" si="368"/>
        <v/>
      </c>
      <c r="X1099" s="74" t="str">
        <f t="shared" si="368"/>
        <v/>
      </c>
      <c r="Y1099" s="74" t="str">
        <f t="shared" si="368"/>
        <v/>
      </c>
      <c r="Z1099" s="74" t="str">
        <f t="shared" si="373"/>
        <v/>
      </c>
      <c r="AA1099" s="74">
        <f t="shared" si="374"/>
        <v>0</v>
      </c>
      <c r="AB1099" s="74">
        <f t="shared" si="375"/>
        <v>0</v>
      </c>
      <c r="AC1099" s="74" t="str">
        <f t="shared" si="376"/>
        <v/>
      </c>
      <c r="AE1099" s="74" t="str">
        <f t="shared" si="377"/>
        <v/>
      </c>
      <c r="AF1099" s="74" t="str">
        <f t="shared" si="378"/>
        <v/>
      </c>
      <c r="AG1099" s="74" t="str">
        <f t="shared" si="379"/>
        <v/>
      </c>
      <c r="AH1099" s="74">
        <f t="shared" si="380"/>
        <v>0</v>
      </c>
      <c r="AI1099" s="74" t="str">
        <f>IF(AH1099&lt;&gt;0,COUNTIF(AH$3:AH1099,1),"")</f>
        <v/>
      </c>
      <c r="AJ1099" s="74">
        <f t="shared" si="381"/>
        <v>0</v>
      </c>
      <c r="AK1099" s="73" t="str">
        <f t="shared" si="382"/>
        <v/>
      </c>
      <c r="AL1099" s="73" t="str">
        <f t="shared" si="383"/>
        <v/>
      </c>
      <c r="AM1099" s="73" t="str">
        <f t="shared" si="384"/>
        <v/>
      </c>
      <c r="AN1099" s="73" t="str">
        <f t="shared" si="385"/>
        <v/>
      </c>
    </row>
    <row r="1100" spans="16:40" x14ac:dyDescent="0.25">
      <c r="P1100" s="73" t="str">
        <f t="shared" si="369"/>
        <v/>
      </c>
      <c r="Q1100" s="73" t="str">
        <f t="shared" si="370"/>
        <v/>
      </c>
      <c r="R1100" s="74" t="str">
        <f t="shared" si="371"/>
        <v/>
      </c>
      <c r="S1100" s="74" t="str">
        <f t="shared" si="372"/>
        <v/>
      </c>
      <c r="U1100" s="74" t="str">
        <f t="shared" si="368"/>
        <v/>
      </c>
      <c r="V1100" s="74" t="str">
        <f t="shared" si="368"/>
        <v/>
      </c>
      <c r="W1100" s="74" t="str">
        <f t="shared" si="368"/>
        <v/>
      </c>
      <c r="X1100" s="74" t="str">
        <f t="shared" si="368"/>
        <v/>
      </c>
      <c r="Y1100" s="74" t="str">
        <f t="shared" si="368"/>
        <v/>
      </c>
      <c r="Z1100" s="74" t="str">
        <f t="shared" si="373"/>
        <v/>
      </c>
      <c r="AA1100" s="74">
        <f t="shared" si="374"/>
        <v>0</v>
      </c>
      <c r="AB1100" s="74">
        <f t="shared" si="375"/>
        <v>0</v>
      </c>
      <c r="AC1100" s="74" t="str">
        <f t="shared" si="376"/>
        <v/>
      </c>
      <c r="AE1100" s="74" t="str">
        <f t="shared" si="377"/>
        <v/>
      </c>
      <c r="AF1100" s="74" t="str">
        <f t="shared" si="378"/>
        <v/>
      </c>
      <c r="AG1100" s="74" t="str">
        <f t="shared" si="379"/>
        <v/>
      </c>
      <c r="AH1100" s="74">
        <f t="shared" si="380"/>
        <v>0</v>
      </c>
      <c r="AI1100" s="74" t="str">
        <f>IF(AH1100&lt;&gt;0,COUNTIF(AH$3:AH1100,1),"")</f>
        <v/>
      </c>
      <c r="AJ1100" s="74">
        <f t="shared" si="381"/>
        <v>0</v>
      </c>
      <c r="AK1100" s="73" t="str">
        <f t="shared" si="382"/>
        <v/>
      </c>
      <c r="AL1100" s="73" t="str">
        <f t="shared" si="383"/>
        <v/>
      </c>
      <c r="AM1100" s="73" t="str">
        <f t="shared" si="384"/>
        <v/>
      </c>
      <c r="AN1100" s="73" t="str">
        <f t="shared" si="385"/>
        <v/>
      </c>
    </row>
    <row r="1101" spans="16:40" x14ac:dyDescent="0.25">
      <c r="P1101" s="73" t="str">
        <f t="shared" si="369"/>
        <v/>
      </c>
      <c r="Q1101" s="73" t="str">
        <f t="shared" si="370"/>
        <v/>
      </c>
      <c r="R1101" s="74" t="str">
        <f t="shared" si="371"/>
        <v/>
      </c>
      <c r="S1101" s="74" t="str">
        <f t="shared" si="372"/>
        <v/>
      </c>
      <c r="U1101" s="74" t="str">
        <f t="shared" si="368"/>
        <v/>
      </c>
      <c r="V1101" s="74" t="str">
        <f t="shared" si="368"/>
        <v/>
      </c>
      <c r="W1101" s="74" t="str">
        <f t="shared" si="368"/>
        <v/>
      </c>
      <c r="X1101" s="74" t="str">
        <f t="shared" si="368"/>
        <v/>
      </c>
      <c r="Y1101" s="74" t="str">
        <f t="shared" si="368"/>
        <v/>
      </c>
      <c r="Z1101" s="74" t="str">
        <f t="shared" si="373"/>
        <v/>
      </c>
      <c r="AA1101" s="74">
        <f t="shared" si="374"/>
        <v>0</v>
      </c>
      <c r="AB1101" s="74">
        <f t="shared" si="375"/>
        <v>0</v>
      </c>
      <c r="AC1101" s="74" t="str">
        <f t="shared" si="376"/>
        <v/>
      </c>
      <c r="AE1101" s="74" t="str">
        <f t="shared" si="377"/>
        <v/>
      </c>
      <c r="AF1101" s="74" t="str">
        <f t="shared" si="378"/>
        <v/>
      </c>
      <c r="AG1101" s="74" t="str">
        <f t="shared" si="379"/>
        <v/>
      </c>
      <c r="AH1101" s="74">
        <f t="shared" si="380"/>
        <v>0</v>
      </c>
      <c r="AI1101" s="74" t="str">
        <f>IF(AH1101&lt;&gt;0,COUNTIF(AH$3:AH1101,1),"")</f>
        <v/>
      </c>
      <c r="AJ1101" s="74">
        <f t="shared" si="381"/>
        <v>0</v>
      </c>
      <c r="AK1101" s="73" t="str">
        <f t="shared" si="382"/>
        <v/>
      </c>
      <c r="AL1101" s="73" t="str">
        <f t="shared" si="383"/>
        <v/>
      </c>
      <c r="AM1101" s="73" t="str">
        <f t="shared" si="384"/>
        <v/>
      </c>
      <c r="AN1101" s="73" t="str">
        <f t="shared" si="385"/>
        <v/>
      </c>
    </row>
    <row r="1102" spans="16:40" x14ac:dyDescent="0.25">
      <c r="P1102" s="73" t="str">
        <f t="shared" si="369"/>
        <v/>
      </c>
      <c r="Q1102" s="73" t="str">
        <f t="shared" si="370"/>
        <v/>
      </c>
      <c r="R1102" s="74" t="str">
        <f t="shared" si="371"/>
        <v/>
      </c>
      <c r="S1102" s="74" t="str">
        <f t="shared" si="372"/>
        <v/>
      </c>
      <c r="U1102" s="74" t="str">
        <f t="shared" si="368"/>
        <v/>
      </c>
      <c r="V1102" s="74" t="str">
        <f t="shared" si="368"/>
        <v/>
      </c>
      <c r="W1102" s="74" t="str">
        <f t="shared" si="368"/>
        <v/>
      </c>
      <c r="X1102" s="74" t="str">
        <f t="shared" si="368"/>
        <v/>
      </c>
      <c r="Y1102" s="74" t="str">
        <f t="shared" si="368"/>
        <v/>
      </c>
      <c r="Z1102" s="74" t="str">
        <f t="shared" si="373"/>
        <v/>
      </c>
      <c r="AA1102" s="74">
        <f t="shared" si="374"/>
        <v>0</v>
      </c>
      <c r="AB1102" s="74">
        <f t="shared" si="375"/>
        <v>0</v>
      </c>
      <c r="AC1102" s="74" t="str">
        <f t="shared" si="376"/>
        <v/>
      </c>
      <c r="AE1102" s="74" t="str">
        <f t="shared" si="377"/>
        <v/>
      </c>
      <c r="AF1102" s="74" t="str">
        <f t="shared" si="378"/>
        <v/>
      </c>
      <c r="AG1102" s="74" t="str">
        <f t="shared" si="379"/>
        <v/>
      </c>
      <c r="AH1102" s="74">
        <f t="shared" si="380"/>
        <v>0</v>
      </c>
      <c r="AI1102" s="74" t="str">
        <f>IF(AH1102&lt;&gt;0,COUNTIF(AH$3:AH1102,1),"")</f>
        <v/>
      </c>
      <c r="AJ1102" s="74">
        <f t="shared" si="381"/>
        <v>0</v>
      </c>
      <c r="AK1102" s="73" t="str">
        <f t="shared" si="382"/>
        <v/>
      </c>
      <c r="AL1102" s="73" t="str">
        <f t="shared" si="383"/>
        <v/>
      </c>
      <c r="AM1102" s="73" t="str">
        <f t="shared" si="384"/>
        <v/>
      </c>
      <c r="AN1102" s="73" t="str">
        <f t="shared" si="385"/>
        <v/>
      </c>
    </row>
    <row r="1103" spans="16:40" x14ac:dyDescent="0.25">
      <c r="P1103" s="73" t="str">
        <f t="shared" si="369"/>
        <v/>
      </c>
      <c r="Q1103" s="73" t="str">
        <f t="shared" si="370"/>
        <v/>
      </c>
      <c r="R1103" s="74" t="str">
        <f t="shared" si="371"/>
        <v/>
      </c>
      <c r="S1103" s="74" t="str">
        <f t="shared" si="372"/>
        <v/>
      </c>
      <c r="U1103" s="74" t="str">
        <f t="shared" si="368"/>
        <v/>
      </c>
      <c r="V1103" s="74" t="str">
        <f t="shared" si="368"/>
        <v/>
      </c>
      <c r="W1103" s="74" t="str">
        <f t="shared" si="368"/>
        <v/>
      </c>
      <c r="X1103" s="74" t="str">
        <f t="shared" si="368"/>
        <v/>
      </c>
      <c r="Y1103" s="74" t="str">
        <f t="shared" si="368"/>
        <v/>
      </c>
      <c r="Z1103" s="74" t="str">
        <f t="shared" si="373"/>
        <v/>
      </c>
      <c r="AA1103" s="74">
        <f t="shared" si="374"/>
        <v>0</v>
      </c>
      <c r="AB1103" s="74">
        <f t="shared" si="375"/>
        <v>0</v>
      </c>
      <c r="AC1103" s="74" t="str">
        <f t="shared" si="376"/>
        <v/>
      </c>
      <c r="AE1103" s="74" t="str">
        <f t="shared" si="377"/>
        <v/>
      </c>
      <c r="AF1103" s="74" t="str">
        <f t="shared" si="378"/>
        <v/>
      </c>
      <c r="AG1103" s="74" t="str">
        <f t="shared" si="379"/>
        <v/>
      </c>
      <c r="AH1103" s="74">
        <f t="shared" si="380"/>
        <v>0</v>
      </c>
      <c r="AI1103" s="74" t="str">
        <f>IF(AH1103&lt;&gt;0,COUNTIF(AH$3:AH1103,1),"")</f>
        <v/>
      </c>
      <c r="AJ1103" s="74">
        <f t="shared" si="381"/>
        <v>0</v>
      </c>
      <c r="AK1103" s="73" t="str">
        <f t="shared" si="382"/>
        <v/>
      </c>
      <c r="AL1103" s="73" t="str">
        <f t="shared" si="383"/>
        <v/>
      </c>
      <c r="AM1103" s="73" t="str">
        <f t="shared" si="384"/>
        <v/>
      </c>
      <c r="AN1103" s="73" t="str">
        <f t="shared" si="385"/>
        <v/>
      </c>
    </row>
    <row r="1104" spans="16:40" x14ac:dyDescent="0.25">
      <c r="P1104" s="73" t="str">
        <f t="shared" si="369"/>
        <v/>
      </c>
      <c r="Q1104" s="73" t="str">
        <f t="shared" si="370"/>
        <v/>
      </c>
      <c r="R1104" s="74" t="str">
        <f t="shared" si="371"/>
        <v/>
      </c>
      <c r="S1104" s="74" t="str">
        <f t="shared" si="372"/>
        <v/>
      </c>
      <c r="U1104" s="74" t="str">
        <f t="shared" si="368"/>
        <v/>
      </c>
      <c r="V1104" s="74" t="str">
        <f t="shared" si="368"/>
        <v/>
      </c>
      <c r="W1104" s="74" t="str">
        <f t="shared" si="368"/>
        <v/>
      </c>
      <c r="X1104" s="74" t="str">
        <f t="shared" si="368"/>
        <v/>
      </c>
      <c r="Y1104" s="74" t="str">
        <f t="shared" si="368"/>
        <v/>
      </c>
      <c r="Z1104" s="74" t="str">
        <f t="shared" si="373"/>
        <v/>
      </c>
      <c r="AA1104" s="74">
        <f t="shared" si="374"/>
        <v>0</v>
      </c>
      <c r="AB1104" s="74">
        <f t="shared" si="375"/>
        <v>0</v>
      </c>
      <c r="AC1104" s="74" t="str">
        <f t="shared" si="376"/>
        <v/>
      </c>
      <c r="AE1104" s="74" t="str">
        <f t="shared" si="377"/>
        <v/>
      </c>
      <c r="AF1104" s="74" t="str">
        <f t="shared" si="378"/>
        <v/>
      </c>
      <c r="AG1104" s="74" t="str">
        <f t="shared" si="379"/>
        <v/>
      </c>
      <c r="AH1104" s="74">
        <f t="shared" si="380"/>
        <v>0</v>
      </c>
      <c r="AI1104" s="74" t="str">
        <f>IF(AH1104&lt;&gt;0,COUNTIF(AH$3:AH1104,1),"")</f>
        <v/>
      </c>
      <c r="AJ1104" s="74">
        <f t="shared" si="381"/>
        <v>0</v>
      </c>
      <c r="AK1104" s="73" t="str">
        <f t="shared" si="382"/>
        <v/>
      </c>
      <c r="AL1104" s="73" t="str">
        <f t="shared" si="383"/>
        <v/>
      </c>
      <c r="AM1104" s="73" t="str">
        <f t="shared" si="384"/>
        <v/>
      </c>
      <c r="AN1104" s="73" t="str">
        <f t="shared" si="385"/>
        <v/>
      </c>
    </row>
    <row r="1105" spans="16:40" x14ac:dyDescent="0.25">
      <c r="P1105" s="73" t="str">
        <f t="shared" si="369"/>
        <v/>
      </c>
      <c r="Q1105" s="73" t="str">
        <f t="shared" si="370"/>
        <v/>
      </c>
      <c r="R1105" s="74" t="str">
        <f t="shared" si="371"/>
        <v/>
      </c>
      <c r="S1105" s="74" t="str">
        <f t="shared" si="372"/>
        <v/>
      </c>
      <c r="U1105" s="74" t="str">
        <f t="shared" si="368"/>
        <v/>
      </c>
      <c r="V1105" s="74" t="str">
        <f t="shared" si="368"/>
        <v/>
      </c>
      <c r="W1105" s="74" t="str">
        <f t="shared" si="368"/>
        <v/>
      </c>
      <c r="X1105" s="74" t="str">
        <f t="shared" si="368"/>
        <v/>
      </c>
      <c r="Y1105" s="74" t="str">
        <f t="shared" si="368"/>
        <v/>
      </c>
      <c r="Z1105" s="74" t="str">
        <f t="shared" si="373"/>
        <v/>
      </c>
      <c r="AA1105" s="74">
        <f t="shared" si="374"/>
        <v>0</v>
      </c>
      <c r="AB1105" s="74">
        <f t="shared" si="375"/>
        <v>0</v>
      </c>
      <c r="AC1105" s="74" t="str">
        <f t="shared" si="376"/>
        <v/>
      </c>
      <c r="AE1105" s="74" t="str">
        <f t="shared" si="377"/>
        <v/>
      </c>
      <c r="AF1105" s="74" t="str">
        <f t="shared" si="378"/>
        <v/>
      </c>
      <c r="AG1105" s="74" t="str">
        <f t="shared" si="379"/>
        <v/>
      </c>
      <c r="AH1105" s="74">
        <f t="shared" si="380"/>
        <v>0</v>
      </c>
      <c r="AI1105" s="74" t="str">
        <f>IF(AH1105&lt;&gt;0,COUNTIF(AH$3:AH1105,1),"")</f>
        <v/>
      </c>
      <c r="AJ1105" s="74">
        <f t="shared" si="381"/>
        <v>0</v>
      </c>
      <c r="AK1105" s="73" t="str">
        <f t="shared" si="382"/>
        <v/>
      </c>
      <c r="AL1105" s="73" t="str">
        <f t="shared" si="383"/>
        <v/>
      </c>
      <c r="AM1105" s="73" t="str">
        <f t="shared" si="384"/>
        <v/>
      </c>
      <c r="AN1105" s="73" t="str">
        <f t="shared" si="385"/>
        <v/>
      </c>
    </row>
    <row r="1106" spans="16:40" x14ac:dyDescent="0.25">
      <c r="P1106" s="73" t="str">
        <f t="shared" si="369"/>
        <v/>
      </c>
      <c r="Q1106" s="73" t="str">
        <f t="shared" si="370"/>
        <v/>
      </c>
      <c r="R1106" s="74" t="str">
        <f t="shared" si="371"/>
        <v/>
      </c>
      <c r="S1106" s="74" t="str">
        <f t="shared" si="372"/>
        <v/>
      </c>
      <c r="U1106" s="74" t="str">
        <f t="shared" si="368"/>
        <v/>
      </c>
      <c r="V1106" s="74" t="str">
        <f t="shared" si="368"/>
        <v/>
      </c>
      <c r="W1106" s="74" t="str">
        <f t="shared" si="368"/>
        <v/>
      </c>
      <c r="X1106" s="74" t="str">
        <f t="shared" si="368"/>
        <v/>
      </c>
      <c r="Y1106" s="74" t="str">
        <f t="shared" si="368"/>
        <v/>
      </c>
      <c r="Z1106" s="74" t="str">
        <f t="shared" si="373"/>
        <v/>
      </c>
      <c r="AA1106" s="74">
        <f t="shared" si="374"/>
        <v>0</v>
      </c>
      <c r="AB1106" s="74">
        <f t="shared" si="375"/>
        <v>0</v>
      </c>
      <c r="AC1106" s="74" t="str">
        <f t="shared" si="376"/>
        <v/>
      </c>
      <c r="AE1106" s="74" t="str">
        <f t="shared" si="377"/>
        <v/>
      </c>
      <c r="AF1106" s="74" t="str">
        <f t="shared" si="378"/>
        <v/>
      </c>
      <c r="AG1106" s="74" t="str">
        <f t="shared" si="379"/>
        <v/>
      </c>
      <c r="AH1106" s="74">
        <f t="shared" si="380"/>
        <v>0</v>
      </c>
      <c r="AI1106" s="74" t="str">
        <f>IF(AH1106&lt;&gt;0,COUNTIF(AH$3:AH1106,1),"")</f>
        <v/>
      </c>
      <c r="AJ1106" s="74">
        <f t="shared" si="381"/>
        <v>0</v>
      </c>
      <c r="AK1106" s="73" t="str">
        <f t="shared" si="382"/>
        <v/>
      </c>
      <c r="AL1106" s="73" t="str">
        <f t="shared" si="383"/>
        <v/>
      </c>
      <c r="AM1106" s="73" t="str">
        <f t="shared" si="384"/>
        <v/>
      </c>
      <c r="AN1106" s="73" t="str">
        <f t="shared" si="385"/>
        <v/>
      </c>
    </row>
    <row r="1107" spans="16:40" x14ac:dyDescent="0.25">
      <c r="P1107" s="73" t="str">
        <f t="shared" si="369"/>
        <v/>
      </c>
      <c r="Q1107" s="73" t="str">
        <f t="shared" si="370"/>
        <v/>
      </c>
      <c r="R1107" s="74" t="str">
        <f t="shared" si="371"/>
        <v/>
      </c>
      <c r="S1107" s="74" t="str">
        <f t="shared" si="372"/>
        <v/>
      </c>
      <c r="U1107" s="74" t="str">
        <f t="shared" si="368"/>
        <v/>
      </c>
      <c r="V1107" s="74" t="str">
        <f t="shared" si="368"/>
        <v/>
      </c>
      <c r="W1107" s="74" t="str">
        <f t="shared" si="368"/>
        <v/>
      </c>
      <c r="X1107" s="74" t="str">
        <f t="shared" si="368"/>
        <v/>
      </c>
      <c r="Y1107" s="74" t="str">
        <f t="shared" si="368"/>
        <v/>
      </c>
      <c r="Z1107" s="74" t="str">
        <f t="shared" si="373"/>
        <v/>
      </c>
      <c r="AA1107" s="74">
        <f t="shared" si="374"/>
        <v>0</v>
      </c>
      <c r="AB1107" s="74">
        <f t="shared" si="375"/>
        <v>0</v>
      </c>
      <c r="AC1107" s="74" t="str">
        <f t="shared" si="376"/>
        <v/>
      </c>
      <c r="AE1107" s="74" t="str">
        <f t="shared" si="377"/>
        <v/>
      </c>
      <c r="AF1107" s="74" t="str">
        <f t="shared" si="378"/>
        <v/>
      </c>
      <c r="AG1107" s="74" t="str">
        <f t="shared" si="379"/>
        <v/>
      </c>
      <c r="AH1107" s="74">
        <f t="shared" si="380"/>
        <v>0</v>
      </c>
      <c r="AI1107" s="74" t="str">
        <f>IF(AH1107&lt;&gt;0,COUNTIF(AH$3:AH1107,1),"")</f>
        <v/>
      </c>
      <c r="AJ1107" s="74">
        <f t="shared" si="381"/>
        <v>0</v>
      </c>
      <c r="AK1107" s="73" t="str">
        <f t="shared" si="382"/>
        <v/>
      </c>
      <c r="AL1107" s="73" t="str">
        <f t="shared" si="383"/>
        <v/>
      </c>
      <c r="AM1107" s="73" t="str">
        <f t="shared" si="384"/>
        <v/>
      </c>
      <c r="AN1107" s="73" t="str">
        <f t="shared" si="385"/>
        <v/>
      </c>
    </row>
    <row r="1108" spans="16:40" x14ac:dyDescent="0.25">
      <c r="P1108" s="73" t="str">
        <f t="shared" si="369"/>
        <v/>
      </c>
      <c r="Q1108" s="73" t="str">
        <f t="shared" si="370"/>
        <v/>
      </c>
      <c r="R1108" s="74" t="str">
        <f t="shared" si="371"/>
        <v/>
      </c>
      <c r="S1108" s="74" t="str">
        <f t="shared" si="372"/>
        <v/>
      </c>
      <c r="U1108" s="74" t="str">
        <f t="shared" ref="U1108:Y1158" si="386">IF($F1108=U$1,$E1108,"")</f>
        <v/>
      </c>
      <c r="V1108" s="74" t="str">
        <f t="shared" si="386"/>
        <v/>
      </c>
      <c r="W1108" s="74" t="str">
        <f t="shared" si="386"/>
        <v/>
      </c>
      <c r="X1108" s="74" t="str">
        <f t="shared" si="386"/>
        <v/>
      </c>
      <c r="Y1108" s="74" t="str">
        <f t="shared" si="386"/>
        <v/>
      </c>
      <c r="Z1108" s="74" t="str">
        <f t="shared" si="373"/>
        <v/>
      </c>
      <c r="AA1108" s="74">
        <f t="shared" si="374"/>
        <v>0</v>
      </c>
      <c r="AB1108" s="74">
        <f t="shared" si="375"/>
        <v>0</v>
      </c>
      <c r="AC1108" s="74" t="str">
        <f t="shared" si="376"/>
        <v/>
      </c>
      <c r="AE1108" s="74" t="str">
        <f t="shared" si="377"/>
        <v/>
      </c>
      <c r="AF1108" s="74" t="str">
        <f t="shared" si="378"/>
        <v/>
      </c>
      <c r="AG1108" s="74" t="str">
        <f t="shared" si="379"/>
        <v/>
      </c>
      <c r="AH1108" s="74">
        <f t="shared" si="380"/>
        <v>0</v>
      </c>
      <c r="AI1108" s="74" t="str">
        <f>IF(AH1108&lt;&gt;0,COUNTIF(AH$3:AH1108,1),"")</f>
        <v/>
      </c>
      <c r="AJ1108" s="74">
        <f t="shared" si="381"/>
        <v>0</v>
      </c>
      <c r="AK1108" s="73" t="str">
        <f t="shared" si="382"/>
        <v/>
      </c>
      <c r="AL1108" s="73" t="str">
        <f t="shared" si="383"/>
        <v/>
      </c>
      <c r="AM1108" s="73" t="str">
        <f t="shared" si="384"/>
        <v/>
      </c>
      <c r="AN1108" s="73" t="str">
        <f t="shared" si="385"/>
        <v/>
      </c>
    </row>
    <row r="1109" spans="16:40" x14ac:dyDescent="0.25">
      <c r="P1109" s="73" t="str">
        <f t="shared" si="369"/>
        <v/>
      </c>
      <c r="Q1109" s="73" t="str">
        <f t="shared" si="370"/>
        <v/>
      </c>
      <c r="R1109" s="74" t="str">
        <f t="shared" si="371"/>
        <v/>
      </c>
      <c r="S1109" s="74" t="str">
        <f t="shared" si="372"/>
        <v/>
      </c>
      <c r="U1109" s="74" t="str">
        <f t="shared" si="386"/>
        <v/>
      </c>
      <c r="V1109" s="74" t="str">
        <f t="shared" si="386"/>
        <v/>
      </c>
      <c r="W1109" s="74" t="str">
        <f t="shared" si="386"/>
        <v/>
      </c>
      <c r="X1109" s="74" t="str">
        <f t="shared" si="386"/>
        <v/>
      </c>
      <c r="Y1109" s="74" t="str">
        <f t="shared" si="386"/>
        <v/>
      </c>
      <c r="Z1109" s="74" t="str">
        <f t="shared" si="373"/>
        <v/>
      </c>
      <c r="AA1109" s="74">
        <f t="shared" si="374"/>
        <v>0</v>
      </c>
      <c r="AB1109" s="74">
        <f t="shared" si="375"/>
        <v>0</v>
      </c>
      <c r="AC1109" s="74" t="str">
        <f t="shared" si="376"/>
        <v/>
      </c>
      <c r="AE1109" s="74" t="str">
        <f t="shared" si="377"/>
        <v/>
      </c>
      <c r="AF1109" s="74" t="str">
        <f t="shared" si="378"/>
        <v/>
      </c>
      <c r="AG1109" s="74" t="str">
        <f t="shared" si="379"/>
        <v/>
      </c>
      <c r="AH1109" s="74">
        <f t="shared" si="380"/>
        <v>0</v>
      </c>
      <c r="AI1109" s="74" t="str">
        <f>IF(AH1109&lt;&gt;0,COUNTIF(AH$3:AH1109,1),"")</f>
        <v/>
      </c>
      <c r="AJ1109" s="74">
        <f t="shared" si="381"/>
        <v>0</v>
      </c>
      <c r="AK1109" s="73" t="str">
        <f t="shared" si="382"/>
        <v/>
      </c>
      <c r="AL1109" s="73" t="str">
        <f t="shared" si="383"/>
        <v/>
      </c>
      <c r="AM1109" s="73" t="str">
        <f t="shared" si="384"/>
        <v/>
      </c>
      <c r="AN1109" s="73" t="str">
        <f t="shared" si="385"/>
        <v/>
      </c>
    </row>
    <row r="1110" spans="16:40" x14ac:dyDescent="0.25">
      <c r="P1110" s="73" t="str">
        <f t="shared" si="369"/>
        <v/>
      </c>
      <c r="Q1110" s="73" t="str">
        <f t="shared" si="370"/>
        <v/>
      </c>
      <c r="R1110" s="74" t="str">
        <f t="shared" si="371"/>
        <v/>
      </c>
      <c r="S1110" s="74" t="str">
        <f t="shared" si="372"/>
        <v/>
      </c>
      <c r="U1110" s="74" t="str">
        <f t="shared" si="386"/>
        <v/>
      </c>
      <c r="V1110" s="74" t="str">
        <f t="shared" si="386"/>
        <v/>
      </c>
      <c r="W1110" s="74" t="str">
        <f t="shared" si="386"/>
        <v/>
      </c>
      <c r="X1110" s="74" t="str">
        <f t="shared" si="386"/>
        <v/>
      </c>
      <c r="Y1110" s="74" t="str">
        <f t="shared" si="386"/>
        <v/>
      </c>
      <c r="Z1110" s="74" t="str">
        <f t="shared" si="373"/>
        <v/>
      </c>
      <c r="AA1110" s="74">
        <f t="shared" si="374"/>
        <v>0</v>
      </c>
      <c r="AB1110" s="74">
        <f t="shared" si="375"/>
        <v>0</v>
      </c>
      <c r="AC1110" s="74" t="str">
        <f t="shared" si="376"/>
        <v/>
      </c>
      <c r="AE1110" s="74" t="str">
        <f t="shared" si="377"/>
        <v/>
      </c>
      <c r="AF1110" s="74" t="str">
        <f t="shared" si="378"/>
        <v/>
      </c>
      <c r="AG1110" s="74" t="str">
        <f t="shared" si="379"/>
        <v/>
      </c>
      <c r="AH1110" s="74">
        <f t="shared" si="380"/>
        <v>0</v>
      </c>
      <c r="AI1110" s="74" t="str">
        <f>IF(AH1110&lt;&gt;0,COUNTIF(AH$3:AH1110,1),"")</f>
        <v/>
      </c>
      <c r="AJ1110" s="74">
        <f t="shared" si="381"/>
        <v>0</v>
      </c>
      <c r="AK1110" s="73" t="str">
        <f t="shared" si="382"/>
        <v/>
      </c>
      <c r="AL1110" s="73" t="str">
        <f t="shared" si="383"/>
        <v/>
      </c>
      <c r="AM1110" s="73" t="str">
        <f t="shared" si="384"/>
        <v/>
      </c>
      <c r="AN1110" s="73" t="str">
        <f t="shared" si="385"/>
        <v/>
      </c>
    </row>
    <row r="1111" spans="16:40" x14ac:dyDescent="0.25">
      <c r="P1111" s="73" t="str">
        <f t="shared" si="369"/>
        <v/>
      </c>
      <c r="Q1111" s="73" t="str">
        <f t="shared" si="370"/>
        <v/>
      </c>
      <c r="R1111" s="74" t="str">
        <f t="shared" si="371"/>
        <v/>
      </c>
      <c r="S1111" s="74" t="str">
        <f t="shared" si="372"/>
        <v/>
      </c>
      <c r="U1111" s="74" t="str">
        <f t="shared" si="386"/>
        <v/>
      </c>
      <c r="V1111" s="74" t="str">
        <f t="shared" si="386"/>
        <v/>
      </c>
      <c r="W1111" s="74" t="str">
        <f t="shared" si="386"/>
        <v/>
      </c>
      <c r="X1111" s="74" t="str">
        <f t="shared" si="386"/>
        <v/>
      </c>
      <c r="Y1111" s="74" t="str">
        <f t="shared" si="386"/>
        <v/>
      </c>
      <c r="Z1111" s="74" t="str">
        <f t="shared" si="373"/>
        <v/>
      </c>
      <c r="AA1111" s="74">
        <f t="shared" si="374"/>
        <v>0</v>
      </c>
      <c r="AB1111" s="74">
        <f t="shared" si="375"/>
        <v>0</v>
      </c>
      <c r="AC1111" s="74" t="str">
        <f t="shared" si="376"/>
        <v/>
      </c>
      <c r="AE1111" s="74" t="str">
        <f t="shared" si="377"/>
        <v/>
      </c>
      <c r="AF1111" s="74" t="str">
        <f t="shared" si="378"/>
        <v/>
      </c>
      <c r="AG1111" s="74" t="str">
        <f t="shared" si="379"/>
        <v/>
      </c>
      <c r="AH1111" s="74">
        <f t="shared" si="380"/>
        <v>0</v>
      </c>
      <c r="AI1111" s="74" t="str">
        <f>IF(AH1111&lt;&gt;0,COUNTIF(AH$3:AH1111,1),"")</f>
        <v/>
      </c>
      <c r="AJ1111" s="74">
        <f t="shared" si="381"/>
        <v>0</v>
      </c>
      <c r="AK1111" s="73" t="str">
        <f t="shared" si="382"/>
        <v/>
      </c>
      <c r="AL1111" s="73" t="str">
        <f t="shared" si="383"/>
        <v/>
      </c>
      <c r="AM1111" s="73" t="str">
        <f t="shared" si="384"/>
        <v/>
      </c>
      <c r="AN1111" s="73" t="str">
        <f t="shared" si="385"/>
        <v/>
      </c>
    </row>
    <row r="1112" spans="16:40" x14ac:dyDescent="0.25">
      <c r="P1112" s="73" t="str">
        <f t="shared" si="369"/>
        <v/>
      </c>
      <c r="Q1112" s="73" t="str">
        <f t="shared" si="370"/>
        <v/>
      </c>
      <c r="R1112" s="74" t="str">
        <f t="shared" si="371"/>
        <v/>
      </c>
      <c r="S1112" s="74" t="str">
        <f t="shared" si="372"/>
        <v/>
      </c>
      <c r="U1112" s="74" t="str">
        <f t="shared" si="386"/>
        <v/>
      </c>
      <c r="V1112" s="74" t="str">
        <f t="shared" si="386"/>
        <v/>
      </c>
      <c r="W1112" s="74" t="str">
        <f t="shared" si="386"/>
        <v/>
      </c>
      <c r="X1112" s="74" t="str">
        <f t="shared" si="386"/>
        <v/>
      </c>
      <c r="Y1112" s="74" t="str">
        <f t="shared" si="386"/>
        <v/>
      </c>
      <c r="Z1112" s="74" t="str">
        <f t="shared" si="373"/>
        <v/>
      </c>
      <c r="AA1112" s="74">
        <f t="shared" si="374"/>
        <v>0</v>
      </c>
      <c r="AB1112" s="74">
        <f t="shared" si="375"/>
        <v>0</v>
      </c>
      <c r="AC1112" s="74" t="str">
        <f t="shared" si="376"/>
        <v/>
      </c>
      <c r="AE1112" s="74" t="str">
        <f t="shared" si="377"/>
        <v/>
      </c>
      <c r="AF1112" s="74" t="str">
        <f t="shared" si="378"/>
        <v/>
      </c>
      <c r="AG1112" s="74" t="str">
        <f t="shared" si="379"/>
        <v/>
      </c>
      <c r="AH1112" s="74">
        <f t="shared" si="380"/>
        <v>0</v>
      </c>
      <c r="AI1112" s="74" t="str">
        <f>IF(AH1112&lt;&gt;0,COUNTIF(AH$3:AH1112,1),"")</f>
        <v/>
      </c>
      <c r="AJ1112" s="74">
        <f t="shared" si="381"/>
        <v>0</v>
      </c>
      <c r="AK1112" s="73" t="str">
        <f t="shared" si="382"/>
        <v/>
      </c>
      <c r="AL1112" s="73" t="str">
        <f t="shared" si="383"/>
        <v/>
      </c>
      <c r="AM1112" s="73" t="str">
        <f t="shared" si="384"/>
        <v/>
      </c>
      <c r="AN1112" s="73" t="str">
        <f t="shared" si="385"/>
        <v/>
      </c>
    </row>
    <row r="1113" spans="16:40" x14ac:dyDescent="0.25">
      <c r="P1113" s="73" t="str">
        <f t="shared" si="369"/>
        <v/>
      </c>
      <c r="Q1113" s="73" t="str">
        <f t="shared" si="370"/>
        <v/>
      </c>
      <c r="R1113" s="74" t="str">
        <f t="shared" si="371"/>
        <v/>
      </c>
      <c r="S1113" s="74" t="str">
        <f t="shared" si="372"/>
        <v/>
      </c>
      <c r="U1113" s="74" t="str">
        <f t="shared" si="386"/>
        <v/>
      </c>
      <c r="V1113" s="74" t="str">
        <f t="shared" si="386"/>
        <v/>
      </c>
      <c r="W1113" s="74" t="str">
        <f t="shared" si="386"/>
        <v/>
      </c>
      <c r="X1113" s="74" t="str">
        <f t="shared" si="386"/>
        <v/>
      </c>
      <c r="Y1113" s="74" t="str">
        <f t="shared" si="386"/>
        <v/>
      </c>
      <c r="Z1113" s="74" t="str">
        <f t="shared" si="373"/>
        <v/>
      </c>
      <c r="AA1113" s="74">
        <f t="shared" si="374"/>
        <v>0</v>
      </c>
      <c r="AB1113" s="74">
        <f t="shared" si="375"/>
        <v>0</v>
      </c>
      <c r="AC1113" s="74" t="str">
        <f t="shared" si="376"/>
        <v/>
      </c>
      <c r="AE1113" s="74" t="str">
        <f t="shared" si="377"/>
        <v/>
      </c>
      <c r="AF1113" s="74" t="str">
        <f t="shared" si="378"/>
        <v/>
      </c>
      <c r="AG1113" s="74" t="str">
        <f t="shared" si="379"/>
        <v/>
      </c>
      <c r="AH1113" s="74">
        <f t="shared" si="380"/>
        <v>0</v>
      </c>
      <c r="AI1113" s="74" t="str">
        <f>IF(AH1113&lt;&gt;0,COUNTIF(AH$3:AH1113,1),"")</f>
        <v/>
      </c>
      <c r="AJ1113" s="74">
        <f t="shared" si="381"/>
        <v>0</v>
      </c>
      <c r="AK1113" s="73" t="str">
        <f t="shared" si="382"/>
        <v/>
      </c>
      <c r="AL1113" s="73" t="str">
        <f t="shared" si="383"/>
        <v/>
      </c>
      <c r="AM1113" s="73" t="str">
        <f t="shared" si="384"/>
        <v/>
      </c>
      <c r="AN1113" s="73" t="str">
        <f t="shared" si="385"/>
        <v/>
      </c>
    </row>
    <row r="1114" spans="16:40" x14ac:dyDescent="0.25">
      <c r="P1114" s="73" t="str">
        <f t="shared" si="369"/>
        <v/>
      </c>
      <c r="Q1114" s="73" t="str">
        <f t="shared" si="370"/>
        <v/>
      </c>
      <c r="R1114" s="74" t="str">
        <f t="shared" si="371"/>
        <v/>
      </c>
      <c r="S1114" s="74" t="str">
        <f t="shared" si="372"/>
        <v/>
      </c>
      <c r="U1114" s="74" t="str">
        <f t="shared" si="386"/>
        <v/>
      </c>
      <c r="V1114" s="74" t="str">
        <f t="shared" si="386"/>
        <v/>
      </c>
      <c r="W1114" s="74" t="str">
        <f t="shared" si="386"/>
        <v/>
      </c>
      <c r="X1114" s="74" t="str">
        <f t="shared" si="386"/>
        <v/>
      </c>
      <c r="Y1114" s="74" t="str">
        <f t="shared" si="386"/>
        <v/>
      </c>
      <c r="Z1114" s="74" t="str">
        <f t="shared" si="373"/>
        <v/>
      </c>
      <c r="AA1114" s="74">
        <f t="shared" si="374"/>
        <v>0</v>
      </c>
      <c r="AB1114" s="74">
        <f t="shared" si="375"/>
        <v>0</v>
      </c>
      <c r="AC1114" s="74" t="str">
        <f t="shared" si="376"/>
        <v/>
      </c>
      <c r="AE1114" s="74" t="str">
        <f t="shared" si="377"/>
        <v/>
      </c>
      <c r="AF1114" s="74" t="str">
        <f t="shared" si="378"/>
        <v/>
      </c>
      <c r="AG1114" s="74" t="str">
        <f t="shared" si="379"/>
        <v/>
      </c>
      <c r="AH1114" s="74">
        <f t="shared" si="380"/>
        <v>0</v>
      </c>
      <c r="AI1114" s="74" t="str">
        <f>IF(AH1114&lt;&gt;0,COUNTIF(AH$3:AH1114,1),"")</f>
        <v/>
      </c>
      <c r="AJ1114" s="74">
        <f t="shared" si="381"/>
        <v>0</v>
      </c>
      <c r="AK1114" s="73" t="str">
        <f t="shared" si="382"/>
        <v/>
      </c>
      <c r="AL1114" s="73" t="str">
        <f t="shared" si="383"/>
        <v/>
      </c>
      <c r="AM1114" s="73" t="str">
        <f t="shared" si="384"/>
        <v/>
      </c>
      <c r="AN1114" s="73" t="str">
        <f t="shared" si="385"/>
        <v/>
      </c>
    </row>
    <row r="1115" spans="16:40" x14ac:dyDescent="0.25">
      <c r="P1115" s="73" t="str">
        <f t="shared" si="369"/>
        <v/>
      </c>
      <c r="Q1115" s="73" t="str">
        <f t="shared" si="370"/>
        <v/>
      </c>
      <c r="R1115" s="74" t="str">
        <f t="shared" si="371"/>
        <v/>
      </c>
      <c r="S1115" s="74" t="str">
        <f t="shared" si="372"/>
        <v/>
      </c>
      <c r="U1115" s="74" t="str">
        <f t="shared" si="386"/>
        <v/>
      </c>
      <c r="V1115" s="74" t="str">
        <f t="shared" si="386"/>
        <v/>
      </c>
      <c r="W1115" s="74" t="str">
        <f t="shared" si="386"/>
        <v/>
      </c>
      <c r="X1115" s="74" t="str">
        <f t="shared" si="386"/>
        <v/>
      </c>
      <c r="Y1115" s="74" t="str">
        <f t="shared" si="386"/>
        <v/>
      </c>
      <c r="Z1115" s="74" t="str">
        <f t="shared" si="373"/>
        <v/>
      </c>
      <c r="AA1115" s="74">
        <f t="shared" si="374"/>
        <v>0</v>
      </c>
      <c r="AB1115" s="74">
        <f t="shared" si="375"/>
        <v>0</v>
      </c>
      <c r="AC1115" s="74" t="str">
        <f t="shared" si="376"/>
        <v/>
      </c>
      <c r="AE1115" s="74" t="str">
        <f t="shared" si="377"/>
        <v/>
      </c>
      <c r="AF1115" s="74" t="str">
        <f t="shared" si="378"/>
        <v/>
      </c>
      <c r="AG1115" s="74" t="str">
        <f t="shared" si="379"/>
        <v/>
      </c>
      <c r="AH1115" s="74">
        <f t="shared" si="380"/>
        <v>0</v>
      </c>
      <c r="AI1115" s="74" t="str">
        <f>IF(AH1115&lt;&gt;0,COUNTIF(AH$3:AH1115,1),"")</f>
        <v/>
      </c>
      <c r="AJ1115" s="74">
        <f t="shared" si="381"/>
        <v>0</v>
      </c>
      <c r="AK1115" s="73" t="str">
        <f t="shared" si="382"/>
        <v/>
      </c>
      <c r="AL1115" s="73" t="str">
        <f t="shared" si="383"/>
        <v/>
      </c>
      <c r="AM1115" s="73" t="str">
        <f t="shared" si="384"/>
        <v/>
      </c>
      <c r="AN1115" s="73" t="str">
        <f t="shared" si="385"/>
        <v/>
      </c>
    </row>
    <row r="1116" spans="16:40" x14ac:dyDescent="0.25">
      <c r="P1116" s="73" t="str">
        <f t="shared" si="369"/>
        <v/>
      </c>
      <c r="Q1116" s="73" t="str">
        <f t="shared" si="370"/>
        <v/>
      </c>
      <c r="R1116" s="74" t="str">
        <f t="shared" si="371"/>
        <v/>
      </c>
      <c r="S1116" s="74" t="str">
        <f t="shared" si="372"/>
        <v/>
      </c>
      <c r="U1116" s="74" t="str">
        <f t="shared" si="386"/>
        <v/>
      </c>
      <c r="V1116" s="74" t="str">
        <f t="shared" si="386"/>
        <v/>
      </c>
      <c r="W1116" s="74" t="str">
        <f t="shared" si="386"/>
        <v/>
      </c>
      <c r="X1116" s="74" t="str">
        <f t="shared" si="386"/>
        <v/>
      </c>
      <c r="Y1116" s="74" t="str">
        <f t="shared" si="386"/>
        <v/>
      </c>
      <c r="Z1116" s="74" t="str">
        <f t="shared" si="373"/>
        <v/>
      </c>
      <c r="AA1116" s="74">
        <f t="shared" si="374"/>
        <v>0</v>
      </c>
      <c r="AB1116" s="74">
        <f t="shared" si="375"/>
        <v>0</v>
      </c>
      <c r="AC1116" s="74" t="str">
        <f t="shared" si="376"/>
        <v/>
      </c>
      <c r="AE1116" s="74" t="str">
        <f t="shared" si="377"/>
        <v/>
      </c>
      <c r="AF1116" s="74" t="str">
        <f t="shared" si="378"/>
        <v/>
      </c>
      <c r="AG1116" s="74" t="str">
        <f t="shared" si="379"/>
        <v/>
      </c>
      <c r="AH1116" s="74">
        <f t="shared" si="380"/>
        <v>0</v>
      </c>
      <c r="AI1116" s="74" t="str">
        <f>IF(AH1116&lt;&gt;0,COUNTIF(AH$3:AH1116,1),"")</f>
        <v/>
      </c>
      <c r="AJ1116" s="74">
        <f t="shared" si="381"/>
        <v>0</v>
      </c>
      <c r="AK1116" s="73" t="str">
        <f t="shared" si="382"/>
        <v/>
      </c>
      <c r="AL1116" s="73" t="str">
        <f t="shared" si="383"/>
        <v/>
      </c>
      <c r="AM1116" s="73" t="str">
        <f t="shared" si="384"/>
        <v/>
      </c>
      <c r="AN1116" s="73" t="str">
        <f t="shared" si="385"/>
        <v/>
      </c>
    </row>
    <row r="1117" spans="16:40" x14ac:dyDescent="0.25">
      <c r="P1117" s="73" t="str">
        <f t="shared" si="369"/>
        <v/>
      </c>
      <c r="Q1117" s="73" t="str">
        <f t="shared" si="370"/>
        <v/>
      </c>
      <c r="R1117" s="74" t="str">
        <f t="shared" si="371"/>
        <v/>
      </c>
      <c r="S1117" s="74" t="str">
        <f t="shared" si="372"/>
        <v/>
      </c>
      <c r="U1117" s="74" t="str">
        <f t="shared" si="386"/>
        <v/>
      </c>
      <c r="V1117" s="74" t="str">
        <f t="shared" si="386"/>
        <v/>
      </c>
      <c r="W1117" s="74" t="str">
        <f t="shared" si="386"/>
        <v/>
      </c>
      <c r="X1117" s="74" t="str">
        <f t="shared" si="386"/>
        <v/>
      </c>
      <c r="Y1117" s="74" t="str">
        <f t="shared" si="386"/>
        <v/>
      </c>
      <c r="Z1117" s="74" t="str">
        <f t="shared" si="373"/>
        <v/>
      </c>
      <c r="AA1117" s="74">
        <f t="shared" si="374"/>
        <v>0</v>
      </c>
      <c r="AB1117" s="74">
        <f t="shared" si="375"/>
        <v>0</v>
      </c>
      <c r="AC1117" s="74" t="str">
        <f t="shared" si="376"/>
        <v/>
      </c>
      <c r="AE1117" s="74" t="str">
        <f t="shared" si="377"/>
        <v/>
      </c>
      <c r="AF1117" s="74" t="str">
        <f t="shared" si="378"/>
        <v/>
      </c>
      <c r="AG1117" s="74" t="str">
        <f t="shared" si="379"/>
        <v/>
      </c>
      <c r="AH1117" s="74">
        <f t="shared" si="380"/>
        <v>0</v>
      </c>
      <c r="AI1117" s="74" t="str">
        <f>IF(AH1117&lt;&gt;0,COUNTIF(AH$3:AH1117,1),"")</f>
        <v/>
      </c>
      <c r="AJ1117" s="74">
        <f t="shared" si="381"/>
        <v>0</v>
      </c>
      <c r="AK1117" s="73" t="str">
        <f t="shared" si="382"/>
        <v/>
      </c>
      <c r="AL1117" s="73" t="str">
        <f t="shared" si="383"/>
        <v/>
      </c>
      <c r="AM1117" s="73" t="str">
        <f t="shared" si="384"/>
        <v/>
      </c>
      <c r="AN1117" s="73" t="str">
        <f t="shared" si="385"/>
        <v/>
      </c>
    </row>
    <row r="1118" spans="16:40" x14ac:dyDescent="0.25">
      <c r="P1118" s="73" t="str">
        <f t="shared" si="369"/>
        <v/>
      </c>
      <c r="Q1118" s="73" t="str">
        <f t="shared" si="370"/>
        <v/>
      </c>
      <c r="R1118" s="74" t="str">
        <f t="shared" si="371"/>
        <v/>
      </c>
      <c r="S1118" s="74" t="str">
        <f t="shared" si="372"/>
        <v/>
      </c>
      <c r="U1118" s="74" t="str">
        <f t="shared" si="386"/>
        <v/>
      </c>
      <c r="V1118" s="74" t="str">
        <f t="shared" si="386"/>
        <v/>
      </c>
      <c r="W1118" s="74" t="str">
        <f t="shared" si="386"/>
        <v/>
      </c>
      <c r="X1118" s="74" t="str">
        <f t="shared" si="386"/>
        <v/>
      </c>
      <c r="Y1118" s="74" t="str">
        <f t="shared" si="386"/>
        <v/>
      </c>
      <c r="Z1118" s="74" t="str">
        <f t="shared" si="373"/>
        <v/>
      </c>
      <c r="AA1118" s="74">
        <f t="shared" si="374"/>
        <v>0</v>
      </c>
      <c r="AB1118" s="74">
        <f t="shared" si="375"/>
        <v>0</v>
      </c>
      <c r="AC1118" s="74" t="str">
        <f t="shared" si="376"/>
        <v/>
      </c>
      <c r="AE1118" s="74" t="str">
        <f t="shared" si="377"/>
        <v/>
      </c>
      <c r="AF1118" s="74" t="str">
        <f t="shared" si="378"/>
        <v/>
      </c>
      <c r="AG1118" s="74" t="str">
        <f t="shared" si="379"/>
        <v/>
      </c>
      <c r="AH1118" s="74">
        <f t="shared" si="380"/>
        <v>0</v>
      </c>
      <c r="AI1118" s="74" t="str">
        <f>IF(AH1118&lt;&gt;0,COUNTIF(AH$3:AH1118,1),"")</f>
        <v/>
      </c>
      <c r="AJ1118" s="74">
        <f t="shared" si="381"/>
        <v>0</v>
      </c>
      <c r="AK1118" s="73" t="str">
        <f t="shared" si="382"/>
        <v/>
      </c>
      <c r="AL1118" s="73" t="str">
        <f t="shared" si="383"/>
        <v/>
      </c>
      <c r="AM1118" s="73" t="str">
        <f t="shared" si="384"/>
        <v/>
      </c>
      <c r="AN1118" s="73" t="str">
        <f t="shared" si="385"/>
        <v/>
      </c>
    </row>
    <row r="1119" spans="16:40" x14ac:dyDescent="0.25">
      <c r="P1119" s="73" t="str">
        <f t="shared" si="369"/>
        <v/>
      </c>
      <c r="Q1119" s="73" t="str">
        <f t="shared" si="370"/>
        <v/>
      </c>
      <c r="R1119" s="74" t="str">
        <f t="shared" si="371"/>
        <v/>
      </c>
      <c r="S1119" s="74" t="str">
        <f t="shared" si="372"/>
        <v/>
      </c>
      <c r="U1119" s="74" t="str">
        <f t="shared" si="386"/>
        <v/>
      </c>
      <c r="V1119" s="74" t="str">
        <f t="shared" si="386"/>
        <v/>
      </c>
      <c r="W1119" s="74" t="str">
        <f t="shared" si="386"/>
        <v/>
      </c>
      <c r="X1119" s="74" t="str">
        <f t="shared" si="386"/>
        <v/>
      </c>
      <c r="Y1119" s="74" t="str">
        <f t="shared" si="386"/>
        <v/>
      </c>
      <c r="Z1119" s="74" t="str">
        <f t="shared" si="373"/>
        <v/>
      </c>
      <c r="AA1119" s="74">
        <f t="shared" si="374"/>
        <v>0</v>
      </c>
      <c r="AB1119" s="74">
        <f t="shared" si="375"/>
        <v>0</v>
      </c>
      <c r="AC1119" s="74" t="str">
        <f t="shared" si="376"/>
        <v/>
      </c>
      <c r="AE1119" s="74" t="str">
        <f t="shared" si="377"/>
        <v/>
      </c>
      <c r="AF1119" s="74" t="str">
        <f t="shared" si="378"/>
        <v/>
      </c>
      <c r="AG1119" s="74" t="str">
        <f t="shared" si="379"/>
        <v/>
      </c>
      <c r="AH1119" s="74">
        <f t="shared" si="380"/>
        <v>0</v>
      </c>
      <c r="AI1119" s="74" t="str">
        <f>IF(AH1119&lt;&gt;0,COUNTIF(AH$3:AH1119,1),"")</f>
        <v/>
      </c>
      <c r="AJ1119" s="74">
        <f t="shared" si="381"/>
        <v>0</v>
      </c>
      <c r="AK1119" s="73" t="str">
        <f t="shared" si="382"/>
        <v/>
      </c>
      <c r="AL1119" s="73" t="str">
        <f t="shared" si="383"/>
        <v/>
      </c>
      <c r="AM1119" s="73" t="str">
        <f t="shared" si="384"/>
        <v/>
      </c>
      <c r="AN1119" s="73" t="str">
        <f t="shared" si="385"/>
        <v/>
      </c>
    </row>
    <row r="1120" spans="16:40" x14ac:dyDescent="0.25">
      <c r="P1120" s="73" t="str">
        <f t="shared" si="369"/>
        <v/>
      </c>
      <c r="Q1120" s="73" t="str">
        <f t="shared" si="370"/>
        <v/>
      </c>
      <c r="R1120" s="74" t="str">
        <f t="shared" si="371"/>
        <v/>
      </c>
      <c r="S1120" s="74" t="str">
        <f t="shared" si="372"/>
        <v/>
      </c>
      <c r="U1120" s="74" t="str">
        <f t="shared" si="386"/>
        <v/>
      </c>
      <c r="V1120" s="74" t="str">
        <f t="shared" si="386"/>
        <v/>
      </c>
      <c r="W1120" s="74" t="str">
        <f t="shared" si="386"/>
        <v/>
      </c>
      <c r="X1120" s="74" t="str">
        <f t="shared" si="386"/>
        <v/>
      </c>
      <c r="Y1120" s="74" t="str">
        <f t="shared" si="386"/>
        <v/>
      </c>
      <c r="Z1120" s="74" t="str">
        <f t="shared" si="373"/>
        <v/>
      </c>
      <c r="AA1120" s="74">
        <f t="shared" si="374"/>
        <v>0</v>
      </c>
      <c r="AB1120" s="74">
        <f t="shared" si="375"/>
        <v>0</v>
      </c>
      <c r="AC1120" s="74" t="str">
        <f t="shared" si="376"/>
        <v/>
      </c>
      <c r="AE1120" s="74" t="str">
        <f t="shared" si="377"/>
        <v/>
      </c>
      <c r="AF1120" s="74" t="str">
        <f t="shared" si="378"/>
        <v/>
      </c>
      <c r="AG1120" s="74" t="str">
        <f t="shared" si="379"/>
        <v/>
      </c>
      <c r="AH1120" s="74">
        <f t="shared" si="380"/>
        <v>0</v>
      </c>
      <c r="AI1120" s="74" t="str">
        <f>IF(AH1120&lt;&gt;0,COUNTIF(AH$3:AH1120,1),"")</f>
        <v/>
      </c>
      <c r="AJ1120" s="74">
        <f t="shared" si="381"/>
        <v>0</v>
      </c>
      <c r="AK1120" s="73" t="str">
        <f t="shared" si="382"/>
        <v/>
      </c>
      <c r="AL1120" s="73" t="str">
        <f t="shared" si="383"/>
        <v/>
      </c>
      <c r="AM1120" s="73" t="str">
        <f t="shared" si="384"/>
        <v/>
      </c>
      <c r="AN1120" s="73" t="str">
        <f t="shared" si="385"/>
        <v/>
      </c>
    </row>
    <row r="1121" spans="16:40" x14ac:dyDescent="0.25">
      <c r="P1121" s="73" t="str">
        <f t="shared" si="369"/>
        <v/>
      </c>
      <c r="Q1121" s="73" t="str">
        <f t="shared" si="370"/>
        <v/>
      </c>
      <c r="R1121" s="74" t="str">
        <f t="shared" si="371"/>
        <v/>
      </c>
      <c r="S1121" s="74" t="str">
        <f t="shared" si="372"/>
        <v/>
      </c>
      <c r="U1121" s="74" t="str">
        <f t="shared" si="386"/>
        <v/>
      </c>
      <c r="V1121" s="74" t="str">
        <f t="shared" si="386"/>
        <v/>
      </c>
      <c r="W1121" s="74" t="str">
        <f t="shared" si="386"/>
        <v/>
      </c>
      <c r="X1121" s="74" t="str">
        <f t="shared" si="386"/>
        <v/>
      </c>
      <c r="Y1121" s="74" t="str">
        <f t="shared" si="386"/>
        <v/>
      </c>
      <c r="Z1121" s="74" t="str">
        <f t="shared" si="373"/>
        <v/>
      </c>
      <c r="AA1121" s="74">
        <f t="shared" si="374"/>
        <v>0</v>
      </c>
      <c r="AB1121" s="74">
        <f t="shared" si="375"/>
        <v>0</v>
      </c>
      <c r="AC1121" s="74" t="str">
        <f t="shared" si="376"/>
        <v/>
      </c>
      <c r="AE1121" s="74" t="str">
        <f t="shared" si="377"/>
        <v/>
      </c>
      <c r="AF1121" s="74" t="str">
        <f t="shared" si="378"/>
        <v/>
      </c>
      <c r="AG1121" s="74" t="str">
        <f t="shared" si="379"/>
        <v/>
      </c>
      <c r="AH1121" s="74">
        <f t="shared" si="380"/>
        <v>0</v>
      </c>
      <c r="AI1121" s="74" t="str">
        <f>IF(AH1121&lt;&gt;0,COUNTIF(AH$3:AH1121,1),"")</f>
        <v/>
      </c>
      <c r="AJ1121" s="74">
        <f t="shared" si="381"/>
        <v>0</v>
      </c>
      <c r="AK1121" s="73" t="str">
        <f t="shared" si="382"/>
        <v/>
      </c>
      <c r="AL1121" s="73" t="str">
        <f t="shared" si="383"/>
        <v/>
      </c>
      <c r="AM1121" s="73" t="str">
        <f t="shared" si="384"/>
        <v/>
      </c>
      <c r="AN1121" s="73" t="str">
        <f t="shared" si="385"/>
        <v/>
      </c>
    </row>
    <row r="1122" spans="16:40" x14ac:dyDescent="0.25">
      <c r="P1122" s="73" t="str">
        <f t="shared" si="369"/>
        <v/>
      </c>
      <c r="Q1122" s="73" t="str">
        <f t="shared" si="370"/>
        <v/>
      </c>
      <c r="R1122" s="74" t="str">
        <f t="shared" si="371"/>
        <v/>
      </c>
      <c r="S1122" s="74" t="str">
        <f t="shared" si="372"/>
        <v/>
      </c>
      <c r="U1122" s="74" t="str">
        <f t="shared" si="386"/>
        <v/>
      </c>
      <c r="V1122" s="74" t="str">
        <f t="shared" si="386"/>
        <v/>
      </c>
      <c r="W1122" s="74" t="str">
        <f t="shared" si="386"/>
        <v/>
      </c>
      <c r="X1122" s="74" t="str">
        <f t="shared" si="386"/>
        <v/>
      </c>
      <c r="Y1122" s="74" t="str">
        <f t="shared" si="386"/>
        <v/>
      </c>
      <c r="Z1122" s="74" t="str">
        <f t="shared" si="373"/>
        <v/>
      </c>
      <c r="AA1122" s="74">
        <f t="shared" si="374"/>
        <v>0</v>
      </c>
      <c r="AB1122" s="74">
        <f t="shared" si="375"/>
        <v>0</v>
      </c>
      <c r="AC1122" s="74" t="str">
        <f t="shared" si="376"/>
        <v/>
      </c>
      <c r="AE1122" s="74" t="str">
        <f t="shared" si="377"/>
        <v/>
      </c>
      <c r="AF1122" s="74" t="str">
        <f t="shared" si="378"/>
        <v/>
      </c>
      <c r="AG1122" s="74" t="str">
        <f t="shared" si="379"/>
        <v/>
      </c>
      <c r="AH1122" s="74">
        <f t="shared" si="380"/>
        <v>0</v>
      </c>
      <c r="AI1122" s="74" t="str">
        <f>IF(AH1122&lt;&gt;0,COUNTIF(AH$3:AH1122,1),"")</f>
        <v/>
      </c>
      <c r="AJ1122" s="74">
        <f t="shared" si="381"/>
        <v>0</v>
      </c>
      <c r="AK1122" s="73" t="str">
        <f t="shared" si="382"/>
        <v/>
      </c>
      <c r="AL1122" s="73" t="str">
        <f t="shared" si="383"/>
        <v/>
      </c>
      <c r="AM1122" s="73" t="str">
        <f t="shared" si="384"/>
        <v/>
      </c>
      <c r="AN1122" s="73" t="str">
        <f t="shared" si="385"/>
        <v/>
      </c>
    </row>
    <row r="1123" spans="16:40" x14ac:dyDescent="0.25">
      <c r="P1123" s="73" t="str">
        <f t="shared" si="369"/>
        <v/>
      </c>
      <c r="Q1123" s="73" t="str">
        <f t="shared" si="370"/>
        <v/>
      </c>
      <c r="R1123" s="74" t="str">
        <f t="shared" si="371"/>
        <v/>
      </c>
      <c r="S1123" s="74" t="str">
        <f t="shared" si="372"/>
        <v/>
      </c>
      <c r="U1123" s="74" t="str">
        <f t="shared" si="386"/>
        <v/>
      </c>
      <c r="V1123" s="74" t="str">
        <f t="shared" si="386"/>
        <v/>
      </c>
      <c r="W1123" s="74" t="str">
        <f t="shared" si="386"/>
        <v/>
      </c>
      <c r="X1123" s="74" t="str">
        <f t="shared" si="386"/>
        <v/>
      </c>
      <c r="Y1123" s="74" t="str">
        <f t="shared" si="386"/>
        <v/>
      </c>
      <c r="Z1123" s="74" t="str">
        <f t="shared" si="373"/>
        <v/>
      </c>
      <c r="AA1123" s="74">
        <f t="shared" si="374"/>
        <v>0</v>
      </c>
      <c r="AB1123" s="74">
        <f t="shared" si="375"/>
        <v>0</v>
      </c>
      <c r="AC1123" s="74" t="str">
        <f t="shared" si="376"/>
        <v/>
      </c>
      <c r="AE1123" s="74" t="str">
        <f t="shared" si="377"/>
        <v/>
      </c>
      <c r="AF1123" s="74" t="str">
        <f t="shared" si="378"/>
        <v/>
      </c>
      <c r="AG1123" s="74" t="str">
        <f t="shared" si="379"/>
        <v/>
      </c>
      <c r="AH1123" s="74">
        <f t="shared" si="380"/>
        <v>0</v>
      </c>
      <c r="AI1123" s="74" t="str">
        <f>IF(AH1123&lt;&gt;0,COUNTIF(AH$3:AH1123,1),"")</f>
        <v/>
      </c>
      <c r="AJ1123" s="74">
        <f t="shared" si="381"/>
        <v>0</v>
      </c>
      <c r="AK1123" s="73" t="str">
        <f t="shared" si="382"/>
        <v/>
      </c>
      <c r="AL1123" s="73" t="str">
        <f t="shared" si="383"/>
        <v/>
      </c>
      <c r="AM1123" s="73" t="str">
        <f t="shared" si="384"/>
        <v/>
      </c>
      <c r="AN1123" s="73" t="str">
        <f t="shared" si="385"/>
        <v/>
      </c>
    </row>
    <row r="1124" spans="16:40" x14ac:dyDescent="0.25">
      <c r="P1124" s="73" t="str">
        <f t="shared" si="369"/>
        <v/>
      </c>
      <c r="Q1124" s="73" t="str">
        <f t="shared" si="370"/>
        <v/>
      </c>
      <c r="R1124" s="74" t="str">
        <f t="shared" si="371"/>
        <v/>
      </c>
      <c r="S1124" s="74" t="str">
        <f t="shared" si="372"/>
        <v/>
      </c>
      <c r="U1124" s="74" t="str">
        <f t="shared" si="386"/>
        <v/>
      </c>
      <c r="V1124" s="74" t="str">
        <f t="shared" si="386"/>
        <v/>
      </c>
      <c r="W1124" s="74" t="str">
        <f t="shared" si="386"/>
        <v/>
      </c>
      <c r="X1124" s="74" t="str">
        <f t="shared" si="386"/>
        <v/>
      </c>
      <c r="Y1124" s="74" t="str">
        <f t="shared" si="386"/>
        <v/>
      </c>
      <c r="Z1124" s="74" t="str">
        <f t="shared" si="373"/>
        <v/>
      </c>
      <c r="AA1124" s="74">
        <f t="shared" si="374"/>
        <v>0</v>
      </c>
      <c r="AB1124" s="74">
        <f t="shared" si="375"/>
        <v>0</v>
      </c>
      <c r="AC1124" s="74" t="str">
        <f t="shared" si="376"/>
        <v/>
      </c>
      <c r="AE1124" s="74" t="str">
        <f t="shared" si="377"/>
        <v/>
      </c>
      <c r="AF1124" s="74" t="str">
        <f t="shared" si="378"/>
        <v/>
      </c>
      <c r="AG1124" s="74" t="str">
        <f t="shared" si="379"/>
        <v/>
      </c>
      <c r="AH1124" s="74">
        <f t="shared" si="380"/>
        <v>0</v>
      </c>
      <c r="AI1124" s="74" t="str">
        <f>IF(AH1124&lt;&gt;0,COUNTIF(AH$3:AH1124,1),"")</f>
        <v/>
      </c>
      <c r="AJ1124" s="74">
        <f t="shared" si="381"/>
        <v>0</v>
      </c>
      <c r="AK1124" s="73" t="str">
        <f t="shared" si="382"/>
        <v/>
      </c>
      <c r="AL1124" s="73" t="str">
        <f t="shared" si="383"/>
        <v/>
      </c>
      <c r="AM1124" s="73" t="str">
        <f t="shared" si="384"/>
        <v/>
      </c>
      <c r="AN1124" s="73" t="str">
        <f t="shared" si="385"/>
        <v/>
      </c>
    </row>
    <row r="1125" spans="16:40" x14ac:dyDescent="0.25">
      <c r="P1125" s="73" t="str">
        <f t="shared" si="369"/>
        <v/>
      </c>
      <c r="Q1125" s="73" t="str">
        <f t="shared" si="370"/>
        <v/>
      </c>
      <c r="R1125" s="74" t="str">
        <f t="shared" si="371"/>
        <v/>
      </c>
      <c r="S1125" s="74" t="str">
        <f t="shared" si="372"/>
        <v/>
      </c>
      <c r="U1125" s="74" t="str">
        <f t="shared" si="386"/>
        <v/>
      </c>
      <c r="V1125" s="74" t="str">
        <f t="shared" si="386"/>
        <v/>
      </c>
      <c r="W1125" s="74" t="str">
        <f t="shared" si="386"/>
        <v/>
      </c>
      <c r="X1125" s="74" t="str">
        <f t="shared" si="386"/>
        <v/>
      </c>
      <c r="Y1125" s="74" t="str">
        <f t="shared" si="386"/>
        <v/>
      </c>
      <c r="Z1125" s="74" t="str">
        <f t="shared" si="373"/>
        <v/>
      </c>
      <c r="AA1125" s="74">
        <f t="shared" si="374"/>
        <v>0</v>
      </c>
      <c r="AB1125" s="74">
        <f t="shared" si="375"/>
        <v>0</v>
      </c>
      <c r="AC1125" s="74" t="str">
        <f t="shared" si="376"/>
        <v/>
      </c>
      <c r="AE1125" s="74" t="str">
        <f t="shared" si="377"/>
        <v/>
      </c>
      <c r="AF1125" s="74" t="str">
        <f t="shared" si="378"/>
        <v/>
      </c>
      <c r="AG1125" s="74" t="str">
        <f t="shared" si="379"/>
        <v/>
      </c>
      <c r="AH1125" s="74">
        <f t="shared" si="380"/>
        <v>0</v>
      </c>
      <c r="AI1125" s="74" t="str">
        <f>IF(AH1125&lt;&gt;0,COUNTIF(AH$3:AH1125,1),"")</f>
        <v/>
      </c>
      <c r="AJ1125" s="74">
        <f t="shared" si="381"/>
        <v>0</v>
      </c>
      <c r="AK1125" s="73" t="str">
        <f t="shared" si="382"/>
        <v/>
      </c>
      <c r="AL1125" s="73" t="str">
        <f t="shared" si="383"/>
        <v/>
      </c>
      <c r="AM1125" s="73" t="str">
        <f t="shared" si="384"/>
        <v/>
      </c>
      <c r="AN1125" s="73" t="str">
        <f t="shared" si="385"/>
        <v/>
      </c>
    </row>
    <row r="1126" spans="16:40" x14ac:dyDescent="0.25">
      <c r="P1126" s="73" t="str">
        <f t="shared" si="369"/>
        <v/>
      </c>
      <c r="Q1126" s="73" t="str">
        <f t="shared" si="370"/>
        <v/>
      </c>
      <c r="R1126" s="74" t="str">
        <f t="shared" si="371"/>
        <v/>
      </c>
      <c r="S1126" s="74" t="str">
        <f t="shared" si="372"/>
        <v/>
      </c>
      <c r="U1126" s="74" t="str">
        <f t="shared" si="386"/>
        <v/>
      </c>
      <c r="V1126" s="74" t="str">
        <f t="shared" si="386"/>
        <v/>
      </c>
      <c r="W1126" s="74" t="str">
        <f t="shared" si="386"/>
        <v/>
      </c>
      <c r="X1126" s="74" t="str">
        <f t="shared" si="386"/>
        <v/>
      </c>
      <c r="Y1126" s="74" t="str">
        <f t="shared" si="386"/>
        <v/>
      </c>
      <c r="Z1126" s="74" t="str">
        <f t="shared" si="373"/>
        <v/>
      </c>
      <c r="AA1126" s="74">
        <f t="shared" si="374"/>
        <v>0</v>
      </c>
      <c r="AB1126" s="74">
        <f t="shared" si="375"/>
        <v>0</v>
      </c>
      <c r="AC1126" s="74" t="str">
        <f t="shared" si="376"/>
        <v/>
      </c>
      <c r="AE1126" s="74" t="str">
        <f t="shared" si="377"/>
        <v/>
      </c>
      <c r="AF1126" s="74" t="str">
        <f t="shared" si="378"/>
        <v/>
      </c>
      <c r="AG1126" s="74" t="str">
        <f t="shared" si="379"/>
        <v/>
      </c>
      <c r="AH1126" s="74">
        <f t="shared" si="380"/>
        <v>0</v>
      </c>
      <c r="AI1126" s="74" t="str">
        <f>IF(AH1126&lt;&gt;0,COUNTIF(AH$3:AH1126,1),"")</f>
        <v/>
      </c>
      <c r="AJ1126" s="74">
        <f t="shared" si="381"/>
        <v>0</v>
      </c>
      <c r="AK1126" s="73" t="str">
        <f t="shared" si="382"/>
        <v/>
      </c>
      <c r="AL1126" s="73" t="str">
        <f t="shared" si="383"/>
        <v/>
      </c>
      <c r="AM1126" s="73" t="str">
        <f t="shared" si="384"/>
        <v/>
      </c>
      <c r="AN1126" s="73" t="str">
        <f t="shared" si="385"/>
        <v/>
      </c>
    </row>
    <row r="1127" spans="16:40" x14ac:dyDescent="0.25">
      <c r="P1127" s="73" t="str">
        <f t="shared" si="369"/>
        <v/>
      </c>
      <c r="Q1127" s="73" t="str">
        <f t="shared" si="370"/>
        <v/>
      </c>
      <c r="R1127" s="74" t="str">
        <f t="shared" si="371"/>
        <v/>
      </c>
      <c r="S1127" s="74" t="str">
        <f t="shared" si="372"/>
        <v/>
      </c>
      <c r="U1127" s="74" t="str">
        <f t="shared" si="386"/>
        <v/>
      </c>
      <c r="V1127" s="74" t="str">
        <f t="shared" si="386"/>
        <v/>
      </c>
      <c r="W1127" s="74" t="str">
        <f t="shared" si="386"/>
        <v/>
      </c>
      <c r="X1127" s="74" t="str">
        <f t="shared" si="386"/>
        <v/>
      </c>
      <c r="Y1127" s="74" t="str">
        <f t="shared" si="386"/>
        <v/>
      </c>
      <c r="Z1127" s="74" t="str">
        <f t="shared" si="373"/>
        <v/>
      </c>
      <c r="AA1127" s="74">
        <f t="shared" si="374"/>
        <v>0</v>
      </c>
      <c r="AB1127" s="74">
        <f t="shared" si="375"/>
        <v>0</v>
      </c>
      <c r="AC1127" s="74" t="str">
        <f t="shared" si="376"/>
        <v/>
      </c>
      <c r="AE1127" s="74" t="str">
        <f t="shared" si="377"/>
        <v/>
      </c>
      <c r="AF1127" s="74" t="str">
        <f t="shared" si="378"/>
        <v/>
      </c>
      <c r="AG1127" s="74" t="str">
        <f t="shared" si="379"/>
        <v/>
      </c>
      <c r="AH1127" s="74">
        <f t="shared" si="380"/>
        <v>0</v>
      </c>
      <c r="AI1127" s="74" t="str">
        <f>IF(AH1127&lt;&gt;0,COUNTIF(AH$3:AH1127,1),"")</f>
        <v/>
      </c>
      <c r="AJ1127" s="74">
        <f t="shared" si="381"/>
        <v>0</v>
      </c>
      <c r="AK1127" s="73" t="str">
        <f t="shared" si="382"/>
        <v/>
      </c>
      <c r="AL1127" s="73" t="str">
        <f t="shared" si="383"/>
        <v/>
      </c>
      <c r="AM1127" s="73" t="str">
        <f t="shared" si="384"/>
        <v/>
      </c>
      <c r="AN1127" s="73" t="str">
        <f t="shared" si="385"/>
        <v/>
      </c>
    </row>
    <row r="1128" spans="16:40" x14ac:dyDescent="0.25">
      <c r="P1128" s="73" t="str">
        <f t="shared" si="369"/>
        <v/>
      </c>
      <c r="Q1128" s="73" t="str">
        <f t="shared" si="370"/>
        <v/>
      </c>
      <c r="R1128" s="74" t="str">
        <f t="shared" si="371"/>
        <v/>
      </c>
      <c r="S1128" s="74" t="str">
        <f t="shared" si="372"/>
        <v/>
      </c>
      <c r="U1128" s="74" t="str">
        <f t="shared" si="386"/>
        <v/>
      </c>
      <c r="V1128" s="74" t="str">
        <f t="shared" si="386"/>
        <v/>
      </c>
      <c r="W1128" s="74" t="str">
        <f t="shared" si="386"/>
        <v/>
      </c>
      <c r="X1128" s="74" t="str">
        <f t="shared" si="386"/>
        <v/>
      </c>
      <c r="Y1128" s="74" t="str">
        <f t="shared" si="386"/>
        <v/>
      </c>
      <c r="Z1128" s="74" t="str">
        <f t="shared" si="373"/>
        <v/>
      </c>
      <c r="AA1128" s="74">
        <f t="shared" si="374"/>
        <v>0</v>
      </c>
      <c r="AB1128" s="74">
        <f t="shared" si="375"/>
        <v>0</v>
      </c>
      <c r="AC1128" s="74" t="str">
        <f t="shared" si="376"/>
        <v/>
      </c>
      <c r="AE1128" s="74" t="str">
        <f t="shared" si="377"/>
        <v/>
      </c>
      <c r="AF1128" s="74" t="str">
        <f t="shared" si="378"/>
        <v/>
      </c>
      <c r="AG1128" s="74" t="str">
        <f t="shared" si="379"/>
        <v/>
      </c>
      <c r="AH1128" s="74">
        <f t="shared" si="380"/>
        <v>0</v>
      </c>
      <c r="AI1128" s="74" t="str">
        <f>IF(AH1128&lt;&gt;0,COUNTIF(AH$3:AH1128,1),"")</f>
        <v/>
      </c>
      <c r="AJ1128" s="74">
        <f t="shared" si="381"/>
        <v>0</v>
      </c>
      <c r="AK1128" s="73" t="str">
        <f t="shared" si="382"/>
        <v/>
      </c>
      <c r="AL1128" s="73" t="str">
        <f t="shared" si="383"/>
        <v/>
      </c>
      <c r="AM1128" s="73" t="str">
        <f t="shared" si="384"/>
        <v/>
      </c>
      <c r="AN1128" s="73" t="str">
        <f t="shared" si="385"/>
        <v/>
      </c>
    </row>
    <row r="1129" spans="16:40" x14ac:dyDescent="0.25">
      <c r="P1129" s="73" t="str">
        <f t="shared" si="369"/>
        <v/>
      </c>
      <c r="Q1129" s="73" t="str">
        <f t="shared" si="370"/>
        <v/>
      </c>
      <c r="R1129" s="74" t="str">
        <f t="shared" si="371"/>
        <v/>
      </c>
      <c r="S1129" s="74" t="str">
        <f t="shared" si="372"/>
        <v/>
      </c>
      <c r="U1129" s="74" t="str">
        <f t="shared" si="386"/>
        <v/>
      </c>
      <c r="V1129" s="74" t="str">
        <f t="shared" si="386"/>
        <v/>
      </c>
      <c r="W1129" s="74" t="str">
        <f t="shared" si="386"/>
        <v/>
      </c>
      <c r="X1129" s="74" t="str">
        <f t="shared" si="386"/>
        <v/>
      </c>
      <c r="Y1129" s="74" t="str">
        <f t="shared" si="386"/>
        <v/>
      </c>
      <c r="Z1129" s="74" t="str">
        <f t="shared" si="373"/>
        <v/>
      </c>
      <c r="AA1129" s="74">
        <f t="shared" si="374"/>
        <v>0</v>
      </c>
      <c r="AB1129" s="74">
        <f t="shared" si="375"/>
        <v>0</v>
      </c>
      <c r="AC1129" s="74" t="str">
        <f t="shared" si="376"/>
        <v/>
      </c>
      <c r="AE1129" s="74" t="str">
        <f t="shared" si="377"/>
        <v/>
      </c>
      <c r="AF1129" s="74" t="str">
        <f t="shared" si="378"/>
        <v/>
      </c>
      <c r="AG1129" s="74" t="str">
        <f t="shared" si="379"/>
        <v/>
      </c>
      <c r="AH1129" s="74">
        <f t="shared" si="380"/>
        <v>0</v>
      </c>
      <c r="AI1129" s="74" t="str">
        <f>IF(AH1129&lt;&gt;0,COUNTIF(AH$3:AH1129,1),"")</f>
        <v/>
      </c>
      <c r="AJ1129" s="74">
        <f t="shared" si="381"/>
        <v>0</v>
      </c>
      <c r="AK1129" s="73" t="str">
        <f t="shared" si="382"/>
        <v/>
      </c>
      <c r="AL1129" s="73" t="str">
        <f t="shared" si="383"/>
        <v/>
      </c>
      <c r="AM1129" s="73" t="str">
        <f t="shared" si="384"/>
        <v/>
      </c>
      <c r="AN1129" s="73" t="str">
        <f t="shared" si="385"/>
        <v/>
      </c>
    </row>
    <row r="1130" spans="16:40" x14ac:dyDescent="0.25">
      <c r="P1130" s="73" t="str">
        <f t="shared" si="369"/>
        <v/>
      </c>
      <c r="Q1130" s="73" t="str">
        <f t="shared" si="370"/>
        <v/>
      </c>
      <c r="R1130" s="74" t="str">
        <f t="shared" si="371"/>
        <v/>
      </c>
      <c r="S1130" s="74" t="str">
        <f t="shared" si="372"/>
        <v/>
      </c>
      <c r="U1130" s="74" t="str">
        <f t="shared" si="386"/>
        <v/>
      </c>
      <c r="V1130" s="74" t="str">
        <f t="shared" si="386"/>
        <v/>
      </c>
      <c r="W1130" s="74" t="str">
        <f t="shared" si="386"/>
        <v/>
      </c>
      <c r="X1130" s="74" t="str">
        <f t="shared" si="386"/>
        <v/>
      </c>
      <c r="Y1130" s="74" t="str">
        <f t="shared" si="386"/>
        <v/>
      </c>
      <c r="Z1130" s="74" t="str">
        <f t="shared" si="373"/>
        <v/>
      </c>
      <c r="AA1130" s="74">
        <f t="shared" si="374"/>
        <v>0</v>
      </c>
      <c r="AB1130" s="74">
        <f t="shared" si="375"/>
        <v>0</v>
      </c>
      <c r="AC1130" s="74" t="str">
        <f t="shared" si="376"/>
        <v/>
      </c>
      <c r="AE1130" s="74" t="str">
        <f t="shared" si="377"/>
        <v/>
      </c>
      <c r="AF1130" s="74" t="str">
        <f t="shared" si="378"/>
        <v/>
      </c>
      <c r="AG1130" s="74" t="str">
        <f t="shared" si="379"/>
        <v/>
      </c>
      <c r="AH1130" s="74">
        <f t="shared" si="380"/>
        <v>0</v>
      </c>
      <c r="AI1130" s="74" t="str">
        <f>IF(AH1130&lt;&gt;0,COUNTIF(AH$3:AH1130,1),"")</f>
        <v/>
      </c>
      <c r="AJ1130" s="74">
        <f t="shared" si="381"/>
        <v>0</v>
      </c>
      <c r="AK1130" s="73" t="str">
        <f t="shared" si="382"/>
        <v/>
      </c>
      <c r="AL1130" s="73" t="str">
        <f t="shared" si="383"/>
        <v/>
      </c>
      <c r="AM1130" s="73" t="str">
        <f t="shared" si="384"/>
        <v/>
      </c>
      <c r="AN1130" s="73" t="str">
        <f t="shared" si="385"/>
        <v/>
      </c>
    </row>
    <row r="1131" spans="16:40" x14ac:dyDescent="0.25">
      <c r="P1131" s="73" t="str">
        <f t="shared" si="369"/>
        <v/>
      </c>
      <c r="Q1131" s="73" t="str">
        <f t="shared" si="370"/>
        <v/>
      </c>
      <c r="R1131" s="74" t="str">
        <f t="shared" si="371"/>
        <v/>
      </c>
      <c r="S1131" s="74" t="str">
        <f t="shared" si="372"/>
        <v/>
      </c>
      <c r="U1131" s="74" t="str">
        <f t="shared" si="386"/>
        <v/>
      </c>
      <c r="V1131" s="74" t="str">
        <f t="shared" si="386"/>
        <v/>
      </c>
      <c r="W1131" s="74" t="str">
        <f t="shared" si="386"/>
        <v/>
      </c>
      <c r="X1131" s="74" t="str">
        <f t="shared" si="386"/>
        <v/>
      </c>
      <c r="Y1131" s="74" t="str">
        <f t="shared" si="386"/>
        <v/>
      </c>
      <c r="Z1131" s="74" t="str">
        <f t="shared" si="373"/>
        <v/>
      </c>
      <c r="AA1131" s="74">
        <f t="shared" si="374"/>
        <v>0</v>
      </c>
      <c r="AB1131" s="74">
        <f t="shared" si="375"/>
        <v>0</v>
      </c>
      <c r="AC1131" s="74" t="str">
        <f t="shared" si="376"/>
        <v/>
      </c>
      <c r="AE1131" s="74" t="str">
        <f t="shared" si="377"/>
        <v/>
      </c>
      <c r="AF1131" s="74" t="str">
        <f t="shared" si="378"/>
        <v/>
      </c>
      <c r="AG1131" s="74" t="str">
        <f t="shared" si="379"/>
        <v/>
      </c>
      <c r="AH1131" s="74">
        <f t="shared" si="380"/>
        <v>0</v>
      </c>
      <c r="AI1131" s="74" t="str">
        <f>IF(AH1131&lt;&gt;0,COUNTIF(AH$3:AH1131,1),"")</f>
        <v/>
      </c>
      <c r="AJ1131" s="74">
        <f t="shared" si="381"/>
        <v>0</v>
      </c>
      <c r="AK1131" s="73" t="str">
        <f t="shared" si="382"/>
        <v/>
      </c>
      <c r="AL1131" s="73" t="str">
        <f t="shared" si="383"/>
        <v/>
      </c>
      <c r="AM1131" s="73" t="str">
        <f t="shared" si="384"/>
        <v/>
      </c>
      <c r="AN1131" s="73" t="str">
        <f t="shared" si="385"/>
        <v/>
      </c>
    </row>
    <row r="1132" spans="16:40" x14ac:dyDescent="0.25">
      <c r="P1132" s="73" t="str">
        <f t="shared" si="369"/>
        <v/>
      </c>
      <c r="Q1132" s="73" t="str">
        <f t="shared" si="370"/>
        <v/>
      </c>
      <c r="R1132" s="74" t="str">
        <f t="shared" si="371"/>
        <v/>
      </c>
      <c r="S1132" s="74" t="str">
        <f t="shared" si="372"/>
        <v/>
      </c>
      <c r="U1132" s="74" t="str">
        <f t="shared" si="386"/>
        <v/>
      </c>
      <c r="V1132" s="74" t="str">
        <f t="shared" si="386"/>
        <v/>
      </c>
      <c r="W1132" s="74" t="str">
        <f t="shared" si="386"/>
        <v/>
      </c>
      <c r="X1132" s="74" t="str">
        <f t="shared" si="386"/>
        <v/>
      </c>
      <c r="Y1132" s="74" t="str">
        <f t="shared" si="386"/>
        <v/>
      </c>
      <c r="Z1132" s="74" t="str">
        <f t="shared" si="373"/>
        <v/>
      </c>
      <c r="AA1132" s="74">
        <f t="shared" si="374"/>
        <v>0</v>
      </c>
      <c r="AB1132" s="74">
        <f t="shared" si="375"/>
        <v>0</v>
      </c>
      <c r="AC1132" s="74" t="str">
        <f t="shared" si="376"/>
        <v/>
      </c>
      <c r="AE1132" s="74" t="str">
        <f t="shared" si="377"/>
        <v/>
      </c>
      <c r="AF1132" s="74" t="str">
        <f t="shared" si="378"/>
        <v/>
      </c>
      <c r="AG1132" s="74" t="str">
        <f t="shared" si="379"/>
        <v/>
      </c>
      <c r="AH1132" s="74">
        <f t="shared" si="380"/>
        <v>0</v>
      </c>
      <c r="AI1132" s="74" t="str">
        <f>IF(AH1132&lt;&gt;0,COUNTIF(AH$3:AH1132,1),"")</f>
        <v/>
      </c>
      <c r="AJ1132" s="74">
        <f t="shared" si="381"/>
        <v>0</v>
      </c>
      <c r="AK1132" s="73" t="str">
        <f t="shared" si="382"/>
        <v/>
      </c>
      <c r="AL1132" s="73" t="str">
        <f t="shared" si="383"/>
        <v/>
      </c>
      <c r="AM1132" s="73" t="str">
        <f t="shared" si="384"/>
        <v/>
      </c>
      <c r="AN1132" s="73" t="str">
        <f t="shared" si="385"/>
        <v/>
      </c>
    </row>
    <row r="1133" spans="16:40" x14ac:dyDescent="0.25">
      <c r="P1133" s="73" t="str">
        <f t="shared" si="369"/>
        <v/>
      </c>
      <c r="Q1133" s="73" t="str">
        <f t="shared" si="370"/>
        <v/>
      </c>
      <c r="R1133" s="74" t="str">
        <f t="shared" si="371"/>
        <v/>
      </c>
      <c r="S1133" s="74" t="str">
        <f t="shared" si="372"/>
        <v/>
      </c>
      <c r="U1133" s="74" t="str">
        <f t="shared" si="386"/>
        <v/>
      </c>
      <c r="V1133" s="74" t="str">
        <f t="shared" si="386"/>
        <v/>
      </c>
      <c r="W1133" s="74" t="str">
        <f t="shared" si="386"/>
        <v/>
      </c>
      <c r="X1133" s="74" t="str">
        <f t="shared" si="386"/>
        <v/>
      </c>
      <c r="Y1133" s="74" t="str">
        <f t="shared" si="386"/>
        <v/>
      </c>
      <c r="Z1133" s="74" t="str">
        <f t="shared" si="373"/>
        <v/>
      </c>
      <c r="AA1133" s="74">
        <f t="shared" si="374"/>
        <v>0</v>
      </c>
      <c r="AB1133" s="74">
        <f t="shared" si="375"/>
        <v>0</v>
      </c>
      <c r="AC1133" s="74" t="str">
        <f t="shared" si="376"/>
        <v/>
      </c>
      <c r="AE1133" s="74" t="str">
        <f t="shared" si="377"/>
        <v/>
      </c>
      <c r="AF1133" s="74" t="str">
        <f t="shared" si="378"/>
        <v/>
      </c>
      <c r="AG1133" s="74" t="str">
        <f t="shared" si="379"/>
        <v/>
      </c>
      <c r="AH1133" s="74">
        <f t="shared" si="380"/>
        <v>0</v>
      </c>
      <c r="AI1133" s="74" t="str">
        <f>IF(AH1133&lt;&gt;0,COUNTIF(AH$3:AH1133,1),"")</f>
        <v/>
      </c>
      <c r="AJ1133" s="74">
        <f t="shared" si="381"/>
        <v>0</v>
      </c>
      <c r="AK1133" s="73" t="str">
        <f t="shared" si="382"/>
        <v/>
      </c>
      <c r="AL1133" s="73" t="str">
        <f t="shared" si="383"/>
        <v/>
      </c>
      <c r="AM1133" s="73" t="str">
        <f t="shared" si="384"/>
        <v/>
      </c>
      <c r="AN1133" s="73" t="str">
        <f t="shared" si="385"/>
        <v/>
      </c>
    </row>
    <row r="1134" spans="16:40" x14ac:dyDescent="0.25">
      <c r="P1134" s="73" t="str">
        <f t="shared" si="369"/>
        <v/>
      </c>
      <c r="Q1134" s="73" t="str">
        <f t="shared" si="370"/>
        <v/>
      </c>
      <c r="R1134" s="74" t="str">
        <f t="shared" si="371"/>
        <v/>
      </c>
      <c r="S1134" s="74" t="str">
        <f t="shared" si="372"/>
        <v/>
      </c>
      <c r="U1134" s="74" t="str">
        <f t="shared" si="386"/>
        <v/>
      </c>
      <c r="V1134" s="74" t="str">
        <f t="shared" si="386"/>
        <v/>
      </c>
      <c r="W1134" s="74" t="str">
        <f t="shared" si="386"/>
        <v/>
      </c>
      <c r="X1134" s="74" t="str">
        <f t="shared" si="386"/>
        <v/>
      </c>
      <c r="Y1134" s="74" t="str">
        <f t="shared" si="386"/>
        <v/>
      </c>
      <c r="Z1134" s="74" t="str">
        <f t="shared" si="373"/>
        <v/>
      </c>
      <c r="AA1134" s="74">
        <f t="shared" si="374"/>
        <v>0</v>
      </c>
      <c r="AB1134" s="74">
        <f t="shared" si="375"/>
        <v>0</v>
      </c>
      <c r="AC1134" s="74" t="str">
        <f t="shared" si="376"/>
        <v/>
      </c>
      <c r="AE1134" s="74" t="str">
        <f t="shared" si="377"/>
        <v/>
      </c>
      <c r="AF1134" s="74" t="str">
        <f t="shared" si="378"/>
        <v/>
      </c>
      <c r="AG1134" s="74" t="str">
        <f t="shared" si="379"/>
        <v/>
      </c>
      <c r="AH1134" s="74">
        <f t="shared" si="380"/>
        <v>0</v>
      </c>
      <c r="AI1134" s="74" t="str">
        <f>IF(AH1134&lt;&gt;0,COUNTIF(AH$3:AH1134,1),"")</f>
        <v/>
      </c>
      <c r="AJ1134" s="74">
        <f t="shared" si="381"/>
        <v>0</v>
      </c>
      <c r="AK1134" s="73" t="str">
        <f t="shared" si="382"/>
        <v/>
      </c>
      <c r="AL1134" s="73" t="str">
        <f t="shared" si="383"/>
        <v/>
      </c>
      <c r="AM1134" s="73" t="str">
        <f t="shared" si="384"/>
        <v/>
      </c>
      <c r="AN1134" s="73" t="str">
        <f t="shared" si="385"/>
        <v/>
      </c>
    </row>
    <row r="1135" spans="16:40" x14ac:dyDescent="0.25">
      <c r="P1135" s="73" t="str">
        <f t="shared" si="369"/>
        <v/>
      </c>
      <c r="Q1135" s="73" t="str">
        <f t="shared" si="370"/>
        <v/>
      </c>
      <c r="R1135" s="74" t="str">
        <f t="shared" si="371"/>
        <v/>
      </c>
      <c r="S1135" s="74" t="str">
        <f t="shared" si="372"/>
        <v/>
      </c>
      <c r="U1135" s="74" t="str">
        <f t="shared" si="386"/>
        <v/>
      </c>
      <c r="V1135" s="74" t="str">
        <f t="shared" si="386"/>
        <v/>
      </c>
      <c r="W1135" s="74" t="str">
        <f t="shared" si="386"/>
        <v/>
      </c>
      <c r="X1135" s="74" t="str">
        <f t="shared" si="386"/>
        <v/>
      </c>
      <c r="Y1135" s="74" t="str">
        <f t="shared" si="386"/>
        <v/>
      </c>
      <c r="Z1135" s="74" t="str">
        <f t="shared" si="373"/>
        <v/>
      </c>
      <c r="AA1135" s="74">
        <f t="shared" si="374"/>
        <v>0</v>
      </c>
      <c r="AB1135" s="74">
        <f t="shared" si="375"/>
        <v>0</v>
      </c>
      <c r="AC1135" s="74" t="str">
        <f t="shared" si="376"/>
        <v/>
      </c>
      <c r="AE1135" s="74" t="str">
        <f t="shared" si="377"/>
        <v/>
      </c>
      <c r="AF1135" s="74" t="str">
        <f t="shared" si="378"/>
        <v/>
      </c>
      <c r="AG1135" s="74" t="str">
        <f t="shared" si="379"/>
        <v/>
      </c>
      <c r="AH1135" s="74">
        <f t="shared" si="380"/>
        <v>0</v>
      </c>
      <c r="AI1135" s="74" t="str">
        <f>IF(AH1135&lt;&gt;0,COUNTIF(AH$3:AH1135,1),"")</f>
        <v/>
      </c>
      <c r="AJ1135" s="74">
        <f t="shared" si="381"/>
        <v>0</v>
      </c>
      <c r="AK1135" s="73" t="str">
        <f t="shared" si="382"/>
        <v/>
      </c>
      <c r="AL1135" s="73" t="str">
        <f t="shared" si="383"/>
        <v/>
      </c>
      <c r="AM1135" s="73" t="str">
        <f t="shared" si="384"/>
        <v/>
      </c>
      <c r="AN1135" s="73" t="str">
        <f t="shared" si="385"/>
        <v/>
      </c>
    </row>
    <row r="1136" spans="16:40" x14ac:dyDescent="0.25">
      <c r="P1136" s="73" t="str">
        <f t="shared" si="369"/>
        <v/>
      </c>
      <c r="Q1136" s="73" t="str">
        <f t="shared" si="370"/>
        <v/>
      </c>
      <c r="R1136" s="74" t="str">
        <f t="shared" si="371"/>
        <v/>
      </c>
      <c r="S1136" s="74" t="str">
        <f t="shared" si="372"/>
        <v/>
      </c>
      <c r="U1136" s="74" t="str">
        <f t="shared" si="386"/>
        <v/>
      </c>
      <c r="V1136" s="74" t="str">
        <f t="shared" si="386"/>
        <v/>
      </c>
      <c r="W1136" s="74" t="str">
        <f t="shared" si="386"/>
        <v/>
      </c>
      <c r="X1136" s="74" t="str">
        <f t="shared" si="386"/>
        <v/>
      </c>
      <c r="Y1136" s="74" t="str">
        <f t="shared" si="386"/>
        <v/>
      </c>
      <c r="Z1136" s="74" t="str">
        <f t="shared" si="373"/>
        <v/>
      </c>
      <c r="AA1136" s="74">
        <f t="shared" si="374"/>
        <v>0</v>
      </c>
      <c r="AB1136" s="74">
        <f t="shared" si="375"/>
        <v>0</v>
      </c>
      <c r="AC1136" s="74" t="str">
        <f t="shared" si="376"/>
        <v/>
      </c>
      <c r="AE1136" s="74" t="str">
        <f t="shared" si="377"/>
        <v/>
      </c>
      <c r="AF1136" s="74" t="str">
        <f t="shared" si="378"/>
        <v/>
      </c>
      <c r="AG1136" s="74" t="str">
        <f t="shared" si="379"/>
        <v/>
      </c>
      <c r="AH1136" s="74">
        <f t="shared" si="380"/>
        <v>0</v>
      </c>
      <c r="AI1136" s="74" t="str">
        <f>IF(AH1136&lt;&gt;0,COUNTIF(AH$3:AH1136,1),"")</f>
        <v/>
      </c>
      <c r="AJ1136" s="74">
        <f t="shared" si="381"/>
        <v>0</v>
      </c>
      <c r="AK1136" s="73" t="str">
        <f t="shared" si="382"/>
        <v/>
      </c>
      <c r="AL1136" s="73" t="str">
        <f t="shared" si="383"/>
        <v/>
      </c>
      <c r="AM1136" s="73" t="str">
        <f t="shared" si="384"/>
        <v/>
      </c>
      <c r="AN1136" s="73" t="str">
        <f t="shared" si="385"/>
        <v/>
      </c>
    </row>
    <row r="1137" spans="16:40" x14ac:dyDescent="0.25">
      <c r="P1137" s="73" t="str">
        <f t="shared" si="369"/>
        <v/>
      </c>
      <c r="Q1137" s="73" t="str">
        <f t="shared" si="370"/>
        <v/>
      </c>
      <c r="R1137" s="74" t="str">
        <f t="shared" si="371"/>
        <v/>
      </c>
      <c r="S1137" s="74" t="str">
        <f t="shared" si="372"/>
        <v/>
      </c>
      <c r="U1137" s="74" t="str">
        <f t="shared" si="386"/>
        <v/>
      </c>
      <c r="V1137" s="74" t="str">
        <f t="shared" si="386"/>
        <v/>
      </c>
      <c r="W1137" s="74" t="str">
        <f t="shared" si="386"/>
        <v/>
      </c>
      <c r="X1137" s="74" t="str">
        <f t="shared" si="386"/>
        <v/>
      </c>
      <c r="Y1137" s="74" t="str">
        <f t="shared" si="386"/>
        <v/>
      </c>
      <c r="Z1137" s="74" t="str">
        <f t="shared" si="373"/>
        <v/>
      </c>
      <c r="AA1137" s="74">
        <f t="shared" si="374"/>
        <v>0</v>
      </c>
      <c r="AB1137" s="74">
        <f t="shared" si="375"/>
        <v>0</v>
      </c>
      <c r="AC1137" s="74" t="str">
        <f t="shared" si="376"/>
        <v/>
      </c>
      <c r="AE1137" s="74" t="str">
        <f t="shared" si="377"/>
        <v/>
      </c>
      <c r="AF1137" s="74" t="str">
        <f t="shared" si="378"/>
        <v/>
      </c>
      <c r="AG1137" s="74" t="str">
        <f t="shared" si="379"/>
        <v/>
      </c>
      <c r="AH1137" s="74">
        <f t="shared" si="380"/>
        <v>0</v>
      </c>
      <c r="AI1137" s="74" t="str">
        <f>IF(AH1137&lt;&gt;0,COUNTIF(AH$3:AH1137,1),"")</f>
        <v/>
      </c>
      <c r="AJ1137" s="74">
        <f t="shared" si="381"/>
        <v>0</v>
      </c>
      <c r="AK1137" s="73" t="str">
        <f t="shared" si="382"/>
        <v/>
      </c>
      <c r="AL1137" s="73" t="str">
        <f t="shared" si="383"/>
        <v/>
      </c>
      <c r="AM1137" s="73" t="str">
        <f t="shared" si="384"/>
        <v/>
      </c>
      <c r="AN1137" s="73" t="str">
        <f t="shared" si="385"/>
        <v/>
      </c>
    </row>
    <row r="1138" spans="16:40" x14ac:dyDescent="0.25">
      <c r="P1138" s="73" t="str">
        <f t="shared" si="369"/>
        <v/>
      </c>
      <c r="Q1138" s="73" t="str">
        <f t="shared" si="370"/>
        <v/>
      </c>
      <c r="R1138" s="74" t="str">
        <f t="shared" si="371"/>
        <v/>
      </c>
      <c r="S1138" s="74" t="str">
        <f t="shared" si="372"/>
        <v/>
      </c>
      <c r="U1138" s="74" t="str">
        <f t="shared" si="386"/>
        <v/>
      </c>
      <c r="V1138" s="74" t="str">
        <f t="shared" si="386"/>
        <v/>
      </c>
      <c r="W1138" s="74" t="str">
        <f t="shared" si="386"/>
        <v/>
      </c>
      <c r="X1138" s="74" t="str">
        <f t="shared" si="386"/>
        <v/>
      </c>
      <c r="Y1138" s="74" t="str">
        <f t="shared" si="386"/>
        <v/>
      </c>
      <c r="Z1138" s="74" t="str">
        <f t="shared" si="373"/>
        <v/>
      </c>
      <c r="AA1138" s="74">
        <f t="shared" si="374"/>
        <v>0</v>
      </c>
      <c r="AB1138" s="74">
        <f t="shared" si="375"/>
        <v>0</v>
      </c>
      <c r="AC1138" s="74" t="str">
        <f t="shared" si="376"/>
        <v/>
      </c>
      <c r="AE1138" s="74" t="str">
        <f t="shared" si="377"/>
        <v/>
      </c>
      <c r="AF1138" s="74" t="str">
        <f t="shared" si="378"/>
        <v/>
      </c>
      <c r="AG1138" s="74" t="str">
        <f t="shared" si="379"/>
        <v/>
      </c>
      <c r="AH1138" s="74">
        <f t="shared" si="380"/>
        <v>0</v>
      </c>
      <c r="AI1138" s="74" t="str">
        <f>IF(AH1138&lt;&gt;0,COUNTIF(AH$3:AH1138,1),"")</f>
        <v/>
      </c>
      <c r="AJ1138" s="74">
        <f t="shared" si="381"/>
        <v>0</v>
      </c>
      <c r="AK1138" s="73" t="str">
        <f t="shared" si="382"/>
        <v/>
      </c>
      <c r="AL1138" s="73" t="str">
        <f t="shared" si="383"/>
        <v/>
      </c>
      <c r="AM1138" s="73" t="str">
        <f t="shared" si="384"/>
        <v/>
      </c>
      <c r="AN1138" s="73" t="str">
        <f t="shared" si="385"/>
        <v/>
      </c>
    </row>
    <row r="1139" spans="16:40" x14ac:dyDescent="0.25">
      <c r="P1139" s="73" t="str">
        <f t="shared" si="369"/>
        <v/>
      </c>
      <c r="Q1139" s="73" t="str">
        <f t="shared" si="370"/>
        <v/>
      </c>
      <c r="R1139" s="74" t="str">
        <f t="shared" si="371"/>
        <v/>
      </c>
      <c r="S1139" s="74" t="str">
        <f t="shared" si="372"/>
        <v/>
      </c>
      <c r="U1139" s="74" t="str">
        <f t="shared" si="386"/>
        <v/>
      </c>
      <c r="V1139" s="74" t="str">
        <f t="shared" si="386"/>
        <v/>
      </c>
      <c r="W1139" s="74" t="str">
        <f t="shared" si="386"/>
        <v/>
      </c>
      <c r="X1139" s="74" t="str">
        <f t="shared" si="386"/>
        <v/>
      </c>
      <c r="Y1139" s="74" t="str">
        <f t="shared" si="386"/>
        <v/>
      </c>
      <c r="Z1139" s="74" t="str">
        <f t="shared" si="373"/>
        <v/>
      </c>
      <c r="AA1139" s="74">
        <f t="shared" si="374"/>
        <v>0</v>
      </c>
      <c r="AB1139" s="74">
        <f t="shared" si="375"/>
        <v>0</v>
      </c>
      <c r="AC1139" s="74" t="str">
        <f t="shared" si="376"/>
        <v/>
      </c>
      <c r="AE1139" s="74" t="str">
        <f t="shared" si="377"/>
        <v/>
      </c>
      <c r="AF1139" s="74" t="str">
        <f t="shared" si="378"/>
        <v/>
      </c>
      <c r="AG1139" s="74" t="str">
        <f t="shared" si="379"/>
        <v/>
      </c>
      <c r="AH1139" s="74">
        <f t="shared" si="380"/>
        <v>0</v>
      </c>
      <c r="AI1139" s="74" t="str">
        <f>IF(AH1139&lt;&gt;0,COUNTIF(AH$3:AH1139,1),"")</f>
        <v/>
      </c>
      <c r="AJ1139" s="74">
        <f t="shared" si="381"/>
        <v>0</v>
      </c>
      <c r="AK1139" s="73" t="str">
        <f t="shared" si="382"/>
        <v/>
      </c>
      <c r="AL1139" s="73" t="str">
        <f t="shared" si="383"/>
        <v/>
      </c>
      <c r="AM1139" s="73" t="str">
        <f t="shared" si="384"/>
        <v/>
      </c>
      <c r="AN1139" s="73" t="str">
        <f t="shared" si="385"/>
        <v/>
      </c>
    </row>
    <row r="1140" spans="16:40" x14ac:dyDescent="0.25">
      <c r="P1140" s="73" t="str">
        <f t="shared" si="369"/>
        <v/>
      </c>
      <c r="Q1140" s="73" t="str">
        <f t="shared" si="370"/>
        <v/>
      </c>
      <c r="R1140" s="74" t="str">
        <f t="shared" si="371"/>
        <v/>
      </c>
      <c r="S1140" s="74" t="str">
        <f t="shared" si="372"/>
        <v/>
      </c>
      <c r="U1140" s="74" t="str">
        <f t="shared" si="386"/>
        <v/>
      </c>
      <c r="V1140" s="74" t="str">
        <f t="shared" si="386"/>
        <v/>
      </c>
      <c r="W1140" s="74" t="str">
        <f t="shared" si="386"/>
        <v/>
      </c>
      <c r="X1140" s="74" t="str">
        <f t="shared" si="386"/>
        <v/>
      </c>
      <c r="Y1140" s="74" t="str">
        <f t="shared" si="386"/>
        <v/>
      </c>
      <c r="Z1140" s="74" t="str">
        <f t="shared" si="373"/>
        <v/>
      </c>
      <c r="AA1140" s="74">
        <f t="shared" si="374"/>
        <v>0</v>
      </c>
      <c r="AB1140" s="74">
        <f t="shared" si="375"/>
        <v>0</v>
      </c>
      <c r="AC1140" s="74" t="str">
        <f t="shared" si="376"/>
        <v/>
      </c>
      <c r="AE1140" s="74" t="str">
        <f t="shared" si="377"/>
        <v/>
      </c>
      <c r="AF1140" s="74" t="str">
        <f t="shared" si="378"/>
        <v/>
      </c>
      <c r="AG1140" s="74" t="str">
        <f t="shared" si="379"/>
        <v/>
      </c>
      <c r="AH1140" s="74">
        <f t="shared" si="380"/>
        <v>0</v>
      </c>
      <c r="AI1140" s="74" t="str">
        <f>IF(AH1140&lt;&gt;0,COUNTIF(AH$3:AH1140,1),"")</f>
        <v/>
      </c>
      <c r="AJ1140" s="74">
        <f t="shared" si="381"/>
        <v>0</v>
      </c>
      <c r="AK1140" s="73" t="str">
        <f t="shared" si="382"/>
        <v/>
      </c>
      <c r="AL1140" s="73" t="str">
        <f t="shared" si="383"/>
        <v/>
      </c>
      <c r="AM1140" s="73" t="str">
        <f t="shared" si="384"/>
        <v/>
      </c>
      <c r="AN1140" s="73" t="str">
        <f t="shared" si="385"/>
        <v/>
      </c>
    </row>
    <row r="1141" spans="16:40" x14ac:dyDescent="0.25">
      <c r="P1141" s="73" t="str">
        <f t="shared" si="369"/>
        <v/>
      </c>
      <c r="Q1141" s="73" t="str">
        <f t="shared" si="370"/>
        <v/>
      </c>
      <c r="R1141" s="74" t="str">
        <f t="shared" si="371"/>
        <v/>
      </c>
      <c r="S1141" s="74" t="str">
        <f t="shared" si="372"/>
        <v/>
      </c>
      <c r="U1141" s="74" t="str">
        <f t="shared" si="386"/>
        <v/>
      </c>
      <c r="V1141" s="74" t="str">
        <f t="shared" si="386"/>
        <v/>
      </c>
      <c r="W1141" s="74" t="str">
        <f t="shared" si="386"/>
        <v/>
      </c>
      <c r="X1141" s="74" t="str">
        <f t="shared" si="386"/>
        <v/>
      </c>
      <c r="Y1141" s="74" t="str">
        <f t="shared" si="386"/>
        <v/>
      </c>
      <c r="Z1141" s="74" t="str">
        <f t="shared" si="373"/>
        <v/>
      </c>
      <c r="AA1141" s="74">
        <f t="shared" si="374"/>
        <v>0</v>
      </c>
      <c r="AB1141" s="74">
        <f t="shared" si="375"/>
        <v>0</v>
      </c>
      <c r="AC1141" s="74" t="str">
        <f t="shared" si="376"/>
        <v/>
      </c>
      <c r="AE1141" s="74" t="str">
        <f t="shared" si="377"/>
        <v/>
      </c>
      <c r="AF1141" s="74" t="str">
        <f t="shared" si="378"/>
        <v/>
      </c>
      <c r="AG1141" s="74" t="str">
        <f t="shared" si="379"/>
        <v/>
      </c>
      <c r="AH1141" s="74">
        <f t="shared" si="380"/>
        <v>0</v>
      </c>
      <c r="AI1141" s="74" t="str">
        <f>IF(AH1141&lt;&gt;0,COUNTIF(AH$3:AH1141,1),"")</f>
        <v/>
      </c>
      <c r="AJ1141" s="74">
        <f t="shared" si="381"/>
        <v>0</v>
      </c>
      <c r="AK1141" s="73" t="str">
        <f t="shared" si="382"/>
        <v/>
      </c>
      <c r="AL1141" s="73" t="str">
        <f t="shared" si="383"/>
        <v/>
      </c>
      <c r="AM1141" s="73" t="str">
        <f t="shared" si="384"/>
        <v/>
      </c>
      <c r="AN1141" s="73" t="str">
        <f t="shared" si="385"/>
        <v/>
      </c>
    </row>
    <row r="1142" spans="16:40" x14ac:dyDescent="0.25">
      <c r="P1142" s="73" t="str">
        <f t="shared" si="369"/>
        <v/>
      </c>
      <c r="Q1142" s="73" t="str">
        <f t="shared" si="370"/>
        <v/>
      </c>
      <c r="R1142" s="74" t="str">
        <f t="shared" si="371"/>
        <v/>
      </c>
      <c r="S1142" s="74" t="str">
        <f t="shared" si="372"/>
        <v/>
      </c>
      <c r="U1142" s="74" t="str">
        <f t="shared" si="386"/>
        <v/>
      </c>
      <c r="V1142" s="74" t="str">
        <f t="shared" si="386"/>
        <v/>
      </c>
      <c r="W1142" s="74" t="str">
        <f t="shared" si="386"/>
        <v/>
      </c>
      <c r="X1142" s="74" t="str">
        <f t="shared" si="386"/>
        <v/>
      </c>
      <c r="Y1142" s="74" t="str">
        <f t="shared" si="386"/>
        <v/>
      </c>
      <c r="Z1142" s="74" t="str">
        <f t="shared" si="373"/>
        <v/>
      </c>
      <c r="AA1142" s="74">
        <f t="shared" si="374"/>
        <v>0</v>
      </c>
      <c r="AB1142" s="74">
        <f t="shared" si="375"/>
        <v>0</v>
      </c>
      <c r="AC1142" s="74" t="str">
        <f t="shared" si="376"/>
        <v/>
      </c>
      <c r="AE1142" s="74" t="str">
        <f t="shared" si="377"/>
        <v/>
      </c>
      <c r="AF1142" s="74" t="str">
        <f t="shared" si="378"/>
        <v/>
      </c>
      <c r="AG1142" s="74" t="str">
        <f t="shared" si="379"/>
        <v/>
      </c>
      <c r="AH1142" s="74">
        <f t="shared" si="380"/>
        <v>0</v>
      </c>
      <c r="AI1142" s="74" t="str">
        <f>IF(AH1142&lt;&gt;0,COUNTIF(AH$3:AH1142,1),"")</f>
        <v/>
      </c>
      <c r="AJ1142" s="74">
        <f t="shared" si="381"/>
        <v>0</v>
      </c>
      <c r="AK1142" s="73" t="str">
        <f t="shared" si="382"/>
        <v/>
      </c>
      <c r="AL1142" s="73" t="str">
        <f t="shared" si="383"/>
        <v/>
      </c>
      <c r="AM1142" s="73" t="str">
        <f t="shared" si="384"/>
        <v/>
      </c>
      <c r="AN1142" s="73" t="str">
        <f t="shared" si="385"/>
        <v/>
      </c>
    </row>
    <row r="1143" spans="16:40" x14ac:dyDescent="0.25">
      <c r="P1143" s="73" t="str">
        <f t="shared" si="369"/>
        <v/>
      </c>
      <c r="Q1143" s="73" t="str">
        <f t="shared" si="370"/>
        <v/>
      </c>
      <c r="R1143" s="74" t="str">
        <f t="shared" si="371"/>
        <v/>
      </c>
      <c r="S1143" s="74" t="str">
        <f t="shared" si="372"/>
        <v/>
      </c>
      <c r="U1143" s="74" t="str">
        <f t="shared" si="386"/>
        <v/>
      </c>
      <c r="V1143" s="74" t="str">
        <f t="shared" si="386"/>
        <v/>
      </c>
      <c r="W1143" s="74" t="str">
        <f t="shared" si="386"/>
        <v/>
      </c>
      <c r="X1143" s="74" t="str">
        <f t="shared" si="386"/>
        <v/>
      </c>
      <c r="Y1143" s="74" t="str">
        <f t="shared" si="386"/>
        <v/>
      </c>
      <c r="Z1143" s="74" t="str">
        <f t="shared" si="373"/>
        <v/>
      </c>
      <c r="AA1143" s="74">
        <f t="shared" si="374"/>
        <v>0</v>
      </c>
      <c r="AB1143" s="74">
        <f t="shared" si="375"/>
        <v>0</v>
      </c>
      <c r="AC1143" s="74" t="str">
        <f t="shared" si="376"/>
        <v/>
      </c>
      <c r="AE1143" s="74" t="str">
        <f t="shared" si="377"/>
        <v/>
      </c>
      <c r="AF1143" s="74" t="str">
        <f t="shared" si="378"/>
        <v/>
      </c>
      <c r="AG1143" s="74" t="str">
        <f t="shared" si="379"/>
        <v/>
      </c>
      <c r="AH1143" s="74">
        <f t="shared" si="380"/>
        <v>0</v>
      </c>
      <c r="AI1143" s="74" t="str">
        <f>IF(AH1143&lt;&gt;0,COUNTIF(AH$3:AH1143,1),"")</f>
        <v/>
      </c>
      <c r="AJ1143" s="74">
        <f t="shared" si="381"/>
        <v>0</v>
      </c>
      <c r="AK1143" s="73" t="str">
        <f t="shared" si="382"/>
        <v/>
      </c>
      <c r="AL1143" s="73" t="str">
        <f t="shared" si="383"/>
        <v/>
      </c>
      <c r="AM1143" s="73" t="str">
        <f t="shared" si="384"/>
        <v/>
      </c>
      <c r="AN1143" s="73" t="str">
        <f t="shared" si="385"/>
        <v/>
      </c>
    </row>
    <row r="1144" spans="16:40" x14ac:dyDescent="0.25">
      <c r="P1144" s="73" t="str">
        <f t="shared" si="369"/>
        <v/>
      </c>
      <c r="Q1144" s="73" t="str">
        <f t="shared" si="370"/>
        <v/>
      </c>
      <c r="R1144" s="74" t="str">
        <f t="shared" si="371"/>
        <v/>
      </c>
      <c r="S1144" s="74" t="str">
        <f t="shared" si="372"/>
        <v/>
      </c>
      <c r="U1144" s="74" t="str">
        <f t="shared" si="386"/>
        <v/>
      </c>
      <c r="V1144" s="74" t="str">
        <f t="shared" si="386"/>
        <v/>
      </c>
      <c r="W1144" s="74" t="str">
        <f t="shared" si="386"/>
        <v/>
      </c>
      <c r="X1144" s="74" t="str">
        <f t="shared" si="386"/>
        <v/>
      </c>
      <c r="Y1144" s="74" t="str">
        <f t="shared" si="386"/>
        <v/>
      </c>
      <c r="Z1144" s="74" t="str">
        <f t="shared" si="373"/>
        <v/>
      </c>
      <c r="AA1144" s="74">
        <f t="shared" si="374"/>
        <v>0</v>
      </c>
      <c r="AB1144" s="74">
        <f t="shared" si="375"/>
        <v>0</v>
      </c>
      <c r="AC1144" s="74" t="str">
        <f t="shared" si="376"/>
        <v/>
      </c>
      <c r="AE1144" s="74" t="str">
        <f t="shared" si="377"/>
        <v/>
      </c>
      <c r="AF1144" s="74" t="str">
        <f t="shared" si="378"/>
        <v/>
      </c>
      <c r="AG1144" s="74" t="str">
        <f t="shared" si="379"/>
        <v/>
      </c>
      <c r="AH1144" s="74">
        <f t="shared" si="380"/>
        <v>0</v>
      </c>
      <c r="AI1144" s="74" t="str">
        <f>IF(AH1144&lt;&gt;0,COUNTIF(AH$3:AH1144,1),"")</f>
        <v/>
      </c>
      <c r="AJ1144" s="74">
        <f t="shared" si="381"/>
        <v>0</v>
      </c>
      <c r="AK1144" s="73" t="str">
        <f t="shared" si="382"/>
        <v/>
      </c>
      <c r="AL1144" s="73" t="str">
        <f t="shared" si="383"/>
        <v/>
      </c>
      <c r="AM1144" s="73" t="str">
        <f t="shared" si="384"/>
        <v/>
      </c>
      <c r="AN1144" s="73" t="str">
        <f t="shared" si="385"/>
        <v/>
      </c>
    </row>
    <row r="1145" spans="16:40" x14ac:dyDescent="0.25">
      <c r="P1145" s="73" t="str">
        <f t="shared" si="369"/>
        <v/>
      </c>
      <c r="Q1145" s="73" t="str">
        <f t="shared" si="370"/>
        <v/>
      </c>
      <c r="R1145" s="74" t="str">
        <f t="shared" si="371"/>
        <v/>
      </c>
      <c r="S1145" s="74" t="str">
        <f t="shared" si="372"/>
        <v/>
      </c>
      <c r="U1145" s="74" t="str">
        <f t="shared" si="386"/>
        <v/>
      </c>
      <c r="V1145" s="74" t="str">
        <f t="shared" si="386"/>
        <v/>
      </c>
      <c r="W1145" s="74" t="str">
        <f t="shared" si="386"/>
        <v/>
      </c>
      <c r="X1145" s="74" t="str">
        <f t="shared" si="386"/>
        <v/>
      </c>
      <c r="Y1145" s="74" t="str">
        <f t="shared" si="386"/>
        <v/>
      </c>
      <c r="Z1145" s="74" t="str">
        <f t="shared" si="373"/>
        <v/>
      </c>
      <c r="AA1145" s="74">
        <f t="shared" si="374"/>
        <v>0</v>
      </c>
      <c r="AB1145" s="74">
        <f t="shared" si="375"/>
        <v>0</v>
      </c>
      <c r="AC1145" s="74" t="str">
        <f t="shared" si="376"/>
        <v/>
      </c>
      <c r="AE1145" s="74" t="str">
        <f t="shared" si="377"/>
        <v/>
      </c>
      <c r="AF1145" s="74" t="str">
        <f t="shared" si="378"/>
        <v/>
      </c>
      <c r="AG1145" s="74" t="str">
        <f t="shared" si="379"/>
        <v/>
      </c>
      <c r="AH1145" s="74">
        <f t="shared" si="380"/>
        <v>0</v>
      </c>
      <c r="AI1145" s="74" t="str">
        <f>IF(AH1145&lt;&gt;0,COUNTIF(AH$3:AH1145,1),"")</f>
        <v/>
      </c>
      <c r="AJ1145" s="74">
        <f t="shared" si="381"/>
        <v>0</v>
      </c>
      <c r="AK1145" s="73" t="str">
        <f t="shared" si="382"/>
        <v/>
      </c>
      <c r="AL1145" s="73" t="str">
        <f t="shared" si="383"/>
        <v/>
      </c>
      <c r="AM1145" s="73" t="str">
        <f t="shared" si="384"/>
        <v/>
      </c>
      <c r="AN1145" s="73" t="str">
        <f t="shared" si="385"/>
        <v/>
      </c>
    </row>
    <row r="1146" spans="16:40" x14ac:dyDescent="0.25">
      <c r="P1146" s="73" t="str">
        <f t="shared" si="369"/>
        <v/>
      </c>
      <c r="Q1146" s="73" t="str">
        <f t="shared" si="370"/>
        <v/>
      </c>
      <c r="R1146" s="74" t="str">
        <f t="shared" si="371"/>
        <v/>
      </c>
      <c r="S1146" s="74" t="str">
        <f t="shared" si="372"/>
        <v/>
      </c>
      <c r="U1146" s="74" t="str">
        <f t="shared" si="386"/>
        <v/>
      </c>
      <c r="V1146" s="74" t="str">
        <f t="shared" si="386"/>
        <v/>
      </c>
      <c r="W1146" s="74" t="str">
        <f t="shared" si="386"/>
        <v/>
      </c>
      <c r="X1146" s="74" t="str">
        <f t="shared" si="386"/>
        <v/>
      </c>
      <c r="Y1146" s="74" t="str">
        <f t="shared" si="386"/>
        <v/>
      </c>
      <c r="Z1146" s="74" t="str">
        <f t="shared" si="373"/>
        <v/>
      </c>
      <c r="AA1146" s="74">
        <f t="shared" si="374"/>
        <v>0</v>
      </c>
      <c r="AB1146" s="74">
        <f t="shared" si="375"/>
        <v>0</v>
      </c>
      <c r="AC1146" s="74" t="str">
        <f t="shared" si="376"/>
        <v/>
      </c>
      <c r="AE1146" s="74" t="str">
        <f t="shared" si="377"/>
        <v/>
      </c>
      <c r="AF1146" s="74" t="str">
        <f t="shared" si="378"/>
        <v/>
      </c>
      <c r="AG1146" s="74" t="str">
        <f t="shared" si="379"/>
        <v/>
      </c>
      <c r="AH1146" s="74">
        <f t="shared" si="380"/>
        <v>0</v>
      </c>
      <c r="AI1146" s="74" t="str">
        <f>IF(AH1146&lt;&gt;0,COUNTIF(AH$3:AH1146,1),"")</f>
        <v/>
      </c>
      <c r="AJ1146" s="74">
        <f t="shared" si="381"/>
        <v>0</v>
      </c>
      <c r="AK1146" s="73" t="str">
        <f t="shared" si="382"/>
        <v/>
      </c>
      <c r="AL1146" s="73" t="str">
        <f t="shared" si="383"/>
        <v/>
      </c>
      <c r="AM1146" s="73" t="str">
        <f t="shared" si="384"/>
        <v/>
      </c>
      <c r="AN1146" s="73" t="str">
        <f t="shared" si="385"/>
        <v/>
      </c>
    </row>
    <row r="1147" spans="16:40" x14ac:dyDescent="0.25">
      <c r="P1147" s="73" t="str">
        <f t="shared" si="369"/>
        <v/>
      </c>
      <c r="Q1147" s="73" t="str">
        <f t="shared" si="370"/>
        <v/>
      </c>
      <c r="R1147" s="74" t="str">
        <f t="shared" si="371"/>
        <v/>
      </c>
      <c r="S1147" s="74" t="str">
        <f t="shared" si="372"/>
        <v/>
      </c>
      <c r="U1147" s="74" t="str">
        <f t="shared" si="386"/>
        <v/>
      </c>
      <c r="V1147" s="74" t="str">
        <f t="shared" si="386"/>
        <v/>
      </c>
      <c r="W1147" s="74" t="str">
        <f t="shared" si="386"/>
        <v/>
      </c>
      <c r="X1147" s="74" t="str">
        <f t="shared" si="386"/>
        <v/>
      </c>
      <c r="Y1147" s="74" t="str">
        <f t="shared" si="386"/>
        <v/>
      </c>
      <c r="Z1147" s="74" t="str">
        <f t="shared" si="373"/>
        <v/>
      </c>
      <c r="AA1147" s="74">
        <f t="shared" si="374"/>
        <v>0</v>
      </c>
      <c r="AB1147" s="74">
        <f t="shared" si="375"/>
        <v>0</v>
      </c>
      <c r="AC1147" s="74" t="str">
        <f t="shared" si="376"/>
        <v/>
      </c>
      <c r="AE1147" s="74" t="str">
        <f t="shared" si="377"/>
        <v/>
      </c>
      <c r="AF1147" s="74" t="str">
        <f t="shared" si="378"/>
        <v/>
      </c>
      <c r="AG1147" s="74" t="str">
        <f t="shared" si="379"/>
        <v/>
      </c>
      <c r="AH1147" s="74">
        <f t="shared" si="380"/>
        <v>0</v>
      </c>
      <c r="AI1147" s="74" t="str">
        <f>IF(AH1147&lt;&gt;0,COUNTIF(AH$3:AH1147,1),"")</f>
        <v/>
      </c>
      <c r="AJ1147" s="74">
        <f t="shared" si="381"/>
        <v>0</v>
      </c>
      <c r="AK1147" s="73" t="str">
        <f t="shared" si="382"/>
        <v/>
      </c>
      <c r="AL1147" s="73" t="str">
        <f t="shared" si="383"/>
        <v/>
      </c>
      <c r="AM1147" s="73" t="str">
        <f t="shared" si="384"/>
        <v/>
      </c>
      <c r="AN1147" s="73" t="str">
        <f t="shared" si="385"/>
        <v/>
      </c>
    </row>
    <row r="1148" spans="16:40" x14ac:dyDescent="0.25">
      <c r="P1148" s="73" t="str">
        <f t="shared" si="369"/>
        <v/>
      </c>
      <c r="Q1148" s="73" t="str">
        <f t="shared" si="370"/>
        <v/>
      </c>
      <c r="R1148" s="74" t="str">
        <f t="shared" si="371"/>
        <v/>
      </c>
      <c r="S1148" s="74" t="str">
        <f t="shared" si="372"/>
        <v/>
      </c>
      <c r="U1148" s="74" t="str">
        <f t="shared" si="386"/>
        <v/>
      </c>
      <c r="V1148" s="74" t="str">
        <f t="shared" si="386"/>
        <v/>
      </c>
      <c r="W1148" s="74" t="str">
        <f t="shared" si="386"/>
        <v/>
      </c>
      <c r="X1148" s="74" t="str">
        <f t="shared" si="386"/>
        <v/>
      </c>
      <c r="Y1148" s="74" t="str">
        <f t="shared" si="386"/>
        <v/>
      </c>
      <c r="Z1148" s="74" t="str">
        <f t="shared" si="373"/>
        <v/>
      </c>
      <c r="AA1148" s="74">
        <f t="shared" si="374"/>
        <v>0</v>
      </c>
      <c r="AB1148" s="74">
        <f t="shared" si="375"/>
        <v>0</v>
      </c>
      <c r="AC1148" s="74" t="str">
        <f t="shared" si="376"/>
        <v/>
      </c>
      <c r="AE1148" s="74" t="str">
        <f t="shared" si="377"/>
        <v/>
      </c>
      <c r="AF1148" s="74" t="str">
        <f t="shared" si="378"/>
        <v/>
      </c>
      <c r="AG1148" s="74" t="str">
        <f t="shared" si="379"/>
        <v/>
      </c>
      <c r="AH1148" s="74">
        <f t="shared" si="380"/>
        <v>0</v>
      </c>
      <c r="AI1148" s="74" t="str">
        <f>IF(AH1148&lt;&gt;0,COUNTIF(AH$3:AH1148,1),"")</f>
        <v/>
      </c>
      <c r="AJ1148" s="74">
        <f t="shared" si="381"/>
        <v>0</v>
      </c>
      <c r="AK1148" s="73" t="str">
        <f t="shared" si="382"/>
        <v/>
      </c>
      <c r="AL1148" s="73" t="str">
        <f t="shared" si="383"/>
        <v/>
      </c>
      <c r="AM1148" s="73" t="str">
        <f t="shared" si="384"/>
        <v/>
      </c>
      <c r="AN1148" s="73" t="str">
        <f t="shared" si="385"/>
        <v/>
      </c>
    </row>
    <row r="1149" spans="16:40" x14ac:dyDescent="0.25">
      <c r="P1149" s="73" t="str">
        <f t="shared" si="369"/>
        <v/>
      </c>
      <c r="Q1149" s="73" t="str">
        <f t="shared" si="370"/>
        <v/>
      </c>
      <c r="R1149" s="74" t="str">
        <f t="shared" si="371"/>
        <v/>
      </c>
      <c r="S1149" s="74" t="str">
        <f t="shared" si="372"/>
        <v/>
      </c>
      <c r="U1149" s="74" t="str">
        <f t="shared" si="386"/>
        <v/>
      </c>
      <c r="V1149" s="74" t="str">
        <f t="shared" si="386"/>
        <v/>
      </c>
      <c r="W1149" s="74" t="str">
        <f t="shared" si="386"/>
        <v/>
      </c>
      <c r="X1149" s="74" t="str">
        <f t="shared" si="386"/>
        <v/>
      </c>
      <c r="Y1149" s="74" t="str">
        <f t="shared" si="386"/>
        <v/>
      </c>
      <c r="Z1149" s="74" t="str">
        <f t="shared" si="373"/>
        <v/>
      </c>
      <c r="AA1149" s="74">
        <f t="shared" si="374"/>
        <v>0</v>
      </c>
      <c r="AB1149" s="74">
        <f t="shared" si="375"/>
        <v>0</v>
      </c>
      <c r="AC1149" s="74" t="str">
        <f t="shared" si="376"/>
        <v/>
      </c>
      <c r="AE1149" s="74" t="str">
        <f t="shared" si="377"/>
        <v/>
      </c>
      <c r="AF1149" s="74" t="str">
        <f t="shared" si="378"/>
        <v/>
      </c>
      <c r="AG1149" s="74" t="str">
        <f t="shared" si="379"/>
        <v/>
      </c>
      <c r="AH1149" s="74">
        <f t="shared" si="380"/>
        <v>0</v>
      </c>
      <c r="AI1149" s="74" t="str">
        <f>IF(AH1149&lt;&gt;0,COUNTIF(AH$3:AH1149,1),"")</f>
        <v/>
      </c>
      <c r="AJ1149" s="74">
        <f t="shared" si="381"/>
        <v>0</v>
      </c>
      <c r="AK1149" s="73" t="str">
        <f t="shared" si="382"/>
        <v/>
      </c>
      <c r="AL1149" s="73" t="str">
        <f t="shared" si="383"/>
        <v/>
      </c>
      <c r="AM1149" s="73" t="str">
        <f t="shared" si="384"/>
        <v/>
      </c>
      <c r="AN1149" s="73" t="str">
        <f t="shared" si="385"/>
        <v/>
      </c>
    </row>
    <row r="1150" spans="16:40" x14ac:dyDescent="0.25">
      <c r="P1150" s="73" t="str">
        <f t="shared" ref="P1150:P1213" si="387">IF(N1150&lt;&gt;"",SUBSTITUTE(LEFT(N1150,FIND(";",N1150)),";",""),"")</f>
        <v/>
      </c>
      <c r="Q1150" s="73" t="str">
        <f t="shared" ref="Q1150:Q1213" si="388">IF(N1150&lt;&gt;"",SUBSTITUTE(RIGHT(N1150,FIND(";",N1150)),";",""),"")</f>
        <v/>
      </c>
      <c r="R1150" s="74" t="str">
        <f t="shared" ref="R1150:R1213" si="389">IF(O1150&lt;&gt;"",SUBSTITUTE(LEFT(O1150,FIND(";",O1150)),";",""),"")</f>
        <v/>
      </c>
      <c r="S1150" s="74" t="str">
        <f t="shared" ref="S1150:S1213" si="390">IF(O1150&lt;&gt;"",IFERROR(IF(FIND("OK",O1150)&gt;0,TRUE),FALSE),"")</f>
        <v/>
      </c>
      <c r="U1150" s="74" t="str">
        <f t="shared" si="386"/>
        <v/>
      </c>
      <c r="V1150" s="74" t="str">
        <f t="shared" si="386"/>
        <v/>
      </c>
      <c r="W1150" s="74" t="str">
        <f t="shared" si="386"/>
        <v/>
      </c>
      <c r="X1150" s="74" t="str">
        <f t="shared" si="386"/>
        <v/>
      </c>
      <c r="Y1150" s="74" t="str">
        <f t="shared" si="386"/>
        <v/>
      </c>
      <c r="Z1150" s="74" t="str">
        <f t="shared" ref="Z1150:Z1213" si="391">IF(G1150,E1150,"")</f>
        <v/>
      </c>
      <c r="AA1150" s="74">
        <f t="shared" ref="AA1150:AA1213" si="392">IF(G1150=FALSE,E1150,"")</f>
        <v>0</v>
      </c>
      <c r="AB1150" s="74">
        <f t="shared" ref="AB1150:AB1213" si="393">IF(G1150,1,0)</f>
        <v>0</v>
      </c>
      <c r="AC1150" s="74" t="str">
        <f t="shared" ref="AC1150:AC1213" si="394">IF(A1150&lt;&gt;"",IF(G1150,0,1),"")</f>
        <v/>
      </c>
      <c r="AE1150" s="74" t="str">
        <f t="shared" ref="AE1150:AE1213" si="395">IF(P1150&lt;&gt;"",IF(AND(_xlfn.NUMBERVALUE(P1150)&gt;25,_xlfn.NUMBERVALUE(P1150)&lt;38),TRUE,FALSE),"")</f>
        <v/>
      </c>
      <c r="AF1150" s="74" t="str">
        <f t="shared" ref="AF1150:AF1213" si="396">IF(Q1150&lt;&gt;"",IF(AND(_xlfn.NUMBERVALUE(Q1150)&gt;25,_xlfn.NUMBERVALUE(Q1150)&lt;38),TRUE,FALSE),"")</f>
        <v/>
      </c>
      <c r="AG1150" s="74" t="str">
        <f t="shared" ref="AG1150:AG1213" si="397">IF(R1150&lt;&gt;"",IF(AND(_xlfn.NUMBERVALUE(R1150)&gt;262,_xlfn.NUMBERVALUE(R1150)&lt;307),TRUE,FALSE),"")</f>
        <v/>
      </c>
      <c r="AH1150" s="74">
        <f t="shared" ref="AH1150:AH1213" si="398">IF(OR(AE1150=FALSE,AF1150=FALSE,AG1150=FALSE),1,0)</f>
        <v>0</v>
      </c>
      <c r="AI1150" s="74" t="str">
        <f>IF(AH1150&lt;&gt;0,COUNTIF(AH$3:AH1150,1),"")</f>
        <v/>
      </c>
      <c r="AJ1150" s="74">
        <f t="shared" ref="AJ1150:AJ1213" si="399">L1150</f>
        <v>0</v>
      </c>
      <c r="AK1150" s="73" t="str">
        <f t="shared" ref="AK1150:AK1213" si="400">P1150</f>
        <v/>
      </c>
      <c r="AL1150" s="73" t="str">
        <f t="shared" ref="AL1150:AL1213" si="401">Q1150</f>
        <v/>
      </c>
      <c r="AM1150" s="73" t="str">
        <f t="shared" ref="AM1150:AM1213" si="402">R1150</f>
        <v/>
      </c>
      <c r="AN1150" s="73" t="str">
        <f t="shared" ref="AN1150:AN1213" si="403">S1150</f>
        <v/>
      </c>
    </row>
    <row r="1151" spans="16:40" x14ac:dyDescent="0.25">
      <c r="P1151" s="73" t="str">
        <f t="shared" si="387"/>
        <v/>
      </c>
      <c r="Q1151" s="73" t="str">
        <f t="shared" si="388"/>
        <v/>
      </c>
      <c r="R1151" s="74" t="str">
        <f t="shared" si="389"/>
        <v/>
      </c>
      <c r="S1151" s="74" t="str">
        <f t="shared" si="390"/>
        <v/>
      </c>
      <c r="U1151" s="74" t="str">
        <f t="shared" si="386"/>
        <v/>
      </c>
      <c r="V1151" s="74" t="str">
        <f t="shared" si="386"/>
        <v/>
      </c>
      <c r="W1151" s="74" t="str">
        <f t="shared" si="386"/>
        <v/>
      </c>
      <c r="X1151" s="74" t="str">
        <f t="shared" si="386"/>
        <v/>
      </c>
      <c r="Y1151" s="74" t="str">
        <f t="shared" si="386"/>
        <v/>
      </c>
      <c r="Z1151" s="74" t="str">
        <f t="shared" si="391"/>
        <v/>
      </c>
      <c r="AA1151" s="74">
        <f t="shared" si="392"/>
        <v>0</v>
      </c>
      <c r="AB1151" s="74">
        <f t="shared" si="393"/>
        <v>0</v>
      </c>
      <c r="AC1151" s="74" t="str">
        <f t="shared" si="394"/>
        <v/>
      </c>
      <c r="AE1151" s="74" t="str">
        <f t="shared" si="395"/>
        <v/>
      </c>
      <c r="AF1151" s="74" t="str">
        <f t="shared" si="396"/>
        <v/>
      </c>
      <c r="AG1151" s="74" t="str">
        <f t="shared" si="397"/>
        <v/>
      </c>
      <c r="AH1151" s="74">
        <f t="shared" si="398"/>
        <v>0</v>
      </c>
      <c r="AI1151" s="74" t="str">
        <f>IF(AH1151&lt;&gt;0,COUNTIF(AH$3:AH1151,1),"")</f>
        <v/>
      </c>
      <c r="AJ1151" s="74">
        <f t="shared" si="399"/>
        <v>0</v>
      </c>
      <c r="AK1151" s="73" t="str">
        <f t="shared" si="400"/>
        <v/>
      </c>
      <c r="AL1151" s="73" t="str">
        <f t="shared" si="401"/>
        <v/>
      </c>
      <c r="AM1151" s="73" t="str">
        <f t="shared" si="402"/>
        <v/>
      </c>
      <c r="AN1151" s="73" t="str">
        <f t="shared" si="403"/>
        <v/>
      </c>
    </row>
    <row r="1152" spans="16:40" x14ac:dyDescent="0.25">
      <c r="P1152" s="73" t="str">
        <f t="shared" si="387"/>
        <v/>
      </c>
      <c r="Q1152" s="73" t="str">
        <f t="shared" si="388"/>
        <v/>
      </c>
      <c r="R1152" s="74" t="str">
        <f t="shared" si="389"/>
        <v/>
      </c>
      <c r="S1152" s="74" t="str">
        <f t="shared" si="390"/>
        <v/>
      </c>
      <c r="U1152" s="74" t="str">
        <f t="shared" si="386"/>
        <v/>
      </c>
      <c r="V1152" s="74" t="str">
        <f t="shared" si="386"/>
        <v/>
      </c>
      <c r="W1152" s="74" t="str">
        <f t="shared" si="386"/>
        <v/>
      </c>
      <c r="X1152" s="74" t="str">
        <f t="shared" si="386"/>
        <v/>
      </c>
      <c r="Y1152" s="74" t="str">
        <f t="shared" si="386"/>
        <v/>
      </c>
      <c r="Z1152" s="74" t="str">
        <f t="shared" si="391"/>
        <v/>
      </c>
      <c r="AA1152" s="74">
        <f t="shared" si="392"/>
        <v>0</v>
      </c>
      <c r="AB1152" s="74">
        <f t="shared" si="393"/>
        <v>0</v>
      </c>
      <c r="AC1152" s="74" t="str">
        <f t="shared" si="394"/>
        <v/>
      </c>
      <c r="AE1152" s="74" t="str">
        <f t="shared" si="395"/>
        <v/>
      </c>
      <c r="AF1152" s="74" t="str">
        <f t="shared" si="396"/>
        <v/>
      </c>
      <c r="AG1152" s="74" t="str">
        <f t="shared" si="397"/>
        <v/>
      </c>
      <c r="AH1152" s="74">
        <f t="shared" si="398"/>
        <v>0</v>
      </c>
      <c r="AI1152" s="74" t="str">
        <f>IF(AH1152&lt;&gt;0,COUNTIF(AH$3:AH1152,1),"")</f>
        <v/>
      </c>
      <c r="AJ1152" s="74">
        <f t="shared" si="399"/>
        <v>0</v>
      </c>
      <c r="AK1152" s="73" t="str">
        <f t="shared" si="400"/>
        <v/>
      </c>
      <c r="AL1152" s="73" t="str">
        <f t="shared" si="401"/>
        <v/>
      </c>
      <c r="AM1152" s="73" t="str">
        <f t="shared" si="402"/>
        <v/>
      </c>
      <c r="AN1152" s="73" t="str">
        <f t="shared" si="403"/>
        <v/>
      </c>
    </row>
    <row r="1153" spans="16:40" x14ac:dyDescent="0.25">
      <c r="P1153" s="73" t="str">
        <f t="shared" si="387"/>
        <v/>
      </c>
      <c r="Q1153" s="73" t="str">
        <f t="shared" si="388"/>
        <v/>
      </c>
      <c r="R1153" s="74" t="str">
        <f t="shared" si="389"/>
        <v/>
      </c>
      <c r="S1153" s="74" t="str">
        <f t="shared" si="390"/>
        <v/>
      </c>
      <c r="U1153" s="74" t="str">
        <f t="shared" si="386"/>
        <v/>
      </c>
      <c r="V1153" s="74" t="str">
        <f t="shared" si="386"/>
        <v/>
      </c>
      <c r="W1153" s="74" t="str">
        <f t="shared" si="386"/>
        <v/>
      </c>
      <c r="X1153" s="74" t="str">
        <f t="shared" si="386"/>
        <v/>
      </c>
      <c r="Y1153" s="74" t="str">
        <f t="shared" si="386"/>
        <v/>
      </c>
      <c r="Z1153" s="74" t="str">
        <f t="shared" si="391"/>
        <v/>
      </c>
      <c r="AA1153" s="74">
        <f t="shared" si="392"/>
        <v>0</v>
      </c>
      <c r="AB1153" s="74">
        <f t="shared" si="393"/>
        <v>0</v>
      </c>
      <c r="AC1153" s="74" t="str">
        <f t="shared" si="394"/>
        <v/>
      </c>
      <c r="AE1153" s="74" t="str">
        <f t="shared" si="395"/>
        <v/>
      </c>
      <c r="AF1153" s="74" t="str">
        <f t="shared" si="396"/>
        <v/>
      </c>
      <c r="AG1153" s="74" t="str">
        <f t="shared" si="397"/>
        <v/>
      </c>
      <c r="AH1153" s="74">
        <f t="shared" si="398"/>
        <v>0</v>
      </c>
      <c r="AI1153" s="74" t="str">
        <f>IF(AH1153&lt;&gt;0,COUNTIF(AH$3:AH1153,1),"")</f>
        <v/>
      </c>
      <c r="AJ1153" s="74">
        <f t="shared" si="399"/>
        <v>0</v>
      </c>
      <c r="AK1153" s="73" t="str">
        <f t="shared" si="400"/>
        <v/>
      </c>
      <c r="AL1153" s="73" t="str">
        <f t="shared" si="401"/>
        <v/>
      </c>
      <c r="AM1153" s="73" t="str">
        <f t="shared" si="402"/>
        <v/>
      </c>
      <c r="AN1153" s="73" t="str">
        <f t="shared" si="403"/>
        <v/>
      </c>
    </row>
    <row r="1154" spans="16:40" x14ac:dyDescent="0.25">
      <c r="P1154" s="73" t="str">
        <f t="shared" si="387"/>
        <v/>
      </c>
      <c r="Q1154" s="73" t="str">
        <f t="shared" si="388"/>
        <v/>
      </c>
      <c r="R1154" s="74" t="str">
        <f t="shared" si="389"/>
        <v/>
      </c>
      <c r="S1154" s="74" t="str">
        <f t="shared" si="390"/>
        <v/>
      </c>
      <c r="U1154" s="74" t="str">
        <f t="shared" si="386"/>
        <v/>
      </c>
      <c r="V1154" s="74" t="str">
        <f t="shared" si="386"/>
        <v/>
      </c>
      <c r="W1154" s="74" t="str">
        <f t="shared" si="386"/>
        <v/>
      </c>
      <c r="X1154" s="74" t="str">
        <f t="shared" si="386"/>
        <v/>
      </c>
      <c r="Y1154" s="74" t="str">
        <f t="shared" si="386"/>
        <v/>
      </c>
      <c r="Z1154" s="74" t="str">
        <f t="shared" si="391"/>
        <v/>
      </c>
      <c r="AA1154" s="74">
        <f t="shared" si="392"/>
        <v>0</v>
      </c>
      <c r="AB1154" s="74">
        <f t="shared" si="393"/>
        <v>0</v>
      </c>
      <c r="AC1154" s="74" t="str">
        <f t="shared" si="394"/>
        <v/>
      </c>
      <c r="AE1154" s="74" t="str">
        <f t="shared" si="395"/>
        <v/>
      </c>
      <c r="AF1154" s="74" t="str">
        <f t="shared" si="396"/>
        <v/>
      </c>
      <c r="AG1154" s="74" t="str">
        <f t="shared" si="397"/>
        <v/>
      </c>
      <c r="AH1154" s="74">
        <f t="shared" si="398"/>
        <v>0</v>
      </c>
      <c r="AI1154" s="74" t="str">
        <f>IF(AH1154&lt;&gt;0,COUNTIF(AH$3:AH1154,1),"")</f>
        <v/>
      </c>
      <c r="AJ1154" s="74">
        <f t="shared" si="399"/>
        <v>0</v>
      </c>
      <c r="AK1154" s="73" t="str">
        <f t="shared" si="400"/>
        <v/>
      </c>
      <c r="AL1154" s="73" t="str">
        <f t="shared" si="401"/>
        <v/>
      </c>
      <c r="AM1154" s="73" t="str">
        <f t="shared" si="402"/>
        <v/>
      </c>
      <c r="AN1154" s="73" t="str">
        <f t="shared" si="403"/>
        <v/>
      </c>
    </row>
    <row r="1155" spans="16:40" x14ac:dyDescent="0.25">
      <c r="P1155" s="73" t="str">
        <f t="shared" si="387"/>
        <v/>
      </c>
      <c r="Q1155" s="73" t="str">
        <f t="shared" si="388"/>
        <v/>
      </c>
      <c r="R1155" s="74" t="str">
        <f t="shared" si="389"/>
        <v/>
      </c>
      <c r="S1155" s="74" t="str">
        <f t="shared" si="390"/>
        <v/>
      </c>
      <c r="U1155" s="74" t="str">
        <f t="shared" si="386"/>
        <v/>
      </c>
      <c r="V1155" s="74" t="str">
        <f t="shared" si="386"/>
        <v/>
      </c>
      <c r="W1155" s="74" t="str">
        <f t="shared" si="386"/>
        <v/>
      </c>
      <c r="X1155" s="74" t="str">
        <f t="shared" si="386"/>
        <v/>
      </c>
      <c r="Y1155" s="74" t="str">
        <f t="shared" si="386"/>
        <v/>
      </c>
      <c r="Z1155" s="74" t="str">
        <f t="shared" si="391"/>
        <v/>
      </c>
      <c r="AA1155" s="74">
        <f t="shared" si="392"/>
        <v>0</v>
      </c>
      <c r="AB1155" s="74">
        <f t="shared" si="393"/>
        <v>0</v>
      </c>
      <c r="AC1155" s="74" t="str">
        <f t="shared" si="394"/>
        <v/>
      </c>
      <c r="AE1155" s="74" t="str">
        <f t="shared" si="395"/>
        <v/>
      </c>
      <c r="AF1155" s="74" t="str">
        <f t="shared" si="396"/>
        <v/>
      </c>
      <c r="AG1155" s="74" t="str">
        <f t="shared" si="397"/>
        <v/>
      </c>
      <c r="AH1155" s="74">
        <f t="shared" si="398"/>
        <v>0</v>
      </c>
      <c r="AI1155" s="74" t="str">
        <f>IF(AH1155&lt;&gt;0,COUNTIF(AH$3:AH1155,1),"")</f>
        <v/>
      </c>
      <c r="AJ1155" s="74">
        <f t="shared" si="399"/>
        <v>0</v>
      </c>
      <c r="AK1155" s="73" t="str">
        <f t="shared" si="400"/>
        <v/>
      </c>
      <c r="AL1155" s="73" t="str">
        <f t="shared" si="401"/>
        <v/>
      </c>
      <c r="AM1155" s="73" t="str">
        <f t="shared" si="402"/>
        <v/>
      </c>
      <c r="AN1155" s="73" t="str">
        <f t="shared" si="403"/>
        <v/>
      </c>
    </row>
    <row r="1156" spans="16:40" x14ac:dyDescent="0.25">
      <c r="P1156" s="73" t="str">
        <f t="shared" si="387"/>
        <v/>
      </c>
      <c r="Q1156" s="73" t="str">
        <f t="shared" si="388"/>
        <v/>
      </c>
      <c r="R1156" s="74" t="str">
        <f t="shared" si="389"/>
        <v/>
      </c>
      <c r="S1156" s="74" t="str">
        <f t="shared" si="390"/>
        <v/>
      </c>
      <c r="U1156" s="74" t="str">
        <f t="shared" si="386"/>
        <v/>
      </c>
      <c r="V1156" s="74" t="str">
        <f t="shared" si="386"/>
        <v/>
      </c>
      <c r="W1156" s="74" t="str">
        <f t="shared" si="386"/>
        <v/>
      </c>
      <c r="X1156" s="74" t="str">
        <f t="shared" si="386"/>
        <v/>
      </c>
      <c r="Y1156" s="74" t="str">
        <f t="shared" si="386"/>
        <v/>
      </c>
      <c r="Z1156" s="74" t="str">
        <f t="shared" si="391"/>
        <v/>
      </c>
      <c r="AA1156" s="74">
        <f t="shared" si="392"/>
        <v>0</v>
      </c>
      <c r="AB1156" s="74">
        <f t="shared" si="393"/>
        <v>0</v>
      </c>
      <c r="AC1156" s="74" t="str">
        <f t="shared" si="394"/>
        <v/>
      </c>
      <c r="AE1156" s="74" t="str">
        <f t="shared" si="395"/>
        <v/>
      </c>
      <c r="AF1156" s="74" t="str">
        <f t="shared" si="396"/>
        <v/>
      </c>
      <c r="AG1156" s="74" t="str">
        <f t="shared" si="397"/>
        <v/>
      </c>
      <c r="AH1156" s="74">
        <f t="shared" si="398"/>
        <v>0</v>
      </c>
      <c r="AI1156" s="74" t="str">
        <f>IF(AH1156&lt;&gt;0,COUNTIF(AH$3:AH1156,1),"")</f>
        <v/>
      </c>
      <c r="AJ1156" s="74">
        <f t="shared" si="399"/>
        <v>0</v>
      </c>
      <c r="AK1156" s="73" t="str">
        <f t="shared" si="400"/>
        <v/>
      </c>
      <c r="AL1156" s="73" t="str">
        <f t="shared" si="401"/>
        <v/>
      </c>
      <c r="AM1156" s="73" t="str">
        <f t="shared" si="402"/>
        <v/>
      </c>
      <c r="AN1156" s="73" t="str">
        <f t="shared" si="403"/>
        <v/>
      </c>
    </row>
    <row r="1157" spans="16:40" x14ac:dyDescent="0.25">
      <c r="P1157" s="73" t="str">
        <f t="shared" si="387"/>
        <v/>
      </c>
      <c r="Q1157" s="73" t="str">
        <f t="shared" si="388"/>
        <v/>
      </c>
      <c r="R1157" s="74" t="str">
        <f t="shared" si="389"/>
        <v/>
      </c>
      <c r="S1157" s="74" t="str">
        <f t="shared" si="390"/>
        <v/>
      </c>
      <c r="U1157" s="74" t="str">
        <f t="shared" si="386"/>
        <v/>
      </c>
      <c r="V1157" s="74" t="str">
        <f t="shared" si="386"/>
        <v/>
      </c>
      <c r="W1157" s="74" t="str">
        <f t="shared" si="386"/>
        <v/>
      </c>
      <c r="X1157" s="74" t="str">
        <f t="shared" si="386"/>
        <v/>
      </c>
      <c r="Y1157" s="74" t="str">
        <f t="shared" si="386"/>
        <v/>
      </c>
      <c r="Z1157" s="74" t="str">
        <f t="shared" si="391"/>
        <v/>
      </c>
      <c r="AA1157" s="74">
        <f t="shared" si="392"/>
        <v>0</v>
      </c>
      <c r="AB1157" s="74">
        <f t="shared" si="393"/>
        <v>0</v>
      </c>
      <c r="AC1157" s="74" t="str">
        <f t="shared" si="394"/>
        <v/>
      </c>
      <c r="AE1157" s="74" t="str">
        <f t="shared" si="395"/>
        <v/>
      </c>
      <c r="AF1157" s="74" t="str">
        <f t="shared" si="396"/>
        <v/>
      </c>
      <c r="AG1157" s="74" t="str">
        <f t="shared" si="397"/>
        <v/>
      </c>
      <c r="AH1157" s="74">
        <f t="shared" si="398"/>
        <v>0</v>
      </c>
      <c r="AI1157" s="74" t="str">
        <f>IF(AH1157&lt;&gt;0,COUNTIF(AH$3:AH1157,1),"")</f>
        <v/>
      </c>
      <c r="AJ1157" s="74">
        <f t="shared" si="399"/>
        <v>0</v>
      </c>
      <c r="AK1157" s="73" t="str">
        <f t="shared" si="400"/>
        <v/>
      </c>
      <c r="AL1157" s="73" t="str">
        <f t="shared" si="401"/>
        <v/>
      </c>
      <c r="AM1157" s="73" t="str">
        <f t="shared" si="402"/>
        <v/>
      </c>
      <c r="AN1157" s="73" t="str">
        <f t="shared" si="403"/>
        <v/>
      </c>
    </row>
    <row r="1158" spans="16:40" x14ac:dyDescent="0.25">
      <c r="P1158" s="73" t="str">
        <f t="shared" si="387"/>
        <v/>
      </c>
      <c r="Q1158" s="73" t="str">
        <f t="shared" si="388"/>
        <v/>
      </c>
      <c r="R1158" s="74" t="str">
        <f t="shared" si="389"/>
        <v/>
      </c>
      <c r="S1158" s="74" t="str">
        <f t="shared" si="390"/>
        <v/>
      </c>
      <c r="U1158" s="74" t="str">
        <f t="shared" si="386"/>
        <v/>
      </c>
      <c r="V1158" s="74" t="str">
        <f t="shared" si="386"/>
        <v/>
      </c>
      <c r="W1158" s="74" t="str">
        <f t="shared" si="386"/>
        <v/>
      </c>
      <c r="X1158" s="74" t="str">
        <f t="shared" si="386"/>
        <v/>
      </c>
      <c r="Y1158" s="74" t="str">
        <f t="shared" si="386"/>
        <v/>
      </c>
      <c r="Z1158" s="74" t="str">
        <f t="shared" si="391"/>
        <v/>
      </c>
      <c r="AA1158" s="74">
        <f t="shared" si="392"/>
        <v>0</v>
      </c>
      <c r="AB1158" s="74">
        <f t="shared" si="393"/>
        <v>0</v>
      </c>
      <c r="AC1158" s="74" t="str">
        <f t="shared" si="394"/>
        <v/>
      </c>
      <c r="AE1158" s="74" t="str">
        <f t="shared" si="395"/>
        <v/>
      </c>
      <c r="AF1158" s="74" t="str">
        <f t="shared" si="396"/>
        <v/>
      </c>
      <c r="AG1158" s="74" t="str">
        <f t="shared" si="397"/>
        <v/>
      </c>
      <c r="AH1158" s="74">
        <f t="shared" si="398"/>
        <v>0</v>
      </c>
      <c r="AI1158" s="74" t="str">
        <f>IF(AH1158&lt;&gt;0,COUNTIF(AH$3:AH1158,1),"")</f>
        <v/>
      </c>
      <c r="AJ1158" s="74">
        <f t="shared" si="399"/>
        <v>0</v>
      </c>
      <c r="AK1158" s="73" t="str">
        <f t="shared" si="400"/>
        <v/>
      </c>
      <c r="AL1158" s="73" t="str">
        <f t="shared" si="401"/>
        <v/>
      </c>
      <c r="AM1158" s="73" t="str">
        <f t="shared" si="402"/>
        <v/>
      </c>
      <c r="AN1158" s="73" t="str">
        <f t="shared" si="403"/>
        <v/>
      </c>
    </row>
    <row r="1159" spans="16:40" x14ac:dyDescent="0.25">
      <c r="P1159" s="73" t="str">
        <f t="shared" si="387"/>
        <v/>
      </c>
      <c r="Q1159" s="73" t="str">
        <f t="shared" si="388"/>
        <v/>
      </c>
      <c r="R1159" s="74" t="str">
        <f t="shared" si="389"/>
        <v/>
      </c>
      <c r="S1159" s="74" t="str">
        <f t="shared" si="390"/>
        <v/>
      </c>
      <c r="U1159" s="74" t="str">
        <f t="shared" ref="U1159:Y1209" si="404">IF($F1159=U$1,$E1159,"")</f>
        <v/>
      </c>
      <c r="V1159" s="74" t="str">
        <f t="shared" si="404"/>
        <v/>
      </c>
      <c r="W1159" s="74" t="str">
        <f t="shared" si="404"/>
        <v/>
      </c>
      <c r="X1159" s="74" t="str">
        <f t="shared" si="404"/>
        <v/>
      </c>
      <c r="Y1159" s="74" t="str">
        <f t="shared" si="404"/>
        <v/>
      </c>
      <c r="Z1159" s="74" t="str">
        <f t="shared" si="391"/>
        <v/>
      </c>
      <c r="AA1159" s="74">
        <f t="shared" si="392"/>
        <v>0</v>
      </c>
      <c r="AB1159" s="74">
        <f t="shared" si="393"/>
        <v>0</v>
      </c>
      <c r="AC1159" s="74" t="str">
        <f t="shared" si="394"/>
        <v/>
      </c>
      <c r="AE1159" s="74" t="str">
        <f t="shared" si="395"/>
        <v/>
      </c>
      <c r="AF1159" s="74" t="str">
        <f t="shared" si="396"/>
        <v/>
      </c>
      <c r="AG1159" s="74" t="str">
        <f t="shared" si="397"/>
        <v/>
      </c>
      <c r="AH1159" s="74">
        <f t="shared" si="398"/>
        <v>0</v>
      </c>
      <c r="AI1159" s="74" t="str">
        <f>IF(AH1159&lt;&gt;0,COUNTIF(AH$3:AH1159,1),"")</f>
        <v/>
      </c>
      <c r="AJ1159" s="74">
        <f t="shared" si="399"/>
        <v>0</v>
      </c>
      <c r="AK1159" s="73" t="str">
        <f t="shared" si="400"/>
        <v/>
      </c>
      <c r="AL1159" s="73" t="str">
        <f t="shared" si="401"/>
        <v/>
      </c>
      <c r="AM1159" s="73" t="str">
        <f t="shared" si="402"/>
        <v/>
      </c>
      <c r="AN1159" s="73" t="str">
        <f t="shared" si="403"/>
        <v/>
      </c>
    </row>
    <row r="1160" spans="16:40" x14ac:dyDescent="0.25">
      <c r="P1160" s="73" t="str">
        <f t="shared" si="387"/>
        <v/>
      </c>
      <c r="Q1160" s="73" t="str">
        <f t="shared" si="388"/>
        <v/>
      </c>
      <c r="R1160" s="74" t="str">
        <f t="shared" si="389"/>
        <v/>
      </c>
      <c r="S1160" s="74" t="str">
        <f t="shared" si="390"/>
        <v/>
      </c>
      <c r="U1160" s="74" t="str">
        <f t="shared" si="404"/>
        <v/>
      </c>
      <c r="V1160" s="74" t="str">
        <f t="shared" si="404"/>
        <v/>
      </c>
      <c r="W1160" s="74" t="str">
        <f t="shared" si="404"/>
        <v/>
      </c>
      <c r="X1160" s="74" t="str">
        <f t="shared" si="404"/>
        <v/>
      </c>
      <c r="Y1160" s="74" t="str">
        <f t="shared" si="404"/>
        <v/>
      </c>
      <c r="Z1160" s="74" t="str">
        <f t="shared" si="391"/>
        <v/>
      </c>
      <c r="AA1160" s="74">
        <f t="shared" si="392"/>
        <v>0</v>
      </c>
      <c r="AB1160" s="74">
        <f t="shared" si="393"/>
        <v>0</v>
      </c>
      <c r="AC1160" s="74" t="str">
        <f t="shared" si="394"/>
        <v/>
      </c>
      <c r="AE1160" s="74" t="str">
        <f t="shared" si="395"/>
        <v/>
      </c>
      <c r="AF1160" s="74" t="str">
        <f t="shared" si="396"/>
        <v/>
      </c>
      <c r="AG1160" s="74" t="str">
        <f t="shared" si="397"/>
        <v/>
      </c>
      <c r="AH1160" s="74">
        <f t="shared" si="398"/>
        <v>0</v>
      </c>
      <c r="AI1160" s="74" t="str">
        <f>IF(AH1160&lt;&gt;0,COUNTIF(AH$3:AH1160,1),"")</f>
        <v/>
      </c>
      <c r="AJ1160" s="74">
        <f t="shared" si="399"/>
        <v>0</v>
      </c>
      <c r="AK1160" s="73" t="str">
        <f t="shared" si="400"/>
        <v/>
      </c>
      <c r="AL1160" s="73" t="str">
        <f t="shared" si="401"/>
        <v/>
      </c>
      <c r="AM1160" s="73" t="str">
        <f t="shared" si="402"/>
        <v/>
      </c>
      <c r="AN1160" s="73" t="str">
        <f t="shared" si="403"/>
        <v/>
      </c>
    </row>
    <row r="1161" spans="16:40" x14ac:dyDescent="0.25">
      <c r="P1161" s="73" t="str">
        <f t="shared" si="387"/>
        <v/>
      </c>
      <c r="Q1161" s="73" t="str">
        <f t="shared" si="388"/>
        <v/>
      </c>
      <c r="R1161" s="74" t="str">
        <f t="shared" si="389"/>
        <v/>
      </c>
      <c r="S1161" s="74" t="str">
        <f t="shared" si="390"/>
        <v/>
      </c>
      <c r="U1161" s="74" t="str">
        <f t="shared" si="404"/>
        <v/>
      </c>
      <c r="V1161" s="74" t="str">
        <f t="shared" si="404"/>
        <v/>
      </c>
      <c r="W1161" s="74" t="str">
        <f t="shared" si="404"/>
        <v/>
      </c>
      <c r="X1161" s="74" t="str">
        <f t="shared" si="404"/>
        <v/>
      </c>
      <c r="Y1161" s="74" t="str">
        <f t="shared" si="404"/>
        <v/>
      </c>
      <c r="Z1161" s="74" t="str">
        <f t="shared" si="391"/>
        <v/>
      </c>
      <c r="AA1161" s="74">
        <f t="shared" si="392"/>
        <v>0</v>
      </c>
      <c r="AB1161" s="74">
        <f t="shared" si="393"/>
        <v>0</v>
      </c>
      <c r="AC1161" s="74" t="str">
        <f t="shared" si="394"/>
        <v/>
      </c>
      <c r="AE1161" s="74" t="str">
        <f t="shared" si="395"/>
        <v/>
      </c>
      <c r="AF1161" s="74" t="str">
        <f t="shared" si="396"/>
        <v/>
      </c>
      <c r="AG1161" s="74" t="str">
        <f t="shared" si="397"/>
        <v/>
      </c>
      <c r="AH1161" s="74">
        <f t="shared" si="398"/>
        <v>0</v>
      </c>
      <c r="AI1161" s="74" t="str">
        <f>IF(AH1161&lt;&gt;0,COUNTIF(AH$3:AH1161,1),"")</f>
        <v/>
      </c>
      <c r="AJ1161" s="74">
        <f t="shared" si="399"/>
        <v>0</v>
      </c>
      <c r="AK1161" s="73" t="str">
        <f t="shared" si="400"/>
        <v/>
      </c>
      <c r="AL1161" s="73" t="str">
        <f t="shared" si="401"/>
        <v/>
      </c>
      <c r="AM1161" s="73" t="str">
        <f t="shared" si="402"/>
        <v/>
      </c>
      <c r="AN1161" s="73" t="str">
        <f t="shared" si="403"/>
        <v/>
      </c>
    </row>
    <row r="1162" spans="16:40" x14ac:dyDescent="0.25">
      <c r="P1162" s="73" t="str">
        <f t="shared" si="387"/>
        <v/>
      </c>
      <c r="Q1162" s="73" t="str">
        <f t="shared" si="388"/>
        <v/>
      </c>
      <c r="R1162" s="74" t="str">
        <f t="shared" si="389"/>
        <v/>
      </c>
      <c r="S1162" s="74" t="str">
        <f t="shared" si="390"/>
        <v/>
      </c>
      <c r="U1162" s="74" t="str">
        <f t="shared" si="404"/>
        <v/>
      </c>
      <c r="V1162" s="74" t="str">
        <f t="shared" si="404"/>
        <v/>
      </c>
      <c r="W1162" s="74" t="str">
        <f t="shared" si="404"/>
        <v/>
      </c>
      <c r="X1162" s="74" t="str">
        <f t="shared" si="404"/>
        <v/>
      </c>
      <c r="Y1162" s="74" t="str">
        <f t="shared" si="404"/>
        <v/>
      </c>
      <c r="Z1162" s="74" t="str">
        <f t="shared" si="391"/>
        <v/>
      </c>
      <c r="AA1162" s="74">
        <f t="shared" si="392"/>
        <v>0</v>
      </c>
      <c r="AB1162" s="74">
        <f t="shared" si="393"/>
        <v>0</v>
      </c>
      <c r="AC1162" s="74" t="str">
        <f t="shared" si="394"/>
        <v/>
      </c>
      <c r="AE1162" s="74" t="str">
        <f t="shared" si="395"/>
        <v/>
      </c>
      <c r="AF1162" s="74" t="str">
        <f t="shared" si="396"/>
        <v/>
      </c>
      <c r="AG1162" s="74" t="str">
        <f t="shared" si="397"/>
        <v/>
      </c>
      <c r="AH1162" s="74">
        <f t="shared" si="398"/>
        <v>0</v>
      </c>
      <c r="AI1162" s="74" t="str">
        <f>IF(AH1162&lt;&gt;0,COUNTIF(AH$3:AH1162,1),"")</f>
        <v/>
      </c>
      <c r="AJ1162" s="74">
        <f t="shared" si="399"/>
        <v>0</v>
      </c>
      <c r="AK1162" s="73" t="str">
        <f t="shared" si="400"/>
        <v/>
      </c>
      <c r="AL1162" s="73" t="str">
        <f t="shared" si="401"/>
        <v/>
      </c>
      <c r="AM1162" s="73" t="str">
        <f t="shared" si="402"/>
        <v/>
      </c>
      <c r="AN1162" s="73" t="str">
        <f t="shared" si="403"/>
        <v/>
      </c>
    </row>
    <row r="1163" spans="16:40" x14ac:dyDescent="0.25">
      <c r="P1163" s="73" t="str">
        <f t="shared" si="387"/>
        <v/>
      </c>
      <c r="Q1163" s="73" t="str">
        <f t="shared" si="388"/>
        <v/>
      </c>
      <c r="R1163" s="74" t="str">
        <f t="shared" si="389"/>
        <v/>
      </c>
      <c r="S1163" s="74" t="str">
        <f t="shared" si="390"/>
        <v/>
      </c>
      <c r="U1163" s="74" t="str">
        <f t="shared" si="404"/>
        <v/>
      </c>
      <c r="V1163" s="74" t="str">
        <f t="shared" si="404"/>
        <v/>
      </c>
      <c r="W1163" s="74" t="str">
        <f t="shared" si="404"/>
        <v/>
      </c>
      <c r="X1163" s="74" t="str">
        <f t="shared" si="404"/>
        <v/>
      </c>
      <c r="Y1163" s="74" t="str">
        <f t="shared" si="404"/>
        <v/>
      </c>
      <c r="Z1163" s="74" t="str">
        <f t="shared" si="391"/>
        <v/>
      </c>
      <c r="AA1163" s="74">
        <f t="shared" si="392"/>
        <v>0</v>
      </c>
      <c r="AB1163" s="74">
        <f t="shared" si="393"/>
        <v>0</v>
      </c>
      <c r="AC1163" s="74" t="str">
        <f t="shared" si="394"/>
        <v/>
      </c>
      <c r="AE1163" s="74" t="str">
        <f t="shared" si="395"/>
        <v/>
      </c>
      <c r="AF1163" s="74" t="str">
        <f t="shared" si="396"/>
        <v/>
      </c>
      <c r="AG1163" s="74" t="str">
        <f t="shared" si="397"/>
        <v/>
      </c>
      <c r="AH1163" s="74">
        <f t="shared" si="398"/>
        <v>0</v>
      </c>
      <c r="AI1163" s="74" t="str">
        <f>IF(AH1163&lt;&gt;0,COUNTIF(AH$3:AH1163,1),"")</f>
        <v/>
      </c>
      <c r="AJ1163" s="74">
        <f t="shared" si="399"/>
        <v>0</v>
      </c>
      <c r="AK1163" s="73" t="str">
        <f t="shared" si="400"/>
        <v/>
      </c>
      <c r="AL1163" s="73" t="str">
        <f t="shared" si="401"/>
        <v/>
      </c>
      <c r="AM1163" s="73" t="str">
        <f t="shared" si="402"/>
        <v/>
      </c>
      <c r="AN1163" s="73" t="str">
        <f t="shared" si="403"/>
        <v/>
      </c>
    </row>
    <row r="1164" spans="16:40" x14ac:dyDescent="0.25">
      <c r="P1164" s="73" t="str">
        <f t="shared" si="387"/>
        <v/>
      </c>
      <c r="Q1164" s="73" t="str">
        <f t="shared" si="388"/>
        <v/>
      </c>
      <c r="R1164" s="74" t="str">
        <f t="shared" si="389"/>
        <v/>
      </c>
      <c r="S1164" s="74" t="str">
        <f t="shared" si="390"/>
        <v/>
      </c>
      <c r="U1164" s="74" t="str">
        <f t="shared" si="404"/>
        <v/>
      </c>
      <c r="V1164" s="74" t="str">
        <f t="shared" si="404"/>
        <v/>
      </c>
      <c r="W1164" s="74" t="str">
        <f t="shared" si="404"/>
        <v/>
      </c>
      <c r="X1164" s="74" t="str">
        <f t="shared" si="404"/>
        <v/>
      </c>
      <c r="Y1164" s="74" t="str">
        <f t="shared" si="404"/>
        <v/>
      </c>
      <c r="Z1164" s="74" t="str">
        <f t="shared" si="391"/>
        <v/>
      </c>
      <c r="AA1164" s="74">
        <f t="shared" si="392"/>
        <v>0</v>
      </c>
      <c r="AB1164" s="74">
        <f t="shared" si="393"/>
        <v>0</v>
      </c>
      <c r="AC1164" s="74" t="str">
        <f t="shared" si="394"/>
        <v/>
      </c>
      <c r="AE1164" s="74" t="str">
        <f t="shared" si="395"/>
        <v/>
      </c>
      <c r="AF1164" s="74" t="str">
        <f t="shared" si="396"/>
        <v/>
      </c>
      <c r="AG1164" s="74" t="str">
        <f t="shared" si="397"/>
        <v/>
      </c>
      <c r="AH1164" s="74">
        <f t="shared" si="398"/>
        <v>0</v>
      </c>
      <c r="AI1164" s="74" t="str">
        <f>IF(AH1164&lt;&gt;0,COUNTIF(AH$3:AH1164,1),"")</f>
        <v/>
      </c>
      <c r="AJ1164" s="74">
        <f t="shared" si="399"/>
        <v>0</v>
      </c>
      <c r="AK1164" s="73" t="str">
        <f t="shared" si="400"/>
        <v/>
      </c>
      <c r="AL1164" s="73" t="str">
        <f t="shared" si="401"/>
        <v/>
      </c>
      <c r="AM1164" s="73" t="str">
        <f t="shared" si="402"/>
        <v/>
      </c>
      <c r="AN1164" s="73" t="str">
        <f t="shared" si="403"/>
        <v/>
      </c>
    </row>
    <row r="1165" spans="16:40" x14ac:dyDescent="0.25">
      <c r="P1165" s="73" t="str">
        <f t="shared" si="387"/>
        <v/>
      </c>
      <c r="Q1165" s="73" t="str">
        <f t="shared" si="388"/>
        <v/>
      </c>
      <c r="R1165" s="74" t="str">
        <f t="shared" si="389"/>
        <v/>
      </c>
      <c r="S1165" s="74" t="str">
        <f t="shared" si="390"/>
        <v/>
      </c>
      <c r="U1165" s="74" t="str">
        <f t="shared" si="404"/>
        <v/>
      </c>
      <c r="V1165" s="74" t="str">
        <f t="shared" si="404"/>
        <v/>
      </c>
      <c r="W1165" s="74" t="str">
        <f t="shared" si="404"/>
        <v/>
      </c>
      <c r="X1165" s="74" t="str">
        <f t="shared" si="404"/>
        <v/>
      </c>
      <c r="Y1165" s="74" t="str">
        <f t="shared" si="404"/>
        <v/>
      </c>
      <c r="Z1165" s="74" t="str">
        <f t="shared" si="391"/>
        <v/>
      </c>
      <c r="AA1165" s="74">
        <f t="shared" si="392"/>
        <v>0</v>
      </c>
      <c r="AB1165" s="74">
        <f t="shared" si="393"/>
        <v>0</v>
      </c>
      <c r="AC1165" s="74" t="str">
        <f t="shared" si="394"/>
        <v/>
      </c>
      <c r="AE1165" s="74" t="str">
        <f t="shared" si="395"/>
        <v/>
      </c>
      <c r="AF1165" s="74" t="str">
        <f t="shared" si="396"/>
        <v/>
      </c>
      <c r="AG1165" s="74" t="str">
        <f t="shared" si="397"/>
        <v/>
      </c>
      <c r="AH1165" s="74">
        <f t="shared" si="398"/>
        <v>0</v>
      </c>
      <c r="AI1165" s="74" t="str">
        <f>IF(AH1165&lt;&gt;0,COUNTIF(AH$3:AH1165,1),"")</f>
        <v/>
      </c>
      <c r="AJ1165" s="74">
        <f t="shared" si="399"/>
        <v>0</v>
      </c>
      <c r="AK1165" s="73" t="str">
        <f t="shared" si="400"/>
        <v/>
      </c>
      <c r="AL1165" s="73" t="str">
        <f t="shared" si="401"/>
        <v/>
      </c>
      <c r="AM1165" s="73" t="str">
        <f t="shared" si="402"/>
        <v/>
      </c>
      <c r="AN1165" s="73" t="str">
        <f t="shared" si="403"/>
        <v/>
      </c>
    </row>
    <row r="1166" spans="16:40" x14ac:dyDescent="0.25">
      <c r="P1166" s="73" t="str">
        <f t="shared" si="387"/>
        <v/>
      </c>
      <c r="Q1166" s="73" t="str">
        <f t="shared" si="388"/>
        <v/>
      </c>
      <c r="R1166" s="74" t="str">
        <f t="shared" si="389"/>
        <v/>
      </c>
      <c r="S1166" s="74" t="str">
        <f t="shared" si="390"/>
        <v/>
      </c>
      <c r="U1166" s="74" t="str">
        <f t="shared" si="404"/>
        <v/>
      </c>
      <c r="V1166" s="74" t="str">
        <f t="shared" si="404"/>
        <v/>
      </c>
      <c r="W1166" s="74" t="str">
        <f t="shared" si="404"/>
        <v/>
      </c>
      <c r="X1166" s="74" t="str">
        <f t="shared" si="404"/>
        <v/>
      </c>
      <c r="Y1166" s="74" t="str">
        <f t="shared" si="404"/>
        <v/>
      </c>
      <c r="Z1166" s="74" t="str">
        <f t="shared" si="391"/>
        <v/>
      </c>
      <c r="AA1166" s="74">
        <f t="shared" si="392"/>
        <v>0</v>
      </c>
      <c r="AB1166" s="74">
        <f t="shared" si="393"/>
        <v>0</v>
      </c>
      <c r="AC1166" s="74" t="str">
        <f t="shared" si="394"/>
        <v/>
      </c>
      <c r="AE1166" s="74" t="str">
        <f t="shared" si="395"/>
        <v/>
      </c>
      <c r="AF1166" s="74" t="str">
        <f t="shared" si="396"/>
        <v/>
      </c>
      <c r="AG1166" s="74" t="str">
        <f t="shared" si="397"/>
        <v/>
      </c>
      <c r="AH1166" s="74">
        <f t="shared" si="398"/>
        <v>0</v>
      </c>
      <c r="AI1166" s="74" t="str">
        <f>IF(AH1166&lt;&gt;0,COUNTIF(AH$3:AH1166,1),"")</f>
        <v/>
      </c>
      <c r="AJ1166" s="74">
        <f t="shared" si="399"/>
        <v>0</v>
      </c>
      <c r="AK1166" s="73" t="str">
        <f t="shared" si="400"/>
        <v/>
      </c>
      <c r="AL1166" s="73" t="str">
        <f t="shared" si="401"/>
        <v/>
      </c>
      <c r="AM1166" s="73" t="str">
        <f t="shared" si="402"/>
        <v/>
      </c>
      <c r="AN1166" s="73" t="str">
        <f t="shared" si="403"/>
        <v/>
      </c>
    </row>
    <row r="1167" spans="16:40" x14ac:dyDescent="0.25">
      <c r="P1167" s="73" t="str">
        <f t="shared" si="387"/>
        <v/>
      </c>
      <c r="Q1167" s="73" t="str">
        <f t="shared" si="388"/>
        <v/>
      </c>
      <c r="R1167" s="74" t="str">
        <f t="shared" si="389"/>
        <v/>
      </c>
      <c r="S1167" s="74" t="str">
        <f t="shared" si="390"/>
        <v/>
      </c>
      <c r="U1167" s="74" t="str">
        <f t="shared" si="404"/>
        <v/>
      </c>
      <c r="V1167" s="74" t="str">
        <f t="shared" si="404"/>
        <v/>
      </c>
      <c r="W1167" s="74" t="str">
        <f t="shared" si="404"/>
        <v/>
      </c>
      <c r="X1167" s="74" t="str">
        <f t="shared" si="404"/>
        <v/>
      </c>
      <c r="Y1167" s="74" t="str">
        <f t="shared" si="404"/>
        <v/>
      </c>
      <c r="Z1167" s="74" t="str">
        <f t="shared" si="391"/>
        <v/>
      </c>
      <c r="AA1167" s="74">
        <f t="shared" si="392"/>
        <v>0</v>
      </c>
      <c r="AB1167" s="74">
        <f t="shared" si="393"/>
        <v>0</v>
      </c>
      <c r="AC1167" s="74" t="str">
        <f t="shared" si="394"/>
        <v/>
      </c>
      <c r="AE1167" s="74" t="str">
        <f t="shared" si="395"/>
        <v/>
      </c>
      <c r="AF1167" s="74" t="str">
        <f t="shared" si="396"/>
        <v/>
      </c>
      <c r="AG1167" s="74" t="str">
        <f t="shared" si="397"/>
        <v/>
      </c>
      <c r="AH1167" s="74">
        <f t="shared" si="398"/>
        <v>0</v>
      </c>
      <c r="AI1167" s="74" t="str">
        <f>IF(AH1167&lt;&gt;0,COUNTIF(AH$3:AH1167,1),"")</f>
        <v/>
      </c>
      <c r="AJ1167" s="74">
        <f t="shared" si="399"/>
        <v>0</v>
      </c>
      <c r="AK1167" s="73" t="str">
        <f t="shared" si="400"/>
        <v/>
      </c>
      <c r="AL1167" s="73" t="str">
        <f t="shared" si="401"/>
        <v/>
      </c>
      <c r="AM1167" s="73" t="str">
        <f t="shared" si="402"/>
        <v/>
      </c>
      <c r="AN1167" s="73" t="str">
        <f t="shared" si="403"/>
        <v/>
      </c>
    </row>
    <row r="1168" spans="16:40" x14ac:dyDescent="0.25">
      <c r="P1168" s="73" t="str">
        <f t="shared" si="387"/>
        <v/>
      </c>
      <c r="Q1168" s="73" t="str">
        <f t="shared" si="388"/>
        <v/>
      </c>
      <c r="R1168" s="74" t="str">
        <f t="shared" si="389"/>
        <v/>
      </c>
      <c r="S1168" s="74" t="str">
        <f t="shared" si="390"/>
        <v/>
      </c>
      <c r="U1168" s="74" t="str">
        <f t="shared" si="404"/>
        <v/>
      </c>
      <c r="V1168" s="74" t="str">
        <f t="shared" si="404"/>
        <v/>
      </c>
      <c r="W1168" s="74" t="str">
        <f t="shared" si="404"/>
        <v/>
      </c>
      <c r="X1168" s="74" t="str">
        <f t="shared" si="404"/>
        <v/>
      </c>
      <c r="Y1168" s="74" t="str">
        <f t="shared" si="404"/>
        <v/>
      </c>
      <c r="Z1168" s="74" t="str">
        <f t="shared" si="391"/>
        <v/>
      </c>
      <c r="AA1168" s="74">
        <f t="shared" si="392"/>
        <v>0</v>
      </c>
      <c r="AB1168" s="74">
        <f t="shared" si="393"/>
        <v>0</v>
      </c>
      <c r="AC1168" s="74" t="str">
        <f t="shared" si="394"/>
        <v/>
      </c>
      <c r="AE1168" s="74" t="str">
        <f t="shared" si="395"/>
        <v/>
      </c>
      <c r="AF1168" s="74" t="str">
        <f t="shared" si="396"/>
        <v/>
      </c>
      <c r="AG1168" s="74" t="str">
        <f t="shared" si="397"/>
        <v/>
      </c>
      <c r="AH1168" s="74">
        <f t="shared" si="398"/>
        <v>0</v>
      </c>
      <c r="AI1168" s="74" t="str">
        <f>IF(AH1168&lt;&gt;0,COUNTIF(AH$3:AH1168,1),"")</f>
        <v/>
      </c>
      <c r="AJ1168" s="74">
        <f t="shared" si="399"/>
        <v>0</v>
      </c>
      <c r="AK1168" s="73" t="str">
        <f t="shared" si="400"/>
        <v/>
      </c>
      <c r="AL1168" s="73" t="str">
        <f t="shared" si="401"/>
        <v/>
      </c>
      <c r="AM1168" s="73" t="str">
        <f t="shared" si="402"/>
        <v/>
      </c>
      <c r="AN1168" s="73" t="str">
        <f t="shared" si="403"/>
        <v/>
      </c>
    </row>
    <row r="1169" spans="16:40" x14ac:dyDescent="0.25">
      <c r="P1169" s="73" t="str">
        <f t="shared" si="387"/>
        <v/>
      </c>
      <c r="Q1169" s="73" t="str">
        <f t="shared" si="388"/>
        <v/>
      </c>
      <c r="R1169" s="74" t="str">
        <f t="shared" si="389"/>
        <v/>
      </c>
      <c r="S1169" s="74" t="str">
        <f t="shared" si="390"/>
        <v/>
      </c>
      <c r="U1169" s="74" t="str">
        <f t="shared" si="404"/>
        <v/>
      </c>
      <c r="V1169" s="74" t="str">
        <f t="shared" si="404"/>
        <v/>
      </c>
      <c r="W1169" s="74" t="str">
        <f t="shared" si="404"/>
        <v/>
      </c>
      <c r="X1169" s="74" t="str">
        <f t="shared" si="404"/>
        <v/>
      </c>
      <c r="Y1169" s="74" t="str">
        <f t="shared" si="404"/>
        <v/>
      </c>
      <c r="Z1169" s="74" t="str">
        <f t="shared" si="391"/>
        <v/>
      </c>
      <c r="AA1169" s="74">
        <f t="shared" si="392"/>
        <v>0</v>
      </c>
      <c r="AB1169" s="74">
        <f t="shared" si="393"/>
        <v>0</v>
      </c>
      <c r="AC1169" s="74" t="str">
        <f t="shared" si="394"/>
        <v/>
      </c>
      <c r="AE1169" s="74" t="str">
        <f t="shared" si="395"/>
        <v/>
      </c>
      <c r="AF1169" s="74" t="str">
        <f t="shared" si="396"/>
        <v/>
      </c>
      <c r="AG1169" s="74" t="str">
        <f t="shared" si="397"/>
        <v/>
      </c>
      <c r="AH1169" s="74">
        <f t="shared" si="398"/>
        <v>0</v>
      </c>
      <c r="AI1169" s="74" t="str">
        <f>IF(AH1169&lt;&gt;0,COUNTIF(AH$3:AH1169,1),"")</f>
        <v/>
      </c>
      <c r="AJ1169" s="74">
        <f t="shared" si="399"/>
        <v>0</v>
      </c>
      <c r="AK1169" s="73" t="str">
        <f t="shared" si="400"/>
        <v/>
      </c>
      <c r="AL1169" s="73" t="str">
        <f t="shared" si="401"/>
        <v/>
      </c>
      <c r="AM1169" s="73" t="str">
        <f t="shared" si="402"/>
        <v/>
      </c>
      <c r="AN1169" s="73" t="str">
        <f t="shared" si="403"/>
        <v/>
      </c>
    </row>
    <row r="1170" spans="16:40" x14ac:dyDescent="0.25">
      <c r="P1170" s="73" t="str">
        <f t="shared" si="387"/>
        <v/>
      </c>
      <c r="Q1170" s="73" t="str">
        <f t="shared" si="388"/>
        <v/>
      </c>
      <c r="R1170" s="74" t="str">
        <f t="shared" si="389"/>
        <v/>
      </c>
      <c r="S1170" s="74" t="str">
        <f t="shared" si="390"/>
        <v/>
      </c>
      <c r="U1170" s="74" t="str">
        <f t="shared" si="404"/>
        <v/>
      </c>
      <c r="V1170" s="74" t="str">
        <f t="shared" si="404"/>
        <v/>
      </c>
      <c r="W1170" s="74" t="str">
        <f t="shared" si="404"/>
        <v/>
      </c>
      <c r="X1170" s="74" t="str">
        <f t="shared" si="404"/>
        <v/>
      </c>
      <c r="Y1170" s="74" t="str">
        <f t="shared" si="404"/>
        <v/>
      </c>
      <c r="Z1170" s="74" t="str">
        <f t="shared" si="391"/>
        <v/>
      </c>
      <c r="AA1170" s="74">
        <f t="shared" si="392"/>
        <v>0</v>
      </c>
      <c r="AB1170" s="74">
        <f t="shared" si="393"/>
        <v>0</v>
      </c>
      <c r="AC1170" s="74" t="str">
        <f t="shared" si="394"/>
        <v/>
      </c>
      <c r="AE1170" s="74" t="str">
        <f t="shared" si="395"/>
        <v/>
      </c>
      <c r="AF1170" s="74" t="str">
        <f t="shared" si="396"/>
        <v/>
      </c>
      <c r="AG1170" s="74" t="str">
        <f t="shared" si="397"/>
        <v/>
      </c>
      <c r="AH1170" s="74">
        <f t="shared" si="398"/>
        <v>0</v>
      </c>
      <c r="AI1170" s="74" t="str">
        <f>IF(AH1170&lt;&gt;0,COUNTIF(AH$3:AH1170,1),"")</f>
        <v/>
      </c>
      <c r="AJ1170" s="74">
        <f t="shared" si="399"/>
        <v>0</v>
      </c>
      <c r="AK1170" s="73" t="str">
        <f t="shared" si="400"/>
        <v/>
      </c>
      <c r="AL1170" s="73" t="str">
        <f t="shared" si="401"/>
        <v/>
      </c>
      <c r="AM1170" s="73" t="str">
        <f t="shared" si="402"/>
        <v/>
      </c>
      <c r="AN1170" s="73" t="str">
        <f t="shared" si="403"/>
        <v/>
      </c>
    </row>
    <row r="1171" spans="16:40" x14ac:dyDescent="0.25">
      <c r="P1171" s="73" t="str">
        <f t="shared" si="387"/>
        <v/>
      </c>
      <c r="Q1171" s="73" t="str">
        <f t="shared" si="388"/>
        <v/>
      </c>
      <c r="R1171" s="74" t="str">
        <f t="shared" si="389"/>
        <v/>
      </c>
      <c r="S1171" s="74" t="str">
        <f t="shared" si="390"/>
        <v/>
      </c>
      <c r="U1171" s="74" t="str">
        <f t="shared" si="404"/>
        <v/>
      </c>
      <c r="V1171" s="74" t="str">
        <f t="shared" si="404"/>
        <v/>
      </c>
      <c r="W1171" s="74" t="str">
        <f t="shared" si="404"/>
        <v/>
      </c>
      <c r="X1171" s="74" t="str">
        <f t="shared" si="404"/>
        <v/>
      </c>
      <c r="Y1171" s="74" t="str">
        <f t="shared" si="404"/>
        <v/>
      </c>
      <c r="Z1171" s="74" t="str">
        <f t="shared" si="391"/>
        <v/>
      </c>
      <c r="AA1171" s="74">
        <f t="shared" si="392"/>
        <v>0</v>
      </c>
      <c r="AB1171" s="74">
        <f t="shared" si="393"/>
        <v>0</v>
      </c>
      <c r="AC1171" s="74" t="str">
        <f t="shared" si="394"/>
        <v/>
      </c>
      <c r="AE1171" s="74" t="str">
        <f t="shared" si="395"/>
        <v/>
      </c>
      <c r="AF1171" s="74" t="str">
        <f t="shared" si="396"/>
        <v/>
      </c>
      <c r="AG1171" s="74" t="str">
        <f t="shared" si="397"/>
        <v/>
      </c>
      <c r="AH1171" s="74">
        <f t="shared" si="398"/>
        <v>0</v>
      </c>
      <c r="AI1171" s="74" t="str">
        <f>IF(AH1171&lt;&gt;0,COUNTIF(AH$3:AH1171,1),"")</f>
        <v/>
      </c>
      <c r="AJ1171" s="74">
        <f t="shared" si="399"/>
        <v>0</v>
      </c>
      <c r="AK1171" s="73" t="str">
        <f t="shared" si="400"/>
        <v/>
      </c>
      <c r="AL1171" s="73" t="str">
        <f t="shared" si="401"/>
        <v/>
      </c>
      <c r="AM1171" s="73" t="str">
        <f t="shared" si="402"/>
        <v/>
      </c>
      <c r="AN1171" s="73" t="str">
        <f t="shared" si="403"/>
        <v/>
      </c>
    </row>
    <row r="1172" spans="16:40" x14ac:dyDescent="0.25">
      <c r="P1172" s="73" t="str">
        <f t="shared" si="387"/>
        <v/>
      </c>
      <c r="Q1172" s="73" t="str">
        <f t="shared" si="388"/>
        <v/>
      </c>
      <c r="R1172" s="74" t="str">
        <f t="shared" si="389"/>
        <v/>
      </c>
      <c r="S1172" s="74" t="str">
        <f t="shared" si="390"/>
        <v/>
      </c>
      <c r="U1172" s="74" t="str">
        <f t="shared" si="404"/>
        <v/>
      </c>
      <c r="V1172" s="74" t="str">
        <f t="shared" si="404"/>
        <v/>
      </c>
      <c r="W1172" s="74" t="str">
        <f t="shared" si="404"/>
        <v/>
      </c>
      <c r="X1172" s="74" t="str">
        <f t="shared" si="404"/>
        <v/>
      </c>
      <c r="Y1172" s="74" t="str">
        <f t="shared" si="404"/>
        <v/>
      </c>
      <c r="Z1172" s="74" t="str">
        <f t="shared" si="391"/>
        <v/>
      </c>
      <c r="AA1172" s="74">
        <f t="shared" si="392"/>
        <v>0</v>
      </c>
      <c r="AB1172" s="74">
        <f t="shared" si="393"/>
        <v>0</v>
      </c>
      <c r="AC1172" s="74" t="str">
        <f t="shared" si="394"/>
        <v/>
      </c>
      <c r="AE1172" s="74" t="str">
        <f t="shared" si="395"/>
        <v/>
      </c>
      <c r="AF1172" s="74" t="str">
        <f t="shared" si="396"/>
        <v/>
      </c>
      <c r="AG1172" s="74" t="str">
        <f t="shared" si="397"/>
        <v/>
      </c>
      <c r="AH1172" s="74">
        <f t="shared" si="398"/>
        <v>0</v>
      </c>
      <c r="AI1172" s="74" t="str">
        <f>IF(AH1172&lt;&gt;0,COUNTIF(AH$3:AH1172,1),"")</f>
        <v/>
      </c>
      <c r="AJ1172" s="74">
        <f t="shared" si="399"/>
        <v>0</v>
      </c>
      <c r="AK1172" s="73" t="str">
        <f t="shared" si="400"/>
        <v/>
      </c>
      <c r="AL1172" s="73" t="str">
        <f t="shared" si="401"/>
        <v/>
      </c>
      <c r="AM1172" s="73" t="str">
        <f t="shared" si="402"/>
        <v/>
      </c>
      <c r="AN1172" s="73" t="str">
        <f t="shared" si="403"/>
        <v/>
      </c>
    </row>
    <row r="1173" spans="16:40" x14ac:dyDescent="0.25">
      <c r="P1173" s="73" t="str">
        <f t="shared" si="387"/>
        <v/>
      </c>
      <c r="Q1173" s="73" t="str">
        <f t="shared" si="388"/>
        <v/>
      </c>
      <c r="R1173" s="74" t="str">
        <f t="shared" si="389"/>
        <v/>
      </c>
      <c r="S1173" s="74" t="str">
        <f t="shared" si="390"/>
        <v/>
      </c>
      <c r="U1173" s="74" t="str">
        <f t="shared" si="404"/>
        <v/>
      </c>
      <c r="V1173" s="74" t="str">
        <f t="shared" si="404"/>
        <v/>
      </c>
      <c r="W1173" s="74" t="str">
        <f t="shared" si="404"/>
        <v/>
      </c>
      <c r="X1173" s="74" t="str">
        <f t="shared" si="404"/>
        <v/>
      </c>
      <c r="Y1173" s="74" t="str">
        <f t="shared" si="404"/>
        <v/>
      </c>
      <c r="Z1173" s="74" t="str">
        <f t="shared" si="391"/>
        <v/>
      </c>
      <c r="AA1173" s="74">
        <f t="shared" si="392"/>
        <v>0</v>
      </c>
      <c r="AB1173" s="74">
        <f t="shared" si="393"/>
        <v>0</v>
      </c>
      <c r="AC1173" s="74" t="str">
        <f t="shared" si="394"/>
        <v/>
      </c>
      <c r="AE1173" s="74" t="str">
        <f t="shared" si="395"/>
        <v/>
      </c>
      <c r="AF1173" s="74" t="str">
        <f t="shared" si="396"/>
        <v/>
      </c>
      <c r="AG1173" s="74" t="str">
        <f t="shared" si="397"/>
        <v/>
      </c>
      <c r="AH1173" s="74">
        <f t="shared" si="398"/>
        <v>0</v>
      </c>
      <c r="AI1173" s="74" t="str">
        <f>IF(AH1173&lt;&gt;0,COUNTIF(AH$3:AH1173,1),"")</f>
        <v/>
      </c>
      <c r="AJ1173" s="74">
        <f t="shared" si="399"/>
        <v>0</v>
      </c>
      <c r="AK1173" s="73" t="str">
        <f t="shared" si="400"/>
        <v/>
      </c>
      <c r="AL1173" s="73" t="str">
        <f t="shared" si="401"/>
        <v/>
      </c>
      <c r="AM1173" s="73" t="str">
        <f t="shared" si="402"/>
        <v/>
      </c>
      <c r="AN1173" s="73" t="str">
        <f t="shared" si="403"/>
        <v/>
      </c>
    </row>
    <row r="1174" spans="16:40" x14ac:dyDescent="0.25">
      <c r="P1174" s="73" t="str">
        <f t="shared" si="387"/>
        <v/>
      </c>
      <c r="Q1174" s="73" t="str">
        <f t="shared" si="388"/>
        <v/>
      </c>
      <c r="R1174" s="74" t="str">
        <f t="shared" si="389"/>
        <v/>
      </c>
      <c r="S1174" s="74" t="str">
        <f t="shared" si="390"/>
        <v/>
      </c>
      <c r="U1174" s="74" t="str">
        <f t="shared" si="404"/>
        <v/>
      </c>
      <c r="V1174" s="74" t="str">
        <f t="shared" si="404"/>
        <v/>
      </c>
      <c r="W1174" s="74" t="str">
        <f t="shared" si="404"/>
        <v/>
      </c>
      <c r="X1174" s="74" t="str">
        <f t="shared" si="404"/>
        <v/>
      </c>
      <c r="Y1174" s="74" t="str">
        <f t="shared" si="404"/>
        <v/>
      </c>
      <c r="Z1174" s="74" t="str">
        <f t="shared" si="391"/>
        <v/>
      </c>
      <c r="AA1174" s="74">
        <f t="shared" si="392"/>
        <v>0</v>
      </c>
      <c r="AB1174" s="74">
        <f t="shared" si="393"/>
        <v>0</v>
      </c>
      <c r="AC1174" s="74" t="str">
        <f t="shared" si="394"/>
        <v/>
      </c>
      <c r="AE1174" s="74" t="str">
        <f t="shared" si="395"/>
        <v/>
      </c>
      <c r="AF1174" s="74" t="str">
        <f t="shared" si="396"/>
        <v/>
      </c>
      <c r="AG1174" s="74" t="str">
        <f t="shared" si="397"/>
        <v/>
      </c>
      <c r="AH1174" s="74">
        <f t="shared" si="398"/>
        <v>0</v>
      </c>
      <c r="AI1174" s="74" t="str">
        <f>IF(AH1174&lt;&gt;0,COUNTIF(AH$3:AH1174,1),"")</f>
        <v/>
      </c>
      <c r="AJ1174" s="74">
        <f t="shared" si="399"/>
        <v>0</v>
      </c>
      <c r="AK1174" s="73" t="str">
        <f t="shared" si="400"/>
        <v/>
      </c>
      <c r="AL1174" s="73" t="str">
        <f t="shared" si="401"/>
        <v/>
      </c>
      <c r="AM1174" s="73" t="str">
        <f t="shared" si="402"/>
        <v/>
      </c>
      <c r="AN1174" s="73" t="str">
        <f t="shared" si="403"/>
        <v/>
      </c>
    </row>
    <row r="1175" spans="16:40" x14ac:dyDescent="0.25">
      <c r="P1175" s="73" t="str">
        <f t="shared" si="387"/>
        <v/>
      </c>
      <c r="Q1175" s="73" t="str">
        <f t="shared" si="388"/>
        <v/>
      </c>
      <c r="R1175" s="74" t="str">
        <f t="shared" si="389"/>
        <v/>
      </c>
      <c r="S1175" s="74" t="str">
        <f t="shared" si="390"/>
        <v/>
      </c>
      <c r="U1175" s="74" t="str">
        <f t="shared" si="404"/>
        <v/>
      </c>
      <c r="V1175" s="74" t="str">
        <f t="shared" si="404"/>
        <v/>
      </c>
      <c r="W1175" s="74" t="str">
        <f t="shared" si="404"/>
        <v/>
      </c>
      <c r="X1175" s="74" t="str">
        <f t="shared" si="404"/>
        <v/>
      </c>
      <c r="Y1175" s="74" t="str">
        <f t="shared" si="404"/>
        <v/>
      </c>
      <c r="Z1175" s="74" t="str">
        <f t="shared" si="391"/>
        <v/>
      </c>
      <c r="AA1175" s="74">
        <f t="shared" si="392"/>
        <v>0</v>
      </c>
      <c r="AB1175" s="74">
        <f t="shared" si="393"/>
        <v>0</v>
      </c>
      <c r="AC1175" s="74" t="str">
        <f t="shared" si="394"/>
        <v/>
      </c>
      <c r="AE1175" s="74" t="str">
        <f t="shared" si="395"/>
        <v/>
      </c>
      <c r="AF1175" s="74" t="str">
        <f t="shared" si="396"/>
        <v/>
      </c>
      <c r="AG1175" s="74" t="str">
        <f t="shared" si="397"/>
        <v/>
      </c>
      <c r="AH1175" s="74">
        <f t="shared" si="398"/>
        <v>0</v>
      </c>
      <c r="AI1175" s="74" t="str">
        <f>IF(AH1175&lt;&gt;0,COUNTIF(AH$3:AH1175,1),"")</f>
        <v/>
      </c>
      <c r="AJ1175" s="74">
        <f t="shared" si="399"/>
        <v>0</v>
      </c>
      <c r="AK1175" s="73" t="str">
        <f t="shared" si="400"/>
        <v/>
      </c>
      <c r="AL1175" s="73" t="str">
        <f t="shared" si="401"/>
        <v/>
      </c>
      <c r="AM1175" s="73" t="str">
        <f t="shared" si="402"/>
        <v/>
      </c>
      <c r="AN1175" s="73" t="str">
        <f t="shared" si="403"/>
        <v/>
      </c>
    </row>
    <row r="1176" spans="16:40" x14ac:dyDescent="0.25">
      <c r="P1176" s="73" t="str">
        <f t="shared" si="387"/>
        <v/>
      </c>
      <c r="Q1176" s="73" t="str">
        <f t="shared" si="388"/>
        <v/>
      </c>
      <c r="R1176" s="74" t="str">
        <f t="shared" si="389"/>
        <v/>
      </c>
      <c r="S1176" s="74" t="str">
        <f t="shared" si="390"/>
        <v/>
      </c>
      <c r="U1176" s="74" t="str">
        <f t="shared" si="404"/>
        <v/>
      </c>
      <c r="V1176" s="74" t="str">
        <f t="shared" si="404"/>
        <v/>
      </c>
      <c r="W1176" s="74" t="str">
        <f t="shared" si="404"/>
        <v/>
      </c>
      <c r="X1176" s="74" t="str">
        <f t="shared" si="404"/>
        <v/>
      </c>
      <c r="Y1176" s="74" t="str">
        <f t="shared" si="404"/>
        <v/>
      </c>
      <c r="Z1176" s="74" t="str">
        <f t="shared" si="391"/>
        <v/>
      </c>
      <c r="AA1176" s="74">
        <f t="shared" si="392"/>
        <v>0</v>
      </c>
      <c r="AB1176" s="74">
        <f t="shared" si="393"/>
        <v>0</v>
      </c>
      <c r="AC1176" s="74" t="str">
        <f t="shared" si="394"/>
        <v/>
      </c>
      <c r="AE1176" s="74" t="str">
        <f t="shared" si="395"/>
        <v/>
      </c>
      <c r="AF1176" s="74" t="str">
        <f t="shared" si="396"/>
        <v/>
      </c>
      <c r="AG1176" s="74" t="str">
        <f t="shared" si="397"/>
        <v/>
      </c>
      <c r="AH1176" s="74">
        <f t="shared" si="398"/>
        <v>0</v>
      </c>
      <c r="AI1176" s="74" t="str">
        <f>IF(AH1176&lt;&gt;0,COUNTIF(AH$3:AH1176,1),"")</f>
        <v/>
      </c>
      <c r="AJ1176" s="74">
        <f t="shared" si="399"/>
        <v>0</v>
      </c>
      <c r="AK1176" s="73" t="str">
        <f t="shared" si="400"/>
        <v/>
      </c>
      <c r="AL1176" s="73" t="str">
        <f t="shared" si="401"/>
        <v/>
      </c>
      <c r="AM1176" s="73" t="str">
        <f t="shared" si="402"/>
        <v/>
      </c>
      <c r="AN1176" s="73" t="str">
        <f t="shared" si="403"/>
        <v/>
      </c>
    </row>
    <row r="1177" spans="16:40" x14ac:dyDescent="0.25">
      <c r="P1177" s="73" t="str">
        <f t="shared" si="387"/>
        <v/>
      </c>
      <c r="Q1177" s="73" t="str">
        <f t="shared" si="388"/>
        <v/>
      </c>
      <c r="R1177" s="74" t="str">
        <f t="shared" si="389"/>
        <v/>
      </c>
      <c r="S1177" s="74" t="str">
        <f t="shared" si="390"/>
        <v/>
      </c>
      <c r="U1177" s="74" t="str">
        <f t="shared" si="404"/>
        <v/>
      </c>
      <c r="V1177" s="74" t="str">
        <f t="shared" si="404"/>
        <v/>
      </c>
      <c r="W1177" s="74" t="str">
        <f t="shared" si="404"/>
        <v/>
      </c>
      <c r="X1177" s="74" t="str">
        <f t="shared" si="404"/>
        <v/>
      </c>
      <c r="Y1177" s="74" t="str">
        <f t="shared" si="404"/>
        <v/>
      </c>
      <c r="Z1177" s="74" t="str">
        <f t="shared" si="391"/>
        <v/>
      </c>
      <c r="AA1177" s="74">
        <f t="shared" si="392"/>
        <v>0</v>
      </c>
      <c r="AB1177" s="74">
        <f t="shared" si="393"/>
        <v>0</v>
      </c>
      <c r="AC1177" s="74" t="str">
        <f t="shared" si="394"/>
        <v/>
      </c>
      <c r="AE1177" s="74" t="str">
        <f t="shared" si="395"/>
        <v/>
      </c>
      <c r="AF1177" s="74" t="str">
        <f t="shared" si="396"/>
        <v/>
      </c>
      <c r="AG1177" s="74" t="str">
        <f t="shared" si="397"/>
        <v/>
      </c>
      <c r="AH1177" s="74">
        <f t="shared" si="398"/>
        <v>0</v>
      </c>
      <c r="AI1177" s="74" t="str">
        <f>IF(AH1177&lt;&gt;0,COUNTIF(AH$3:AH1177,1),"")</f>
        <v/>
      </c>
      <c r="AJ1177" s="74">
        <f t="shared" si="399"/>
        <v>0</v>
      </c>
      <c r="AK1177" s="73" t="str">
        <f t="shared" si="400"/>
        <v/>
      </c>
      <c r="AL1177" s="73" t="str">
        <f t="shared" si="401"/>
        <v/>
      </c>
      <c r="AM1177" s="73" t="str">
        <f t="shared" si="402"/>
        <v/>
      </c>
      <c r="AN1177" s="73" t="str">
        <f t="shared" si="403"/>
        <v/>
      </c>
    </row>
    <row r="1178" spans="16:40" x14ac:dyDescent="0.25">
      <c r="P1178" s="73" t="str">
        <f t="shared" si="387"/>
        <v/>
      </c>
      <c r="Q1178" s="73" t="str">
        <f t="shared" si="388"/>
        <v/>
      </c>
      <c r="R1178" s="74" t="str">
        <f t="shared" si="389"/>
        <v/>
      </c>
      <c r="S1178" s="74" t="str">
        <f t="shared" si="390"/>
        <v/>
      </c>
      <c r="U1178" s="74" t="str">
        <f t="shared" si="404"/>
        <v/>
      </c>
      <c r="V1178" s="74" t="str">
        <f t="shared" si="404"/>
        <v/>
      </c>
      <c r="W1178" s="74" t="str">
        <f t="shared" si="404"/>
        <v/>
      </c>
      <c r="X1178" s="74" t="str">
        <f t="shared" si="404"/>
        <v/>
      </c>
      <c r="Y1178" s="74" t="str">
        <f t="shared" si="404"/>
        <v/>
      </c>
      <c r="Z1178" s="74" t="str">
        <f t="shared" si="391"/>
        <v/>
      </c>
      <c r="AA1178" s="74">
        <f t="shared" si="392"/>
        <v>0</v>
      </c>
      <c r="AB1178" s="74">
        <f t="shared" si="393"/>
        <v>0</v>
      </c>
      <c r="AC1178" s="74" t="str">
        <f t="shared" si="394"/>
        <v/>
      </c>
      <c r="AE1178" s="74" t="str">
        <f t="shared" si="395"/>
        <v/>
      </c>
      <c r="AF1178" s="74" t="str">
        <f t="shared" si="396"/>
        <v/>
      </c>
      <c r="AG1178" s="74" t="str">
        <f t="shared" si="397"/>
        <v/>
      </c>
      <c r="AH1178" s="74">
        <f t="shared" si="398"/>
        <v>0</v>
      </c>
      <c r="AI1178" s="74" t="str">
        <f>IF(AH1178&lt;&gt;0,COUNTIF(AH$3:AH1178,1),"")</f>
        <v/>
      </c>
      <c r="AJ1178" s="74">
        <f t="shared" si="399"/>
        <v>0</v>
      </c>
      <c r="AK1178" s="73" t="str">
        <f t="shared" si="400"/>
        <v/>
      </c>
      <c r="AL1178" s="73" t="str">
        <f t="shared" si="401"/>
        <v/>
      </c>
      <c r="AM1178" s="73" t="str">
        <f t="shared" si="402"/>
        <v/>
      </c>
      <c r="AN1178" s="73" t="str">
        <f t="shared" si="403"/>
        <v/>
      </c>
    </row>
    <row r="1179" spans="16:40" x14ac:dyDescent="0.25">
      <c r="P1179" s="73" t="str">
        <f t="shared" si="387"/>
        <v/>
      </c>
      <c r="Q1179" s="73" t="str">
        <f t="shared" si="388"/>
        <v/>
      </c>
      <c r="R1179" s="74" t="str">
        <f t="shared" si="389"/>
        <v/>
      </c>
      <c r="S1179" s="74" t="str">
        <f t="shared" si="390"/>
        <v/>
      </c>
      <c r="U1179" s="74" t="str">
        <f t="shared" si="404"/>
        <v/>
      </c>
      <c r="V1179" s="74" t="str">
        <f t="shared" si="404"/>
        <v/>
      </c>
      <c r="W1179" s="74" t="str">
        <f t="shared" si="404"/>
        <v/>
      </c>
      <c r="X1179" s="74" t="str">
        <f t="shared" si="404"/>
        <v/>
      </c>
      <c r="Y1179" s="74" t="str">
        <f t="shared" si="404"/>
        <v/>
      </c>
      <c r="Z1179" s="74" t="str">
        <f t="shared" si="391"/>
        <v/>
      </c>
      <c r="AA1179" s="74">
        <f t="shared" si="392"/>
        <v>0</v>
      </c>
      <c r="AB1179" s="74">
        <f t="shared" si="393"/>
        <v>0</v>
      </c>
      <c r="AC1179" s="74" t="str">
        <f t="shared" si="394"/>
        <v/>
      </c>
      <c r="AE1179" s="74" t="str">
        <f t="shared" si="395"/>
        <v/>
      </c>
      <c r="AF1179" s="74" t="str">
        <f t="shared" si="396"/>
        <v/>
      </c>
      <c r="AG1179" s="74" t="str">
        <f t="shared" si="397"/>
        <v/>
      </c>
      <c r="AH1179" s="74">
        <f t="shared" si="398"/>
        <v>0</v>
      </c>
      <c r="AI1179" s="74" t="str">
        <f>IF(AH1179&lt;&gt;0,COUNTIF(AH$3:AH1179,1),"")</f>
        <v/>
      </c>
      <c r="AJ1179" s="74">
        <f t="shared" si="399"/>
        <v>0</v>
      </c>
      <c r="AK1179" s="73" t="str">
        <f t="shared" si="400"/>
        <v/>
      </c>
      <c r="AL1179" s="73" t="str">
        <f t="shared" si="401"/>
        <v/>
      </c>
      <c r="AM1179" s="73" t="str">
        <f t="shared" si="402"/>
        <v/>
      </c>
      <c r="AN1179" s="73" t="str">
        <f t="shared" si="403"/>
        <v/>
      </c>
    </row>
    <row r="1180" spans="16:40" x14ac:dyDescent="0.25">
      <c r="P1180" s="73" t="str">
        <f t="shared" si="387"/>
        <v/>
      </c>
      <c r="Q1180" s="73" t="str">
        <f t="shared" si="388"/>
        <v/>
      </c>
      <c r="R1180" s="74" t="str">
        <f t="shared" si="389"/>
        <v/>
      </c>
      <c r="S1180" s="74" t="str">
        <f t="shared" si="390"/>
        <v/>
      </c>
      <c r="U1180" s="74" t="str">
        <f t="shared" si="404"/>
        <v/>
      </c>
      <c r="V1180" s="74" t="str">
        <f t="shared" si="404"/>
        <v/>
      </c>
      <c r="W1180" s="74" t="str">
        <f t="shared" si="404"/>
        <v/>
      </c>
      <c r="X1180" s="74" t="str">
        <f t="shared" si="404"/>
        <v/>
      </c>
      <c r="Y1180" s="74" t="str">
        <f t="shared" si="404"/>
        <v/>
      </c>
      <c r="Z1180" s="74" t="str">
        <f t="shared" si="391"/>
        <v/>
      </c>
      <c r="AA1180" s="74">
        <f t="shared" si="392"/>
        <v>0</v>
      </c>
      <c r="AB1180" s="74">
        <f t="shared" si="393"/>
        <v>0</v>
      </c>
      <c r="AC1180" s="74" t="str">
        <f t="shared" si="394"/>
        <v/>
      </c>
      <c r="AE1180" s="74" t="str">
        <f t="shared" si="395"/>
        <v/>
      </c>
      <c r="AF1180" s="74" t="str">
        <f t="shared" si="396"/>
        <v/>
      </c>
      <c r="AG1180" s="74" t="str">
        <f t="shared" si="397"/>
        <v/>
      </c>
      <c r="AH1180" s="74">
        <f t="shared" si="398"/>
        <v>0</v>
      </c>
      <c r="AI1180" s="74" t="str">
        <f>IF(AH1180&lt;&gt;0,COUNTIF(AH$3:AH1180,1),"")</f>
        <v/>
      </c>
      <c r="AJ1180" s="74">
        <f t="shared" si="399"/>
        <v>0</v>
      </c>
      <c r="AK1180" s="73" t="str">
        <f t="shared" si="400"/>
        <v/>
      </c>
      <c r="AL1180" s="73" t="str">
        <f t="shared" si="401"/>
        <v/>
      </c>
      <c r="AM1180" s="73" t="str">
        <f t="shared" si="402"/>
        <v/>
      </c>
      <c r="AN1180" s="73" t="str">
        <f t="shared" si="403"/>
        <v/>
      </c>
    </row>
    <row r="1181" spans="16:40" x14ac:dyDescent="0.25">
      <c r="P1181" s="73" t="str">
        <f t="shared" si="387"/>
        <v/>
      </c>
      <c r="Q1181" s="73" t="str">
        <f t="shared" si="388"/>
        <v/>
      </c>
      <c r="R1181" s="74" t="str">
        <f t="shared" si="389"/>
        <v/>
      </c>
      <c r="S1181" s="74" t="str">
        <f t="shared" si="390"/>
        <v/>
      </c>
      <c r="U1181" s="74" t="str">
        <f t="shared" si="404"/>
        <v/>
      </c>
      <c r="V1181" s="74" t="str">
        <f t="shared" si="404"/>
        <v/>
      </c>
      <c r="W1181" s="74" t="str">
        <f t="shared" si="404"/>
        <v/>
      </c>
      <c r="X1181" s="74" t="str">
        <f t="shared" si="404"/>
        <v/>
      </c>
      <c r="Y1181" s="74" t="str">
        <f t="shared" si="404"/>
        <v/>
      </c>
      <c r="Z1181" s="74" t="str">
        <f t="shared" si="391"/>
        <v/>
      </c>
      <c r="AA1181" s="74">
        <f t="shared" si="392"/>
        <v>0</v>
      </c>
      <c r="AB1181" s="74">
        <f t="shared" si="393"/>
        <v>0</v>
      </c>
      <c r="AC1181" s="74" t="str">
        <f t="shared" si="394"/>
        <v/>
      </c>
      <c r="AE1181" s="74" t="str">
        <f t="shared" si="395"/>
        <v/>
      </c>
      <c r="AF1181" s="74" t="str">
        <f t="shared" si="396"/>
        <v/>
      </c>
      <c r="AG1181" s="74" t="str">
        <f t="shared" si="397"/>
        <v/>
      </c>
      <c r="AH1181" s="74">
        <f t="shared" si="398"/>
        <v>0</v>
      </c>
      <c r="AI1181" s="74" t="str">
        <f>IF(AH1181&lt;&gt;0,COUNTIF(AH$3:AH1181,1),"")</f>
        <v/>
      </c>
      <c r="AJ1181" s="74">
        <f t="shared" si="399"/>
        <v>0</v>
      </c>
      <c r="AK1181" s="73" t="str">
        <f t="shared" si="400"/>
        <v/>
      </c>
      <c r="AL1181" s="73" t="str">
        <f t="shared" si="401"/>
        <v/>
      </c>
      <c r="AM1181" s="73" t="str">
        <f t="shared" si="402"/>
        <v/>
      </c>
      <c r="AN1181" s="73" t="str">
        <f t="shared" si="403"/>
        <v/>
      </c>
    </row>
    <row r="1182" spans="16:40" x14ac:dyDescent="0.25">
      <c r="P1182" s="73" t="str">
        <f t="shared" si="387"/>
        <v/>
      </c>
      <c r="Q1182" s="73" t="str">
        <f t="shared" si="388"/>
        <v/>
      </c>
      <c r="R1182" s="74" t="str">
        <f t="shared" si="389"/>
        <v/>
      </c>
      <c r="S1182" s="74" t="str">
        <f t="shared" si="390"/>
        <v/>
      </c>
      <c r="U1182" s="74" t="str">
        <f t="shared" si="404"/>
        <v/>
      </c>
      <c r="V1182" s="74" t="str">
        <f t="shared" si="404"/>
        <v/>
      </c>
      <c r="W1182" s="74" t="str">
        <f t="shared" si="404"/>
        <v/>
      </c>
      <c r="X1182" s="74" t="str">
        <f t="shared" si="404"/>
        <v/>
      </c>
      <c r="Y1182" s="74" t="str">
        <f t="shared" si="404"/>
        <v/>
      </c>
      <c r="Z1182" s="74" t="str">
        <f t="shared" si="391"/>
        <v/>
      </c>
      <c r="AA1182" s="74">
        <f t="shared" si="392"/>
        <v>0</v>
      </c>
      <c r="AB1182" s="74">
        <f t="shared" si="393"/>
        <v>0</v>
      </c>
      <c r="AC1182" s="74" t="str">
        <f t="shared" si="394"/>
        <v/>
      </c>
      <c r="AE1182" s="74" t="str">
        <f t="shared" si="395"/>
        <v/>
      </c>
      <c r="AF1182" s="74" t="str">
        <f t="shared" si="396"/>
        <v/>
      </c>
      <c r="AG1182" s="74" t="str">
        <f t="shared" si="397"/>
        <v/>
      </c>
      <c r="AH1182" s="74">
        <f t="shared" si="398"/>
        <v>0</v>
      </c>
      <c r="AI1182" s="74" t="str">
        <f>IF(AH1182&lt;&gt;0,COUNTIF(AH$3:AH1182,1),"")</f>
        <v/>
      </c>
      <c r="AJ1182" s="74">
        <f t="shared" si="399"/>
        <v>0</v>
      </c>
      <c r="AK1182" s="73" t="str">
        <f t="shared" si="400"/>
        <v/>
      </c>
      <c r="AL1182" s="73" t="str">
        <f t="shared" si="401"/>
        <v/>
      </c>
      <c r="AM1182" s="73" t="str">
        <f t="shared" si="402"/>
        <v/>
      </c>
      <c r="AN1182" s="73" t="str">
        <f t="shared" si="403"/>
        <v/>
      </c>
    </row>
    <row r="1183" spans="16:40" x14ac:dyDescent="0.25">
      <c r="P1183" s="73" t="str">
        <f t="shared" si="387"/>
        <v/>
      </c>
      <c r="Q1183" s="73" t="str">
        <f t="shared" si="388"/>
        <v/>
      </c>
      <c r="R1183" s="74" t="str">
        <f t="shared" si="389"/>
        <v/>
      </c>
      <c r="S1183" s="74" t="str">
        <f t="shared" si="390"/>
        <v/>
      </c>
      <c r="U1183" s="74" t="str">
        <f t="shared" si="404"/>
        <v/>
      </c>
      <c r="V1183" s="74" t="str">
        <f t="shared" si="404"/>
        <v/>
      </c>
      <c r="W1183" s="74" t="str">
        <f t="shared" si="404"/>
        <v/>
      </c>
      <c r="X1183" s="74" t="str">
        <f t="shared" si="404"/>
        <v/>
      </c>
      <c r="Y1183" s="74" t="str">
        <f t="shared" si="404"/>
        <v/>
      </c>
      <c r="Z1183" s="74" t="str">
        <f t="shared" si="391"/>
        <v/>
      </c>
      <c r="AA1183" s="74">
        <f t="shared" si="392"/>
        <v>0</v>
      </c>
      <c r="AB1183" s="74">
        <f t="shared" si="393"/>
        <v>0</v>
      </c>
      <c r="AC1183" s="74" t="str">
        <f t="shared" si="394"/>
        <v/>
      </c>
      <c r="AE1183" s="74" t="str">
        <f t="shared" si="395"/>
        <v/>
      </c>
      <c r="AF1183" s="74" t="str">
        <f t="shared" si="396"/>
        <v/>
      </c>
      <c r="AG1183" s="74" t="str">
        <f t="shared" si="397"/>
        <v/>
      </c>
      <c r="AH1183" s="74">
        <f t="shared" si="398"/>
        <v>0</v>
      </c>
      <c r="AI1183" s="74" t="str">
        <f>IF(AH1183&lt;&gt;0,COUNTIF(AH$3:AH1183,1),"")</f>
        <v/>
      </c>
      <c r="AJ1183" s="74">
        <f t="shared" si="399"/>
        <v>0</v>
      </c>
      <c r="AK1183" s="73" t="str">
        <f t="shared" si="400"/>
        <v/>
      </c>
      <c r="AL1183" s="73" t="str">
        <f t="shared" si="401"/>
        <v/>
      </c>
      <c r="AM1183" s="73" t="str">
        <f t="shared" si="402"/>
        <v/>
      </c>
      <c r="AN1183" s="73" t="str">
        <f t="shared" si="403"/>
        <v/>
      </c>
    </row>
    <row r="1184" spans="16:40" x14ac:dyDescent="0.25">
      <c r="P1184" s="73" t="str">
        <f t="shared" si="387"/>
        <v/>
      </c>
      <c r="Q1184" s="73" t="str">
        <f t="shared" si="388"/>
        <v/>
      </c>
      <c r="R1184" s="74" t="str">
        <f t="shared" si="389"/>
        <v/>
      </c>
      <c r="S1184" s="74" t="str">
        <f t="shared" si="390"/>
        <v/>
      </c>
      <c r="U1184" s="74" t="str">
        <f t="shared" si="404"/>
        <v/>
      </c>
      <c r="V1184" s="74" t="str">
        <f t="shared" si="404"/>
        <v/>
      </c>
      <c r="W1184" s="74" t="str">
        <f t="shared" si="404"/>
        <v/>
      </c>
      <c r="X1184" s="74" t="str">
        <f t="shared" si="404"/>
        <v/>
      </c>
      <c r="Y1184" s="74" t="str">
        <f t="shared" si="404"/>
        <v/>
      </c>
      <c r="Z1184" s="74" t="str">
        <f t="shared" si="391"/>
        <v/>
      </c>
      <c r="AA1184" s="74">
        <f t="shared" si="392"/>
        <v>0</v>
      </c>
      <c r="AB1184" s="74">
        <f t="shared" si="393"/>
        <v>0</v>
      </c>
      <c r="AC1184" s="74" t="str">
        <f t="shared" si="394"/>
        <v/>
      </c>
      <c r="AE1184" s="74" t="str">
        <f t="shared" si="395"/>
        <v/>
      </c>
      <c r="AF1184" s="74" t="str">
        <f t="shared" si="396"/>
        <v/>
      </c>
      <c r="AG1184" s="74" t="str">
        <f t="shared" si="397"/>
        <v/>
      </c>
      <c r="AH1184" s="74">
        <f t="shared" si="398"/>
        <v>0</v>
      </c>
      <c r="AI1184" s="74" t="str">
        <f>IF(AH1184&lt;&gt;0,COUNTIF(AH$3:AH1184,1),"")</f>
        <v/>
      </c>
      <c r="AJ1184" s="74">
        <f t="shared" si="399"/>
        <v>0</v>
      </c>
      <c r="AK1184" s="73" t="str">
        <f t="shared" si="400"/>
        <v/>
      </c>
      <c r="AL1184" s="73" t="str">
        <f t="shared" si="401"/>
        <v/>
      </c>
      <c r="AM1184" s="73" t="str">
        <f t="shared" si="402"/>
        <v/>
      </c>
      <c r="AN1184" s="73" t="str">
        <f t="shared" si="403"/>
        <v/>
      </c>
    </row>
    <row r="1185" spans="16:40" x14ac:dyDescent="0.25">
      <c r="P1185" s="73" t="str">
        <f t="shared" si="387"/>
        <v/>
      </c>
      <c r="Q1185" s="73" t="str">
        <f t="shared" si="388"/>
        <v/>
      </c>
      <c r="R1185" s="74" t="str">
        <f t="shared" si="389"/>
        <v/>
      </c>
      <c r="S1185" s="74" t="str">
        <f t="shared" si="390"/>
        <v/>
      </c>
      <c r="U1185" s="74" t="str">
        <f t="shared" si="404"/>
        <v/>
      </c>
      <c r="V1185" s="74" t="str">
        <f t="shared" si="404"/>
        <v/>
      </c>
      <c r="W1185" s="74" t="str">
        <f t="shared" si="404"/>
        <v/>
      </c>
      <c r="X1185" s="74" t="str">
        <f t="shared" si="404"/>
        <v/>
      </c>
      <c r="Y1185" s="74" t="str">
        <f t="shared" si="404"/>
        <v/>
      </c>
      <c r="Z1185" s="74" t="str">
        <f t="shared" si="391"/>
        <v/>
      </c>
      <c r="AA1185" s="74">
        <f t="shared" si="392"/>
        <v>0</v>
      </c>
      <c r="AB1185" s="74">
        <f t="shared" si="393"/>
        <v>0</v>
      </c>
      <c r="AC1185" s="74" t="str">
        <f t="shared" si="394"/>
        <v/>
      </c>
      <c r="AE1185" s="74" t="str">
        <f t="shared" si="395"/>
        <v/>
      </c>
      <c r="AF1185" s="74" t="str">
        <f t="shared" si="396"/>
        <v/>
      </c>
      <c r="AG1185" s="74" t="str">
        <f t="shared" si="397"/>
        <v/>
      </c>
      <c r="AH1185" s="74">
        <f t="shared" si="398"/>
        <v>0</v>
      </c>
      <c r="AI1185" s="74" t="str">
        <f>IF(AH1185&lt;&gt;0,COUNTIF(AH$3:AH1185,1),"")</f>
        <v/>
      </c>
      <c r="AJ1185" s="74">
        <f t="shared" si="399"/>
        <v>0</v>
      </c>
      <c r="AK1185" s="73" t="str">
        <f t="shared" si="400"/>
        <v/>
      </c>
      <c r="AL1185" s="73" t="str">
        <f t="shared" si="401"/>
        <v/>
      </c>
      <c r="AM1185" s="73" t="str">
        <f t="shared" si="402"/>
        <v/>
      </c>
      <c r="AN1185" s="73" t="str">
        <f t="shared" si="403"/>
        <v/>
      </c>
    </row>
    <row r="1186" spans="16:40" x14ac:dyDescent="0.25">
      <c r="P1186" s="73" t="str">
        <f t="shared" si="387"/>
        <v/>
      </c>
      <c r="Q1186" s="73" t="str">
        <f t="shared" si="388"/>
        <v/>
      </c>
      <c r="R1186" s="74" t="str">
        <f t="shared" si="389"/>
        <v/>
      </c>
      <c r="S1186" s="74" t="str">
        <f t="shared" si="390"/>
        <v/>
      </c>
      <c r="U1186" s="74" t="str">
        <f t="shared" si="404"/>
        <v/>
      </c>
      <c r="V1186" s="74" t="str">
        <f t="shared" si="404"/>
        <v/>
      </c>
      <c r="W1186" s="74" t="str">
        <f t="shared" si="404"/>
        <v/>
      </c>
      <c r="X1186" s="74" t="str">
        <f t="shared" si="404"/>
        <v/>
      </c>
      <c r="Y1186" s="74" t="str">
        <f t="shared" si="404"/>
        <v/>
      </c>
      <c r="Z1186" s="74" t="str">
        <f t="shared" si="391"/>
        <v/>
      </c>
      <c r="AA1186" s="74">
        <f t="shared" si="392"/>
        <v>0</v>
      </c>
      <c r="AB1186" s="74">
        <f t="shared" si="393"/>
        <v>0</v>
      </c>
      <c r="AC1186" s="74" t="str">
        <f t="shared" si="394"/>
        <v/>
      </c>
      <c r="AE1186" s="74" t="str">
        <f t="shared" si="395"/>
        <v/>
      </c>
      <c r="AF1186" s="74" t="str">
        <f t="shared" si="396"/>
        <v/>
      </c>
      <c r="AG1186" s="74" t="str">
        <f t="shared" si="397"/>
        <v/>
      </c>
      <c r="AH1186" s="74">
        <f t="shared" si="398"/>
        <v>0</v>
      </c>
      <c r="AI1186" s="74" t="str">
        <f>IF(AH1186&lt;&gt;0,COUNTIF(AH$3:AH1186,1),"")</f>
        <v/>
      </c>
      <c r="AJ1186" s="74">
        <f t="shared" si="399"/>
        <v>0</v>
      </c>
      <c r="AK1186" s="73" t="str">
        <f t="shared" si="400"/>
        <v/>
      </c>
      <c r="AL1186" s="73" t="str">
        <f t="shared" si="401"/>
        <v/>
      </c>
      <c r="AM1186" s="73" t="str">
        <f t="shared" si="402"/>
        <v/>
      </c>
      <c r="AN1186" s="73" t="str">
        <f t="shared" si="403"/>
        <v/>
      </c>
    </row>
    <row r="1187" spans="16:40" x14ac:dyDescent="0.25">
      <c r="P1187" s="73" t="str">
        <f t="shared" si="387"/>
        <v/>
      </c>
      <c r="Q1187" s="73" t="str">
        <f t="shared" si="388"/>
        <v/>
      </c>
      <c r="R1187" s="74" t="str">
        <f t="shared" si="389"/>
        <v/>
      </c>
      <c r="S1187" s="74" t="str">
        <f t="shared" si="390"/>
        <v/>
      </c>
      <c r="U1187" s="74" t="str">
        <f t="shared" si="404"/>
        <v/>
      </c>
      <c r="V1187" s="74" t="str">
        <f t="shared" si="404"/>
        <v/>
      </c>
      <c r="W1187" s="74" t="str">
        <f t="shared" si="404"/>
        <v/>
      </c>
      <c r="X1187" s="74" t="str">
        <f t="shared" si="404"/>
        <v/>
      </c>
      <c r="Y1187" s="74" t="str">
        <f t="shared" si="404"/>
        <v/>
      </c>
      <c r="Z1187" s="74" t="str">
        <f t="shared" si="391"/>
        <v/>
      </c>
      <c r="AA1187" s="74">
        <f t="shared" si="392"/>
        <v>0</v>
      </c>
      <c r="AB1187" s="74">
        <f t="shared" si="393"/>
        <v>0</v>
      </c>
      <c r="AC1187" s="74" t="str">
        <f t="shared" si="394"/>
        <v/>
      </c>
      <c r="AE1187" s="74" t="str">
        <f t="shared" si="395"/>
        <v/>
      </c>
      <c r="AF1187" s="74" t="str">
        <f t="shared" si="396"/>
        <v/>
      </c>
      <c r="AG1187" s="74" t="str">
        <f t="shared" si="397"/>
        <v/>
      </c>
      <c r="AH1187" s="74">
        <f t="shared" si="398"/>
        <v>0</v>
      </c>
      <c r="AI1187" s="74" t="str">
        <f>IF(AH1187&lt;&gt;0,COUNTIF(AH$3:AH1187,1),"")</f>
        <v/>
      </c>
      <c r="AJ1187" s="74">
        <f t="shared" si="399"/>
        <v>0</v>
      </c>
      <c r="AK1187" s="73" t="str">
        <f t="shared" si="400"/>
        <v/>
      </c>
      <c r="AL1187" s="73" t="str">
        <f t="shared" si="401"/>
        <v/>
      </c>
      <c r="AM1187" s="73" t="str">
        <f t="shared" si="402"/>
        <v/>
      </c>
      <c r="AN1187" s="73" t="str">
        <f t="shared" si="403"/>
        <v/>
      </c>
    </row>
    <row r="1188" spans="16:40" x14ac:dyDescent="0.25">
      <c r="P1188" s="73" t="str">
        <f t="shared" si="387"/>
        <v/>
      </c>
      <c r="Q1188" s="73" t="str">
        <f t="shared" si="388"/>
        <v/>
      </c>
      <c r="R1188" s="74" t="str">
        <f t="shared" si="389"/>
        <v/>
      </c>
      <c r="S1188" s="74" t="str">
        <f t="shared" si="390"/>
        <v/>
      </c>
      <c r="U1188" s="74" t="str">
        <f t="shared" si="404"/>
        <v/>
      </c>
      <c r="V1188" s="74" t="str">
        <f t="shared" si="404"/>
        <v/>
      </c>
      <c r="W1188" s="74" t="str">
        <f t="shared" si="404"/>
        <v/>
      </c>
      <c r="X1188" s="74" t="str">
        <f t="shared" si="404"/>
        <v/>
      </c>
      <c r="Y1188" s="74" t="str">
        <f t="shared" si="404"/>
        <v/>
      </c>
      <c r="Z1188" s="74" t="str">
        <f t="shared" si="391"/>
        <v/>
      </c>
      <c r="AA1188" s="74">
        <f t="shared" si="392"/>
        <v>0</v>
      </c>
      <c r="AB1188" s="74">
        <f t="shared" si="393"/>
        <v>0</v>
      </c>
      <c r="AC1188" s="74" t="str">
        <f t="shared" si="394"/>
        <v/>
      </c>
      <c r="AE1188" s="74" t="str">
        <f t="shared" si="395"/>
        <v/>
      </c>
      <c r="AF1188" s="74" t="str">
        <f t="shared" si="396"/>
        <v/>
      </c>
      <c r="AG1188" s="74" t="str">
        <f t="shared" si="397"/>
        <v/>
      </c>
      <c r="AH1188" s="74">
        <f t="shared" si="398"/>
        <v>0</v>
      </c>
      <c r="AI1188" s="74" t="str">
        <f>IF(AH1188&lt;&gt;0,COUNTIF(AH$3:AH1188,1),"")</f>
        <v/>
      </c>
      <c r="AJ1188" s="74">
        <f t="shared" si="399"/>
        <v>0</v>
      </c>
      <c r="AK1188" s="73" t="str">
        <f t="shared" si="400"/>
        <v/>
      </c>
      <c r="AL1188" s="73" t="str">
        <f t="shared" si="401"/>
        <v/>
      </c>
      <c r="AM1188" s="73" t="str">
        <f t="shared" si="402"/>
        <v/>
      </c>
      <c r="AN1188" s="73" t="str">
        <f t="shared" si="403"/>
        <v/>
      </c>
    </row>
    <row r="1189" spans="16:40" x14ac:dyDescent="0.25">
      <c r="P1189" s="73" t="str">
        <f t="shared" si="387"/>
        <v/>
      </c>
      <c r="Q1189" s="73" t="str">
        <f t="shared" si="388"/>
        <v/>
      </c>
      <c r="R1189" s="74" t="str">
        <f t="shared" si="389"/>
        <v/>
      </c>
      <c r="S1189" s="74" t="str">
        <f t="shared" si="390"/>
        <v/>
      </c>
      <c r="U1189" s="74" t="str">
        <f t="shared" si="404"/>
        <v/>
      </c>
      <c r="V1189" s="74" t="str">
        <f t="shared" si="404"/>
        <v/>
      </c>
      <c r="W1189" s="74" t="str">
        <f t="shared" si="404"/>
        <v/>
      </c>
      <c r="X1189" s="74" t="str">
        <f t="shared" si="404"/>
        <v/>
      </c>
      <c r="Y1189" s="74" t="str">
        <f t="shared" si="404"/>
        <v/>
      </c>
      <c r="Z1189" s="74" t="str">
        <f t="shared" si="391"/>
        <v/>
      </c>
      <c r="AA1189" s="74">
        <f t="shared" si="392"/>
        <v>0</v>
      </c>
      <c r="AB1189" s="74">
        <f t="shared" si="393"/>
        <v>0</v>
      </c>
      <c r="AC1189" s="74" t="str">
        <f t="shared" si="394"/>
        <v/>
      </c>
      <c r="AE1189" s="74" t="str">
        <f t="shared" si="395"/>
        <v/>
      </c>
      <c r="AF1189" s="74" t="str">
        <f t="shared" si="396"/>
        <v/>
      </c>
      <c r="AG1189" s="74" t="str">
        <f t="shared" si="397"/>
        <v/>
      </c>
      <c r="AH1189" s="74">
        <f t="shared" si="398"/>
        <v>0</v>
      </c>
      <c r="AI1189" s="74" t="str">
        <f>IF(AH1189&lt;&gt;0,COUNTIF(AH$3:AH1189,1),"")</f>
        <v/>
      </c>
      <c r="AJ1189" s="74">
        <f t="shared" si="399"/>
        <v>0</v>
      </c>
      <c r="AK1189" s="73" t="str">
        <f t="shared" si="400"/>
        <v/>
      </c>
      <c r="AL1189" s="73" t="str">
        <f t="shared" si="401"/>
        <v/>
      </c>
      <c r="AM1189" s="73" t="str">
        <f t="shared" si="402"/>
        <v/>
      </c>
      <c r="AN1189" s="73" t="str">
        <f t="shared" si="403"/>
        <v/>
      </c>
    </row>
    <row r="1190" spans="16:40" x14ac:dyDescent="0.25">
      <c r="P1190" s="73" t="str">
        <f t="shared" si="387"/>
        <v/>
      </c>
      <c r="Q1190" s="73" t="str">
        <f t="shared" si="388"/>
        <v/>
      </c>
      <c r="R1190" s="74" t="str">
        <f t="shared" si="389"/>
        <v/>
      </c>
      <c r="S1190" s="74" t="str">
        <f t="shared" si="390"/>
        <v/>
      </c>
      <c r="U1190" s="74" t="str">
        <f t="shared" si="404"/>
        <v/>
      </c>
      <c r="V1190" s="74" t="str">
        <f t="shared" si="404"/>
        <v/>
      </c>
      <c r="W1190" s="74" t="str">
        <f t="shared" si="404"/>
        <v/>
      </c>
      <c r="X1190" s="74" t="str">
        <f t="shared" si="404"/>
        <v/>
      </c>
      <c r="Y1190" s="74" t="str">
        <f t="shared" si="404"/>
        <v/>
      </c>
      <c r="Z1190" s="74" t="str">
        <f t="shared" si="391"/>
        <v/>
      </c>
      <c r="AA1190" s="74">
        <f t="shared" si="392"/>
        <v>0</v>
      </c>
      <c r="AB1190" s="74">
        <f t="shared" si="393"/>
        <v>0</v>
      </c>
      <c r="AC1190" s="74" t="str">
        <f t="shared" si="394"/>
        <v/>
      </c>
      <c r="AE1190" s="74" t="str">
        <f t="shared" si="395"/>
        <v/>
      </c>
      <c r="AF1190" s="74" t="str">
        <f t="shared" si="396"/>
        <v/>
      </c>
      <c r="AG1190" s="74" t="str">
        <f t="shared" si="397"/>
        <v/>
      </c>
      <c r="AH1190" s="74">
        <f t="shared" si="398"/>
        <v>0</v>
      </c>
      <c r="AI1190" s="74" t="str">
        <f>IF(AH1190&lt;&gt;0,COUNTIF(AH$3:AH1190,1),"")</f>
        <v/>
      </c>
      <c r="AJ1190" s="74">
        <f t="shared" si="399"/>
        <v>0</v>
      </c>
      <c r="AK1190" s="73" t="str">
        <f t="shared" si="400"/>
        <v/>
      </c>
      <c r="AL1190" s="73" t="str">
        <f t="shared" si="401"/>
        <v/>
      </c>
      <c r="AM1190" s="73" t="str">
        <f t="shared" si="402"/>
        <v/>
      </c>
      <c r="AN1190" s="73" t="str">
        <f t="shared" si="403"/>
        <v/>
      </c>
    </row>
    <row r="1191" spans="16:40" x14ac:dyDescent="0.25">
      <c r="P1191" s="73" t="str">
        <f t="shared" si="387"/>
        <v/>
      </c>
      <c r="Q1191" s="73" t="str">
        <f t="shared" si="388"/>
        <v/>
      </c>
      <c r="R1191" s="74" t="str">
        <f t="shared" si="389"/>
        <v/>
      </c>
      <c r="S1191" s="74" t="str">
        <f t="shared" si="390"/>
        <v/>
      </c>
      <c r="U1191" s="74" t="str">
        <f t="shared" si="404"/>
        <v/>
      </c>
      <c r="V1191" s="74" t="str">
        <f t="shared" si="404"/>
        <v/>
      </c>
      <c r="W1191" s="74" t="str">
        <f t="shared" si="404"/>
        <v/>
      </c>
      <c r="X1191" s="74" t="str">
        <f t="shared" si="404"/>
        <v/>
      </c>
      <c r="Y1191" s="74" t="str">
        <f t="shared" si="404"/>
        <v/>
      </c>
      <c r="Z1191" s="74" t="str">
        <f t="shared" si="391"/>
        <v/>
      </c>
      <c r="AA1191" s="74">
        <f t="shared" si="392"/>
        <v>0</v>
      </c>
      <c r="AB1191" s="74">
        <f t="shared" si="393"/>
        <v>0</v>
      </c>
      <c r="AC1191" s="74" t="str">
        <f t="shared" si="394"/>
        <v/>
      </c>
      <c r="AE1191" s="74" t="str">
        <f t="shared" si="395"/>
        <v/>
      </c>
      <c r="AF1191" s="74" t="str">
        <f t="shared" si="396"/>
        <v/>
      </c>
      <c r="AG1191" s="74" t="str">
        <f t="shared" si="397"/>
        <v/>
      </c>
      <c r="AH1191" s="74">
        <f t="shared" si="398"/>
        <v>0</v>
      </c>
      <c r="AI1191" s="74" t="str">
        <f>IF(AH1191&lt;&gt;0,COUNTIF(AH$3:AH1191,1),"")</f>
        <v/>
      </c>
      <c r="AJ1191" s="74">
        <f t="shared" si="399"/>
        <v>0</v>
      </c>
      <c r="AK1191" s="73" t="str">
        <f t="shared" si="400"/>
        <v/>
      </c>
      <c r="AL1191" s="73" t="str">
        <f t="shared" si="401"/>
        <v/>
      </c>
      <c r="AM1191" s="73" t="str">
        <f t="shared" si="402"/>
        <v/>
      </c>
      <c r="AN1191" s="73" t="str">
        <f t="shared" si="403"/>
        <v/>
      </c>
    </row>
    <row r="1192" spans="16:40" x14ac:dyDescent="0.25">
      <c r="P1192" s="73" t="str">
        <f t="shared" si="387"/>
        <v/>
      </c>
      <c r="Q1192" s="73" t="str">
        <f t="shared" si="388"/>
        <v/>
      </c>
      <c r="R1192" s="74" t="str">
        <f t="shared" si="389"/>
        <v/>
      </c>
      <c r="S1192" s="74" t="str">
        <f t="shared" si="390"/>
        <v/>
      </c>
      <c r="U1192" s="74" t="str">
        <f t="shared" si="404"/>
        <v/>
      </c>
      <c r="V1192" s="74" t="str">
        <f t="shared" si="404"/>
        <v/>
      </c>
      <c r="W1192" s="74" t="str">
        <f t="shared" si="404"/>
        <v/>
      </c>
      <c r="X1192" s="74" t="str">
        <f t="shared" si="404"/>
        <v/>
      </c>
      <c r="Y1192" s="74" t="str">
        <f t="shared" si="404"/>
        <v/>
      </c>
      <c r="Z1192" s="74" t="str">
        <f t="shared" si="391"/>
        <v/>
      </c>
      <c r="AA1192" s="74">
        <f t="shared" si="392"/>
        <v>0</v>
      </c>
      <c r="AB1192" s="74">
        <f t="shared" si="393"/>
        <v>0</v>
      </c>
      <c r="AC1192" s="74" t="str">
        <f t="shared" si="394"/>
        <v/>
      </c>
      <c r="AE1192" s="74" t="str">
        <f t="shared" si="395"/>
        <v/>
      </c>
      <c r="AF1192" s="74" t="str">
        <f t="shared" si="396"/>
        <v/>
      </c>
      <c r="AG1192" s="74" t="str">
        <f t="shared" si="397"/>
        <v/>
      </c>
      <c r="AH1192" s="74">
        <f t="shared" si="398"/>
        <v>0</v>
      </c>
      <c r="AI1192" s="74" t="str">
        <f>IF(AH1192&lt;&gt;0,COUNTIF(AH$3:AH1192,1),"")</f>
        <v/>
      </c>
      <c r="AJ1192" s="74">
        <f t="shared" si="399"/>
        <v>0</v>
      </c>
      <c r="AK1192" s="73" t="str">
        <f t="shared" si="400"/>
        <v/>
      </c>
      <c r="AL1192" s="73" t="str">
        <f t="shared" si="401"/>
        <v/>
      </c>
      <c r="AM1192" s="73" t="str">
        <f t="shared" si="402"/>
        <v/>
      </c>
      <c r="AN1192" s="73" t="str">
        <f t="shared" si="403"/>
        <v/>
      </c>
    </row>
    <row r="1193" spans="16:40" x14ac:dyDescent="0.25">
      <c r="P1193" s="73" t="str">
        <f t="shared" si="387"/>
        <v/>
      </c>
      <c r="Q1193" s="73" t="str">
        <f t="shared" si="388"/>
        <v/>
      </c>
      <c r="R1193" s="74" t="str">
        <f t="shared" si="389"/>
        <v/>
      </c>
      <c r="S1193" s="74" t="str">
        <f t="shared" si="390"/>
        <v/>
      </c>
      <c r="U1193" s="74" t="str">
        <f t="shared" si="404"/>
        <v/>
      </c>
      <c r="V1193" s="74" t="str">
        <f t="shared" si="404"/>
        <v/>
      </c>
      <c r="W1193" s="74" t="str">
        <f t="shared" si="404"/>
        <v/>
      </c>
      <c r="X1193" s="74" t="str">
        <f t="shared" si="404"/>
        <v/>
      </c>
      <c r="Y1193" s="74" t="str">
        <f t="shared" si="404"/>
        <v/>
      </c>
      <c r="Z1193" s="74" t="str">
        <f t="shared" si="391"/>
        <v/>
      </c>
      <c r="AA1193" s="74">
        <f t="shared" si="392"/>
        <v>0</v>
      </c>
      <c r="AB1193" s="74">
        <f t="shared" si="393"/>
        <v>0</v>
      </c>
      <c r="AC1193" s="74" t="str">
        <f t="shared" si="394"/>
        <v/>
      </c>
      <c r="AE1193" s="74" t="str">
        <f t="shared" si="395"/>
        <v/>
      </c>
      <c r="AF1193" s="74" t="str">
        <f t="shared" si="396"/>
        <v/>
      </c>
      <c r="AG1193" s="74" t="str">
        <f t="shared" si="397"/>
        <v/>
      </c>
      <c r="AH1193" s="74">
        <f t="shared" si="398"/>
        <v>0</v>
      </c>
      <c r="AI1193" s="74" t="str">
        <f>IF(AH1193&lt;&gt;0,COUNTIF(AH$3:AH1193,1),"")</f>
        <v/>
      </c>
      <c r="AJ1193" s="74">
        <f t="shared" si="399"/>
        <v>0</v>
      </c>
      <c r="AK1193" s="73" t="str">
        <f t="shared" si="400"/>
        <v/>
      </c>
      <c r="AL1193" s="73" t="str">
        <f t="shared" si="401"/>
        <v/>
      </c>
      <c r="AM1193" s="73" t="str">
        <f t="shared" si="402"/>
        <v/>
      </c>
      <c r="AN1193" s="73" t="str">
        <f t="shared" si="403"/>
        <v/>
      </c>
    </row>
    <row r="1194" spans="16:40" x14ac:dyDescent="0.25">
      <c r="P1194" s="73" t="str">
        <f t="shared" si="387"/>
        <v/>
      </c>
      <c r="Q1194" s="73" t="str">
        <f t="shared" si="388"/>
        <v/>
      </c>
      <c r="R1194" s="74" t="str">
        <f t="shared" si="389"/>
        <v/>
      </c>
      <c r="S1194" s="74" t="str">
        <f t="shared" si="390"/>
        <v/>
      </c>
      <c r="U1194" s="74" t="str">
        <f t="shared" si="404"/>
        <v/>
      </c>
      <c r="V1194" s="74" t="str">
        <f t="shared" si="404"/>
        <v/>
      </c>
      <c r="W1194" s="74" t="str">
        <f t="shared" si="404"/>
        <v/>
      </c>
      <c r="X1194" s="74" t="str">
        <f t="shared" si="404"/>
        <v/>
      </c>
      <c r="Y1194" s="74" t="str">
        <f t="shared" si="404"/>
        <v/>
      </c>
      <c r="Z1194" s="74" t="str">
        <f t="shared" si="391"/>
        <v/>
      </c>
      <c r="AA1194" s="74">
        <f t="shared" si="392"/>
        <v>0</v>
      </c>
      <c r="AB1194" s="74">
        <f t="shared" si="393"/>
        <v>0</v>
      </c>
      <c r="AC1194" s="74" t="str">
        <f t="shared" si="394"/>
        <v/>
      </c>
      <c r="AE1194" s="74" t="str">
        <f t="shared" si="395"/>
        <v/>
      </c>
      <c r="AF1194" s="74" t="str">
        <f t="shared" si="396"/>
        <v/>
      </c>
      <c r="AG1194" s="74" t="str">
        <f t="shared" si="397"/>
        <v/>
      </c>
      <c r="AH1194" s="74">
        <f t="shared" si="398"/>
        <v>0</v>
      </c>
      <c r="AI1194" s="74" t="str">
        <f>IF(AH1194&lt;&gt;0,COUNTIF(AH$3:AH1194,1),"")</f>
        <v/>
      </c>
      <c r="AJ1194" s="74">
        <f t="shared" si="399"/>
        <v>0</v>
      </c>
      <c r="AK1194" s="73" t="str">
        <f t="shared" si="400"/>
        <v/>
      </c>
      <c r="AL1194" s="73" t="str">
        <f t="shared" si="401"/>
        <v/>
      </c>
      <c r="AM1194" s="73" t="str">
        <f t="shared" si="402"/>
        <v/>
      </c>
      <c r="AN1194" s="73" t="str">
        <f t="shared" si="403"/>
        <v/>
      </c>
    </row>
    <row r="1195" spans="16:40" x14ac:dyDescent="0.25">
      <c r="P1195" s="73" t="str">
        <f t="shared" si="387"/>
        <v/>
      </c>
      <c r="Q1195" s="73" t="str">
        <f t="shared" si="388"/>
        <v/>
      </c>
      <c r="R1195" s="74" t="str">
        <f t="shared" si="389"/>
        <v/>
      </c>
      <c r="S1195" s="74" t="str">
        <f t="shared" si="390"/>
        <v/>
      </c>
      <c r="U1195" s="74" t="str">
        <f t="shared" si="404"/>
        <v/>
      </c>
      <c r="V1195" s="74" t="str">
        <f t="shared" si="404"/>
        <v/>
      </c>
      <c r="W1195" s="74" t="str">
        <f t="shared" si="404"/>
        <v/>
      </c>
      <c r="X1195" s="74" t="str">
        <f t="shared" si="404"/>
        <v/>
      </c>
      <c r="Y1195" s="74" t="str">
        <f t="shared" si="404"/>
        <v/>
      </c>
      <c r="Z1195" s="74" t="str">
        <f t="shared" si="391"/>
        <v/>
      </c>
      <c r="AA1195" s="74">
        <f t="shared" si="392"/>
        <v>0</v>
      </c>
      <c r="AB1195" s="74">
        <f t="shared" si="393"/>
        <v>0</v>
      </c>
      <c r="AC1195" s="74" t="str">
        <f t="shared" si="394"/>
        <v/>
      </c>
      <c r="AE1195" s="74" t="str">
        <f t="shared" si="395"/>
        <v/>
      </c>
      <c r="AF1195" s="74" t="str">
        <f t="shared" si="396"/>
        <v/>
      </c>
      <c r="AG1195" s="74" t="str">
        <f t="shared" si="397"/>
        <v/>
      </c>
      <c r="AH1195" s="74">
        <f t="shared" si="398"/>
        <v>0</v>
      </c>
      <c r="AI1195" s="74" t="str">
        <f>IF(AH1195&lt;&gt;0,COUNTIF(AH$3:AH1195,1),"")</f>
        <v/>
      </c>
      <c r="AJ1195" s="74">
        <f t="shared" si="399"/>
        <v>0</v>
      </c>
      <c r="AK1195" s="73" t="str">
        <f t="shared" si="400"/>
        <v/>
      </c>
      <c r="AL1195" s="73" t="str">
        <f t="shared" si="401"/>
        <v/>
      </c>
      <c r="AM1195" s="73" t="str">
        <f t="shared" si="402"/>
        <v/>
      </c>
      <c r="AN1195" s="73" t="str">
        <f t="shared" si="403"/>
        <v/>
      </c>
    </row>
    <row r="1196" spans="16:40" x14ac:dyDescent="0.25">
      <c r="P1196" s="73" t="str">
        <f t="shared" si="387"/>
        <v/>
      </c>
      <c r="Q1196" s="73" t="str">
        <f t="shared" si="388"/>
        <v/>
      </c>
      <c r="R1196" s="74" t="str">
        <f t="shared" si="389"/>
        <v/>
      </c>
      <c r="S1196" s="74" t="str">
        <f t="shared" si="390"/>
        <v/>
      </c>
      <c r="U1196" s="74" t="str">
        <f t="shared" si="404"/>
        <v/>
      </c>
      <c r="V1196" s="74" t="str">
        <f t="shared" si="404"/>
        <v/>
      </c>
      <c r="W1196" s="74" t="str">
        <f t="shared" si="404"/>
        <v/>
      </c>
      <c r="X1196" s="74" t="str">
        <f t="shared" si="404"/>
        <v/>
      </c>
      <c r="Y1196" s="74" t="str">
        <f t="shared" si="404"/>
        <v/>
      </c>
      <c r="Z1196" s="74" t="str">
        <f t="shared" si="391"/>
        <v/>
      </c>
      <c r="AA1196" s="74">
        <f t="shared" si="392"/>
        <v>0</v>
      </c>
      <c r="AB1196" s="74">
        <f t="shared" si="393"/>
        <v>0</v>
      </c>
      <c r="AC1196" s="74" t="str">
        <f t="shared" si="394"/>
        <v/>
      </c>
      <c r="AE1196" s="74" t="str">
        <f t="shared" si="395"/>
        <v/>
      </c>
      <c r="AF1196" s="74" t="str">
        <f t="shared" si="396"/>
        <v/>
      </c>
      <c r="AG1196" s="74" t="str">
        <f t="shared" si="397"/>
        <v/>
      </c>
      <c r="AH1196" s="74">
        <f t="shared" si="398"/>
        <v>0</v>
      </c>
      <c r="AI1196" s="74" t="str">
        <f>IF(AH1196&lt;&gt;0,COUNTIF(AH$3:AH1196,1),"")</f>
        <v/>
      </c>
      <c r="AJ1196" s="74">
        <f t="shared" si="399"/>
        <v>0</v>
      </c>
      <c r="AK1196" s="73" t="str">
        <f t="shared" si="400"/>
        <v/>
      </c>
      <c r="AL1196" s="73" t="str">
        <f t="shared" si="401"/>
        <v/>
      </c>
      <c r="AM1196" s="73" t="str">
        <f t="shared" si="402"/>
        <v/>
      </c>
      <c r="AN1196" s="73" t="str">
        <f t="shared" si="403"/>
        <v/>
      </c>
    </row>
    <row r="1197" spans="16:40" x14ac:dyDescent="0.25">
      <c r="P1197" s="73" t="str">
        <f t="shared" si="387"/>
        <v/>
      </c>
      <c r="Q1197" s="73" t="str">
        <f t="shared" si="388"/>
        <v/>
      </c>
      <c r="R1197" s="74" t="str">
        <f t="shared" si="389"/>
        <v/>
      </c>
      <c r="S1197" s="74" t="str">
        <f t="shared" si="390"/>
        <v/>
      </c>
      <c r="U1197" s="74" t="str">
        <f t="shared" si="404"/>
        <v/>
      </c>
      <c r="V1197" s="74" t="str">
        <f t="shared" si="404"/>
        <v/>
      </c>
      <c r="W1197" s="74" t="str">
        <f t="shared" si="404"/>
        <v/>
      </c>
      <c r="X1197" s="74" t="str">
        <f t="shared" si="404"/>
        <v/>
      </c>
      <c r="Y1197" s="74" t="str">
        <f t="shared" si="404"/>
        <v/>
      </c>
      <c r="Z1197" s="74" t="str">
        <f t="shared" si="391"/>
        <v/>
      </c>
      <c r="AA1197" s="74">
        <f t="shared" si="392"/>
        <v>0</v>
      </c>
      <c r="AB1197" s="74">
        <f t="shared" si="393"/>
        <v>0</v>
      </c>
      <c r="AC1197" s="74" t="str">
        <f t="shared" si="394"/>
        <v/>
      </c>
      <c r="AE1197" s="74" t="str">
        <f t="shared" si="395"/>
        <v/>
      </c>
      <c r="AF1197" s="74" t="str">
        <f t="shared" si="396"/>
        <v/>
      </c>
      <c r="AG1197" s="74" t="str">
        <f t="shared" si="397"/>
        <v/>
      </c>
      <c r="AH1197" s="74">
        <f t="shared" si="398"/>
        <v>0</v>
      </c>
      <c r="AI1197" s="74" t="str">
        <f>IF(AH1197&lt;&gt;0,COUNTIF(AH$3:AH1197,1),"")</f>
        <v/>
      </c>
      <c r="AJ1197" s="74">
        <f t="shared" si="399"/>
        <v>0</v>
      </c>
      <c r="AK1197" s="73" t="str">
        <f t="shared" si="400"/>
        <v/>
      </c>
      <c r="AL1197" s="73" t="str">
        <f t="shared" si="401"/>
        <v/>
      </c>
      <c r="AM1197" s="73" t="str">
        <f t="shared" si="402"/>
        <v/>
      </c>
      <c r="AN1197" s="73" t="str">
        <f t="shared" si="403"/>
        <v/>
      </c>
    </row>
    <row r="1198" spans="16:40" x14ac:dyDescent="0.25">
      <c r="P1198" s="73" t="str">
        <f t="shared" si="387"/>
        <v/>
      </c>
      <c r="Q1198" s="73" t="str">
        <f t="shared" si="388"/>
        <v/>
      </c>
      <c r="R1198" s="74" t="str">
        <f t="shared" si="389"/>
        <v/>
      </c>
      <c r="S1198" s="74" t="str">
        <f t="shared" si="390"/>
        <v/>
      </c>
      <c r="U1198" s="74" t="str">
        <f t="shared" si="404"/>
        <v/>
      </c>
      <c r="V1198" s="74" t="str">
        <f t="shared" si="404"/>
        <v/>
      </c>
      <c r="W1198" s="74" t="str">
        <f t="shared" si="404"/>
        <v/>
      </c>
      <c r="X1198" s="74" t="str">
        <f t="shared" si="404"/>
        <v/>
      </c>
      <c r="Y1198" s="74" t="str">
        <f t="shared" si="404"/>
        <v/>
      </c>
      <c r="Z1198" s="74" t="str">
        <f t="shared" si="391"/>
        <v/>
      </c>
      <c r="AA1198" s="74">
        <f t="shared" si="392"/>
        <v>0</v>
      </c>
      <c r="AB1198" s="74">
        <f t="shared" si="393"/>
        <v>0</v>
      </c>
      <c r="AC1198" s="74" t="str">
        <f t="shared" si="394"/>
        <v/>
      </c>
      <c r="AE1198" s="74" t="str">
        <f t="shared" si="395"/>
        <v/>
      </c>
      <c r="AF1198" s="74" t="str">
        <f t="shared" si="396"/>
        <v/>
      </c>
      <c r="AG1198" s="74" t="str">
        <f t="shared" si="397"/>
        <v/>
      </c>
      <c r="AH1198" s="74">
        <f t="shared" si="398"/>
        <v>0</v>
      </c>
      <c r="AI1198" s="74" t="str">
        <f>IF(AH1198&lt;&gt;0,COUNTIF(AH$3:AH1198,1),"")</f>
        <v/>
      </c>
      <c r="AJ1198" s="74">
        <f t="shared" si="399"/>
        <v>0</v>
      </c>
      <c r="AK1198" s="73" t="str">
        <f t="shared" si="400"/>
        <v/>
      </c>
      <c r="AL1198" s="73" t="str">
        <f t="shared" si="401"/>
        <v/>
      </c>
      <c r="AM1198" s="73" t="str">
        <f t="shared" si="402"/>
        <v/>
      </c>
      <c r="AN1198" s="73" t="str">
        <f t="shared" si="403"/>
        <v/>
      </c>
    </row>
    <row r="1199" spans="16:40" x14ac:dyDescent="0.25">
      <c r="P1199" s="73" t="str">
        <f t="shared" si="387"/>
        <v/>
      </c>
      <c r="Q1199" s="73" t="str">
        <f t="shared" si="388"/>
        <v/>
      </c>
      <c r="R1199" s="74" t="str">
        <f t="shared" si="389"/>
        <v/>
      </c>
      <c r="S1199" s="74" t="str">
        <f t="shared" si="390"/>
        <v/>
      </c>
      <c r="U1199" s="74" t="str">
        <f t="shared" si="404"/>
        <v/>
      </c>
      <c r="V1199" s="74" t="str">
        <f t="shared" si="404"/>
        <v/>
      </c>
      <c r="W1199" s="74" t="str">
        <f t="shared" si="404"/>
        <v/>
      </c>
      <c r="X1199" s="74" t="str">
        <f t="shared" si="404"/>
        <v/>
      </c>
      <c r="Y1199" s="74" t="str">
        <f t="shared" si="404"/>
        <v/>
      </c>
      <c r="Z1199" s="74" t="str">
        <f t="shared" si="391"/>
        <v/>
      </c>
      <c r="AA1199" s="74">
        <f t="shared" si="392"/>
        <v>0</v>
      </c>
      <c r="AB1199" s="74">
        <f t="shared" si="393"/>
        <v>0</v>
      </c>
      <c r="AC1199" s="74" t="str">
        <f t="shared" si="394"/>
        <v/>
      </c>
      <c r="AE1199" s="74" t="str">
        <f t="shared" si="395"/>
        <v/>
      </c>
      <c r="AF1199" s="74" t="str">
        <f t="shared" si="396"/>
        <v/>
      </c>
      <c r="AG1199" s="74" t="str">
        <f t="shared" si="397"/>
        <v/>
      </c>
      <c r="AH1199" s="74">
        <f t="shared" si="398"/>
        <v>0</v>
      </c>
      <c r="AI1199" s="74" t="str">
        <f>IF(AH1199&lt;&gt;0,COUNTIF(AH$3:AH1199,1),"")</f>
        <v/>
      </c>
      <c r="AJ1199" s="74">
        <f t="shared" si="399"/>
        <v>0</v>
      </c>
      <c r="AK1199" s="73" t="str">
        <f t="shared" si="400"/>
        <v/>
      </c>
      <c r="AL1199" s="73" t="str">
        <f t="shared" si="401"/>
        <v/>
      </c>
      <c r="AM1199" s="73" t="str">
        <f t="shared" si="402"/>
        <v/>
      </c>
      <c r="AN1199" s="73" t="str">
        <f t="shared" si="403"/>
        <v/>
      </c>
    </row>
    <row r="1200" spans="16:40" x14ac:dyDescent="0.25">
      <c r="P1200" s="73" t="str">
        <f t="shared" si="387"/>
        <v/>
      </c>
      <c r="Q1200" s="73" t="str">
        <f t="shared" si="388"/>
        <v/>
      </c>
      <c r="R1200" s="74" t="str">
        <f t="shared" si="389"/>
        <v/>
      </c>
      <c r="S1200" s="74" t="str">
        <f t="shared" si="390"/>
        <v/>
      </c>
      <c r="U1200" s="74" t="str">
        <f t="shared" si="404"/>
        <v/>
      </c>
      <c r="V1200" s="74" t="str">
        <f t="shared" si="404"/>
        <v/>
      </c>
      <c r="W1200" s="74" t="str">
        <f t="shared" si="404"/>
        <v/>
      </c>
      <c r="X1200" s="74" t="str">
        <f t="shared" si="404"/>
        <v/>
      </c>
      <c r="Y1200" s="74" t="str">
        <f t="shared" si="404"/>
        <v/>
      </c>
      <c r="Z1200" s="74" t="str">
        <f t="shared" si="391"/>
        <v/>
      </c>
      <c r="AA1200" s="74">
        <f t="shared" si="392"/>
        <v>0</v>
      </c>
      <c r="AB1200" s="74">
        <f t="shared" si="393"/>
        <v>0</v>
      </c>
      <c r="AC1200" s="74" t="str">
        <f t="shared" si="394"/>
        <v/>
      </c>
      <c r="AE1200" s="74" t="str">
        <f t="shared" si="395"/>
        <v/>
      </c>
      <c r="AF1200" s="74" t="str">
        <f t="shared" si="396"/>
        <v/>
      </c>
      <c r="AG1200" s="74" t="str">
        <f t="shared" si="397"/>
        <v/>
      </c>
      <c r="AH1200" s="74">
        <f t="shared" si="398"/>
        <v>0</v>
      </c>
      <c r="AI1200" s="74" t="str">
        <f>IF(AH1200&lt;&gt;0,COUNTIF(AH$3:AH1200,1),"")</f>
        <v/>
      </c>
      <c r="AJ1200" s="74">
        <f t="shared" si="399"/>
        <v>0</v>
      </c>
      <c r="AK1200" s="73" t="str">
        <f t="shared" si="400"/>
        <v/>
      </c>
      <c r="AL1200" s="73" t="str">
        <f t="shared" si="401"/>
        <v/>
      </c>
      <c r="AM1200" s="73" t="str">
        <f t="shared" si="402"/>
        <v/>
      </c>
      <c r="AN1200" s="73" t="str">
        <f t="shared" si="403"/>
        <v/>
      </c>
    </row>
    <row r="1201" spans="16:40" x14ac:dyDescent="0.25">
      <c r="P1201" s="73" t="str">
        <f t="shared" si="387"/>
        <v/>
      </c>
      <c r="Q1201" s="73" t="str">
        <f t="shared" si="388"/>
        <v/>
      </c>
      <c r="R1201" s="74" t="str">
        <f t="shared" si="389"/>
        <v/>
      </c>
      <c r="S1201" s="74" t="str">
        <f t="shared" si="390"/>
        <v/>
      </c>
      <c r="U1201" s="74" t="str">
        <f t="shared" si="404"/>
        <v/>
      </c>
      <c r="V1201" s="74" t="str">
        <f t="shared" si="404"/>
        <v/>
      </c>
      <c r="W1201" s="74" t="str">
        <f t="shared" si="404"/>
        <v/>
      </c>
      <c r="X1201" s="74" t="str">
        <f t="shared" si="404"/>
        <v/>
      </c>
      <c r="Y1201" s="74" t="str">
        <f t="shared" si="404"/>
        <v/>
      </c>
      <c r="Z1201" s="74" t="str">
        <f t="shared" si="391"/>
        <v/>
      </c>
      <c r="AA1201" s="74">
        <f t="shared" si="392"/>
        <v>0</v>
      </c>
      <c r="AB1201" s="74">
        <f t="shared" si="393"/>
        <v>0</v>
      </c>
      <c r="AC1201" s="74" t="str">
        <f t="shared" si="394"/>
        <v/>
      </c>
      <c r="AE1201" s="74" t="str">
        <f t="shared" si="395"/>
        <v/>
      </c>
      <c r="AF1201" s="74" t="str">
        <f t="shared" si="396"/>
        <v/>
      </c>
      <c r="AG1201" s="74" t="str">
        <f t="shared" si="397"/>
        <v/>
      </c>
      <c r="AH1201" s="74">
        <f t="shared" si="398"/>
        <v>0</v>
      </c>
      <c r="AI1201" s="74" t="str">
        <f>IF(AH1201&lt;&gt;0,COUNTIF(AH$3:AH1201,1),"")</f>
        <v/>
      </c>
      <c r="AJ1201" s="74">
        <f t="shared" si="399"/>
        <v>0</v>
      </c>
      <c r="AK1201" s="73" t="str">
        <f t="shared" si="400"/>
        <v/>
      </c>
      <c r="AL1201" s="73" t="str">
        <f t="shared" si="401"/>
        <v/>
      </c>
      <c r="AM1201" s="73" t="str">
        <f t="shared" si="402"/>
        <v/>
      </c>
      <c r="AN1201" s="73" t="str">
        <f t="shared" si="403"/>
        <v/>
      </c>
    </row>
    <row r="1202" spans="16:40" x14ac:dyDescent="0.25">
      <c r="P1202" s="73" t="str">
        <f t="shared" si="387"/>
        <v/>
      </c>
      <c r="Q1202" s="73" t="str">
        <f t="shared" si="388"/>
        <v/>
      </c>
      <c r="R1202" s="74" t="str">
        <f t="shared" si="389"/>
        <v/>
      </c>
      <c r="S1202" s="74" t="str">
        <f t="shared" si="390"/>
        <v/>
      </c>
      <c r="U1202" s="74" t="str">
        <f t="shared" si="404"/>
        <v/>
      </c>
      <c r="V1202" s="74" t="str">
        <f t="shared" si="404"/>
        <v/>
      </c>
      <c r="W1202" s="74" t="str">
        <f t="shared" si="404"/>
        <v/>
      </c>
      <c r="X1202" s="74" t="str">
        <f t="shared" si="404"/>
        <v/>
      </c>
      <c r="Y1202" s="74" t="str">
        <f t="shared" si="404"/>
        <v/>
      </c>
      <c r="Z1202" s="74" t="str">
        <f t="shared" si="391"/>
        <v/>
      </c>
      <c r="AA1202" s="74">
        <f t="shared" si="392"/>
        <v>0</v>
      </c>
      <c r="AB1202" s="74">
        <f t="shared" si="393"/>
        <v>0</v>
      </c>
      <c r="AC1202" s="74" t="str">
        <f t="shared" si="394"/>
        <v/>
      </c>
      <c r="AE1202" s="74" t="str">
        <f t="shared" si="395"/>
        <v/>
      </c>
      <c r="AF1202" s="74" t="str">
        <f t="shared" si="396"/>
        <v/>
      </c>
      <c r="AG1202" s="74" t="str">
        <f t="shared" si="397"/>
        <v/>
      </c>
      <c r="AH1202" s="74">
        <f t="shared" si="398"/>
        <v>0</v>
      </c>
      <c r="AI1202" s="74" t="str">
        <f>IF(AH1202&lt;&gt;0,COUNTIF(AH$3:AH1202,1),"")</f>
        <v/>
      </c>
      <c r="AJ1202" s="74">
        <f t="shared" si="399"/>
        <v>0</v>
      </c>
      <c r="AK1202" s="73" t="str">
        <f t="shared" si="400"/>
        <v/>
      </c>
      <c r="AL1202" s="73" t="str">
        <f t="shared" si="401"/>
        <v/>
      </c>
      <c r="AM1202" s="73" t="str">
        <f t="shared" si="402"/>
        <v/>
      </c>
      <c r="AN1202" s="73" t="str">
        <f t="shared" si="403"/>
        <v/>
      </c>
    </row>
    <row r="1203" spans="16:40" x14ac:dyDescent="0.25">
      <c r="P1203" s="73" t="str">
        <f t="shared" si="387"/>
        <v/>
      </c>
      <c r="Q1203" s="73" t="str">
        <f t="shared" si="388"/>
        <v/>
      </c>
      <c r="R1203" s="74" t="str">
        <f t="shared" si="389"/>
        <v/>
      </c>
      <c r="S1203" s="74" t="str">
        <f t="shared" si="390"/>
        <v/>
      </c>
      <c r="U1203" s="74" t="str">
        <f t="shared" si="404"/>
        <v/>
      </c>
      <c r="V1203" s="74" t="str">
        <f t="shared" si="404"/>
        <v/>
      </c>
      <c r="W1203" s="74" t="str">
        <f t="shared" si="404"/>
        <v/>
      </c>
      <c r="X1203" s="74" t="str">
        <f t="shared" si="404"/>
        <v/>
      </c>
      <c r="Y1203" s="74" t="str">
        <f t="shared" si="404"/>
        <v/>
      </c>
      <c r="Z1203" s="74" t="str">
        <f t="shared" si="391"/>
        <v/>
      </c>
      <c r="AA1203" s="74">
        <f t="shared" si="392"/>
        <v>0</v>
      </c>
      <c r="AB1203" s="74">
        <f t="shared" si="393"/>
        <v>0</v>
      </c>
      <c r="AC1203" s="74" t="str">
        <f t="shared" si="394"/>
        <v/>
      </c>
      <c r="AE1203" s="74" t="str">
        <f t="shared" si="395"/>
        <v/>
      </c>
      <c r="AF1203" s="74" t="str">
        <f t="shared" si="396"/>
        <v/>
      </c>
      <c r="AG1203" s="74" t="str">
        <f t="shared" si="397"/>
        <v/>
      </c>
      <c r="AH1203" s="74">
        <f t="shared" si="398"/>
        <v>0</v>
      </c>
      <c r="AI1203" s="74" t="str">
        <f>IF(AH1203&lt;&gt;0,COUNTIF(AH$3:AH1203,1),"")</f>
        <v/>
      </c>
      <c r="AJ1203" s="74">
        <f t="shared" si="399"/>
        <v>0</v>
      </c>
      <c r="AK1203" s="73" t="str">
        <f t="shared" si="400"/>
        <v/>
      </c>
      <c r="AL1203" s="73" t="str">
        <f t="shared" si="401"/>
        <v/>
      </c>
      <c r="AM1203" s="73" t="str">
        <f t="shared" si="402"/>
        <v/>
      </c>
      <c r="AN1203" s="73" t="str">
        <f t="shared" si="403"/>
        <v/>
      </c>
    </row>
    <row r="1204" spans="16:40" x14ac:dyDescent="0.25">
      <c r="P1204" s="73" t="str">
        <f t="shared" si="387"/>
        <v/>
      </c>
      <c r="Q1204" s="73" t="str">
        <f t="shared" si="388"/>
        <v/>
      </c>
      <c r="R1204" s="74" t="str">
        <f t="shared" si="389"/>
        <v/>
      </c>
      <c r="S1204" s="74" t="str">
        <f t="shared" si="390"/>
        <v/>
      </c>
      <c r="U1204" s="74" t="str">
        <f t="shared" si="404"/>
        <v/>
      </c>
      <c r="V1204" s="74" t="str">
        <f t="shared" si="404"/>
        <v/>
      </c>
      <c r="W1204" s="74" t="str">
        <f t="shared" si="404"/>
        <v/>
      </c>
      <c r="X1204" s="74" t="str">
        <f t="shared" si="404"/>
        <v/>
      </c>
      <c r="Y1204" s="74" t="str">
        <f t="shared" si="404"/>
        <v/>
      </c>
      <c r="Z1204" s="74" t="str">
        <f t="shared" si="391"/>
        <v/>
      </c>
      <c r="AA1204" s="74">
        <f t="shared" si="392"/>
        <v>0</v>
      </c>
      <c r="AB1204" s="74">
        <f t="shared" si="393"/>
        <v>0</v>
      </c>
      <c r="AC1204" s="74" t="str">
        <f t="shared" si="394"/>
        <v/>
      </c>
      <c r="AE1204" s="74" t="str">
        <f t="shared" si="395"/>
        <v/>
      </c>
      <c r="AF1204" s="74" t="str">
        <f t="shared" si="396"/>
        <v/>
      </c>
      <c r="AG1204" s="74" t="str">
        <f t="shared" si="397"/>
        <v/>
      </c>
      <c r="AH1204" s="74">
        <f t="shared" si="398"/>
        <v>0</v>
      </c>
      <c r="AI1204" s="74" t="str">
        <f>IF(AH1204&lt;&gt;0,COUNTIF(AH$3:AH1204,1),"")</f>
        <v/>
      </c>
      <c r="AJ1204" s="74">
        <f t="shared" si="399"/>
        <v>0</v>
      </c>
      <c r="AK1204" s="73" t="str">
        <f t="shared" si="400"/>
        <v/>
      </c>
      <c r="AL1204" s="73" t="str">
        <f t="shared" si="401"/>
        <v/>
      </c>
      <c r="AM1204" s="73" t="str">
        <f t="shared" si="402"/>
        <v/>
      </c>
      <c r="AN1204" s="73" t="str">
        <f t="shared" si="403"/>
        <v/>
      </c>
    </row>
    <row r="1205" spans="16:40" x14ac:dyDescent="0.25">
      <c r="P1205" s="73" t="str">
        <f t="shared" si="387"/>
        <v/>
      </c>
      <c r="Q1205" s="73" t="str">
        <f t="shared" si="388"/>
        <v/>
      </c>
      <c r="R1205" s="74" t="str">
        <f t="shared" si="389"/>
        <v/>
      </c>
      <c r="S1205" s="74" t="str">
        <f t="shared" si="390"/>
        <v/>
      </c>
      <c r="U1205" s="74" t="str">
        <f t="shared" si="404"/>
        <v/>
      </c>
      <c r="V1205" s="74" t="str">
        <f t="shared" si="404"/>
        <v/>
      </c>
      <c r="W1205" s="74" t="str">
        <f t="shared" si="404"/>
        <v/>
      </c>
      <c r="X1205" s="74" t="str">
        <f t="shared" si="404"/>
        <v/>
      </c>
      <c r="Y1205" s="74" t="str">
        <f t="shared" si="404"/>
        <v/>
      </c>
      <c r="Z1205" s="74" t="str">
        <f t="shared" si="391"/>
        <v/>
      </c>
      <c r="AA1205" s="74">
        <f t="shared" si="392"/>
        <v>0</v>
      </c>
      <c r="AB1205" s="74">
        <f t="shared" si="393"/>
        <v>0</v>
      </c>
      <c r="AC1205" s="74" t="str">
        <f t="shared" si="394"/>
        <v/>
      </c>
      <c r="AE1205" s="74" t="str">
        <f t="shared" si="395"/>
        <v/>
      </c>
      <c r="AF1205" s="74" t="str">
        <f t="shared" si="396"/>
        <v/>
      </c>
      <c r="AG1205" s="74" t="str">
        <f t="shared" si="397"/>
        <v/>
      </c>
      <c r="AH1205" s="74">
        <f t="shared" si="398"/>
        <v>0</v>
      </c>
      <c r="AI1205" s="74" t="str">
        <f>IF(AH1205&lt;&gt;0,COUNTIF(AH$3:AH1205,1),"")</f>
        <v/>
      </c>
      <c r="AJ1205" s="74">
        <f t="shared" si="399"/>
        <v>0</v>
      </c>
      <c r="AK1205" s="73" t="str">
        <f t="shared" si="400"/>
        <v/>
      </c>
      <c r="AL1205" s="73" t="str">
        <f t="shared" si="401"/>
        <v/>
      </c>
      <c r="AM1205" s="73" t="str">
        <f t="shared" si="402"/>
        <v/>
      </c>
      <c r="AN1205" s="73" t="str">
        <f t="shared" si="403"/>
        <v/>
      </c>
    </row>
    <row r="1206" spans="16:40" x14ac:dyDescent="0.25">
      <c r="P1206" s="73" t="str">
        <f t="shared" si="387"/>
        <v/>
      </c>
      <c r="Q1206" s="73" t="str">
        <f t="shared" si="388"/>
        <v/>
      </c>
      <c r="R1206" s="74" t="str">
        <f t="shared" si="389"/>
        <v/>
      </c>
      <c r="S1206" s="74" t="str">
        <f t="shared" si="390"/>
        <v/>
      </c>
      <c r="U1206" s="74" t="str">
        <f t="shared" si="404"/>
        <v/>
      </c>
      <c r="V1206" s="74" t="str">
        <f t="shared" si="404"/>
        <v/>
      </c>
      <c r="W1206" s="74" t="str">
        <f t="shared" si="404"/>
        <v/>
      </c>
      <c r="X1206" s="74" t="str">
        <f t="shared" si="404"/>
        <v/>
      </c>
      <c r="Y1206" s="74" t="str">
        <f t="shared" si="404"/>
        <v/>
      </c>
      <c r="Z1206" s="74" t="str">
        <f t="shared" si="391"/>
        <v/>
      </c>
      <c r="AA1206" s="74">
        <f t="shared" si="392"/>
        <v>0</v>
      </c>
      <c r="AB1206" s="74">
        <f t="shared" si="393"/>
        <v>0</v>
      </c>
      <c r="AC1206" s="74" t="str">
        <f t="shared" si="394"/>
        <v/>
      </c>
      <c r="AE1206" s="74" t="str">
        <f t="shared" si="395"/>
        <v/>
      </c>
      <c r="AF1206" s="74" t="str">
        <f t="shared" si="396"/>
        <v/>
      </c>
      <c r="AG1206" s="74" t="str">
        <f t="shared" si="397"/>
        <v/>
      </c>
      <c r="AH1206" s="74">
        <f t="shared" si="398"/>
        <v>0</v>
      </c>
      <c r="AI1206" s="74" t="str">
        <f>IF(AH1206&lt;&gt;0,COUNTIF(AH$3:AH1206,1),"")</f>
        <v/>
      </c>
      <c r="AJ1206" s="74">
        <f t="shared" si="399"/>
        <v>0</v>
      </c>
      <c r="AK1206" s="73" t="str">
        <f t="shared" si="400"/>
        <v/>
      </c>
      <c r="AL1206" s="73" t="str">
        <f t="shared" si="401"/>
        <v/>
      </c>
      <c r="AM1206" s="73" t="str">
        <f t="shared" si="402"/>
        <v/>
      </c>
      <c r="AN1206" s="73" t="str">
        <f t="shared" si="403"/>
        <v/>
      </c>
    </row>
    <row r="1207" spans="16:40" x14ac:dyDescent="0.25">
      <c r="P1207" s="73" t="str">
        <f t="shared" si="387"/>
        <v/>
      </c>
      <c r="Q1207" s="73" t="str">
        <f t="shared" si="388"/>
        <v/>
      </c>
      <c r="R1207" s="74" t="str">
        <f t="shared" si="389"/>
        <v/>
      </c>
      <c r="S1207" s="74" t="str">
        <f t="shared" si="390"/>
        <v/>
      </c>
      <c r="U1207" s="74" t="str">
        <f t="shared" si="404"/>
        <v/>
      </c>
      <c r="V1207" s="74" t="str">
        <f t="shared" si="404"/>
        <v/>
      </c>
      <c r="W1207" s="74" t="str">
        <f t="shared" si="404"/>
        <v/>
      </c>
      <c r="X1207" s="74" t="str">
        <f t="shared" si="404"/>
        <v/>
      </c>
      <c r="Y1207" s="74" t="str">
        <f t="shared" si="404"/>
        <v/>
      </c>
      <c r="Z1207" s="74" t="str">
        <f t="shared" si="391"/>
        <v/>
      </c>
      <c r="AA1207" s="74">
        <f t="shared" si="392"/>
        <v>0</v>
      </c>
      <c r="AB1207" s="74">
        <f t="shared" si="393"/>
        <v>0</v>
      </c>
      <c r="AC1207" s="74" t="str">
        <f t="shared" si="394"/>
        <v/>
      </c>
      <c r="AE1207" s="74" t="str">
        <f t="shared" si="395"/>
        <v/>
      </c>
      <c r="AF1207" s="74" t="str">
        <f t="shared" si="396"/>
        <v/>
      </c>
      <c r="AG1207" s="74" t="str">
        <f t="shared" si="397"/>
        <v/>
      </c>
      <c r="AH1207" s="74">
        <f t="shared" si="398"/>
        <v>0</v>
      </c>
      <c r="AI1207" s="74" t="str">
        <f>IF(AH1207&lt;&gt;0,COUNTIF(AH$3:AH1207,1),"")</f>
        <v/>
      </c>
      <c r="AJ1207" s="74">
        <f t="shared" si="399"/>
        <v>0</v>
      </c>
      <c r="AK1207" s="73" t="str">
        <f t="shared" si="400"/>
        <v/>
      </c>
      <c r="AL1207" s="73" t="str">
        <f t="shared" si="401"/>
        <v/>
      </c>
      <c r="AM1207" s="73" t="str">
        <f t="shared" si="402"/>
        <v/>
      </c>
      <c r="AN1207" s="73" t="str">
        <f t="shared" si="403"/>
        <v/>
      </c>
    </row>
    <row r="1208" spans="16:40" x14ac:dyDescent="0.25">
      <c r="P1208" s="73" t="str">
        <f t="shared" si="387"/>
        <v/>
      </c>
      <c r="Q1208" s="73" t="str">
        <f t="shared" si="388"/>
        <v/>
      </c>
      <c r="R1208" s="74" t="str">
        <f t="shared" si="389"/>
        <v/>
      </c>
      <c r="S1208" s="74" t="str">
        <f t="shared" si="390"/>
        <v/>
      </c>
      <c r="U1208" s="74" t="str">
        <f t="shared" si="404"/>
        <v/>
      </c>
      <c r="V1208" s="74" t="str">
        <f t="shared" si="404"/>
        <v/>
      </c>
      <c r="W1208" s="74" t="str">
        <f t="shared" si="404"/>
        <v/>
      </c>
      <c r="X1208" s="74" t="str">
        <f t="shared" si="404"/>
        <v/>
      </c>
      <c r="Y1208" s="74" t="str">
        <f t="shared" si="404"/>
        <v/>
      </c>
      <c r="Z1208" s="74" t="str">
        <f t="shared" si="391"/>
        <v/>
      </c>
      <c r="AA1208" s="74">
        <f t="shared" si="392"/>
        <v>0</v>
      </c>
      <c r="AB1208" s="74">
        <f t="shared" si="393"/>
        <v>0</v>
      </c>
      <c r="AC1208" s="74" t="str">
        <f t="shared" si="394"/>
        <v/>
      </c>
      <c r="AE1208" s="74" t="str">
        <f t="shared" si="395"/>
        <v/>
      </c>
      <c r="AF1208" s="74" t="str">
        <f t="shared" si="396"/>
        <v/>
      </c>
      <c r="AG1208" s="74" t="str">
        <f t="shared" si="397"/>
        <v/>
      </c>
      <c r="AH1208" s="74">
        <f t="shared" si="398"/>
        <v>0</v>
      </c>
      <c r="AI1208" s="74" t="str">
        <f>IF(AH1208&lt;&gt;0,COUNTIF(AH$3:AH1208,1),"")</f>
        <v/>
      </c>
      <c r="AJ1208" s="74">
        <f t="shared" si="399"/>
        <v>0</v>
      </c>
      <c r="AK1208" s="73" t="str">
        <f t="shared" si="400"/>
        <v/>
      </c>
      <c r="AL1208" s="73" t="str">
        <f t="shared" si="401"/>
        <v/>
      </c>
      <c r="AM1208" s="73" t="str">
        <f t="shared" si="402"/>
        <v/>
      </c>
      <c r="AN1208" s="73" t="str">
        <f t="shared" si="403"/>
        <v/>
      </c>
    </row>
    <row r="1209" spans="16:40" x14ac:dyDescent="0.25">
      <c r="P1209" s="73" t="str">
        <f t="shared" si="387"/>
        <v/>
      </c>
      <c r="Q1209" s="73" t="str">
        <f t="shared" si="388"/>
        <v/>
      </c>
      <c r="R1209" s="74" t="str">
        <f t="shared" si="389"/>
        <v/>
      </c>
      <c r="S1209" s="74" t="str">
        <f t="shared" si="390"/>
        <v/>
      </c>
      <c r="U1209" s="74" t="str">
        <f t="shared" si="404"/>
        <v/>
      </c>
      <c r="V1209" s="74" t="str">
        <f t="shared" si="404"/>
        <v/>
      </c>
      <c r="W1209" s="74" t="str">
        <f t="shared" si="404"/>
        <v/>
      </c>
      <c r="X1209" s="74" t="str">
        <f t="shared" si="404"/>
        <v/>
      </c>
      <c r="Y1209" s="74" t="str">
        <f t="shared" si="404"/>
        <v/>
      </c>
      <c r="Z1209" s="74" t="str">
        <f t="shared" si="391"/>
        <v/>
      </c>
      <c r="AA1209" s="74">
        <f t="shared" si="392"/>
        <v>0</v>
      </c>
      <c r="AB1209" s="74">
        <f t="shared" si="393"/>
        <v>0</v>
      </c>
      <c r="AC1209" s="74" t="str">
        <f t="shared" si="394"/>
        <v/>
      </c>
      <c r="AE1209" s="74" t="str">
        <f t="shared" si="395"/>
        <v/>
      </c>
      <c r="AF1209" s="74" t="str">
        <f t="shared" si="396"/>
        <v/>
      </c>
      <c r="AG1209" s="74" t="str">
        <f t="shared" si="397"/>
        <v/>
      </c>
      <c r="AH1209" s="74">
        <f t="shared" si="398"/>
        <v>0</v>
      </c>
      <c r="AI1209" s="74" t="str">
        <f>IF(AH1209&lt;&gt;0,COUNTIF(AH$3:AH1209,1),"")</f>
        <v/>
      </c>
      <c r="AJ1209" s="74">
        <f t="shared" si="399"/>
        <v>0</v>
      </c>
      <c r="AK1209" s="73" t="str">
        <f t="shared" si="400"/>
        <v/>
      </c>
      <c r="AL1209" s="73" t="str">
        <f t="shared" si="401"/>
        <v/>
      </c>
      <c r="AM1209" s="73" t="str">
        <f t="shared" si="402"/>
        <v/>
      </c>
      <c r="AN1209" s="73" t="str">
        <f t="shared" si="403"/>
        <v/>
      </c>
    </row>
    <row r="1210" spans="16:40" x14ac:dyDescent="0.25">
      <c r="P1210" s="73" t="str">
        <f t="shared" si="387"/>
        <v/>
      </c>
      <c r="Q1210" s="73" t="str">
        <f t="shared" si="388"/>
        <v/>
      </c>
      <c r="R1210" s="74" t="str">
        <f t="shared" si="389"/>
        <v/>
      </c>
      <c r="S1210" s="74" t="str">
        <f t="shared" si="390"/>
        <v/>
      </c>
      <c r="U1210" s="74" t="str">
        <f t="shared" ref="U1210:Y1260" si="405">IF($F1210=U$1,$E1210,"")</f>
        <v/>
      </c>
      <c r="V1210" s="74" t="str">
        <f t="shared" si="405"/>
        <v/>
      </c>
      <c r="W1210" s="74" t="str">
        <f t="shared" si="405"/>
        <v/>
      </c>
      <c r="X1210" s="74" t="str">
        <f t="shared" si="405"/>
        <v/>
      </c>
      <c r="Y1210" s="74" t="str">
        <f t="shared" si="405"/>
        <v/>
      </c>
      <c r="Z1210" s="74" t="str">
        <f t="shared" si="391"/>
        <v/>
      </c>
      <c r="AA1210" s="74">
        <f t="shared" si="392"/>
        <v>0</v>
      </c>
      <c r="AB1210" s="74">
        <f t="shared" si="393"/>
        <v>0</v>
      </c>
      <c r="AC1210" s="74" t="str">
        <f t="shared" si="394"/>
        <v/>
      </c>
      <c r="AE1210" s="74" t="str">
        <f t="shared" si="395"/>
        <v/>
      </c>
      <c r="AF1210" s="74" t="str">
        <f t="shared" si="396"/>
        <v/>
      </c>
      <c r="AG1210" s="74" t="str">
        <f t="shared" si="397"/>
        <v/>
      </c>
      <c r="AH1210" s="74">
        <f t="shared" si="398"/>
        <v>0</v>
      </c>
      <c r="AI1210" s="74" t="str">
        <f>IF(AH1210&lt;&gt;0,COUNTIF(AH$3:AH1210,1),"")</f>
        <v/>
      </c>
      <c r="AJ1210" s="74">
        <f t="shared" si="399"/>
        <v>0</v>
      </c>
      <c r="AK1210" s="73" t="str">
        <f t="shared" si="400"/>
        <v/>
      </c>
      <c r="AL1210" s="73" t="str">
        <f t="shared" si="401"/>
        <v/>
      </c>
      <c r="AM1210" s="73" t="str">
        <f t="shared" si="402"/>
        <v/>
      </c>
      <c r="AN1210" s="73" t="str">
        <f t="shared" si="403"/>
        <v/>
      </c>
    </row>
    <row r="1211" spans="16:40" x14ac:dyDescent="0.25">
      <c r="P1211" s="73" t="str">
        <f t="shared" si="387"/>
        <v/>
      </c>
      <c r="Q1211" s="73" t="str">
        <f t="shared" si="388"/>
        <v/>
      </c>
      <c r="R1211" s="74" t="str">
        <f t="shared" si="389"/>
        <v/>
      </c>
      <c r="S1211" s="74" t="str">
        <f t="shared" si="390"/>
        <v/>
      </c>
      <c r="U1211" s="74" t="str">
        <f t="shared" si="405"/>
        <v/>
      </c>
      <c r="V1211" s="74" t="str">
        <f t="shared" si="405"/>
        <v/>
      </c>
      <c r="W1211" s="74" t="str">
        <f t="shared" si="405"/>
        <v/>
      </c>
      <c r="X1211" s="74" t="str">
        <f t="shared" si="405"/>
        <v/>
      </c>
      <c r="Y1211" s="74" t="str">
        <f t="shared" si="405"/>
        <v/>
      </c>
      <c r="Z1211" s="74" t="str">
        <f t="shared" si="391"/>
        <v/>
      </c>
      <c r="AA1211" s="74">
        <f t="shared" si="392"/>
        <v>0</v>
      </c>
      <c r="AB1211" s="74">
        <f t="shared" si="393"/>
        <v>0</v>
      </c>
      <c r="AC1211" s="74" t="str">
        <f t="shared" si="394"/>
        <v/>
      </c>
      <c r="AE1211" s="74" t="str">
        <f t="shared" si="395"/>
        <v/>
      </c>
      <c r="AF1211" s="74" t="str">
        <f t="shared" si="396"/>
        <v/>
      </c>
      <c r="AG1211" s="74" t="str">
        <f t="shared" si="397"/>
        <v/>
      </c>
      <c r="AH1211" s="74">
        <f t="shared" si="398"/>
        <v>0</v>
      </c>
      <c r="AI1211" s="74" t="str">
        <f>IF(AH1211&lt;&gt;0,COUNTIF(AH$3:AH1211,1),"")</f>
        <v/>
      </c>
      <c r="AJ1211" s="74">
        <f t="shared" si="399"/>
        <v>0</v>
      </c>
      <c r="AK1211" s="73" t="str">
        <f t="shared" si="400"/>
        <v/>
      </c>
      <c r="AL1211" s="73" t="str">
        <f t="shared" si="401"/>
        <v/>
      </c>
      <c r="AM1211" s="73" t="str">
        <f t="shared" si="402"/>
        <v/>
      </c>
      <c r="AN1211" s="73" t="str">
        <f t="shared" si="403"/>
        <v/>
      </c>
    </row>
    <row r="1212" spans="16:40" x14ac:dyDescent="0.25">
      <c r="P1212" s="73" t="str">
        <f t="shared" si="387"/>
        <v/>
      </c>
      <c r="Q1212" s="73" t="str">
        <f t="shared" si="388"/>
        <v/>
      </c>
      <c r="R1212" s="74" t="str">
        <f t="shared" si="389"/>
        <v/>
      </c>
      <c r="S1212" s="74" t="str">
        <f t="shared" si="390"/>
        <v/>
      </c>
      <c r="U1212" s="74" t="str">
        <f t="shared" si="405"/>
        <v/>
      </c>
      <c r="V1212" s="74" t="str">
        <f t="shared" si="405"/>
        <v/>
      </c>
      <c r="W1212" s="74" t="str">
        <f t="shared" si="405"/>
        <v/>
      </c>
      <c r="X1212" s="74" t="str">
        <f t="shared" si="405"/>
        <v/>
      </c>
      <c r="Y1212" s="74" t="str">
        <f t="shared" si="405"/>
        <v/>
      </c>
      <c r="Z1212" s="74" t="str">
        <f t="shared" si="391"/>
        <v/>
      </c>
      <c r="AA1212" s="74">
        <f t="shared" si="392"/>
        <v>0</v>
      </c>
      <c r="AB1212" s="74">
        <f t="shared" si="393"/>
        <v>0</v>
      </c>
      <c r="AC1212" s="74" t="str">
        <f t="shared" si="394"/>
        <v/>
      </c>
      <c r="AE1212" s="74" t="str">
        <f t="shared" si="395"/>
        <v/>
      </c>
      <c r="AF1212" s="74" t="str">
        <f t="shared" si="396"/>
        <v/>
      </c>
      <c r="AG1212" s="74" t="str">
        <f t="shared" si="397"/>
        <v/>
      </c>
      <c r="AH1212" s="74">
        <f t="shared" si="398"/>
        <v>0</v>
      </c>
      <c r="AI1212" s="74" t="str">
        <f>IF(AH1212&lt;&gt;0,COUNTIF(AH$3:AH1212,1),"")</f>
        <v/>
      </c>
      <c r="AJ1212" s="74">
        <f t="shared" si="399"/>
        <v>0</v>
      </c>
      <c r="AK1212" s="73" t="str">
        <f t="shared" si="400"/>
        <v/>
      </c>
      <c r="AL1212" s="73" t="str">
        <f t="shared" si="401"/>
        <v/>
      </c>
      <c r="AM1212" s="73" t="str">
        <f t="shared" si="402"/>
        <v/>
      </c>
      <c r="AN1212" s="73" t="str">
        <f t="shared" si="403"/>
        <v/>
      </c>
    </row>
    <row r="1213" spans="16:40" x14ac:dyDescent="0.25">
      <c r="P1213" s="73" t="str">
        <f t="shared" si="387"/>
        <v/>
      </c>
      <c r="Q1213" s="73" t="str">
        <f t="shared" si="388"/>
        <v/>
      </c>
      <c r="R1213" s="74" t="str">
        <f t="shared" si="389"/>
        <v/>
      </c>
      <c r="S1213" s="74" t="str">
        <f t="shared" si="390"/>
        <v/>
      </c>
      <c r="U1213" s="74" t="str">
        <f t="shared" si="405"/>
        <v/>
      </c>
      <c r="V1213" s="74" t="str">
        <f t="shared" si="405"/>
        <v/>
      </c>
      <c r="W1213" s="74" t="str">
        <f t="shared" si="405"/>
        <v/>
      </c>
      <c r="X1213" s="74" t="str">
        <f t="shared" si="405"/>
        <v/>
      </c>
      <c r="Y1213" s="74" t="str">
        <f t="shared" si="405"/>
        <v/>
      </c>
      <c r="Z1213" s="74" t="str">
        <f t="shared" si="391"/>
        <v/>
      </c>
      <c r="AA1213" s="74">
        <f t="shared" si="392"/>
        <v>0</v>
      </c>
      <c r="AB1213" s="74">
        <f t="shared" si="393"/>
        <v>0</v>
      </c>
      <c r="AC1213" s="74" t="str">
        <f t="shared" si="394"/>
        <v/>
      </c>
      <c r="AE1213" s="74" t="str">
        <f t="shared" si="395"/>
        <v/>
      </c>
      <c r="AF1213" s="74" t="str">
        <f t="shared" si="396"/>
        <v/>
      </c>
      <c r="AG1213" s="74" t="str">
        <f t="shared" si="397"/>
        <v/>
      </c>
      <c r="AH1213" s="74">
        <f t="shared" si="398"/>
        <v>0</v>
      </c>
      <c r="AI1213" s="74" t="str">
        <f>IF(AH1213&lt;&gt;0,COUNTIF(AH$3:AH1213,1),"")</f>
        <v/>
      </c>
      <c r="AJ1213" s="74">
        <f t="shared" si="399"/>
        <v>0</v>
      </c>
      <c r="AK1213" s="73" t="str">
        <f t="shared" si="400"/>
        <v/>
      </c>
      <c r="AL1213" s="73" t="str">
        <f t="shared" si="401"/>
        <v/>
      </c>
      <c r="AM1213" s="73" t="str">
        <f t="shared" si="402"/>
        <v/>
      </c>
      <c r="AN1213" s="73" t="str">
        <f t="shared" si="403"/>
        <v/>
      </c>
    </row>
    <row r="1214" spans="16:40" x14ac:dyDescent="0.25">
      <c r="P1214" s="73" t="str">
        <f t="shared" ref="P1214:P1277" si="406">IF(N1214&lt;&gt;"",SUBSTITUTE(LEFT(N1214,FIND(";",N1214)),";",""),"")</f>
        <v/>
      </c>
      <c r="Q1214" s="73" t="str">
        <f t="shared" ref="Q1214:Q1277" si="407">IF(N1214&lt;&gt;"",SUBSTITUTE(RIGHT(N1214,FIND(";",N1214)),";",""),"")</f>
        <v/>
      </c>
      <c r="R1214" s="74" t="str">
        <f t="shared" ref="R1214:R1277" si="408">IF(O1214&lt;&gt;"",SUBSTITUTE(LEFT(O1214,FIND(";",O1214)),";",""),"")</f>
        <v/>
      </c>
      <c r="S1214" s="74" t="str">
        <f t="shared" ref="S1214:S1277" si="409">IF(O1214&lt;&gt;"",IFERROR(IF(FIND("OK",O1214)&gt;0,TRUE),FALSE),"")</f>
        <v/>
      </c>
      <c r="U1214" s="74" t="str">
        <f t="shared" si="405"/>
        <v/>
      </c>
      <c r="V1214" s="74" t="str">
        <f t="shared" si="405"/>
        <v/>
      </c>
      <c r="W1214" s="74" t="str">
        <f t="shared" si="405"/>
        <v/>
      </c>
      <c r="X1214" s="74" t="str">
        <f t="shared" si="405"/>
        <v/>
      </c>
      <c r="Y1214" s="74" t="str">
        <f t="shared" si="405"/>
        <v/>
      </c>
      <c r="Z1214" s="74" t="str">
        <f t="shared" ref="Z1214:Z1277" si="410">IF(G1214,E1214,"")</f>
        <v/>
      </c>
      <c r="AA1214" s="74">
        <f t="shared" ref="AA1214:AA1277" si="411">IF(G1214=FALSE,E1214,"")</f>
        <v>0</v>
      </c>
      <c r="AB1214" s="74">
        <f t="shared" ref="AB1214:AB1277" si="412">IF(G1214,1,0)</f>
        <v>0</v>
      </c>
      <c r="AC1214" s="74" t="str">
        <f t="shared" ref="AC1214:AC1277" si="413">IF(A1214&lt;&gt;"",IF(G1214,0,1),"")</f>
        <v/>
      </c>
      <c r="AE1214" s="74" t="str">
        <f t="shared" ref="AE1214:AE1277" si="414">IF(P1214&lt;&gt;"",IF(AND(_xlfn.NUMBERVALUE(P1214)&gt;25,_xlfn.NUMBERVALUE(P1214)&lt;38),TRUE,FALSE),"")</f>
        <v/>
      </c>
      <c r="AF1214" s="74" t="str">
        <f t="shared" ref="AF1214:AF1277" si="415">IF(Q1214&lt;&gt;"",IF(AND(_xlfn.NUMBERVALUE(Q1214)&gt;25,_xlfn.NUMBERVALUE(Q1214)&lt;38),TRUE,FALSE),"")</f>
        <v/>
      </c>
      <c r="AG1214" s="74" t="str">
        <f t="shared" ref="AG1214:AG1277" si="416">IF(R1214&lt;&gt;"",IF(AND(_xlfn.NUMBERVALUE(R1214)&gt;262,_xlfn.NUMBERVALUE(R1214)&lt;307),TRUE,FALSE),"")</f>
        <v/>
      </c>
      <c r="AH1214" s="74">
        <f t="shared" ref="AH1214:AH1277" si="417">IF(OR(AE1214=FALSE,AF1214=FALSE,AG1214=FALSE),1,0)</f>
        <v>0</v>
      </c>
      <c r="AI1214" s="74" t="str">
        <f>IF(AH1214&lt;&gt;0,COUNTIF(AH$3:AH1214,1),"")</f>
        <v/>
      </c>
      <c r="AJ1214" s="74">
        <f t="shared" ref="AJ1214:AJ1277" si="418">L1214</f>
        <v>0</v>
      </c>
      <c r="AK1214" s="73" t="str">
        <f t="shared" ref="AK1214:AK1277" si="419">P1214</f>
        <v/>
      </c>
      <c r="AL1214" s="73" t="str">
        <f t="shared" ref="AL1214:AL1277" si="420">Q1214</f>
        <v/>
      </c>
      <c r="AM1214" s="73" t="str">
        <f t="shared" ref="AM1214:AM1277" si="421">R1214</f>
        <v/>
      </c>
      <c r="AN1214" s="73" t="str">
        <f t="shared" ref="AN1214:AN1277" si="422">S1214</f>
        <v/>
      </c>
    </row>
    <row r="1215" spans="16:40" x14ac:dyDescent="0.25">
      <c r="P1215" s="73" t="str">
        <f t="shared" si="406"/>
        <v/>
      </c>
      <c r="Q1215" s="73" t="str">
        <f t="shared" si="407"/>
        <v/>
      </c>
      <c r="R1215" s="74" t="str">
        <f t="shared" si="408"/>
        <v/>
      </c>
      <c r="S1215" s="74" t="str">
        <f t="shared" si="409"/>
        <v/>
      </c>
      <c r="U1215" s="74" t="str">
        <f t="shared" si="405"/>
        <v/>
      </c>
      <c r="V1215" s="74" t="str">
        <f t="shared" si="405"/>
        <v/>
      </c>
      <c r="W1215" s="74" t="str">
        <f t="shared" si="405"/>
        <v/>
      </c>
      <c r="X1215" s="74" t="str">
        <f t="shared" si="405"/>
        <v/>
      </c>
      <c r="Y1215" s="74" t="str">
        <f t="shared" si="405"/>
        <v/>
      </c>
      <c r="Z1215" s="74" t="str">
        <f t="shared" si="410"/>
        <v/>
      </c>
      <c r="AA1215" s="74">
        <f t="shared" si="411"/>
        <v>0</v>
      </c>
      <c r="AB1215" s="74">
        <f t="shared" si="412"/>
        <v>0</v>
      </c>
      <c r="AC1215" s="74" t="str">
        <f t="shared" si="413"/>
        <v/>
      </c>
      <c r="AE1215" s="74" t="str">
        <f t="shared" si="414"/>
        <v/>
      </c>
      <c r="AF1215" s="74" t="str">
        <f t="shared" si="415"/>
        <v/>
      </c>
      <c r="AG1215" s="74" t="str">
        <f t="shared" si="416"/>
        <v/>
      </c>
      <c r="AH1215" s="74">
        <f t="shared" si="417"/>
        <v>0</v>
      </c>
      <c r="AI1215" s="74" t="str">
        <f>IF(AH1215&lt;&gt;0,COUNTIF(AH$3:AH1215,1),"")</f>
        <v/>
      </c>
      <c r="AJ1215" s="74">
        <f t="shared" si="418"/>
        <v>0</v>
      </c>
      <c r="AK1215" s="73" t="str">
        <f t="shared" si="419"/>
        <v/>
      </c>
      <c r="AL1215" s="73" t="str">
        <f t="shared" si="420"/>
        <v/>
      </c>
      <c r="AM1215" s="73" t="str">
        <f t="shared" si="421"/>
        <v/>
      </c>
      <c r="AN1215" s="73" t="str">
        <f t="shared" si="422"/>
        <v/>
      </c>
    </row>
    <row r="1216" spans="16:40" x14ac:dyDescent="0.25">
      <c r="P1216" s="73" t="str">
        <f t="shared" si="406"/>
        <v/>
      </c>
      <c r="Q1216" s="73" t="str">
        <f t="shared" si="407"/>
        <v/>
      </c>
      <c r="R1216" s="74" t="str">
        <f t="shared" si="408"/>
        <v/>
      </c>
      <c r="S1216" s="74" t="str">
        <f t="shared" si="409"/>
        <v/>
      </c>
      <c r="U1216" s="74" t="str">
        <f t="shared" si="405"/>
        <v/>
      </c>
      <c r="V1216" s="74" t="str">
        <f t="shared" si="405"/>
        <v/>
      </c>
      <c r="W1216" s="74" t="str">
        <f t="shared" si="405"/>
        <v/>
      </c>
      <c r="X1216" s="74" t="str">
        <f t="shared" si="405"/>
        <v/>
      </c>
      <c r="Y1216" s="74" t="str">
        <f t="shared" si="405"/>
        <v/>
      </c>
      <c r="Z1216" s="74" t="str">
        <f t="shared" si="410"/>
        <v/>
      </c>
      <c r="AA1216" s="74">
        <f t="shared" si="411"/>
        <v>0</v>
      </c>
      <c r="AB1216" s="74">
        <f t="shared" si="412"/>
        <v>0</v>
      </c>
      <c r="AC1216" s="74" t="str">
        <f t="shared" si="413"/>
        <v/>
      </c>
      <c r="AE1216" s="74" t="str">
        <f t="shared" si="414"/>
        <v/>
      </c>
      <c r="AF1216" s="74" t="str">
        <f t="shared" si="415"/>
        <v/>
      </c>
      <c r="AG1216" s="74" t="str">
        <f t="shared" si="416"/>
        <v/>
      </c>
      <c r="AH1216" s="74">
        <f t="shared" si="417"/>
        <v>0</v>
      </c>
      <c r="AI1216" s="74" t="str">
        <f>IF(AH1216&lt;&gt;0,COUNTIF(AH$3:AH1216,1),"")</f>
        <v/>
      </c>
      <c r="AJ1216" s="74">
        <f t="shared" si="418"/>
        <v>0</v>
      </c>
      <c r="AK1216" s="73" t="str">
        <f t="shared" si="419"/>
        <v/>
      </c>
      <c r="AL1216" s="73" t="str">
        <f t="shared" si="420"/>
        <v/>
      </c>
      <c r="AM1216" s="73" t="str">
        <f t="shared" si="421"/>
        <v/>
      </c>
      <c r="AN1216" s="73" t="str">
        <f t="shared" si="422"/>
        <v/>
      </c>
    </row>
    <row r="1217" spans="16:40" x14ac:dyDescent="0.25">
      <c r="P1217" s="73" t="str">
        <f t="shared" si="406"/>
        <v/>
      </c>
      <c r="Q1217" s="73" t="str">
        <f t="shared" si="407"/>
        <v/>
      </c>
      <c r="R1217" s="74" t="str">
        <f t="shared" si="408"/>
        <v/>
      </c>
      <c r="S1217" s="74" t="str">
        <f t="shared" si="409"/>
        <v/>
      </c>
      <c r="U1217" s="74" t="str">
        <f t="shared" si="405"/>
        <v/>
      </c>
      <c r="V1217" s="74" t="str">
        <f t="shared" si="405"/>
        <v/>
      </c>
      <c r="W1217" s="74" t="str">
        <f t="shared" si="405"/>
        <v/>
      </c>
      <c r="X1217" s="74" t="str">
        <f t="shared" si="405"/>
        <v/>
      </c>
      <c r="Y1217" s="74" t="str">
        <f t="shared" si="405"/>
        <v/>
      </c>
      <c r="Z1217" s="74" t="str">
        <f t="shared" si="410"/>
        <v/>
      </c>
      <c r="AA1217" s="74">
        <f t="shared" si="411"/>
        <v>0</v>
      </c>
      <c r="AB1217" s="74">
        <f t="shared" si="412"/>
        <v>0</v>
      </c>
      <c r="AC1217" s="74" t="str">
        <f t="shared" si="413"/>
        <v/>
      </c>
      <c r="AE1217" s="74" t="str">
        <f t="shared" si="414"/>
        <v/>
      </c>
      <c r="AF1217" s="74" t="str">
        <f t="shared" si="415"/>
        <v/>
      </c>
      <c r="AG1217" s="74" t="str">
        <f t="shared" si="416"/>
        <v/>
      </c>
      <c r="AH1217" s="74">
        <f t="shared" si="417"/>
        <v>0</v>
      </c>
      <c r="AI1217" s="74" t="str">
        <f>IF(AH1217&lt;&gt;0,COUNTIF(AH$3:AH1217,1),"")</f>
        <v/>
      </c>
      <c r="AJ1217" s="74">
        <f t="shared" si="418"/>
        <v>0</v>
      </c>
      <c r="AK1217" s="73" t="str">
        <f t="shared" si="419"/>
        <v/>
      </c>
      <c r="AL1217" s="73" t="str">
        <f t="shared" si="420"/>
        <v/>
      </c>
      <c r="AM1217" s="73" t="str">
        <f t="shared" si="421"/>
        <v/>
      </c>
      <c r="AN1217" s="73" t="str">
        <f t="shared" si="422"/>
        <v/>
      </c>
    </row>
    <row r="1218" spans="16:40" x14ac:dyDescent="0.25">
      <c r="P1218" s="73" t="str">
        <f t="shared" si="406"/>
        <v/>
      </c>
      <c r="Q1218" s="73" t="str">
        <f t="shared" si="407"/>
        <v/>
      </c>
      <c r="R1218" s="74" t="str">
        <f t="shared" si="408"/>
        <v/>
      </c>
      <c r="S1218" s="74" t="str">
        <f t="shared" si="409"/>
        <v/>
      </c>
      <c r="U1218" s="74" t="str">
        <f t="shared" si="405"/>
        <v/>
      </c>
      <c r="V1218" s="74" t="str">
        <f t="shared" si="405"/>
        <v/>
      </c>
      <c r="W1218" s="74" t="str">
        <f t="shared" si="405"/>
        <v/>
      </c>
      <c r="X1218" s="74" t="str">
        <f t="shared" si="405"/>
        <v/>
      </c>
      <c r="Y1218" s="74" t="str">
        <f t="shared" si="405"/>
        <v/>
      </c>
      <c r="Z1218" s="74" t="str">
        <f t="shared" si="410"/>
        <v/>
      </c>
      <c r="AA1218" s="74">
        <f t="shared" si="411"/>
        <v>0</v>
      </c>
      <c r="AB1218" s="74">
        <f t="shared" si="412"/>
        <v>0</v>
      </c>
      <c r="AC1218" s="74" t="str">
        <f t="shared" si="413"/>
        <v/>
      </c>
      <c r="AE1218" s="74" t="str">
        <f t="shared" si="414"/>
        <v/>
      </c>
      <c r="AF1218" s="74" t="str">
        <f t="shared" si="415"/>
        <v/>
      </c>
      <c r="AG1218" s="74" t="str">
        <f t="shared" si="416"/>
        <v/>
      </c>
      <c r="AH1218" s="74">
        <f t="shared" si="417"/>
        <v>0</v>
      </c>
      <c r="AI1218" s="74" t="str">
        <f>IF(AH1218&lt;&gt;0,COUNTIF(AH$3:AH1218,1),"")</f>
        <v/>
      </c>
      <c r="AJ1218" s="74">
        <f t="shared" si="418"/>
        <v>0</v>
      </c>
      <c r="AK1218" s="73" t="str">
        <f t="shared" si="419"/>
        <v/>
      </c>
      <c r="AL1218" s="73" t="str">
        <f t="shared" si="420"/>
        <v/>
      </c>
      <c r="AM1218" s="73" t="str">
        <f t="shared" si="421"/>
        <v/>
      </c>
      <c r="AN1218" s="73" t="str">
        <f t="shared" si="422"/>
        <v/>
      </c>
    </row>
    <row r="1219" spans="16:40" x14ac:dyDescent="0.25">
      <c r="P1219" s="73" t="str">
        <f t="shared" si="406"/>
        <v/>
      </c>
      <c r="Q1219" s="73" t="str">
        <f t="shared" si="407"/>
        <v/>
      </c>
      <c r="R1219" s="74" t="str">
        <f t="shared" si="408"/>
        <v/>
      </c>
      <c r="S1219" s="74" t="str">
        <f t="shared" si="409"/>
        <v/>
      </c>
      <c r="U1219" s="74" t="str">
        <f t="shared" si="405"/>
        <v/>
      </c>
      <c r="V1219" s="74" t="str">
        <f t="shared" si="405"/>
        <v/>
      </c>
      <c r="W1219" s="74" t="str">
        <f t="shared" si="405"/>
        <v/>
      </c>
      <c r="X1219" s="74" t="str">
        <f t="shared" si="405"/>
        <v/>
      </c>
      <c r="Y1219" s="74" t="str">
        <f t="shared" si="405"/>
        <v/>
      </c>
      <c r="Z1219" s="74" t="str">
        <f t="shared" si="410"/>
        <v/>
      </c>
      <c r="AA1219" s="74">
        <f t="shared" si="411"/>
        <v>0</v>
      </c>
      <c r="AB1219" s="74">
        <f t="shared" si="412"/>
        <v>0</v>
      </c>
      <c r="AC1219" s="74" t="str">
        <f t="shared" si="413"/>
        <v/>
      </c>
      <c r="AE1219" s="74" t="str">
        <f t="shared" si="414"/>
        <v/>
      </c>
      <c r="AF1219" s="74" t="str">
        <f t="shared" si="415"/>
        <v/>
      </c>
      <c r="AG1219" s="74" t="str">
        <f t="shared" si="416"/>
        <v/>
      </c>
      <c r="AH1219" s="74">
        <f t="shared" si="417"/>
        <v>0</v>
      </c>
      <c r="AI1219" s="74" t="str">
        <f>IF(AH1219&lt;&gt;0,COUNTIF(AH$3:AH1219,1),"")</f>
        <v/>
      </c>
      <c r="AJ1219" s="74">
        <f t="shared" si="418"/>
        <v>0</v>
      </c>
      <c r="AK1219" s="73" t="str">
        <f t="shared" si="419"/>
        <v/>
      </c>
      <c r="AL1219" s="73" t="str">
        <f t="shared" si="420"/>
        <v/>
      </c>
      <c r="AM1219" s="73" t="str">
        <f t="shared" si="421"/>
        <v/>
      </c>
      <c r="AN1219" s="73" t="str">
        <f t="shared" si="422"/>
        <v/>
      </c>
    </row>
    <row r="1220" spans="16:40" x14ac:dyDescent="0.25">
      <c r="P1220" s="73" t="str">
        <f t="shared" si="406"/>
        <v/>
      </c>
      <c r="Q1220" s="73" t="str">
        <f t="shared" si="407"/>
        <v/>
      </c>
      <c r="R1220" s="74" t="str">
        <f t="shared" si="408"/>
        <v/>
      </c>
      <c r="S1220" s="74" t="str">
        <f t="shared" si="409"/>
        <v/>
      </c>
      <c r="U1220" s="74" t="str">
        <f t="shared" si="405"/>
        <v/>
      </c>
      <c r="V1220" s="74" t="str">
        <f t="shared" si="405"/>
        <v/>
      </c>
      <c r="W1220" s="74" t="str">
        <f t="shared" si="405"/>
        <v/>
      </c>
      <c r="X1220" s="74" t="str">
        <f t="shared" si="405"/>
        <v/>
      </c>
      <c r="Y1220" s="74" t="str">
        <f t="shared" si="405"/>
        <v/>
      </c>
      <c r="Z1220" s="74" t="str">
        <f t="shared" si="410"/>
        <v/>
      </c>
      <c r="AA1220" s="74">
        <f t="shared" si="411"/>
        <v>0</v>
      </c>
      <c r="AB1220" s="74">
        <f t="shared" si="412"/>
        <v>0</v>
      </c>
      <c r="AC1220" s="74" t="str">
        <f t="shared" si="413"/>
        <v/>
      </c>
      <c r="AE1220" s="74" t="str">
        <f t="shared" si="414"/>
        <v/>
      </c>
      <c r="AF1220" s="74" t="str">
        <f t="shared" si="415"/>
        <v/>
      </c>
      <c r="AG1220" s="74" t="str">
        <f t="shared" si="416"/>
        <v/>
      </c>
      <c r="AH1220" s="74">
        <f t="shared" si="417"/>
        <v>0</v>
      </c>
      <c r="AI1220" s="74" t="str">
        <f>IF(AH1220&lt;&gt;0,COUNTIF(AH$3:AH1220,1),"")</f>
        <v/>
      </c>
      <c r="AJ1220" s="74">
        <f t="shared" si="418"/>
        <v>0</v>
      </c>
      <c r="AK1220" s="73" t="str">
        <f t="shared" si="419"/>
        <v/>
      </c>
      <c r="AL1220" s="73" t="str">
        <f t="shared" si="420"/>
        <v/>
      </c>
      <c r="AM1220" s="73" t="str">
        <f t="shared" si="421"/>
        <v/>
      </c>
      <c r="AN1220" s="73" t="str">
        <f t="shared" si="422"/>
        <v/>
      </c>
    </row>
    <row r="1221" spans="16:40" x14ac:dyDescent="0.25">
      <c r="P1221" s="73" t="str">
        <f t="shared" si="406"/>
        <v/>
      </c>
      <c r="Q1221" s="73" t="str">
        <f t="shared" si="407"/>
        <v/>
      </c>
      <c r="R1221" s="74" t="str">
        <f t="shared" si="408"/>
        <v/>
      </c>
      <c r="S1221" s="74" t="str">
        <f t="shared" si="409"/>
        <v/>
      </c>
      <c r="U1221" s="74" t="str">
        <f t="shared" si="405"/>
        <v/>
      </c>
      <c r="V1221" s="74" t="str">
        <f t="shared" si="405"/>
        <v/>
      </c>
      <c r="W1221" s="74" t="str">
        <f t="shared" si="405"/>
        <v/>
      </c>
      <c r="X1221" s="74" t="str">
        <f t="shared" si="405"/>
        <v/>
      </c>
      <c r="Y1221" s="74" t="str">
        <f t="shared" si="405"/>
        <v/>
      </c>
      <c r="Z1221" s="74" t="str">
        <f t="shared" si="410"/>
        <v/>
      </c>
      <c r="AA1221" s="74">
        <f t="shared" si="411"/>
        <v>0</v>
      </c>
      <c r="AB1221" s="74">
        <f t="shared" si="412"/>
        <v>0</v>
      </c>
      <c r="AC1221" s="74" t="str">
        <f t="shared" si="413"/>
        <v/>
      </c>
      <c r="AE1221" s="74" t="str">
        <f t="shared" si="414"/>
        <v/>
      </c>
      <c r="AF1221" s="74" t="str">
        <f t="shared" si="415"/>
        <v/>
      </c>
      <c r="AG1221" s="74" t="str">
        <f t="shared" si="416"/>
        <v/>
      </c>
      <c r="AH1221" s="74">
        <f t="shared" si="417"/>
        <v>0</v>
      </c>
      <c r="AI1221" s="74" t="str">
        <f>IF(AH1221&lt;&gt;0,COUNTIF(AH$3:AH1221,1),"")</f>
        <v/>
      </c>
      <c r="AJ1221" s="74">
        <f t="shared" si="418"/>
        <v>0</v>
      </c>
      <c r="AK1221" s="73" t="str">
        <f t="shared" si="419"/>
        <v/>
      </c>
      <c r="AL1221" s="73" t="str">
        <f t="shared" si="420"/>
        <v/>
      </c>
      <c r="AM1221" s="73" t="str">
        <f t="shared" si="421"/>
        <v/>
      </c>
      <c r="AN1221" s="73" t="str">
        <f t="shared" si="422"/>
        <v/>
      </c>
    </row>
    <row r="1222" spans="16:40" x14ac:dyDescent="0.25">
      <c r="P1222" s="73" t="str">
        <f t="shared" si="406"/>
        <v/>
      </c>
      <c r="Q1222" s="73" t="str">
        <f t="shared" si="407"/>
        <v/>
      </c>
      <c r="R1222" s="74" t="str">
        <f t="shared" si="408"/>
        <v/>
      </c>
      <c r="S1222" s="74" t="str">
        <f t="shared" si="409"/>
        <v/>
      </c>
      <c r="U1222" s="74" t="str">
        <f t="shared" si="405"/>
        <v/>
      </c>
      <c r="V1222" s="74" t="str">
        <f t="shared" si="405"/>
        <v/>
      </c>
      <c r="W1222" s="74" t="str">
        <f t="shared" si="405"/>
        <v/>
      </c>
      <c r="X1222" s="74" t="str">
        <f t="shared" si="405"/>
        <v/>
      </c>
      <c r="Y1222" s="74" t="str">
        <f t="shared" si="405"/>
        <v/>
      </c>
      <c r="Z1222" s="74" t="str">
        <f t="shared" si="410"/>
        <v/>
      </c>
      <c r="AA1222" s="74">
        <f t="shared" si="411"/>
        <v>0</v>
      </c>
      <c r="AB1222" s="74">
        <f t="shared" si="412"/>
        <v>0</v>
      </c>
      <c r="AC1222" s="74" t="str">
        <f t="shared" si="413"/>
        <v/>
      </c>
      <c r="AE1222" s="74" t="str">
        <f t="shared" si="414"/>
        <v/>
      </c>
      <c r="AF1222" s="74" t="str">
        <f t="shared" si="415"/>
        <v/>
      </c>
      <c r="AG1222" s="74" t="str">
        <f t="shared" si="416"/>
        <v/>
      </c>
      <c r="AH1222" s="74">
        <f t="shared" si="417"/>
        <v>0</v>
      </c>
      <c r="AI1222" s="74" t="str">
        <f>IF(AH1222&lt;&gt;0,COUNTIF(AH$3:AH1222,1),"")</f>
        <v/>
      </c>
      <c r="AJ1222" s="74">
        <f t="shared" si="418"/>
        <v>0</v>
      </c>
      <c r="AK1222" s="73" t="str">
        <f t="shared" si="419"/>
        <v/>
      </c>
      <c r="AL1222" s="73" t="str">
        <f t="shared" si="420"/>
        <v/>
      </c>
      <c r="AM1222" s="73" t="str">
        <f t="shared" si="421"/>
        <v/>
      </c>
      <c r="AN1222" s="73" t="str">
        <f t="shared" si="422"/>
        <v/>
      </c>
    </row>
    <row r="1223" spans="16:40" x14ac:dyDescent="0.25">
      <c r="P1223" s="73" t="str">
        <f t="shared" si="406"/>
        <v/>
      </c>
      <c r="Q1223" s="73" t="str">
        <f t="shared" si="407"/>
        <v/>
      </c>
      <c r="R1223" s="74" t="str">
        <f t="shared" si="408"/>
        <v/>
      </c>
      <c r="S1223" s="74" t="str">
        <f t="shared" si="409"/>
        <v/>
      </c>
      <c r="U1223" s="74" t="str">
        <f t="shared" si="405"/>
        <v/>
      </c>
      <c r="V1223" s="74" t="str">
        <f t="shared" si="405"/>
        <v/>
      </c>
      <c r="W1223" s="74" t="str">
        <f t="shared" si="405"/>
        <v/>
      </c>
      <c r="X1223" s="74" t="str">
        <f t="shared" si="405"/>
        <v/>
      </c>
      <c r="Y1223" s="74" t="str">
        <f t="shared" si="405"/>
        <v/>
      </c>
      <c r="Z1223" s="74" t="str">
        <f t="shared" si="410"/>
        <v/>
      </c>
      <c r="AA1223" s="74">
        <f t="shared" si="411"/>
        <v>0</v>
      </c>
      <c r="AB1223" s="74">
        <f t="shared" si="412"/>
        <v>0</v>
      </c>
      <c r="AC1223" s="74" t="str">
        <f t="shared" si="413"/>
        <v/>
      </c>
      <c r="AE1223" s="74" t="str">
        <f t="shared" si="414"/>
        <v/>
      </c>
      <c r="AF1223" s="74" t="str">
        <f t="shared" si="415"/>
        <v/>
      </c>
      <c r="AG1223" s="74" t="str">
        <f t="shared" si="416"/>
        <v/>
      </c>
      <c r="AH1223" s="74">
        <f t="shared" si="417"/>
        <v>0</v>
      </c>
      <c r="AI1223" s="74" t="str">
        <f>IF(AH1223&lt;&gt;0,COUNTIF(AH$3:AH1223,1),"")</f>
        <v/>
      </c>
      <c r="AJ1223" s="74">
        <f t="shared" si="418"/>
        <v>0</v>
      </c>
      <c r="AK1223" s="73" t="str">
        <f t="shared" si="419"/>
        <v/>
      </c>
      <c r="AL1223" s="73" t="str">
        <f t="shared" si="420"/>
        <v/>
      </c>
      <c r="AM1223" s="73" t="str">
        <f t="shared" si="421"/>
        <v/>
      </c>
      <c r="AN1223" s="73" t="str">
        <f t="shared" si="422"/>
        <v/>
      </c>
    </row>
    <row r="1224" spans="16:40" x14ac:dyDescent="0.25">
      <c r="P1224" s="73" t="str">
        <f t="shared" si="406"/>
        <v/>
      </c>
      <c r="Q1224" s="73" t="str">
        <f t="shared" si="407"/>
        <v/>
      </c>
      <c r="R1224" s="74" t="str">
        <f t="shared" si="408"/>
        <v/>
      </c>
      <c r="S1224" s="74" t="str">
        <f t="shared" si="409"/>
        <v/>
      </c>
      <c r="U1224" s="74" t="str">
        <f t="shared" si="405"/>
        <v/>
      </c>
      <c r="V1224" s="74" t="str">
        <f t="shared" si="405"/>
        <v/>
      </c>
      <c r="W1224" s="74" t="str">
        <f t="shared" si="405"/>
        <v/>
      </c>
      <c r="X1224" s="74" t="str">
        <f t="shared" si="405"/>
        <v/>
      </c>
      <c r="Y1224" s="74" t="str">
        <f t="shared" si="405"/>
        <v/>
      </c>
      <c r="Z1224" s="74" t="str">
        <f t="shared" si="410"/>
        <v/>
      </c>
      <c r="AA1224" s="74">
        <f t="shared" si="411"/>
        <v>0</v>
      </c>
      <c r="AB1224" s="74">
        <f t="shared" si="412"/>
        <v>0</v>
      </c>
      <c r="AC1224" s="74" t="str">
        <f t="shared" si="413"/>
        <v/>
      </c>
      <c r="AE1224" s="74" t="str">
        <f t="shared" si="414"/>
        <v/>
      </c>
      <c r="AF1224" s="74" t="str">
        <f t="shared" si="415"/>
        <v/>
      </c>
      <c r="AG1224" s="74" t="str">
        <f t="shared" si="416"/>
        <v/>
      </c>
      <c r="AH1224" s="74">
        <f t="shared" si="417"/>
        <v>0</v>
      </c>
      <c r="AI1224" s="74" t="str">
        <f>IF(AH1224&lt;&gt;0,COUNTIF(AH$3:AH1224,1),"")</f>
        <v/>
      </c>
      <c r="AJ1224" s="74">
        <f t="shared" si="418"/>
        <v>0</v>
      </c>
      <c r="AK1224" s="73" t="str">
        <f t="shared" si="419"/>
        <v/>
      </c>
      <c r="AL1224" s="73" t="str">
        <f t="shared" si="420"/>
        <v/>
      </c>
      <c r="AM1224" s="73" t="str">
        <f t="shared" si="421"/>
        <v/>
      </c>
      <c r="AN1224" s="73" t="str">
        <f t="shared" si="422"/>
        <v/>
      </c>
    </row>
    <row r="1225" spans="16:40" x14ac:dyDescent="0.25">
      <c r="P1225" s="73" t="str">
        <f t="shared" si="406"/>
        <v/>
      </c>
      <c r="Q1225" s="73" t="str">
        <f t="shared" si="407"/>
        <v/>
      </c>
      <c r="R1225" s="74" t="str">
        <f t="shared" si="408"/>
        <v/>
      </c>
      <c r="S1225" s="74" t="str">
        <f t="shared" si="409"/>
        <v/>
      </c>
      <c r="U1225" s="74" t="str">
        <f t="shared" si="405"/>
        <v/>
      </c>
      <c r="V1225" s="74" t="str">
        <f t="shared" si="405"/>
        <v/>
      </c>
      <c r="W1225" s="74" t="str">
        <f t="shared" si="405"/>
        <v/>
      </c>
      <c r="X1225" s="74" t="str">
        <f t="shared" si="405"/>
        <v/>
      </c>
      <c r="Y1225" s="74" t="str">
        <f t="shared" si="405"/>
        <v/>
      </c>
      <c r="Z1225" s="74" t="str">
        <f t="shared" si="410"/>
        <v/>
      </c>
      <c r="AA1225" s="74">
        <f t="shared" si="411"/>
        <v>0</v>
      </c>
      <c r="AB1225" s="74">
        <f t="shared" si="412"/>
        <v>0</v>
      </c>
      <c r="AC1225" s="74" t="str">
        <f t="shared" si="413"/>
        <v/>
      </c>
      <c r="AE1225" s="74" t="str">
        <f t="shared" si="414"/>
        <v/>
      </c>
      <c r="AF1225" s="74" t="str">
        <f t="shared" si="415"/>
        <v/>
      </c>
      <c r="AG1225" s="74" t="str">
        <f t="shared" si="416"/>
        <v/>
      </c>
      <c r="AH1225" s="74">
        <f t="shared" si="417"/>
        <v>0</v>
      </c>
      <c r="AI1225" s="74" t="str">
        <f>IF(AH1225&lt;&gt;0,COUNTIF(AH$3:AH1225,1),"")</f>
        <v/>
      </c>
      <c r="AJ1225" s="74">
        <f t="shared" si="418"/>
        <v>0</v>
      </c>
      <c r="AK1225" s="73" t="str">
        <f t="shared" si="419"/>
        <v/>
      </c>
      <c r="AL1225" s="73" t="str">
        <f t="shared" si="420"/>
        <v/>
      </c>
      <c r="AM1225" s="73" t="str">
        <f t="shared" si="421"/>
        <v/>
      </c>
      <c r="AN1225" s="73" t="str">
        <f t="shared" si="422"/>
        <v/>
      </c>
    </row>
    <row r="1226" spans="16:40" x14ac:dyDescent="0.25">
      <c r="P1226" s="73" t="str">
        <f t="shared" si="406"/>
        <v/>
      </c>
      <c r="Q1226" s="73" t="str">
        <f t="shared" si="407"/>
        <v/>
      </c>
      <c r="R1226" s="74" t="str">
        <f t="shared" si="408"/>
        <v/>
      </c>
      <c r="S1226" s="74" t="str">
        <f t="shared" si="409"/>
        <v/>
      </c>
      <c r="U1226" s="74" t="str">
        <f t="shared" si="405"/>
        <v/>
      </c>
      <c r="V1226" s="74" t="str">
        <f t="shared" si="405"/>
        <v/>
      </c>
      <c r="W1226" s="74" t="str">
        <f t="shared" si="405"/>
        <v/>
      </c>
      <c r="X1226" s="74" t="str">
        <f t="shared" si="405"/>
        <v/>
      </c>
      <c r="Y1226" s="74" t="str">
        <f t="shared" si="405"/>
        <v/>
      </c>
      <c r="Z1226" s="74" t="str">
        <f t="shared" si="410"/>
        <v/>
      </c>
      <c r="AA1226" s="74">
        <f t="shared" si="411"/>
        <v>0</v>
      </c>
      <c r="AB1226" s="74">
        <f t="shared" si="412"/>
        <v>0</v>
      </c>
      <c r="AC1226" s="74" t="str">
        <f t="shared" si="413"/>
        <v/>
      </c>
      <c r="AE1226" s="74" t="str">
        <f t="shared" si="414"/>
        <v/>
      </c>
      <c r="AF1226" s="74" t="str">
        <f t="shared" si="415"/>
        <v/>
      </c>
      <c r="AG1226" s="74" t="str">
        <f t="shared" si="416"/>
        <v/>
      </c>
      <c r="AH1226" s="74">
        <f t="shared" si="417"/>
        <v>0</v>
      </c>
      <c r="AI1226" s="74" t="str">
        <f>IF(AH1226&lt;&gt;0,COUNTIF(AH$3:AH1226,1),"")</f>
        <v/>
      </c>
      <c r="AJ1226" s="74">
        <f t="shared" si="418"/>
        <v>0</v>
      </c>
      <c r="AK1226" s="73" t="str">
        <f t="shared" si="419"/>
        <v/>
      </c>
      <c r="AL1226" s="73" t="str">
        <f t="shared" si="420"/>
        <v/>
      </c>
      <c r="AM1226" s="73" t="str">
        <f t="shared" si="421"/>
        <v/>
      </c>
      <c r="AN1226" s="73" t="str">
        <f t="shared" si="422"/>
        <v/>
      </c>
    </row>
    <row r="1227" spans="16:40" x14ac:dyDescent="0.25">
      <c r="P1227" s="73" t="str">
        <f t="shared" si="406"/>
        <v/>
      </c>
      <c r="Q1227" s="73" t="str">
        <f t="shared" si="407"/>
        <v/>
      </c>
      <c r="R1227" s="74" t="str">
        <f t="shared" si="408"/>
        <v/>
      </c>
      <c r="S1227" s="74" t="str">
        <f t="shared" si="409"/>
        <v/>
      </c>
      <c r="U1227" s="74" t="str">
        <f t="shared" si="405"/>
        <v/>
      </c>
      <c r="V1227" s="74" t="str">
        <f t="shared" si="405"/>
        <v/>
      </c>
      <c r="W1227" s="74" t="str">
        <f t="shared" si="405"/>
        <v/>
      </c>
      <c r="X1227" s="74" t="str">
        <f t="shared" si="405"/>
        <v/>
      </c>
      <c r="Y1227" s="74" t="str">
        <f t="shared" si="405"/>
        <v/>
      </c>
      <c r="Z1227" s="74" t="str">
        <f t="shared" si="410"/>
        <v/>
      </c>
      <c r="AA1227" s="74">
        <f t="shared" si="411"/>
        <v>0</v>
      </c>
      <c r="AB1227" s="74">
        <f t="shared" si="412"/>
        <v>0</v>
      </c>
      <c r="AC1227" s="74" t="str">
        <f t="shared" si="413"/>
        <v/>
      </c>
      <c r="AE1227" s="74" t="str">
        <f t="shared" si="414"/>
        <v/>
      </c>
      <c r="AF1227" s="74" t="str">
        <f t="shared" si="415"/>
        <v/>
      </c>
      <c r="AG1227" s="74" t="str">
        <f t="shared" si="416"/>
        <v/>
      </c>
      <c r="AH1227" s="74">
        <f t="shared" si="417"/>
        <v>0</v>
      </c>
      <c r="AI1227" s="74" t="str">
        <f>IF(AH1227&lt;&gt;0,COUNTIF(AH$3:AH1227,1),"")</f>
        <v/>
      </c>
      <c r="AJ1227" s="74">
        <f t="shared" si="418"/>
        <v>0</v>
      </c>
      <c r="AK1227" s="73" t="str">
        <f t="shared" si="419"/>
        <v/>
      </c>
      <c r="AL1227" s="73" t="str">
        <f t="shared" si="420"/>
        <v/>
      </c>
      <c r="AM1227" s="73" t="str">
        <f t="shared" si="421"/>
        <v/>
      </c>
      <c r="AN1227" s="73" t="str">
        <f t="shared" si="422"/>
        <v/>
      </c>
    </row>
    <row r="1228" spans="16:40" x14ac:dyDescent="0.25">
      <c r="P1228" s="73" t="str">
        <f t="shared" si="406"/>
        <v/>
      </c>
      <c r="Q1228" s="73" t="str">
        <f t="shared" si="407"/>
        <v/>
      </c>
      <c r="R1228" s="74" t="str">
        <f t="shared" si="408"/>
        <v/>
      </c>
      <c r="S1228" s="74" t="str">
        <f t="shared" si="409"/>
        <v/>
      </c>
      <c r="U1228" s="74" t="str">
        <f t="shared" si="405"/>
        <v/>
      </c>
      <c r="V1228" s="74" t="str">
        <f t="shared" si="405"/>
        <v/>
      </c>
      <c r="W1228" s="74" t="str">
        <f t="shared" si="405"/>
        <v/>
      </c>
      <c r="X1228" s="74" t="str">
        <f t="shared" si="405"/>
        <v/>
      </c>
      <c r="Y1228" s="74" t="str">
        <f t="shared" si="405"/>
        <v/>
      </c>
      <c r="Z1228" s="74" t="str">
        <f t="shared" si="410"/>
        <v/>
      </c>
      <c r="AA1228" s="74">
        <f t="shared" si="411"/>
        <v>0</v>
      </c>
      <c r="AB1228" s="74">
        <f t="shared" si="412"/>
        <v>0</v>
      </c>
      <c r="AC1228" s="74" t="str">
        <f t="shared" si="413"/>
        <v/>
      </c>
      <c r="AE1228" s="74" t="str">
        <f t="shared" si="414"/>
        <v/>
      </c>
      <c r="AF1228" s="74" t="str">
        <f t="shared" si="415"/>
        <v/>
      </c>
      <c r="AG1228" s="74" t="str">
        <f t="shared" si="416"/>
        <v/>
      </c>
      <c r="AH1228" s="74">
        <f t="shared" si="417"/>
        <v>0</v>
      </c>
      <c r="AI1228" s="74" t="str">
        <f>IF(AH1228&lt;&gt;0,COUNTIF(AH$3:AH1228,1),"")</f>
        <v/>
      </c>
      <c r="AJ1228" s="74">
        <f t="shared" si="418"/>
        <v>0</v>
      </c>
      <c r="AK1228" s="73" t="str">
        <f t="shared" si="419"/>
        <v/>
      </c>
      <c r="AL1228" s="73" t="str">
        <f t="shared" si="420"/>
        <v/>
      </c>
      <c r="AM1228" s="73" t="str">
        <f t="shared" si="421"/>
        <v/>
      </c>
      <c r="AN1228" s="73" t="str">
        <f t="shared" si="422"/>
        <v/>
      </c>
    </row>
    <row r="1229" spans="16:40" x14ac:dyDescent="0.25">
      <c r="P1229" s="73" t="str">
        <f t="shared" si="406"/>
        <v/>
      </c>
      <c r="Q1229" s="73" t="str">
        <f t="shared" si="407"/>
        <v/>
      </c>
      <c r="R1229" s="74" t="str">
        <f t="shared" si="408"/>
        <v/>
      </c>
      <c r="S1229" s="74" t="str">
        <f t="shared" si="409"/>
        <v/>
      </c>
      <c r="U1229" s="74" t="str">
        <f t="shared" si="405"/>
        <v/>
      </c>
      <c r="V1229" s="74" t="str">
        <f t="shared" si="405"/>
        <v/>
      </c>
      <c r="W1229" s="74" t="str">
        <f t="shared" si="405"/>
        <v/>
      </c>
      <c r="X1229" s="74" t="str">
        <f t="shared" si="405"/>
        <v/>
      </c>
      <c r="Y1229" s="74" t="str">
        <f t="shared" si="405"/>
        <v/>
      </c>
      <c r="Z1229" s="74" t="str">
        <f t="shared" si="410"/>
        <v/>
      </c>
      <c r="AA1229" s="74">
        <f t="shared" si="411"/>
        <v>0</v>
      </c>
      <c r="AB1229" s="74">
        <f t="shared" si="412"/>
        <v>0</v>
      </c>
      <c r="AC1229" s="74" t="str">
        <f t="shared" si="413"/>
        <v/>
      </c>
      <c r="AE1229" s="74" t="str">
        <f t="shared" si="414"/>
        <v/>
      </c>
      <c r="AF1229" s="74" t="str">
        <f t="shared" si="415"/>
        <v/>
      </c>
      <c r="AG1229" s="74" t="str">
        <f t="shared" si="416"/>
        <v/>
      </c>
      <c r="AH1229" s="74">
        <f t="shared" si="417"/>
        <v>0</v>
      </c>
      <c r="AI1229" s="74" t="str">
        <f>IF(AH1229&lt;&gt;0,COUNTIF(AH$3:AH1229,1),"")</f>
        <v/>
      </c>
      <c r="AJ1229" s="74">
        <f t="shared" si="418"/>
        <v>0</v>
      </c>
      <c r="AK1229" s="73" t="str">
        <f t="shared" si="419"/>
        <v/>
      </c>
      <c r="AL1229" s="73" t="str">
        <f t="shared" si="420"/>
        <v/>
      </c>
      <c r="AM1229" s="73" t="str">
        <f t="shared" si="421"/>
        <v/>
      </c>
      <c r="AN1229" s="73" t="str">
        <f t="shared" si="422"/>
        <v/>
      </c>
    </row>
    <row r="1230" spans="16:40" x14ac:dyDescent="0.25">
      <c r="P1230" s="73" t="str">
        <f t="shared" si="406"/>
        <v/>
      </c>
      <c r="Q1230" s="73" t="str">
        <f t="shared" si="407"/>
        <v/>
      </c>
      <c r="R1230" s="74" t="str">
        <f t="shared" si="408"/>
        <v/>
      </c>
      <c r="S1230" s="74" t="str">
        <f t="shared" si="409"/>
        <v/>
      </c>
      <c r="U1230" s="74" t="str">
        <f t="shared" si="405"/>
        <v/>
      </c>
      <c r="V1230" s="74" t="str">
        <f t="shared" si="405"/>
        <v/>
      </c>
      <c r="W1230" s="74" t="str">
        <f t="shared" si="405"/>
        <v/>
      </c>
      <c r="X1230" s="74" t="str">
        <f t="shared" si="405"/>
        <v/>
      </c>
      <c r="Y1230" s="74" t="str">
        <f t="shared" si="405"/>
        <v/>
      </c>
      <c r="Z1230" s="74" t="str">
        <f t="shared" si="410"/>
        <v/>
      </c>
      <c r="AA1230" s="74">
        <f t="shared" si="411"/>
        <v>0</v>
      </c>
      <c r="AB1230" s="74">
        <f t="shared" si="412"/>
        <v>0</v>
      </c>
      <c r="AC1230" s="74" t="str">
        <f t="shared" si="413"/>
        <v/>
      </c>
      <c r="AE1230" s="74" t="str">
        <f t="shared" si="414"/>
        <v/>
      </c>
      <c r="AF1230" s="74" t="str">
        <f t="shared" si="415"/>
        <v/>
      </c>
      <c r="AG1230" s="74" t="str">
        <f t="shared" si="416"/>
        <v/>
      </c>
      <c r="AH1230" s="74">
        <f t="shared" si="417"/>
        <v>0</v>
      </c>
      <c r="AI1230" s="74" t="str">
        <f>IF(AH1230&lt;&gt;0,COUNTIF(AH$3:AH1230,1),"")</f>
        <v/>
      </c>
      <c r="AJ1230" s="74">
        <f t="shared" si="418"/>
        <v>0</v>
      </c>
      <c r="AK1230" s="73" t="str">
        <f t="shared" si="419"/>
        <v/>
      </c>
      <c r="AL1230" s="73" t="str">
        <f t="shared" si="420"/>
        <v/>
      </c>
      <c r="AM1230" s="73" t="str">
        <f t="shared" si="421"/>
        <v/>
      </c>
      <c r="AN1230" s="73" t="str">
        <f t="shared" si="422"/>
        <v/>
      </c>
    </row>
    <row r="1231" spans="16:40" x14ac:dyDescent="0.25">
      <c r="P1231" s="73" t="str">
        <f t="shared" si="406"/>
        <v/>
      </c>
      <c r="Q1231" s="73" t="str">
        <f t="shared" si="407"/>
        <v/>
      </c>
      <c r="R1231" s="74" t="str">
        <f t="shared" si="408"/>
        <v/>
      </c>
      <c r="S1231" s="74" t="str">
        <f t="shared" si="409"/>
        <v/>
      </c>
      <c r="U1231" s="74" t="str">
        <f t="shared" si="405"/>
        <v/>
      </c>
      <c r="V1231" s="74" t="str">
        <f t="shared" si="405"/>
        <v/>
      </c>
      <c r="W1231" s="74" t="str">
        <f t="shared" si="405"/>
        <v/>
      </c>
      <c r="X1231" s="74" t="str">
        <f t="shared" si="405"/>
        <v/>
      </c>
      <c r="Y1231" s="74" t="str">
        <f t="shared" si="405"/>
        <v/>
      </c>
      <c r="Z1231" s="74" t="str">
        <f t="shared" si="410"/>
        <v/>
      </c>
      <c r="AA1231" s="74">
        <f t="shared" si="411"/>
        <v>0</v>
      </c>
      <c r="AB1231" s="74">
        <f t="shared" si="412"/>
        <v>0</v>
      </c>
      <c r="AC1231" s="74" t="str">
        <f t="shared" si="413"/>
        <v/>
      </c>
      <c r="AE1231" s="74" t="str">
        <f t="shared" si="414"/>
        <v/>
      </c>
      <c r="AF1231" s="74" t="str">
        <f t="shared" si="415"/>
        <v/>
      </c>
      <c r="AG1231" s="74" t="str">
        <f t="shared" si="416"/>
        <v/>
      </c>
      <c r="AH1231" s="74">
        <f t="shared" si="417"/>
        <v>0</v>
      </c>
      <c r="AI1231" s="74" t="str">
        <f>IF(AH1231&lt;&gt;0,COUNTIF(AH$3:AH1231,1),"")</f>
        <v/>
      </c>
      <c r="AJ1231" s="74">
        <f t="shared" si="418"/>
        <v>0</v>
      </c>
      <c r="AK1231" s="73" t="str">
        <f t="shared" si="419"/>
        <v/>
      </c>
      <c r="AL1231" s="73" t="str">
        <f t="shared" si="420"/>
        <v/>
      </c>
      <c r="AM1231" s="73" t="str">
        <f t="shared" si="421"/>
        <v/>
      </c>
      <c r="AN1231" s="73" t="str">
        <f t="shared" si="422"/>
        <v/>
      </c>
    </row>
    <row r="1232" spans="16:40" x14ac:dyDescent="0.25">
      <c r="P1232" s="73" t="str">
        <f t="shared" si="406"/>
        <v/>
      </c>
      <c r="Q1232" s="73" t="str">
        <f t="shared" si="407"/>
        <v/>
      </c>
      <c r="R1232" s="74" t="str">
        <f t="shared" si="408"/>
        <v/>
      </c>
      <c r="S1232" s="74" t="str">
        <f t="shared" si="409"/>
        <v/>
      </c>
      <c r="U1232" s="74" t="str">
        <f t="shared" si="405"/>
        <v/>
      </c>
      <c r="V1232" s="74" t="str">
        <f t="shared" si="405"/>
        <v/>
      </c>
      <c r="W1232" s="74" t="str">
        <f t="shared" si="405"/>
        <v/>
      </c>
      <c r="X1232" s="74" t="str">
        <f t="shared" si="405"/>
        <v/>
      </c>
      <c r="Y1232" s="74" t="str">
        <f t="shared" si="405"/>
        <v/>
      </c>
      <c r="Z1232" s="74" t="str">
        <f t="shared" si="410"/>
        <v/>
      </c>
      <c r="AA1232" s="74">
        <f t="shared" si="411"/>
        <v>0</v>
      </c>
      <c r="AB1232" s="74">
        <f t="shared" si="412"/>
        <v>0</v>
      </c>
      <c r="AC1232" s="74" t="str">
        <f t="shared" si="413"/>
        <v/>
      </c>
      <c r="AE1232" s="74" t="str">
        <f t="shared" si="414"/>
        <v/>
      </c>
      <c r="AF1232" s="74" t="str">
        <f t="shared" si="415"/>
        <v/>
      </c>
      <c r="AG1232" s="74" t="str">
        <f t="shared" si="416"/>
        <v/>
      </c>
      <c r="AH1232" s="74">
        <f t="shared" si="417"/>
        <v>0</v>
      </c>
      <c r="AI1232" s="74" t="str">
        <f>IF(AH1232&lt;&gt;0,COUNTIF(AH$3:AH1232,1),"")</f>
        <v/>
      </c>
      <c r="AJ1232" s="74">
        <f t="shared" si="418"/>
        <v>0</v>
      </c>
      <c r="AK1232" s="73" t="str">
        <f t="shared" si="419"/>
        <v/>
      </c>
      <c r="AL1232" s="73" t="str">
        <f t="shared" si="420"/>
        <v/>
      </c>
      <c r="AM1232" s="73" t="str">
        <f t="shared" si="421"/>
        <v/>
      </c>
      <c r="AN1232" s="73" t="str">
        <f t="shared" si="422"/>
        <v/>
      </c>
    </row>
    <row r="1233" spans="16:40" x14ac:dyDescent="0.25">
      <c r="P1233" s="73" t="str">
        <f t="shared" si="406"/>
        <v/>
      </c>
      <c r="Q1233" s="73" t="str">
        <f t="shared" si="407"/>
        <v/>
      </c>
      <c r="R1233" s="74" t="str">
        <f t="shared" si="408"/>
        <v/>
      </c>
      <c r="S1233" s="74" t="str">
        <f t="shared" si="409"/>
        <v/>
      </c>
      <c r="U1233" s="74" t="str">
        <f t="shared" si="405"/>
        <v/>
      </c>
      <c r="V1233" s="74" t="str">
        <f t="shared" si="405"/>
        <v/>
      </c>
      <c r="W1233" s="74" t="str">
        <f t="shared" si="405"/>
        <v/>
      </c>
      <c r="X1233" s="74" t="str">
        <f t="shared" si="405"/>
        <v/>
      </c>
      <c r="Y1233" s="74" t="str">
        <f t="shared" si="405"/>
        <v/>
      </c>
      <c r="Z1233" s="74" t="str">
        <f t="shared" si="410"/>
        <v/>
      </c>
      <c r="AA1233" s="74">
        <f t="shared" si="411"/>
        <v>0</v>
      </c>
      <c r="AB1233" s="74">
        <f t="shared" si="412"/>
        <v>0</v>
      </c>
      <c r="AC1233" s="74" t="str">
        <f t="shared" si="413"/>
        <v/>
      </c>
      <c r="AE1233" s="74" t="str">
        <f t="shared" si="414"/>
        <v/>
      </c>
      <c r="AF1233" s="74" t="str">
        <f t="shared" si="415"/>
        <v/>
      </c>
      <c r="AG1233" s="74" t="str">
        <f t="shared" si="416"/>
        <v/>
      </c>
      <c r="AH1233" s="74">
        <f t="shared" si="417"/>
        <v>0</v>
      </c>
      <c r="AI1233" s="74" t="str">
        <f>IF(AH1233&lt;&gt;0,COUNTIF(AH$3:AH1233,1),"")</f>
        <v/>
      </c>
      <c r="AJ1233" s="74">
        <f t="shared" si="418"/>
        <v>0</v>
      </c>
      <c r="AK1233" s="73" t="str">
        <f t="shared" si="419"/>
        <v/>
      </c>
      <c r="AL1233" s="73" t="str">
        <f t="shared" si="420"/>
        <v/>
      </c>
      <c r="AM1233" s="73" t="str">
        <f t="shared" si="421"/>
        <v/>
      </c>
      <c r="AN1233" s="73" t="str">
        <f t="shared" si="422"/>
        <v/>
      </c>
    </row>
    <row r="1234" spans="16:40" x14ac:dyDescent="0.25">
      <c r="P1234" s="73" t="str">
        <f t="shared" si="406"/>
        <v/>
      </c>
      <c r="Q1234" s="73" t="str">
        <f t="shared" si="407"/>
        <v/>
      </c>
      <c r="R1234" s="74" t="str">
        <f t="shared" si="408"/>
        <v/>
      </c>
      <c r="S1234" s="74" t="str">
        <f t="shared" si="409"/>
        <v/>
      </c>
      <c r="U1234" s="74" t="str">
        <f t="shared" si="405"/>
        <v/>
      </c>
      <c r="V1234" s="74" t="str">
        <f t="shared" si="405"/>
        <v/>
      </c>
      <c r="W1234" s="74" t="str">
        <f t="shared" si="405"/>
        <v/>
      </c>
      <c r="X1234" s="74" t="str">
        <f t="shared" si="405"/>
        <v/>
      </c>
      <c r="Y1234" s="74" t="str">
        <f t="shared" si="405"/>
        <v/>
      </c>
      <c r="Z1234" s="74" t="str">
        <f t="shared" si="410"/>
        <v/>
      </c>
      <c r="AA1234" s="74">
        <f t="shared" si="411"/>
        <v>0</v>
      </c>
      <c r="AB1234" s="74">
        <f t="shared" si="412"/>
        <v>0</v>
      </c>
      <c r="AC1234" s="74" t="str">
        <f t="shared" si="413"/>
        <v/>
      </c>
      <c r="AE1234" s="74" t="str">
        <f t="shared" si="414"/>
        <v/>
      </c>
      <c r="AF1234" s="74" t="str">
        <f t="shared" si="415"/>
        <v/>
      </c>
      <c r="AG1234" s="74" t="str">
        <f t="shared" si="416"/>
        <v/>
      </c>
      <c r="AH1234" s="74">
        <f t="shared" si="417"/>
        <v>0</v>
      </c>
      <c r="AI1234" s="74" t="str">
        <f>IF(AH1234&lt;&gt;0,COUNTIF(AH$3:AH1234,1),"")</f>
        <v/>
      </c>
      <c r="AJ1234" s="74">
        <f t="shared" si="418"/>
        <v>0</v>
      </c>
      <c r="AK1234" s="73" t="str">
        <f t="shared" si="419"/>
        <v/>
      </c>
      <c r="AL1234" s="73" t="str">
        <f t="shared" si="420"/>
        <v/>
      </c>
      <c r="AM1234" s="73" t="str">
        <f t="shared" si="421"/>
        <v/>
      </c>
      <c r="AN1234" s="73" t="str">
        <f t="shared" si="422"/>
        <v/>
      </c>
    </row>
    <row r="1235" spans="16:40" x14ac:dyDescent="0.25">
      <c r="P1235" s="73" t="str">
        <f t="shared" si="406"/>
        <v/>
      </c>
      <c r="Q1235" s="73" t="str">
        <f t="shared" si="407"/>
        <v/>
      </c>
      <c r="R1235" s="74" t="str">
        <f t="shared" si="408"/>
        <v/>
      </c>
      <c r="S1235" s="74" t="str">
        <f t="shared" si="409"/>
        <v/>
      </c>
      <c r="U1235" s="74" t="str">
        <f t="shared" si="405"/>
        <v/>
      </c>
      <c r="V1235" s="74" t="str">
        <f t="shared" si="405"/>
        <v/>
      </c>
      <c r="W1235" s="74" t="str">
        <f t="shared" si="405"/>
        <v/>
      </c>
      <c r="X1235" s="74" t="str">
        <f t="shared" si="405"/>
        <v/>
      </c>
      <c r="Y1235" s="74" t="str">
        <f t="shared" si="405"/>
        <v/>
      </c>
      <c r="Z1235" s="74" t="str">
        <f t="shared" si="410"/>
        <v/>
      </c>
      <c r="AA1235" s="74">
        <f t="shared" si="411"/>
        <v>0</v>
      </c>
      <c r="AB1235" s="74">
        <f t="shared" si="412"/>
        <v>0</v>
      </c>
      <c r="AC1235" s="74" t="str">
        <f t="shared" si="413"/>
        <v/>
      </c>
      <c r="AE1235" s="74" t="str">
        <f t="shared" si="414"/>
        <v/>
      </c>
      <c r="AF1235" s="74" t="str">
        <f t="shared" si="415"/>
        <v/>
      </c>
      <c r="AG1235" s="74" t="str">
        <f t="shared" si="416"/>
        <v/>
      </c>
      <c r="AH1235" s="74">
        <f t="shared" si="417"/>
        <v>0</v>
      </c>
      <c r="AI1235" s="74" t="str">
        <f>IF(AH1235&lt;&gt;0,COUNTIF(AH$3:AH1235,1),"")</f>
        <v/>
      </c>
      <c r="AJ1235" s="74">
        <f t="shared" si="418"/>
        <v>0</v>
      </c>
      <c r="AK1235" s="73" t="str">
        <f t="shared" si="419"/>
        <v/>
      </c>
      <c r="AL1235" s="73" t="str">
        <f t="shared" si="420"/>
        <v/>
      </c>
      <c r="AM1235" s="73" t="str">
        <f t="shared" si="421"/>
        <v/>
      </c>
      <c r="AN1235" s="73" t="str">
        <f t="shared" si="422"/>
        <v/>
      </c>
    </row>
    <row r="1236" spans="16:40" x14ac:dyDescent="0.25">
      <c r="P1236" s="73" t="str">
        <f t="shared" si="406"/>
        <v/>
      </c>
      <c r="Q1236" s="73" t="str">
        <f t="shared" si="407"/>
        <v/>
      </c>
      <c r="R1236" s="74" t="str">
        <f t="shared" si="408"/>
        <v/>
      </c>
      <c r="S1236" s="74" t="str">
        <f t="shared" si="409"/>
        <v/>
      </c>
      <c r="U1236" s="74" t="str">
        <f t="shared" si="405"/>
        <v/>
      </c>
      <c r="V1236" s="74" t="str">
        <f t="shared" si="405"/>
        <v/>
      </c>
      <c r="W1236" s="74" t="str">
        <f t="shared" si="405"/>
        <v/>
      </c>
      <c r="X1236" s="74" t="str">
        <f t="shared" si="405"/>
        <v/>
      </c>
      <c r="Y1236" s="74" t="str">
        <f t="shared" si="405"/>
        <v/>
      </c>
      <c r="Z1236" s="74" t="str">
        <f t="shared" si="410"/>
        <v/>
      </c>
      <c r="AA1236" s="74">
        <f t="shared" si="411"/>
        <v>0</v>
      </c>
      <c r="AB1236" s="74">
        <f t="shared" si="412"/>
        <v>0</v>
      </c>
      <c r="AC1236" s="74" t="str">
        <f t="shared" si="413"/>
        <v/>
      </c>
      <c r="AE1236" s="74" t="str">
        <f t="shared" si="414"/>
        <v/>
      </c>
      <c r="AF1236" s="74" t="str">
        <f t="shared" si="415"/>
        <v/>
      </c>
      <c r="AG1236" s="74" t="str">
        <f t="shared" si="416"/>
        <v/>
      </c>
      <c r="AH1236" s="74">
        <f t="shared" si="417"/>
        <v>0</v>
      </c>
      <c r="AI1236" s="74" t="str">
        <f>IF(AH1236&lt;&gt;0,COUNTIF(AH$3:AH1236,1),"")</f>
        <v/>
      </c>
      <c r="AJ1236" s="74">
        <f t="shared" si="418"/>
        <v>0</v>
      </c>
      <c r="AK1236" s="73" t="str">
        <f t="shared" si="419"/>
        <v/>
      </c>
      <c r="AL1236" s="73" t="str">
        <f t="shared" si="420"/>
        <v/>
      </c>
      <c r="AM1236" s="73" t="str">
        <f t="shared" si="421"/>
        <v/>
      </c>
      <c r="AN1236" s="73" t="str">
        <f t="shared" si="422"/>
        <v/>
      </c>
    </row>
    <row r="1237" spans="16:40" x14ac:dyDescent="0.25">
      <c r="P1237" s="73" t="str">
        <f t="shared" si="406"/>
        <v/>
      </c>
      <c r="Q1237" s="73" t="str">
        <f t="shared" si="407"/>
        <v/>
      </c>
      <c r="R1237" s="74" t="str">
        <f t="shared" si="408"/>
        <v/>
      </c>
      <c r="S1237" s="74" t="str">
        <f t="shared" si="409"/>
        <v/>
      </c>
      <c r="U1237" s="74" t="str">
        <f t="shared" si="405"/>
        <v/>
      </c>
      <c r="V1237" s="74" t="str">
        <f t="shared" si="405"/>
        <v/>
      </c>
      <c r="W1237" s="74" t="str">
        <f t="shared" si="405"/>
        <v/>
      </c>
      <c r="X1237" s="74" t="str">
        <f t="shared" si="405"/>
        <v/>
      </c>
      <c r="Y1237" s="74" t="str">
        <f t="shared" si="405"/>
        <v/>
      </c>
      <c r="Z1237" s="74" t="str">
        <f t="shared" si="410"/>
        <v/>
      </c>
      <c r="AA1237" s="74">
        <f t="shared" si="411"/>
        <v>0</v>
      </c>
      <c r="AB1237" s="74">
        <f t="shared" si="412"/>
        <v>0</v>
      </c>
      <c r="AC1237" s="74" t="str">
        <f t="shared" si="413"/>
        <v/>
      </c>
      <c r="AE1237" s="74" t="str">
        <f t="shared" si="414"/>
        <v/>
      </c>
      <c r="AF1237" s="74" t="str">
        <f t="shared" si="415"/>
        <v/>
      </c>
      <c r="AG1237" s="74" t="str">
        <f t="shared" si="416"/>
        <v/>
      </c>
      <c r="AH1237" s="74">
        <f t="shared" si="417"/>
        <v>0</v>
      </c>
      <c r="AI1237" s="74" t="str">
        <f>IF(AH1237&lt;&gt;0,COUNTIF(AH$3:AH1237,1),"")</f>
        <v/>
      </c>
      <c r="AJ1237" s="74">
        <f t="shared" si="418"/>
        <v>0</v>
      </c>
      <c r="AK1237" s="73" t="str">
        <f t="shared" si="419"/>
        <v/>
      </c>
      <c r="AL1237" s="73" t="str">
        <f t="shared" si="420"/>
        <v/>
      </c>
      <c r="AM1237" s="73" t="str">
        <f t="shared" si="421"/>
        <v/>
      </c>
      <c r="AN1237" s="73" t="str">
        <f t="shared" si="422"/>
        <v/>
      </c>
    </row>
    <row r="1238" spans="16:40" x14ac:dyDescent="0.25">
      <c r="P1238" s="73" t="str">
        <f t="shared" si="406"/>
        <v/>
      </c>
      <c r="Q1238" s="73" t="str">
        <f t="shared" si="407"/>
        <v/>
      </c>
      <c r="R1238" s="74" t="str">
        <f t="shared" si="408"/>
        <v/>
      </c>
      <c r="S1238" s="74" t="str">
        <f t="shared" si="409"/>
        <v/>
      </c>
      <c r="U1238" s="74" t="str">
        <f t="shared" si="405"/>
        <v/>
      </c>
      <c r="V1238" s="74" t="str">
        <f t="shared" si="405"/>
        <v/>
      </c>
      <c r="W1238" s="74" t="str">
        <f t="shared" si="405"/>
        <v/>
      </c>
      <c r="X1238" s="74" t="str">
        <f t="shared" si="405"/>
        <v/>
      </c>
      <c r="Y1238" s="74" t="str">
        <f t="shared" si="405"/>
        <v/>
      </c>
      <c r="Z1238" s="74" t="str">
        <f t="shared" si="410"/>
        <v/>
      </c>
      <c r="AA1238" s="74">
        <f t="shared" si="411"/>
        <v>0</v>
      </c>
      <c r="AB1238" s="74">
        <f t="shared" si="412"/>
        <v>0</v>
      </c>
      <c r="AC1238" s="74" t="str">
        <f t="shared" si="413"/>
        <v/>
      </c>
      <c r="AE1238" s="74" t="str">
        <f t="shared" si="414"/>
        <v/>
      </c>
      <c r="AF1238" s="74" t="str">
        <f t="shared" si="415"/>
        <v/>
      </c>
      <c r="AG1238" s="74" t="str">
        <f t="shared" si="416"/>
        <v/>
      </c>
      <c r="AH1238" s="74">
        <f t="shared" si="417"/>
        <v>0</v>
      </c>
      <c r="AI1238" s="74" t="str">
        <f>IF(AH1238&lt;&gt;0,COUNTIF(AH$3:AH1238,1),"")</f>
        <v/>
      </c>
      <c r="AJ1238" s="74">
        <f t="shared" si="418"/>
        <v>0</v>
      </c>
      <c r="AK1238" s="73" t="str">
        <f t="shared" si="419"/>
        <v/>
      </c>
      <c r="AL1238" s="73" t="str">
        <f t="shared" si="420"/>
        <v/>
      </c>
      <c r="AM1238" s="73" t="str">
        <f t="shared" si="421"/>
        <v/>
      </c>
      <c r="AN1238" s="73" t="str">
        <f t="shared" si="422"/>
        <v/>
      </c>
    </row>
    <row r="1239" spans="16:40" x14ac:dyDescent="0.25">
      <c r="P1239" s="73" t="str">
        <f t="shared" si="406"/>
        <v/>
      </c>
      <c r="Q1239" s="73" t="str">
        <f t="shared" si="407"/>
        <v/>
      </c>
      <c r="R1239" s="74" t="str">
        <f t="shared" si="408"/>
        <v/>
      </c>
      <c r="S1239" s="74" t="str">
        <f t="shared" si="409"/>
        <v/>
      </c>
      <c r="U1239" s="74" t="str">
        <f t="shared" si="405"/>
        <v/>
      </c>
      <c r="V1239" s="74" t="str">
        <f t="shared" si="405"/>
        <v/>
      </c>
      <c r="W1239" s="74" t="str">
        <f t="shared" si="405"/>
        <v/>
      </c>
      <c r="X1239" s="74" t="str">
        <f t="shared" si="405"/>
        <v/>
      </c>
      <c r="Y1239" s="74" t="str">
        <f t="shared" si="405"/>
        <v/>
      </c>
      <c r="Z1239" s="74" t="str">
        <f t="shared" si="410"/>
        <v/>
      </c>
      <c r="AA1239" s="74">
        <f t="shared" si="411"/>
        <v>0</v>
      </c>
      <c r="AB1239" s="74">
        <f t="shared" si="412"/>
        <v>0</v>
      </c>
      <c r="AC1239" s="74" t="str">
        <f t="shared" si="413"/>
        <v/>
      </c>
      <c r="AE1239" s="74" t="str">
        <f t="shared" si="414"/>
        <v/>
      </c>
      <c r="AF1239" s="74" t="str">
        <f t="shared" si="415"/>
        <v/>
      </c>
      <c r="AG1239" s="74" t="str">
        <f t="shared" si="416"/>
        <v/>
      </c>
      <c r="AH1239" s="74">
        <f t="shared" si="417"/>
        <v>0</v>
      </c>
      <c r="AI1239" s="74" t="str">
        <f>IF(AH1239&lt;&gt;0,COUNTIF(AH$3:AH1239,1),"")</f>
        <v/>
      </c>
      <c r="AJ1239" s="74">
        <f t="shared" si="418"/>
        <v>0</v>
      </c>
      <c r="AK1239" s="73" t="str">
        <f t="shared" si="419"/>
        <v/>
      </c>
      <c r="AL1239" s="73" t="str">
        <f t="shared" si="420"/>
        <v/>
      </c>
      <c r="AM1239" s="73" t="str">
        <f t="shared" si="421"/>
        <v/>
      </c>
      <c r="AN1239" s="73" t="str">
        <f t="shared" si="422"/>
        <v/>
      </c>
    </row>
    <row r="1240" spans="16:40" x14ac:dyDescent="0.25">
      <c r="P1240" s="73" t="str">
        <f t="shared" si="406"/>
        <v/>
      </c>
      <c r="Q1240" s="73" t="str">
        <f t="shared" si="407"/>
        <v/>
      </c>
      <c r="R1240" s="74" t="str">
        <f t="shared" si="408"/>
        <v/>
      </c>
      <c r="S1240" s="74" t="str">
        <f t="shared" si="409"/>
        <v/>
      </c>
      <c r="U1240" s="74" t="str">
        <f t="shared" si="405"/>
        <v/>
      </c>
      <c r="V1240" s="74" t="str">
        <f t="shared" si="405"/>
        <v/>
      </c>
      <c r="W1240" s="74" t="str">
        <f t="shared" si="405"/>
        <v/>
      </c>
      <c r="X1240" s="74" t="str">
        <f t="shared" si="405"/>
        <v/>
      </c>
      <c r="Y1240" s="74" t="str">
        <f t="shared" si="405"/>
        <v/>
      </c>
      <c r="Z1240" s="74" t="str">
        <f t="shared" si="410"/>
        <v/>
      </c>
      <c r="AA1240" s="74">
        <f t="shared" si="411"/>
        <v>0</v>
      </c>
      <c r="AB1240" s="74">
        <f t="shared" si="412"/>
        <v>0</v>
      </c>
      <c r="AC1240" s="74" t="str">
        <f t="shared" si="413"/>
        <v/>
      </c>
      <c r="AE1240" s="74" t="str">
        <f t="shared" si="414"/>
        <v/>
      </c>
      <c r="AF1240" s="74" t="str">
        <f t="shared" si="415"/>
        <v/>
      </c>
      <c r="AG1240" s="74" t="str">
        <f t="shared" si="416"/>
        <v/>
      </c>
      <c r="AH1240" s="74">
        <f t="shared" si="417"/>
        <v>0</v>
      </c>
      <c r="AI1240" s="74" t="str">
        <f>IF(AH1240&lt;&gt;0,COUNTIF(AH$3:AH1240,1),"")</f>
        <v/>
      </c>
      <c r="AJ1240" s="74">
        <f t="shared" si="418"/>
        <v>0</v>
      </c>
      <c r="AK1240" s="73" t="str">
        <f t="shared" si="419"/>
        <v/>
      </c>
      <c r="AL1240" s="73" t="str">
        <f t="shared" si="420"/>
        <v/>
      </c>
      <c r="AM1240" s="73" t="str">
        <f t="shared" si="421"/>
        <v/>
      </c>
      <c r="AN1240" s="73" t="str">
        <f t="shared" si="422"/>
        <v/>
      </c>
    </row>
    <row r="1241" spans="16:40" x14ac:dyDescent="0.25">
      <c r="P1241" s="73" t="str">
        <f t="shared" si="406"/>
        <v/>
      </c>
      <c r="Q1241" s="73" t="str">
        <f t="shared" si="407"/>
        <v/>
      </c>
      <c r="R1241" s="74" t="str">
        <f t="shared" si="408"/>
        <v/>
      </c>
      <c r="S1241" s="74" t="str">
        <f t="shared" si="409"/>
        <v/>
      </c>
      <c r="U1241" s="74" t="str">
        <f t="shared" si="405"/>
        <v/>
      </c>
      <c r="V1241" s="74" t="str">
        <f t="shared" si="405"/>
        <v/>
      </c>
      <c r="W1241" s="74" t="str">
        <f t="shared" si="405"/>
        <v/>
      </c>
      <c r="X1241" s="74" t="str">
        <f t="shared" si="405"/>
        <v/>
      </c>
      <c r="Y1241" s="74" t="str">
        <f t="shared" si="405"/>
        <v/>
      </c>
      <c r="Z1241" s="74" t="str">
        <f t="shared" si="410"/>
        <v/>
      </c>
      <c r="AA1241" s="74">
        <f t="shared" si="411"/>
        <v>0</v>
      </c>
      <c r="AB1241" s="74">
        <f t="shared" si="412"/>
        <v>0</v>
      </c>
      <c r="AC1241" s="74" t="str">
        <f t="shared" si="413"/>
        <v/>
      </c>
      <c r="AE1241" s="74" t="str">
        <f t="shared" si="414"/>
        <v/>
      </c>
      <c r="AF1241" s="74" t="str">
        <f t="shared" si="415"/>
        <v/>
      </c>
      <c r="AG1241" s="74" t="str">
        <f t="shared" si="416"/>
        <v/>
      </c>
      <c r="AH1241" s="74">
        <f t="shared" si="417"/>
        <v>0</v>
      </c>
      <c r="AI1241" s="74" t="str">
        <f>IF(AH1241&lt;&gt;0,COUNTIF(AH$3:AH1241,1),"")</f>
        <v/>
      </c>
      <c r="AJ1241" s="74">
        <f t="shared" si="418"/>
        <v>0</v>
      </c>
      <c r="AK1241" s="73" t="str">
        <f t="shared" si="419"/>
        <v/>
      </c>
      <c r="AL1241" s="73" t="str">
        <f t="shared" si="420"/>
        <v/>
      </c>
      <c r="AM1241" s="73" t="str">
        <f t="shared" si="421"/>
        <v/>
      </c>
      <c r="AN1241" s="73" t="str">
        <f t="shared" si="422"/>
        <v/>
      </c>
    </row>
    <row r="1242" spans="16:40" x14ac:dyDescent="0.25">
      <c r="P1242" s="73" t="str">
        <f t="shared" si="406"/>
        <v/>
      </c>
      <c r="Q1242" s="73" t="str">
        <f t="shared" si="407"/>
        <v/>
      </c>
      <c r="R1242" s="74" t="str">
        <f t="shared" si="408"/>
        <v/>
      </c>
      <c r="S1242" s="74" t="str">
        <f t="shared" si="409"/>
        <v/>
      </c>
      <c r="U1242" s="74" t="str">
        <f t="shared" si="405"/>
        <v/>
      </c>
      <c r="V1242" s="74" t="str">
        <f t="shared" si="405"/>
        <v/>
      </c>
      <c r="W1242" s="74" t="str">
        <f t="shared" si="405"/>
        <v/>
      </c>
      <c r="X1242" s="74" t="str">
        <f t="shared" si="405"/>
        <v/>
      </c>
      <c r="Y1242" s="74" t="str">
        <f t="shared" si="405"/>
        <v/>
      </c>
      <c r="Z1242" s="74" t="str">
        <f t="shared" si="410"/>
        <v/>
      </c>
      <c r="AA1242" s="74">
        <f t="shared" si="411"/>
        <v>0</v>
      </c>
      <c r="AB1242" s="74">
        <f t="shared" si="412"/>
        <v>0</v>
      </c>
      <c r="AC1242" s="74" t="str">
        <f t="shared" si="413"/>
        <v/>
      </c>
      <c r="AE1242" s="74" t="str">
        <f t="shared" si="414"/>
        <v/>
      </c>
      <c r="AF1242" s="74" t="str">
        <f t="shared" si="415"/>
        <v/>
      </c>
      <c r="AG1242" s="74" t="str">
        <f t="shared" si="416"/>
        <v/>
      </c>
      <c r="AH1242" s="74">
        <f t="shared" si="417"/>
        <v>0</v>
      </c>
      <c r="AI1242" s="74" t="str">
        <f>IF(AH1242&lt;&gt;0,COUNTIF(AH$3:AH1242,1),"")</f>
        <v/>
      </c>
      <c r="AJ1242" s="74">
        <f t="shared" si="418"/>
        <v>0</v>
      </c>
      <c r="AK1242" s="73" t="str">
        <f t="shared" si="419"/>
        <v/>
      </c>
      <c r="AL1242" s="73" t="str">
        <f t="shared" si="420"/>
        <v/>
      </c>
      <c r="AM1242" s="73" t="str">
        <f t="shared" si="421"/>
        <v/>
      </c>
      <c r="AN1242" s="73" t="str">
        <f t="shared" si="422"/>
        <v/>
      </c>
    </row>
    <row r="1243" spans="16:40" x14ac:dyDescent="0.25">
      <c r="P1243" s="73" t="str">
        <f t="shared" si="406"/>
        <v/>
      </c>
      <c r="Q1243" s="73" t="str">
        <f t="shared" si="407"/>
        <v/>
      </c>
      <c r="R1243" s="74" t="str">
        <f t="shared" si="408"/>
        <v/>
      </c>
      <c r="S1243" s="74" t="str">
        <f t="shared" si="409"/>
        <v/>
      </c>
      <c r="U1243" s="74" t="str">
        <f t="shared" si="405"/>
        <v/>
      </c>
      <c r="V1243" s="74" t="str">
        <f t="shared" si="405"/>
        <v/>
      </c>
      <c r="W1243" s="74" t="str">
        <f t="shared" si="405"/>
        <v/>
      </c>
      <c r="X1243" s="74" t="str">
        <f t="shared" si="405"/>
        <v/>
      </c>
      <c r="Y1243" s="74" t="str">
        <f t="shared" si="405"/>
        <v/>
      </c>
      <c r="Z1243" s="74" t="str">
        <f t="shared" si="410"/>
        <v/>
      </c>
      <c r="AA1243" s="74">
        <f t="shared" si="411"/>
        <v>0</v>
      </c>
      <c r="AB1243" s="74">
        <f t="shared" si="412"/>
        <v>0</v>
      </c>
      <c r="AC1243" s="74" t="str">
        <f t="shared" si="413"/>
        <v/>
      </c>
      <c r="AE1243" s="74" t="str">
        <f t="shared" si="414"/>
        <v/>
      </c>
      <c r="AF1243" s="74" t="str">
        <f t="shared" si="415"/>
        <v/>
      </c>
      <c r="AG1243" s="74" t="str">
        <f t="shared" si="416"/>
        <v/>
      </c>
      <c r="AH1243" s="74">
        <f t="shared" si="417"/>
        <v>0</v>
      </c>
      <c r="AI1243" s="74" t="str">
        <f>IF(AH1243&lt;&gt;0,COUNTIF(AH$3:AH1243,1),"")</f>
        <v/>
      </c>
      <c r="AJ1243" s="74">
        <f t="shared" si="418"/>
        <v>0</v>
      </c>
      <c r="AK1243" s="73" t="str">
        <f t="shared" si="419"/>
        <v/>
      </c>
      <c r="AL1243" s="73" t="str">
        <f t="shared" si="420"/>
        <v/>
      </c>
      <c r="AM1243" s="73" t="str">
        <f t="shared" si="421"/>
        <v/>
      </c>
      <c r="AN1243" s="73" t="str">
        <f t="shared" si="422"/>
        <v/>
      </c>
    </row>
    <row r="1244" spans="16:40" x14ac:dyDescent="0.25">
      <c r="P1244" s="73" t="str">
        <f t="shared" si="406"/>
        <v/>
      </c>
      <c r="Q1244" s="73" t="str">
        <f t="shared" si="407"/>
        <v/>
      </c>
      <c r="R1244" s="74" t="str">
        <f t="shared" si="408"/>
        <v/>
      </c>
      <c r="S1244" s="74" t="str">
        <f t="shared" si="409"/>
        <v/>
      </c>
      <c r="U1244" s="74" t="str">
        <f t="shared" si="405"/>
        <v/>
      </c>
      <c r="V1244" s="74" t="str">
        <f t="shared" si="405"/>
        <v/>
      </c>
      <c r="W1244" s="74" t="str">
        <f t="shared" si="405"/>
        <v/>
      </c>
      <c r="X1244" s="74" t="str">
        <f t="shared" si="405"/>
        <v/>
      </c>
      <c r="Y1244" s="74" t="str">
        <f t="shared" si="405"/>
        <v/>
      </c>
      <c r="Z1244" s="74" t="str">
        <f t="shared" si="410"/>
        <v/>
      </c>
      <c r="AA1244" s="74">
        <f t="shared" si="411"/>
        <v>0</v>
      </c>
      <c r="AB1244" s="74">
        <f t="shared" si="412"/>
        <v>0</v>
      </c>
      <c r="AC1244" s="74" t="str">
        <f t="shared" si="413"/>
        <v/>
      </c>
      <c r="AE1244" s="74" t="str">
        <f t="shared" si="414"/>
        <v/>
      </c>
      <c r="AF1244" s="74" t="str">
        <f t="shared" si="415"/>
        <v/>
      </c>
      <c r="AG1244" s="74" t="str">
        <f t="shared" si="416"/>
        <v/>
      </c>
      <c r="AH1244" s="74">
        <f t="shared" si="417"/>
        <v>0</v>
      </c>
      <c r="AI1244" s="74" t="str">
        <f>IF(AH1244&lt;&gt;0,COUNTIF(AH$3:AH1244,1),"")</f>
        <v/>
      </c>
      <c r="AJ1244" s="74">
        <f t="shared" si="418"/>
        <v>0</v>
      </c>
      <c r="AK1244" s="73" t="str">
        <f t="shared" si="419"/>
        <v/>
      </c>
      <c r="AL1244" s="73" t="str">
        <f t="shared" si="420"/>
        <v/>
      </c>
      <c r="AM1244" s="73" t="str">
        <f t="shared" si="421"/>
        <v/>
      </c>
      <c r="AN1244" s="73" t="str">
        <f t="shared" si="422"/>
        <v/>
      </c>
    </row>
    <row r="1245" spans="16:40" x14ac:dyDescent="0.25">
      <c r="P1245" s="73" t="str">
        <f t="shared" si="406"/>
        <v/>
      </c>
      <c r="Q1245" s="73" t="str">
        <f t="shared" si="407"/>
        <v/>
      </c>
      <c r="R1245" s="74" t="str">
        <f t="shared" si="408"/>
        <v/>
      </c>
      <c r="S1245" s="74" t="str">
        <f t="shared" si="409"/>
        <v/>
      </c>
      <c r="U1245" s="74" t="str">
        <f t="shared" si="405"/>
        <v/>
      </c>
      <c r="V1245" s="74" t="str">
        <f t="shared" si="405"/>
        <v/>
      </c>
      <c r="W1245" s="74" t="str">
        <f t="shared" si="405"/>
        <v/>
      </c>
      <c r="X1245" s="74" t="str">
        <f t="shared" si="405"/>
        <v/>
      </c>
      <c r="Y1245" s="74" t="str">
        <f t="shared" si="405"/>
        <v/>
      </c>
      <c r="Z1245" s="74" t="str">
        <f t="shared" si="410"/>
        <v/>
      </c>
      <c r="AA1245" s="74">
        <f t="shared" si="411"/>
        <v>0</v>
      </c>
      <c r="AB1245" s="74">
        <f t="shared" si="412"/>
        <v>0</v>
      </c>
      <c r="AC1245" s="74" t="str">
        <f t="shared" si="413"/>
        <v/>
      </c>
      <c r="AE1245" s="74" t="str">
        <f t="shared" si="414"/>
        <v/>
      </c>
      <c r="AF1245" s="74" t="str">
        <f t="shared" si="415"/>
        <v/>
      </c>
      <c r="AG1245" s="74" t="str">
        <f t="shared" si="416"/>
        <v/>
      </c>
      <c r="AH1245" s="74">
        <f t="shared" si="417"/>
        <v>0</v>
      </c>
      <c r="AI1245" s="74" t="str">
        <f>IF(AH1245&lt;&gt;0,COUNTIF(AH$3:AH1245,1),"")</f>
        <v/>
      </c>
      <c r="AJ1245" s="74">
        <f t="shared" si="418"/>
        <v>0</v>
      </c>
      <c r="AK1245" s="73" t="str">
        <f t="shared" si="419"/>
        <v/>
      </c>
      <c r="AL1245" s="73" t="str">
        <f t="shared" si="420"/>
        <v/>
      </c>
      <c r="AM1245" s="73" t="str">
        <f t="shared" si="421"/>
        <v/>
      </c>
      <c r="AN1245" s="73" t="str">
        <f t="shared" si="422"/>
        <v/>
      </c>
    </row>
    <row r="1246" spans="16:40" x14ac:dyDescent="0.25">
      <c r="P1246" s="73" t="str">
        <f t="shared" si="406"/>
        <v/>
      </c>
      <c r="Q1246" s="73" t="str">
        <f t="shared" si="407"/>
        <v/>
      </c>
      <c r="R1246" s="74" t="str">
        <f t="shared" si="408"/>
        <v/>
      </c>
      <c r="S1246" s="74" t="str">
        <f t="shared" si="409"/>
        <v/>
      </c>
      <c r="U1246" s="74" t="str">
        <f t="shared" si="405"/>
        <v/>
      </c>
      <c r="V1246" s="74" t="str">
        <f t="shared" si="405"/>
        <v/>
      </c>
      <c r="W1246" s="74" t="str">
        <f t="shared" si="405"/>
        <v/>
      </c>
      <c r="X1246" s="74" t="str">
        <f t="shared" si="405"/>
        <v/>
      </c>
      <c r="Y1246" s="74" t="str">
        <f t="shared" si="405"/>
        <v/>
      </c>
      <c r="Z1246" s="74" t="str">
        <f t="shared" si="410"/>
        <v/>
      </c>
      <c r="AA1246" s="74">
        <f t="shared" si="411"/>
        <v>0</v>
      </c>
      <c r="AB1246" s="74">
        <f t="shared" si="412"/>
        <v>0</v>
      </c>
      <c r="AC1246" s="74" t="str">
        <f t="shared" si="413"/>
        <v/>
      </c>
      <c r="AE1246" s="74" t="str">
        <f t="shared" si="414"/>
        <v/>
      </c>
      <c r="AF1246" s="74" t="str">
        <f t="shared" si="415"/>
        <v/>
      </c>
      <c r="AG1246" s="74" t="str">
        <f t="shared" si="416"/>
        <v/>
      </c>
      <c r="AH1246" s="74">
        <f t="shared" si="417"/>
        <v>0</v>
      </c>
      <c r="AI1246" s="74" t="str">
        <f>IF(AH1246&lt;&gt;0,COUNTIF(AH$3:AH1246,1),"")</f>
        <v/>
      </c>
      <c r="AJ1246" s="74">
        <f t="shared" si="418"/>
        <v>0</v>
      </c>
      <c r="AK1246" s="73" t="str">
        <f t="shared" si="419"/>
        <v/>
      </c>
      <c r="AL1246" s="73" t="str">
        <f t="shared" si="420"/>
        <v/>
      </c>
      <c r="AM1246" s="73" t="str">
        <f t="shared" si="421"/>
        <v/>
      </c>
      <c r="AN1246" s="73" t="str">
        <f t="shared" si="422"/>
        <v/>
      </c>
    </row>
    <row r="1247" spans="16:40" x14ac:dyDescent="0.25">
      <c r="P1247" s="73" t="str">
        <f t="shared" si="406"/>
        <v/>
      </c>
      <c r="Q1247" s="73" t="str">
        <f t="shared" si="407"/>
        <v/>
      </c>
      <c r="R1247" s="74" t="str">
        <f t="shared" si="408"/>
        <v/>
      </c>
      <c r="S1247" s="74" t="str">
        <f t="shared" si="409"/>
        <v/>
      </c>
      <c r="U1247" s="74" t="str">
        <f t="shared" si="405"/>
        <v/>
      </c>
      <c r="V1247" s="74" t="str">
        <f t="shared" si="405"/>
        <v/>
      </c>
      <c r="W1247" s="74" t="str">
        <f t="shared" si="405"/>
        <v/>
      </c>
      <c r="X1247" s="74" t="str">
        <f t="shared" si="405"/>
        <v/>
      </c>
      <c r="Y1247" s="74" t="str">
        <f t="shared" si="405"/>
        <v/>
      </c>
      <c r="Z1247" s="74" t="str">
        <f t="shared" si="410"/>
        <v/>
      </c>
      <c r="AA1247" s="74">
        <f t="shared" si="411"/>
        <v>0</v>
      </c>
      <c r="AB1247" s="74">
        <f t="shared" si="412"/>
        <v>0</v>
      </c>
      <c r="AC1247" s="74" t="str">
        <f t="shared" si="413"/>
        <v/>
      </c>
      <c r="AE1247" s="74" t="str">
        <f t="shared" si="414"/>
        <v/>
      </c>
      <c r="AF1247" s="74" t="str">
        <f t="shared" si="415"/>
        <v/>
      </c>
      <c r="AG1247" s="74" t="str">
        <f t="shared" si="416"/>
        <v/>
      </c>
      <c r="AH1247" s="74">
        <f t="shared" si="417"/>
        <v>0</v>
      </c>
      <c r="AI1247" s="74" t="str">
        <f>IF(AH1247&lt;&gt;0,COUNTIF(AH$3:AH1247,1),"")</f>
        <v/>
      </c>
      <c r="AJ1247" s="74">
        <f t="shared" si="418"/>
        <v>0</v>
      </c>
      <c r="AK1247" s="73" t="str">
        <f t="shared" si="419"/>
        <v/>
      </c>
      <c r="AL1247" s="73" t="str">
        <f t="shared" si="420"/>
        <v/>
      </c>
      <c r="AM1247" s="73" t="str">
        <f t="shared" si="421"/>
        <v/>
      </c>
      <c r="AN1247" s="73" t="str">
        <f t="shared" si="422"/>
        <v/>
      </c>
    </row>
    <row r="1248" spans="16:40" x14ac:dyDescent="0.25">
      <c r="P1248" s="73" t="str">
        <f t="shared" si="406"/>
        <v/>
      </c>
      <c r="Q1248" s="73" t="str">
        <f t="shared" si="407"/>
        <v/>
      </c>
      <c r="R1248" s="74" t="str">
        <f t="shared" si="408"/>
        <v/>
      </c>
      <c r="S1248" s="74" t="str">
        <f t="shared" si="409"/>
        <v/>
      </c>
      <c r="U1248" s="74" t="str">
        <f t="shared" si="405"/>
        <v/>
      </c>
      <c r="V1248" s="74" t="str">
        <f t="shared" si="405"/>
        <v/>
      </c>
      <c r="W1248" s="74" t="str">
        <f t="shared" si="405"/>
        <v/>
      </c>
      <c r="X1248" s="74" t="str">
        <f t="shared" si="405"/>
        <v/>
      </c>
      <c r="Y1248" s="74" t="str">
        <f t="shared" si="405"/>
        <v/>
      </c>
      <c r="Z1248" s="74" t="str">
        <f t="shared" si="410"/>
        <v/>
      </c>
      <c r="AA1248" s="74">
        <f t="shared" si="411"/>
        <v>0</v>
      </c>
      <c r="AB1248" s="74">
        <f t="shared" si="412"/>
        <v>0</v>
      </c>
      <c r="AC1248" s="74" t="str">
        <f t="shared" si="413"/>
        <v/>
      </c>
      <c r="AE1248" s="74" t="str">
        <f t="shared" si="414"/>
        <v/>
      </c>
      <c r="AF1248" s="74" t="str">
        <f t="shared" si="415"/>
        <v/>
      </c>
      <c r="AG1248" s="74" t="str">
        <f t="shared" si="416"/>
        <v/>
      </c>
      <c r="AH1248" s="74">
        <f t="shared" si="417"/>
        <v>0</v>
      </c>
      <c r="AI1248" s="74" t="str">
        <f>IF(AH1248&lt;&gt;0,COUNTIF(AH$3:AH1248,1),"")</f>
        <v/>
      </c>
      <c r="AJ1248" s="74">
        <f t="shared" si="418"/>
        <v>0</v>
      </c>
      <c r="AK1248" s="73" t="str">
        <f t="shared" si="419"/>
        <v/>
      </c>
      <c r="AL1248" s="73" t="str">
        <f t="shared" si="420"/>
        <v/>
      </c>
      <c r="AM1248" s="73" t="str">
        <f t="shared" si="421"/>
        <v/>
      </c>
      <c r="AN1248" s="73" t="str">
        <f t="shared" si="422"/>
        <v/>
      </c>
    </row>
    <row r="1249" spans="16:40" x14ac:dyDescent="0.25">
      <c r="P1249" s="73" t="str">
        <f t="shared" si="406"/>
        <v/>
      </c>
      <c r="Q1249" s="73" t="str">
        <f t="shared" si="407"/>
        <v/>
      </c>
      <c r="R1249" s="74" t="str">
        <f t="shared" si="408"/>
        <v/>
      </c>
      <c r="S1249" s="74" t="str">
        <f t="shared" si="409"/>
        <v/>
      </c>
      <c r="U1249" s="74" t="str">
        <f t="shared" si="405"/>
        <v/>
      </c>
      <c r="V1249" s="74" t="str">
        <f t="shared" si="405"/>
        <v/>
      </c>
      <c r="W1249" s="74" t="str">
        <f t="shared" si="405"/>
        <v/>
      </c>
      <c r="X1249" s="74" t="str">
        <f t="shared" si="405"/>
        <v/>
      </c>
      <c r="Y1249" s="74" t="str">
        <f t="shared" si="405"/>
        <v/>
      </c>
      <c r="Z1249" s="74" t="str">
        <f t="shared" si="410"/>
        <v/>
      </c>
      <c r="AA1249" s="74">
        <f t="shared" si="411"/>
        <v>0</v>
      </c>
      <c r="AB1249" s="74">
        <f t="shared" si="412"/>
        <v>0</v>
      </c>
      <c r="AC1249" s="74" t="str">
        <f t="shared" si="413"/>
        <v/>
      </c>
      <c r="AE1249" s="74" t="str">
        <f t="shared" si="414"/>
        <v/>
      </c>
      <c r="AF1249" s="74" t="str">
        <f t="shared" si="415"/>
        <v/>
      </c>
      <c r="AG1249" s="74" t="str">
        <f t="shared" si="416"/>
        <v/>
      </c>
      <c r="AH1249" s="74">
        <f t="shared" si="417"/>
        <v>0</v>
      </c>
      <c r="AI1249" s="74" t="str">
        <f>IF(AH1249&lt;&gt;0,COUNTIF(AH$3:AH1249,1),"")</f>
        <v/>
      </c>
      <c r="AJ1249" s="74">
        <f t="shared" si="418"/>
        <v>0</v>
      </c>
      <c r="AK1249" s="73" t="str">
        <f t="shared" si="419"/>
        <v/>
      </c>
      <c r="AL1249" s="73" t="str">
        <f t="shared" si="420"/>
        <v/>
      </c>
      <c r="AM1249" s="73" t="str">
        <f t="shared" si="421"/>
        <v/>
      </c>
      <c r="AN1249" s="73" t="str">
        <f t="shared" si="422"/>
        <v/>
      </c>
    </row>
    <row r="1250" spans="16:40" x14ac:dyDescent="0.25">
      <c r="P1250" s="73" t="str">
        <f t="shared" si="406"/>
        <v/>
      </c>
      <c r="Q1250" s="73" t="str">
        <f t="shared" si="407"/>
        <v/>
      </c>
      <c r="R1250" s="74" t="str">
        <f t="shared" si="408"/>
        <v/>
      </c>
      <c r="S1250" s="74" t="str">
        <f t="shared" si="409"/>
        <v/>
      </c>
      <c r="U1250" s="74" t="str">
        <f t="shared" si="405"/>
        <v/>
      </c>
      <c r="V1250" s="74" t="str">
        <f t="shared" si="405"/>
        <v/>
      </c>
      <c r="W1250" s="74" t="str">
        <f t="shared" si="405"/>
        <v/>
      </c>
      <c r="X1250" s="74" t="str">
        <f t="shared" si="405"/>
        <v/>
      </c>
      <c r="Y1250" s="74" t="str">
        <f t="shared" si="405"/>
        <v/>
      </c>
      <c r="Z1250" s="74" t="str">
        <f t="shared" si="410"/>
        <v/>
      </c>
      <c r="AA1250" s="74">
        <f t="shared" si="411"/>
        <v>0</v>
      </c>
      <c r="AB1250" s="74">
        <f t="shared" si="412"/>
        <v>0</v>
      </c>
      <c r="AC1250" s="74" t="str">
        <f t="shared" si="413"/>
        <v/>
      </c>
      <c r="AE1250" s="74" t="str">
        <f t="shared" si="414"/>
        <v/>
      </c>
      <c r="AF1250" s="74" t="str">
        <f t="shared" si="415"/>
        <v/>
      </c>
      <c r="AG1250" s="74" t="str">
        <f t="shared" si="416"/>
        <v/>
      </c>
      <c r="AH1250" s="74">
        <f t="shared" si="417"/>
        <v>0</v>
      </c>
      <c r="AI1250" s="74" t="str">
        <f>IF(AH1250&lt;&gt;0,COUNTIF(AH$3:AH1250,1),"")</f>
        <v/>
      </c>
      <c r="AJ1250" s="74">
        <f t="shared" si="418"/>
        <v>0</v>
      </c>
      <c r="AK1250" s="73" t="str">
        <f t="shared" si="419"/>
        <v/>
      </c>
      <c r="AL1250" s="73" t="str">
        <f t="shared" si="420"/>
        <v/>
      </c>
      <c r="AM1250" s="73" t="str">
        <f t="shared" si="421"/>
        <v/>
      </c>
      <c r="AN1250" s="73" t="str">
        <f t="shared" si="422"/>
        <v/>
      </c>
    </row>
    <row r="1251" spans="16:40" x14ac:dyDescent="0.25">
      <c r="P1251" s="73" t="str">
        <f t="shared" si="406"/>
        <v/>
      </c>
      <c r="Q1251" s="73" t="str">
        <f t="shared" si="407"/>
        <v/>
      </c>
      <c r="R1251" s="74" t="str">
        <f t="shared" si="408"/>
        <v/>
      </c>
      <c r="S1251" s="74" t="str">
        <f t="shared" si="409"/>
        <v/>
      </c>
      <c r="U1251" s="74" t="str">
        <f t="shared" si="405"/>
        <v/>
      </c>
      <c r="V1251" s="74" t="str">
        <f t="shared" si="405"/>
        <v/>
      </c>
      <c r="W1251" s="74" t="str">
        <f t="shared" si="405"/>
        <v/>
      </c>
      <c r="X1251" s="74" t="str">
        <f t="shared" si="405"/>
        <v/>
      </c>
      <c r="Y1251" s="74" t="str">
        <f t="shared" si="405"/>
        <v/>
      </c>
      <c r="Z1251" s="74" t="str">
        <f t="shared" si="410"/>
        <v/>
      </c>
      <c r="AA1251" s="74">
        <f t="shared" si="411"/>
        <v>0</v>
      </c>
      <c r="AB1251" s="74">
        <f t="shared" si="412"/>
        <v>0</v>
      </c>
      <c r="AC1251" s="74" t="str">
        <f t="shared" si="413"/>
        <v/>
      </c>
      <c r="AE1251" s="74" t="str">
        <f t="shared" si="414"/>
        <v/>
      </c>
      <c r="AF1251" s="74" t="str">
        <f t="shared" si="415"/>
        <v/>
      </c>
      <c r="AG1251" s="74" t="str">
        <f t="shared" si="416"/>
        <v/>
      </c>
      <c r="AH1251" s="74">
        <f t="shared" si="417"/>
        <v>0</v>
      </c>
      <c r="AI1251" s="74" t="str">
        <f>IF(AH1251&lt;&gt;0,COUNTIF(AH$3:AH1251,1),"")</f>
        <v/>
      </c>
      <c r="AJ1251" s="74">
        <f t="shared" si="418"/>
        <v>0</v>
      </c>
      <c r="AK1251" s="73" t="str">
        <f t="shared" si="419"/>
        <v/>
      </c>
      <c r="AL1251" s="73" t="str">
        <f t="shared" si="420"/>
        <v/>
      </c>
      <c r="AM1251" s="73" t="str">
        <f t="shared" si="421"/>
        <v/>
      </c>
      <c r="AN1251" s="73" t="str">
        <f t="shared" si="422"/>
        <v/>
      </c>
    </row>
    <row r="1252" spans="16:40" x14ac:dyDescent="0.25">
      <c r="P1252" s="73" t="str">
        <f t="shared" si="406"/>
        <v/>
      </c>
      <c r="Q1252" s="73" t="str">
        <f t="shared" si="407"/>
        <v/>
      </c>
      <c r="R1252" s="74" t="str">
        <f t="shared" si="408"/>
        <v/>
      </c>
      <c r="S1252" s="74" t="str">
        <f t="shared" si="409"/>
        <v/>
      </c>
      <c r="U1252" s="74" t="str">
        <f t="shared" si="405"/>
        <v/>
      </c>
      <c r="V1252" s="74" t="str">
        <f t="shared" si="405"/>
        <v/>
      </c>
      <c r="W1252" s="74" t="str">
        <f t="shared" si="405"/>
        <v/>
      </c>
      <c r="X1252" s="74" t="str">
        <f t="shared" si="405"/>
        <v/>
      </c>
      <c r="Y1252" s="74" t="str">
        <f t="shared" si="405"/>
        <v/>
      </c>
      <c r="Z1252" s="74" t="str">
        <f t="shared" si="410"/>
        <v/>
      </c>
      <c r="AA1252" s="74">
        <f t="shared" si="411"/>
        <v>0</v>
      </c>
      <c r="AB1252" s="74">
        <f t="shared" si="412"/>
        <v>0</v>
      </c>
      <c r="AC1252" s="74" t="str">
        <f t="shared" si="413"/>
        <v/>
      </c>
      <c r="AE1252" s="74" t="str">
        <f t="shared" si="414"/>
        <v/>
      </c>
      <c r="AF1252" s="74" t="str">
        <f t="shared" si="415"/>
        <v/>
      </c>
      <c r="AG1252" s="74" t="str">
        <f t="shared" si="416"/>
        <v/>
      </c>
      <c r="AH1252" s="74">
        <f t="shared" si="417"/>
        <v>0</v>
      </c>
      <c r="AI1252" s="74" t="str">
        <f>IF(AH1252&lt;&gt;0,COUNTIF(AH$3:AH1252,1),"")</f>
        <v/>
      </c>
      <c r="AJ1252" s="74">
        <f t="shared" si="418"/>
        <v>0</v>
      </c>
      <c r="AK1252" s="73" t="str">
        <f t="shared" si="419"/>
        <v/>
      </c>
      <c r="AL1252" s="73" t="str">
        <f t="shared" si="420"/>
        <v/>
      </c>
      <c r="AM1252" s="73" t="str">
        <f t="shared" si="421"/>
        <v/>
      </c>
      <c r="AN1252" s="73" t="str">
        <f t="shared" si="422"/>
        <v/>
      </c>
    </row>
    <row r="1253" spans="16:40" x14ac:dyDescent="0.25">
      <c r="P1253" s="73" t="str">
        <f t="shared" si="406"/>
        <v/>
      </c>
      <c r="Q1253" s="73" t="str">
        <f t="shared" si="407"/>
        <v/>
      </c>
      <c r="R1253" s="74" t="str">
        <f t="shared" si="408"/>
        <v/>
      </c>
      <c r="S1253" s="74" t="str">
        <f t="shared" si="409"/>
        <v/>
      </c>
      <c r="U1253" s="74" t="str">
        <f t="shared" si="405"/>
        <v/>
      </c>
      <c r="V1253" s="74" t="str">
        <f t="shared" si="405"/>
        <v/>
      </c>
      <c r="W1253" s="74" t="str">
        <f t="shared" si="405"/>
        <v/>
      </c>
      <c r="X1253" s="74" t="str">
        <f t="shared" si="405"/>
        <v/>
      </c>
      <c r="Y1253" s="74" t="str">
        <f t="shared" si="405"/>
        <v/>
      </c>
      <c r="Z1253" s="74" t="str">
        <f t="shared" si="410"/>
        <v/>
      </c>
      <c r="AA1253" s="74">
        <f t="shared" si="411"/>
        <v>0</v>
      </c>
      <c r="AB1253" s="74">
        <f t="shared" si="412"/>
        <v>0</v>
      </c>
      <c r="AC1253" s="74" t="str">
        <f t="shared" si="413"/>
        <v/>
      </c>
      <c r="AE1253" s="74" t="str">
        <f t="shared" si="414"/>
        <v/>
      </c>
      <c r="AF1253" s="74" t="str">
        <f t="shared" si="415"/>
        <v/>
      </c>
      <c r="AG1253" s="74" t="str">
        <f t="shared" si="416"/>
        <v/>
      </c>
      <c r="AH1253" s="74">
        <f t="shared" si="417"/>
        <v>0</v>
      </c>
      <c r="AI1253" s="74" t="str">
        <f>IF(AH1253&lt;&gt;0,COUNTIF(AH$3:AH1253,1),"")</f>
        <v/>
      </c>
      <c r="AJ1253" s="74">
        <f t="shared" si="418"/>
        <v>0</v>
      </c>
      <c r="AK1253" s="73" t="str">
        <f t="shared" si="419"/>
        <v/>
      </c>
      <c r="AL1253" s="73" t="str">
        <f t="shared" si="420"/>
        <v/>
      </c>
      <c r="AM1253" s="73" t="str">
        <f t="shared" si="421"/>
        <v/>
      </c>
      <c r="AN1253" s="73" t="str">
        <f t="shared" si="422"/>
        <v/>
      </c>
    </row>
    <row r="1254" spans="16:40" x14ac:dyDescent="0.25">
      <c r="P1254" s="73" t="str">
        <f t="shared" si="406"/>
        <v/>
      </c>
      <c r="Q1254" s="73" t="str">
        <f t="shared" si="407"/>
        <v/>
      </c>
      <c r="R1254" s="74" t="str">
        <f t="shared" si="408"/>
        <v/>
      </c>
      <c r="S1254" s="74" t="str">
        <f t="shared" si="409"/>
        <v/>
      </c>
      <c r="U1254" s="74" t="str">
        <f t="shared" si="405"/>
        <v/>
      </c>
      <c r="V1254" s="74" t="str">
        <f t="shared" si="405"/>
        <v/>
      </c>
      <c r="W1254" s="74" t="str">
        <f t="shared" si="405"/>
        <v/>
      </c>
      <c r="X1254" s="74" t="str">
        <f t="shared" si="405"/>
        <v/>
      </c>
      <c r="Y1254" s="74" t="str">
        <f t="shared" si="405"/>
        <v/>
      </c>
      <c r="Z1254" s="74" t="str">
        <f t="shared" si="410"/>
        <v/>
      </c>
      <c r="AA1254" s="74">
        <f t="shared" si="411"/>
        <v>0</v>
      </c>
      <c r="AB1254" s="74">
        <f t="shared" si="412"/>
        <v>0</v>
      </c>
      <c r="AC1254" s="74" t="str">
        <f t="shared" si="413"/>
        <v/>
      </c>
      <c r="AE1254" s="74" t="str">
        <f t="shared" si="414"/>
        <v/>
      </c>
      <c r="AF1254" s="74" t="str">
        <f t="shared" si="415"/>
        <v/>
      </c>
      <c r="AG1254" s="74" t="str">
        <f t="shared" si="416"/>
        <v/>
      </c>
      <c r="AH1254" s="74">
        <f t="shared" si="417"/>
        <v>0</v>
      </c>
      <c r="AI1254" s="74" t="str">
        <f>IF(AH1254&lt;&gt;0,COUNTIF(AH$3:AH1254,1),"")</f>
        <v/>
      </c>
      <c r="AJ1254" s="74">
        <f t="shared" si="418"/>
        <v>0</v>
      </c>
      <c r="AK1254" s="73" t="str">
        <f t="shared" si="419"/>
        <v/>
      </c>
      <c r="AL1254" s="73" t="str">
        <f t="shared" si="420"/>
        <v/>
      </c>
      <c r="AM1254" s="73" t="str">
        <f t="shared" si="421"/>
        <v/>
      </c>
      <c r="AN1254" s="73" t="str">
        <f t="shared" si="422"/>
        <v/>
      </c>
    </row>
    <row r="1255" spans="16:40" x14ac:dyDescent="0.25">
      <c r="P1255" s="73" t="str">
        <f t="shared" si="406"/>
        <v/>
      </c>
      <c r="Q1255" s="73" t="str">
        <f t="shared" si="407"/>
        <v/>
      </c>
      <c r="R1255" s="74" t="str">
        <f t="shared" si="408"/>
        <v/>
      </c>
      <c r="S1255" s="74" t="str">
        <f t="shared" si="409"/>
        <v/>
      </c>
      <c r="U1255" s="74" t="str">
        <f t="shared" si="405"/>
        <v/>
      </c>
      <c r="V1255" s="74" t="str">
        <f t="shared" si="405"/>
        <v/>
      </c>
      <c r="W1255" s="74" t="str">
        <f t="shared" si="405"/>
        <v/>
      </c>
      <c r="X1255" s="74" t="str">
        <f t="shared" si="405"/>
        <v/>
      </c>
      <c r="Y1255" s="74" t="str">
        <f t="shared" si="405"/>
        <v/>
      </c>
      <c r="Z1255" s="74" t="str">
        <f t="shared" si="410"/>
        <v/>
      </c>
      <c r="AA1255" s="74">
        <f t="shared" si="411"/>
        <v>0</v>
      </c>
      <c r="AB1255" s="74">
        <f t="shared" si="412"/>
        <v>0</v>
      </c>
      <c r="AC1255" s="74" t="str">
        <f t="shared" si="413"/>
        <v/>
      </c>
      <c r="AE1255" s="74" t="str">
        <f t="shared" si="414"/>
        <v/>
      </c>
      <c r="AF1255" s="74" t="str">
        <f t="shared" si="415"/>
        <v/>
      </c>
      <c r="AG1255" s="74" t="str">
        <f t="shared" si="416"/>
        <v/>
      </c>
      <c r="AH1255" s="74">
        <f t="shared" si="417"/>
        <v>0</v>
      </c>
      <c r="AI1255" s="74" t="str">
        <f>IF(AH1255&lt;&gt;0,COUNTIF(AH$3:AH1255,1),"")</f>
        <v/>
      </c>
      <c r="AJ1255" s="74">
        <f t="shared" si="418"/>
        <v>0</v>
      </c>
      <c r="AK1255" s="73" t="str">
        <f t="shared" si="419"/>
        <v/>
      </c>
      <c r="AL1255" s="73" t="str">
        <f t="shared" si="420"/>
        <v/>
      </c>
      <c r="AM1255" s="73" t="str">
        <f t="shared" si="421"/>
        <v/>
      </c>
      <c r="AN1255" s="73" t="str">
        <f t="shared" si="422"/>
        <v/>
      </c>
    </row>
    <row r="1256" spans="16:40" x14ac:dyDescent="0.25">
      <c r="P1256" s="73" t="str">
        <f t="shared" si="406"/>
        <v/>
      </c>
      <c r="Q1256" s="73" t="str">
        <f t="shared" si="407"/>
        <v/>
      </c>
      <c r="R1256" s="74" t="str">
        <f t="shared" si="408"/>
        <v/>
      </c>
      <c r="S1256" s="74" t="str">
        <f t="shared" si="409"/>
        <v/>
      </c>
      <c r="U1256" s="74" t="str">
        <f t="shared" si="405"/>
        <v/>
      </c>
      <c r="V1256" s="74" t="str">
        <f t="shared" si="405"/>
        <v/>
      </c>
      <c r="W1256" s="74" t="str">
        <f t="shared" si="405"/>
        <v/>
      </c>
      <c r="X1256" s="74" t="str">
        <f t="shared" si="405"/>
        <v/>
      </c>
      <c r="Y1256" s="74" t="str">
        <f t="shared" si="405"/>
        <v/>
      </c>
      <c r="Z1256" s="74" t="str">
        <f t="shared" si="410"/>
        <v/>
      </c>
      <c r="AA1256" s="74">
        <f t="shared" si="411"/>
        <v>0</v>
      </c>
      <c r="AB1256" s="74">
        <f t="shared" si="412"/>
        <v>0</v>
      </c>
      <c r="AC1256" s="74" t="str">
        <f t="shared" si="413"/>
        <v/>
      </c>
      <c r="AE1256" s="74" t="str">
        <f t="shared" si="414"/>
        <v/>
      </c>
      <c r="AF1256" s="74" t="str">
        <f t="shared" si="415"/>
        <v/>
      </c>
      <c r="AG1256" s="74" t="str">
        <f t="shared" si="416"/>
        <v/>
      </c>
      <c r="AH1256" s="74">
        <f t="shared" si="417"/>
        <v>0</v>
      </c>
      <c r="AI1256" s="74" t="str">
        <f>IF(AH1256&lt;&gt;0,COUNTIF(AH$3:AH1256,1),"")</f>
        <v/>
      </c>
      <c r="AJ1256" s="74">
        <f t="shared" si="418"/>
        <v>0</v>
      </c>
      <c r="AK1256" s="73" t="str">
        <f t="shared" si="419"/>
        <v/>
      </c>
      <c r="AL1256" s="73" t="str">
        <f t="shared" si="420"/>
        <v/>
      </c>
      <c r="AM1256" s="73" t="str">
        <f t="shared" si="421"/>
        <v/>
      </c>
      <c r="AN1256" s="73" t="str">
        <f t="shared" si="422"/>
        <v/>
      </c>
    </row>
    <row r="1257" spans="16:40" x14ac:dyDescent="0.25">
      <c r="P1257" s="73" t="str">
        <f t="shared" si="406"/>
        <v/>
      </c>
      <c r="Q1257" s="73" t="str">
        <f t="shared" si="407"/>
        <v/>
      </c>
      <c r="R1257" s="74" t="str">
        <f t="shared" si="408"/>
        <v/>
      </c>
      <c r="S1257" s="74" t="str">
        <f t="shared" si="409"/>
        <v/>
      </c>
      <c r="U1257" s="74" t="str">
        <f t="shared" si="405"/>
        <v/>
      </c>
      <c r="V1257" s="74" t="str">
        <f t="shared" si="405"/>
        <v/>
      </c>
      <c r="W1257" s="74" t="str">
        <f t="shared" si="405"/>
        <v/>
      </c>
      <c r="X1257" s="74" t="str">
        <f t="shared" si="405"/>
        <v/>
      </c>
      <c r="Y1257" s="74" t="str">
        <f t="shared" si="405"/>
        <v/>
      </c>
      <c r="Z1257" s="74" t="str">
        <f t="shared" si="410"/>
        <v/>
      </c>
      <c r="AA1257" s="74">
        <f t="shared" si="411"/>
        <v>0</v>
      </c>
      <c r="AB1257" s="74">
        <f t="shared" si="412"/>
        <v>0</v>
      </c>
      <c r="AC1257" s="74" t="str">
        <f t="shared" si="413"/>
        <v/>
      </c>
      <c r="AE1257" s="74" t="str">
        <f t="shared" si="414"/>
        <v/>
      </c>
      <c r="AF1257" s="74" t="str">
        <f t="shared" si="415"/>
        <v/>
      </c>
      <c r="AG1257" s="74" t="str">
        <f t="shared" si="416"/>
        <v/>
      </c>
      <c r="AH1257" s="74">
        <f t="shared" si="417"/>
        <v>0</v>
      </c>
      <c r="AI1257" s="74" t="str">
        <f>IF(AH1257&lt;&gt;0,COUNTIF(AH$3:AH1257,1),"")</f>
        <v/>
      </c>
      <c r="AJ1257" s="74">
        <f t="shared" si="418"/>
        <v>0</v>
      </c>
      <c r="AK1257" s="73" t="str">
        <f t="shared" si="419"/>
        <v/>
      </c>
      <c r="AL1257" s="73" t="str">
        <f t="shared" si="420"/>
        <v/>
      </c>
      <c r="AM1257" s="73" t="str">
        <f t="shared" si="421"/>
        <v/>
      </c>
      <c r="AN1257" s="73" t="str">
        <f t="shared" si="422"/>
        <v/>
      </c>
    </row>
    <row r="1258" spans="16:40" x14ac:dyDescent="0.25">
      <c r="P1258" s="73" t="str">
        <f t="shared" si="406"/>
        <v/>
      </c>
      <c r="Q1258" s="73" t="str">
        <f t="shared" si="407"/>
        <v/>
      </c>
      <c r="R1258" s="74" t="str">
        <f t="shared" si="408"/>
        <v/>
      </c>
      <c r="S1258" s="74" t="str">
        <f t="shared" si="409"/>
        <v/>
      </c>
      <c r="U1258" s="74" t="str">
        <f t="shared" si="405"/>
        <v/>
      </c>
      <c r="V1258" s="74" t="str">
        <f t="shared" si="405"/>
        <v/>
      </c>
      <c r="W1258" s="74" t="str">
        <f t="shared" si="405"/>
        <v/>
      </c>
      <c r="X1258" s="74" t="str">
        <f t="shared" si="405"/>
        <v/>
      </c>
      <c r="Y1258" s="74" t="str">
        <f t="shared" si="405"/>
        <v/>
      </c>
      <c r="Z1258" s="74" t="str">
        <f t="shared" si="410"/>
        <v/>
      </c>
      <c r="AA1258" s="74">
        <f t="shared" si="411"/>
        <v>0</v>
      </c>
      <c r="AB1258" s="74">
        <f t="shared" si="412"/>
        <v>0</v>
      </c>
      <c r="AC1258" s="74" t="str">
        <f t="shared" si="413"/>
        <v/>
      </c>
      <c r="AE1258" s="74" t="str">
        <f t="shared" si="414"/>
        <v/>
      </c>
      <c r="AF1258" s="74" t="str">
        <f t="shared" si="415"/>
        <v/>
      </c>
      <c r="AG1258" s="74" t="str">
        <f t="shared" si="416"/>
        <v/>
      </c>
      <c r="AH1258" s="74">
        <f t="shared" si="417"/>
        <v>0</v>
      </c>
      <c r="AI1258" s="74" t="str">
        <f>IF(AH1258&lt;&gt;0,COUNTIF(AH$3:AH1258,1),"")</f>
        <v/>
      </c>
      <c r="AJ1258" s="74">
        <f t="shared" si="418"/>
        <v>0</v>
      </c>
      <c r="AK1258" s="73" t="str">
        <f t="shared" si="419"/>
        <v/>
      </c>
      <c r="AL1258" s="73" t="str">
        <f t="shared" si="420"/>
        <v/>
      </c>
      <c r="AM1258" s="73" t="str">
        <f t="shared" si="421"/>
        <v/>
      </c>
      <c r="AN1258" s="73" t="str">
        <f t="shared" si="422"/>
        <v/>
      </c>
    </row>
    <row r="1259" spans="16:40" x14ac:dyDescent="0.25">
      <c r="P1259" s="73" t="str">
        <f t="shared" si="406"/>
        <v/>
      </c>
      <c r="Q1259" s="73" t="str">
        <f t="shared" si="407"/>
        <v/>
      </c>
      <c r="R1259" s="74" t="str">
        <f t="shared" si="408"/>
        <v/>
      </c>
      <c r="S1259" s="74" t="str">
        <f t="shared" si="409"/>
        <v/>
      </c>
      <c r="U1259" s="74" t="str">
        <f t="shared" si="405"/>
        <v/>
      </c>
      <c r="V1259" s="74" t="str">
        <f t="shared" si="405"/>
        <v/>
      </c>
      <c r="W1259" s="74" t="str">
        <f t="shared" si="405"/>
        <v/>
      </c>
      <c r="X1259" s="74" t="str">
        <f t="shared" si="405"/>
        <v/>
      </c>
      <c r="Y1259" s="74" t="str">
        <f t="shared" si="405"/>
        <v/>
      </c>
      <c r="Z1259" s="74" t="str">
        <f t="shared" si="410"/>
        <v/>
      </c>
      <c r="AA1259" s="74">
        <f t="shared" si="411"/>
        <v>0</v>
      </c>
      <c r="AB1259" s="74">
        <f t="shared" si="412"/>
        <v>0</v>
      </c>
      <c r="AC1259" s="74" t="str">
        <f t="shared" si="413"/>
        <v/>
      </c>
      <c r="AE1259" s="74" t="str">
        <f t="shared" si="414"/>
        <v/>
      </c>
      <c r="AF1259" s="74" t="str">
        <f t="shared" si="415"/>
        <v/>
      </c>
      <c r="AG1259" s="74" t="str">
        <f t="shared" si="416"/>
        <v/>
      </c>
      <c r="AH1259" s="74">
        <f t="shared" si="417"/>
        <v>0</v>
      </c>
      <c r="AI1259" s="74" t="str">
        <f>IF(AH1259&lt;&gt;0,COUNTIF(AH$3:AH1259,1),"")</f>
        <v/>
      </c>
      <c r="AJ1259" s="74">
        <f t="shared" si="418"/>
        <v>0</v>
      </c>
      <c r="AK1259" s="73" t="str">
        <f t="shared" si="419"/>
        <v/>
      </c>
      <c r="AL1259" s="73" t="str">
        <f t="shared" si="420"/>
        <v/>
      </c>
      <c r="AM1259" s="73" t="str">
        <f t="shared" si="421"/>
        <v/>
      </c>
      <c r="AN1259" s="73" t="str">
        <f t="shared" si="422"/>
        <v/>
      </c>
    </row>
    <row r="1260" spans="16:40" x14ac:dyDescent="0.25">
      <c r="P1260" s="73" t="str">
        <f t="shared" si="406"/>
        <v/>
      </c>
      <c r="Q1260" s="73" t="str">
        <f t="shared" si="407"/>
        <v/>
      </c>
      <c r="R1260" s="74" t="str">
        <f t="shared" si="408"/>
        <v/>
      </c>
      <c r="S1260" s="74" t="str">
        <f t="shared" si="409"/>
        <v/>
      </c>
      <c r="U1260" s="74" t="str">
        <f t="shared" si="405"/>
        <v/>
      </c>
      <c r="V1260" s="74" t="str">
        <f t="shared" si="405"/>
        <v/>
      </c>
      <c r="W1260" s="74" t="str">
        <f t="shared" si="405"/>
        <v/>
      </c>
      <c r="X1260" s="74" t="str">
        <f t="shared" si="405"/>
        <v/>
      </c>
      <c r="Y1260" s="74" t="str">
        <f t="shared" si="405"/>
        <v/>
      </c>
      <c r="Z1260" s="74" t="str">
        <f t="shared" si="410"/>
        <v/>
      </c>
      <c r="AA1260" s="74">
        <f t="shared" si="411"/>
        <v>0</v>
      </c>
      <c r="AB1260" s="74">
        <f t="shared" si="412"/>
        <v>0</v>
      </c>
      <c r="AC1260" s="74" t="str">
        <f t="shared" si="413"/>
        <v/>
      </c>
      <c r="AE1260" s="74" t="str">
        <f t="shared" si="414"/>
        <v/>
      </c>
      <c r="AF1260" s="74" t="str">
        <f t="shared" si="415"/>
        <v/>
      </c>
      <c r="AG1260" s="74" t="str">
        <f t="shared" si="416"/>
        <v/>
      </c>
      <c r="AH1260" s="74">
        <f t="shared" si="417"/>
        <v>0</v>
      </c>
      <c r="AI1260" s="74" t="str">
        <f>IF(AH1260&lt;&gt;0,COUNTIF(AH$3:AH1260,1),"")</f>
        <v/>
      </c>
      <c r="AJ1260" s="74">
        <f t="shared" si="418"/>
        <v>0</v>
      </c>
      <c r="AK1260" s="73" t="str">
        <f t="shared" si="419"/>
        <v/>
      </c>
      <c r="AL1260" s="73" t="str">
        <f t="shared" si="420"/>
        <v/>
      </c>
      <c r="AM1260" s="73" t="str">
        <f t="shared" si="421"/>
        <v/>
      </c>
      <c r="AN1260" s="73" t="str">
        <f t="shared" si="422"/>
        <v/>
      </c>
    </row>
    <row r="1261" spans="16:40" x14ac:dyDescent="0.25">
      <c r="P1261" s="73" t="str">
        <f t="shared" si="406"/>
        <v/>
      </c>
      <c r="Q1261" s="73" t="str">
        <f t="shared" si="407"/>
        <v/>
      </c>
      <c r="R1261" s="74" t="str">
        <f t="shared" si="408"/>
        <v/>
      </c>
      <c r="S1261" s="74" t="str">
        <f t="shared" si="409"/>
        <v/>
      </c>
      <c r="U1261" s="74" t="str">
        <f t="shared" ref="U1261:Y1311" si="423">IF($F1261=U$1,$E1261,"")</f>
        <v/>
      </c>
      <c r="V1261" s="74" t="str">
        <f t="shared" si="423"/>
        <v/>
      </c>
      <c r="W1261" s="74" t="str">
        <f t="shared" si="423"/>
        <v/>
      </c>
      <c r="X1261" s="74" t="str">
        <f t="shared" si="423"/>
        <v/>
      </c>
      <c r="Y1261" s="74" t="str">
        <f t="shared" si="423"/>
        <v/>
      </c>
      <c r="Z1261" s="74" t="str">
        <f t="shared" si="410"/>
        <v/>
      </c>
      <c r="AA1261" s="74">
        <f t="shared" si="411"/>
        <v>0</v>
      </c>
      <c r="AB1261" s="74">
        <f t="shared" si="412"/>
        <v>0</v>
      </c>
      <c r="AC1261" s="74" t="str">
        <f t="shared" si="413"/>
        <v/>
      </c>
      <c r="AE1261" s="74" t="str">
        <f t="shared" si="414"/>
        <v/>
      </c>
      <c r="AF1261" s="74" t="str">
        <f t="shared" si="415"/>
        <v/>
      </c>
      <c r="AG1261" s="74" t="str">
        <f t="shared" si="416"/>
        <v/>
      </c>
      <c r="AH1261" s="74">
        <f t="shared" si="417"/>
        <v>0</v>
      </c>
      <c r="AI1261" s="74" t="str">
        <f>IF(AH1261&lt;&gt;0,COUNTIF(AH$3:AH1261,1),"")</f>
        <v/>
      </c>
      <c r="AJ1261" s="74">
        <f t="shared" si="418"/>
        <v>0</v>
      </c>
      <c r="AK1261" s="73" t="str">
        <f t="shared" si="419"/>
        <v/>
      </c>
      <c r="AL1261" s="73" t="str">
        <f t="shared" si="420"/>
        <v/>
      </c>
      <c r="AM1261" s="73" t="str">
        <f t="shared" si="421"/>
        <v/>
      </c>
      <c r="AN1261" s="73" t="str">
        <f t="shared" si="422"/>
        <v/>
      </c>
    </row>
    <row r="1262" spans="16:40" x14ac:dyDescent="0.25">
      <c r="P1262" s="73" t="str">
        <f t="shared" si="406"/>
        <v/>
      </c>
      <c r="Q1262" s="73" t="str">
        <f t="shared" si="407"/>
        <v/>
      </c>
      <c r="R1262" s="74" t="str">
        <f t="shared" si="408"/>
        <v/>
      </c>
      <c r="S1262" s="74" t="str">
        <f t="shared" si="409"/>
        <v/>
      </c>
      <c r="U1262" s="74" t="str">
        <f t="shared" si="423"/>
        <v/>
      </c>
      <c r="V1262" s="74" t="str">
        <f t="shared" si="423"/>
        <v/>
      </c>
      <c r="W1262" s="74" t="str">
        <f t="shared" si="423"/>
        <v/>
      </c>
      <c r="X1262" s="74" t="str">
        <f t="shared" si="423"/>
        <v/>
      </c>
      <c r="Y1262" s="74" t="str">
        <f t="shared" si="423"/>
        <v/>
      </c>
      <c r="Z1262" s="74" t="str">
        <f t="shared" si="410"/>
        <v/>
      </c>
      <c r="AA1262" s="74">
        <f t="shared" si="411"/>
        <v>0</v>
      </c>
      <c r="AB1262" s="74">
        <f t="shared" si="412"/>
        <v>0</v>
      </c>
      <c r="AC1262" s="74" t="str">
        <f t="shared" si="413"/>
        <v/>
      </c>
      <c r="AE1262" s="74" t="str">
        <f t="shared" si="414"/>
        <v/>
      </c>
      <c r="AF1262" s="74" t="str">
        <f t="shared" si="415"/>
        <v/>
      </c>
      <c r="AG1262" s="74" t="str">
        <f t="shared" si="416"/>
        <v/>
      </c>
      <c r="AH1262" s="74">
        <f t="shared" si="417"/>
        <v>0</v>
      </c>
      <c r="AI1262" s="74" t="str">
        <f>IF(AH1262&lt;&gt;0,COUNTIF(AH$3:AH1262,1),"")</f>
        <v/>
      </c>
      <c r="AJ1262" s="74">
        <f t="shared" si="418"/>
        <v>0</v>
      </c>
      <c r="AK1262" s="73" t="str">
        <f t="shared" si="419"/>
        <v/>
      </c>
      <c r="AL1262" s="73" t="str">
        <f t="shared" si="420"/>
        <v/>
      </c>
      <c r="AM1262" s="73" t="str">
        <f t="shared" si="421"/>
        <v/>
      </c>
      <c r="AN1262" s="73" t="str">
        <f t="shared" si="422"/>
        <v/>
      </c>
    </row>
    <row r="1263" spans="16:40" x14ac:dyDescent="0.25">
      <c r="P1263" s="73" t="str">
        <f t="shared" si="406"/>
        <v/>
      </c>
      <c r="Q1263" s="73" t="str">
        <f t="shared" si="407"/>
        <v/>
      </c>
      <c r="R1263" s="74" t="str">
        <f t="shared" si="408"/>
        <v/>
      </c>
      <c r="S1263" s="74" t="str">
        <f t="shared" si="409"/>
        <v/>
      </c>
      <c r="U1263" s="74" t="str">
        <f t="shared" si="423"/>
        <v/>
      </c>
      <c r="V1263" s="74" t="str">
        <f t="shared" si="423"/>
        <v/>
      </c>
      <c r="W1263" s="74" t="str">
        <f t="shared" si="423"/>
        <v/>
      </c>
      <c r="X1263" s="74" t="str">
        <f t="shared" si="423"/>
        <v/>
      </c>
      <c r="Y1263" s="74" t="str">
        <f t="shared" si="423"/>
        <v/>
      </c>
      <c r="Z1263" s="74" t="str">
        <f t="shared" si="410"/>
        <v/>
      </c>
      <c r="AA1263" s="74">
        <f t="shared" si="411"/>
        <v>0</v>
      </c>
      <c r="AB1263" s="74">
        <f t="shared" si="412"/>
        <v>0</v>
      </c>
      <c r="AC1263" s="74" t="str">
        <f t="shared" si="413"/>
        <v/>
      </c>
      <c r="AE1263" s="74" t="str">
        <f t="shared" si="414"/>
        <v/>
      </c>
      <c r="AF1263" s="74" t="str">
        <f t="shared" si="415"/>
        <v/>
      </c>
      <c r="AG1263" s="74" t="str">
        <f t="shared" si="416"/>
        <v/>
      </c>
      <c r="AH1263" s="74">
        <f t="shared" si="417"/>
        <v>0</v>
      </c>
      <c r="AI1263" s="74" t="str">
        <f>IF(AH1263&lt;&gt;0,COUNTIF(AH$3:AH1263,1),"")</f>
        <v/>
      </c>
      <c r="AJ1263" s="74">
        <f t="shared" si="418"/>
        <v>0</v>
      </c>
      <c r="AK1263" s="73" t="str">
        <f t="shared" si="419"/>
        <v/>
      </c>
      <c r="AL1263" s="73" t="str">
        <f t="shared" si="420"/>
        <v/>
      </c>
      <c r="AM1263" s="73" t="str">
        <f t="shared" si="421"/>
        <v/>
      </c>
      <c r="AN1263" s="73" t="str">
        <f t="shared" si="422"/>
        <v/>
      </c>
    </row>
    <row r="1264" spans="16:40" x14ac:dyDescent="0.25">
      <c r="P1264" s="73" t="str">
        <f t="shared" si="406"/>
        <v/>
      </c>
      <c r="Q1264" s="73" t="str">
        <f t="shared" si="407"/>
        <v/>
      </c>
      <c r="R1264" s="74" t="str">
        <f t="shared" si="408"/>
        <v/>
      </c>
      <c r="S1264" s="74" t="str">
        <f t="shared" si="409"/>
        <v/>
      </c>
      <c r="U1264" s="74" t="str">
        <f t="shared" si="423"/>
        <v/>
      </c>
      <c r="V1264" s="74" t="str">
        <f t="shared" si="423"/>
        <v/>
      </c>
      <c r="W1264" s="74" t="str">
        <f t="shared" si="423"/>
        <v/>
      </c>
      <c r="X1264" s="74" t="str">
        <f t="shared" si="423"/>
        <v/>
      </c>
      <c r="Y1264" s="74" t="str">
        <f t="shared" si="423"/>
        <v/>
      </c>
      <c r="Z1264" s="74" t="str">
        <f t="shared" si="410"/>
        <v/>
      </c>
      <c r="AA1264" s="74">
        <f t="shared" si="411"/>
        <v>0</v>
      </c>
      <c r="AB1264" s="74">
        <f t="shared" si="412"/>
        <v>0</v>
      </c>
      <c r="AC1264" s="74" t="str">
        <f t="shared" si="413"/>
        <v/>
      </c>
      <c r="AE1264" s="74" t="str">
        <f t="shared" si="414"/>
        <v/>
      </c>
      <c r="AF1264" s="74" t="str">
        <f t="shared" si="415"/>
        <v/>
      </c>
      <c r="AG1264" s="74" t="str">
        <f t="shared" si="416"/>
        <v/>
      </c>
      <c r="AH1264" s="74">
        <f t="shared" si="417"/>
        <v>0</v>
      </c>
      <c r="AI1264" s="74" t="str">
        <f>IF(AH1264&lt;&gt;0,COUNTIF(AH$3:AH1264,1),"")</f>
        <v/>
      </c>
      <c r="AJ1264" s="74">
        <f t="shared" si="418"/>
        <v>0</v>
      </c>
      <c r="AK1264" s="73" t="str">
        <f t="shared" si="419"/>
        <v/>
      </c>
      <c r="AL1264" s="73" t="str">
        <f t="shared" si="420"/>
        <v/>
      </c>
      <c r="AM1264" s="73" t="str">
        <f t="shared" si="421"/>
        <v/>
      </c>
      <c r="AN1264" s="73" t="str">
        <f t="shared" si="422"/>
        <v/>
      </c>
    </row>
    <row r="1265" spans="16:40" x14ac:dyDescent="0.25">
      <c r="P1265" s="73" t="str">
        <f t="shared" si="406"/>
        <v/>
      </c>
      <c r="Q1265" s="73" t="str">
        <f t="shared" si="407"/>
        <v/>
      </c>
      <c r="R1265" s="74" t="str">
        <f t="shared" si="408"/>
        <v/>
      </c>
      <c r="S1265" s="74" t="str">
        <f t="shared" si="409"/>
        <v/>
      </c>
      <c r="U1265" s="74" t="str">
        <f t="shared" si="423"/>
        <v/>
      </c>
      <c r="V1265" s="74" t="str">
        <f t="shared" si="423"/>
        <v/>
      </c>
      <c r="W1265" s="74" t="str">
        <f t="shared" si="423"/>
        <v/>
      </c>
      <c r="X1265" s="74" t="str">
        <f t="shared" si="423"/>
        <v/>
      </c>
      <c r="Y1265" s="74" t="str">
        <f t="shared" si="423"/>
        <v/>
      </c>
      <c r="Z1265" s="74" t="str">
        <f t="shared" si="410"/>
        <v/>
      </c>
      <c r="AA1265" s="74">
        <f t="shared" si="411"/>
        <v>0</v>
      </c>
      <c r="AB1265" s="74">
        <f t="shared" si="412"/>
        <v>0</v>
      </c>
      <c r="AC1265" s="74" t="str">
        <f t="shared" si="413"/>
        <v/>
      </c>
      <c r="AE1265" s="74" t="str">
        <f t="shared" si="414"/>
        <v/>
      </c>
      <c r="AF1265" s="74" t="str">
        <f t="shared" si="415"/>
        <v/>
      </c>
      <c r="AG1265" s="74" t="str">
        <f t="shared" si="416"/>
        <v/>
      </c>
      <c r="AH1265" s="74">
        <f t="shared" si="417"/>
        <v>0</v>
      </c>
      <c r="AI1265" s="74" t="str">
        <f>IF(AH1265&lt;&gt;0,COUNTIF(AH$3:AH1265,1),"")</f>
        <v/>
      </c>
      <c r="AJ1265" s="74">
        <f t="shared" si="418"/>
        <v>0</v>
      </c>
      <c r="AK1265" s="73" t="str">
        <f t="shared" si="419"/>
        <v/>
      </c>
      <c r="AL1265" s="73" t="str">
        <f t="shared" si="420"/>
        <v/>
      </c>
      <c r="AM1265" s="73" t="str">
        <f t="shared" si="421"/>
        <v/>
      </c>
      <c r="AN1265" s="73" t="str">
        <f t="shared" si="422"/>
        <v/>
      </c>
    </row>
    <row r="1266" spans="16:40" x14ac:dyDescent="0.25">
      <c r="P1266" s="73" t="str">
        <f t="shared" si="406"/>
        <v/>
      </c>
      <c r="Q1266" s="73" t="str">
        <f t="shared" si="407"/>
        <v/>
      </c>
      <c r="R1266" s="74" t="str">
        <f t="shared" si="408"/>
        <v/>
      </c>
      <c r="S1266" s="74" t="str">
        <f t="shared" si="409"/>
        <v/>
      </c>
      <c r="U1266" s="74" t="str">
        <f t="shared" si="423"/>
        <v/>
      </c>
      <c r="V1266" s="74" t="str">
        <f t="shared" si="423"/>
        <v/>
      </c>
      <c r="W1266" s="74" t="str">
        <f t="shared" si="423"/>
        <v/>
      </c>
      <c r="X1266" s="74" t="str">
        <f t="shared" si="423"/>
        <v/>
      </c>
      <c r="Y1266" s="74" t="str">
        <f t="shared" si="423"/>
        <v/>
      </c>
      <c r="Z1266" s="74" t="str">
        <f t="shared" si="410"/>
        <v/>
      </c>
      <c r="AA1266" s="74">
        <f t="shared" si="411"/>
        <v>0</v>
      </c>
      <c r="AB1266" s="74">
        <f t="shared" si="412"/>
        <v>0</v>
      </c>
      <c r="AC1266" s="74" t="str">
        <f t="shared" si="413"/>
        <v/>
      </c>
      <c r="AE1266" s="74" t="str">
        <f t="shared" si="414"/>
        <v/>
      </c>
      <c r="AF1266" s="74" t="str">
        <f t="shared" si="415"/>
        <v/>
      </c>
      <c r="AG1266" s="74" t="str">
        <f t="shared" si="416"/>
        <v/>
      </c>
      <c r="AH1266" s="74">
        <f t="shared" si="417"/>
        <v>0</v>
      </c>
      <c r="AI1266" s="74" t="str">
        <f>IF(AH1266&lt;&gt;0,COUNTIF(AH$3:AH1266,1),"")</f>
        <v/>
      </c>
      <c r="AJ1266" s="74">
        <f t="shared" si="418"/>
        <v>0</v>
      </c>
      <c r="AK1266" s="73" t="str">
        <f t="shared" si="419"/>
        <v/>
      </c>
      <c r="AL1266" s="73" t="str">
        <f t="shared" si="420"/>
        <v/>
      </c>
      <c r="AM1266" s="73" t="str">
        <f t="shared" si="421"/>
        <v/>
      </c>
      <c r="AN1266" s="73" t="str">
        <f t="shared" si="422"/>
        <v/>
      </c>
    </row>
    <row r="1267" spans="16:40" x14ac:dyDescent="0.25">
      <c r="P1267" s="73" t="str">
        <f t="shared" si="406"/>
        <v/>
      </c>
      <c r="Q1267" s="73" t="str">
        <f t="shared" si="407"/>
        <v/>
      </c>
      <c r="R1267" s="74" t="str">
        <f t="shared" si="408"/>
        <v/>
      </c>
      <c r="S1267" s="74" t="str">
        <f t="shared" si="409"/>
        <v/>
      </c>
      <c r="U1267" s="74" t="str">
        <f t="shared" si="423"/>
        <v/>
      </c>
      <c r="V1267" s="74" t="str">
        <f t="shared" si="423"/>
        <v/>
      </c>
      <c r="W1267" s="74" t="str">
        <f t="shared" si="423"/>
        <v/>
      </c>
      <c r="X1267" s="74" t="str">
        <f t="shared" si="423"/>
        <v/>
      </c>
      <c r="Y1267" s="74" t="str">
        <f t="shared" si="423"/>
        <v/>
      </c>
      <c r="Z1267" s="74" t="str">
        <f t="shared" si="410"/>
        <v/>
      </c>
      <c r="AA1267" s="74">
        <f t="shared" si="411"/>
        <v>0</v>
      </c>
      <c r="AB1267" s="74">
        <f t="shared" si="412"/>
        <v>0</v>
      </c>
      <c r="AC1267" s="74" t="str">
        <f t="shared" si="413"/>
        <v/>
      </c>
      <c r="AE1267" s="74" t="str">
        <f t="shared" si="414"/>
        <v/>
      </c>
      <c r="AF1267" s="74" t="str">
        <f t="shared" si="415"/>
        <v/>
      </c>
      <c r="AG1267" s="74" t="str">
        <f t="shared" si="416"/>
        <v/>
      </c>
      <c r="AH1267" s="74">
        <f t="shared" si="417"/>
        <v>0</v>
      </c>
      <c r="AI1267" s="74" t="str">
        <f>IF(AH1267&lt;&gt;0,COUNTIF(AH$3:AH1267,1),"")</f>
        <v/>
      </c>
      <c r="AJ1267" s="74">
        <f t="shared" si="418"/>
        <v>0</v>
      </c>
      <c r="AK1267" s="73" t="str">
        <f t="shared" si="419"/>
        <v/>
      </c>
      <c r="AL1267" s="73" t="str">
        <f t="shared" si="420"/>
        <v/>
      </c>
      <c r="AM1267" s="73" t="str">
        <f t="shared" si="421"/>
        <v/>
      </c>
      <c r="AN1267" s="73" t="str">
        <f t="shared" si="422"/>
        <v/>
      </c>
    </row>
    <row r="1268" spans="16:40" x14ac:dyDescent="0.25">
      <c r="P1268" s="73" t="str">
        <f t="shared" si="406"/>
        <v/>
      </c>
      <c r="Q1268" s="73" t="str">
        <f t="shared" si="407"/>
        <v/>
      </c>
      <c r="R1268" s="74" t="str">
        <f t="shared" si="408"/>
        <v/>
      </c>
      <c r="S1268" s="74" t="str">
        <f t="shared" si="409"/>
        <v/>
      </c>
      <c r="U1268" s="74" t="str">
        <f t="shared" si="423"/>
        <v/>
      </c>
      <c r="V1268" s="74" t="str">
        <f t="shared" si="423"/>
        <v/>
      </c>
      <c r="W1268" s="74" t="str">
        <f t="shared" si="423"/>
        <v/>
      </c>
      <c r="X1268" s="74" t="str">
        <f t="shared" si="423"/>
        <v/>
      </c>
      <c r="Y1268" s="74" t="str">
        <f t="shared" si="423"/>
        <v/>
      </c>
      <c r="Z1268" s="74" t="str">
        <f t="shared" si="410"/>
        <v/>
      </c>
      <c r="AA1268" s="74">
        <f t="shared" si="411"/>
        <v>0</v>
      </c>
      <c r="AB1268" s="74">
        <f t="shared" si="412"/>
        <v>0</v>
      </c>
      <c r="AC1268" s="74" t="str">
        <f t="shared" si="413"/>
        <v/>
      </c>
      <c r="AE1268" s="74" t="str">
        <f t="shared" si="414"/>
        <v/>
      </c>
      <c r="AF1268" s="74" t="str">
        <f t="shared" si="415"/>
        <v/>
      </c>
      <c r="AG1268" s="74" t="str">
        <f t="shared" si="416"/>
        <v/>
      </c>
      <c r="AH1268" s="74">
        <f t="shared" si="417"/>
        <v>0</v>
      </c>
      <c r="AI1268" s="74" t="str">
        <f>IF(AH1268&lt;&gt;0,COUNTIF(AH$3:AH1268,1),"")</f>
        <v/>
      </c>
      <c r="AJ1268" s="74">
        <f t="shared" si="418"/>
        <v>0</v>
      </c>
      <c r="AK1268" s="73" t="str">
        <f t="shared" si="419"/>
        <v/>
      </c>
      <c r="AL1268" s="73" t="str">
        <f t="shared" si="420"/>
        <v/>
      </c>
      <c r="AM1268" s="73" t="str">
        <f t="shared" si="421"/>
        <v/>
      </c>
      <c r="AN1268" s="73" t="str">
        <f t="shared" si="422"/>
        <v/>
      </c>
    </row>
    <row r="1269" spans="16:40" x14ac:dyDescent="0.25">
      <c r="P1269" s="73" t="str">
        <f t="shared" si="406"/>
        <v/>
      </c>
      <c r="Q1269" s="73" t="str">
        <f t="shared" si="407"/>
        <v/>
      </c>
      <c r="R1269" s="74" t="str">
        <f t="shared" si="408"/>
        <v/>
      </c>
      <c r="S1269" s="74" t="str">
        <f t="shared" si="409"/>
        <v/>
      </c>
      <c r="U1269" s="74" t="str">
        <f t="shared" si="423"/>
        <v/>
      </c>
      <c r="V1269" s="74" t="str">
        <f t="shared" si="423"/>
        <v/>
      </c>
      <c r="W1269" s="74" t="str">
        <f t="shared" si="423"/>
        <v/>
      </c>
      <c r="X1269" s="74" t="str">
        <f t="shared" si="423"/>
        <v/>
      </c>
      <c r="Y1269" s="74" t="str">
        <f t="shared" si="423"/>
        <v/>
      </c>
      <c r="Z1269" s="74" t="str">
        <f t="shared" si="410"/>
        <v/>
      </c>
      <c r="AA1269" s="74">
        <f t="shared" si="411"/>
        <v>0</v>
      </c>
      <c r="AB1269" s="74">
        <f t="shared" si="412"/>
        <v>0</v>
      </c>
      <c r="AC1269" s="74" t="str">
        <f t="shared" si="413"/>
        <v/>
      </c>
      <c r="AE1269" s="74" t="str">
        <f t="shared" si="414"/>
        <v/>
      </c>
      <c r="AF1269" s="74" t="str">
        <f t="shared" si="415"/>
        <v/>
      </c>
      <c r="AG1269" s="74" t="str">
        <f t="shared" si="416"/>
        <v/>
      </c>
      <c r="AH1269" s="74">
        <f t="shared" si="417"/>
        <v>0</v>
      </c>
      <c r="AI1269" s="74" t="str">
        <f>IF(AH1269&lt;&gt;0,COUNTIF(AH$3:AH1269,1),"")</f>
        <v/>
      </c>
      <c r="AJ1269" s="74">
        <f t="shared" si="418"/>
        <v>0</v>
      </c>
      <c r="AK1269" s="73" t="str">
        <f t="shared" si="419"/>
        <v/>
      </c>
      <c r="AL1269" s="73" t="str">
        <f t="shared" si="420"/>
        <v/>
      </c>
      <c r="AM1269" s="73" t="str">
        <f t="shared" si="421"/>
        <v/>
      </c>
      <c r="AN1269" s="73" t="str">
        <f t="shared" si="422"/>
        <v/>
      </c>
    </row>
    <row r="1270" spans="16:40" x14ac:dyDescent="0.25">
      <c r="P1270" s="73" t="str">
        <f t="shared" si="406"/>
        <v/>
      </c>
      <c r="Q1270" s="73" t="str">
        <f t="shared" si="407"/>
        <v/>
      </c>
      <c r="R1270" s="74" t="str">
        <f t="shared" si="408"/>
        <v/>
      </c>
      <c r="S1270" s="74" t="str">
        <f t="shared" si="409"/>
        <v/>
      </c>
      <c r="U1270" s="74" t="str">
        <f t="shared" si="423"/>
        <v/>
      </c>
      <c r="V1270" s="74" t="str">
        <f t="shared" si="423"/>
        <v/>
      </c>
      <c r="W1270" s="74" t="str">
        <f t="shared" si="423"/>
        <v/>
      </c>
      <c r="X1270" s="74" t="str">
        <f t="shared" si="423"/>
        <v/>
      </c>
      <c r="Y1270" s="74" t="str">
        <f t="shared" si="423"/>
        <v/>
      </c>
      <c r="Z1270" s="74" t="str">
        <f t="shared" si="410"/>
        <v/>
      </c>
      <c r="AA1270" s="74">
        <f t="shared" si="411"/>
        <v>0</v>
      </c>
      <c r="AB1270" s="74">
        <f t="shared" si="412"/>
        <v>0</v>
      </c>
      <c r="AC1270" s="74" t="str">
        <f t="shared" si="413"/>
        <v/>
      </c>
      <c r="AE1270" s="74" t="str">
        <f t="shared" si="414"/>
        <v/>
      </c>
      <c r="AF1270" s="74" t="str">
        <f t="shared" si="415"/>
        <v/>
      </c>
      <c r="AG1270" s="74" t="str">
        <f t="shared" si="416"/>
        <v/>
      </c>
      <c r="AH1270" s="74">
        <f t="shared" si="417"/>
        <v>0</v>
      </c>
      <c r="AI1270" s="74" t="str">
        <f>IF(AH1270&lt;&gt;0,COUNTIF(AH$3:AH1270,1),"")</f>
        <v/>
      </c>
      <c r="AJ1270" s="74">
        <f t="shared" si="418"/>
        <v>0</v>
      </c>
      <c r="AK1270" s="73" t="str">
        <f t="shared" si="419"/>
        <v/>
      </c>
      <c r="AL1270" s="73" t="str">
        <f t="shared" si="420"/>
        <v/>
      </c>
      <c r="AM1270" s="73" t="str">
        <f t="shared" si="421"/>
        <v/>
      </c>
      <c r="AN1270" s="73" t="str">
        <f t="shared" si="422"/>
        <v/>
      </c>
    </row>
    <row r="1271" spans="16:40" x14ac:dyDescent="0.25">
      <c r="P1271" s="73" t="str">
        <f t="shared" si="406"/>
        <v/>
      </c>
      <c r="Q1271" s="73" t="str">
        <f t="shared" si="407"/>
        <v/>
      </c>
      <c r="R1271" s="74" t="str">
        <f t="shared" si="408"/>
        <v/>
      </c>
      <c r="S1271" s="74" t="str">
        <f t="shared" si="409"/>
        <v/>
      </c>
      <c r="U1271" s="74" t="str">
        <f t="shared" si="423"/>
        <v/>
      </c>
      <c r="V1271" s="74" t="str">
        <f t="shared" si="423"/>
        <v/>
      </c>
      <c r="W1271" s="74" t="str">
        <f t="shared" si="423"/>
        <v/>
      </c>
      <c r="X1271" s="74" t="str">
        <f t="shared" si="423"/>
        <v/>
      </c>
      <c r="Y1271" s="74" t="str">
        <f t="shared" si="423"/>
        <v/>
      </c>
      <c r="Z1271" s="74" t="str">
        <f t="shared" si="410"/>
        <v/>
      </c>
      <c r="AA1271" s="74">
        <f t="shared" si="411"/>
        <v>0</v>
      </c>
      <c r="AB1271" s="74">
        <f t="shared" si="412"/>
        <v>0</v>
      </c>
      <c r="AC1271" s="74" t="str">
        <f t="shared" si="413"/>
        <v/>
      </c>
      <c r="AE1271" s="74" t="str">
        <f t="shared" si="414"/>
        <v/>
      </c>
      <c r="AF1271" s="74" t="str">
        <f t="shared" si="415"/>
        <v/>
      </c>
      <c r="AG1271" s="74" t="str">
        <f t="shared" si="416"/>
        <v/>
      </c>
      <c r="AH1271" s="74">
        <f t="shared" si="417"/>
        <v>0</v>
      </c>
      <c r="AI1271" s="74" t="str">
        <f>IF(AH1271&lt;&gt;0,COUNTIF(AH$3:AH1271,1),"")</f>
        <v/>
      </c>
      <c r="AJ1271" s="74">
        <f t="shared" si="418"/>
        <v>0</v>
      </c>
      <c r="AK1271" s="73" t="str">
        <f t="shared" si="419"/>
        <v/>
      </c>
      <c r="AL1271" s="73" t="str">
        <f t="shared" si="420"/>
        <v/>
      </c>
      <c r="AM1271" s="73" t="str">
        <f t="shared" si="421"/>
        <v/>
      </c>
      <c r="AN1271" s="73" t="str">
        <f t="shared" si="422"/>
        <v/>
      </c>
    </row>
    <row r="1272" spans="16:40" x14ac:dyDescent="0.25">
      <c r="P1272" s="73" t="str">
        <f t="shared" si="406"/>
        <v/>
      </c>
      <c r="Q1272" s="73" t="str">
        <f t="shared" si="407"/>
        <v/>
      </c>
      <c r="R1272" s="74" t="str">
        <f t="shared" si="408"/>
        <v/>
      </c>
      <c r="S1272" s="74" t="str">
        <f t="shared" si="409"/>
        <v/>
      </c>
      <c r="U1272" s="74" t="str">
        <f t="shared" si="423"/>
        <v/>
      </c>
      <c r="V1272" s="74" t="str">
        <f t="shared" si="423"/>
        <v/>
      </c>
      <c r="W1272" s="74" t="str">
        <f t="shared" si="423"/>
        <v/>
      </c>
      <c r="X1272" s="74" t="str">
        <f t="shared" si="423"/>
        <v/>
      </c>
      <c r="Y1272" s="74" t="str">
        <f t="shared" si="423"/>
        <v/>
      </c>
      <c r="Z1272" s="74" t="str">
        <f t="shared" si="410"/>
        <v/>
      </c>
      <c r="AA1272" s="74">
        <f t="shared" si="411"/>
        <v>0</v>
      </c>
      <c r="AB1272" s="74">
        <f t="shared" si="412"/>
        <v>0</v>
      </c>
      <c r="AC1272" s="74" t="str">
        <f t="shared" si="413"/>
        <v/>
      </c>
      <c r="AE1272" s="74" t="str">
        <f t="shared" si="414"/>
        <v/>
      </c>
      <c r="AF1272" s="74" t="str">
        <f t="shared" si="415"/>
        <v/>
      </c>
      <c r="AG1272" s="74" t="str">
        <f t="shared" si="416"/>
        <v/>
      </c>
      <c r="AH1272" s="74">
        <f t="shared" si="417"/>
        <v>0</v>
      </c>
      <c r="AI1272" s="74" t="str">
        <f>IF(AH1272&lt;&gt;0,COUNTIF(AH$3:AH1272,1),"")</f>
        <v/>
      </c>
      <c r="AJ1272" s="74">
        <f t="shared" si="418"/>
        <v>0</v>
      </c>
      <c r="AK1272" s="73" t="str">
        <f t="shared" si="419"/>
        <v/>
      </c>
      <c r="AL1272" s="73" t="str">
        <f t="shared" si="420"/>
        <v/>
      </c>
      <c r="AM1272" s="73" t="str">
        <f t="shared" si="421"/>
        <v/>
      </c>
      <c r="AN1272" s="73" t="str">
        <f t="shared" si="422"/>
        <v/>
      </c>
    </row>
    <row r="1273" spans="16:40" x14ac:dyDescent="0.25">
      <c r="P1273" s="73" t="str">
        <f t="shared" si="406"/>
        <v/>
      </c>
      <c r="Q1273" s="73" t="str">
        <f t="shared" si="407"/>
        <v/>
      </c>
      <c r="R1273" s="74" t="str">
        <f t="shared" si="408"/>
        <v/>
      </c>
      <c r="S1273" s="74" t="str">
        <f t="shared" si="409"/>
        <v/>
      </c>
      <c r="U1273" s="74" t="str">
        <f t="shared" si="423"/>
        <v/>
      </c>
      <c r="V1273" s="74" t="str">
        <f t="shared" si="423"/>
        <v/>
      </c>
      <c r="W1273" s="74" t="str">
        <f t="shared" si="423"/>
        <v/>
      </c>
      <c r="X1273" s="74" t="str">
        <f t="shared" si="423"/>
        <v/>
      </c>
      <c r="Y1273" s="74" t="str">
        <f t="shared" si="423"/>
        <v/>
      </c>
      <c r="Z1273" s="74" t="str">
        <f t="shared" si="410"/>
        <v/>
      </c>
      <c r="AA1273" s="74">
        <f t="shared" si="411"/>
        <v>0</v>
      </c>
      <c r="AB1273" s="74">
        <f t="shared" si="412"/>
        <v>0</v>
      </c>
      <c r="AC1273" s="74" t="str">
        <f t="shared" si="413"/>
        <v/>
      </c>
      <c r="AE1273" s="74" t="str">
        <f t="shared" si="414"/>
        <v/>
      </c>
      <c r="AF1273" s="74" t="str">
        <f t="shared" si="415"/>
        <v/>
      </c>
      <c r="AG1273" s="74" t="str">
        <f t="shared" si="416"/>
        <v/>
      </c>
      <c r="AH1273" s="74">
        <f t="shared" si="417"/>
        <v>0</v>
      </c>
      <c r="AI1273" s="74" t="str">
        <f>IF(AH1273&lt;&gt;0,COUNTIF(AH$3:AH1273,1),"")</f>
        <v/>
      </c>
      <c r="AJ1273" s="74">
        <f t="shared" si="418"/>
        <v>0</v>
      </c>
      <c r="AK1273" s="73" t="str">
        <f t="shared" si="419"/>
        <v/>
      </c>
      <c r="AL1273" s="73" t="str">
        <f t="shared" si="420"/>
        <v/>
      </c>
      <c r="AM1273" s="73" t="str">
        <f t="shared" si="421"/>
        <v/>
      </c>
      <c r="AN1273" s="73" t="str">
        <f t="shared" si="422"/>
        <v/>
      </c>
    </row>
    <row r="1274" spans="16:40" x14ac:dyDescent="0.25">
      <c r="P1274" s="73" t="str">
        <f t="shared" si="406"/>
        <v/>
      </c>
      <c r="Q1274" s="73" t="str">
        <f t="shared" si="407"/>
        <v/>
      </c>
      <c r="R1274" s="74" t="str">
        <f t="shared" si="408"/>
        <v/>
      </c>
      <c r="S1274" s="74" t="str">
        <f t="shared" si="409"/>
        <v/>
      </c>
      <c r="U1274" s="74" t="str">
        <f t="shared" si="423"/>
        <v/>
      </c>
      <c r="V1274" s="74" t="str">
        <f t="shared" si="423"/>
        <v/>
      </c>
      <c r="W1274" s="74" t="str">
        <f t="shared" si="423"/>
        <v/>
      </c>
      <c r="X1274" s="74" t="str">
        <f t="shared" si="423"/>
        <v/>
      </c>
      <c r="Y1274" s="74" t="str">
        <f t="shared" si="423"/>
        <v/>
      </c>
      <c r="Z1274" s="74" t="str">
        <f t="shared" si="410"/>
        <v/>
      </c>
      <c r="AA1274" s="74">
        <f t="shared" si="411"/>
        <v>0</v>
      </c>
      <c r="AB1274" s="74">
        <f t="shared" si="412"/>
        <v>0</v>
      </c>
      <c r="AC1274" s="74" t="str">
        <f t="shared" si="413"/>
        <v/>
      </c>
      <c r="AE1274" s="74" t="str">
        <f t="shared" si="414"/>
        <v/>
      </c>
      <c r="AF1274" s="74" t="str">
        <f t="shared" si="415"/>
        <v/>
      </c>
      <c r="AG1274" s="74" t="str">
        <f t="shared" si="416"/>
        <v/>
      </c>
      <c r="AH1274" s="74">
        <f t="shared" si="417"/>
        <v>0</v>
      </c>
      <c r="AI1274" s="74" t="str">
        <f>IF(AH1274&lt;&gt;0,COUNTIF(AH$3:AH1274,1),"")</f>
        <v/>
      </c>
      <c r="AJ1274" s="74">
        <f t="shared" si="418"/>
        <v>0</v>
      </c>
      <c r="AK1274" s="73" t="str">
        <f t="shared" si="419"/>
        <v/>
      </c>
      <c r="AL1274" s="73" t="str">
        <f t="shared" si="420"/>
        <v/>
      </c>
      <c r="AM1274" s="73" t="str">
        <f t="shared" si="421"/>
        <v/>
      </c>
      <c r="AN1274" s="73" t="str">
        <f t="shared" si="422"/>
        <v/>
      </c>
    </row>
    <row r="1275" spans="16:40" x14ac:dyDescent="0.25">
      <c r="P1275" s="73" t="str">
        <f t="shared" si="406"/>
        <v/>
      </c>
      <c r="Q1275" s="73" t="str">
        <f t="shared" si="407"/>
        <v/>
      </c>
      <c r="R1275" s="74" t="str">
        <f t="shared" si="408"/>
        <v/>
      </c>
      <c r="S1275" s="74" t="str">
        <f t="shared" si="409"/>
        <v/>
      </c>
      <c r="U1275" s="74" t="str">
        <f t="shared" si="423"/>
        <v/>
      </c>
      <c r="V1275" s="74" t="str">
        <f t="shared" si="423"/>
        <v/>
      </c>
      <c r="W1275" s="74" t="str">
        <f t="shared" si="423"/>
        <v/>
      </c>
      <c r="X1275" s="74" t="str">
        <f t="shared" si="423"/>
        <v/>
      </c>
      <c r="Y1275" s="74" t="str">
        <f t="shared" si="423"/>
        <v/>
      </c>
      <c r="Z1275" s="74" t="str">
        <f t="shared" si="410"/>
        <v/>
      </c>
      <c r="AA1275" s="74">
        <f t="shared" si="411"/>
        <v>0</v>
      </c>
      <c r="AB1275" s="74">
        <f t="shared" si="412"/>
        <v>0</v>
      </c>
      <c r="AC1275" s="74" t="str">
        <f t="shared" si="413"/>
        <v/>
      </c>
      <c r="AE1275" s="74" t="str">
        <f t="shared" si="414"/>
        <v/>
      </c>
      <c r="AF1275" s="74" t="str">
        <f t="shared" si="415"/>
        <v/>
      </c>
      <c r="AG1275" s="74" t="str">
        <f t="shared" si="416"/>
        <v/>
      </c>
      <c r="AH1275" s="74">
        <f t="shared" si="417"/>
        <v>0</v>
      </c>
      <c r="AI1275" s="74" t="str">
        <f>IF(AH1275&lt;&gt;0,COUNTIF(AH$3:AH1275,1),"")</f>
        <v/>
      </c>
      <c r="AJ1275" s="74">
        <f t="shared" si="418"/>
        <v>0</v>
      </c>
      <c r="AK1275" s="73" t="str">
        <f t="shared" si="419"/>
        <v/>
      </c>
      <c r="AL1275" s="73" t="str">
        <f t="shared" si="420"/>
        <v/>
      </c>
      <c r="AM1275" s="73" t="str">
        <f t="shared" si="421"/>
        <v/>
      </c>
      <c r="AN1275" s="73" t="str">
        <f t="shared" si="422"/>
        <v/>
      </c>
    </row>
    <row r="1276" spans="16:40" x14ac:dyDescent="0.25">
      <c r="P1276" s="73" t="str">
        <f t="shared" si="406"/>
        <v/>
      </c>
      <c r="Q1276" s="73" t="str">
        <f t="shared" si="407"/>
        <v/>
      </c>
      <c r="R1276" s="74" t="str">
        <f t="shared" si="408"/>
        <v/>
      </c>
      <c r="S1276" s="74" t="str">
        <f t="shared" si="409"/>
        <v/>
      </c>
      <c r="U1276" s="74" t="str">
        <f t="shared" si="423"/>
        <v/>
      </c>
      <c r="V1276" s="74" t="str">
        <f t="shared" si="423"/>
        <v/>
      </c>
      <c r="W1276" s="74" t="str">
        <f t="shared" si="423"/>
        <v/>
      </c>
      <c r="X1276" s="74" t="str">
        <f t="shared" si="423"/>
        <v/>
      </c>
      <c r="Y1276" s="74" t="str">
        <f t="shared" si="423"/>
        <v/>
      </c>
      <c r="Z1276" s="74" t="str">
        <f t="shared" si="410"/>
        <v/>
      </c>
      <c r="AA1276" s="74">
        <f t="shared" si="411"/>
        <v>0</v>
      </c>
      <c r="AB1276" s="74">
        <f t="shared" si="412"/>
        <v>0</v>
      </c>
      <c r="AC1276" s="74" t="str">
        <f t="shared" si="413"/>
        <v/>
      </c>
      <c r="AE1276" s="74" t="str">
        <f t="shared" si="414"/>
        <v/>
      </c>
      <c r="AF1276" s="74" t="str">
        <f t="shared" si="415"/>
        <v/>
      </c>
      <c r="AG1276" s="74" t="str">
        <f t="shared" si="416"/>
        <v/>
      </c>
      <c r="AH1276" s="74">
        <f t="shared" si="417"/>
        <v>0</v>
      </c>
      <c r="AI1276" s="74" t="str">
        <f>IF(AH1276&lt;&gt;0,COUNTIF(AH$3:AH1276,1),"")</f>
        <v/>
      </c>
      <c r="AJ1276" s="74">
        <f t="shared" si="418"/>
        <v>0</v>
      </c>
      <c r="AK1276" s="73" t="str">
        <f t="shared" si="419"/>
        <v/>
      </c>
      <c r="AL1276" s="73" t="str">
        <f t="shared" si="420"/>
        <v/>
      </c>
      <c r="AM1276" s="73" t="str">
        <f t="shared" si="421"/>
        <v/>
      </c>
      <c r="AN1276" s="73" t="str">
        <f t="shared" si="422"/>
        <v/>
      </c>
    </row>
    <row r="1277" spans="16:40" x14ac:dyDescent="0.25">
      <c r="P1277" s="73" t="str">
        <f t="shared" si="406"/>
        <v/>
      </c>
      <c r="Q1277" s="73" t="str">
        <f t="shared" si="407"/>
        <v/>
      </c>
      <c r="R1277" s="74" t="str">
        <f t="shared" si="408"/>
        <v/>
      </c>
      <c r="S1277" s="74" t="str">
        <f t="shared" si="409"/>
        <v/>
      </c>
      <c r="U1277" s="74" t="str">
        <f t="shared" si="423"/>
        <v/>
      </c>
      <c r="V1277" s="74" t="str">
        <f t="shared" si="423"/>
        <v/>
      </c>
      <c r="W1277" s="74" t="str">
        <f t="shared" si="423"/>
        <v/>
      </c>
      <c r="X1277" s="74" t="str">
        <f t="shared" si="423"/>
        <v/>
      </c>
      <c r="Y1277" s="74" t="str">
        <f t="shared" si="423"/>
        <v/>
      </c>
      <c r="Z1277" s="74" t="str">
        <f t="shared" si="410"/>
        <v/>
      </c>
      <c r="AA1277" s="74">
        <f t="shared" si="411"/>
        <v>0</v>
      </c>
      <c r="AB1277" s="74">
        <f t="shared" si="412"/>
        <v>0</v>
      </c>
      <c r="AC1277" s="74" t="str">
        <f t="shared" si="413"/>
        <v/>
      </c>
      <c r="AE1277" s="74" t="str">
        <f t="shared" si="414"/>
        <v/>
      </c>
      <c r="AF1277" s="74" t="str">
        <f t="shared" si="415"/>
        <v/>
      </c>
      <c r="AG1277" s="74" t="str">
        <f t="shared" si="416"/>
        <v/>
      </c>
      <c r="AH1277" s="74">
        <f t="shared" si="417"/>
        <v>0</v>
      </c>
      <c r="AI1277" s="74" t="str">
        <f>IF(AH1277&lt;&gt;0,COUNTIF(AH$3:AH1277,1),"")</f>
        <v/>
      </c>
      <c r="AJ1277" s="74">
        <f t="shared" si="418"/>
        <v>0</v>
      </c>
      <c r="AK1277" s="73" t="str">
        <f t="shared" si="419"/>
        <v/>
      </c>
      <c r="AL1277" s="73" t="str">
        <f t="shared" si="420"/>
        <v/>
      </c>
      <c r="AM1277" s="73" t="str">
        <f t="shared" si="421"/>
        <v/>
      </c>
      <c r="AN1277" s="73" t="str">
        <f t="shared" si="422"/>
        <v/>
      </c>
    </row>
    <row r="1278" spans="16:40" x14ac:dyDescent="0.25">
      <c r="P1278" s="73" t="str">
        <f t="shared" ref="P1278:P1341" si="424">IF(N1278&lt;&gt;"",SUBSTITUTE(LEFT(N1278,FIND(";",N1278)),";",""),"")</f>
        <v/>
      </c>
      <c r="Q1278" s="73" t="str">
        <f t="shared" ref="Q1278:Q1341" si="425">IF(N1278&lt;&gt;"",SUBSTITUTE(RIGHT(N1278,FIND(";",N1278)),";",""),"")</f>
        <v/>
      </c>
      <c r="R1278" s="74" t="str">
        <f t="shared" ref="R1278:R1341" si="426">IF(O1278&lt;&gt;"",SUBSTITUTE(LEFT(O1278,FIND(";",O1278)),";",""),"")</f>
        <v/>
      </c>
      <c r="S1278" s="74" t="str">
        <f t="shared" ref="S1278:S1341" si="427">IF(O1278&lt;&gt;"",IFERROR(IF(FIND("OK",O1278)&gt;0,TRUE),FALSE),"")</f>
        <v/>
      </c>
      <c r="U1278" s="74" t="str">
        <f t="shared" si="423"/>
        <v/>
      </c>
      <c r="V1278" s="74" t="str">
        <f t="shared" si="423"/>
        <v/>
      </c>
      <c r="W1278" s="74" t="str">
        <f t="shared" si="423"/>
        <v/>
      </c>
      <c r="X1278" s="74" t="str">
        <f t="shared" si="423"/>
        <v/>
      </c>
      <c r="Y1278" s="74" t="str">
        <f t="shared" si="423"/>
        <v/>
      </c>
      <c r="Z1278" s="74" t="str">
        <f t="shared" ref="Z1278:Z1341" si="428">IF(G1278,E1278,"")</f>
        <v/>
      </c>
      <c r="AA1278" s="74">
        <f t="shared" ref="AA1278:AA1341" si="429">IF(G1278=FALSE,E1278,"")</f>
        <v>0</v>
      </c>
      <c r="AB1278" s="74">
        <f t="shared" ref="AB1278:AB1341" si="430">IF(G1278,1,0)</f>
        <v>0</v>
      </c>
      <c r="AC1278" s="74" t="str">
        <f t="shared" ref="AC1278:AC1341" si="431">IF(A1278&lt;&gt;"",IF(G1278,0,1),"")</f>
        <v/>
      </c>
      <c r="AE1278" s="74" t="str">
        <f t="shared" ref="AE1278:AE1341" si="432">IF(P1278&lt;&gt;"",IF(AND(_xlfn.NUMBERVALUE(P1278)&gt;25,_xlfn.NUMBERVALUE(P1278)&lt;38),TRUE,FALSE),"")</f>
        <v/>
      </c>
      <c r="AF1278" s="74" t="str">
        <f t="shared" ref="AF1278:AF1341" si="433">IF(Q1278&lt;&gt;"",IF(AND(_xlfn.NUMBERVALUE(Q1278)&gt;25,_xlfn.NUMBERVALUE(Q1278)&lt;38),TRUE,FALSE),"")</f>
        <v/>
      </c>
      <c r="AG1278" s="74" t="str">
        <f t="shared" ref="AG1278:AG1341" si="434">IF(R1278&lt;&gt;"",IF(AND(_xlfn.NUMBERVALUE(R1278)&gt;262,_xlfn.NUMBERVALUE(R1278)&lt;307),TRUE,FALSE),"")</f>
        <v/>
      </c>
      <c r="AH1278" s="74">
        <f t="shared" ref="AH1278:AH1341" si="435">IF(OR(AE1278=FALSE,AF1278=FALSE,AG1278=FALSE),1,0)</f>
        <v>0</v>
      </c>
      <c r="AI1278" s="74" t="str">
        <f>IF(AH1278&lt;&gt;0,COUNTIF(AH$3:AH1278,1),"")</f>
        <v/>
      </c>
      <c r="AJ1278" s="74">
        <f t="shared" ref="AJ1278:AJ1341" si="436">L1278</f>
        <v>0</v>
      </c>
      <c r="AK1278" s="73" t="str">
        <f t="shared" ref="AK1278:AK1341" si="437">P1278</f>
        <v/>
      </c>
      <c r="AL1278" s="73" t="str">
        <f t="shared" ref="AL1278:AL1341" si="438">Q1278</f>
        <v/>
      </c>
      <c r="AM1278" s="73" t="str">
        <f t="shared" ref="AM1278:AM1341" si="439">R1278</f>
        <v/>
      </c>
      <c r="AN1278" s="73" t="str">
        <f t="shared" ref="AN1278:AN1341" si="440">S1278</f>
        <v/>
      </c>
    </row>
    <row r="1279" spans="16:40" x14ac:dyDescent="0.25">
      <c r="P1279" s="73" t="str">
        <f t="shared" si="424"/>
        <v/>
      </c>
      <c r="Q1279" s="73" t="str">
        <f t="shared" si="425"/>
        <v/>
      </c>
      <c r="R1279" s="74" t="str">
        <f t="shared" si="426"/>
        <v/>
      </c>
      <c r="S1279" s="74" t="str">
        <f t="shared" si="427"/>
        <v/>
      </c>
      <c r="U1279" s="74" t="str">
        <f t="shared" si="423"/>
        <v/>
      </c>
      <c r="V1279" s="74" t="str">
        <f t="shared" si="423"/>
        <v/>
      </c>
      <c r="W1279" s="74" t="str">
        <f t="shared" si="423"/>
        <v/>
      </c>
      <c r="X1279" s="74" t="str">
        <f t="shared" si="423"/>
        <v/>
      </c>
      <c r="Y1279" s="74" t="str">
        <f t="shared" si="423"/>
        <v/>
      </c>
      <c r="Z1279" s="74" t="str">
        <f t="shared" si="428"/>
        <v/>
      </c>
      <c r="AA1279" s="74">
        <f t="shared" si="429"/>
        <v>0</v>
      </c>
      <c r="AB1279" s="74">
        <f t="shared" si="430"/>
        <v>0</v>
      </c>
      <c r="AC1279" s="74" t="str">
        <f t="shared" si="431"/>
        <v/>
      </c>
      <c r="AE1279" s="74" t="str">
        <f t="shared" si="432"/>
        <v/>
      </c>
      <c r="AF1279" s="74" t="str">
        <f t="shared" si="433"/>
        <v/>
      </c>
      <c r="AG1279" s="74" t="str">
        <f t="shared" si="434"/>
        <v/>
      </c>
      <c r="AH1279" s="74">
        <f t="shared" si="435"/>
        <v>0</v>
      </c>
      <c r="AI1279" s="74" t="str">
        <f>IF(AH1279&lt;&gt;0,COUNTIF(AH$3:AH1279,1),"")</f>
        <v/>
      </c>
      <c r="AJ1279" s="74">
        <f t="shared" si="436"/>
        <v>0</v>
      </c>
      <c r="AK1279" s="73" t="str">
        <f t="shared" si="437"/>
        <v/>
      </c>
      <c r="AL1279" s="73" t="str">
        <f t="shared" si="438"/>
        <v/>
      </c>
      <c r="AM1279" s="73" t="str">
        <f t="shared" si="439"/>
        <v/>
      </c>
      <c r="AN1279" s="73" t="str">
        <f t="shared" si="440"/>
        <v/>
      </c>
    </row>
    <row r="1280" spans="16:40" x14ac:dyDescent="0.25">
      <c r="P1280" s="73" t="str">
        <f t="shared" si="424"/>
        <v/>
      </c>
      <c r="Q1280" s="73" t="str">
        <f t="shared" si="425"/>
        <v/>
      </c>
      <c r="R1280" s="74" t="str">
        <f t="shared" si="426"/>
        <v/>
      </c>
      <c r="S1280" s="74" t="str">
        <f t="shared" si="427"/>
        <v/>
      </c>
      <c r="U1280" s="74" t="str">
        <f t="shared" si="423"/>
        <v/>
      </c>
      <c r="V1280" s="74" t="str">
        <f t="shared" si="423"/>
        <v/>
      </c>
      <c r="W1280" s="74" t="str">
        <f t="shared" si="423"/>
        <v/>
      </c>
      <c r="X1280" s="74" t="str">
        <f t="shared" si="423"/>
        <v/>
      </c>
      <c r="Y1280" s="74" t="str">
        <f t="shared" si="423"/>
        <v/>
      </c>
      <c r="Z1280" s="74" t="str">
        <f t="shared" si="428"/>
        <v/>
      </c>
      <c r="AA1280" s="74">
        <f t="shared" si="429"/>
        <v>0</v>
      </c>
      <c r="AB1280" s="74">
        <f t="shared" si="430"/>
        <v>0</v>
      </c>
      <c r="AC1280" s="74" t="str">
        <f t="shared" si="431"/>
        <v/>
      </c>
      <c r="AE1280" s="74" t="str">
        <f t="shared" si="432"/>
        <v/>
      </c>
      <c r="AF1280" s="74" t="str">
        <f t="shared" si="433"/>
        <v/>
      </c>
      <c r="AG1280" s="74" t="str">
        <f t="shared" si="434"/>
        <v/>
      </c>
      <c r="AH1280" s="74">
        <f t="shared" si="435"/>
        <v>0</v>
      </c>
      <c r="AI1280" s="74" t="str">
        <f>IF(AH1280&lt;&gt;0,COUNTIF(AH$3:AH1280,1),"")</f>
        <v/>
      </c>
      <c r="AJ1280" s="74">
        <f t="shared" si="436"/>
        <v>0</v>
      </c>
      <c r="AK1280" s="73" t="str">
        <f t="shared" si="437"/>
        <v/>
      </c>
      <c r="AL1280" s="73" t="str">
        <f t="shared" si="438"/>
        <v/>
      </c>
      <c r="AM1280" s="73" t="str">
        <f t="shared" si="439"/>
        <v/>
      </c>
      <c r="AN1280" s="73" t="str">
        <f t="shared" si="440"/>
        <v/>
      </c>
    </row>
    <row r="1281" spans="16:40" x14ac:dyDescent="0.25">
      <c r="P1281" s="73" t="str">
        <f t="shared" si="424"/>
        <v/>
      </c>
      <c r="Q1281" s="73" t="str">
        <f t="shared" si="425"/>
        <v/>
      </c>
      <c r="R1281" s="74" t="str">
        <f t="shared" si="426"/>
        <v/>
      </c>
      <c r="S1281" s="74" t="str">
        <f t="shared" si="427"/>
        <v/>
      </c>
      <c r="U1281" s="74" t="str">
        <f t="shared" si="423"/>
        <v/>
      </c>
      <c r="V1281" s="74" t="str">
        <f t="shared" si="423"/>
        <v/>
      </c>
      <c r="W1281" s="74" t="str">
        <f t="shared" si="423"/>
        <v/>
      </c>
      <c r="X1281" s="74" t="str">
        <f t="shared" si="423"/>
        <v/>
      </c>
      <c r="Y1281" s="74" t="str">
        <f t="shared" si="423"/>
        <v/>
      </c>
      <c r="Z1281" s="74" t="str">
        <f t="shared" si="428"/>
        <v/>
      </c>
      <c r="AA1281" s="74">
        <f t="shared" si="429"/>
        <v>0</v>
      </c>
      <c r="AB1281" s="74">
        <f t="shared" si="430"/>
        <v>0</v>
      </c>
      <c r="AC1281" s="74" t="str">
        <f t="shared" si="431"/>
        <v/>
      </c>
      <c r="AE1281" s="74" t="str">
        <f t="shared" si="432"/>
        <v/>
      </c>
      <c r="AF1281" s="74" t="str">
        <f t="shared" si="433"/>
        <v/>
      </c>
      <c r="AG1281" s="74" t="str">
        <f t="shared" si="434"/>
        <v/>
      </c>
      <c r="AH1281" s="74">
        <f t="shared" si="435"/>
        <v>0</v>
      </c>
      <c r="AI1281" s="74" t="str">
        <f>IF(AH1281&lt;&gt;0,COUNTIF(AH$3:AH1281,1),"")</f>
        <v/>
      </c>
      <c r="AJ1281" s="74">
        <f t="shared" si="436"/>
        <v>0</v>
      </c>
      <c r="AK1281" s="73" t="str">
        <f t="shared" si="437"/>
        <v/>
      </c>
      <c r="AL1281" s="73" t="str">
        <f t="shared" si="438"/>
        <v/>
      </c>
      <c r="AM1281" s="73" t="str">
        <f t="shared" si="439"/>
        <v/>
      </c>
      <c r="AN1281" s="73" t="str">
        <f t="shared" si="440"/>
        <v/>
      </c>
    </row>
    <row r="1282" spans="16:40" x14ac:dyDescent="0.25">
      <c r="P1282" s="73" t="str">
        <f t="shared" si="424"/>
        <v/>
      </c>
      <c r="Q1282" s="73" t="str">
        <f t="shared" si="425"/>
        <v/>
      </c>
      <c r="R1282" s="74" t="str">
        <f t="shared" si="426"/>
        <v/>
      </c>
      <c r="S1282" s="74" t="str">
        <f t="shared" si="427"/>
        <v/>
      </c>
      <c r="U1282" s="74" t="str">
        <f t="shared" si="423"/>
        <v/>
      </c>
      <c r="V1282" s="74" t="str">
        <f t="shared" si="423"/>
        <v/>
      </c>
      <c r="W1282" s="74" t="str">
        <f t="shared" si="423"/>
        <v/>
      </c>
      <c r="X1282" s="74" t="str">
        <f t="shared" si="423"/>
        <v/>
      </c>
      <c r="Y1282" s="74" t="str">
        <f t="shared" si="423"/>
        <v/>
      </c>
      <c r="Z1282" s="74" t="str">
        <f t="shared" si="428"/>
        <v/>
      </c>
      <c r="AA1282" s="74">
        <f t="shared" si="429"/>
        <v>0</v>
      </c>
      <c r="AB1282" s="74">
        <f t="shared" si="430"/>
        <v>0</v>
      </c>
      <c r="AC1282" s="74" t="str">
        <f t="shared" si="431"/>
        <v/>
      </c>
      <c r="AE1282" s="74" t="str">
        <f t="shared" si="432"/>
        <v/>
      </c>
      <c r="AF1282" s="74" t="str">
        <f t="shared" si="433"/>
        <v/>
      </c>
      <c r="AG1282" s="74" t="str">
        <f t="shared" si="434"/>
        <v/>
      </c>
      <c r="AH1282" s="74">
        <f t="shared" si="435"/>
        <v>0</v>
      </c>
      <c r="AI1282" s="74" t="str">
        <f>IF(AH1282&lt;&gt;0,COUNTIF(AH$3:AH1282,1),"")</f>
        <v/>
      </c>
      <c r="AJ1282" s="74">
        <f t="shared" si="436"/>
        <v>0</v>
      </c>
      <c r="AK1282" s="73" t="str">
        <f t="shared" si="437"/>
        <v/>
      </c>
      <c r="AL1282" s="73" t="str">
        <f t="shared" si="438"/>
        <v/>
      </c>
      <c r="AM1282" s="73" t="str">
        <f t="shared" si="439"/>
        <v/>
      </c>
      <c r="AN1282" s="73" t="str">
        <f t="shared" si="440"/>
        <v/>
      </c>
    </row>
    <row r="1283" spans="16:40" x14ac:dyDescent="0.25">
      <c r="P1283" s="73" t="str">
        <f t="shared" si="424"/>
        <v/>
      </c>
      <c r="Q1283" s="73" t="str">
        <f t="shared" si="425"/>
        <v/>
      </c>
      <c r="R1283" s="74" t="str">
        <f t="shared" si="426"/>
        <v/>
      </c>
      <c r="S1283" s="74" t="str">
        <f t="shared" si="427"/>
        <v/>
      </c>
      <c r="U1283" s="74" t="str">
        <f t="shared" si="423"/>
        <v/>
      </c>
      <c r="V1283" s="74" t="str">
        <f t="shared" si="423"/>
        <v/>
      </c>
      <c r="W1283" s="74" t="str">
        <f t="shared" si="423"/>
        <v/>
      </c>
      <c r="X1283" s="74" t="str">
        <f t="shared" si="423"/>
        <v/>
      </c>
      <c r="Y1283" s="74" t="str">
        <f t="shared" si="423"/>
        <v/>
      </c>
      <c r="Z1283" s="74" t="str">
        <f t="shared" si="428"/>
        <v/>
      </c>
      <c r="AA1283" s="74">
        <f t="shared" si="429"/>
        <v>0</v>
      </c>
      <c r="AB1283" s="74">
        <f t="shared" si="430"/>
        <v>0</v>
      </c>
      <c r="AC1283" s="74" t="str">
        <f t="shared" si="431"/>
        <v/>
      </c>
      <c r="AE1283" s="74" t="str">
        <f t="shared" si="432"/>
        <v/>
      </c>
      <c r="AF1283" s="74" t="str">
        <f t="shared" si="433"/>
        <v/>
      </c>
      <c r="AG1283" s="74" t="str">
        <f t="shared" si="434"/>
        <v/>
      </c>
      <c r="AH1283" s="74">
        <f t="shared" si="435"/>
        <v>0</v>
      </c>
      <c r="AI1283" s="74" t="str">
        <f>IF(AH1283&lt;&gt;0,COUNTIF(AH$3:AH1283,1),"")</f>
        <v/>
      </c>
      <c r="AJ1283" s="74">
        <f t="shared" si="436"/>
        <v>0</v>
      </c>
      <c r="AK1283" s="73" t="str">
        <f t="shared" si="437"/>
        <v/>
      </c>
      <c r="AL1283" s="73" t="str">
        <f t="shared" si="438"/>
        <v/>
      </c>
      <c r="AM1283" s="73" t="str">
        <f t="shared" si="439"/>
        <v/>
      </c>
      <c r="AN1283" s="73" t="str">
        <f t="shared" si="440"/>
        <v/>
      </c>
    </row>
    <row r="1284" spans="16:40" x14ac:dyDescent="0.25">
      <c r="P1284" s="73" t="str">
        <f t="shared" si="424"/>
        <v/>
      </c>
      <c r="Q1284" s="73" t="str">
        <f t="shared" si="425"/>
        <v/>
      </c>
      <c r="R1284" s="74" t="str">
        <f t="shared" si="426"/>
        <v/>
      </c>
      <c r="S1284" s="74" t="str">
        <f t="shared" si="427"/>
        <v/>
      </c>
      <c r="U1284" s="74" t="str">
        <f t="shared" si="423"/>
        <v/>
      </c>
      <c r="V1284" s="74" t="str">
        <f t="shared" si="423"/>
        <v/>
      </c>
      <c r="W1284" s="74" t="str">
        <f t="shared" si="423"/>
        <v/>
      </c>
      <c r="X1284" s="74" t="str">
        <f t="shared" si="423"/>
        <v/>
      </c>
      <c r="Y1284" s="74" t="str">
        <f t="shared" si="423"/>
        <v/>
      </c>
      <c r="Z1284" s="74" t="str">
        <f t="shared" si="428"/>
        <v/>
      </c>
      <c r="AA1284" s="74">
        <f t="shared" si="429"/>
        <v>0</v>
      </c>
      <c r="AB1284" s="74">
        <f t="shared" si="430"/>
        <v>0</v>
      </c>
      <c r="AC1284" s="74" t="str">
        <f t="shared" si="431"/>
        <v/>
      </c>
      <c r="AE1284" s="74" t="str">
        <f t="shared" si="432"/>
        <v/>
      </c>
      <c r="AF1284" s="74" t="str">
        <f t="shared" si="433"/>
        <v/>
      </c>
      <c r="AG1284" s="74" t="str">
        <f t="shared" si="434"/>
        <v/>
      </c>
      <c r="AH1284" s="74">
        <f t="shared" si="435"/>
        <v>0</v>
      </c>
      <c r="AI1284" s="74" t="str">
        <f>IF(AH1284&lt;&gt;0,COUNTIF(AH$3:AH1284,1),"")</f>
        <v/>
      </c>
      <c r="AJ1284" s="74">
        <f t="shared" si="436"/>
        <v>0</v>
      </c>
      <c r="AK1284" s="73" t="str">
        <f t="shared" si="437"/>
        <v/>
      </c>
      <c r="AL1284" s="73" t="str">
        <f t="shared" si="438"/>
        <v/>
      </c>
      <c r="AM1284" s="73" t="str">
        <f t="shared" si="439"/>
        <v/>
      </c>
      <c r="AN1284" s="73" t="str">
        <f t="shared" si="440"/>
        <v/>
      </c>
    </row>
    <row r="1285" spans="16:40" x14ac:dyDescent="0.25">
      <c r="P1285" s="73" t="str">
        <f t="shared" si="424"/>
        <v/>
      </c>
      <c r="Q1285" s="73" t="str">
        <f t="shared" si="425"/>
        <v/>
      </c>
      <c r="R1285" s="74" t="str">
        <f t="shared" si="426"/>
        <v/>
      </c>
      <c r="S1285" s="74" t="str">
        <f t="shared" si="427"/>
        <v/>
      </c>
      <c r="U1285" s="74" t="str">
        <f t="shared" si="423"/>
        <v/>
      </c>
      <c r="V1285" s="74" t="str">
        <f t="shared" si="423"/>
        <v/>
      </c>
      <c r="W1285" s="74" t="str">
        <f t="shared" si="423"/>
        <v/>
      </c>
      <c r="X1285" s="74" t="str">
        <f t="shared" si="423"/>
        <v/>
      </c>
      <c r="Y1285" s="74" t="str">
        <f t="shared" si="423"/>
        <v/>
      </c>
      <c r="Z1285" s="74" t="str">
        <f t="shared" si="428"/>
        <v/>
      </c>
      <c r="AA1285" s="74">
        <f t="shared" si="429"/>
        <v>0</v>
      </c>
      <c r="AB1285" s="74">
        <f t="shared" si="430"/>
        <v>0</v>
      </c>
      <c r="AC1285" s="74" t="str">
        <f t="shared" si="431"/>
        <v/>
      </c>
      <c r="AE1285" s="74" t="str">
        <f t="shared" si="432"/>
        <v/>
      </c>
      <c r="AF1285" s="74" t="str">
        <f t="shared" si="433"/>
        <v/>
      </c>
      <c r="AG1285" s="74" t="str">
        <f t="shared" si="434"/>
        <v/>
      </c>
      <c r="AH1285" s="74">
        <f t="shared" si="435"/>
        <v>0</v>
      </c>
      <c r="AI1285" s="74" t="str">
        <f>IF(AH1285&lt;&gt;0,COUNTIF(AH$3:AH1285,1),"")</f>
        <v/>
      </c>
      <c r="AJ1285" s="74">
        <f t="shared" si="436"/>
        <v>0</v>
      </c>
      <c r="AK1285" s="73" t="str">
        <f t="shared" si="437"/>
        <v/>
      </c>
      <c r="AL1285" s="73" t="str">
        <f t="shared" si="438"/>
        <v/>
      </c>
      <c r="AM1285" s="73" t="str">
        <f t="shared" si="439"/>
        <v/>
      </c>
      <c r="AN1285" s="73" t="str">
        <f t="shared" si="440"/>
        <v/>
      </c>
    </row>
    <row r="1286" spans="16:40" x14ac:dyDescent="0.25">
      <c r="P1286" s="73" t="str">
        <f t="shared" si="424"/>
        <v/>
      </c>
      <c r="Q1286" s="73" t="str">
        <f t="shared" si="425"/>
        <v/>
      </c>
      <c r="R1286" s="74" t="str">
        <f t="shared" si="426"/>
        <v/>
      </c>
      <c r="S1286" s="74" t="str">
        <f t="shared" si="427"/>
        <v/>
      </c>
      <c r="U1286" s="74" t="str">
        <f t="shared" si="423"/>
        <v/>
      </c>
      <c r="V1286" s="74" t="str">
        <f t="shared" si="423"/>
        <v/>
      </c>
      <c r="W1286" s="74" t="str">
        <f t="shared" si="423"/>
        <v/>
      </c>
      <c r="X1286" s="74" t="str">
        <f t="shared" si="423"/>
        <v/>
      </c>
      <c r="Y1286" s="74" t="str">
        <f t="shared" si="423"/>
        <v/>
      </c>
      <c r="Z1286" s="74" t="str">
        <f t="shared" si="428"/>
        <v/>
      </c>
      <c r="AA1286" s="74">
        <f t="shared" si="429"/>
        <v>0</v>
      </c>
      <c r="AB1286" s="74">
        <f t="shared" si="430"/>
        <v>0</v>
      </c>
      <c r="AC1286" s="74" t="str">
        <f t="shared" si="431"/>
        <v/>
      </c>
      <c r="AE1286" s="74" t="str">
        <f t="shared" si="432"/>
        <v/>
      </c>
      <c r="AF1286" s="74" t="str">
        <f t="shared" si="433"/>
        <v/>
      </c>
      <c r="AG1286" s="74" t="str">
        <f t="shared" si="434"/>
        <v/>
      </c>
      <c r="AH1286" s="74">
        <f t="shared" si="435"/>
        <v>0</v>
      </c>
      <c r="AI1286" s="74" t="str">
        <f>IF(AH1286&lt;&gt;0,COUNTIF(AH$3:AH1286,1),"")</f>
        <v/>
      </c>
      <c r="AJ1286" s="74">
        <f t="shared" si="436"/>
        <v>0</v>
      </c>
      <c r="AK1286" s="73" t="str">
        <f t="shared" si="437"/>
        <v/>
      </c>
      <c r="AL1286" s="73" t="str">
        <f t="shared" si="438"/>
        <v/>
      </c>
      <c r="AM1286" s="73" t="str">
        <f t="shared" si="439"/>
        <v/>
      </c>
      <c r="AN1286" s="73" t="str">
        <f t="shared" si="440"/>
        <v/>
      </c>
    </row>
    <row r="1287" spans="16:40" x14ac:dyDescent="0.25">
      <c r="P1287" s="73" t="str">
        <f t="shared" si="424"/>
        <v/>
      </c>
      <c r="Q1287" s="73" t="str">
        <f t="shared" si="425"/>
        <v/>
      </c>
      <c r="R1287" s="74" t="str">
        <f t="shared" si="426"/>
        <v/>
      </c>
      <c r="S1287" s="74" t="str">
        <f t="shared" si="427"/>
        <v/>
      </c>
      <c r="U1287" s="74" t="str">
        <f t="shared" si="423"/>
        <v/>
      </c>
      <c r="V1287" s="74" t="str">
        <f t="shared" si="423"/>
        <v/>
      </c>
      <c r="W1287" s="74" t="str">
        <f t="shared" si="423"/>
        <v/>
      </c>
      <c r="X1287" s="74" t="str">
        <f t="shared" si="423"/>
        <v/>
      </c>
      <c r="Y1287" s="74" t="str">
        <f t="shared" si="423"/>
        <v/>
      </c>
      <c r="Z1287" s="74" t="str">
        <f t="shared" si="428"/>
        <v/>
      </c>
      <c r="AA1287" s="74">
        <f t="shared" si="429"/>
        <v>0</v>
      </c>
      <c r="AB1287" s="74">
        <f t="shared" si="430"/>
        <v>0</v>
      </c>
      <c r="AC1287" s="74" t="str">
        <f t="shared" si="431"/>
        <v/>
      </c>
      <c r="AE1287" s="74" t="str">
        <f t="shared" si="432"/>
        <v/>
      </c>
      <c r="AF1287" s="74" t="str">
        <f t="shared" si="433"/>
        <v/>
      </c>
      <c r="AG1287" s="74" t="str">
        <f t="shared" si="434"/>
        <v/>
      </c>
      <c r="AH1287" s="74">
        <f t="shared" si="435"/>
        <v>0</v>
      </c>
      <c r="AI1287" s="74" t="str">
        <f>IF(AH1287&lt;&gt;0,COUNTIF(AH$3:AH1287,1),"")</f>
        <v/>
      </c>
      <c r="AJ1287" s="74">
        <f t="shared" si="436"/>
        <v>0</v>
      </c>
      <c r="AK1287" s="73" t="str">
        <f t="shared" si="437"/>
        <v/>
      </c>
      <c r="AL1287" s="73" t="str">
        <f t="shared" si="438"/>
        <v/>
      </c>
      <c r="AM1287" s="73" t="str">
        <f t="shared" si="439"/>
        <v/>
      </c>
      <c r="AN1287" s="73" t="str">
        <f t="shared" si="440"/>
        <v/>
      </c>
    </row>
    <row r="1288" spans="16:40" x14ac:dyDescent="0.25">
      <c r="P1288" s="73" t="str">
        <f t="shared" si="424"/>
        <v/>
      </c>
      <c r="Q1288" s="73" t="str">
        <f t="shared" si="425"/>
        <v/>
      </c>
      <c r="R1288" s="74" t="str">
        <f t="shared" si="426"/>
        <v/>
      </c>
      <c r="S1288" s="74" t="str">
        <f t="shared" si="427"/>
        <v/>
      </c>
      <c r="U1288" s="74" t="str">
        <f t="shared" si="423"/>
        <v/>
      </c>
      <c r="V1288" s="74" t="str">
        <f t="shared" si="423"/>
        <v/>
      </c>
      <c r="W1288" s="74" t="str">
        <f t="shared" si="423"/>
        <v/>
      </c>
      <c r="X1288" s="74" t="str">
        <f t="shared" si="423"/>
        <v/>
      </c>
      <c r="Y1288" s="74" t="str">
        <f t="shared" si="423"/>
        <v/>
      </c>
      <c r="Z1288" s="74" t="str">
        <f t="shared" si="428"/>
        <v/>
      </c>
      <c r="AA1288" s="74">
        <f t="shared" si="429"/>
        <v>0</v>
      </c>
      <c r="AB1288" s="74">
        <f t="shared" si="430"/>
        <v>0</v>
      </c>
      <c r="AC1288" s="74" t="str">
        <f t="shared" si="431"/>
        <v/>
      </c>
      <c r="AE1288" s="74" t="str">
        <f t="shared" si="432"/>
        <v/>
      </c>
      <c r="AF1288" s="74" t="str">
        <f t="shared" si="433"/>
        <v/>
      </c>
      <c r="AG1288" s="74" t="str">
        <f t="shared" si="434"/>
        <v/>
      </c>
      <c r="AH1288" s="74">
        <f t="shared" si="435"/>
        <v>0</v>
      </c>
      <c r="AI1288" s="74" t="str">
        <f>IF(AH1288&lt;&gt;0,COUNTIF(AH$3:AH1288,1),"")</f>
        <v/>
      </c>
      <c r="AJ1288" s="74">
        <f t="shared" si="436"/>
        <v>0</v>
      </c>
      <c r="AK1288" s="73" t="str">
        <f t="shared" si="437"/>
        <v/>
      </c>
      <c r="AL1288" s="73" t="str">
        <f t="shared" si="438"/>
        <v/>
      </c>
      <c r="AM1288" s="73" t="str">
        <f t="shared" si="439"/>
        <v/>
      </c>
      <c r="AN1288" s="73" t="str">
        <f t="shared" si="440"/>
        <v/>
      </c>
    </row>
    <row r="1289" spans="16:40" x14ac:dyDescent="0.25">
      <c r="P1289" s="73" t="str">
        <f t="shared" si="424"/>
        <v/>
      </c>
      <c r="Q1289" s="73" t="str">
        <f t="shared" si="425"/>
        <v/>
      </c>
      <c r="R1289" s="74" t="str">
        <f t="shared" si="426"/>
        <v/>
      </c>
      <c r="S1289" s="74" t="str">
        <f t="shared" si="427"/>
        <v/>
      </c>
      <c r="U1289" s="74" t="str">
        <f t="shared" si="423"/>
        <v/>
      </c>
      <c r="V1289" s="74" t="str">
        <f t="shared" si="423"/>
        <v/>
      </c>
      <c r="W1289" s="74" t="str">
        <f t="shared" si="423"/>
        <v/>
      </c>
      <c r="X1289" s="74" t="str">
        <f t="shared" si="423"/>
        <v/>
      </c>
      <c r="Y1289" s="74" t="str">
        <f t="shared" si="423"/>
        <v/>
      </c>
      <c r="Z1289" s="74" t="str">
        <f t="shared" si="428"/>
        <v/>
      </c>
      <c r="AA1289" s="74">
        <f t="shared" si="429"/>
        <v>0</v>
      </c>
      <c r="AB1289" s="74">
        <f t="shared" si="430"/>
        <v>0</v>
      </c>
      <c r="AC1289" s="74" t="str">
        <f t="shared" si="431"/>
        <v/>
      </c>
      <c r="AE1289" s="74" t="str">
        <f t="shared" si="432"/>
        <v/>
      </c>
      <c r="AF1289" s="74" t="str">
        <f t="shared" si="433"/>
        <v/>
      </c>
      <c r="AG1289" s="74" t="str">
        <f t="shared" si="434"/>
        <v/>
      </c>
      <c r="AH1289" s="74">
        <f t="shared" si="435"/>
        <v>0</v>
      </c>
      <c r="AI1289" s="74" t="str">
        <f>IF(AH1289&lt;&gt;0,COUNTIF(AH$3:AH1289,1),"")</f>
        <v/>
      </c>
      <c r="AJ1289" s="74">
        <f t="shared" si="436"/>
        <v>0</v>
      </c>
      <c r="AK1289" s="73" t="str">
        <f t="shared" si="437"/>
        <v/>
      </c>
      <c r="AL1289" s="73" t="str">
        <f t="shared" si="438"/>
        <v/>
      </c>
      <c r="AM1289" s="73" t="str">
        <f t="shared" si="439"/>
        <v/>
      </c>
      <c r="AN1289" s="73" t="str">
        <f t="shared" si="440"/>
        <v/>
      </c>
    </row>
    <row r="1290" spans="16:40" x14ac:dyDescent="0.25">
      <c r="P1290" s="73" t="str">
        <f t="shared" si="424"/>
        <v/>
      </c>
      <c r="Q1290" s="73" t="str">
        <f t="shared" si="425"/>
        <v/>
      </c>
      <c r="R1290" s="74" t="str">
        <f t="shared" si="426"/>
        <v/>
      </c>
      <c r="S1290" s="74" t="str">
        <f t="shared" si="427"/>
        <v/>
      </c>
      <c r="U1290" s="74" t="str">
        <f t="shared" si="423"/>
        <v/>
      </c>
      <c r="V1290" s="74" t="str">
        <f t="shared" si="423"/>
        <v/>
      </c>
      <c r="W1290" s="74" t="str">
        <f t="shared" si="423"/>
        <v/>
      </c>
      <c r="X1290" s="74" t="str">
        <f t="shared" si="423"/>
        <v/>
      </c>
      <c r="Y1290" s="74" t="str">
        <f t="shared" si="423"/>
        <v/>
      </c>
      <c r="Z1290" s="74" t="str">
        <f t="shared" si="428"/>
        <v/>
      </c>
      <c r="AA1290" s="74">
        <f t="shared" si="429"/>
        <v>0</v>
      </c>
      <c r="AB1290" s="74">
        <f t="shared" si="430"/>
        <v>0</v>
      </c>
      <c r="AC1290" s="74" t="str">
        <f t="shared" si="431"/>
        <v/>
      </c>
      <c r="AE1290" s="74" t="str">
        <f t="shared" si="432"/>
        <v/>
      </c>
      <c r="AF1290" s="74" t="str">
        <f t="shared" si="433"/>
        <v/>
      </c>
      <c r="AG1290" s="74" t="str">
        <f t="shared" si="434"/>
        <v/>
      </c>
      <c r="AH1290" s="74">
        <f t="shared" si="435"/>
        <v>0</v>
      </c>
      <c r="AI1290" s="74" t="str">
        <f>IF(AH1290&lt;&gt;0,COUNTIF(AH$3:AH1290,1),"")</f>
        <v/>
      </c>
      <c r="AJ1290" s="74">
        <f t="shared" si="436"/>
        <v>0</v>
      </c>
      <c r="AK1290" s="73" t="str">
        <f t="shared" si="437"/>
        <v/>
      </c>
      <c r="AL1290" s="73" t="str">
        <f t="shared" si="438"/>
        <v/>
      </c>
      <c r="AM1290" s="73" t="str">
        <f t="shared" si="439"/>
        <v/>
      </c>
      <c r="AN1290" s="73" t="str">
        <f t="shared" si="440"/>
        <v/>
      </c>
    </row>
    <row r="1291" spans="16:40" x14ac:dyDescent="0.25">
      <c r="P1291" s="73" t="str">
        <f t="shared" si="424"/>
        <v/>
      </c>
      <c r="Q1291" s="73" t="str">
        <f t="shared" si="425"/>
        <v/>
      </c>
      <c r="R1291" s="74" t="str">
        <f t="shared" si="426"/>
        <v/>
      </c>
      <c r="S1291" s="74" t="str">
        <f t="shared" si="427"/>
        <v/>
      </c>
      <c r="U1291" s="74" t="str">
        <f t="shared" si="423"/>
        <v/>
      </c>
      <c r="V1291" s="74" t="str">
        <f t="shared" si="423"/>
        <v/>
      </c>
      <c r="W1291" s="74" t="str">
        <f t="shared" si="423"/>
        <v/>
      </c>
      <c r="X1291" s="74" t="str">
        <f t="shared" si="423"/>
        <v/>
      </c>
      <c r="Y1291" s="74" t="str">
        <f t="shared" si="423"/>
        <v/>
      </c>
      <c r="Z1291" s="74" t="str">
        <f t="shared" si="428"/>
        <v/>
      </c>
      <c r="AA1291" s="74">
        <f t="shared" si="429"/>
        <v>0</v>
      </c>
      <c r="AB1291" s="74">
        <f t="shared" si="430"/>
        <v>0</v>
      </c>
      <c r="AC1291" s="74" t="str">
        <f t="shared" si="431"/>
        <v/>
      </c>
      <c r="AE1291" s="74" t="str">
        <f t="shared" si="432"/>
        <v/>
      </c>
      <c r="AF1291" s="74" t="str">
        <f t="shared" si="433"/>
        <v/>
      </c>
      <c r="AG1291" s="74" t="str">
        <f t="shared" si="434"/>
        <v/>
      </c>
      <c r="AH1291" s="74">
        <f t="shared" si="435"/>
        <v>0</v>
      </c>
      <c r="AI1291" s="74" t="str">
        <f>IF(AH1291&lt;&gt;0,COUNTIF(AH$3:AH1291,1),"")</f>
        <v/>
      </c>
      <c r="AJ1291" s="74">
        <f t="shared" si="436"/>
        <v>0</v>
      </c>
      <c r="AK1291" s="73" t="str">
        <f t="shared" si="437"/>
        <v/>
      </c>
      <c r="AL1291" s="73" t="str">
        <f t="shared" si="438"/>
        <v/>
      </c>
      <c r="AM1291" s="73" t="str">
        <f t="shared" si="439"/>
        <v/>
      </c>
      <c r="AN1291" s="73" t="str">
        <f t="shared" si="440"/>
        <v/>
      </c>
    </row>
    <row r="1292" spans="16:40" x14ac:dyDescent="0.25">
      <c r="P1292" s="73" t="str">
        <f t="shared" si="424"/>
        <v/>
      </c>
      <c r="Q1292" s="73" t="str">
        <f t="shared" si="425"/>
        <v/>
      </c>
      <c r="R1292" s="74" t="str">
        <f t="shared" si="426"/>
        <v/>
      </c>
      <c r="S1292" s="74" t="str">
        <f t="shared" si="427"/>
        <v/>
      </c>
      <c r="U1292" s="74" t="str">
        <f t="shared" si="423"/>
        <v/>
      </c>
      <c r="V1292" s="74" t="str">
        <f t="shared" si="423"/>
        <v/>
      </c>
      <c r="W1292" s="74" t="str">
        <f t="shared" si="423"/>
        <v/>
      </c>
      <c r="X1292" s="74" t="str">
        <f t="shared" si="423"/>
        <v/>
      </c>
      <c r="Y1292" s="74" t="str">
        <f t="shared" si="423"/>
        <v/>
      </c>
      <c r="Z1292" s="74" t="str">
        <f t="shared" si="428"/>
        <v/>
      </c>
      <c r="AA1292" s="74">
        <f t="shared" si="429"/>
        <v>0</v>
      </c>
      <c r="AB1292" s="74">
        <f t="shared" si="430"/>
        <v>0</v>
      </c>
      <c r="AC1292" s="74" t="str">
        <f t="shared" si="431"/>
        <v/>
      </c>
      <c r="AE1292" s="74" t="str">
        <f t="shared" si="432"/>
        <v/>
      </c>
      <c r="AF1292" s="74" t="str">
        <f t="shared" si="433"/>
        <v/>
      </c>
      <c r="AG1292" s="74" t="str">
        <f t="shared" si="434"/>
        <v/>
      </c>
      <c r="AH1292" s="74">
        <f t="shared" si="435"/>
        <v>0</v>
      </c>
      <c r="AI1292" s="74" t="str">
        <f>IF(AH1292&lt;&gt;0,COUNTIF(AH$3:AH1292,1),"")</f>
        <v/>
      </c>
      <c r="AJ1292" s="74">
        <f t="shared" si="436"/>
        <v>0</v>
      </c>
      <c r="AK1292" s="73" t="str">
        <f t="shared" si="437"/>
        <v/>
      </c>
      <c r="AL1292" s="73" t="str">
        <f t="shared" si="438"/>
        <v/>
      </c>
      <c r="AM1292" s="73" t="str">
        <f t="shared" si="439"/>
        <v/>
      </c>
      <c r="AN1292" s="73" t="str">
        <f t="shared" si="440"/>
        <v/>
      </c>
    </row>
    <row r="1293" spans="16:40" x14ac:dyDescent="0.25">
      <c r="P1293" s="73" t="str">
        <f t="shared" si="424"/>
        <v/>
      </c>
      <c r="Q1293" s="73" t="str">
        <f t="shared" si="425"/>
        <v/>
      </c>
      <c r="R1293" s="74" t="str">
        <f t="shared" si="426"/>
        <v/>
      </c>
      <c r="S1293" s="74" t="str">
        <f t="shared" si="427"/>
        <v/>
      </c>
      <c r="U1293" s="74" t="str">
        <f t="shared" si="423"/>
        <v/>
      </c>
      <c r="V1293" s="74" t="str">
        <f t="shared" si="423"/>
        <v/>
      </c>
      <c r="W1293" s="74" t="str">
        <f t="shared" si="423"/>
        <v/>
      </c>
      <c r="X1293" s="74" t="str">
        <f t="shared" si="423"/>
        <v/>
      </c>
      <c r="Y1293" s="74" t="str">
        <f t="shared" si="423"/>
        <v/>
      </c>
      <c r="Z1293" s="74" t="str">
        <f t="shared" si="428"/>
        <v/>
      </c>
      <c r="AA1293" s="74">
        <f t="shared" si="429"/>
        <v>0</v>
      </c>
      <c r="AB1293" s="74">
        <f t="shared" si="430"/>
        <v>0</v>
      </c>
      <c r="AC1293" s="74" t="str">
        <f t="shared" si="431"/>
        <v/>
      </c>
      <c r="AE1293" s="74" t="str">
        <f t="shared" si="432"/>
        <v/>
      </c>
      <c r="AF1293" s="74" t="str">
        <f t="shared" si="433"/>
        <v/>
      </c>
      <c r="AG1293" s="74" t="str">
        <f t="shared" si="434"/>
        <v/>
      </c>
      <c r="AH1293" s="74">
        <f t="shared" si="435"/>
        <v>0</v>
      </c>
      <c r="AI1293" s="74" t="str">
        <f>IF(AH1293&lt;&gt;0,COUNTIF(AH$3:AH1293,1),"")</f>
        <v/>
      </c>
      <c r="AJ1293" s="74">
        <f t="shared" si="436"/>
        <v>0</v>
      </c>
      <c r="AK1293" s="73" t="str">
        <f t="shared" si="437"/>
        <v/>
      </c>
      <c r="AL1293" s="73" t="str">
        <f t="shared" si="438"/>
        <v/>
      </c>
      <c r="AM1293" s="73" t="str">
        <f t="shared" si="439"/>
        <v/>
      </c>
      <c r="AN1293" s="73" t="str">
        <f t="shared" si="440"/>
        <v/>
      </c>
    </row>
    <row r="1294" spans="16:40" x14ac:dyDescent="0.25">
      <c r="P1294" s="73" t="str">
        <f t="shared" si="424"/>
        <v/>
      </c>
      <c r="Q1294" s="73" t="str">
        <f t="shared" si="425"/>
        <v/>
      </c>
      <c r="R1294" s="74" t="str">
        <f t="shared" si="426"/>
        <v/>
      </c>
      <c r="S1294" s="74" t="str">
        <f t="shared" si="427"/>
        <v/>
      </c>
      <c r="U1294" s="74" t="str">
        <f t="shared" si="423"/>
        <v/>
      </c>
      <c r="V1294" s="74" t="str">
        <f t="shared" si="423"/>
        <v/>
      </c>
      <c r="W1294" s="74" t="str">
        <f t="shared" si="423"/>
        <v/>
      </c>
      <c r="X1294" s="74" t="str">
        <f t="shared" si="423"/>
        <v/>
      </c>
      <c r="Y1294" s="74" t="str">
        <f t="shared" si="423"/>
        <v/>
      </c>
      <c r="Z1294" s="74" t="str">
        <f t="shared" si="428"/>
        <v/>
      </c>
      <c r="AA1294" s="74">
        <f t="shared" si="429"/>
        <v>0</v>
      </c>
      <c r="AB1294" s="74">
        <f t="shared" si="430"/>
        <v>0</v>
      </c>
      <c r="AC1294" s="74" t="str">
        <f t="shared" si="431"/>
        <v/>
      </c>
      <c r="AE1294" s="74" t="str">
        <f t="shared" si="432"/>
        <v/>
      </c>
      <c r="AF1294" s="74" t="str">
        <f t="shared" si="433"/>
        <v/>
      </c>
      <c r="AG1294" s="74" t="str">
        <f t="shared" si="434"/>
        <v/>
      </c>
      <c r="AH1294" s="74">
        <f t="shared" si="435"/>
        <v>0</v>
      </c>
      <c r="AI1294" s="74" t="str">
        <f>IF(AH1294&lt;&gt;0,COUNTIF(AH$3:AH1294,1),"")</f>
        <v/>
      </c>
      <c r="AJ1294" s="74">
        <f t="shared" si="436"/>
        <v>0</v>
      </c>
      <c r="AK1294" s="73" t="str">
        <f t="shared" si="437"/>
        <v/>
      </c>
      <c r="AL1294" s="73" t="str">
        <f t="shared" si="438"/>
        <v/>
      </c>
      <c r="AM1294" s="73" t="str">
        <f t="shared" si="439"/>
        <v/>
      </c>
      <c r="AN1294" s="73" t="str">
        <f t="shared" si="440"/>
        <v/>
      </c>
    </row>
    <row r="1295" spans="16:40" x14ac:dyDescent="0.25">
      <c r="P1295" s="73" t="str">
        <f t="shared" si="424"/>
        <v/>
      </c>
      <c r="Q1295" s="73" t="str">
        <f t="shared" si="425"/>
        <v/>
      </c>
      <c r="R1295" s="74" t="str">
        <f t="shared" si="426"/>
        <v/>
      </c>
      <c r="S1295" s="74" t="str">
        <f t="shared" si="427"/>
        <v/>
      </c>
      <c r="U1295" s="74" t="str">
        <f t="shared" si="423"/>
        <v/>
      </c>
      <c r="V1295" s="74" t="str">
        <f t="shared" si="423"/>
        <v/>
      </c>
      <c r="W1295" s="74" t="str">
        <f t="shared" si="423"/>
        <v/>
      </c>
      <c r="X1295" s="74" t="str">
        <f t="shared" si="423"/>
        <v/>
      </c>
      <c r="Y1295" s="74" t="str">
        <f t="shared" si="423"/>
        <v/>
      </c>
      <c r="Z1295" s="74" t="str">
        <f t="shared" si="428"/>
        <v/>
      </c>
      <c r="AA1295" s="74">
        <f t="shared" si="429"/>
        <v>0</v>
      </c>
      <c r="AB1295" s="74">
        <f t="shared" si="430"/>
        <v>0</v>
      </c>
      <c r="AC1295" s="74" t="str">
        <f t="shared" si="431"/>
        <v/>
      </c>
      <c r="AE1295" s="74" t="str">
        <f t="shared" si="432"/>
        <v/>
      </c>
      <c r="AF1295" s="74" t="str">
        <f t="shared" si="433"/>
        <v/>
      </c>
      <c r="AG1295" s="74" t="str">
        <f t="shared" si="434"/>
        <v/>
      </c>
      <c r="AH1295" s="74">
        <f t="shared" si="435"/>
        <v>0</v>
      </c>
      <c r="AI1295" s="74" t="str">
        <f>IF(AH1295&lt;&gt;0,COUNTIF(AH$3:AH1295,1),"")</f>
        <v/>
      </c>
      <c r="AJ1295" s="74">
        <f t="shared" si="436"/>
        <v>0</v>
      </c>
      <c r="AK1295" s="73" t="str">
        <f t="shared" si="437"/>
        <v/>
      </c>
      <c r="AL1295" s="73" t="str">
        <f t="shared" si="438"/>
        <v/>
      </c>
      <c r="AM1295" s="73" t="str">
        <f t="shared" si="439"/>
        <v/>
      </c>
      <c r="AN1295" s="73" t="str">
        <f t="shared" si="440"/>
        <v/>
      </c>
    </row>
    <row r="1296" spans="16:40" x14ac:dyDescent="0.25">
      <c r="P1296" s="73" t="str">
        <f t="shared" si="424"/>
        <v/>
      </c>
      <c r="Q1296" s="73" t="str">
        <f t="shared" si="425"/>
        <v/>
      </c>
      <c r="R1296" s="74" t="str">
        <f t="shared" si="426"/>
        <v/>
      </c>
      <c r="S1296" s="74" t="str">
        <f t="shared" si="427"/>
        <v/>
      </c>
      <c r="U1296" s="74" t="str">
        <f t="shared" si="423"/>
        <v/>
      </c>
      <c r="V1296" s="74" t="str">
        <f t="shared" si="423"/>
        <v/>
      </c>
      <c r="W1296" s="74" t="str">
        <f t="shared" si="423"/>
        <v/>
      </c>
      <c r="X1296" s="74" t="str">
        <f t="shared" si="423"/>
        <v/>
      </c>
      <c r="Y1296" s="74" t="str">
        <f t="shared" si="423"/>
        <v/>
      </c>
      <c r="Z1296" s="74" t="str">
        <f t="shared" si="428"/>
        <v/>
      </c>
      <c r="AA1296" s="74">
        <f t="shared" si="429"/>
        <v>0</v>
      </c>
      <c r="AB1296" s="74">
        <f t="shared" si="430"/>
        <v>0</v>
      </c>
      <c r="AC1296" s="74" t="str">
        <f t="shared" si="431"/>
        <v/>
      </c>
      <c r="AE1296" s="74" t="str">
        <f t="shared" si="432"/>
        <v/>
      </c>
      <c r="AF1296" s="74" t="str">
        <f t="shared" si="433"/>
        <v/>
      </c>
      <c r="AG1296" s="74" t="str">
        <f t="shared" si="434"/>
        <v/>
      </c>
      <c r="AH1296" s="74">
        <f t="shared" si="435"/>
        <v>0</v>
      </c>
      <c r="AI1296" s="74" t="str">
        <f>IF(AH1296&lt;&gt;0,COUNTIF(AH$3:AH1296,1),"")</f>
        <v/>
      </c>
      <c r="AJ1296" s="74">
        <f t="shared" si="436"/>
        <v>0</v>
      </c>
      <c r="AK1296" s="73" t="str">
        <f t="shared" si="437"/>
        <v/>
      </c>
      <c r="AL1296" s="73" t="str">
        <f t="shared" si="438"/>
        <v/>
      </c>
      <c r="AM1296" s="73" t="str">
        <f t="shared" si="439"/>
        <v/>
      </c>
      <c r="AN1296" s="73" t="str">
        <f t="shared" si="440"/>
        <v/>
      </c>
    </row>
    <row r="1297" spans="16:40" x14ac:dyDescent="0.25">
      <c r="P1297" s="73" t="str">
        <f t="shared" si="424"/>
        <v/>
      </c>
      <c r="Q1297" s="73" t="str">
        <f t="shared" si="425"/>
        <v/>
      </c>
      <c r="R1297" s="74" t="str">
        <f t="shared" si="426"/>
        <v/>
      </c>
      <c r="S1297" s="74" t="str">
        <f t="shared" si="427"/>
        <v/>
      </c>
      <c r="U1297" s="74" t="str">
        <f t="shared" si="423"/>
        <v/>
      </c>
      <c r="V1297" s="74" t="str">
        <f t="shared" si="423"/>
        <v/>
      </c>
      <c r="W1297" s="74" t="str">
        <f t="shared" si="423"/>
        <v/>
      </c>
      <c r="X1297" s="74" t="str">
        <f t="shared" si="423"/>
        <v/>
      </c>
      <c r="Y1297" s="74" t="str">
        <f t="shared" si="423"/>
        <v/>
      </c>
      <c r="Z1297" s="74" t="str">
        <f t="shared" si="428"/>
        <v/>
      </c>
      <c r="AA1297" s="74">
        <f t="shared" si="429"/>
        <v>0</v>
      </c>
      <c r="AB1297" s="74">
        <f t="shared" si="430"/>
        <v>0</v>
      </c>
      <c r="AC1297" s="74" t="str">
        <f t="shared" si="431"/>
        <v/>
      </c>
      <c r="AE1297" s="74" t="str">
        <f t="shared" si="432"/>
        <v/>
      </c>
      <c r="AF1297" s="74" t="str">
        <f t="shared" si="433"/>
        <v/>
      </c>
      <c r="AG1297" s="74" t="str">
        <f t="shared" si="434"/>
        <v/>
      </c>
      <c r="AH1297" s="74">
        <f t="shared" si="435"/>
        <v>0</v>
      </c>
      <c r="AI1297" s="74" t="str">
        <f>IF(AH1297&lt;&gt;0,COUNTIF(AH$3:AH1297,1),"")</f>
        <v/>
      </c>
      <c r="AJ1297" s="74">
        <f t="shared" si="436"/>
        <v>0</v>
      </c>
      <c r="AK1297" s="73" t="str">
        <f t="shared" si="437"/>
        <v/>
      </c>
      <c r="AL1297" s="73" t="str">
        <f t="shared" si="438"/>
        <v/>
      </c>
      <c r="AM1297" s="73" t="str">
        <f t="shared" si="439"/>
        <v/>
      </c>
      <c r="AN1297" s="73" t="str">
        <f t="shared" si="440"/>
        <v/>
      </c>
    </row>
    <row r="1298" spans="16:40" x14ac:dyDescent="0.25">
      <c r="P1298" s="73" t="str">
        <f t="shared" si="424"/>
        <v/>
      </c>
      <c r="Q1298" s="73" t="str">
        <f t="shared" si="425"/>
        <v/>
      </c>
      <c r="R1298" s="74" t="str">
        <f t="shared" si="426"/>
        <v/>
      </c>
      <c r="S1298" s="74" t="str">
        <f t="shared" si="427"/>
        <v/>
      </c>
      <c r="U1298" s="74" t="str">
        <f t="shared" si="423"/>
        <v/>
      </c>
      <c r="V1298" s="74" t="str">
        <f t="shared" si="423"/>
        <v/>
      </c>
      <c r="W1298" s="74" t="str">
        <f t="shared" si="423"/>
        <v/>
      </c>
      <c r="X1298" s="74" t="str">
        <f t="shared" si="423"/>
        <v/>
      </c>
      <c r="Y1298" s="74" t="str">
        <f t="shared" si="423"/>
        <v/>
      </c>
      <c r="Z1298" s="74" t="str">
        <f t="shared" si="428"/>
        <v/>
      </c>
      <c r="AA1298" s="74">
        <f t="shared" si="429"/>
        <v>0</v>
      </c>
      <c r="AB1298" s="74">
        <f t="shared" si="430"/>
        <v>0</v>
      </c>
      <c r="AC1298" s="74" t="str">
        <f t="shared" si="431"/>
        <v/>
      </c>
      <c r="AE1298" s="74" t="str">
        <f t="shared" si="432"/>
        <v/>
      </c>
      <c r="AF1298" s="74" t="str">
        <f t="shared" si="433"/>
        <v/>
      </c>
      <c r="AG1298" s="74" t="str">
        <f t="shared" si="434"/>
        <v/>
      </c>
      <c r="AH1298" s="74">
        <f t="shared" si="435"/>
        <v>0</v>
      </c>
      <c r="AI1298" s="74" t="str">
        <f>IF(AH1298&lt;&gt;0,COUNTIF(AH$3:AH1298,1),"")</f>
        <v/>
      </c>
      <c r="AJ1298" s="74">
        <f t="shared" si="436"/>
        <v>0</v>
      </c>
      <c r="AK1298" s="73" t="str">
        <f t="shared" si="437"/>
        <v/>
      </c>
      <c r="AL1298" s="73" t="str">
        <f t="shared" si="438"/>
        <v/>
      </c>
      <c r="AM1298" s="73" t="str">
        <f t="shared" si="439"/>
        <v/>
      </c>
      <c r="AN1298" s="73" t="str">
        <f t="shared" si="440"/>
        <v/>
      </c>
    </row>
    <row r="1299" spans="16:40" x14ac:dyDescent="0.25">
      <c r="P1299" s="73" t="str">
        <f t="shared" si="424"/>
        <v/>
      </c>
      <c r="Q1299" s="73" t="str">
        <f t="shared" si="425"/>
        <v/>
      </c>
      <c r="R1299" s="74" t="str">
        <f t="shared" si="426"/>
        <v/>
      </c>
      <c r="S1299" s="74" t="str">
        <f t="shared" si="427"/>
        <v/>
      </c>
      <c r="U1299" s="74" t="str">
        <f t="shared" si="423"/>
        <v/>
      </c>
      <c r="V1299" s="74" t="str">
        <f t="shared" si="423"/>
        <v/>
      </c>
      <c r="W1299" s="74" t="str">
        <f t="shared" si="423"/>
        <v/>
      </c>
      <c r="X1299" s="74" t="str">
        <f t="shared" si="423"/>
        <v/>
      </c>
      <c r="Y1299" s="74" t="str">
        <f t="shared" si="423"/>
        <v/>
      </c>
      <c r="Z1299" s="74" t="str">
        <f t="shared" si="428"/>
        <v/>
      </c>
      <c r="AA1299" s="74">
        <f t="shared" si="429"/>
        <v>0</v>
      </c>
      <c r="AB1299" s="74">
        <f t="shared" si="430"/>
        <v>0</v>
      </c>
      <c r="AC1299" s="74" t="str">
        <f t="shared" si="431"/>
        <v/>
      </c>
      <c r="AE1299" s="74" t="str">
        <f t="shared" si="432"/>
        <v/>
      </c>
      <c r="AF1299" s="74" t="str">
        <f t="shared" si="433"/>
        <v/>
      </c>
      <c r="AG1299" s="74" t="str">
        <f t="shared" si="434"/>
        <v/>
      </c>
      <c r="AH1299" s="74">
        <f t="shared" si="435"/>
        <v>0</v>
      </c>
      <c r="AI1299" s="74" t="str">
        <f>IF(AH1299&lt;&gt;0,COUNTIF(AH$3:AH1299,1),"")</f>
        <v/>
      </c>
      <c r="AJ1299" s="74">
        <f t="shared" si="436"/>
        <v>0</v>
      </c>
      <c r="AK1299" s="73" t="str">
        <f t="shared" si="437"/>
        <v/>
      </c>
      <c r="AL1299" s="73" t="str">
        <f t="shared" si="438"/>
        <v/>
      </c>
      <c r="AM1299" s="73" t="str">
        <f t="shared" si="439"/>
        <v/>
      </c>
      <c r="AN1299" s="73" t="str">
        <f t="shared" si="440"/>
        <v/>
      </c>
    </row>
    <row r="1300" spans="16:40" x14ac:dyDescent="0.25">
      <c r="P1300" s="73" t="str">
        <f t="shared" si="424"/>
        <v/>
      </c>
      <c r="Q1300" s="73" t="str">
        <f t="shared" si="425"/>
        <v/>
      </c>
      <c r="R1300" s="74" t="str">
        <f t="shared" si="426"/>
        <v/>
      </c>
      <c r="S1300" s="74" t="str">
        <f t="shared" si="427"/>
        <v/>
      </c>
      <c r="U1300" s="74" t="str">
        <f t="shared" si="423"/>
        <v/>
      </c>
      <c r="V1300" s="74" t="str">
        <f t="shared" si="423"/>
        <v/>
      </c>
      <c r="W1300" s="74" t="str">
        <f t="shared" si="423"/>
        <v/>
      </c>
      <c r="X1300" s="74" t="str">
        <f t="shared" si="423"/>
        <v/>
      </c>
      <c r="Y1300" s="74" t="str">
        <f t="shared" si="423"/>
        <v/>
      </c>
      <c r="Z1300" s="74" t="str">
        <f t="shared" si="428"/>
        <v/>
      </c>
      <c r="AA1300" s="74">
        <f t="shared" si="429"/>
        <v>0</v>
      </c>
      <c r="AB1300" s="74">
        <f t="shared" si="430"/>
        <v>0</v>
      </c>
      <c r="AC1300" s="74" t="str">
        <f t="shared" si="431"/>
        <v/>
      </c>
      <c r="AE1300" s="74" t="str">
        <f t="shared" si="432"/>
        <v/>
      </c>
      <c r="AF1300" s="74" t="str">
        <f t="shared" si="433"/>
        <v/>
      </c>
      <c r="AG1300" s="74" t="str">
        <f t="shared" si="434"/>
        <v/>
      </c>
      <c r="AH1300" s="74">
        <f t="shared" si="435"/>
        <v>0</v>
      </c>
      <c r="AI1300" s="74" t="str">
        <f>IF(AH1300&lt;&gt;0,COUNTIF(AH$3:AH1300,1),"")</f>
        <v/>
      </c>
      <c r="AJ1300" s="74">
        <f t="shared" si="436"/>
        <v>0</v>
      </c>
      <c r="AK1300" s="73" t="str">
        <f t="shared" si="437"/>
        <v/>
      </c>
      <c r="AL1300" s="73" t="str">
        <f t="shared" si="438"/>
        <v/>
      </c>
      <c r="AM1300" s="73" t="str">
        <f t="shared" si="439"/>
        <v/>
      </c>
      <c r="AN1300" s="73" t="str">
        <f t="shared" si="440"/>
        <v/>
      </c>
    </row>
    <row r="1301" spans="16:40" x14ac:dyDescent="0.25">
      <c r="P1301" s="73" t="str">
        <f t="shared" si="424"/>
        <v/>
      </c>
      <c r="Q1301" s="73" t="str">
        <f t="shared" si="425"/>
        <v/>
      </c>
      <c r="R1301" s="74" t="str">
        <f t="shared" si="426"/>
        <v/>
      </c>
      <c r="S1301" s="74" t="str">
        <f t="shared" si="427"/>
        <v/>
      </c>
      <c r="U1301" s="74" t="str">
        <f t="shared" si="423"/>
        <v/>
      </c>
      <c r="V1301" s="74" t="str">
        <f t="shared" si="423"/>
        <v/>
      </c>
      <c r="W1301" s="74" t="str">
        <f t="shared" si="423"/>
        <v/>
      </c>
      <c r="X1301" s="74" t="str">
        <f t="shared" si="423"/>
        <v/>
      </c>
      <c r="Y1301" s="74" t="str">
        <f t="shared" si="423"/>
        <v/>
      </c>
      <c r="Z1301" s="74" t="str">
        <f t="shared" si="428"/>
        <v/>
      </c>
      <c r="AA1301" s="74">
        <f t="shared" si="429"/>
        <v>0</v>
      </c>
      <c r="AB1301" s="74">
        <f t="shared" si="430"/>
        <v>0</v>
      </c>
      <c r="AC1301" s="74" t="str">
        <f t="shared" si="431"/>
        <v/>
      </c>
      <c r="AE1301" s="74" t="str">
        <f t="shared" si="432"/>
        <v/>
      </c>
      <c r="AF1301" s="74" t="str">
        <f t="shared" si="433"/>
        <v/>
      </c>
      <c r="AG1301" s="74" t="str">
        <f t="shared" si="434"/>
        <v/>
      </c>
      <c r="AH1301" s="74">
        <f t="shared" si="435"/>
        <v>0</v>
      </c>
      <c r="AI1301" s="74" t="str">
        <f>IF(AH1301&lt;&gt;0,COUNTIF(AH$3:AH1301,1),"")</f>
        <v/>
      </c>
      <c r="AJ1301" s="74">
        <f t="shared" si="436"/>
        <v>0</v>
      </c>
      <c r="AK1301" s="73" t="str">
        <f t="shared" si="437"/>
        <v/>
      </c>
      <c r="AL1301" s="73" t="str">
        <f t="shared" si="438"/>
        <v/>
      </c>
      <c r="AM1301" s="73" t="str">
        <f t="shared" si="439"/>
        <v/>
      </c>
      <c r="AN1301" s="73" t="str">
        <f t="shared" si="440"/>
        <v/>
      </c>
    </row>
    <row r="1302" spans="16:40" x14ac:dyDescent="0.25">
      <c r="P1302" s="73" t="str">
        <f t="shared" si="424"/>
        <v/>
      </c>
      <c r="Q1302" s="73" t="str">
        <f t="shared" si="425"/>
        <v/>
      </c>
      <c r="R1302" s="74" t="str">
        <f t="shared" si="426"/>
        <v/>
      </c>
      <c r="S1302" s="74" t="str">
        <f t="shared" si="427"/>
        <v/>
      </c>
      <c r="U1302" s="74" t="str">
        <f t="shared" si="423"/>
        <v/>
      </c>
      <c r="V1302" s="74" t="str">
        <f t="shared" si="423"/>
        <v/>
      </c>
      <c r="W1302" s="74" t="str">
        <f t="shared" si="423"/>
        <v/>
      </c>
      <c r="X1302" s="74" t="str">
        <f t="shared" si="423"/>
        <v/>
      </c>
      <c r="Y1302" s="74" t="str">
        <f t="shared" si="423"/>
        <v/>
      </c>
      <c r="Z1302" s="74" t="str">
        <f t="shared" si="428"/>
        <v/>
      </c>
      <c r="AA1302" s="74">
        <f t="shared" si="429"/>
        <v>0</v>
      </c>
      <c r="AB1302" s="74">
        <f t="shared" si="430"/>
        <v>0</v>
      </c>
      <c r="AC1302" s="74" t="str">
        <f t="shared" si="431"/>
        <v/>
      </c>
      <c r="AE1302" s="74" t="str">
        <f t="shared" si="432"/>
        <v/>
      </c>
      <c r="AF1302" s="74" t="str">
        <f t="shared" si="433"/>
        <v/>
      </c>
      <c r="AG1302" s="74" t="str">
        <f t="shared" si="434"/>
        <v/>
      </c>
      <c r="AH1302" s="74">
        <f t="shared" si="435"/>
        <v>0</v>
      </c>
      <c r="AI1302" s="74" t="str">
        <f>IF(AH1302&lt;&gt;0,COUNTIF(AH$3:AH1302,1),"")</f>
        <v/>
      </c>
      <c r="AJ1302" s="74">
        <f t="shared" si="436"/>
        <v>0</v>
      </c>
      <c r="AK1302" s="73" t="str">
        <f t="shared" si="437"/>
        <v/>
      </c>
      <c r="AL1302" s="73" t="str">
        <f t="shared" si="438"/>
        <v/>
      </c>
      <c r="AM1302" s="73" t="str">
        <f t="shared" si="439"/>
        <v/>
      </c>
      <c r="AN1302" s="73" t="str">
        <f t="shared" si="440"/>
        <v/>
      </c>
    </row>
    <row r="1303" spans="16:40" x14ac:dyDescent="0.25">
      <c r="P1303" s="73" t="str">
        <f t="shared" si="424"/>
        <v/>
      </c>
      <c r="Q1303" s="73" t="str">
        <f t="shared" si="425"/>
        <v/>
      </c>
      <c r="R1303" s="74" t="str">
        <f t="shared" si="426"/>
        <v/>
      </c>
      <c r="S1303" s="74" t="str">
        <f t="shared" si="427"/>
        <v/>
      </c>
      <c r="U1303" s="74" t="str">
        <f t="shared" si="423"/>
        <v/>
      </c>
      <c r="V1303" s="74" t="str">
        <f t="shared" si="423"/>
        <v/>
      </c>
      <c r="W1303" s="74" t="str">
        <f t="shared" si="423"/>
        <v/>
      </c>
      <c r="X1303" s="74" t="str">
        <f t="shared" si="423"/>
        <v/>
      </c>
      <c r="Y1303" s="74" t="str">
        <f t="shared" si="423"/>
        <v/>
      </c>
      <c r="Z1303" s="74" t="str">
        <f t="shared" si="428"/>
        <v/>
      </c>
      <c r="AA1303" s="74">
        <f t="shared" si="429"/>
        <v>0</v>
      </c>
      <c r="AB1303" s="74">
        <f t="shared" si="430"/>
        <v>0</v>
      </c>
      <c r="AC1303" s="74" t="str">
        <f t="shared" si="431"/>
        <v/>
      </c>
      <c r="AE1303" s="74" t="str">
        <f t="shared" si="432"/>
        <v/>
      </c>
      <c r="AF1303" s="74" t="str">
        <f t="shared" si="433"/>
        <v/>
      </c>
      <c r="AG1303" s="74" t="str">
        <f t="shared" si="434"/>
        <v/>
      </c>
      <c r="AH1303" s="74">
        <f t="shared" si="435"/>
        <v>0</v>
      </c>
      <c r="AI1303" s="74" t="str">
        <f>IF(AH1303&lt;&gt;0,COUNTIF(AH$3:AH1303,1),"")</f>
        <v/>
      </c>
      <c r="AJ1303" s="74">
        <f t="shared" si="436"/>
        <v>0</v>
      </c>
      <c r="AK1303" s="73" t="str">
        <f t="shared" si="437"/>
        <v/>
      </c>
      <c r="AL1303" s="73" t="str">
        <f t="shared" si="438"/>
        <v/>
      </c>
      <c r="AM1303" s="73" t="str">
        <f t="shared" si="439"/>
        <v/>
      </c>
      <c r="AN1303" s="73" t="str">
        <f t="shared" si="440"/>
        <v/>
      </c>
    </row>
    <row r="1304" spans="16:40" x14ac:dyDescent="0.25">
      <c r="P1304" s="73" t="str">
        <f t="shared" si="424"/>
        <v/>
      </c>
      <c r="Q1304" s="73" t="str">
        <f t="shared" si="425"/>
        <v/>
      </c>
      <c r="R1304" s="74" t="str">
        <f t="shared" si="426"/>
        <v/>
      </c>
      <c r="S1304" s="74" t="str">
        <f t="shared" si="427"/>
        <v/>
      </c>
      <c r="U1304" s="74" t="str">
        <f t="shared" si="423"/>
        <v/>
      </c>
      <c r="V1304" s="74" t="str">
        <f t="shared" si="423"/>
        <v/>
      </c>
      <c r="W1304" s="74" t="str">
        <f t="shared" si="423"/>
        <v/>
      </c>
      <c r="X1304" s="74" t="str">
        <f t="shared" si="423"/>
        <v/>
      </c>
      <c r="Y1304" s="74" t="str">
        <f t="shared" si="423"/>
        <v/>
      </c>
      <c r="Z1304" s="74" t="str">
        <f t="shared" si="428"/>
        <v/>
      </c>
      <c r="AA1304" s="74">
        <f t="shared" si="429"/>
        <v>0</v>
      </c>
      <c r="AB1304" s="74">
        <f t="shared" si="430"/>
        <v>0</v>
      </c>
      <c r="AC1304" s="74" t="str">
        <f t="shared" si="431"/>
        <v/>
      </c>
      <c r="AE1304" s="74" t="str">
        <f t="shared" si="432"/>
        <v/>
      </c>
      <c r="AF1304" s="74" t="str">
        <f t="shared" si="433"/>
        <v/>
      </c>
      <c r="AG1304" s="74" t="str">
        <f t="shared" si="434"/>
        <v/>
      </c>
      <c r="AH1304" s="74">
        <f t="shared" si="435"/>
        <v>0</v>
      </c>
      <c r="AI1304" s="74" t="str">
        <f>IF(AH1304&lt;&gt;0,COUNTIF(AH$3:AH1304,1),"")</f>
        <v/>
      </c>
      <c r="AJ1304" s="74">
        <f t="shared" si="436"/>
        <v>0</v>
      </c>
      <c r="AK1304" s="73" t="str">
        <f t="shared" si="437"/>
        <v/>
      </c>
      <c r="AL1304" s="73" t="str">
        <f t="shared" si="438"/>
        <v/>
      </c>
      <c r="AM1304" s="73" t="str">
        <f t="shared" si="439"/>
        <v/>
      </c>
      <c r="AN1304" s="73" t="str">
        <f t="shared" si="440"/>
        <v/>
      </c>
    </row>
    <row r="1305" spans="16:40" x14ac:dyDescent="0.25">
      <c r="P1305" s="73" t="str">
        <f t="shared" si="424"/>
        <v/>
      </c>
      <c r="Q1305" s="73" t="str">
        <f t="shared" si="425"/>
        <v/>
      </c>
      <c r="R1305" s="74" t="str">
        <f t="shared" si="426"/>
        <v/>
      </c>
      <c r="S1305" s="74" t="str">
        <f t="shared" si="427"/>
        <v/>
      </c>
      <c r="U1305" s="74" t="str">
        <f t="shared" si="423"/>
        <v/>
      </c>
      <c r="V1305" s="74" t="str">
        <f t="shared" si="423"/>
        <v/>
      </c>
      <c r="W1305" s="74" t="str">
        <f t="shared" si="423"/>
        <v/>
      </c>
      <c r="X1305" s="74" t="str">
        <f t="shared" si="423"/>
        <v/>
      </c>
      <c r="Y1305" s="74" t="str">
        <f t="shared" si="423"/>
        <v/>
      </c>
      <c r="Z1305" s="74" t="str">
        <f t="shared" si="428"/>
        <v/>
      </c>
      <c r="AA1305" s="74">
        <f t="shared" si="429"/>
        <v>0</v>
      </c>
      <c r="AB1305" s="74">
        <f t="shared" si="430"/>
        <v>0</v>
      </c>
      <c r="AC1305" s="74" t="str">
        <f t="shared" si="431"/>
        <v/>
      </c>
      <c r="AE1305" s="74" t="str">
        <f t="shared" si="432"/>
        <v/>
      </c>
      <c r="AF1305" s="74" t="str">
        <f t="shared" si="433"/>
        <v/>
      </c>
      <c r="AG1305" s="74" t="str">
        <f t="shared" si="434"/>
        <v/>
      </c>
      <c r="AH1305" s="74">
        <f t="shared" si="435"/>
        <v>0</v>
      </c>
      <c r="AI1305" s="74" t="str">
        <f>IF(AH1305&lt;&gt;0,COUNTIF(AH$3:AH1305,1),"")</f>
        <v/>
      </c>
      <c r="AJ1305" s="74">
        <f t="shared" si="436"/>
        <v>0</v>
      </c>
      <c r="AK1305" s="73" t="str">
        <f t="shared" si="437"/>
        <v/>
      </c>
      <c r="AL1305" s="73" t="str">
        <f t="shared" si="438"/>
        <v/>
      </c>
      <c r="AM1305" s="73" t="str">
        <f t="shared" si="439"/>
        <v/>
      </c>
      <c r="AN1305" s="73" t="str">
        <f t="shared" si="440"/>
        <v/>
      </c>
    </row>
    <row r="1306" spans="16:40" x14ac:dyDescent="0.25">
      <c r="P1306" s="73" t="str">
        <f t="shared" si="424"/>
        <v/>
      </c>
      <c r="Q1306" s="73" t="str">
        <f t="shared" si="425"/>
        <v/>
      </c>
      <c r="R1306" s="74" t="str">
        <f t="shared" si="426"/>
        <v/>
      </c>
      <c r="S1306" s="74" t="str">
        <f t="shared" si="427"/>
        <v/>
      </c>
      <c r="U1306" s="74" t="str">
        <f t="shared" si="423"/>
        <v/>
      </c>
      <c r="V1306" s="74" t="str">
        <f t="shared" si="423"/>
        <v/>
      </c>
      <c r="W1306" s="74" t="str">
        <f t="shared" si="423"/>
        <v/>
      </c>
      <c r="X1306" s="74" t="str">
        <f t="shared" si="423"/>
        <v/>
      </c>
      <c r="Y1306" s="74" t="str">
        <f t="shared" si="423"/>
        <v/>
      </c>
      <c r="Z1306" s="74" t="str">
        <f t="shared" si="428"/>
        <v/>
      </c>
      <c r="AA1306" s="74">
        <f t="shared" si="429"/>
        <v>0</v>
      </c>
      <c r="AB1306" s="74">
        <f t="shared" si="430"/>
        <v>0</v>
      </c>
      <c r="AC1306" s="74" t="str">
        <f t="shared" si="431"/>
        <v/>
      </c>
      <c r="AE1306" s="74" t="str">
        <f t="shared" si="432"/>
        <v/>
      </c>
      <c r="AF1306" s="74" t="str">
        <f t="shared" si="433"/>
        <v/>
      </c>
      <c r="AG1306" s="74" t="str">
        <f t="shared" si="434"/>
        <v/>
      </c>
      <c r="AH1306" s="74">
        <f t="shared" si="435"/>
        <v>0</v>
      </c>
      <c r="AI1306" s="74" t="str">
        <f>IF(AH1306&lt;&gt;0,COUNTIF(AH$3:AH1306,1),"")</f>
        <v/>
      </c>
      <c r="AJ1306" s="74">
        <f t="shared" si="436"/>
        <v>0</v>
      </c>
      <c r="AK1306" s="73" t="str">
        <f t="shared" si="437"/>
        <v/>
      </c>
      <c r="AL1306" s="73" t="str">
        <f t="shared" si="438"/>
        <v/>
      </c>
      <c r="AM1306" s="73" t="str">
        <f t="shared" si="439"/>
        <v/>
      </c>
      <c r="AN1306" s="73" t="str">
        <f t="shared" si="440"/>
        <v/>
      </c>
    </row>
    <row r="1307" spans="16:40" x14ac:dyDescent="0.25">
      <c r="P1307" s="73" t="str">
        <f t="shared" si="424"/>
        <v/>
      </c>
      <c r="Q1307" s="73" t="str">
        <f t="shared" si="425"/>
        <v/>
      </c>
      <c r="R1307" s="74" t="str">
        <f t="shared" si="426"/>
        <v/>
      </c>
      <c r="S1307" s="74" t="str">
        <f t="shared" si="427"/>
        <v/>
      </c>
      <c r="U1307" s="74" t="str">
        <f t="shared" si="423"/>
        <v/>
      </c>
      <c r="V1307" s="74" t="str">
        <f t="shared" si="423"/>
        <v/>
      </c>
      <c r="W1307" s="74" t="str">
        <f t="shared" si="423"/>
        <v/>
      </c>
      <c r="X1307" s="74" t="str">
        <f t="shared" si="423"/>
        <v/>
      </c>
      <c r="Y1307" s="74" t="str">
        <f t="shared" si="423"/>
        <v/>
      </c>
      <c r="Z1307" s="74" t="str">
        <f t="shared" si="428"/>
        <v/>
      </c>
      <c r="AA1307" s="74">
        <f t="shared" si="429"/>
        <v>0</v>
      </c>
      <c r="AB1307" s="74">
        <f t="shared" si="430"/>
        <v>0</v>
      </c>
      <c r="AC1307" s="74" t="str">
        <f t="shared" si="431"/>
        <v/>
      </c>
      <c r="AE1307" s="74" t="str">
        <f t="shared" si="432"/>
        <v/>
      </c>
      <c r="AF1307" s="74" t="str">
        <f t="shared" si="433"/>
        <v/>
      </c>
      <c r="AG1307" s="74" t="str">
        <f t="shared" si="434"/>
        <v/>
      </c>
      <c r="AH1307" s="74">
        <f t="shared" si="435"/>
        <v>0</v>
      </c>
      <c r="AI1307" s="74" t="str">
        <f>IF(AH1307&lt;&gt;0,COUNTIF(AH$3:AH1307,1),"")</f>
        <v/>
      </c>
      <c r="AJ1307" s="74">
        <f t="shared" si="436"/>
        <v>0</v>
      </c>
      <c r="AK1307" s="73" t="str">
        <f t="shared" si="437"/>
        <v/>
      </c>
      <c r="AL1307" s="73" t="str">
        <f t="shared" si="438"/>
        <v/>
      </c>
      <c r="AM1307" s="73" t="str">
        <f t="shared" si="439"/>
        <v/>
      </c>
      <c r="AN1307" s="73" t="str">
        <f t="shared" si="440"/>
        <v/>
      </c>
    </row>
    <row r="1308" spans="16:40" x14ac:dyDescent="0.25">
      <c r="P1308" s="73" t="str">
        <f t="shared" si="424"/>
        <v/>
      </c>
      <c r="Q1308" s="73" t="str">
        <f t="shared" si="425"/>
        <v/>
      </c>
      <c r="R1308" s="74" t="str">
        <f t="shared" si="426"/>
        <v/>
      </c>
      <c r="S1308" s="74" t="str">
        <f t="shared" si="427"/>
        <v/>
      </c>
      <c r="U1308" s="74" t="str">
        <f t="shared" si="423"/>
        <v/>
      </c>
      <c r="V1308" s="74" t="str">
        <f t="shared" si="423"/>
        <v/>
      </c>
      <c r="W1308" s="74" t="str">
        <f t="shared" si="423"/>
        <v/>
      </c>
      <c r="X1308" s="74" t="str">
        <f t="shared" si="423"/>
        <v/>
      </c>
      <c r="Y1308" s="74" t="str">
        <f t="shared" si="423"/>
        <v/>
      </c>
      <c r="Z1308" s="74" t="str">
        <f t="shared" si="428"/>
        <v/>
      </c>
      <c r="AA1308" s="74">
        <f t="shared" si="429"/>
        <v>0</v>
      </c>
      <c r="AB1308" s="74">
        <f t="shared" si="430"/>
        <v>0</v>
      </c>
      <c r="AC1308" s="74" t="str">
        <f t="shared" si="431"/>
        <v/>
      </c>
      <c r="AE1308" s="74" t="str">
        <f t="shared" si="432"/>
        <v/>
      </c>
      <c r="AF1308" s="74" t="str">
        <f t="shared" si="433"/>
        <v/>
      </c>
      <c r="AG1308" s="74" t="str">
        <f t="shared" si="434"/>
        <v/>
      </c>
      <c r="AH1308" s="74">
        <f t="shared" si="435"/>
        <v>0</v>
      </c>
      <c r="AI1308" s="74" t="str">
        <f>IF(AH1308&lt;&gt;0,COUNTIF(AH$3:AH1308,1),"")</f>
        <v/>
      </c>
      <c r="AJ1308" s="74">
        <f t="shared" si="436"/>
        <v>0</v>
      </c>
      <c r="AK1308" s="73" t="str">
        <f t="shared" si="437"/>
        <v/>
      </c>
      <c r="AL1308" s="73" t="str">
        <f t="shared" si="438"/>
        <v/>
      </c>
      <c r="AM1308" s="73" t="str">
        <f t="shared" si="439"/>
        <v/>
      </c>
      <c r="AN1308" s="73" t="str">
        <f t="shared" si="440"/>
        <v/>
      </c>
    </row>
    <row r="1309" spans="16:40" x14ac:dyDescent="0.25">
      <c r="P1309" s="73" t="str">
        <f t="shared" si="424"/>
        <v/>
      </c>
      <c r="Q1309" s="73" t="str">
        <f t="shared" si="425"/>
        <v/>
      </c>
      <c r="R1309" s="74" t="str">
        <f t="shared" si="426"/>
        <v/>
      </c>
      <c r="S1309" s="74" t="str">
        <f t="shared" si="427"/>
        <v/>
      </c>
      <c r="U1309" s="74" t="str">
        <f t="shared" si="423"/>
        <v/>
      </c>
      <c r="V1309" s="74" t="str">
        <f t="shared" si="423"/>
        <v/>
      </c>
      <c r="W1309" s="74" t="str">
        <f t="shared" si="423"/>
        <v/>
      </c>
      <c r="X1309" s="74" t="str">
        <f t="shared" si="423"/>
        <v/>
      </c>
      <c r="Y1309" s="74" t="str">
        <f t="shared" si="423"/>
        <v/>
      </c>
      <c r="Z1309" s="74" t="str">
        <f t="shared" si="428"/>
        <v/>
      </c>
      <c r="AA1309" s="74">
        <f t="shared" si="429"/>
        <v>0</v>
      </c>
      <c r="AB1309" s="74">
        <f t="shared" si="430"/>
        <v>0</v>
      </c>
      <c r="AC1309" s="74" t="str">
        <f t="shared" si="431"/>
        <v/>
      </c>
      <c r="AE1309" s="74" t="str">
        <f t="shared" si="432"/>
        <v/>
      </c>
      <c r="AF1309" s="74" t="str">
        <f t="shared" si="433"/>
        <v/>
      </c>
      <c r="AG1309" s="74" t="str">
        <f t="shared" si="434"/>
        <v/>
      </c>
      <c r="AH1309" s="74">
        <f t="shared" si="435"/>
        <v>0</v>
      </c>
      <c r="AI1309" s="74" t="str">
        <f>IF(AH1309&lt;&gt;0,COUNTIF(AH$3:AH1309,1),"")</f>
        <v/>
      </c>
      <c r="AJ1309" s="74">
        <f t="shared" si="436"/>
        <v>0</v>
      </c>
      <c r="AK1309" s="73" t="str">
        <f t="shared" si="437"/>
        <v/>
      </c>
      <c r="AL1309" s="73" t="str">
        <f t="shared" si="438"/>
        <v/>
      </c>
      <c r="AM1309" s="73" t="str">
        <f t="shared" si="439"/>
        <v/>
      </c>
      <c r="AN1309" s="73" t="str">
        <f t="shared" si="440"/>
        <v/>
      </c>
    </row>
    <row r="1310" spans="16:40" x14ac:dyDescent="0.25">
      <c r="P1310" s="73" t="str">
        <f t="shared" si="424"/>
        <v/>
      </c>
      <c r="Q1310" s="73" t="str">
        <f t="shared" si="425"/>
        <v/>
      </c>
      <c r="R1310" s="74" t="str">
        <f t="shared" si="426"/>
        <v/>
      </c>
      <c r="S1310" s="74" t="str">
        <f t="shared" si="427"/>
        <v/>
      </c>
      <c r="U1310" s="74" t="str">
        <f t="shared" si="423"/>
        <v/>
      </c>
      <c r="V1310" s="74" t="str">
        <f t="shared" si="423"/>
        <v/>
      </c>
      <c r="W1310" s="74" t="str">
        <f t="shared" si="423"/>
        <v/>
      </c>
      <c r="X1310" s="74" t="str">
        <f t="shared" si="423"/>
        <v/>
      </c>
      <c r="Y1310" s="74" t="str">
        <f t="shared" si="423"/>
        <v/>
      </c>
      <c r="Z1310" s="74" t="str">
        <f t="shared" si="428"/>
        <v/>
      </c>
      <c r="AA1310" s="74">
        <f t="shared" si="429"/>
        <v>0</v>
      </c>
      <c r="AB1310" s="74">
        <f t="shared" si="430"/>
        <v>0</v>
      </c>
      <c r="AC1310" s="74" t="str">
        <f t="shared" si="431"/>
        <v/>
      </c>
      <c r="AE1310" s="74" t="str">
        <f t="shared" si="432"/>
        <v/>
      </c>
      <c r="AF1310" s="74" t="str">
        <f t="shared" si="433"/>
        <v/>
      </c>
      <c r="AG1310" s="74" t="str">
        <f t="shared" si="434"/>
        <v/>
      </c>
      <c r="AH1310" s="74">
        <f t="shared" si="435"/>
        <v>0</v>
      </c>
      <c r="AI1310" s="74" t="str">
        <f>IF(AH1310&lt;&gt;0,COUNTIF(AH$3:AH1310,1),"")</f>
        <v/>
      </c>
      <c r="AJ1310" s="74">
        <f t="shared" si="436"/>
        <v>0</v>
      </c>
      <c r="AK1310" s="73" t="str">
        <f t="shared" si="437"/>
        <v/>
      </c>
      <c r="AL1310" s="73" t="str">
        <f t="shared" si="438"/>
        <v/>
      </c>
      <c r="AM1310" s="73" t="str">
        <f t="shared" si="439"/>
        <v/>
      </c>
      <c r="AN1310" s="73" t="str">
        <f t="shared" si="440"/>
        <v/>
      </c>
    </row>
    <row r="1311" spans="16:40" x14ac:dyDescent="0.25">
      <c r="P1311" s="73" t="str">
        <f t="shared" si="424"/>
        <v/>
      </c>
      <c r="Q1311" s="73" t="str">
        <f t="shared" si="425"/>
        <v/>
      </c>
      <c r="R1311" s="74" t="str">
        <f t="shared" si="426"/>
        <v/>
      </c>
      <c r="S1311" s="74" t="str">
        <f t="shared" si="427"/>
        <v/>
      </c>
      <c r="U1311" s="74" t="str">
        <f t="shared" si="423"/>
        <v/>
      </c>
      <c r="V1311" s="74" t="str">
        <f t="shared" si="423"/>
        <v/>
      </c>
      <c r="W1311" s="74" t="str">
        <f t="shared" si="423"/>
        <v/>
      </c>
      <c r="X1311" s="74" t="str">
        <f t="shared" si="423"/>
        <v/>
      </c>
      <c r="Y1311" s="74" t="str">
        <f t="shared" si="423"/>
        <v/>
      </c>
      <c r="Z1311" s="74" t="str">
        <f t="shared" si="428"/>
        <v/>
      </c>
      <c r="AA1311" s="74">
        <f t="shared" si="429"/>
        <v>0</v>
      </c>
      <c r="AB1311" s="74">
        <f t="shared" si="430"/>
        <v>0</v>
      </c>
      <c r="AC1311" s="74" t="str">
        <f t="shared" si="431"/>
        <v/>
      </c>
      <c r="AE1311" s="74" t="str">
        <f t="shared" si="432"/>
        <v/>
      </c>
      <c r="AF1311" s="74" t="str">
        <f t="shared" si="433"/>
        <v/>
      </c>
      <c r="AG1311" s="74" t="str">
        <f t="shared" si="434"/>
        <v/>
      </c>
      <c r="AH1311" s="74">
        <f t="shared" si="435"/>
        <v>0</v>
      </c>
      <c r="AI1311" s="74" t="str">
        <f>IF(AH1311&lt;&gt;0,COUNTIF(AH$3:AH1311,1),"")</f>
        <v/>
      </c>
      <c r="AJ1311" s="74">
        <f t="shared" si="436"/>
        <v>0</v>
      </c>
      <c r="AK1311" s="73" t="str">
        <f t="shared" si="437"/>
        <v/>
      </c>
      <c r="AL1311" s="73" t="str">
        <f t="shared" si="438"/>
        <v/>
      </c>
      <c r="AM1311" s="73" t="str">
        <f t="shared" si="439"/>
        <v/>
      </c>
      <c r="AN1311" s="73" t="str">
        <f t="shared" si="440"/>
        <v/>
      </c>
    </row>
    <row r="1312" spans="16:40" x14ac:dyDescent="0.25">
      <c r="P1312" s="73" t="str">
        <f t="shared" si="424"/>
        <v/>
      </c>
      <c r="Q1312" s="73" t="str">
        <f t="shared" si="425"/>
        <v/>
      </c>
      <c r="R1312" s="74" t="str">
        <f t="shared" si="426"/>
        <v/>
      </c>
      <c r="S1312" s="74" t="str">
        <f t="shared" si="427"/>
        <v/>
      </c>
      <c r="U1312" s="74" t="str">
        <f t="shared" ref="U1312:Y1362" si="441">IF($F1312=U$1,$E1312,"")</f>
        <v/>
      </c>
      <c r="V1312" s="74" t="str">
        <f t="shared" si="441"/>
        <v/>
      </c>
      <c r="W1312" s="74" t="str">
        <f t="shared" si="441"/>
        <v/>
      </c>
      <c r="X1312" s="74" t="str">
        <f t="shared" si="441"/>
        <v/>
      </c>
      <c r="Y1312" s="74" t="str">
        <f t="shared" si="441"/>
        <v/>
      </c>
      <c r="Z1312" s="74" t="str">
        <f t="shared" si="428"/>
        <v/>
      </c>
      <c r="AA1312" s="74">
        <f t="shared" si="429"/>
        <v>0</v>
      </c>
      <c r="AB1312" s="74">
        <f t="shared" si="430"/>
        <v>0</v>
      </c>
      <c r="AC1312" s="74" t="str">
        <f t="shared" si="431"/>
        <v/>
      </c>
      <c r="AE1312" s="74" t="str">
        <f t="shared" si="432"/>
        <v/>
      </c>
      <c r="AF1312" s="74" t="str">
        <f t="shared" si="433"/>
        <v/>
      </c>
      <c r="AG1312" s="74" t="str">
        <f t="shared" si="434"/>
        <v/>
      </c>
      <c r="AH1312" s="74">
        <f t="shared" si="435"/>
        <v>0</v>
      </c>
      <c r="AI1312" s="74" t="str">
        <f>IF(AH1312&lt;&gt;0,COUNTIF(AH$3:AH1312,1),"")</f>
        <v/>
      </c>
      <c r="AJ1312" s="74">
        <f t="shared" si="436"/>
        <v>0</v>
      </c>
      <c r="AK1312" s="73" t="str">
        <f t="shared" si="437"/>
        <v/>
      </c>
      <c r="AL1312" s="73" t="str">
        <f t="shared" si="438"/>
        <v/>
      </c>
      <c r="AM1312" s="73" t="str">
        <f t="shared" si="439"/>
        <v/>
      </c>
      <c r="AN1312" s="73" t="str">
        <f t="shared" si="440"/>
        <v/>
      </c>
    </row>
    <row r="1313" spans="16:40" x14ac:dyDescent="0.25">
      <c r="P1313" s="73" t="str">
        <f t="shared" si="424"/>
        <v/>
      </c>
      <c r="Q1313" s="73" t="str">
        <f t="shared" si="425"/>
        <v/>
      </c>
      <c r="R1313" s="74" t="str">
        <f t="shared" si="426"/>
        <v/>
      </c>
      <c r="S1313" s="74" t="str">
        <f t="shared" si="427"/>
        <v/>
      </c>
      <c r="U1313" s="74" t="str">
        <f t="shared" si="441"/>
        <v/>
      </c>
      <c r="V1313" s="74" t="str">
        <f t="shared" si="441"/>
        <v/>
      </c>
      <c r="W1313" s="74" t="str">
        <f t="shared" si="441"/>
        <v/>
      </c>
      <c r="X1313" s="74" t="str">
        <f t="shared" si="441"/>
        <v/>
      </c>
      <c r="Y1313" s="74" t="str">
        <f t="shared" si="441"/>
        <v/>
      </c>
      <c r="Z1313" s="74" t="str">
        <f t="shared" si="428"/>
        <v/>
      </c>
      <c r="AA1313" s="74">
        <f t="shared" si="429"/>
        <v>0</v>
      </c>
      <c r="AB1313" s="74">
        <f t="shared" si="430"/>
        <v>0</v>
      </c>
      <c r="AC1313" s="74" t="str">
        <f t="shared" si="431"/>
        <v/>
      </c>
      <c r="AE1313" s="74" t="str">
        <f t="shared" si="432"/>
        <v/>
      </c>
      <c r="AF1313" s="74" t="str">
        <f t="shared" si="433"/>
        <v/>
      </c>
      <c r="AG1313" s="74" t="str">
        <f t="shared" si="434"/>
        <v/>
      </c>
      <c r="AH1313" s="74">
        <f t="shared" si="435"/>
        <v>0</v>
      </c>
      <c r="AI1313" s="74" t="str">
        <f>IF(AH1313&lt;&gt;0,COUNTIF(AH$3:AH1313,1),"")</f>
        <v/>
      </c>
      <c r="AJ1313" s="74">
        <f t="shared" si="436"/>
        <v>0</v>
      </c>
      <c r="AK1313" s="73" t="str">
        <f t="shared" si="437"/>
        <v/>
      </c>
      <c r="AL1313" s="73" t="str">
        <f t="shared" si="438"/>
        <v/>
      </c>
      <c r="AM1313" s="73" t="str">
        <f t="shared" si="439"/>
        <v/>
      </c>
      <c r="AN1313" s="73" t="str">
        <f t="shared" si="440"/>
        <v/>
      </c>
    </row>
    <row r="1314" spans="16:40" x14ac:dyDescent="0.25">
      <c r="P1314" s="73" t="str">
        <f t="shared" si="424"/>
        <v/>
      </c>
      <c r="Q1314" s="73" t="str">
        <f t="shared" si="425"/>
        <v/>
      </c>
      <c r="R1314" s="74" t="str">
        <f t="shared" si="426"/>
        <v/>
      </c>
      <c r="S1314" s="74" t="str">
        <f t="shared" si="427"/>
        <v/>
      </c>
      <c r="U1314" s="74" t="str">
        <f t="shared" si="441"/>
        <v/>
      </c>
      <c r="V1314" s="74" t="str">
        <f t="shared" si="441"/>
        <v/>
      </c>
      <c r="W1314" s="74" t="str">
        <f t="shared" si="441"/>
        <v/>
      </c>
      <c r="X1314" s="74" t="str">
        <f t="shared" si="441"/>
        <v/>
      </c>
      <c r="Y1314" s="74" t="str">
        <f t="shared" si="441"/>
        <v/>
      </c>
      <c r="Z1314" s="74" t="str">
        <f t="shared" si="428"/>
        <v/>
      </c>
      <c r="AA1314" s="74">
        <f t="shared" si="429"/>
        <v>0</v>
      </c>
      <c r="AB1314" s="74">
        <f t="shared" si="430"/>
        <v>0</v>
      </c>
      <c r="AC1314" s="74" t="str">
        <f t="shared" si="431"/>
        <v/>
      </c>
      <c r="AE1314" s="74" t="str">
        <f t="shared" si="432"/>
        <v/>
      </c>
      <c r="AF1314" s="74" t="str">
        <f t="shared" si="433"/>
        <v/>
      </c>
      <c r="AG1314" s="74" t="str">
        <f t="shared" si="434"/>
        <v/>
      </c>
      <c r="AH1314" s="74">
        <f t="shared" si="435"/>
        <v>0</v>
      </c>
      <c r="AI1314" s="74" t="str">
        <f>IF(AH1314&lt;&gt;0,COUNTIF(AH$3:AH1314,1),"")</f>
        <v/>
      </c>
      <c r="AJ1314" s="74">
        <f t="shared" si="436"/>
        <v>0</v>
      </c>
      <c r="AK1314" s="73" t="str">
        <f t="shared" si="437"/>
        <v/>
      </c>
      <c r="AL1314" s="73" t="str">
        <f t="shared" si="438"/>
        <v/>
      </c>
      <c r="AM1314" s="73" t="str">
        <f t="shared" si="439"/>
        <v/>
      </c>
      <c r="AN1314" s="73" t="str">
        <f t="shared" si="440"/>
        <v/>
      </c>
    </row>
    <row r="1315" spans="16:40" x14ac:dyDescent="0.25">
      <c r="P1315" s="73" t="str">
        <f t="shared" si="424"/>
        <v/>
      </c>
      <c r="Q1315" s="73" t="str">
        <f t="shared" si="425"/>
        <v/>
      </c>
      <c r="R1315" s="74" t="str">
        <f t="shared" si="426"/>
        <v/>
      </c>
      <c r="S1315" s="74" t="str">
        <f t="shared" si="427"/>
        <v/>
      </c>
      <c r="U1315" s="74" t="str">
        <f t="shared" si="441"/>
        <v/>
      </c>
      <c r="V1315" s="74" t="str">
        <f t="shared" si="441"/>
        <v/>
      </c>
      <c r="W1315" s="74" t="str">
        <f t="shared" si="441"/>
        <v/>
      </c>
      <c r="X1315" s="74" t="str">
        <f t="shared" si="441"/>
        <v/>
      </c>
      <c r="Y1315" s="74" t="str">
        <f t="shared" si="441"/>
        <v/>
      </c>
      <c r="Z1315" s="74" t="str">
        <f t="shared" si="428"/>
        <v/>
      </c>
      <c r="AA1315" s="74">
        <f t="shared" si="429"/>
        <v>0</v>
      </c>
      <c r="AB1315" s="74">
        <f t="shared" si="430"/>
        <v>0</v>
      </c>
      <c r="AC1315" s="74" t="str">
        <f t="shared" si="431"/>
        <v/>
      </c>
      <c r="AE1315" s="74" t="str">
        <f t="shared" si="432"/>
        <v/>
      </c>
      <c r="AF1315" s="74" t="str">
        <f t="shared" si="433"/>
        <v/>
      </c>
      <c r="AG1315" s="74" t="str">
        <f t="shared" si="434"/>
        <v/>
      </c>
      <c r="AH1315" s="74">
        <f t="shared" si="435"/>
        <v>0</v>
      </c>
      <c r="AI1315" s="74" t="str">
        <f>IF(AH1315&lt;&gt;0,COUNTIF(AH$3:AH1315,1),"")</f>
        <v/>
      </c>
      <c r="AJ1315" s="74">
        <f t="shared" si="436"/>
        <v>0</v>
      </c>
      <c r="AK1315" s="73" t="str">
        <f t="shared" si="437"/>
        <v/>
      </c>
      <c r="AL1315" s="73" t="str">
        <f t="shared" si="438"/>
        <v/>
      </c>
      <c r="AM1315" s="73" t="str">
        <f t="shared" si="439"/>
        <v/>
      </c>
      <c r="AN1315" s="73" t="str">
        <f t="shared" si="440"/>
        <v/>
      </c>
    </row>
    <row r="1316" spans="16:40" x14ac:dyDescent="0.25">
      <c r="P1316" s="73" t="str">
        <f t="shared" si="424"/>
        <v/>
      </c>
      <c r="Q1316" s="73" t="str">
        <f t="shared" si="425"/>
        <v/>
      </c>
      <c r="R1316" s="74" t="str">
        <f t="shared" si="426"/>
        <v/>
      </c>
      <c r="S1316" s="74" t="str">
        <f t="shared" si="427"/>
        <v/>
      </c>
      <c r="U1316" s="74" t="str">
        <f t="shared" si="441"/>
        <v/>
      </c>
      <c r="V1316" s="74" t="str">
        <f t="shared" si="441"/>
        <v/>
      </c>
      <c r="W1316" s="74" t="str">
        <f t="shared" si="441"/>
        <v/>
      </c>
      <c r="X1316" s="74" t="str">
        <f t="shared" si="441"/>
        <v/>
      </c>
      <c r="Y1316" s="74" t="str">
        <f t="shared" si="441"/>
        <v/>
      </c>
      <c r="Z1316" s="74" t="str">
        <f t="shared" si="428"/>
        <v/>
      </c>
      <c r="AA1316" s="74">
        <f t="shared" si="429"/>
        <v>0</v>
      </c>
      <c r="AB1316" s="74">
        <f t="shared" si="430"/>
        <v>0</v>
      </c>
      <c r="AC1316" s="74" t="str">
        <f t="shared" si="431"/>
        <v/>
      </c>
      <c r="AE1316" s="74" t="str">
        <f t="shared" si="432"/>
        <v/>
      </c>
      <c r="AF1316" s="74" t="str">
        <f t="shared" si="433"/>
        <v/>
      </c>
      <c r="AG1316" s="74" t="str">
        <f t="shared" si="434"/>
        <v/>
      </c>
      <c r="AH1316" s="74">
        <f t="shared" si="435"/>
        <v>0</v>
      </c>
      <c r="AI1316" s="74" t="str">
        <f>IF(AH1316&lt;&gt;0,COUNTIF(AH$3:AH1316,1),"")</f>
        <v/>
      </c>
      <c r="AJ1316" s="74">
        <f t="shared" si="436"/>
        <v>0</v>
      </c>
      <c r="AK1316" s="73" t="str">
        <f t="shared" si="437"/>
        <v/>
      </c>
      <c r="AL1316" s="73" t="str">
        <f t="shared" si="438"/>
        <v/>
      </c>
      <c r="AM1316" s="73" t="str">
        <f t="shared" si="439"/>
        <v/>
      </c>
      <c r="AN1316" s="73" t="str">
        <f t="shared" si="440"/>
        <v/>
      </c>
    </row>
    <row r="1317" spans="16:40" x14ac:dyDescent="0.25">
      <c r="P1317" s="73" t="str">
        <f t="shared" si="424"/>
        <v/>
      </c>
      <c r="Q1317" s="73" t="str">
        <f t="shared" si="425"/>
        <v/>
      </c>
      <c r="R1317" s="74" t="str">
        <f t="shared" si="426"/>
        <v/>
      </c>
      <c r="S1317" s="74" t="str">
        <f t="shared" si="427"/>
        <v/>
      </c>
      <c r="U1317" s="74" t="str">
        <f t="shared" si="441"/>
        <v/>
      </c>
      <c r="V1317" s="74" t="str">
        <f t="shared" si="441"/>
        <v/>
      </c>
      <c r="W1317" s="74" t="str">
        <f t="shared" si="441"/>
        <v/>
      </c>
      <c r="X1317" s="74" t="str">
        <f t="shared" si="441"/>
        <v/>
      </c>
      <c r="Y1317" s="74" t="str">
        <f t="shared" si="441"/>
        <v/>
      </c>
      <c r="Z1317" s="74" t="str">
        <f t="shared" si="428"/>
        <v/>
      </c>
      <c r="AA1317" s="74">
        <f t="shared" si="429"/>
        <v>0</v>
      </c>
      <c r="AB1317" s="74">
        <f t="shared" si="430"/>
        <v>0</v>
      </c>
      <c r="AC1317" s="74" t="str">
        <f t="shared" si="431"/>
        <v/>
      </c>
      <c r="AE1317" s="74" t="str">
        <f t="shared" si="432"/>
        <v/>
      </c>
      <c r="AF1317" s="74" t="str">
        <f t="shared" si="433"/>
        <v/>
      </c>
      <c r="AG1317" s="74" t="str">
        <f t="shared" si="434"/>
        <v/>
      </c>
      <c r="AH1317" s="74">
        <f t="shared" si="435"/>
        <v>0</v>
      </c>
      <c r="AI1317" s="74" t="str">
        <f>IF(AH1317&lt;&gt;0,COUNTIF(AH$3:AH1317,1),"")</f>
        <v/>
      </c>
      <c r="AJ1317" s="74">
        <f t="shared" si="436"/>
        <v>0</v>
      </c>
      <c r="AK1317" s="73" t="str">
        <f t="shared" si="437"/>
        <v/>
      </c>
      <c r="AL1317" s="73" t="str">
        <f t="shared" si="438"/>
        <v/>
      </c>
      <c r="AM1317" s="73" t="str">
        <f t="shared" si="439"/>
        <v/>
      </c>
      <c r="AN1317" s="73" t="str">
        <f t="shared" si="440"/>
        <v/>
      </c>
    </row>
    <row r="1318" spans="16:40" x14ac:dyDescent="0.25">
      <c r="P1318" s="73" t="str">
        <f t="shared" si="424"/>
        <v/>
      </c>
      <c r="Q1318" s="73" t="str">
        <f t="shared" si="425"/>
        <v/>
      </c>
      <c r="R1318" s="74" t="str">
        <f t="shared" si="426"/>
        <v/>
      </c>
      <c r="S1318" s="74" t="str">
        <f t="shared" si="427"/>
        <v/>
      </c>
      <c r="U1318" s="74" t="str">
        <f t="shared" si="441"/>
        <v/>
      </c>
      <c r="V1318" s="74" t="str">
        <f t="shared" si="441"/>
        <v/>
      </c>
      <c r="W1318" s="74" t="str">
        <f t="shared" si="441"/>
        <v/>
      </c>
      <c r="X1318" s="74" t="str">
        <f t="shared" si="441"/>
        <v/>
      </c>
      <c r="Y1318" s="74" t="str">
        <f t="shared" si="441"/>
        <v/>
      </c>
      <c r="Z1318" s="74" t="str">
        <f t="shared" si="428"/>
        <v/>
      </c>
      <c r="AA1318" s="74">
        <f t="shared" si="429"/>
        <v>0</v>
      </c>
      <c r="AB1318" s="74">
        <f t="shared" si="430"/>
        <v>0</v>
      </c>
      <c r="AC1318" s="74" t="str">
        <f t="shared" si="431"/>
        <v/>
      </c>
      <c r="AE1318" s="74" t="str">
        <f t="shared" si="432"/>
        <v/>
      </c>
      <c r="AF1318" s="74" t="str">
        <f t="shared" si="433"/>
        <v/>
      </c>
      <c r="AG1318" s="74" t="str">
        <f t="shared" si="434"/>
        <v/>
      </c>
      <c r="AH1318" s="74">
        <f t="shared" si="435"/>
        <v>0</v>
      </c>
      <c r="AI1318" s="74" t="str">
        <f>IF(AH1318&lt;&gt;0,COUNTIF(AH$3:AH1318,1),"")</f>
        <v/>
      </c>
      <c r="AJ1318" s="74">
        <f t="shared" si="436"/>
        <v>0</v>
      </c>
      <c r="AK1318" s="73" t="str">
        <f t="shared" si="437"/>
        <v/>
      </c>
      <c r="AL1318" s="73" t="str">
        <f t="shared" si="438"/>
        <v/>
      </c>
      <c r="AM1318" s="73" t="str">
        <f t="shared" si="439"/>
        <v/>
      </c>
      <c r="AN1318" s="73" t="str">
        <f t="shared" si="440"/>
        <v/>
      </c>
    </row>
    <row r="1319" spans="16:40" x14ac:dyDescent="0.25">
      <c r="P1319" s="73" t="str">
        <f t="shared" si="424"/>
        <v/>
      </c>
      <c r="Q1319" s="73" t="str">
        <f t="shared" si="425"/>
        <v/>
      </c>
      <c r="R1319" s="74" t="str">
        <f t="shared" si="426"/>
        <v/>
      </c>
      <c r="S1319" s="74" t="str">
        <f t="shared" si="427"/>
        <v/>
      </c>
      <c r="U1319" s="74" t="str">
        <f t="shared" si="441"/>
        <v/>
      </c>
      <c r="V1319" s="74" t="str">
        <f t="shared" si="441"/>
        <v/>
      </c>
      <c r="W1319" s="74" t="str">
        <f t="shared" si="441"/>
        <v/>
      </c>
      <c r="X1319" s="74" t="str">
        <f t="shared" si="441"/>
        <v/>
      </c>
      <c r="Y1319" s="74" t="str">
        <f t="shared" si="441"/>
        <v/>
      </c>
      <c r="Z1319" s="74" t="str">
        <f t="shared" si="428"/>
        <v/>
      </c>
      <c r="AA1319" s="74">
        <f t="shared" si="429"/>
        <v>0</v>
      </c>
      <c r="AB1319" s="74">
        <f t="shared" si="430"/>
        <v>0</v>
      </c>
      <c r="AC1319" s="74" t="str">
        <f t="shared" si="431"/>
        <v/>
      </c>
      <c r="AE1319" s="74" t="str">
        <f t="shared" si="432"/>
        <v/>
      </c>
      <c r="AF1319" s="74" t="str">
        <f t="shared" si="433"/>
        <v/>
      </c>
      <c r="AG1319" s="74" t="str">
        <f t="shared" si="434"/>
        <v/>
      </c>
      <c r="AH1319" s="74">
        <f t="shared" si="435"/>
        <v>0</v>
      </c>
      <c r="AI1319" s="74" t="str">
        <f>IF(AH1319&lt;&gt;0,COUNTIF(AH$3:AH1319,1),"")</f>
        <v/>
      </c>
      <c r="AJ1319" s="74">
        <f t="shared" si="436"/>
        <v>0</v>
      </c>
      <c r="AK1319" s="73" t="str">
        <f t="shared" si="437"/>
        <v/>
      </c>
      <c r="AL1319" s="73" t="str">
        <f t="shared" si="438"/>
        <v/>
      </c>
      <c r="AM1319" s="73" t="str">
        <f t="shared" si="439"/>
        <v/>
      </c>
      <c r="AN1319" s="73" t="str">
        <f t="shared" si="440"/>
        <v/>
      </c>
    </row>
    <row r="1320" spans="16:40" x14ac:dyDescent="0.25">
      <c r="P1320" s="73" t="str">
        <f t="shared" si="424"/>
        <v/>
      </c>
      <c r="Q1320" s="73" t="str">
        <f t="shared" si="425"/>
        <v/>
      </c>
      <c r="R1320" s="74" t="str">
        <f t="shared" si="426"/>
        <v/>
      </c>
      <c r="S1320" s="74" t="str">
        <f t="shared" si="427"/>
        <v/>
      </c>
      <c r="U1320" s="74" t="str">
        <f t="shared" si="441"/>
        <v/>
      </c>
      <c r="V1320" s="74" t="str">
        <f t="shared" si="441"/>
        <v/>
      </c>
      <c r="W1320" s="74" t="str">
        <f t="shared" si="441"/>
        <v/>
      </c>
      <c r="X1320" s="74" t="str">
        <f t="shared" si="441"/>
        <v/>
      </c>
      <c r="Y1320" s="74" t="str">
        <f t="shared" si="441"/>
        <v/>
      </c>
      <c r="Z1320" s="74" t="str">
        <f t="shared" si="428"/>
        <v/>
      </c>
      <c r="AA1320" s="74">
        <f t="shared" si="429"/>
        <v>0</v>
      </c>
      <c r="AB1320" s="74">
        <f t="shared" si="430"/>
        <v>0</v>
      </c>
      <c r="AC1320" s="74" t="str">
        <f t="shared" si="431"/>
        <v/>
      </c>
      <c r="AE1320" s="74" t="str">
        <f t="shared" si="432"/>
        <v/>
      </c>
      <c r="AF1320" s="74" t="str">
        <f t="shared" si="433"/>
        <v/>
      </c>
      <c r="AG1320" s="74" t="str">
        <f t="shared" si="434"/>
        <v/>
      </c>
      <c r="AH1320" s="74">
        <f t="shared" si="435"/>
        <v>0</v>
      </c>
      <c r="AI1320" s="74" t="str">
        <f>IF(AH1320&lt;&gt;0,COUNTIF(AH$3:AH1320,1),"")</f>
        <v/>
      </c>
      <c r="AJ1320" s="74">
        <f t="shared" si="436"/>
        <v>0</v>
      </c>
      <c r="AK1320" s="73" t="str">
        <f t="shared" si="437"/>
        <v/>
      </c>
      <c r="AL1320" s="73" t="str">
        <f t="shared" si="438"/>
        <v/>
      </c>
      <c r="AM1320" s="73" t="str">
        <f t="shared" si="439"/>
        <v/>
      </c>
      <c r="AN1320" s="73" t="str">
        <f t="shared" si="440"/>
        <v/>
      </c>
    </row>
    <row r="1321" spans="16:40" x14ac:dyDescent="0.25">
      <c r="P1321" s="73" t="str">
        <f t="shared" si="424"/>
        <v/>
      </c>
      <c r="Q1321" s="73" t="str">
        <f t="shared" si="425"/>
        <v/>
      </c>
      <c r="R1321" s="74" t="str">
        <f t="shared" si="426"/>
        <v/>
      </c>
      <c r="S1321" s="74" t="str">
        <f t="shared" si="427"/>
        <v/>
      </c>
      <c r="U1321" s="74" t="str">
        <f t="shared" si="441"/>
        <v/>
      </c>
      <c r="V1321" s="74" t="str">
        <f t="shared" si="441"/>
        <v/>
      </c>
      <c r="W1321" s="74" t="str">
        <f t="shared" si="441"/>
        <v/>
      </c>
      <c r="X1321" s="74" t="str">
        <f t="shared" si="441"/>
        <v/>
      </c>
      <c r="Y1321" s="74" t="str">
        <f t="shared" si="441"/>
        <v/>
      </c>
      <c r="Z1321" s="74" t="str">
        <f t="shared" si="428"/>
        <v/>
      </c>
      <c r="AA1321" s="74">
        <f t="shared" si="429"/>
        <v>0</v>
      </c>
      <c r="AB1321" s="74">
        <f t="shared" si="430"/>
        <v>0</v>
      </c>
      <c r="AC1321" s="74" t="str">
        <f t="shared" si="431"/>
        <v/>
      </c>
      <c r="AE1321" s="74" t="str">
        <f t="shared" si="432"/>
        <v/>
      </c>
      <c r="AF1321" s="74" t="str">
        <f t="shared" si="433"/>
        <v/>
      </c>
      <c r="AG1321" s="74" t="str">
        <f t="shared" si="434"/>
        <v/>
      </c>
      <c r="AH1321" s="74">
        <f t="shared" si="435"/>
        <v>0</v>
      </c>
      <c r="AI1321" s="74" t="str">
        <f>IF(AH1321&lt;&gt;0,COUNTIF(AH$3:AH1321,1),"")</f>
        <v/>
      </c>
      <c r="AJ1321" s="74">
        <f t="shared" si="436"/>
        <v>0</v>
      </c>
      <c r="AK1321" s="73" t="str">
        <f t="shared" si="437"/>
        <v/>
      </c>
      <c r="AL1321" s="73" t="str">
        <f t="shared" si="438"/>
        <v/>
      </c>
      <c r="AM1321" s="73" t="str">
        <f t="shared" si="439"/>
        <v/>
      </c>
      <c r="AN1321" s="73" t="str">
        <f t="shared" si="440"/>
        <v/>
      </c>
    </row>
    <row r="1322" spans="16:40" x14ac:dyDescent="0.25">
      <c r="P1322" s="73" t="str">
        <f t="shared" si="424"/>
        <v/>
      </c>
      <c r="Q1322" s="73" t="str">
        <f t="shared" si="425"/>
        <v/>
      </c>
      <c r="R1322" s="74" t="str">
        <f t="shared" si="426"/>
        <v/>
      </c>
      <c r="S1322" s="74" t="str">
        <f t="shared" si="427"/>
        <v/>
      </c>
      <c r="U1322" s="74" t="str">
        <f t="shared" si="441"/>
        <v/>
      </c>
      <c r="V1322" s="74" t="str">
        <f t="shared" si="441"/>
        <v/>
      </c>
      <c r="W1322" s="74" t="str">
        <f t="shared" si="441"/>
        <v/>
      </c>
      <c r="X1322" s="74" t="str">
        <f t="shared" si="441"/>
        <v/>
      </c>
      <c r="Y1322" s="74" t="str">
        <f t="shared" si="441"/>
        <v/>
      </c>
      <c r="Z1322" s="74" t="str">
        <f t="shared" si="428"/>
        <v/>
      </c>
      <c r="AA1322" s="74">
        <f t="shared" si="429"/>
        <v>0</v>
      </c>
      <c r="AB1322" s="74">
        <f t="shared" si="430"/>
        <v>0</v>
      </c>
      <c r="AC1322" s="74" t="str">
        <f t="shared" si="431"/>
        <v/>
      </c>
      <c r="AE1322" s="74" t="str">
        <f t="shared" si="432"/>
        <v/>
      </c>
      <c r="AF1322" s="74" t="str">
        <f t="shared" si="433"/>
        <v/>
      </c>
      <c r="AG1322" s="74" t="str">
        <f t="shared" si="434"/>
        <v/>
      </c>
      <c r="AH1322" s="74">
        <f t="shared" si="435"/>
        <v>0</v>
      </c>
      <c r="AI1322" s="74" t="str">
        <f>IF(AH1322&lt;&gt;0,COUNTIF(AH$3:AH1322,1),"")</f>
        <v/>
      </c>
      <c r="AJ1322" s="74">
        <f t="shared" si="436"/>
        <v>0</v>
      </c>
      <c r="AK1322" s="73" t="str">
        <f t="shared" si="437"/>
        <v/>
      </c>
      <c r="AL1322" s="73" t="str">
        <f t="shared" si="438"/>
        <v/>
      </c>
      <c r="AM1322" s="73" t="str">
        <f t="shared" si="439"/>
        <v/>
      </c>
      <c r="AN1322" s="73" t="str">
        <f t="shared" si="440"/>
        <v/>
      </c>
    </row>
    <row r="1323" spans="16:40" x14ac:dyDescent="0.25">
      <c r="P1323" s="73" t="str">
        <f t="shared" si="424"/>
        <v/>
      </c>
      <c r="Q1323" s="73" t="str">
        <f t="shared" si="425"/>
        <v/>
      </c>
      <c r="R1323" s="74" t="str">
        <f t="shared" si="426"/>
        <v/>
      </c>
      <c r="S1323" s="74" t="str">
        <f t="shared" si="427"/>
        <v/>
      </c>
      <c r="U1323" s="74" t="str">
        <f t="shared" si="441"/>
        <v/>
      </c>
      <c r="V1323" s="74" t="str">
        <f t="shared" si="441"/>
        <v/>
      </c>
      <c r="W1323" s="74" t="str">
        <f t="shared" si="441"/>
        <v/>
      </c>
      <c r="X1323" s="74" t="str">
        <f t="shared" si="441"/>
        <v/>
      </c>
      <c r="Y1323" s="74" t="str">
        <f t="shared" si="441"/>
        <v/>
      </c>
      <c r="Z1323" s="74" t="str">
        <f t="shared" si="428"/>
        <v/>
      </c>
      <c r="AA1323" s="74">
        <f t="shared" si="429"/>
        <v>0</v>
      </c>
      <c r="AB1323" s="74">
        <f t="shared" si="430"/>
        <v>0</v>
      </c>
      <c r="AC1323" s="74" t="str">
        <f t="shared" si="431"/>
        <v/>
      </c>
      <c r="AE1323" s="74" t="str">
        <f t="shared" si="432"/>
        <v/>
      </c>
      <c r="AF1323" s="74" t="str">
        <f t="shared" si="433"/>
        <v/>
      </c>
      <c r="AG1323" s="74" t="str">
        <f t="shared" si="434"/>
        <v/>
      </c>
      <c r="AH1323" s="74">
        <f t="shared" si="435"/>
        <v>0</v>
      </c>
      <c r="AI1323" s="74" t="str">
        <f>IF(AH1323&lt;&gt;0,COUNTIF(AH$3:AH1323,1),"")</f>
        <v/>
      </c>
      <c r="AJ1323" s="74">
        <f t="shared" si="436"/>
        <v>0</v>
      </c>
      <c r="AK1323" s="73" t="str">
        <f t="shared" si="437"/>
        <v/>
      </c>
      <c r="AL1323" s="73" t="str">
        <f t="shared" si="438"/>
        <v/>
      </c>
      <c r="AM1323" s="73" t="str">
        <f t="shared" si="439"/>
        <v/>
      </c>
      <c r="AN1323" s="73" t="str">
        <f t="shared" si="440"/>
        <v/>
      </c>
    </row>
    <row r="1324" spans="16:40" x14ac:dyDescent="0.25">
      <c r="P1324" s="73" t="str">
        <f t="shared" si="424"/>
        <v/>
      </c>
      <c r="Q1324" s="73" t="str">
        <f t="shared" si="425"/>
        <v/>
      </c>
      <c r="R1324" s="74" t="str">
        <f t="shared" si="426"/>
        <v/>
      </c>
      <c r="S1324" s="74" t="str">
        <f t="shared" si="427"/>
        <v/>
      </c>
      <c r="U1324" s="74" t="str">
        <f t="shared" si="441"/>
        <v/>
      </c>
      <c r="V1324" s="74" t="str">
        <f t="shared" si="441"/>
        <v/>
      </c>
      <c r="W1324" s="74" t="str">
        <f t="shared" si="441"/>
        <v/>
      </c>
      <c r="X1324" s="74" t="str">
        <f t="shared" si="441"/>
        <v/>
      </c>
      <c r="Y1324" s="74" t="str">
        <f t="shared" si="441"/>
        <v/>
      </c>
      <c r="Z1324" s="74" t="str">
        <f t="shared" si="428"/>
        <v/>
      </c>
      <c r="AA1324" s="74">
        <f t="shared" si="429"/>
        <v>0</v>
      </c>
      <c r="AB1324" s="74">
        <f t="shared" si="430"/>
        <v>0</v>
      </c>
      <c r="AC1324" s="74" t="str">
        <f t="shared" si="431"/>
        <v/>
      </c>
      <c r="AE1324" s="74" t="str">
        <f t="shared" si="432"/>
        <v/>
      </c>
      <c r="AF1324" s="74" t="str">
        <f t="shared" si="433"/>
        <v/>
      </c>
      <c r="AG1324" s="74" t="str">
        <f t="shared" si="434"/>
        <v/>
      </c>
      <c r="AH1324" s="74">
        <f t="shared" si="435"/>
        <v>0</v>
      </c>
      <c r="AI1324" s="74" t="str">
        <f>IF(AH1324&lt;&gt;0,COUNTIF(AH$3:AH1324,1),"")</f>
        <v/>
      </c>
      <c r="AJ1324" s="74">
        <f t="shared" si="436"/>
        <v>0</v>
      </c>
      <c r="AK1324" s="73" t="str">
        <f t="shared" si="437"/>
        <v/>
      </c>
      <c r="AL1324" s="73" t="str">
        <f t="shared" si="438"/>
        <v/>
      </c>
      <c r="AM1324" s="73" t="str">
        <f t="shared" si="439"/>
        <v/>
      </c>
      <c r="AN1324" s="73" t="str">
        <f t="shared" si="440"/>
        <v/>
      </c>
    </row>
    <row r="1325" spans="16:40" x14ac:dyDescent="0.25">
      <c r="P1325" s="73" t="str">
        <f t="shared" si="424"/>
        <v/>
      </c>
      <c r="Q1325" s="73" t="str">
        <f t="shared" si="425"/>
        <v/>
      </c>
      <c r="R1325" s="74" t="str">
        <f t="shared" si="426"/>
        <v/>
      </c>
      <c r="S1325" s="74" t="str">
        <f t="shared" si="427"/>
        <v/>
      </c>
      <c r="U1325" s="74" t="str">
        <f t="shared" si="441"/>
        <v/>
      </c>
      <c r="V1325" s="74" t="str">
        <f t="shared" si="441"/>
        <v/>
      </c>
      <c r="W1325" s="74" t="str">
        <f t="shared" si="441"/>
        <v/>
      </c>
      <c r="X1325" s="74" t="str">
        <f t="shared" si="441"/>
        <v/>
      </c>
      <c r="Y1325" s="74" t="str">
        <f t="shared" si="441"/>
        <v/>
      </c>
      <c r="Z1325" s="74" t="str">
        <f t="shared" si="428"/>
        <v/>
      </c>
      <c r="AA1325" s="74">
        <f t="shared" si="429"/>
        <v>0</v>
      </c>
      <c r="AB1325" s="74">
        <f t="shared" si="430"/>
        <v>0</v>
      </c>
      <c r="AC1325" s="74" t="str">
        <f t="shared" si="431"/>
        <v/>
      </c>
      <c r="AE1325" s="74" t="str">
        <f t="shared" si="432"/>
        <v/>
      </c>
      <c r="AF1325" s="74" t="str">
        <f t="shared" si="433"/>
        <v/>
      </c>
      <c r="AG1325" s="74" t="str">
        <f t="shared" si="434"/>
        <v/>
      </c>
      <c r="AH1325" s="74">
        <f t="shared" si="435"/>
        <v>0</v>
      </c>
      <c r="AI1325" s="74" t="str">
        <f>IF(AH1325&lt;&gt;0,COUNTIF(AH$3:AH1325,1),"")</f>
        <v/>
      </c>
      <c r="AJ1325" s="74">
        <f t="shared" si="436"/>
        <v>0</v>
      </c>
      <c r="AK1325" s="73" t="str">
        <f t="shared" si="437"/>
        <v/>
      </c>
      <c r="AL1325" s="73" t="str">
        <f t="shared" si="438"/>
        <v/>
      </c>
      <c r="AM1325" s="73" t="str">
        <f t="shared" si="439"/>
        <v/>
      </c>
      <c r="AN1325" s="73" t="str">
        <f t="shared" si="440"/>
        <v/>
      </c>
    </row>
    <row r="1326" spans="16:40" x14ac:dyDescent="0.25">
      <c r="P1326" s="73" t="str">
        <f t="shared" si="424"/>
        <v/>
      </c>
      <c r="Q1326" s="73" t="str">
        <f t="shared" si="425"/>
        <v/>
      </c>
      <c r="R1326" s="74" t="str">
        <f t="shared" si="426"/>
        <v/>
      </c>
      <c r="S1326" s="74" t="str">
        <f t="shared" si="427"/>
        <v/>
      </c>
      <c r="U1326" s="74" t="str">
        <f t="shared" si="441"/>
        <v/>
      </c>
      <c r="V1326" s="74" t="str">
        <f t="shared" si="441"/>
        <v/>
      </c>
      <c r="W1326" s="74" t="str">
        <f t="shared" si="441"/>
        <v/>
      </c>
      <c r="X1326" s="74" t="str">
        <f t="shared" si="441"/>
        <v/>
      </c>
      <c r="Y1326" s="74" t="str">
        <f t="shared" si="441"/>
        <v/>
      </c>
      <c r="Z1326" s="74" t="str">
        <f t="shared" si="428"/>
        <v/>
      </c>
      <c r="AA1326" s="74">
        <f t="shared" si="429"/>
        <v>0</v>
      </c>
      <c r="AB1326" s="74">
        <f t="shared" si="430"/>
        <v>0</v>
      </c>
      <c r="AC1326" s="74" t="str">
        <f t="shared" si="431"/>
        <v/>
      </c>
      <c r="AE1326" s="74" t="str">
        <f t="shared" si="432"/>
        <v/>
      </c>
      <c r="AF1326" s="74" t="str">
        <f t="shared" si="433"/>
        <v/>
      </c>
      <c r="AG1326" s="74" t="str">
        <f t="shared" si="434"/>
        <v/>
      </c>
      <c r="AH1326" s="74">
        <f t="shared" si="435"/>
        <v>0</v>
      </c>
      <c r="AI1326" s="74" t="str">
        <f>IF(AH1326&lt;&gt;0,COUNTIF(AH$3:AH1326,1),"")</f>
        <v/>
      </c>
      <c r="AJ1326" s="74">
        <f t="shared" si="436"/>
        <v>0</v>
      </c>
      <c r="AK1326" s="73" t="str">
        <f t="shared" si="437"/>
        <v/>
      </c>
      <c r="AL1326" s="73" t="str">
        <f t="shared" si="438"/>
        <v/>
      </c>
      <c r="AM1326" s="73" t="str">
        <f t="shared" si="439"/>
        <v/>
      </c>
      <c r="AN1326" s="73" t="str">
        <f t="shared" si="440"/>
        <v/>
      </c>
    </row>
    <row r="1327" spans="16:40" x14ac:dyDescent="0.25">
      <c r="P1327" s="73" t="str">
        <f t="shared" si="424"/>
        <v/>
      </c>
      <c r="Q1327" s="73" t="str">
        <f t="shared" si="425"/>
        <v/>
      </c>
      <c r="R1327" s="74" t="str">
        <f t="shared" si="426"/>
        <v/>
      </c>
      <c r="S1327" s="74" t="str">
        <f t="shared" si="427"/>
        <v/>
      </c>
      <c r="U1327" s="74" t="str">
        <f t="shared" si="441"/>
        <v/>
      </c>
      <c r="V1327" s="74" t="str">
        <f t="shared" si="441"/>
        <v/>
      </c>
      <c r="W1327" s="74" t="str">
        <f t="shared" si="441"/>
        <v/>
      </c>
      <c r="X1327" s="74" t="str">
        <f t="shared" si="441"/>
        <v/>
      </c>
      <c r="Y1327" s="74" t="str">
        <f t="shared" si="441"/>
        <v/>
      </c>
      <c r="Z1327" s="74" t="str">
        <f t="shared" si="428"/>
        <v/>
      </c>
      <c r="AA1327" s="74">
        <f t="shared" si="429"/>
        <v>0</v>
      </c>
      <c r="AB1327" s="74">
        <f t="shared" si="430"/>
        <v>0</v>
      </c>
      <c r="AC1327" s="74" t="str">
        <f t="shared" si="431"/>
        <v/>
      </c>
      <c r="AE1327" s="74" t="str">
        <f t="shared" si="432"/>
        <v/>
      </c>
      <c r="AF1327" s="74" t="str">
        <f t="shared" si="433"/>
        <v/>
      </c>
      <c r="AG1327" s="74" t="str">
        <f t="shared" si="434"/>
        <v/>
      </c>
      <c r="AH1327" s="74">
        <f t="shared" si="435"/>
        <v>0</v>
      </c>
      <c r="AI1327" s="74" t="str">
        <f>IF(AH1327&lt;&gt;0,COUNTIF(AH$3:AH1327,1),"")</f>
        <v/>
      </c>
      <c r="AJ1327" s="74">
        <f t="shared" si="436"/>
        <v>0</v>
      </c>
      <c r="AK1327" s="73" t="str">
        <f t="shared" si="437"/>
        <v/>
      </c>
      <c r="AL1327" s="73" t="str">
        <f t="shared" si="438"/>
        <v/>
      </c>
      <c r="AM1327" s="73" t="str">
        <f t="shared" si="439"/>
        <v/>
      </c>
      <c r="AN1327" s="73" t="str">
        <f t="shared" si="440"/>
        <v/>
      </c>
    </row>
    <row r="1328" spans="16:40" x14ac:dyDescent="0.25">
      <c r="P1328" s="73" t="str">
        <f t="shared" si="424"/>
        <v/>
      </c>
      <c r="Q1328" s="73" t="str">
        <f t="shared" si="425"/>
        <v/>
      </c>
      <c r="R1328" s="74" t="str">
        <f t="shared" si="426"/>
        <v/>
      </c>
      <c r="S1328" s="74" t="str">
        <f t="shared" si="427"/>
        <v/>
      </c>
      <c r="U1328" s="74" t="str">
        <f t="shared" si="441"/>
        <v/>
      </c>
      <c r="V1328" s="74" t="str">
        <f t="shared" si="441"/>
        <v/>
      </c>
      <c r="W1328" s="74" t="str">
        <f t="shared" si="441"/>
        <v/>
      </c>
      <c r="X1328" s="74" t="str">
        <f t="shared" si="441"/>
        <v/>
      </c>
      <c r="Y1328" s="74" t="str">
        <f t="shared" si="441"/>
        <v/>
      </c>
      <c r="Z1328" s="74" t="str">
        <f t="shared" si="428"/>
        <v/>
      </c>
      <c r="AA1328" s="74">
        <f t="shared" si="429"/>
        <v>0</v>
      </c>
      <c r="AB1328" s="74">
        <f t="shared" si="430"/>
        <v>0</v>
      </c>
      <c r="AC1328" s="74" t="str">
        <f t="shared" si="431"/>
        <v/>
      </c>
      <c r="AE1328" s="74" t="str">
        <f t="shared" si="432"/>
        <v/>
      </c>
      <c r="AF1328" s="74" t="str">
        <f t="shared" si="433"/>
        <v/>
      </c>
      <c r="AG1328" s="74" t="str">
        <f t="shared" si="434"/>
        <v/>
      </c>
      <c r="AH1328" s="74">
        <f t="shared" si="435"/>
        <v>0</v>
      </c>
      <c r="AI1328" s="74" t="str">
        <f>IF(AH1328&lt;&gt;0,COUNTIF(AH$3:AH1328,1),"")</f>
        <v/>
      </c>
      <c r="AJ1328" s="74">
        <f t="shared" si="436"/>
        <v>0</v>
      </c>
      <c r="AK1328" s="73" t="str">
        <f t="shared" si="437"/>
        <v/>
      </c>
      <c r="AL1328" s="73" t="str">
        <f t="shared" si="438"/>
        <v/>
      </c>
      <c r="AM1328" s="73" t="str">
        <f t="shared" si="439"/>
        <v/>
      </c>
      <c r="AN1328" s="73" t="str">
        <f t="shared" si="440"/>
        <v/>
      </c>
    </row>
    <row r="1329" spans="16:40" x14ac:dyDescent="0.25">
      <c r="P1329" s="73" t="str">
        <f t="shared" si="424"/>
        <v/>
      </c>
      <c r="Q1329" s="73" t="str">
        <f t="shared" si="425"/>
        <v/>
      </c>
      <c r="R1329" s="74" t="str">
        <f t="shared" si="426"/>
        <v/>
      </c>
      <c r="S1329" s="74" t="str">
        <f t="shared" si="427"/>
        <v/>
      </c>
      <c r="U1329" s="74" t="str">
        <f t="shared" si="441"/>
        <v/>
      </c>
      <c r="V1329" s="74" t="str">
        <f t="shared" si="441"/>
        <v/>
      </c>
      <c r="W1329" s="74" t="str">
        <f t="shared" si="441"/>
        <v/>
      </c>
      <c r="X1329" s="74" t="str">
        <f t="shared" si="441"/>
        <v/>
      </c>
      <c r="Y1329" s="74" t="str">
        <f t="shared" si="441"/>
        <v/>
      </c>
      <c r="Z1329" s="74" t="str">
        <f t="shared" si="428"/>
        <v/>
      </c>
      <c r="AA1329" s="74">
        <f t="shared" si="429"/>
        <v>0</v>
      </c>
      <c r="AB1329" s="74">
        <f t="shared" si="430"/>
        <v>0</v>
      </c>
      <c r="AC1329" s="74" t="str">
        <f t="shared" si="431"/>
        <v/>
      </c>
      <c r="AE1329" s="74" t="str">
        <f t="shared" si="432"/>
        <v/>
      </c>
      <c r="AF1329" s="74" t="str">
        <f t="shared" si="433"/>
        <v/>
      </c>
      <c r="AG1329" s="74" t="str">
        <f t="shared" si="434"/>
        <v/>
      </c>
      <c r="AH1329" s="74">
        <f t="shared" si="435"/>
        <v>0</v>
      </c>
      <c r="AI1329" s="74" t="str">
        <f>IF(AH1329&lt;&gt;0,COUNTIF(AH$3:AH1329,1),"")</f>
        <v/>
      </c>
      <c r="AJ1329" s="74">
        <f t="shared" si="436"/>
        <v>0</v>
      </c>
      <c r="AK1329" s="73" t="str">
        <f t="shared" si="437"/>
        <v/>
      </c>
      <c r="AL1329" s="73" t="str">
        <f t="shared" si="438"/>
        <v/>
      </c>
      <c r="AM1329" s="73" t="str">
        <f t="shared" si="439"/>
        <v/>
      </c>
      <c r="AN1329" s="73" t="str">
        <f t="shared" si="440"/>
        <v/>
      </c>
    </row>
    <row r="1330" spans="16:40" x14ac:dyDescent="0.25">
      <c r="P1330" s="73" t="str">
        <f t="shared" si="424"/>
        <v/>
      </c>
      <c r="Q1330" s="73" t="str">
        <f t="shared" si="425"/>
        <v/>
      </c>
      <c r="R1330" s="74" t="str">
        <f t="shared" si="426"/>
        <v/>
      </c>
      <c r="S1330" s="74" t="str">
        <f t="shared" si="427"/>
        <v/>
      </c>
      <c r="U1330" s="74" t="str">
        <f t="shared" si="441"/>
        <v/>
      </c>
      <c r="V1330" s="74" t="str">
        <f t="shared" si="441"/>
        <v/>
      </c>
      <c r="W1330" s="74" t="str">
        <f t="shared" si="441"/>
        <v/>
      </c>
      <c r="X1330" s="74" t="str">
        <f t="shared" si="441"/>
        <v/>
      </c>
      <c r="Y1330" s="74" t="str">
        <f t="shared" si="441"/>
        <v/>
      </c>
      <c r="Z1330" s="74" t="str">
        <f t="shared" si="428"/>
        <v/>
      </c>
      <c r="AA1330" s="74">
        <f t="shared" si="429"/>
        <v>0</v>
      </c>
      <c r="AB1330" s="74">
        <f t="shared" si="430"/>
        <v>0</v>
      </c>
      <c r="AC1330" s="74" t="str">
        <f t="shared" si="431"/>
        <v/>
      </c>
      <c r="AE1330" s="74" t="str">
        <f t="shared" si="432"/>
        <v/>
      </c>
      <c r="AF1330" s="74" t="str">
        <f t="shared" si="433"/>
        <v/>
      </c>
      <c r="AG1330" s="74" t="str">
        <f t="shared" si="434"/>
        <v/>
      </c>
      <c r="AH1330" s="74">
        <f t="shared" si="435"/>
        <v>0</v>
      </c>
      <c r="AI1330" s="74" t="str">
        <f>IF(AH1330&lt;&gt;0,COUNTIF(AH$3:AH1330,1),"")</f>
        <v/>
      </c>
      <c r="AJ1330" s="74">
        <f t="shared" si="436"/>
        <v>0</v>
      </c>
      <c r="AK1330" s="73" t="str">
        <f t="shared" si="437"/>
        <v/>
      </c>
      <c r="AL1330" s="73" t="str">
        <f t="shared" si="438"/>
        <v/>
      </c>
      <c r="AM1330" s="73" t="str">
        <f t="shared" si="439"/>
        <v/>
      </c>
      <c r="AN1330" s="73" t="str">
        <f t="shared" si="440"/>
        <v/>
      </c>
    </row>
    <row r="1331" spans="16:40" x14ac:dyDescent="0.25">
      <c r="P1331" s="73" t="str">
        <f t="shared" si="424"/>
        <v/>
      </c>
      <c r="Q1331" s="73" t="str">
        <f t="shared" si="425"/>
        <v/>
      </c>
      <c r="R1331" s="74" t="str">
        <f t="shared" si="426"/>
        <v/>
      </c>
      <c r="S1331" s="74" t="str">
        <f t="shared" si="427"/>
        <v/>
      </c>
      <c r="U1331" s="74" t="str">
        <f t="shared" si="441"/>
        <v/>
      </c>
      <c r="V1331" s="74" t="str">
        <f t="shared" si="441"/>
        <v/>
      </c>
      <c r="W1331" s="74" t="str">
        <f t="shared" si="441"/>
        <v/>
      </c>
      <c r="X1331" s="74" t="str">
        <f t="shared" si="441"/>
        <v/>
      </c>
      <c r="Y1331" s="74" t="str">
        <f t="shared" si="441"/>
        <v/>
      </c>
      <c r="Z1331" s="74" t="str">
        <f t="shared" si="428"/>
        <v/>
      </c>
      <c r="AA1331" s="74">
        <f t="shared" si="429"/>
        <v>0</v>
      </c>
      <c r="AB1331" s="74">
        <f t="shared" si="430"/>
        <v>0</v>
      </c>
      <c r="AC1331" s="74" t="str">
        <f t="shared" si="431"/>
        <v/>
      </c>
      <c r="AE1331" s="74" t="str">
        <f t="shared" si="432"/>
        <v/>
      </c>
      <c r="AF1331" s="74" t="str">
        <f t="shared" si="433"/>
        <v/>
      </c>
      <c r="AG1331" s="74" t="str">
        <f t="shared" si="434"/>
        <v/>
      </c>
      <c r="AH1331" s="74">
        <f t="shared" si="435"/>
        <v>0</v>
      </c>
      <c r="AI1331" s="74" t="str">
        <f>IF(AH1331&lt;&gt;0,COUNTIF(AH$3:AH1331,1),"")</f>
        <v/>
      </c>
      <c r="AJ1331" s="74">
        <f t="shared" si="436"/>
        <v>0</v>
      </c>
      <c r="AK1331" s="73" t="str">
        <f t="shared" si="437"/>
        <v/>
      </c>
      <c r="AL1331" s="73" t="str">
        <f t="shared" si="438"/>
        <v/>
      </c>
      <c r="AM1331" s="73" t="str">
        <f t="shared" si="439"/>
        <v/>
      </c>
      <c r="AN1331" s="73" t="str">
        <f t="shared" si="440"/>
        <v/>
      </c>
    </row>
    <row r="1332" spans="16:40" x14ac:dyDescent="0.25">
      <c r="P1332" s="73" t="str">
        <f t="shared" si="424"/>
        <v/>
      </c>
      <c r="Q1332" s="73" t="str">
        <f t="shared" si="425"/>
        <v/>
      </c>
      <c r="R1332" s="74" t="str">
        <f t="shared" si="426"/>
        <v/>
      </c>
      <c r="S1332" s="74" t="str">
        <f t="shared" si="427"/>
        <v/>
      </c>
      <c r="U1332" s="74" t="str">
        <f t="shared" si="441"/>
        <v/>
      </c>
      <c r="V1332" s="74" t="str">
        <f t="shared" si="441"/>
        <v/>
      </c>
      <c r="W1332" s="74" t="str">
        <f t="shared" si="441"/>
        <v/>
      </c>
      <c r="X1332" s="74" t="str">
        <f t="shared" si="441"/>
        <v/>
      </c>
      <c r="Y1332" s="74" t="str">
        <f t="shared" si="441"/>
        <v/>
      </c>
      <c r="Z1332" s="74" t="str">
        <f t="shared" si="428"/>
        <v/>
      </c>
      <c r="AA1332" s="74">
        <f t="shared" si="429"/>
        <v>0</v>
      </c>
      <c r="AB1332" s="74">
        <f t="shared" si="430"/>
        <v>0</v>
      </c>
      <c r="AC1332" s="74" t="str">
        <f t="shared" si="431"/>
        <v/>
      </c>
      <c r="AE1332" s="74" t="str">
        <f t="shared" si="432"/>
        <v/>
      </c>
      <c r="AF1332" s="74" t="str">
        <f t="shared" si="433"/>
        <v/>
      </c>
      <c r="AG1332" s="74" t="str">
        <f t="shared" si="434"/>
        <v/>
      </c>
      <c r="AH1332" s="74">
        <f t="shared" si="435"/>
        <v>0</v>
      </c>
      <c r="AI1332" s="74" t="str">
        <f>IF(AH1332&lt;&gt;0,COUNTIF(AH$3:AH1332,1),"")</f>
        <v/>
      </c>
      <c r="AJ1332" s="74">
        <f t="shared" si="436"/>
        <v>0</v>
      </c>
      <c r="AK1332" s="73" t="str">
        <f t="shared" si="437"/>
        <v/>
      </c>
      <c r="AL1332" s="73" t="str">
        <f t="shared" si="438"/>
        <v/>
      </c>
      <c r="AM1332" s="73" t="str">
        <f t="shared" si="439"/>
        <v/>
      </c>
      <c r="AN1332" s="73" t="str">
        <f t="shared" si="440"/>
        <v/>
      </c>
    </row>
    <row r="1333" spans="16:40" x14ac:dyDescent="0.25">
      <c r="P1333" s="73" t="str">
        <f t="shared" si="424"/>
        <v/>
      </c>
      <c r="Q1333" s="73" t="str">
        <f t="shared" si="425"/>
        <v/>
      </c>
      <c r="R1333" s="74" t="str">
        <f t="shared" si="426"/>
        <v/>
      </c>
      <c r="S1333" s="74" t="str">
        <f t="shared" si="427"/>
        <v/>
      </c>
      <c r="U1333" s="74" t="str">
        <f t="shared" si="441"/>
        <v/>
      </c>
      <c r="V1333" s="74" t="str">
        <f t="shared" si="441"/>
        <v/>
      </c>
      <c r="W1333" s="74" t="str">
        <f t="shared" si="441"/>
        <v/>
      </c>
      <c r="X1333" s="74" t="str">
        <f t="shared" si="441"/>
        <v/>
      </c>
      <c r="Y1333" s="74" t="str">
        <f t="shared" si="441"/>
        <v/>
      </c>
      <c r="Z1333" s="74" t="str">
        <f t="shared" si="428"/>
        <v/>
      </c>
      <c r="AA1333" s="74">
        <f t="shared" si="429"/>
        <v>0</v>
      </c>
      <c r="AB1333" s="74">
        <f t="shared" si="430"/>
        <v>0</v>
      </c>
      <c r="AC1333" s="74" t="str">
        <f t="shared" si="431"/>
        <v/>
      </c>
      <c r="AE1333" s="74" t="str">
        <f t="shared" si="432"/>
        <v/>
      </c>
      <c r="AF1333" s="74" t="str">
        <f t="shared" si="433"/>
        <v/>
      </c>
      <c r="AG1333" s="74" t="str">
        <f t="shared" si="434"/>
        <v/>
      </c>
      <c r="AH1333" s="74">
        <f t="shared" si="435"/>
        <v>0</v>
      </c>
      <c r="AI1333" s="74" t="str">
        <f>IF(AH1333&lt;&gt;0,COUNTIF(AH$3:AH1333,1),"")</f>
        <v/>
      </c>
      <c r="AJ1333" s="74">
        <f t="shared" si="436"/>
        <v>0</v>
      </c>
      <c r="AK1333" s="73" t="str">
        <f t="shared" si="437"/>
        <v/>
      </c>
      <c r="AL1333" s="73" t="str">
        <f t="shared" si="438"/>
        <v/>
      </c>
      <c r="AM1333" s="73" t="str">
        <f t="shared" si="439"/>
        <v/>
      </c>
      <c r="AN1333" s="73" t="str">
        <f t="shared" si="440"/>
        <v/>
      </c>
    </row>
    <row r="1334" spans="16:40" x14ac:dyDescent="0.25">
      <c r="P1334" s="73" t="str">
        <f t="shared" si="424"/>
        <v/>
      </c>
      <c r="Q1334" s="73" t="str">
        <f t="shared" si="425"/>
        <v/>
      </c>
      <c r="R1334" s="74" t="str">
        <f t="shared" si="426"/>
        <v/>
      </c>
      <c r="S1334" s="74" t="str">
        <f t="shared" si="427"/>
        <v/>
      </c>
      <c r="U1334" s="74" t="str">
        <f t="shared" si="441"/>
        <v/>
      </c>
      <c r="V1334" s="74" t="str">
        <f t="shared" si="441"/>
        <v/>
      </c>
      <c r="W1334" s="74" t="str">
        <f t="shared" si="441"/>
        <v/>
      </c>
      <c r="X1334" s="74" t="str">
        <f t="shared" si="441"/>
        <v/>
      </c>
      <c r="Y1334" s="74" t="str">
        <f t="shared" si="441"/>
        <v/>
      </c>
      <c r="Z1334" s="74" t="str">
        <f t="shared" si="428"/>
        <v/>
      </c>
      <c r="AA1334" s="74">
        <f t="shared" si="429"/>
        <v>0</v>
      </c>
      <c r="AB1334" s="74">
        <f t="shared" si="430"/>
        <v>0</v>
      </c>
      <c r="AC1334" s="74" t="str">
        <f t="shared" si="431"/>
        <v/>
      </c>
      <c r="AE1334" s="74" t="str">
        <f t="shared" si="432"/>
        <v/>
      </c>
      <c r="AF1334" s="74" t="str">
        <f t="shared" si="433"/>
        <v/>
      </c>
      <c r="AG1334" s="74" t="str">
        <f t="shared" si="434"/>
        <v/>
      </c>
      <c r="AH1334" s="74">
        <f t="shared" si="435"/>
        <v>0</v>
      </c>
      <c r="AI1334" s="74" t="str">
        <f>IF(AH1334&lt;&gt;0,COUNTIF(AH$3:AH1334,1),"")</f>
        <v/>
      </c>
      <c r="AJ1334" s="74">
        <f t="shared" si="436"/>
        <v>0</v>
      </c>
      <c r="AK1334" s="73" t="str">
        <f t="shared" si="437"/>
        <v/>
      </c>
      <c r="AL1334" s="73" t="str">
        <f t="shared" si="438"/>
        <v/>
      </c>
      <c r="AM1334" s="73" t="str">
        <f t="shared" si="439"/>
        <v/>
      </c>
      <c r="AN1334" s="73" t="str">
        <f t="shared" si="440"/>
        <v/>
      </c>
    </row>
    <row r="1335" spans="16:40" x14ac:dyDescent="0.25">
      <c r="P1335" s="73" t="str">
        <f t="shared" si="424"/>
        <v/>
      </c>
      <c r="Q1335" s="73" t="str">
        <f t="shared" si="425"/>
        <v/>
      </c>
      <c r="R1335" s="74" t="str">
        <f t="shared" si="426"/>
        <v/>
      </c>
      <c r="S1335" s="74" t="str">
        <f t="shared" si="427"/>
        <v/>
      </c>
      <c r="U1335" s="74" t="str">
        <f t="shared" si="441"/>
        <v/>
      </c>
      <c r="V1335" s="74" t="str">
        <f t="shared" si="441"/>
        <v/>
      </c>
      <c r="W1335" s="74" t="str">
        <f t="shared" si="441"/>
        <v/>
      </c>
      <c r="X1335" s="74" t="str">
        <f t="shared" si="441"/>
        <v/>
      </c>
      <c r="Y1335" s="74" t="str">
        <f t="shared" si="441"/>
        <v/>
      </c>
      <c r="Z1335" s="74" t="str">
        <f t="shared" si="428"/>
        <v/>
      </c>
      <c r="AA1335" s="74">
        <f t="shared" si="429"/>
        <v>0</v>
      </c>
      <c r="AB1335" s="74">
        <f t="shared" si="430"/>
        <v>0</v>
      </c>
      <c r="AC1335" s="74" t="str">
        <f t="shared" si="431"/>
        <v/>
      </c>
      <c r="AE1335" s="74" t="str">
        <f t="shared" si="432"/>
        <v/>
      </c>
      <c r="AF1335" s="74" t="str">
        <f t="shared" si="433"/>
        <v/>
      </c>
      <c r="AG1335" s="74" t="str">
        <f t="shared" si="434"/>
        <v/>
      </c>
      <c r="AH1335" s="74">
        <f t="shared" si="435"/>
        <v>0</v>
      </c>
      <c r="AI1335" s="74" t="str">
        <f>IF(AH1335&lt;&gt;0,COUNTIF(AH$3:AH1335,1),"")</f>
        <v/>
      </c>
      <c r="AJ1335" s="74">
        <f t="shared" si="436"/>
        <v>0</v>
      </c>
      <c r="AK1335" s="73" t="str">
        <f t="shared" si="437"/>
        <v/>
      </c>
      <c r="AL1335" s="73" t="str">
        <f t="shared" si="438"/>
        <v/>
      </c>
      <c r="AM1335" s="73" t="str">
        <f t="shared" si="439"/>
        <v/>
      </c>
      <c r="AN1335" s="73" t="str">
        <f t="shared" si="440"/>
        <v/>
      </c>
    </row>
    <row r="1336" spans="16:40" x14ac:dyDescent="0.25">
      <c r="P1336" s="73" t="str">
        <f t="shared" si="424"/>
        <v/>
      </c>
      <c r="Q1336" s="73" t="str">
        <f t="shared" si="425"/>
        <v/>
      </c>
      <c r="R1336" s="74" t="str">
        <f t="shared" si="426"/>
        <v/>
      </c>
      <c r="S1336" s="74" t="str">
        <f t="shared" si="427"/>
        <v/>
      </c>
      <c r="U1336" s="74" t="str">
        <f t="shared" si="441"/>
        <v/>
      </c>
      <c r="V1336" s="74" t="str">
        <f t="shared" si="441"/>
        <v/>
      </c>
      <c r="W1336" s="74" t="str">
        <f t="shared" si="441"/>
        <v/>
      </c>
      <c r="X1336" s="74" t="str">
        <f t="shared" si="441"/>
        <v/>
      </c>
      <c r="Y1336" s="74" t="str">
        <f t="shared" si="441"/>
        <v/>
      </c>
      <c r="Z1336" s="74" t="str">
        <f t="shared" si="428"/>
        <v/>
      </c>
      <c r="AA1336" s="74">
        <f t="shared" si="429"/>
        <v>0</v>
      </c>
      <c r="AB1336" s="74">
        <f t="shared" si="430"/>
        <v>0</v>
      </c>
      <c r="AC1336" s="74" t="str">
        <f t="shared" si="431"/>
        <v/>
      </c>
      <c r="AE1336" s="74" t="str">
        <f t="shared" si="432"/>
        <v/>
      </c>
      <c r="AF1336" s="74" t="str">
        <f t="shared" si="433"/>
        <v/>
      </c>
      <c r="AG1336" s="74" t="str">
        <f t="shared" si="434"/>
        <v/>
      </c>
      <c r="AH1336" s="74">
        <f t="shared" si="435"/>
        <v>0</v>
      </c>
      <c r="AI1336" s="74" t="str">
        <f>IF(AH1336&lt;&gt;0,COUNTIF(AH$3:AH1336,1),"")</f>
        <v/>
      </c>
      <c r="AJ1336" s="74">
        <f t="shared" si="436"/>
        <v>0</v>
      </c>
      <c r="AK1336" s="73" t="str">
        <f t="shared" si="437"/>
        <v/>
      </c>
      <c r="AL1336" s="73" t="str">
        <f t="shared" si="438"/>
        <v/>
      </c>
      <c r="AM1336" s="73" t="str">
        <f t="shared" si="439"/>
        <v/>
      </c>
      <c r="AN1336" s="73" t="str">
        <f t="shared" si="440"/>
        <v/>
      </c>
    </row>
    <row r="1337" spans="16:40" x14ac:dyDescent="0.25">
      <c r="P1337" s="73" t="str">
        <f t="shared" si="424"/>
        <v/>
      </c>
      <c r="Q1337" s="73" t="str">
        <f t="shared" si="425"/>
        <v/>
      </c>
      <c r="R1337" s="74" t="str">
        <f t="shared" si="426"/>
        <v/>
      </c>
      <c r="S1337" s="74" t="str">
        <f t="shared" si="427"/>
        <v/>
      </c>
      <c r="U1337" s="74" t="str">
        <f t="shared" si="441"/>
        <v/>
      </c>
      <c r="V1337" s="74" t="str">
        <f t="shared" si="441"/>
        <v/>
      </c>
      <c r="W1337" s="74" t="str">
        <f t="shared" si="441"/>
        <v/>
      </c>
      <c r="X1337" s="74" t="str">
        <f t="shared" si="441"/>
        <v/>
      </c>
      <c r="Y1337" s="74" t="str">
        <f t="shared" si="441"/>
        <v/>
      </c>
      <c r="Z1337" s="74" t="str">
        <f t="shared" si="428"/>
        <v/>
      </c>
      <c r="AA1337" s="74">
        <f t="shared" si="429"/>
        <v>0</v>
      </c>
      <c r="AB1337" s="74">
        <f t="shared" si="430"/>
        <v>0</v>
      </c>
      <c r="AC1337" s="74" t="str">
        <f t="shared" si="431"/>
        <v/>
      </c>
      <c r="AE1337" s="74" t="str">
        <f t="shared" si="432"/>
        <v/>
      </c>
      <c r="AF1337" s="74" t="str">
        <f t="shared" si="433"/>
        <v/>
      </c>
      <c r="AG1337" s="74" t="str">
        <f t="shared" si="434"/>
        <v/>
      </c>
      <c r="AH1337" s="74">
        <f t="shared" si="435"/>
        <v>0</v>
      </c>
      <c r="AI1337" s="74" t="str">
        <f>IF(AH1337&lt;&gt;0,COUNTIF(AH$3:AH1337,1),"")</f>
        <v/>
      </c>
      <c r="AJ1337" s="74">
        <f t="shared" si="436"/>
        <v>0</v>
      </c>
      <c r="AK1337" s="73" t="str">
        <f t="shared" si="437"/>
        <v/>
      </c>
      <c r="AL1337" s="73" t="str">
        <f t="shared" si="438"/>
        <v/>
      </c>
      <c r="AM1337" s="73" t="str">
        <f t="shared" si="439"/>
        <v/>
      </c>
      <c r="AN1337" s="73" t="str">
        <f t="shared" si="440"/>
        <v/>
      </c>
    </row>
    <row r="1338" spans="16:40" x14ac:dyDescent="0.25">
      <c r="P1338" s="73" t="str">
        <f t="shared" si="424"/>
        <v/>
      </c>
      <c r="Q1338" s="73" t="str">
        <f t="shared" si="425"/>
        <v/>
      </c>
      <c r="R1338" s="74" t="str">
        <f t="shared" si="426"/>
        <v/>
      </c>
      <c r="S1338" s="74" t="str">
        <f t="shared" si="427"/>
        <v/>
      </c>
      <c r="U1338" s="74" t="str">
        <f t="shared" si="441"/>
        <v/>
      </c>
      <c r="V1338" s="74" t="str">
        <f t="shared" si="441"/>
        <v/>
      </c>
      <c r="W1338" s="74" t="str">
        <f t="shared" si="441"/>
        <v/>
      </c>
      <c r="X1338" s="74" t="str">
        <f t="shared" si="441"/>
        <v/>
      </c>
      <c r="Y1338" s="74" t="str">
        <f t="shared" si="441"/>
        <v/>
      </c>
      <c r="Z1338" s="74" t="str">
        <f t="shared" si="428"/>
        <v/>
      </c>
      <c r="AA1338" s="74">
        <f t="shared" si="429"/>
        <v>0</v>
      </c>
      <c r="AB1338" s="74">
        <f t="shared" si="430"/>
        <v>0</v>
      </c>
      <c r="AC1338" s="74" t="str">
        <f t="shared" si="431"/>
        <v/>
      </c>
      <c r="AE1338" s="74" t="str">
        <f t="shared" si="432"/>
        <v/>
      </c>
      <c r="AF1338" s="74" t="str">
        <f t="shared" si="433"/>
        <v/>
      </c>
      <c r="AG1338" s="74" t="str">
        <f t="shared" si="434"/>
        <v/>
      </c>
      <c r="AH1338" s="74">
        <f t="shared" si="435"/>
        <v>0</v>
      </c>
      <c r="AI1338" s="74" t="str">
        <f>IF(AH1338&lt;&gt;0,COUNTIF(AH$3:AH1338,1),"")</f>
        <v/>
      </c>
      <c r="AJ1338" s="74">
        <f t="shared" si="436"/>
        <v>0</v>
      </c>
      <c r="AK1338" s="73" t="str">
        <f t="shared" si="437"/>
        <v/>
      </c>
      <c r="AL1338" s="73" t="str">
        <f t="shared" si="438"/>
        <v/>
      </c>
      <c r="AM1338" s="73" t="str">
        <f t="shared" si="439"/>
        <v/>
      </c>
      <c r="AN1338" s="73" t="str">
        <f t="shared" si="440"/>
        <v/>
      </c>
    </row>
    <row r="1339" spans="16:40" x14ac:dyDescent="0.25">
      <c r="P1339" s="73" t="str">
        <f t="shared" si="424"/>
        <v/>
      </c>
      <c r="Q1339" s="73" t="str">
        <f t="shared" si="425"/>
        <v/>
      </c>
      <c r="R1339" s="74" t="str">
        <f t="shared" si="426"/>
        <v/>
      </c>
      <c r="S1339" s="74" t="str">
        <f t="shared" si="427"/>
        <v/>
      </c>
      <c r="U1339" s="74" t="str">
        <f t="shared" si="441"/>
        <v/>
      </c>
      <c r="V1339" s="74" t="str">
        <f t="shared" si="441"/>
        <v/>
      </c>
      <c r="W1339" s="74" t="str">
        <f t="shared" si="441"/>
        <v/>
      </c>
      <c r="X1339" s="74" t="str">
        <f t="shared" si="441"/>
        <v/>
      </c>
      <c r="Y1339" s="74" t="str">
        <f t="shared" si="441"/>
        <v/>
      </c>
      <c r="Z1339" s="74" t="str">
        <f t="shared" si="428"/>
        <v/>
      </c>
      <c r="AA1339" s="74">
        <f t="shared" si="429"/>
        <v>0</v>
      </c>
      <c r="AB1339" s="74">
        <f t="shared" si="430"/>
        <v>0</v>
      </c>
      <c r="AC1339" s="74" t="str">
        <f t="shared" si="431"/>
        <v/>
      </c>
      <c r="AE1339" s="74" t="str">
        <f t="shared" si="432"/>
        <v/>
      </c>
      <c r="AF1339" s="74" t="str">
        <f t="shared" si="433"/>
        <v/>
      </c>
      <c r="AG1339" s="74" t="str">
        <f t="shared" si="434"/>
        <v/>
      </c>
      <c r="AH1339" s="74">
        <f t="shared" si="435"/>
        <v>0</v>
      </c>
      <c r="AI1339" s="74" t="str">
        <f>IF(AH1339&lt;&gt;0,COUNTIF(AH$3:AH1339,1),"")</f>
        <v/>
      </c>
      <c r="AJ1339" s="74">
        <f t="shared" si="436"/>
        <v>0</v>
      </c>
      <c r="AK1339" s="73" t="str">
        <f t="shared" si="437"/>
        <v/>
      </c>
      <c r="AL1339" s="73" t="str">
        <f t="shared" si="438"/>
        <v/>
      </c>
      <c r="AM1339" s="73" t="str">
        <f t="shared" si="439"/>
        <v/>
      </c>
      <c r="AN1339" s="73" t="str">
        <f t="shared" si="440"/>
        <v/>
      </c>
    </row>
    <row r="1340" spans="16:40" x14ac:dyDescent="0.25">
      <c r="P1340" s="73" t="str">
        <f t="shared" si="424"/>
        <v/>
      </c>
      <c r="Q1340" s="73" t="str">
        <f t="shared" si="425"/>
        <v/>
      </c>
      <c r="R1340" s="74" t="str">
        <f t="shared" si="426"/>
        <v/>
      </c>
      <c r="S1340" s="74" t="str">
        <f t="shared" si="427"/>
        <v/>
      </c>
      <c r="U1340" s="74" t="str">
        <f t="shared" si="441"/>
        <v/>
      </c>
      <c r="V1340" s="74" t="str">
        <f t="shared" si="441"/>
        <v/>
      </c>
      <c r="W1340" s="74" t="str">
        <f t="shared" si="441"/>
        <v/>
      </c>
      <c r="X1340" s="74" t="str">
        <f t="shared" si="441"/>
        <v/>
      </c>
      <c r="Y1340" s="74" t="str">
        <f t="shared" si="441"/>
        <v/>
      </c>
      <c r="Z1340" s="74" t="str">
        <f t="shared" si="428"/>
        <v/>
      </c>
      <c r="AA1340" s="74">
        <f t="shared" si="429"/>
        <v>0</v>
      </c>
      <c r="AB1340" s="74">
        <f t="shared" si="430"/>
        <v>0</v>
      </c>
      <c r="AC1340" s="74" t="str">
        <f t="shared" si="431"/>
        <v/>
      </c>
      <c r="AE1340" s="74" t="str">
        <f t="shared" si="432"/>
        <v/>
      </c>
      <c r="AF1340" s="74" t="str">
        <f t="shared" si="433"/>
        <v/>
      </c>
      <c r="AG1340" s="74" t="str">
        <f t="shared" si="434"/>
        <v/>
      </c>
      <c r="AH1340" s="74">
        <f t="shared" si="435"/>
        <v>0</v>
      </c>
      <c r="AI1340" s="74" t="str">
        <f>IF(AH1340&lt;&gt;0,COUNTIF(AH$3:AH1340,1),"")</f>
        <v/>
      </c>
      <c r="AJ1340" s="74">
        <f t="shared" si="436"/>
        <v>0</v>
      </c>
      <c r="AK1340" s="73" t="str">
        <f t="shared" si="437"/>
        <v/>
      </c>
      <c r="AL1340" s="73" t="str">
        <f t="shared" si="438"/>
        <v/>
      </c>
      <c r="AM1340" s="73" t="str">
        <f t="shared" si="439"/>
        <v/>
      </c>
      <c r="AN1340" s="73" t="str">
        <f t="shared" si="440"/>
        <v/>
      </c>
    </row>
    <row r="1341" spans="16:40" x14ac:dyDescent="0.25">
      <c r="P1341" s="73" t="str">
        <f t="shared" si="424"/>
        <v/>
      </c>
      <c r="Q1341" s="73" t="str">
        <f t="shared" si="425"/>
        <v/>
      </c>
      <c r="R1341" s="74" t="str">
        <f t="shared" si="426"/>
        <v/>
      </c>
      <c r="S1341" s="74" t="str">
        <f t="shared" si="427"/>
        <v/>
      </c>
      <c r="U1341" s="74" t="str">
        <f t="shared" si="441"/>
        <v/>
      </c>
      <c r="V1341" s="74" t="str">
        <f t="shared" si="441"/>
        <v/>
      </c>
      <c r="W1341" s="74" t="str">
        <f t="shared" si="441"/>
        <v/>
      </c>
      <c r="X1341" s="74" t="str">
        <f t="shared" si="441"/>
        <v/>
      </c>
      <c r="Y1341" s="74" t="str">
        <f t="shared" si="441"/>
        <v/>
      </c>
      <c r="Z1341" s="74" t="str">
        <f t="shared" si="428"/>
        <v/>
      </c>
      <c r="AA1341" s="74">
        <f t="shared" si="429"/>
        <v>0</v>
      </c>
      <c r="AB1341" s="74">
        <f t="shared" si="430"/>
        <v>0</v>
      </c>
      <c r="AC1341" s="74" t="str">
        <f t="shared" si="431"/>
        <v/>
      </c>
      <c r="AE1341" s="74" t="str">
        <f t="shared" si="432"/>
        <v/>
      </c>
      <c r="AF1341" s="74" t="str">
        <f t="shared" si="433"/>
        <v/>
      </c>
      <c r="AG1341" s="74" t="str">
        <f t="shared" si="434"/>
        <v/>
      </c>
      <c r="AH1341" s="74">
        <f t="shared" si="435"/>
        <v>0</v>
      </c>
      <c r="AI1341" s="74" t="str">
        <f>IF(AH1341&lt;&gt;0,COUNTIF(AH$3:AH1341,1),"")</f>
        <v/>
      </c>
      <c r="AJ1341" s="74">
        <f t="shared" si="436"/>
        <v>0</v>
      </c>
      <c r="AK1341" s="73" t="str">
        <f t="shared" si="437"/>
        <v/>
      </c>
      <c r="AL1341" s="73" t="str">
        <f t="shared" si="438"/>
        <v/>
      </c>
      <c r="AM1341" s="73" t="str">
        <f t="shared" si="439"/>
        <v/>
      </c>
      <c r="AN1341" s="73" t="str">
        <f t="shared" si="440"/>
        <v/>
      </c>
    </row>
    <row r="1342" spans="16:40" x14ac:dyDescent="0.25">
      <c r="P1342" s="73" t="str">
        <f t="shared" ref="P1342:P1405" si="442">IF(N1342&lt;&gt;"",SUBSTITUTE(LEFT(N1342,FIND(";",N1342)),";",""),"")</f>
        <v/>
      </c>
      <c r="Q1342" s="73" t="str">
        <f t="shared" ref="Q1342:Q1405" si="443">IF(N1342&lt;&gt;"",SUBSTITUTE(RIGHT(N1342,FIND(";",N1342)),";",""),"")</f>
        <v/>
      </c>
      <c r="R1342" s="74" t="str">
        <f t="shared" ref="R1342:R1405" si="444">IF(O1342&lt;&gt;"",SUBSTITUTE(LEFT(O1342,FIND(";",O1342)),";",""),"")</f>
        <v/>
      </c>
      <c r="S1342" s="74" t="str">
        <f t="shared" ref="S1342:S1405" si="445">IF(O1342&lt;&gt;"",IFERROR(IF(FIND("OK",O1342)&gt;0,TRUE),FALSE),"")</f>
        <v/>
      </c>
      <c r="U1342" s="74" t="str">
        <f t="shared" si="441"/>
        <v/>
      </c>
      <c r="V1342" s="74" t="str">
        <f t="shared" si="441"/>
        <v/>
      </c>
      <c r="W1342" s="74" t="str">
        <f t="shared" si="441"/>
        <v/>
      </c>
      <c r="X1342" s="74" t="str">
        <f t="shared" si="441"/>
        <v/>
      </c>
      <c r="Y1342" s="74" t="str">
        <f t="shared" si="441"/>
        <v/>
      </c>
      <c r="Z1342" s="74" t="str">
        <f t="shared" ref="Z1342:Z1405" si="446">IF(G1342,E1342,"")</f>
        <v/>
      </c>
      <c r="AA1342" s="74">
        <f t="shared" ref="AA1342:AA1405" si="447">IF(G1342=FALSE,E1342,"")</f>
        <v>0</v>
      </c>
      <c r="AB1342" s="74">
        <f t="shared" ref="AB1342:AB1405" si="448">IF(G1342,1,0)</f>
        <v>0</v>
      </c>
      <c r="AC1342" s="74" t="str">
        <f t="shared" ref="AC1342:AC1405" si="449">IF(A1342&lt;&gt;"",IF(G1342,0,1),"")</f>
        <v/>
      </c>
      <c r="AE1342" s="74" t="str">
        <f t="shared" ref="AE1342:AE1405" si="450">IF(P1342&lt;&gt;"",IF(AND(_xlfn.NUMBERVALUE(P1342)&gt;25,_xlfn.NUMBERVALUE(P1342)&lt;38),TRUE,FALSE),"")</f>
        <v/>
      </c>
      <c r="AF1342" s="74" t="str">
        <f t="shared" ref="AF1342:AF1405" si="451">IF(Q1342&lt;&gt;"",IF(AND(_xlfn.NUMBERVALUE(Q1342)&gt;25,_xlfn.NUMBERVALUE(Q1342)&lt;38),TRUE,FALSE),"")</f>
        <v/>
      </c>
      <c r="AG1342" s="74" t="str">
        <f t="shared" ref="AG1342:AG1405" si="452">IF(R1342&lt;&gt;"",IF(AND(_xlfn.NUMBERVALUE(R1342)&gt;262,_xlfn.NUMBERVALUE(R1342)&lt;307),TRUE,FALSE),"")</f>
        <v/>
      </c>
      <c r="AH1342" s="74">
        <f t="shared" ref="AH1342:AH1405" si="453">IF(OR(AE1342=FALSE,AF1342=FALSE,AG1342=FALSE),1,0)</f>
        <v>0</v>
      </c>
      <c r="AI1342" s="74" t="str">
        <f>IF(AH1342&lt;&gt;0,COUNTIF(AH$3:AH1342,1),"")</f>
        <v/>
      </c>
      <c r="AJ1342" s="74">
        <f t="shared" ref="AJ1342:AJ1405" si="454">L1342</f>
        <v>0</v>
      </c>
      <c r="AK1342" s="73" t="str">
        <f t="shared" ref="AK1342:AK1405" si="455">P1342</f>
        <v/>
      </c>
      <c r="AL1342" s="73" t="str">
        <f t="shared" ref="AL1342:AL1405" si="456">Q1342</f>
        <v/>
      </c>
      <c r="AM1342" s="73" t="str">
        <f t="shared" ref="AM1342:AM1405" si="457">R1342</f>
        <v/>
      </c>
      <c r="AN1342" s="73" t="str">
        <f t="shared" ref="AN1342:AN1405" si="458">S1342</f>
        <v/>
      </c>
    </row>
    <row r="1343" spans="16:40" x14ac:dyDescent="0.25">
      <c r="P1343" s="73" t="str">
        <f t="shared" si="442"/>
        <v/>
      </c>
      <c r="Q1343" s="73" t="str">
        <f t="shared" si="443"/>
        <v/>
      </c>
      <c r="R1343" s="74" t="str">
        <f t="shared" si="444"/>
        <v/>
      </c>
      <c r="S1343" s="74" t="str">
        <f t="shared" si="445"/>
        <v/>
      </c>
      <c r="U1343" s="74" t="str">
        <f t="shared" si="441"/>
        <v/>
      </c>
      <c r="V1343" s="74" t="str">
        <f t="shared" si="441"/>
        <v/>
      </c>
      <c r="W1343" s="74" t="str">
        <f t="shared" si="441"/>
        <v/>
      </c>
      <c r="X1343" s="74" t="str">
        <f t="shared" si="441"/>
        <v/>
      </c>
      <c r="Y1343" s="74" t="str">
        <f t="shared" si="441"/>
        <v/>
      </c>
      <c r="Z1343" s="74" t="str">
        <f t="shared" si="446"/>
        <v/>
      </c>
      <c r="AA1343" s="74">
        <f t="shared" si="447"/>
        <v>0</v>
      </c>
      <c r="AB1343" s="74">
        <f t="shared" si="448"/>
        <v>0</v>
      </c>
      <c r="AC1343" s="74" t="str">
        <f t="shared" si="449"/>
        <v/>
      </c>
      <c r="AE1343" s="74" t="str">
        <f t="shared" si="450"/>
        <v/>
      </c>
      <c r="AF1343" s="74" t="str">
        <f t="shared" si="451"/>
        <v/>
      </c>
      <c r="AG1343" s="74" t="str">
        <f t="shared" si="452"/>
        <v/>
      </c>
      <c r="AH1343" s="74">
        <f t="shared" si="453"/>
        <v>0</v>
      </c>
      <c r="AI1343" s="74" t="str">
        <f>IF(AH1343&lt;&gt;0,COUNTIF(AH$3:AH1343,1),"")</f>
        <v/>
      </c>
      <c r="AJ1343" s="74">
        <f t="shared" si="454"/>
        <v>0</v>
      </c>
      <c r="AK1343" s="73" t="str">
        <f t="shared" si="455"/>
        <v/>
      </c>
      <c r="AL1343" s="73" t="str">
        <f t="shared" si="456"/>
        <v/>
      </c>
      <c r="AM1343" s="73" t="str">
        <f t="shared" si="457"/>
        <v/>
      </c>
      <c r="AN1343" s="73" t="str">
        <f t="shared" si="458"/>
        <v/>
      </c>
    </row>
    <row r="1344" spans="16:40" x14ac:dyDescent="0.25">
      <c r="P1344" s="73" t="str">
        <f t="shared" si="442"/>
        <v/>
      </c>
      <c r="Q1344" s="73" t="str">
        <f t="shared" si="443"/>
        <v/>
      </c>
      <c r="R1344" s="74" t="str">
        <f t="shared" si="444"/>
        <v/>
      </c>
      <c r="S1344" s="74" t="str">
        <f t="shared" si="445"/>
        <v/>
      </c>
      <c r="U1344" s="74" t="str">
        <f t="shared" si="441"/>
        <v/>
      </c>
      <c r="V1344" s="74" t="str">
        <f t="shared" si="441"/>
        <v/>
      </c>
      <c r="W1344" s="74" t="str">
        <f t="shared" si="441"/>
        <v/>
      </c>
      <c r="X1344" s="74" t="str">
        <f t="shared" si="441"/>
        <v/>
      </c>
      <c r="Y1344" s="74" t="str">
        <f t="shared" si="441"/>
        <v/>
      </c>
      <c r="Z1344" s="74" t="str">
        <f t="shared" si="446"/>
        <v/>
      </c>
      <c r="AA1344" s="74">
        <f t="shared" si="447"/>
        <v>0</v>
      </c>
      <c r="AB1344" s="74">
        <f t="shared" si="448"/>
        <v>0</v>
      </c>
      <c r="AC1344" s="74" t="str">
        <f t="shared" si="449"/>
        <v/>
      </c>
      <c r="AE1344" s="74" t="str">
        <f t="shared" si="450"/>
        <v/>
      </c>
      <c r="AF1344" s="74" t="str">
        <f t="shared" si="451"/>
        <v/>
      </c>
      <c r="AG1344" s="74" t="str">
        <f t="shared" si="452"/>
        <v/>
      </c>
      <c r="AH1344" s="74">
        <f t="shared" si="453"/>
        <v>0</v>
      </c>
      <c r="AI1344" s="74" t="str">
        <f>IF(AH1344&lt;&gt;0,COUNTIF(AH$3:AH1344,1),"")</f>
        <v/>
      </c>
      <c r="AJ1344" s="74">
        <f t="shared" si="454"/>
        <v>0</v>
      </c>
      <c r="AK1344" s="73" t="str">
        <f t="shared" si="455"/>
        <v/>
      </c>
      <c r="AL1344" s="73" t="str">
        <f t="shared" si="456"/>
        <v/>
      </c>
      <c r="AM1344" s="73" t="str">
        <f t="shared" si="457"/>
        <v/>
      </c>
      <c r="AN1344" s="73" t="str">
        <f t="shared" si="458"/>
        <v/>
      </c>
    </row>
    <row r="1345" spans="16:40" x14ac:dyDescent="0.25">
      <c r="P1345" s="73" t="str">
        <f t="shared" si="442"/>
        <v/>
      </c>
      <c r="Q1345" s="73" t="str">
        <f t="shared" si="443"/>
        <v/>
      </c>
      <c r="R1345" s="74" t="str">
        <f t="shared" si="444"/>
        <v/>
      </c>
      <c r="S1345" s="74" t="str">
        <f t="shared" si="445"/>
        <v/>
      </c>
      <c r="U1345" s="74" t="str">
        <f t="shared" si="441"/>
        <v/>
      </c>
      <c r="V1345" s="74" t="str">
        <f t="shared" si="441"/>
        <v/>
      </c>
      <c r="W1345" s="74" t="str">
        <f t="shared" si="441"/>
        <v/>
      </c>
      <c r="X1345" s="74" t="str">
        <f t="shared" si="441"/>
        <v/>
      </c>
      <c r="Y1345" s="74" t="str">
        <f t="shared" si="441"/>
        <v/>
      </c>
      <c r="Z1345" s="74" t="str">
        <f t="shared" si="446"/>
        <v/>
      </c>
      <c r="AA1345" s="74">
        <f t="shared" si="447"/>
        <v>0</v>
      </c>
      <c r="AB1345" s="74">
        <f t="shared" si="448"/>
        <v>0</v>
      </c>
      <c r="AC1345" s="74" t="str">
        <f t="shared" si="449"/>
        <v/>
      </c>
      <c r="AE1345" s="74" t="str">
        <f t="shared" si="450"/>
        <v/>
      </c>
      <c r="AF1345" s="74" t="str">
        <f t="shared" si="451"/>
        <v/>
      </c>
      <c r="AG1345" s="74" t="str">
        <f t="shared" si="452"/>
        <v/>
      </c>
      <c r="AH1345" s="74">
        <f t="shared" si="453"/>
        <v>0</v>
      </c>
      <c r="AI1345" s="74" t="str">
        <f>IF(AH1345&lt;&gt;0,COUNTIF(AH$3:AH1345,1),"")</f>
        <v/>
      </c>
      <c r="AJ1345" s="74">
        <f t="shared" si="454"/>
        <v>0</v>
      </c>
      <c r="AK1345" s="73" t="str">
        <f t="shared" si="455"/>
        <v/>
      </c>
      <c r="AL1345" s="73" t="str">
        <f t="shared" si="456"/>
        <v/>
      </c>
      <c r="AM1345" s="73" t="str">
        <f t="shared" si="457"/>
        <v/>
      </c>
      <c r="AN1345" s="73" t="str">
        <f t="shared" si="458"/>
        <v/>
      </c>
    </row>
    <row r="1346" spans="16:40" x14ac:dyDescent="0.25">
      <c r="P1346" s="73" t="str">
        <f t="shared" si="442"/>
        <v/>
      </c>
      <c r="Q1346" s="73" t="str">
        <f t="shared" si="443"/>
        <v/>
      </c>
      <c r="R1346" s="74" t="str">
        <f t="shared" si="444"/>
        <v/>
      </c>
      <c r="S1346" s="74" t="str">
        <f t="shared" si="445"/>
        <v/>
      </c>
      <c r="U1346" s="74" t="str">
        <f t="shared" si="441"/>
        <v/>
      </c>
      <c r="V1346" s="74" t="str">
        <f t="shared" si="441"/>
        <v/>
      </c>
      <c r="W1346" s="74" t="str">
        <f t="shared" si="441"/>
        <v/>
      </c>
      <c r="X1346" s="74" t="str">
        <f t="shared" si="441"/>
        <v/>
      </c>
      <c r="Y1346" s="74" t="str">
        <f t="shared" si="441"/>
        <v/>
      </c>
      <c r="Z1346" s="74" t="str">
        <f t="shared" si="446"/>
        <v/>
      </c>
      <c r="AA1346" s="74">
        <f t="shared" si="447"/>
        <v>0</v>
      </c>
      <c r="AB1346" s="74">
        <f t="shared" si="448"/>
        <v>0</v>
      </c>
      <c r="AC1346" s="74" t="str">
        <f t="shared" si="449"/>
        <v/>
      </c>
      <c r="AE1346" s="74" t="str">
        <f t="shared" si="450"/>
        <v/>
      </c>
      <c r="AF1346" s="74" t="str">
        <f t="shared" si="451"/>
        <v/>
      </c>
      <c r="AG1346" s="74" t="str">
        <f t="shared" si="452"/>
        <v/>
      </c>
      <c r="AH1346" s="74">
        <f t="shared" si="453"/>
        <v>0</v>
      </c>
      <c r="AI1346" s="74" t="str">
        <f>IF(AH1346&lt;&gt;0,COUNTIF(AH$3:AH1346,1),"")</f>
        <v/>
      </c>
      <c r="AJ1346" s="74">
        <f t="shared" si="454"/>
        <v>0</v>
      </c>
      <c r="AK1346" s="73" t="str">
        <f t="shared" si="455"/>
        <v/>
      </c>
      <c r="AL1346" s="73" t="str">
        <f t="shared" si="456"/>
        <v/>
      </c>
      <c r="AM1346" s="73" t="str">
        <f t="shared" si="457"/>
        <v/>
      </c>
      <c r="AN1346" s="73" t="str">
        <f t="shared" si="458"/>
        <v/>
      </c>
    </row>
    <row r="1347" spans="16:40" x14ac:dyDescent="0.25">
      <c r="P1347" s="73" t="str">
        <f t="shared" si="442"/>
        <v/>
      </c>
      <c r="Q1347" s="73" t="str">
        <f t="shared" si="443"/>
        <v/>
      </c>
      <c r="R1347" s="74" t="str">
        <f t="shared" si="444"/>
        <v/>
      </c>
      <c r="S1347" s="74" t="str">
        <f t="shared" si="445"/>
        <v/>
      </c>
      <c r="U1347" s="74" t="str">
        <f t="shared" si="441"/>
        <v/>
      </c>
      <c r="V1347" s="74" t="str">
        <f t="shared" si="441"/>
        <v/>
      </c>
      <c r="W1347" s="74" t="str">
        <f t="shared" si="441"/>
        <v/>
      </c>
      <c r="X1347" s="74" t="str">
        <f t="shared" si="441"/>
        <v/>
      </c>
      <c r="Y1347" s="74" t="str">
        <f t="shared" si="441"/>
        <v/>
      </c>
      <c r="Z1347" s="74" t="str">
        <f t="shared" si="446"/>
        <v/>
      </c>
      <c r="AA1347" s="74">
        <f t="shared" si="447"/>
        <v>0</v>
      </c>
      <c r="AB1347" s="74">
        <f t="shared" si="448"/>
        <v>0</v>
      </c>
      <c r="AC1347" s="74" t="str">
        <f t="shared" si="449"/>
        <v/>
      </c>
      <c r="AE1347" s="74" t="str">
        <f t="shared" si="450"/>
        <v/>
      </c>
      <c r="AF1347" s="74" t="str">
        <f t="shared" si="451"/>
        <v/>
      </c>
      <c r="AG1347" s="74" t="str">
        <f t="shared" si="452"/>
        <v/>
      </c>
      <c r="AH1347" s="74">
        <f t="shared" si="453"/>
        <v>0</v>
      </c>
      <c r="AI1347" s="74" t="str">
        <f>IF(AH1347&lt;&gt;0,COUNTIF(AH$3:AH1347,1),"")</f>
        <v/>
      </c>
      <c r="AJ1347" s="74">
        <f t="shared" si="454"/>
        <v>0</v>
      </c>
      <c r="AK1347" s="73" t="str">
        <f t="shared" si="455"/>
        <v/>
      </c>
      <c r="AL1347" s="73" t="str">
        <f t="shared" si="456"/>
        <v/>
      </c>
      <c r="AM1347" s="73" t="str">
        <f t="shared" si="457"/>
        <v/>
      </c>
      <c r="AN1347" s="73" t="str">
        <f t="shared" si="458"/>
        <v/>
      </c>
    </row>
    <row r="1348" spans="16:40" x14ac:dyDescent="0.25">
      <c r="P1348" s="73" t="str">
        <f t="shared" si="442"/>
        <v/>
      </c>
      <c r="Q1348" s="73" t="str">
        <f t="shared" si="443"/>
        <v/>
      </c>
      <c r="R1348" s="74" t="str">
        <f t="shared" si="444"/>
        <v/>
      </c>
      <c r="S1348" s="74" t="str">
        <f t="shared" si="445"/>
        <v/>
      </c>
      <c r="U1348" s="74" t="str">
        <f t="shared" si="441"/>
        <v/>
      </c>
      <c r="V1348" s="74" t="str">
        <f t="shared" si="441"/>
        <v/>
      </c>
      <c r="W1348" s="74" t="str">
        <f t="shared" si="441"/>
        <v/>
      </c>
      <c r="X1348" s="74" t="str">
        <f t="shared" si="441"/>
        <v/>
      </c>
      <c r="Y1348" s="74" t="str">
        <f t="shared" si="441"/>
        <v/>
      </c>
      <c r="Z1348" s="74" t="str">
        <f t="shared" si="446"/>
        <v/>
      </c>
      <c r="AA1348" s="74">
        <f t="shared" si="447"/>
        <v>0</v>
      </c>
      <c r="AB1348" s="74">
        <f t="shared" si="448"/>
        <v>0</v>
      </c>
      <c r="AC1348" s="74" t="str">
        <f t="shared" si="449"/>
        <v/>
      </c>
      <c r="AE1348" s="74" t="str">
        <f t="shared" si="450"/>
        <v/>
      </c>
      <c r="AF1348" s="74" t="str">
        <f t="shared" si="451"/>
        <v/>
      </c>
      <c r="AG1348" s="74" t="str">
        <f t="shared" si="452"/>
        <v/>
      </c>
      <c r="AH1348" s="74">
        <f t="shared" si="453"/>
        <v>0</v>
      </c>
      <c r="AI1348" s="74" t="str">
        <f>IF(AH1348&lt;&gt;0,COUNTIF(AH$3:AH1348,1),"")</f>
        <v/>
      </c>
      <c r="AJ1348" s="74">
        <f t="shared" si="454"/>
        <v>0</v>
      </c>
      <c r="AK1348" s="73" t="str">
        <f t="shared" si="455"/>
        <v/>
      </c>
      <c r="AL1348" s="73" t="str">
        <f t="shared" si="456"/>
        <v/>
      </c>
      <c r="AM1348" s="73" t="str">
        <f t="shared" si="457"/>
        <v/>
      </c>
      <c r="AN1348" s="73" t="str">
        <f t="shared" si="458"/>
        <v/>
      </c>
    </row>
    <row r="1349" spans="16:40" x14ac:dyDescent="0.25">
      <c r="P1349" s="73" t="str">
        <f t="shared" si="442"/>
        <v/>
      </c>
      <c r="Q1349" s="73" t="str">
        <f t="shared" si="443"/>
        <v/>
      </c>
      <c r="R1349" s="74" t="str">
        <f t="shared" si="444"/>
        <v/>
      </c>
      <c r="S1349" s="74" t="str">
        <f t="shared" si="445"/>
        <v/>
      </c>
      <c r="U1349" s="74" t="str">
        <f t="shared" si="441"/>
        <v/>
      </c>
      <c r="V1349" s="74" t="str">
        <f t="shared" si="441"/>
        <v/>
      </c>
      <c r="W1349" s="74" t="str">
        <f t="shared" si="441"/>
        <v/>
      </c>
      <c r="X1349" s="74" t="str">
        <f t="shared" si="441"/>
        <v/>
      </c>
      <c r="Y1349" s="74" t="str">
        <f t="shared" si="441"/>
        <v/>
      </c>
      <c r="Z1349" s="74" t="str">
        <f t="shared" si="446"/>
        <v/>
      </c>
      <c r="AA1349" s="74">
        <f t="shared" si="447"/>
        <v>0</v>
      </c>
      <c r="AB1349" s="74">
        <f t="shared" si="448"/>
        <v>0</v>
      </c>
      <c r="AC1349" s="74" t="str">
        <f t="shared" si="449"/>
        <v/>
      </c>
      <c r="AE1349" s="74" t="str">
        <f t="shared" si="450"/>
        <v/>
      </c>
      <c r="AF1349" s="74" t="str">
        <f t="shared" si="451"/>
        <v/>
      </c>
      <c r="AG1349" s="74" t="str">
        <f t="shared" si="452"/>
        <v/>
      </c>
      <c r="AH1349" s="74">
        <f t="shared" si="453"/>
        <v>0</v>
      </c>
      <c r="AI1349" s="74" t="str">
        <f>IF(AH1349&lt;&gt;0,COUNTIF(AH$3:AH1349,1),"")</f>
        <v/>
      </c>
      <c r="AJ1349" s="74">
        <f t="shared" si="454"/>
        <v>0</v>
      </c>
      <c r="AK1349" s="73" t="str">
        <f t="shared" si="455"/>
        <v/>
      </c>
      <c r="AL1349" s="73" t="str">
        <f t="shared" si="456"/>
        <v/>
      </c>
      <c r="AM1349" s="73" t="str">
        <f t="shared" si="457"/>
        <v/>
      </c>
      <c r="AN1349" s="73" t="str">
        <f t="shared" si="458"/>
        <v/>
      </c>
    </row>
    <row r="1350" spans="16:40" x14ac:dyDescent="0.25">
      <c r="P1350" s="73" t="str">
        <f t="shared" si="442"/>
        <v/>
      </c>
      <c r="Q1350" s="73" t="str">
        <f t="shared" si="443"/>
        <v/>
      </c>
      <c r="R1350" s="74" t="str">
        <f t="shared" si="444"/>
        <v/>
      </c>
      <c r="S1350" s="74" t="str">
        <f t="shared" si="445"/>
        <v/>
      </c>
      <c r="U1350" s="74" t="str">
        <f t="shared" si="441"/>
        <v/>
      </c>
      <c r="V1350" s="74" t="str">
        <f t="shared" si="441"/>
        <v/>
      </c>
      <c r="W1350" s="74" t="str">
        <f t="shared" si="441"/>
        <v/>
      </c>
      <c r="X1350" s="74" t="str">
        <f t="shared" si="441"/>
        <v/>
      </c>
      <c r="Y1350" s="74" t="str">
        <f t="shared" si="441"/>
        <v/>
      </c>
      <c r="Z1350" s="74" t="str">
        <f t="shared" si="446"/>
        <v/>
      </c>
      <c r="AA1350" s="74">
        <f t="shared" si="447"/>
        <v>0</v>
      </c>
      <c r="AB1350" s="74">
        <f t="shared" si="448"/>
        <v>0</v>
      </c>
      <c r="AC1350" s="74" t="str">
        <f t="shared" si="449"/>
        <v/>
      </c>
      <c r="AE1350" s="74" t="str">
        <f t="shared" si="450"/>
        <v/>
      </c>
      <c r="AF1350" s="74" t="str">
        <f t="shared" si="451"/>
        <v/>
      </c>
      <c r="AG1350" s="74" t="str">
        <f t="shared" si="452"/>
        <v/>
      </c>
      <c r="AH1350" s="74">
        <f t="shared" si="453"/>
        <v>0</v>
      </c>
      <c r="AI1350" s="74" t="str">
        <f>IF(AH1350&lt;&gt;0,COUNTIF(AH$3:AH1350,1),"")</f>
        <v/>
      </c>
      <c r="AJ1350" s="74">
        <f t="shared" si="454"/>
        <v>0</v>
      </c>
      <c r="AK1350" s="73" t="str">
        <f t="shared" si="455"/>
        <v/>
      </c>
      <c r="AL1350" s="73" t="str">
        <f t="shared" si="456"/>
        <v/>
      </c>
      <c r="AM1350" s="73" t="str">
        <f t="shared" si="457"/>
        <v/>
      </c>
      <c r="AN1350" s="73" t="str">
        <f t="shared" si="458"/>
        <v/>
      </c>
    </row>
    <row r="1351" spans="16:40" x14ac:dyDescent="0.25">
      <c r="P1351" s="73" t="str">
        <f t="shared" si="442"/>
        <v/>
      </c>
      <c r="Q1351" s="73" t="str">
        <f t="shared" si="443"/>
        <v/>
      </c>
      <c r="R1351" s="74" t="str">
        <f t="shared" si="444"/>
        <v/>
      </c>
      <c r="S1351" s="74" t="str">
        <f t="shared" si="445"/>
        <v/>
      </c>
      <c r="U1351" s="74" t="str">
        <f t="shared" si="441"/>
        <v/>
      </c>
      <c r="V1351" s="74" t="str">
        <f t="shared" si="441"/>
        <v/>
      </c>
      <c r="W1351" s="74" t="str">
        <f t="shared" si="441"/>
        <v/>
      </c>
      <c r="X1351" s="74" t="str">
        <f t="shared" si="441"/>
        <v/>
      </c>
      <c r="Y1351" s="74" t="str">
        <f t="shared" si="441"/>
        <v/>
      </c>
      <c r="Z1351" s="74" t="str">
        <f t="shared" si="446"/>
        <v/>
      </c>
      <c r="AA1351" s="74">
        <f t="shared" si="447"/>
        <v>0</v>
      </c>
      <c r="AB1351" s="74">
        <f t="shared" si="448"/>
        <v>0</v>
      </c>
      <c r="AC1351" s="74" t="str">
        <f t="shared" si="449"/>
        <v/>
      </c>
      <c r="AE1351" s="74" t="str">
        <f t="shared" si="450"/>
        <v/>
      </c>
      <c r="AF1351" s="74" t="str">
        <f t="shared" si="451"/>
        <v/>
      </c>
      <c r="AG1351" s="74" t="str">
        <f t="shared" si="452"/>
        <v/>
      </c>
      <c r="AH1351" s="74">
        <f t="shared" si="453"/>
        <v>0</v>
      </c>
      <c r="AI1351" s="74" t="str">
        <f>IF(AH1351&lt;&gt;0,COUNTIF(AH$3:AH1351,1),"")</f>
        <v/>
      </c>
      <c r="AJ1351" s="74">
        <f t="shared" si="454"/>
        <v>0</v>
      </c>
      <c r="AK1351" s="73" t="str">
        <f t="shared" si="455"/>
        <v/>
      </c>
      <c r="AL1351" s="73" t="str">
        <f t="shared" si="456"/>
        <v/>
      </c>
      <c r="AM1351" s="73" t="str">
        <f t="shared" si="457"/>
        <v/>
      </c>
      <c r="AN1351" s="73" t="str">
        <f t="shared" si="458"/>
        <v/>
      </c>
    </row>
    <row r="1352" spans="16:40" x14ac:dyDescent="0.25">
      <c r="P1352" s="73" t="str">
        <f t="shared" si="442"/>
        <v/>
      </c>
      <c r="Q1352" s="73" t="str">
        <f t="shared" si="443"/>
        <v/>
      </c>
      <c r="R1352" s="74" t="str">
        <f t="shared" si="444"/>
        <v/>
      </c>
      <c r="S1352" s="74" t="str">
        <f t="shared" si="445"/>
        <v/>
      </c>
      <c r="U1352" s="74" t="str">
        <f t="shared" si="441"/>
        <v/>
      </c>
      <c r="V1352" s="74" t="str">
        <f t="shared" si="441"/>
        <v/>
      </c>
      <c r="W1352" s="74" t="str">
        <f t="shared" si="441"/>
        <v/>
      </c>
      <c r="X1352" s="74" t="str">
        <f t="shared" si="441"/>
        <v/>
      </c>
      <c r="Y1352" s="74" t="str">
        <f t="shared" si="441"/>
        <v/>
      </c>
      <c r="Z1352" s="74" t="str">
        <f t="shared" si="446"/>
        <v/>
      </c>
      <c r="AA1352" s="74">
        <f t="shared" si="447"/>
        <v>0</v>
      </c>
      <c r="AB1352" s="74">
        <f t="shared" si="448"/>
        <v>0</v>
      </c>
      <c r="AC1352" s="74" t="str">
        <f t="shared" si="449"/>
        <v/>
      </c>
      <c r="AE1352" s="74" t="str">
        <f t="shared" si="450"/>
        <v/>
      </c>
      <c r="AF1352" s="74" t="str">
        <f t="shared" si="451"/>
        <v/>
      </c>
      <c r="AG1352" s="74" t="str">
        <f t="shared" si="452"/>
        <v/>
      </c>
      <c r="AH1352" s="74">
        <f t="shared" si="453"/>
        <v>0</v>
      </c>
      <c r="AI1352" s="74" t="str">
        <f>IF(AH1352&lt;&gt;0,COUNTIF(AH$3:AH1352,1),"")</f>
        <v/>
      </c>
      <c r="AJ1352" s="74">
        <f t="shared" si="454"/>
        <v>0</v>
      </c>
      <c r="AK1352" s="73" t="str">
        <f t="shared" si="455"/>
        <v/>
      </c>
      <c r="AL1352" s="73" t="str">
        <f t="shared" si="456"/>
        <v/>
      </c>
      <c r="AM1352" s="73" t="str">
        <f t="shared" si="457"/>
        <v/>
      </c>
      <c r="AN1352" s="73" t="str">
        <f t="shared" si="458"/>
        <v/>
      </c>
    </row>
    <row r="1353" spans="16:40" x14ac:dyDescent="0.25">
      <c r="P1353" s="73" t="str">
        <f t="shared" si="442"/>
        <v/>
      </c>
      <c r="Q1353" s="73" t="str">
        <f t="shared" si="443"/>
        <v/>
      </c>
      <c r="R1353" s="74" t="str">
        <f t="shared" si="444"/>
        <v/>
      </c>
      <c r="S1353" s="74" t="str">
        <f t="shared" si="445"/>
        <v/>
      </c>
      <c r="U1353" s="74" t="str">
        <f t="shared" si="441"/>
        <v/>
      </c>
      <c r="V1353" s="74" t="str">
        <f t="shared" si="441"/>
        <v/>
      </c>
      <c r="W1353" s="74" t="str">
        <f t="shared" si="441"/>
        <v/>
      </c>
      <c r="X1353" s="74" t="str">
        <f t="shared" si="441"/>
        <v/>
      </c>
      <c r="Y1353" s="74" t="str">
        <f t="shared" si="441"/>
        <v/>
      </c>
      <c r="Z1353" s="74" t="str">
        <f t="shared" si="446"/>
        <v/>
      </c>
      <c r="AA1353" s="74">
        <f t="shared" si="447"/>
        <v>0</v>
      </c>
      <c r="AB1353" s="74">
        <f t="shared" si="448"/>
        <v>0</v>
      </c>
      <c r="AC1353" s="74" t="str">
        <f t="shared" si="449"/>
        <v/>
      </c>
      <c r="AE1353" s="74" t="str">
        <f t="shared" si="450"/>
        <v/>
      </c>
      <c r="AF1353" s="74" t="str">
        <f t="shared" si="451"/>
        <v/>
      </c>
      <c r="AG1353" s="74" t="str">
        <f t="shared" si="452"/>
        <v/>
      </c>
      <c r="AH1353" s="74">
        <f t="shared" si="453"/>
        <v>0</v>
      </c>
      <c r="AI1353" s="74" t="str">
        <f>IF(AH1353&lt;&gt;0,COUNTIF(AH$3:AH1353,1),"")</f>
        <v/>
      </c>
      <c r="AJ1353" s="74">
        <f t="shared" si="454"/>
        <v>0</v>
      </c>
      <c r="AK1353" s="73" t="str">
        <f t="shared" si="455"/>
        <v/>
      </c>
      <c r="AL1353" s="73" t="str">
        <f t="shared" si="456"/>
        <v/>
      </c>
      <c r="AM1353" s="73" t="str">
        <f t="shared" si="457"/>
        <v/>
      </c>
      <c r="AN1353" s="73" t="str">
        <f t="shared" si="458"/>
        <v/>
      </c>
    </row>
    <row r="1354" spans="16:40" x14ac:dyDescent="0.25">
      <c r="P1354" s="73" t="str">
        <f t="shared" si="442"/>
        <v/>
      </c>
      <c r="Q1354" s="73" t="str">
        <f t="shared" si="443"/>
        <v/>
      </c>
      <c r="R1354" s="74" t="str">
        <f t="shared" si="444"/>
        <v/>
      </c>
      <c r="S1354" s="74" t="str">
        <f t="shared" si="445"/>
        <v/>
      </c>
      <c r="U1354" s="74" t="str">
        <f t="shared" si="441"/>
        <v/>
      </c>
      <c r="V1354" s="74" t="str">
        <f t="shared" si="441"/>
        <v/>
      </c>
      <c r="W1354" s="74" t="str">
        <f t="shared" si="441"/>
        <v/>
      </c>
      <c r="X1354" s="74" t="str">
        <f t="shared" si="441"/>
        <v/>
      </c>
      <c r="Y1354" s="74" t="str">
        <f t="shared" si="441"/>
        <v/>
      </c>
      <c r="Z1354" s="74" t="str">
        <f t="shared" si="446"/>
        <v/>
      </c>
      <c r="AA1354" s="74">
        <f t="shared" si="447"/>
        <v>0</v>
      </c>
      <c r="AB1354" s="74">
        <f t="shared" si="448"/>
        <v>0</v>
      </c>
      <c r="AC1354" s="74" t="str">
        <f t="shared" si="449"/>
        <v/>
      </c>
      <c r="AE1354" s="74" t="str">
        <f t="shared" si="450"/>
        <v/>
      </c>
      <c r="AF1354" s="74" t="str">
        <f t="shared" si="451"/>
        <v/>
      </c>
      <c r="AG1354" s="74" t="str">
        <f t="shared" si="452"/>
        <v/>
      </c>
      <c r="AH1354" s="74">
        <f t="shared" si="453"/>
        <v>0</v>
      </c>
      <c r="AI1354" s="74" t="str">
        <f>IF(AH1354&lt;&gt;0,COUNTIF(AH$3:AH1354,1),"")</f>
        <v/>
      </c>
      <c r="AJ1354" s="74">
        <f t="shared" si="454"/>
        <v>0</v>
      </c>
      <c r="AK1354" s="73" t="str">
        <f t="shared" si="455"/>
        <v/>
      </c>
      <c r="AL1354" s="73" t="str">
        <f t="shared" si="456"/>
        <v/>
      </c>
      <c r="AM1354" s="73" t="str">
        <f t="shared" si="457"/>
        <v/>
      </c>
      <c r="AN1354" s="73" t="str">
        <f t="shared" si="458"/>
        <v/>
      </c>
    </row>
    <row r="1355" spans="16:40" x14ac:dyDescent="0.25">
      <c r="P1355" s="73" t="str">
        <f t="shared" si="442"/>
        <v/>
      </c>
      <c r="Q1355" s="73" t="str">
        <f t="shared" si="443"/>
        <v/>
      </c>
      <c r="R1355" s="74" t="str">
        <f t="shared" si="444"/>
        <v/>
      </c>
      <c r="S1355" s="74" t="str">
        <f t="shared" si="445"/>
        <v/>
      </c>
      <c r="U1355" s="74" t="str">
        <f t="shared" si="441"/>
        <v/>
      </c>
      <c r="V1355" s="74" t="str">
        <f t="shared" si="441"/>
        <v/>
      </c>
      <c r="W1355" s="74" t="str">
        <f t="shared" si="441"/>
        <v/>
      </c>
      <c r="X1355" s="74" t="str">
        <f t="shared" si="441"/>
        <v/>
      </c>
      <c r="Y1355" s="74" t="str">
        <f t="shared" si="441"/>
        <v/>
      </c>
      <c r="Z1355" s="74" t="str">
        <f t="shared" si="446"/>
        <v/>
      </c>
      <c r="AA1355" s="74">
        <f t="shared" si="447"/>
        <v>0</v>
      </c>
      <c r="AB1355" s="74">
        <f t="shared" si="448"/>
        <v>0</v>
      </c>
      <c r="AC1355" s="74" t="str">
        <f t="shared" si="449"/>
        <v/>
      </c>
      <c r="AE1355" s="74" t="str">
        <f t="shared" si="450"/>
        <v/>
      </c>
      <c r="AF1355" s="74" t="str">
        <f t="shared" si="451"/>
        <v/>
      </c>
      <c r="AG1355" s="74" t="str">
        <f t="shared" si="452"/>
        <v/>
      </c>
      <c r="AH1355" s="74">
        <f t="shared" si="453"/>
        <v>0</v>
      </c>
      <c r="AI1355" s="74" t="str">
        <f>IF(AH1355&lt;&gt;0,COUNTIF(AH$3:AH1355,1),"")</f>
        <v/>
      </c>
      <c r="AJ1355" s="74">
        <f t="shared" si="454"/>
        <v>0</v>
      </c>
      <c r="AK1355" s="73" t="str">
        <f t="shared" si="455"/>
        <v/>
      </c>
      <c r="AL1355" s="73" t="str">
        <f t="shared" si="456"/>
        <v/>
      </c>
      <c r="AM1355" s="73" t="str">
        <f t="shared" si="457"/>
        <v/>
      </c>
      <c r="AN1355" s="73" t="str">
        <f t="shared" si="458"/>
        <v/>
      </c>
    </row>
    <row r="1356" spans="16:40" x14ac:dyDescent="0.25">
      <c r="P1356" s="73" t="str">
        <f t="shared" si="442"/>
        <v/>
      </c>
      <c r="Q1356" s="73" t="str">
        <f t="shared" si="443"/>
        <v/>
      </c>
      <c r="R1356" s="74" t="str">
        <f t="shared" si="444"/>
        <v/>
      </c>
      <c r="S1356" s="74" t="str">
        <f t="shared" si="445"/>
        <v/>
      </c>
      <c r="U1356" s="74" t="str">
        <f t="shared" si="441"/>
        <v/>
      </c>
      <c r="V1356" s="74" t="str">
        <f t="shared" si="441"/>
        <v/>
      </c>
      <c r="W1356" s="74" t="str">
        <f t="shared" si="441"/>
        <v/>
      </c>
      <c r="X1356" s="74" t="str">
        <f t="shared" si="441"/>
        <v/>
      </c>
      <c r="Y1356" s="74" t="str">
        <f t="shared" si="441"/>
        <v/>
      </c>
      <c r="Z1356" s="74" t="str">
        <f t="shared" si="446"/>
        <v/>
      </c>
      <c r="AA1356" s="74">
        <f t="shared" si="447"/>
        <v>0</v>
      </c>
      <c r="AB1356" s="74">
        <f t="shared" si="448"/>
        <v>0</v>
      </c>
      <c r="AC1356" s="74" t="str">
        <f t="shared" si="449"/>
        <v/>
      </c>
      <c r="AE1356" s="74" t="str">
        <f t="shared" si="450"/>
        <v/>
      </c>
      <c r="AF1356" s="74" t="str">
        <f t="shared" si="451"/>
        <v/>
      </c>
      <c r="AG1356" s="74" t="str">
        <f t="shared" si="452"/>
        <v/>
      </c>
      <c r="AH1356" s="74">
        <f t="shared" si="453"/>
        <v>0</v>
      </c>
      <c r="AI1356" s="74" t="str">
        <f>IF(AH1356&lt;&gt;0,COUNTIF(AH$3:AH1356,1),"")</f>
        <v/>
      </c>
      <c r="AJ1356" s="74">
        <f t="shared" si="454"/>
        <v>0</v>
      </c>
      <c r="AK1356" s="73" t="str">
        <f t="shared" si="455"/>
        <v/>
      </c>
      <c r="AL1356" s="73" t="str">
        <f t="shared" si="456"/>
        <v/>
      </c>
      <c r="AM1356" s="73" t="str">
        <f t="shared" si="457"/>
        <v/>
      </c>
      <c r="AN1356" s="73" t="str">
        <f t="shared" si="458"/>
        <v/>
      </c>
    </row>
    <row r="1357" spans="16:40" x14ac:dyDescent="0.25">
      <c r="P1357" s="73" t="str">
        <f t="shared" si="442"/>
        <v/>
      </c>
      <c r="Q1357" s="73" t="str">
        <f t="shared" si="443"/>
        <v/>
      </c>
      <c r="R1357" s="74" t="str">
        <f t="shared" si="444"/>
        <v/>
      </c>
      <c r="S1357" s="74" t="str">
        <f t="shared" si="445"/>
        <v/>
      </c>
      <c r="U1357" s="74" t="str">
        <f t="shared" si="441"/>
        <v/>
      </c>
      <c r="V1357" s="74" t="str">
        <f t="shared" si="441"/>
        <v/>
      </c>
      <c r="W1357" s="74" t="str">
        <f t="shared" si="441"/>
        <v/>
      </c>
      <c r="X1357" s="74" t="str">
        <f t="shared" si="441"/>
        <v/>
      </c>
      <c r="Y1357" s="74" t="str">
        <f t="shared" si="441"/>
        <v/>
      </c>
      <c r="Z1357" s="74" t="str">
        <f t="shared" si="446"/>
        <v/>
      </c>
      <c r="AA1357" s="74">
        <f t="shared" si="447"/>
        <v>0</v>
      </c>
      <c r="AB1357" s="74">
        <f t="shared" si="448"/>
        <v>0</v>
      </c>
      <c r="AC1357" s="74" t="str">
        <f t="shared" si="449"/>
        <v/>
      </c>
      <c r="AE1357" s="74" t="str">
        <f t="shared" si="450"/>
        <v/>
      </c>
      <c r="AF1357" s="74" t="str">
        <f t="shared" si="451"/>
        <v/>
      </c>
      <c r="AG1357" s="74" t="str">
        <f t="shared" si="452"/>
        <v/>
      </c>
      <c r="AH1357" s="74">
        <f t="shared" si="453"/>
        <v>0</v>
      </c>
      <c r="AI1357" s="74" t="str">
        <f>IF(AH1357&lt;&gt;0,COUNTIF(AH$3:AH1357,1),"")</f>
        <v/>
      </c>
      <c r="AJ1357" s="74">
        <f t="shared" si="454"/>
        <v>0</v>
      </c>
      <c r="AK1357" s="73" t="str">
        <f t="shared" si="455"/>
        <v/>
      </c>
      <c r="AL1357" s="73" t="str">
        <f t="shared" si="456"/>
        <v/>
      </c>
      <c r="AM1357" s="73" t="str">
        <f t="shared" si="457"/>
        <v/>
      </c>
      <c r="AN1357" s="73" t="str">
        <f t="shared" si="458"/>
        <v/>
      </c>
    </row>
    <row r="1358" spans="16:40" x14ac:dyDescent="0.25">
      <c r="P1358" s="73" t="str">
        <f t="shared" si="442"/>
        <v/>
      </c>
      <c r="Q1358" s="73" t="str">
        <f t="shared" si="443"/>
        <v/>
      </c>
      <c r="R1358" s="74" t="str">
        <f t="shared" si="444"/>
        <v/>
      </c>
      <c r="S1358" s="74" t="str">
        <f t="shared" si="445"/>
        <v/>
      </c>
      <c r="U1358" s="74" t="str">
        <f t="shared" si="441"/>
        <v/>
      </c>
      <c r="V1358" s="74" t="str">
        <f t="shared" si="441"/>
        <v/>
      </c>
      <c r="W1358" s="74" t="str">
        <f t="shared" si="441"/>
        <v/>
      </c>
      <c r="X1358" s="74" t="str">
        <f t="shared" si="441"/>
        <v/>
      </c>
      <c r="Y1358" s="74" t="str">
        <f t="shared" si="441"/>
        <v/>
      </c>
      <c r="Z1358" s="74" t="str">
        <f t="shared" si="446"/>
        <v/>
      </c>
      <c r="AA1358" s="74">
        <f t="shared" si="447"/>
        <v>0</v>
      </c>
      <c r="AB1358" s="74">
        <f t="shared" si="448"/>
        <v>0</v>
      </c>
      <c r="AC1358" s="74" t="str">
        <f t="shared" si="449"/>
        <v/>
      </c>
      <c r="AE1358" s="74" t="str">
        <f t="shared" si="450"/>
        <v/>
      </c>
      <c r="AF1358" s="74" t="str">
        <f t="shared" si="451"/>
        <v/>
      </c>
      <c r="AG1358" s="74" t="str">
        <f t="shared" si="452"/>
        <v/>
      </c>
      <c r="AH1358" s="74">
        <f t="shared" si="453"/>
        <v>0</v>
      </c>
      <c r="AI1358" s="74" t="str">
        <f>IF(AH1358&lt;&gt;0,COUNTIF(AH$3:AH1358,1),"")</f>
        <v/>
      </c>
      <c r="AJ1358" s="74">
        <f t="shared" si="454"/>
        <v>0</v>
      </c>
      <c r="AK1358" s="73" t="str">
        <f t="shared" si="455"/>
        <v/>
      </c>
      <c r="AL1358" s="73" t="str">
        <f t="shared" si="456"/>
        <v/>
      </c>
      <c r="AM1358" s="73" t="str">
        <f t="shared" si="457"/>
        <v/>
      </c>
      <c r="AN1358" s="73" t="str">
        <f t="shared" si="458"/>
        <v/>
      </c>
    </row>
    <row r="1359" spans="16:40" x14ac:dyDescent="0.25">
      <c r="P1359" s="73" t="str">
        <f t="shared" si="442"/>
        <v/>
      </c>
      <c r="Q1359" s="73" t="str">
        <f t="shared" si="443"/>
        <v/>
      </c>
      <c r="R1359" s="74" t="str">
        <f t="shared" si="444"/>
        <v/>
      </c>
      <c r="S1359" s="74" t="str">
        <f t="shared" si="445"/>
        <v/>
      </c>
      <c r="U1359" s="74" t="str">
        <f t="shared" si="441"/>
        <v/>
      </c>
      <c r="V1359" s="74" t="str">
        <f t="shared" si="441"/>
        <v/>
      </c>
      <c r="W1359" s="74" t="str">
        <f t="shared" si="441"/>
        <v/>
      </c>
      <c r="X1359" s="74" t="str">
        <f t="shared" si="441"/>
        <v/>
      </c>
      <c r="Y1359" s="74" t="str">
        <f t="shared" si="441"/>
        <v/>
      </c>
      <c r="Z1359" s="74" t="str">
        <f t="shared" si="446"/>
        <v/>
      </c>
      <c r="AA1359" s="74">
        <f t="shared" si="447"/>
        <v>0</v>
      </c>
      <c r="AB1359" s="74">
        <f t="shared" si="448"/>
        <v>0</v>
      </c>
      <c r="AC1359" s="74" t="str">
        <f t="shared" si="449"/>
        <v/>
      </c>
      <c r="AE1359" s="74" t="str">
        <f t="shared" si="450"/>
        <v/>
      </c>
      <c r="AF1359" s="74" t="str">
        <f t="shared" si="451"/>
        <v/>
      </c>
      <c r="AG1359" s="74" t="str">
        <f t="shared" si="452"/>
        <v/>
      </c>
      <c r="AH1359" s="74">
        <f t="shared" si="453"/>
        <v>0</v>
      </c>
      <c r="AI1359" s="74" t="str">
        <f>IF(AH1359&lt;&gt;0,COUNTIF(AH$3:AH1359,1),"")</f>
        <v/>
      </c>
      <c r="AJ1359" s="74">
        <f t="shared" si="454"/>
        <v>0</v>
      </c>
      <c r="AK1359" s="73" t="str">
        <f t="shared" si="455"/>
        <v/>
      </c>
      <c r="AL1359" s="73" t="str">
        <f t="shared" si="456"/>
        <v/>
      </c>
      <c r="AM1359" s="73" t="str">
        <f t="shared" si="457"/>
        <v/>
      </c>
      <c r="AN1359" s="73" t="str">
        <f t="shared" si="458"/>
        <v/>
      </c>
    </row>
    <row r="1360" spans="16:40" x14ac:dyDescent="0.25">
      <c r="P1360" s="73" t="str">
        <f t="shared" si="442"/>
        <v/>
      </c>
      <c r="Q1360" s="73" t="str">
        <f t="shared" si="443"/>
        <v/>
      </c>
      <c r="R1360" s="74" t="str">
        <f t="shared" si="444"/>
        <v/>
      </c>
      <c r="S1360" s="74" t="str">
        <f t="shared" si="445"/>
        <v/>
      </c>
      <c r="U1360" s="74" t="str">
        <f t="shared" si="441"/>
        <v/>
      </c>
      <c r="V1360" s="74" t="str">
        <f t="shared" si="441"/>
        <v/>
      </c>
      <c r="W1360" s="74" t="str">
        <f t="shared" si="441"/>
        <v/>
      </c>
      <c r="X1360" s="74" t="str">
        <f t="shared" si="441"/>
        <v/>
      </c>
      <c r="Y1360" s="74" t="str">
        <f t="shared" si="441"/>
        <v/>
      </c>
      <c r="Z1360" s="74" t="str">
        <f t="shared" si="446"/>
        <v/>
      </c>
      <c r="AA1360" s="74">
        <f t="shared" si="447"/>
        <v>0</v>
      </c>
      <c r="AB1360" s="74">
        <f t="shared" si="448"/>
        <v>0</v>
      </c>
      <c r="AC1360" s="74" t="str">
        <f t="shared" si="449"/>
        <v/>
      </c>
      <c r="AE1360" s="74" t="str">
        <f t="shared" si="450"/>
        <v/>
      </c>
      <c r="AF1360" s="74" t="str">
        <f t="shared" si="451"/>
        <v/>
      </c>
      <c r="AG1360" s="74" t="str">
        <f t="shared" si="452"/>
        <v/>
      </c>
      <c r="AH1360" s="74">
        <f t="shared" si="453"/>
        <v>0</v>
      </c>
      <c r="AI1360" s="74" t="str">
        <f>IF(AH1360&lt;&gt;0,COUNTIF(AH$3:AH1360,1),"")</f>
        <v/>
      </c>
      <c r="AJ1360" s="74">
        <f t="shared" si="454"/>
        <v>0</v>
      </c>
      <c r="AK1360" s="73" t="str">
        <f t="shared" si="455"/>
        <v/>
      </c>
      <c r="AL1360" s="73" t="str">
        <f t="shared" si="456"/>
        <v/>
      </c>
      <c r="AM1360" s="73" t="str">
        <f t="shared" si="457"/>
        <v/>
      </c>
      <c r="AN1360" s="73" t="str">
        <f t="shared" si="458"/>
        <v/>
      </c>
    </row>
    <row r="1361" spans="16:40" x14ac:dyDescent="0.25">
      <c r="P1361" s="73" t="str">
        <f t="shared" si="442"/>
        <v/>
      </c>
      <c r="Q1361" s="73" t="str">
        <f t="shared" si="443"/>
        <v/>
      </c>
      <c r="R1361" s="74" t="str">
        <f t="shared" si="444"/>
        <v/>
      </c>
      <c r="S1361" s="74" t="str">
        <f t="shared" si="445"/>
        <v/>
      </c>
      <c r="U1361" s="74" t="str">
        <f t="shared" si="441"/>
        <v/>
      </c>
      <c r="V1361" s="74" t="str">
        <f t="shared" si="441"/>
        <v/>
      </c>
      <c r="W1361" s="74" t="str">
        <f t="shared" si="441"/>
        <v/>
      </c>
      <c r="X1361" s="74" t="str">
        <f t="shared" si="441"/>
        <v/>
      </c>
      <c r="Y1361" s="74" t="str">
        <f t="shared" si="441"/>
        <v/>
      </c>
      <c r="Z1361" s="74" t="str">
        <f t="shared" si="446"/>
        <v/>
      </c>
      <c r="AA1361" s="74">
        <f t="shared" si="447"/>
        <v>0</v>
      </c>
      <c r="AB1361" s="74">
        <f t="shared" si="448"/>
        <v>0</v>
      </c>
      <c r="AC1361" s="74" t="str">
        <f t="shared" si="449"/>
        <v/>
      </c>
      <c r="AE1361" s="74" t="str">
        <f t="shared" si="450"/>
        <v/>
      </c>
      <c r="AF1361" s="74" t="str">
        <f t="shared" si="451"/>
        <v/>
      </c>
      <c r="AG1361" s="74" t="str">
        <f t="shared" si="452"/>
        <v/>
      </c>
      <c r="AH1361" s="74">
        <f t="shared" si="453"/>
        <v>0</v>
      </c>
      <c r="AI1361" s="74" t="str">
        <f>IF(AH1361&lt;&gt;0,COUNTIF(AH$3:AH1361,1),"")</f>
        <v/>
      </c>
      <c r="AJ1361" s="74">
        <f t="shared" si="454"/>
        <v>0</v>
      </c>
      <c r="AK1361" s="73" t="str">
        <f t="shared" si="455"/>
        <v/>
      </c>
      <c r="AL1361" s="73" t="str">
        <f t="shared" si="456"/>
        <v/>
      </c>
      <c r="AM1361" s="73" t="str">
        <f t="shared" si="457"/>
        <v/>
      </c>
      <c r="AN1361" s="73" t="str">
        <f t="shared" si="458"/>
        <v/>
      </c>
    </row>
    <row r="1362" spans="16:40" x14ac:dyDescent="0.25">
      <c r="P1362" s="73" t="str">
        <f t="shared" si="442"/>
        <v/>
      </c>
      <c r="Q1362" s="73" t="str">
        <f t="shared" si="443"/>
        <v/>
      </c>
      <c r="R1362" s="74" t="str">
        <f t="shared" si="444"/>
        <v/>
      </c>
      <c r="S1362" s="74" t="str">
        <f t="shared" si="445"/>
        <v/>
      </c>
      <c r="U1362" s="74" t="str">
        <f t="shared" si="441"/>
        <v/>
      </c>
      <c r="V1362" s="74" t="str">
        <f t="shared" si="441"/>
        <v/>
      </c>
      <c r="W1362" s="74" t="str">
        <f t="shared" si="441"/>
        <v/>
      </c>
      <c r="X1362" s="74" t="str">
        <f t="shared" si="441"/>
        <v/>
      </c>
      <c r="Y1362" s="74" t="str">
        <f t="shared" si="441"/>
        <v/>
      </c>
      <c r="Z1362" s="74" t="str">
        <f t="shared" si="446"/>
        <v/>
      </c>
      <c r="AA1362" s="74">
        <f t="shared" si="447"/>
        <v>0</v>
      </c>
      <c r="AB1362" s="74">
        <f t="shared" si="448"/>
        <v>0</v>
      </c>
      <c r="AC1362" s="74" t="str">
        <f t="shared" si="449"/>
        <v/>
      </c>
      <c r="AE1362" s="74" t="str">
        <f t="shared" si="450"/>
        <v/>
      </c>
      <c r="AF1362" s="74" t="str">
        <f t="shared" si="451"/>
        <v/>
      </c>
      <c r="AG1362" s="74" t="str">
        <f t="shared" si="452"/>
        <v/>
      </c>
      <c r="AH1362" s="74">
        <f t="shared" si="453"/>
        <v>0</v>
      </c>
      <c r="AI1362" s="74" t="str">
        <f>IF(AH1362&lt;&gt;0,COUNTIF(AH$3:AH1362,1),"")</f>
        <v/>
      </c>
      <c r="AJ1362" s="74">
        <f t="shared" si="454"/>
        <v>0</v>
      </c>
      <c r="AK1362" s="73" t="str">
        <f t="shared" si="455"/>
        <v/>
      </c>
      <c r="AL1362" s="73" t="str">
        <f t="shared" si="456"/>
        <v/>
      </c>
      <c r="AM1362" s="73" t="str">
        <f t="shared" si="457"/>
        <v/>
      </c>
      <c r="AN1362" s="73" t="str">
        <f t="shared" si="458"/>
        <v/>
      </c>
    </row>
    <row r="1363" spans="16:40" x14ac:dyDescent="0.25">
      <c r="P1363" s="73" t="str">
        <f t="shared" si="442"/>
        <v/>
      </c>
      <c r="Q1363" s="73" t="str">
        <f t="shared" si="443"/>
        <v/>
      </c>
      <c r="R1363" s="74" t="str">
        <f t="shared" si="444"/>
        <v/>
      </c>
      <c r="S1363" s="74" t="str">
        <f t="shared" si="445"/>
        <v/>
      </c>
      <c r="U1363" s="74" t="str">
        <f t="shared" ref="U1363:Y1413" si="459">IF($F1363=U$1,$E1363,"")</f>
        <v/>
      </c>
      <c r="V1363" s="74" t="str">
        <f t="shared" si="459"/>
        <v/>
      </c>
      <c r="W1363" s="74" t="str">
        <f t="shared" si="459"/>
        <v/>
      </c>
      <c r="X1363" s="74" t="str">
        <f t="shared" si="459"/>
        <v/>
      </c>
      <c r="Y1363" s="74" t="str">
        <f t="shared" si="459"/>
        <v/>
      </c>
      <c r="Z1363" s="74" t="str">
        <f t="shared" si="446"/>
        <v/>
      </c>
      <c r="AA1363" s="74">
        <f t="shared" si="447"/>
        <v>0</v>
      </c>
      <c r="AB1363" s="74">
        <f t="shared" si="448"/>
        <v>0</v>
      </c>
      <c r="AC1363" s="74" t="str">
        <f t="shared" si="449"/>
        <v/>
      </c>
      <c r="AE1363" s="74" t="str">
        <f t="shared" si="450"/>
        <v/>
      </c>
      <c r="AF1363" s="74" t="str">
        <f t="shared" si="451"/>
        <v/>
      </c>
      <c r="AG1363" s="74" t="str">
        <f t="shared" si="452"/>
        <v/>
      </c>
      <c r="AH1363" s="74">
        <f t="shared" si="453"/>
        <v>0</v>
      </c>
      <c r="AI1363" s="74" t="str">
        <f>IF(AH1363&lt;&gt;0,COUNTIF(AH$3:AH1363,1),"")</f>
        <v/>
      </c>
      <c r="AJ1363" s="74">
        <f t="shared" si="454"/>
        <v>0</v>
      </c>
      <c r="AK1363" s="73" t="str">
        <f t="shared" si="455"/>
        <v/>
      </c>
      <c r="AL1363" s="73" t="str">
        <f t="shared" si="456"/>
        <v/>
      </c>
      <c r="AM1363" s="73" t="str">
        <f t="shared" si="457"/>
        <v/>
      </c>
      <c r="AN1363" s="73" t="str">
        <f t="shared" si="458"/>
        <v/>
      </c>
    </row>
    <row r="1364" spans="16:40" x14ac:dyDescent="0.25">
      <c r="P1364" s="73" t="str">
        <f t="shared" si="442"/>
        <v/>
      </c>
      <c r="Q1364" s="73" t="str">
        <f t="shared" si="443"/>
        <v/>
      </c>
      <c r="R1364" s="74" t="str">
        <f t="shared" si="444"/>
        <v/>
      </c>
      <c r="S1364" s="74" t="str">
        <f t="shared" si="445"/>
        <v/>
      </c>
      <c r="U1364" s="74" t="str">
        <f t="shared" si="459"/>
        <v/>
      </c>
      <c r="V1364" s="74" t="str">
        <f t="shared" si="459"/>
        <v/>
      </c>
      <c r="W1364" s="74" t="str">
        <f t="shared" si="459"/>
        <v/>
      </c>
      <c r="X1364" s="74" t="str">
        <f t="shared" si="459"/>
        <v/>
      </c>
      <c r="Y1364" s="74" t="str">
        <f t="shared" si="459"/>
        <v/>
      </c>
      <c r="Z1364" s="74" t="str">
        <f t="shared" si="446"/>
        <v/>
      </c>
      <c r="AA1364" s="74">
        <f t="shared" si="447"/>
        <v>0</v>
      </c>
      <c r="AB1364" s="74">
        <f t="shared" si="448"/>
        <v>0</v>
      </c>
      <c r="AC1364" s="74" t="str">
        <f t="shared" si="449"/>
        <v/>
      </c>
      <c r="AE1364" s="74" t="str">
        <f t="shared" si="450"/>
        <v/>
      </c>
      <c r="AF1364" s="74" t="str">
        <f t="shared" si="451"/>
        <v/>
      </c>
      <c r="AG1364" s="74" t="str">
        <f t="shared" si="452"/>
        <v/>
      </c>
      <c r="AH1364" s="74">
        <f t="shared" si="453"/>
        <v>0</v>
      </c>
      <c r="AI1364" s="74" t="str">
        <f>IF(AH1364&lt;&gt;0,COUNTIF(AH$3:AH1364,1),"")</f>
        <v/>
      </c>
      <c r="AJ1364" s="74">
        <f t="shared" si="454"/>
        <v>0</v>
      </c>
      <c r="AK1364" s="73" t="str">
        <f t="shared" si="455"/>
        <v/>
      </c>
      <c r="AL1364" s="73" t="str">
        <f t="shared" si="456"/>
        <v/>
      </c>
      <c r="AM1364" s="73" t="str">
        <f t="shared" si="457"/>
        <v/>
      </c>
      <c r="AN1364" s="73" t="str">
        <f t="shared" si="458"/>
        <v/>
      </c>
    </row>
    <row r="1365" spans="16:40" x14ac:dyDescent="0.25">
      <c r="P1365" s="73" t="str">
        <f t="shared" si="442"/>
        <v/>
      </c>
      <c r="Q1365" s="73" t="str">
        <f t="shared" si="443"/>
        <v/>
      </c>
      <c r="R1365" s="74" t="str">
        <f t="shared" si="444"/>
        <v/>
      </c>
      <c r="S1365" s="74" t="str">
        <f t="shared" si="445"/>
        <v/>
      </c>
      <c r="U1365" s="74" t="str">
        <f t="shared" si="459"/>
        <v/>
      </c>
      <c r="V1365" s="74" t="str">
        <f t="shared" si="459"/>
        <v/>
      </c>
      <c r="W1365" s="74" t="str">
        <f t="shared" si="459"/>
        <v/>
      </c>
      <c r="X1365" s="74" t="str">
        <f t="shared" si="459"/>
        <v/>
      </c>
      <c r="Y1365" s="74" t="str">
        <f t="shared" si="459"/>
        <v/>
      </c>
      <c r="Z1365" s="74" t="str">
        <f t="shared" si="446"/>
        <v/>
      </c>
      <c r="AA1365" s="74">
        <f t="shared" si="447"/>
        <v>0</v>
      </c>
      <c r="AB1365" s="74">
        <f t="shared" si="448"/>
        <v>0</v>
      </c>
      <c r="AC1365" s="74" t="str">
        <f t="shared" si="449"/>
        <v/>
      </c>
      <c r="AE1365" s="74" t="str">
        <f t="shared" si="450"/>
        <v/>
      </c>
      <c r="AF1365" s="74" t="str">
        <f t="shared" si="451"/>
        <v/>
      </c>
      <c r="AG1365" s="74" t="str">
        <f t="shared" si="452"/>
        <v/>
      </c>
      <c r="AH1365" s="74">
        <f t="shared" si="453"/>
        <v>0</v>
      </c>
      <c r="AI1365" s="74" t="str">
        <f>IF(AH1365&lt;&gt;0,COUNTIF(AH$3:AH1365,1),"")</f>
        <v/>
      </c>
      <c r="AJ1365" s="74">
        <f t="shared" si="454"/>
        <v>0</v>
      </c>
      <c r="AK1365" s="73" t="str">
        <f t="shared" si="455"/>
        <v/>
      </c>
      <c r="AL1365" s="73" t="str">
        <f t="shared" si="456"/>
        <v/>
      </c>
      <c r="AM1365" s="73" t="str">
        <f t="shared" si="457"/>
        <v/>
      </c>
      <c r="AN1365" s="73" t="str">
        <f t="shared" si="458"/>
        <v/>
      </c>
    </row>
    <row r="1366" spans="16:40" x14ac:dyDescent="0.25">
      <c r="P1366" s="73" t="str">
        <f t="shared" si="442"/>
        <v/>
      </c>
      <c r="Q1366" s="73" t="str">
        <f t="shared" si="443"/>
        <v/>
      </c>
      <c r="R1366" s="74" t="str">
        <f t="shared" si="444"/>
        <v/>
      </c>
      <c r="S1366" s="74" t="str">
        <f t="shared" si="445"/>
        <v/>
      </c>
      <c r="U1366" s="74" t="str">
        <f t="shared" si="459"/>
        <v/>
      </c>
      <c r="V1366" s="74" t="str">
        <f t="shared" si="459"/>
        <v/>
      </c>
      <c r="W1366" s="74" t="str">
        <f t="shared" si="459"/>
        <v/>
      </c>
      <c r="X1366" s="74" t="str">
        <f t="shared" si="459"/>
        <v/>
      </c>
      <c r="Y1366" s="74" t="str">
        <f t="shared" si="459"/>
        <v/>
      </c>
      <c r="Z1366" s="74" t="str">
        <f t="shared" si="446"/>
        <v/>
      </c>
      <c r="AA1366" s="74">
        <f t="shared" si="447"/>
        <v>0</v>
      </c>
      <c r="AB1366" s="74">
        <f t="shared" si="448"/>
        <v>0</v>
      </c>
      <c r="AC1366" s="74" t="str">
        <f t="shared" si="449"/>
        <v/>
      </c>
      <c r="AE1366" s="74" t="str">
        <f t="shared" si="450"/>
        <v/>
      </c>
      <c r="AF1366" s="74" t="str">
        <f t="shared" si="451"/>
        <v/>
      </c>
      <c r="AG1366" s="74" t="str">
        <f t="shared" si="452"/>
        <v/>
      </c>
      <c r="AH1366" s="74">
        <f t="shared" si="453"/>
        <v>0</v>
      </c>
      <c r="AI1366" s="74" t="str">
        <f>IF(AH1366&lt;&gt;0,COUNTIF(AH$3:AH1366,1),"")</f>
        <v/>
      </c>
      <c r="AJ1366" s="74">
        <f t="shared" si="454"/>
        <v>0</v>
      </c>
      <c r="AK1366" s="73" t="str">
        <f t="shared" si="455"/>
        <v/>
      </c>
      <c r="AL1366" s="73" t="str">
        <f t="shared" si="456"/>
        <v/>
      </c>
      <c r="AM1366" s="73" t="str">
        <f t="shared" si="457"/>
        <v/>
      </c>
      <c r="AN1366" s="73" t="str">
        <f t="shared" si="458"/>
        <v/>
      </c>
    </row>
    <row r="1367" spans="16:40" x14ac:dyDescent="0.25">
      <c r="P1367" s="73" t="str">
        <f t="shared" si="442"/>
        <v/>
      </c>
      <c r="Q1367" s="73" t="str">
        <f t="shared" si="443"/>
        <v/>
      </c>
      <c r="R1367" s="74" t="str">
        <f t="shared" si="444"/>
        <v/>
      </c>
      <c r="S1367" s="74" t="str">
        <f t="shared" si="445"/>
        <v/>
      </c>
      <c r="U1367" s="74" t="str">
        <f t="shared" si="459"/>
        <v/>
      </c>
      <c r="V1367" s="74" t="str">
        <f t="shared" si="459"/>
        <v/>
      </c>
      <c r="W1367" s="74" t="str">
        <f t="shared" si="459"/>
        <v/>
      </c>
      <c r="X1367" s="74" t="str">
        <f t="shared" si="459"/>
        <v/>
      </c>
      <c r="Y1367" s="74" t="str">
        <f t="shared" si="459"/>
        <v/>
      </c>
      <c r="Z1367" s="74" t="str">
        <f t="shared" si="446"/>
        <v/>
      </c>
      <c r="AA1367" s="74">
        <f t="shared" si="447"/>
        <v>0</v>
      </c>
      <c r="AB1367" s="74">
        <f t="shared" si="448"/>
        <v>0</v>
      </c>
      <c r="AC1367" s="74" t="str">
        <f t="shared" si="449"/>
        <v/>
      </c>
      <c r="AE1367" s="74" t="str">
        <f t="shared" si="450"/>
        <v/>
      </c>
      <c r="AF1367" s="74" t="str">
        <f t="shared" si="451"/>
        <v/>
      </c>
      <c r="AG1367" s="74" t="str">
        <f t="shared" si="452"/>
        <v/>
      </c>
      <c r="AH1367" s="74">
        <f t="shared" si="453"/>
        <v>0</v>
      </c>
      <c r="AI1367" s="74" t="str">
        <f>IF(AH1367&lt;&gt;0,COUNTIF(AH$3:AH1367,1),"")</f>
        <v/>
      </c>
      <c r="AJ1367" s="74">
        <f t="shared" si="454"/>
        <v>0</v>
      </c>
      <c r="AK1367" s="73" t="str">
        <f t="shared" si="455"/>
        <v/>
      </c>
      <c r="AL1367" s="73" t="str">
        <f t="shared" si="456"/>
        <v/>
      </c>
      <c r="AM1367" s="73" t="str">
        <f t="shared" si="457"/>
        <v/>
      </c>
      <c r="AN1367" s="73" t="str">
        <f t="shared" si="458"/>
        <v/>
      </c>
    </row>
    <row r="1368" spans="16:40" x14ac:dyDescent="0.25">
      <c r="P1368" s="73" t="str">
        <f t="shared" si="442"/>
        <v/>
      </c>
      <c r="Q1368" s="73" t="str">
        <f t="shared" si="443"/>
        <v/>
      </c>
      <c r="R1368" s="74" t="str">
        <f t="shared" si="444"/>
        <v/>
      </c>
      <c r="S1368" s="74" t="str">
        <f t="shared" si="445"/>
        <v/>
      </c>
      <c r="U1368" s="74" t="str">
        <f t="shared" si="459"/>
        <v/>
      </c>
      <c r="V1368" s="74" t="str">
        <f t="shared" si="459"/>
        <v/>
      </c>
      <c r="W1368" s="74" t="str">
        <f t="shared" si="459"/>
        <v/>
      </c>
      <c r="X1368" s="74" t="str">
        <f t="shared" si="459"/>
        <v/>
      </c>
      <c r="Y1368" s="74" t="str">
        <f t="shared" si="459"/>
        <v/>
      </c>
      <c r="Z1368" s="74" t="str">
        <f t="shared" si="446"/>
        <v/>
      </c>
      <c r="AA1368" s="74">
        <f t="shared" si="447"/>
        <v>0</v>
      </c>
      <c r="AB1368" s="74">
        <f t="shared" si="448"/>
        <v>0</v>
      </c>
      <c r="AC1368" s="74" t="str">
        <f t="shared" si="449"/>
        <v/>
      </c>
      <c r="AE1368" s="74" t="str">
        <f t="shared" si="450"/>
        <v/>
      </c>
      <c r="AF1368" s="74" t="str">
        <f t="shared" si="451"/>
        <v/>
      </c>
      <c r="AG1368" s="74" t="str">
        <f t="shared" si="452"/>
        <v/>
      </c>
      <c r="AH1368" s="74">
        <f t="shared" si="453"/>
        <v>0</v>
      </c>
      <c r="AI1368" s="74" t="str">
        <f>IF(AH1368&lt;&gt;0,COUNTIF(AH$3:AH1368,1),"")</f>
        <v/>
      </c>
      <c r="AJ1368" s="74">
        <f t="shared" si="454"/>
        <v>0</v>
      </c>
      <c r="AK1368" s="73" t="str">
        <f t="shared" si="455"/>
        <v/>
      </c>
      <c r="AL1368" s="73" t="str">
        <f t="shared" si="456"/>
        <v/>
      </c>
      <c r="AM1368" s="73" t="str">
        <f t="shared" si="457"/>
        <v/>
      </c>
      <c r="AN1368" s="73" t="str">
        <f t="shared" si="458"/>
        <v/>
      </c>
    </row>
    <row r="1369" spans="16:40" x14ac:dyDescent="0.25">
      <c r="P1369" s="73" t="str">
        <f t="shared" si="442"/>
        <v/>
      </c>
      <c r="Q1369" s="73" t="str">
        <f t="shared" si="443"/>
        <v/>
      </c>
      <c r="R1369" s="74" t="str">
        <f t="shared" si="444"/>
        <v/>
      </c>
      <c r="S1369" s="74" t="str">
        <f t="shared" si="445"/>
        <v/>
      </c>
      <c r="U1369" s="74" t="str">
        <f t="shared" si="459"/>
        <v/>
      </c>
      <c r="V1369" s="74" t="str">
        <f t="shared" si="459"/>
        <v/>
      </c>
      <c r="W1369" s="74" t="str">
        <f t="shared" si="459"/>
        <v/>
      </c>
      <c r="X1369" s="74" t="str">
        <f t="shared" si="459"/>
        <v/>
      </c>
      <c r="Y1369" s="74" t="str">
        <f t="shared" si="459"/>
        <v/>
      </c>
      <c r="Z1369" s="74" t="str">
        <f t="shared" si="446"/>
        <v/>
      </c>
      <c r="AA1369" s="74">
        <f t="shared" si="447"/>
        <v>0</v>
      </c>
      <c r="AB1369" s="74">
        <f t="shared" si="448"/>
        <v>0</v>
      </c>
      <c r="AC1369" s="74" t="str">
        <f t="shared" si="449"/>
        <v/>
      </c>
      <c r="AE1369" s="74" t="str">
        <f t="shared" si="450"/>
        <v/>
      </c>
      <c r="AF1369" s="74" t="str">
        <f t="shared" si="451"/>
        <v/>
      </c>
      <c r="AG1369" s="74" t="str">
        <f t="shared" si="452"/>
        <v/>
      </c>
      <c r="AH1369" s="74">
        <f t="shared" si="453"/>
        <v>0</v>
      </c>
      <c r="AI1369" s="74" t="str">
        <f>IF(AH1369&lt;&gt;0,COUNTIF(AH$3:AH1369,1),"")</f>
        <v/>
      </c>
      <c r="AJ1369" s="74">
        <f t="shared" si="454"/>
        <v>0</v>
      </c>
      <c r="AK1369" s="73" t="str">
        <f t="shared" si="455"/>
        <v/>
      </c>
      <c r="AL1369" s="73" t="str">
        <f t="shared" si="456"/>
        <v/>
      </c>
      <c r="AM1369" s="73" t="str">
        <f t="shared" si="457"/>
        <v/>
      </c>
      <c r="AN1369" s="73" t="str">
        <f t="shared" si="458"/>
        <v/>
      </c>
    </row>
    <row r="1370" spans="16:40" x14ac:dyDescent="0.25">
      <c r="P1370" s="73" t="str">
        <f t="shared" si="442"/>
        <v/>
      </c>
      <c r="Q1370" s="73" t="str">
        <f t="shared" si="443"/>
        <v/>
      </c>
      <c r="R1370" s="74" t="str">
        <f t="shared" si="444"/>
        <v/>
      </c>
      <c r="S1370" s="74" t="str">
        <f t="shared" si="445"/>
        <v/>
      </c>
      <c r="U1370" s="74" t="str">
        <f t="shared" si="459"/>
        <v/>
      </c>
      <c r="V1370" s="74" t="str">
        <f t="shared" si="459"/>
        <v/>
      </c>
      <c r="W1370" s="74" t="str">
        <f t="shared" si="459"/>
        <v/>
      </c>
      <c r="X1370" s="74" t="str">
        <f t="shared" si="459"/>
        <v/>
      </c>
      <c r="Y1370" s="74" t="str">
        <f t="shared" si="459"/>
        <v/>
      </c>
      <c r="Z1370" s="74" t="str">
        <f t="shared" si="446"/>
        <v/>
      </c>
      <c r="AA1370" s="74">
        <f t="shared" si="447"/>
        <v>0</v>
      </c>
      <c r="AB1370" s="74">
        <f t="shared" si="448"/>
        <v>0</v>
      </c>
      <c r="AC1370" s="74" t="str">
        <f t="shared" si="449"/>
        <v/>
      </c>
      <c r="AE1370" s="74" t="str">
        <f t="shared" si="450"/>
        <v/>
      </c>
      <c r="AF1370" s="74" t="str">
        <f t="shared" si="451"/>
        <v/>
      </c>
      <c r="AG1370" s="74" t="str">
        <f t="shared" si="452"/>
        <v/>
      </c>
      <c r="AH1370" s="74">
        <f t="shared" si="453"/>
        <v>0</v>
      </c>
      <c r="AI1370" s="74" t="str">
        <f>IF(AH1370&lt;&gt;0,COUNTIF(AH$3:AH1370,1),"")</f>
        <v/>
      </c>
      <c r="AJ1370" s="74">
        <f t="shared" si="454"/>
        <v>0</v>
      </c>
      <c r="AK1370" s="73" t="str">
        <f t="shared" si="455"/>
        <v/>
      </c>
      <c r="AL1370" s="73" t="str">
        <f t="shared" si="456"/>
        <v/>
      </c>
      <c r="AM1370" s="73" t="str">
        <f t="shared" si="457"/>
        <v/>
      </c>
      <c r="AN1370" s="73" t="str">
        <f t="shared" si="458"/>
        <v/>
      </c>
    </row>
    <row r="1371" spans="16:40" x14ac:dyDescent="0.25">
      <c r="P1371" s="73" t="str">
        <f t="shared" si="442"/>
        <v/>
      </c>
      <c r="Q1371" s="73" t="str">
        <f t="shared" si="443"/>
        <v/>
      </c>
      <c r="R1371" s="74" t="str">
        <f t="shared" si="444"/>
        <v/>
      </c>
      <c r="S1371" s="74" t="str">
        <f t="shared" si="445"/>
        <v/>
      </c>
      <c r="U1371" s="74" t="str">
        <f t="shared" si="459"/>
        <v/>
      </c>
      <c r="V1371" s="74" t="str">
        <f t="shared" si="459"/>
        <v/>
      </c>
      <c r="W1371" s="74" t="str">
        <f t="shared" si="459"/>
        <v/>
      </c>
      <c r="X1371" s="74" t="str">
        <f t="shared" si="459"/>
        <v/>
      </c>
      <c r="Y1371" s="74" t="str">
        <f t="shared" si="459"/>
        <v/>
      </c>
      <c r="Z1371" s="74" t="str">
        <f t="shared" si="446"/>
        <v/>
      </c>
      <c r="AA1371" s="74">
        <f t="shared" si="447"/>
        <v>0</v>
      </c>
      <c r="AB1371" s="74">
        <f t="shared" si="448"/>
        <v>0</v>
      </c>
      <c r="AC1371" s="74" t="str">
        <f t="shared" si="449"/>
        <v/>
      </c>
      <c r="AE1371" s="74" t="str">
        <f t="shared" si="450"/>
        <v/>
      </c>
      <c r="AF1371" s="74" t="str">
        <f t="shared" si="451"/>
        <v/>
      </c>
      <c r="AG1371" s="74" t="str">
        <f t="shared" si="452"/>
        <v/>
      </c>
      <c r="AH1371" s="74">
        <f t="shared" si="453"/>
        <v>0</v>
      </c>
      <c r="AI1371" s="74" t="str">
        <f>IF(AH1371&lt;&gt;0,COUNTIF(AH$3:AH1371,1),"")</f>
        <v/>
      </c>
      <c r="AJ1371" s="74">
        <f t="shared" si="454"/>
        <v>0</v>
      </c>
      <c r="AK1371" s="73" t="str">
        <f t="shared" si="455"/>
        <v/>
      </c>
      <c r="AL1371" s="73" t="str">
        <f t="shared" si="456"/>
        <v/>
      </c>
      <c r="AM1371" s="73" t="str">
        <f t="shared" si="457"/>
        <v/>
      </c>
      <c r="AN1371" s="73" t="str">
        <f t="shared" si="458"/>
        <v/>
      </c>
    </row>
    <row r="1372" spans="16:40" x14ac:dyDescent="0.25">
      <c r="P1372" s="73" t="str">
        <f t="shared" si="442"/>
        <v/>
      </c>
      <c r="Q1372" s="73" t="str">
        <f t="shared" si="443"/>
        <v/>
      </c>
      <c r="R1372" s="74" t="str">
        <f t="shared" si="444"/>
        <v/>
      </c>
      <c r="S1372" s="74" t="str">
        <f t="shared" si="445"/>
        <v/>
      </c>
      <c r="U1372" s="74" t="str">
        <f t="shared" si="459"/>
        <v/>
      </c>
      <c r="V1372" s="74" t="str">
        <f t="shared" si="459"/>
        <v/>
      </c>
      <c r="W1372" s="74" t="str">
        <f t="shared" si="459"/>
        <v/>
      </c>
      <c r="X1372" s="74" t="str">
        <f t="shared" si="459"/>
        <v/>
      </c>
      <c r="Y1372" s="74" t="str">
        <f t="shared" si="459"/>
        <v/>
      </c>
      <c r="Z1372" s="74" t="str">
        <f t="shared" si="446"/>
        <v/>
      </c>
      <c r="AA1372" s="74">
        <f t="shared" si="447"/>
        <v>0</v>
      </c>
      <c r="AB1372" s="74">
        <f t="shared" si="448"/>
        <v>0</v>
      </c>
      <c r="AC1372" s="74" t="str">
        <f t="shared" si="449"/>
        <v/>
      </c>
      <c r="AE1372" s="74" t="str">
        <f t="shared" si="450"/>
        <v/>
      </c>
      <c r="AF1372" s="74" t="str">
        <f t="shared" si="451"/>
        <v/>
      </c>
      <c r="AG1372" s="74" t="str">
        <f t="shared" si="452"/>
        <v/>
      </c>
      <c r="AH1372" s="74">
        <f t="shared" si="453"/>
        <v>0</v>
      </c>
      <c r="AI1372" s="74" t="str">
        <f>IF(AH1372&lt;&gt;0,COUNTIF(AH$3:AH1372,1),"")</f>
        <v/>
      </c>
      <c r="AJ1372" s="74">
        <f t="shared" si="454"/>
        <v>0</v>
      </c>
      <c r="AK1372" s="73" t="str">
        <f t="shared" si="455"/>
        <v/>
      </c>
      <c r="AL1372" s="73" t="str">
        <f t="shared" si="456"/>
        <v/>
      </c>
      <c r="AM1372" s="73" t="str">
        <f t="shared" si="457"/>
        <v/>
      </c>
      <c r="AN1372" s="73" t="str">
        <f t="shared" si="458"/>
        <v/>
      </c>
    </row>
    <row r="1373" spans="16:40" x14ac:dyDescent="0.25">
      <c r="P1373" s="73" t="str">
        <f t="shared" si="442"/>
        <v/>
      </c>
      <c r="Q1373" s="73" t="str">
        <f t="shared" si="443"/>
        <v/>
      </c>
      <c r="R1373" s="74" t="str">
        <f t="shared" si="444"/>
        <v/>
      </c>
      <c r="S1373" s="74" t="str">
        <f t="shared" si="445"/>
        <v/>
      </c>
      <c r="U1373" s="74" t="str">
        <f t="shared" si="459"/>
        <v/>
      </c>
      <c r="V1373" s="74" t="str">
        <f t="shared" si="459"/>
        <v/>
      </c>
      <c r="W1373" s="74" t="str">
        <f t="shared" si="459"/>
        <v/>
      </c>
      <c r="X1373" s="74" t="str">
        <f t="shared" si="459"/>
        <v/>
      </c>
      <c r="Y1373" s="74" t="str">
        <f t="shared" si="459"/>
        <v/>
      </c>
      <c r="Z1373" s="74" t="str">
        <f t="shared" si="446"/>
        <v/>
      </c>
      <c r="AA1373" s="74">
        <f t="shared" si="447"/>
        <v>0</v>
      </c>
      <c r="AB1373" s="74">
        <f t="shared" si="448"/>
        <v>0</v>
      </c>
      <c r="AC1373" s="74" t="str">
        <f t="shared" si="449"/>
        <v/>
      </c>
      <c r="AE1373" s="74" t="str">
        <f t="shared" si="450"/>
        <v/>
      </c>
      <c r="AF1373" s="74" t="str">
        <f t="shared" si="451"/>
        <v/>
      </c>
      <c r="AG1373" s="74" t="str">
        <f t="shared" si="452"/>
        <v/>
      </c>
      <c r="AH1373" s="74">
        <f t="shared" si="453"/>
        <v>0</v>
      </c>
      <c r="AI1373" s="74" t="str">
        <f>IF(AH1373&lt;&gt;0,COUNTIF(AH$3:AH1373,1),"")</f>
        <v/>
      </c>
      <c r="AJ1373" s="74">
        <f t="shared" si="454"/>
        <v>0</v>
      </c>
      <c r="AK1373" s="73" t="str">
        <f t="shared" si="455"/>
        <v/>
      </c>
      <c r="AL1373" s="73" t="str">
        <f t="shared" si="456"/>
        <v/>
      </c>
      <c r="AM1373" s="73" t="str">
        <f t="shared" si="457"/>
        <v/>
      </c>
      <c r="AN1373" s="73" t="str">
        <f t="shared" si="458"/>
        <v/>
      </c>
    </row>
    <row r="1374" spans="16:40" x14ac:dyDescent="0.25">
      <c r="P1374" s="73" t="str">
        <f t="shared" si="442"/>
        <v/>
      </c>
      <c r="Q1374" s="73" t="str">
        <f t="shared" si="443"/>
        <v/>
      </c>
      <c r="R1374" s="74" t="str">
        <f t="shared" si="444"/>
        <v/>
      </c>
      <c r="S1374" s="74" t="str">
        <f t="shared" si="445"/>
        <v/>
      </c>
      <c r="U1374" s="74" t="str">
        <f t="shared" si="459"/>
        <v/>
      </c>
      <c r="V1374" s="74" t="str">
        <f t="shared" si="459"/>
        <v/>
      </c>
      <c r="W1374" s="74" t="str">
        <f t="shared" si="459"/>
        <v/>
      </c>
      <c r="X1374" s="74" t="str">
        <f t="shared" si="459"/>
        <v/>
      </c>
      <c r="Y1374" s="74" t="str">
        <f t="shared" si="459"/>
        <v/>
      </c>
      <c r="Z1374" s="74" t="str">
        <f t="shared" si="446"/>
        <v/>
      </c>
      <c r="AA1374" s="74">
        <f t="shared" si="447"/>
        <v>0</v>
      </c>
      <c r="AB1374" s="74">
        <f t="shared" si="448"/>
        <v>0</v>
      </c>
      <c r="AC1374" s="74" t="str">
        <f t="shared" si="449"/>
        <v/>
      </c>
      <c r="AE1374" s="74" t="str">
        <f t="shared" si="450"/>
        <v/>
      </c>
      <c r="AF1374" s="74" t="str">
        <f t="shared" si="451"/>
        <v/>
      </c>
      <c r="AG1374" s="74" t="str">
        <f t="shared" si="452"/>
        <v/>
      </c>
      <c r="AH1374" s="74">
        <f t="shared" si="453"/>
        <v>0</v>
      </c>
      <c r="AI1374" s="74" t="str">
        <f>IF(AH1374&lt;&gt;0,COUNTIF(AH$3:AH1374,1),"")</f>
        <v/>
      </c>
      <c r="AJ1374" s="74">
        <f t="shared" si="454"/>
        <v>0</v>
      </c>
      <c r="AK1374" s="73" t="str">
        <f t="shared" si="455"/>
        <v/>
      </c>
      <c r="AL1374" s="73" t="str">
        <f t="shared" si="456"/>
        <v/>
      </c>
      <c r="AM1374" s="73" t="str">
        <f t="shared" si="457"/>
        <v/>
      </c>
      <c r="AN1374" s="73" t="str">
        <f t="shared" si="458"/>
        <v/>
      </c>
    </row>
    <row r="1375" spans="16:40" x14ac:dyDescent="0.25">
      <c r="P1375" s="73" t="str">
        <f t="shared" si="442"/>
        <v/>
      </c>
      <c r="Q1375" s="73" t="str">
        <f t="shared" si="443"/>
        <v/>
      </c>
      <c r="R1375" s="74" t="str">
        <f t="shared" si="444"/>
        <v/>
      </c>
      <c r="S1375" s="74" t="str">
        <f t="shared" si="445"/>
        <v/>
      </c>
      <c r="U1375" s="74" t="str">
        <f t="shared" si="459"/>
        <v/>
      </c>
      <c r="V1375" s="74" t="str">
        <f t="shared" si="459"/>
        <v/>
      </c>
      <c r="W1375" s="74" t="str">
        <f t="shared" si="459"/>
        <v/>
      </c>
      <c r="X1375" s="74" t="str">
        <f t="shared" si="459"/>
        <v/>
      </c>
      <c r="Y1375" s="74" t="str">
        <f t="shared" si="459"/>
        <v/>
      </c>
      <c r="Z1375" s="74" t="str">
        <f t="shared" si="446"/>
        <v/>
      </c>
      <c r="AA1375" s="74">
        <f t="shared" si="447"/>
        <v>0</v>
      </c>
      <c r="AB1375" s="74">
        <f t="shared" si="448"/>
        <v>0</v>
      </c>
      <c r="AC1375" s="74" t="str">
        <f t="shared" si="449"/>
        <v/>
      </c>
      <c r="AE1375" s="74" t="str">
        <f t="shared" si="450"/>
        <v/>
      </c>
      <c r="AF1375" s="74" t="str">
        <f t="shared" si="451"/>
        <v/>
      </c>
      <c r="AG1375" s="74" t="str">
        <f t="shared" si="452"/>
        <v/>
      </c>
      <c r="AH1375" s="74">
        <f t="shared" si="453"/>
        <v>0</v>
      </c>
      <c r="AI1375" s="74" t="str">
        <f>IF(AH1375&lt;&gt;0,COUNTIF(AH$3:AH1375,1),"")</f>
        <v/>
      </c>
      <c r="AJ1375" s="74">
        <f t="shared" si="454"/>
        <v>0</v>
      </c>
      <c r="AK1375" s="73" t="str">
        <f t="shared" si="455"/>
        <v/>
      </c>
      <c r="AL1375" s="73" t="str">
        <f t="shared" si="456"/>
        <v/>
      </c>
      <c r="AM1375" s="73" t="str">
        <f t="shared" si="457"/>
        <v/>
      </c>
      <c r="AN1375" s="73" t="str">
        <f t="shared" si="458"/>
        <v/>
      </c>
    </row>
    <row r="1376" spans="16:40" x14ac:dyDescent="0.25">
      <c r="P1376" s="73" t="str">
        <f t="shared" si="442"/>
        <v/>
      </c>
      <c r="Q1376" s="73" t="str">
        <f t="shared" si="443"/>
        <v/>
      </c>
      <c r="R1376" s="74" t="str">
        <f t="shared" si="444"/>
        <v/>
      </c>
      <c r="S1376" s="74" t="str">
        <f t="shared" si="445"/>
        <v/>
      </c>
      <c r="U1376" s="74" t="str">
        <f t="shared" si="459"/>
        <v/>
      </c>
      <c r="V1376" s="74" t="str">
        <f t="shared" si="459"/>
        <v/>
      </c>
      <c r="W1376" s="74" t="str">
        <f t="shared" si="459"/>
        <v/>
      </c>
      <c r="X1376" s="74" t="str">
        <f t="shared" si="459"/>
        <v/>
      </c>
      <c r="Y1376" s="74" t="str">
        <f t="shared" si="459"/>
        <v/>
      </c>
      <c r="Z1376" s="74" t="str">
        <f t="shared" si="446"/>
        <v/>
      </c>
      <c r="AA1376" s="74">
        <f t="shared" si="447"/>
        <v>0</v>
      </c>
      <c r="AB1376" s="74">
        <f t="shared" si="448"/>
        <v>0</v>
      </c>
      <c r="AC1376" s="74" t="str">
        <f t="shared" si="449"/>
        <v/>
      </c>
      <c r="AE1376" s="74" t="str">
        <f t="shared" si="450"/>
        <v/>
      </c>
      <c r="AF1376" s="74" t="str">
        <f t="shared" si="451"/>
        <v/>
      </c>
      <c r="AG1376" s="74" t="str">
        <f t="shared" si="452"/>
        <v/>
      </c>
      <c r="AH1376" s="74">
        <f t="shared" si="453"/>
        <v>0</v>
      </c>
      <c r="AI1376" s="74" t="str">
        <f>IF(AH1376&lt;&gt;0,COUNTIF(AH$3:AH1376,1),"")</f>
        <v/>
      </c>
      <c r="AJ1376" s="74">
        <f t="shared" si="454"/>
        <v>0</v>
      </c>
      <c r="AK1376" s="73" t="str">
        <f t="shared" si="455"/>
        <v/>
      </c>
      <c r="AL1376" s="73" t="str">
        <f t="shared" si="456"/>
        <v/>
      </c>
      <c r="AM1376" s="73" t="str">
        <f t="shared" si="457"/>
        <v/>
      </c>
      <c r="AN1376" s="73" t="str">
        <f t="shared" si="458"/>
        <v/>
      </c>
    </row>
    <row r="1377" spans="16:40" x14ac:dyDescent="0.25">
      <c r="P1377" s="73" t="str">
        <f t="shared" si="442"/>
        <v/>
      </c>
      <c r="Q1377" s="73" t="str">
        <f t="shared" si="443"/>
        <v/>
      </c>
      <c r="R1377" s="74" t="str">
        <f t="shared" si="444"/>
        <v/>
      </c>
      <c r="S1377" s="74" t="str">
        <f t="shared" si="445"/>
        <v/>
      </c>
      <c r="U1377" s="74" t="str">
        <f t="shared" si="459"/>
        <v/>
      </c>
      <c r="V1377" s="74" t="str">
        <f t="shared" si="459"/>
        <v/>
      </c>
      <c r="W1377" s="74" t="str">
        <f t="shared" si="459"/>
        <v/>
      </c>
      <c r="X1377" s="74" t="str">
        <f t="shared" si="459"/>
        <v/>
      </c>
      <c r="Y1377" s="74" t="str">
        <f t="shared" si="459"/>
        <v/>
      </c>
      <c r="Z1377" s="74" t="str">
        <f t="shared" si="446"/>
        <v/>
      </c>
      <c r="AA1377" s="74">
        <f t="shared" si="447"/>
        <v>0</v>
      </c>
      <c r="AB1377" s="74">
        <f t="shared" si="448"/>
        <v>0</v>
      </c>
      <c r="AC1377" s="74" t="str">
        <f t="shared" si="449"/>
        <v/>
      </c>
      <c r="AE1377" s="74" t="str">
        <f t="shared" si="450"/>
        <v/>
      </c>
      <c r="AF1377" s="74" t="str">
        <f t="shared" si="451"/>
        <v/>
      </c>
      <c r="AG1377" s="74" t="str">
        <f t="shared" si="452"/>
        <v/>
      </c>
      <c r="AH1377" s="74">
        <f t="shared" si="453"/>
        <v>0</v>
      </c>
      <c r="AI1377" s="74" t="str">
        <f>IF(AH1377&lt;&gt;0,COUNTIF(AH$3:AH1377,1),"")</f>
        <v/>
      </c>
      <c r="AJ1377" s="74">
        <f t="shared" si="454"/>
        <v>0</v>
      </c>
      <c r="AK1377" s="73" t="str">
        <f t="shared" si="455"/>
        <v/>
      </c>
      <c r="AL1377" s="73" t="str">
        <f t="shared" si="456"/>
        <v/>
      </c>
      <c r="AM1377" s="73" t="str">
        <f t="shared" si="457"/>
        <v/>
      </c>
      <c r="AN1377" s="73" t="str">
        <f t="shared" si="458"/>
        <v/>
      </c>
    </row>
    <row r="1378" spans="16:40" x14ac:dyDescent="0.25">
      <c r="P1378" s="73" t="str">
        <f t="shared" si="442"/>
        <v/>
      </c>
      <c r="Q1378" s="73" t="str">
        <f t="shared" si="443"/>
        <v/>
      </c>
      <c r="R1378" s="74" t="str">
        <f t="shared" si="444"/>
        <v/>
      </c>
      <c r="S1378" s="74" t="str">
        <f t="shared" si="445"/>
        <v/>
      </c>
      <c r="U1378" s="74" t="str">
        <f t="shared" si="459"/>
        <v/>
      </c>
      <c r="V1378" s="74" t="str">
        <f t="shared" si="459"/>
        <v/>
      </c>
      <c r="W1378" s="74" t="str">
        <f t="shared" si="459"/>
        <v/>
      </c>
      <c r="X1378" s="74" t="str">
        <f t="shared" si="459"/>
        <v/>
      </c>
      <c r="Y1378" s="74" t="str">
        <f t="shared" si="459"/>
        <v/>
      </c>
      <c r="Z1378" s="74" t="str">
        <f t="shared" si="446"/>
        <v/>
      </c>
      <c r="AA1378" s="74">
        <f t="shared" si="447"/>
        <v>0</v>
      </c>
      <c r="AB1378" s="74">
        <f t="shared" si="448"/>
        <v>0</v>
      </c>
      <c r="AC1378" s="74" t="str">
        <f t="shared" si="449"/>
        <v/>
      </c>
      <c r="AE1378" s="74" t="str">
        <f t="shared" si="450"/>
        <v/>
      </c>
      <c r="AF1378" s="74" t="str">
        <f t="shared" si="451"/>
        <v/>
      </c>
      <c r="AG1378" s="74" t="str">
        <f t="shared" si="452"/>
        <v/>
      </c>
      <c r="AH1378" s="74">
        <f t="shared" si="453"/>
        <v>0</v>
      </c>
      <c r="AI1378" s="74" t="str">
        <f>IF(AH1378&lt;&gt;0,COUNTIF(AH$3:AH1378,1),"")</f>
        <v/>
      </c>
      <c r="AJ1378" s="74">
        <f t="shared" si="454"/>
        <v>0</v>
      </c>
      <c r="AK1378" s="73" t="str">
        <f t="shared" si="455"/>
        <v/>
      </c>
      <c r="AL1378" s="73" t="str">
        <f t="shared" si="456"/>
        <v/>
      </c>
      <c r="AM1378" s="73" t="str">
        <f t="shared" si="457"/>
        <v/>
      </c>
      <c r="AN1378" s="73" t="str">
        <f t="shared" si="458"/>
        <v/>
      </c>
    </row>
    <row r="1379" spans="16:40" x14ac:dyDescent="0.25">
      <c r="P1379" s="73" t="str">
        <f t="shared" si="442"/>
        <v/>
      </c>
      <c r="Q1379" s="73" t="str">
        <f t="shared" si="443"/>
        <v/>
      </c>
      <c r="R1379" s="74" t="str">
        <f t="shared" si="444"/>
        <v/>
      </c>
      <c r="S1379" s="74" t="str">
        <f t="shared" si="445"/>
        <v/>
      </c>
      <c r="U1379" s="74" t="str">
        <f t="shared" si="459"/>
        <v/>
      </c>
      <c r="V1379" s="74" t="str">
        <f t="shared" si="459"/>
        <v/>
      </c>
      <c r="W1379" s="74" t="str">
        <f t="shared" si="459"/>
        <v/>
      </c>
      <c r="X1379" s="74" t="str">
        <f t="shared" si="459"/>
        <v/>
      </c>
      <c r="Y1379" s="74" t="str">
        <f t="shared" si="459"/>
        <v/>
      </c>
      <c r="Z1379" s="74" t="str">
        <f t="shared" si="446"/>
        <v/>
      </c>
      <c r="AA1379" s="74">
        <f t="shared" si="447"/>
        <v>0</v>
      </c>
      <c r="AB1379" s="74">
        <f t="shared" si="448"/>
        <v>0</v>
      </c>
      <c r="AC1379" s="74" t="str">
        <f t="shared" si="449"/>
        <v/>
      </c>
      <c r="AE1379" s="74" t="str">
        <f t="shared" si="450"/>
        <v/>
      </c>
      <c r="AF1379" s="74" t="str">
        <f t="shared" si="451"/>
        <v/>
      </c>
      <c r="AG1379" s="74" t="str">
        <f t="shared" si="452"/>
        <v/>
      </c>
      <c r="AH1379" s="74">
        <f t="shared" si="453"/>
        <v>0</v>
      </c>
      <c r="AI1379" s="74" t="str">
        <f>IF(AH1379&lt;&gt;0,COUNTIF(AH$3:AH1379,1),"")</f>
        <v/>
      </c>
      <c r="AJ1379" s="74">
        <f t="shared" si="454"/>
        <v>0</v>
      </c>
      <c r="AK1379" s="73" t="str">
        <f t="shared" si="455"/>
        <v/>
      </c>
      <c r="AL1379" s="73" t="str">
        <f t="shared" si="456"/>
        <v/>
      </c>
      <c r="AM1379" s="73" t="str">
        <f t="shared" si="457"/>
        <v/>
      </c>
      <c r="AN1379" s="73" t="str">
        <f t="shared" si="458"/>
        <v/>
      </c>
    </row>
    <row r="1380" spans="16:40" x14ac:dyDescent="0.25">
      <c r="P1380" s="73" t="str">
        <f t="shared" si="442"/>
        <v/>
      </c>
      <c r="Q1380" s="73" t="str">
        <f t="shared" si="443"/>
        <v/>
      </c>
      <c r="R1380" s="74" t="str">
        <f t="shared" si="444"/>
        <v/>
      </c>
      <c r="S1380" s="74" t="str">
        <f t="shared" si="445"/>
        <v/>
      </c>
      <c r="U1380" s="74" t="str">
        <f t="shared" si="459"/>
        <v/>
      </c>
      <c r="V1380" s="74" t="str">
        <f t="shared" si="459"/>
        <v/>
      </c>
      <c r="W1380" s="74" t="str">
        <f t="shared" si="459"/>
        <v/>
      </c>
      <c r="X1380" s="74" t="str">
        <f t="shared" si="459"/>
        <v/>
      </c>
      <c r="Y1380" s="74" t="str">
        <f t="shared" si="459"/>
        <v/>
      </c>
      <c r="Z1380" s="74" t="str">
        <f t="shared" si="446"/>
        <v/>
      </c>
      <c r="AA1380" s="74">
        <f t="shared" si="447"/>
        <v>0</v>
      </c>
      <c r="AB1380" s="74">
        <f t="shared" si="448"/>
        <v>0</v>
      </c>
      <c r="AC1380" s="74" t="str">
        <f t="shared" si="449"/>
        <v/>
      </c>
      <c r="AE1380" s="74" t="str">
        <f t="shared" si="450"/>
        <v/>
      </c>
      <c r="AF1380" s="74" t="str">
        <f t="shared" si="451"/>
        <v/>
      </c>
      <c r="AG1380" s="74" t="str">
        <f t="shared" si="452"/>
        <v/>
      </c>
      <c r="AH1380" s="74">
        <f t="shared" si="453"/>
        <v>0</v>
      </c>
      <c r="AI1380" s="74" t="str">
        <f>IF(AH1380&lt;&gt;0,COUNTIF(AH$3:AH1380,1),"")</f>
        <v/>
      </c>
      <c r="AJ1380" s="74">
        <f t="shared" si="454"/>
        <v>0</v>
      </c>
      <c r="AK1380" s="73" t="str">
        <f t="shared" si="455"/>
        <v/>
      </c>
      <c r="AL1380" s="73" t="str">
        <f t="shared" si="456"/>
        <v/>
      </c>
      <c r="AM1380" s="73" t="str">
        <f t="shared" si="457"/>
        <v/>
      </c>
      <c r="AN1380" s="73" t="str">
        <f t="shared" si="458"/>
        <v/>
      </c>
    </row>
    <row r="1381" spans="16:40" x14ac:dyDescent="0.25">
      <c r="P1381" s="73" t="str">
        <f t="shared" si="442"/>
        <v/>
      </c>
      <c r="Q1381" s="73" t="str">
        <f t="shared" si="443"/>
        <v/>
      </c>
      <c r="R1381" s="74" t="str">
        <f t="shared" si="444"/>
        <v/>
      </c>
      <c r="S1381" s="74" t="str">
        <f t="shared" si="445"/>
        <v/>
      </c>
      <c r="U1381" s="74" t="str">
        <f t="shared" si="459"/>
        <v/>
      </c>
      <c r="V1381" s="74" t="str">
        <f t="shared" si="459"/>
        <v/>
      </c>
      <c r="W1381" s="74" t="str">
        <f t="shared" si="459"/>
        <v/>
      </c>
      <c r="X1381" s="74" t="str">
        <f t="shared" si="459"/>
        <v/>
      </c>
      <c r="Y1381" s="74" t="str">
        <f t="shared" si="459"/>
        <v/>
      </c>
      <c r="Z1381" s="74" t="str">
        <f t="shared" si="446"/>
        <v/>
      </c>
      <c r="AA1381" s="74">
        <f t="shared" si="447"/>
        <v>0</v>
      </c>
      <c r="AB1381" s="74">
        <f t="shared" si="448"/>
        <v>0</v>
      </c>
      <c r="AC1381" s="74" t="str">
        <f t="shared" si="449"/>
        <v/>
      </c>
      <c r="AE1381" s="74" t="str">
        <f t="shared" si="450"/>
        <v/>
      </c>
      <c r="AF1381" s="74" t="str">
        <f t="shared" si="451"/>
        <v/>
      </c>
      <c r="AG1381" s="74" t="str">
        <f t="shared" si="452"/>
        <v/>
      </c>
      <c r="AH1381" s="74">
        <f t="shared" si="453"/>
        <v>0</v>
      </c>
      <c r="AI1381" s="74" t="str">
        <f>IF(AH1381&lt;&gt;0,COUNTIF(AH$3:AH1381,1),"")</f>
        <v/>
      </c>
      <c r="AJ1381" s="74">
        <f t="shared" si="454"/>
        <v>0</v>
      </c>
      <c r="AK1381" s="73" t="str">
        <f t="shared" si="455"/>
        <v/>
      </c>
      <c r="AL1381" s="73" t="str">
        <f t="shared" si="456"/>
        <v/>
      </c>
      <c r="AM1381" s="73" t="str">
        <f t="shared" si="457"/>
        <v/>
      </c>
      <c r="AN1381" s="73" t="str">
        <f t="shared" si="458"/>
        <v/>
      </c>
    </row>
    <row r="1382" spans="16:40" x14ac:dyDescent="0.25">
      <c r="P1382" s="73" t="str">
        <f t="shared" si="442"/>
        <v/>
      </c>
      <c r="Q1382" s="73" t="str">
        <f t="shared" si="443"/>
        <v/>
      </c>
      <c r="R1382" s="74" t="str">
        <f t="shared" si="444"/>
        <v/>
      </c>
      <c r="S1382" s="74" t="str">
        <f t="shared" si="445"/>
        <v/>
      </c>
      <c r="U1382" s="74" t="str">
        <f t="shared" si="459"/>
        <v/>
      </c>
      <c r="V1382" s="74" t="str">
        <f t="shared" si="459"/>
        <v/>
      </c>
      <c r="W1382" s="74" t="str">
        <f t="shared" si="459"/>
        <v/>
      </c>
      <c r="X1382" s="74" t="str">
        <f t="shared" si="459"/>
        <v/>
      </c>
      <c r="Y1382" s="74" t="str">
        <f t="shared" si="459"/>
        <v/>
      </c>
      <c r="Z1382" s="74" t="str">
        <f t="shared" si="446"/>
        <v/>
      </c>
      <c r="AA1382" s="74">
        <f t="shared" si="447"/>
        <v>0</v>
      </c>
      <c r="AB1382" s="74">
        <f t="shared" si="448"/>
        <v>0</v>
      </c>
      <c r="AC1382" s="74" t="str">
        <f t="shared" si="449"/>
        <v/>
      </c>
      <c r="AE1382" s="74" t="str">
        <f t="shared" si="450"/>
        <v/>
      </c>
      <c r="AF1382" s="74" t="str">
        <f t="shared" si="451"/>
        <v/>
      </c>
      <c r="AG1382" s="74" t="str">
        <f t="shared" si="452"/>
        <v/>
      </c>
      <c r="AH1382" s="74">
        <f t="shared" si="453"/>
        <v>0</v>
      </c>
      <c r="AI1382" s="74" t="str">
        <f>IF(AH1382&lt;&gt;0,COUNTIF(AH$3:AH1382,1),"")</f>
        <v/>
      </c>
      <c r="AJ1382" s="74">
        <f t="shared" si="454"/>
        <v>0</v>
      </c>
      <c r="AK1382" s="73" t="str">
        <f t="shared" si="455"/>
        <v/>
      </c>
      <c r="AL1382" s="73" t="str">
        <f t="shared" si="456"/>
        <v/>
      </c>
      <c r="AM1382" s="73" t="str">
        <f t="shared" si="457"/>
        <v/>
      </c>
      <c r="AN1382" s="73" t="str">
        <f t="shared" si="458"/>
        <v/>
      </c>
    </row>
    <row r="1383" spans="16:40" x14ac:dyDescent="0.25">
      <c r="P1383" s="73" t="str">
        <f t="shared" si="442"/>
        <v/>
      </c>
      <c r="Q1383" s="73" t="str">
        <f t="shared" si="443"/>
        <v/>
      </c>
      <c r="R1383" s="74" t="str">
        <f t="shared" si="444"/>
        <v/>
      </c>
      <c r="S1383" s="74" t="str">
        <f t="shared" si="445"/>
        <v/>
      </c>
      <c r="U1383" s="74" t="str">
        <f t="shared" si="459"/>
        <v/>
      </c>
      <c r="V1383" s="74" t="str">
        <f t="shared" si="459"/>
        <v/>
      </c>
      <c r="W1383" s="74" t="str">
        <f t="shared" si="459"/>
        <v/>
      </c>
      <c r="X1383" s="74" t="str">
        <f t="shared" si="459"/>
        <v/>
      </c>
      <c r="Y1383" s="74" t="str">
        <f t="shared" si="459"/>
        <v/>
      </c>
      <c r="Z1383" s="74" t="str">
        <f t="shared" si="446"/>
        <v/>
      </c>
      <c r="AA1383" s="74">
        <f t="shared" si="447"/>
        <v>0</v>
      </c>
      <c r="AB1383" s="74">
        <f t="shared" si="448"/>
        <v>0</v>
      </c>
      <c r="AC1383" s="74" t="str">
        <f t="shared" si="449"/>
        <v/>
      </c>
      <c r="AE1383" s="74" t="str">
        <f t="shared" si="450"/>
        <v/>
      </c>
      <c r="AF1383" s="74" t="str">
        <f t="shared" si="451"/>
        <v/>
      </c>
      <c r="AG1383" s="74" t="str">
        <f t="shared" si="452"/>
        <v/>
      </c>
      <c r="AH1383" s="74">
        <f t="shared" si="453"/>
        <v>0</v>
      </c>
      <c r="AI1383" s="74" t="str">
        <f>IF(AH1383&lt;&gt;0,COUNTIF(AH$3:AH1383,1),"")</f>
        <v/>
      </c>
      <c r="AJ1383" s="74">
        <f t="shared" si="454"/>
        <v>0</v>
      </c>
      <c r="AK1383" s="73" t="str">
        <f t="shared" si="455"/>
        <v/>
      </c>
      <c r="AL1383" s="73" t="str">
        <f t="shared" si="456"/>
        <v/>
      </c>
      <c r="AM1383" s="73" t="str">
        <f t="shared" si="457"/>
        <v/>
      </c>
      <c r="AN1383" s="73" t="str">
        <f t="shared" si="458"/>
        <v/>
      </c>
    </row>
    <row r="1384" spans="16:40" x14ac:dyDescent="0.25">
      <c r="P1384" s="73" t="str">
        <f t="shared" si="442"/>
        <v/>
      </c>
      <c r="Q1384" s="73" t="str">
        <f t="shared" si="443"/>
        <v/>
      </c>
      <c r="R1384" s="74" t="str">
        <f t="shared" si="444"/>
        <v/>
      </c>
      <c r="S1384" s="74" t="str">
        <f t="shared" si="445"/>
        <v/>
      </c>
      <c r="U1384" s="74" t="str">
        <f t="shared" si="459"/>
        <v/>
      </c>
      <c r="V1384" s="74" t="str">
        <f t="shared" si="459"/>
        <v/>
      </c>
      <c r="W1384" s="74" t="str">
        <f t="shared" si="459"/>
        <v/>
      </c>
      <c r="X1384" s="74" t="str">
        <f t="shared" si="459"/>
        <v/>
      </c>
      <c r="Y1384" s="74" t="str">
        <f t="shared" si="459"/>
        <v/>
      </c>
      <c r="Z1384" s="74" t="str">
        <f t="shared" si="446"/>
        <v/>
      </c>
      <c r="AA1384" s="74">
        <f t="shared" si="447"/>
        <v>0</v>
      </c>
      <c r="AB1384" s="74">
        <f t="shared" si="448"/>
        <v>0</v>
      </c>
      <c r="AC1384" s="74" t="str">
        <f t="shared" si="449"/>
        <v/>
      </c>
      <c r="AE1384" s="74" t="str">
        <f t="shared" si="450"/>
        <v/>
      </c>
      <c r="AF1384" s="74" t="str">
        <f t="shared" si="451"/>
        <v/>
      </c>
      <c r="AG1384" s="74" t="str">
        <f t="shared" si="452"/>
        <v/>
      </c>
      <c r="AH1384" s="74">
        <f t="shared" si="453"/>
        <v>0</v>
      </c>
      <c r="AI1384" s="74" t="str">
        <f>IF(AH1384&lt;&gt;0,COUNTIF(AH$3:AH1384,1),"")</f>
        <v/>
      </c>
      <c r="AJ1384" s="74">
        <f t="shared" si="454"/>
        <v>0</v>
      </c>
      <c r="AK1384" s="73" t="str">
        <f t="shared" si="455"/>
        <v/>
      </c>
      <c r="AL1384" s="73" t="str">
        <f t="shared" si="456"/>
        <v/>
      </c>
      <c r="AM1384" s="73" t="str">
        <f t="shared" si="457"/>
        <v/>
      </c>
      <c r="AN1384" s="73" t="str">
        <f t="shared" si="458"/>
        <v/>
      </c>
    </row>
    <row r="1385" spans="16:40" x14ac:dyDescent="0.25">
      <c r="P1385" s="73" t="str">
        <f t="shared" si="442"/>
        <v/>
      </c>
      <c r="Q1385" s="73" t="str">
        <f t="shared" si="443"/>
        <v/>
      </c>
      <c r="R1385" s="74" t="str">
        <f t="shared" si="444"/>
        <v/>
      </c>
      <c r="S1385" s="74" t="str">
        <f t="shared" si="445"/>
        <v/>
      </c>
      <c r="U1385" s="74" t="str">
        <f t="shared" si="459"/>
        <v/>
      </c>
      <c r="V1385" s="74" t="str">
        <f t="shared" si="459"/>
        <v/>
      </c>
      <c r="W1385" s="74" t="str">
        <f t="shared" si="459"/>
        <v/>
      </c>
      <c r="X1385" s="74" t="str">
        <f t="shared" si="459"/>
        <v/>
      </c>
      <c r="Y1385" s="74" t="str">
        <f t="shared" si="459"/>
        <v/>
      </c>
      <c r="Z1385" s="74" t="str">
        <f t="shared" si="446"/>
        <v/>
      </c>
      <c r="AA1385" s="74">
        <f t="shared" si="447"/>
        <v>0</v>
      </c>
      <c r="AB1385" s="74">
        <f t="shared" si="448"/>
        <v>0</v>
      </c>
      <c r="AC1385" s="74" t="str">
        <f t="shared" si="449"/>
        <v/>
      </c>
      <c r="AE1385" s="74" t="str">
        <f t="shared" si="450"/>
        <v/>
      </c>
      <c r="AF1385" s="74" t="str">
        <f t="shared" si="451"/>
        <v/>
      </c>
      <c r="AG1385" s="74" t="str">
        <f t="shared" si="452"/>
        <v/>
      </c>
      <c r="AH1385" s="74">
        <f t="shared" si="453"/>
        <v>0</v>
      </c>
      <c r="AI1385" s="74" t="str">
        <f>IF(AH1385&lt;&gt;0,COUNTIF(AH$3:AH1385,1),"")</f>
        <v/>
      </c>
      <c r="AJ1385" s="74">
        <f t="shared" si="454"/>
        <v>0</v>
      </c>
      <c r="AK1385" s="73" t="str">
        <f t="shared" si="455"/>
        <v/>
      </c>
      <c r="AL1385" s="73" t="str">
        <f t="shared" si="456"/>
        <v/>
      </c>
      <c r="AM1385" s="73" t="str">
        <f t="shared" si="457"/>
        <v/>
      </c>
      <c r="AN1385" s="73" t="str">
        <f t="shared" si="458"/>
        <v/>
      </c>
    </row>
    <row r="1386" spans="16:40" x14ac:dyDescent="0.25">
      <c r="P1386" s="73" t="str">
        <f t="shared" si="442"/>
        <v/>
      </c>
      <c r="Q1386" s="73" t="str">
        <f t="shared" si="443"/>
        <v/>
      </c>
      <c r="R1386" s="74" t="str">
        <f t="shared" si="444"/>
        <v/>
      </c>
      <c r="S1386" s="74" t="str">
        <f t="shared" si="445"/>
        <v/>
      </c>
      <c r="U1386" s="74" t="str">
        <f t="shared" si="459"/>
        <v/>
      </c>
      <c r="V1386" s="74" t="str">
        <f t="shared" si="459"/>
        <v/>
      </c>
      <c r="W1386" s="74" t="str">
        <f t="shared" si="459"/>
        <v/>
      </c>
      <c r="X1386" s="74" t="str">
        <f t="shared" si="459"/>
        <v/>
      </c>
      <c r="Y1386" s="74" t="str">
        <f t="shared" si="459"/>
        <v/>
      </c>
      <c r="Z1386" s="74" t="str">
        <f t="shared" si="446"/>
        <v/>
      </c>
      <c r="AA1386" s="74">
        <f t="shared" si="447"/>
        <v>0</v>
      </c>
      <c r="AB1386" s="74">
        <f t="shared" si="448"/>
        <v>0</v>
      </c>
      <c r="AC1386" s="74" t="str">
        <f t="shared" si="449"/>
        <v/>
      </c>
      <c r="AE1386" s="74" t="str">
        <f t="shared" si="450"/>
        <v/>
      </c>
      <c r="AF1386" s="74" t="str">
        <f t="shared" si="451"/>
        <v/>
      </c>
      <c r="AG1386" s="74" t="str">
        <f t="shared" si="452"/>
        <v/>
      </c>
      <c r="AH1386" s="74">
        <f t="shared" si="453"/>
        <v>0</v>
      </c>
      <c r="AI1386" s="74" t="str">
        <f>IF(AH1386&lt;&gt;0,COUNTIF(AH$3:AH1386,1),"")</f>
        <v/>
      </c>
      <c r="AJ1386" s="74">
        <f t="shared" si="454"/>
        <v>0</v>
      </c>
      <c r="AK1386" s="73" t="str">
        <f t="shared" si="455"/>
        <v/>
      </c>
      <c r="AL1386" s="73" t="str">
        <f t="shared" si="456"/>
        <v/>
      </c>
      <c r="AM1386" s="73" t="str">
        <f t="shared" si="457"/>
        <v/>
      </c>
      <c r="AN1386" s="73" t="str">
        <f t="shared" si="458"/>
        <v/>
      </c>
    </row>
    <row r="1387" spans="16:40" x14ac:dyDescent="0.25">
      <c r="P1387" s="73" t="str">
        <f t="shared" si="442"/>
        <v/>
      </c>
      <c r="Q1387" s="73" t="str">
        <f t="shared" si="443"/>
        <v/>
      </c>
      <c r="R1387" s="74" t="str">
        <f t="shared" si="444"/>
        <v/>
      </c>
      <c r="S1387" s="74" t="str">
        <f t="shared" si="445"/>
        <v/>
      </c>
      <c r="U1387" s="74" t="str">
        <f t="shared" si="459"/>
        <v/>
      </c>
      <c r="V1387" s="74" t="str">
        <f t="shared" si="459"/>
        <v/>
      </c>
      <c r="W1387" s="74" t="str">
        <f t="shared" si="459"/>
        <v/>
      </c>
      <c r="X1387" s="74" t="str">
        <f t="shared" si="459"/>
        <v/>
      </c>
      <c r="Y1387" s="74" t="str">
        <f t="shared" si="459"/>
        <v/>
      </c>
      <c r="Z1387" s="74" t="str">
        <f t="shared" si="446"/>
        <v/>
      </c>
      <c r="AA1387" s="74">
        <f t="shared" si="447"/>
        <v>0</v>
      </c>
      <c r="AB1387" s="74">
        <f t="shared" si="448"/>
        <v>0</v>
      </c>
      <c r="AC1387" s="74" t="str">
        <f t="shared" si="449"/>
        <v/>
      </c>
      <c r="AE1387" s="74" t="str">
        <f t="shared" si="450"/>
        <v/>
      </c>
      <c r="AF1387" s="74" t="str">
        <f t="shared" si="451"/>
        <v/>
      </c>
      <c r="AG1387" s="74" t="str">
        <f t="shared" si="452"/>
        <v/>
      </c>
      <c r="AH1387" s="74">
        <f t="shared" si="453"/>
        <v>0</v>
      </c>
      <c r="AI1387" s="74" t="str">
        <f>IF(AH1387&lt;&gt;0,COUNTIF(AH$3:AH1387,1),"")</f>
        <v/>
      </c>
      <c r="AJ1387" s="74">
        <f t="shared" si="454"/>
        <v>0</v>
      </c>
      <c r="AK1387" s="73" t="str">
        <f t="shared" si="455"/>
        <v/>
      </c>
      <c r="AL1387" s="73" t="str">
        <f t="shared" si="456"/>
        <v/>
      </c>
      <c r="AM1387" s="73" t="str">
        <f t="shared" si="457"/>
        <v/>
      </c>
      <c r="AN1387" s="73" t="str">
        <f t="shared" si="458"/>
        <v/>
      </c>
    </row>
    <row r="1388" spans="16:40" x14ac:dyDescent="0.25">
      <c r="P1388" s="73" t="str">
        <f t="shared" si="442"/>
        <v/>
      </c>
      <c r="Q1388" s="73" t="str">
        <f t="shared" si="443"/>
        <v/>
      </c>
      <c r="R1388" s="74" t="str">
        <f t="shared" si="444"/>
        <v/>
      </c>
      <c r="S1388" s="74" t="str">
        <f t="shared" si="445"/>
        <v/>
      </c>
      <c r="U1388" s="74" t="str">
        <f t="shared" si="459"/>
        <v/>
      </c>
      <c r="V1388" s="74" t="str">
        <f t="shared" si="459"/>
        <v/>
      </c>
      <c r="W1388" s="74" t="str">
        <f t="shared" si="459"/>
        <v/>
      </c>
      <c r="X1388" s="74" t="str">
        <f t="shared" si="459"/>
        <v/>
      </c>
      <c r="Y1388" s="74" t="str">
        <f t="shared" si="459"/>
        <v/>
      </c>
      <c r="Z1388" s="74" t="str">
        <f t="shared" si="446"/>
        <v/>
      </c>
      <c r="AA1388" s="74">
        <f t="shared" si="447"/>
        <v>0</v>
      </c>
      <c r="AB1388" s="74">
        <f t="shared" si="448"/>
        <v>0</v>
      </c>
      <c r="AC1388" s="74" t="str">
        <f t="shared" si="449"/>
        <v/>
      </c>
      <c r="AE1388" s="74" t="str">
        <f t="shared" si="450"/>
        <v/>
      </c>
      <c r="AF1388" s="74" t="str">
        <f t="shared" si="451"/>
        <v/>
      </c>
      <c r="AG1388" s="74" t="str">
        <f t="shared" si="452"/>
        <v/>
      </c>
      <c r="AH1388" s="74">
        <f t="shared" si="453"/>
        <v>0</v>
      </c>
      <c r="AI1388" s="74" t="str">
        <f>IF(AH1388&lt;&gt;0,COUNTIF(AH$3:AH1388,1),"")</f>
        <v/>
      </c>
      <c r="AJ1388" s="74">
        <f t="shared" si="454"/>
        <v>0</v>
      </c>
      <c r="AK1388" s="73" t="str">
        <f t="shared" si="455"/>
        <v/>
      </c>
      <c r="AL1388" s="73" t="str">
        <f t="shared" si="456"/>
        <v/>
      </c>
      <c r="AM1388" s="73" t="str">
        <f t="shared" si="457"/>
        <v/>
      </c>
      <c r="AN1388" s="73" t="str">
        <f t="shared" si="458"/>
        <v/>
      </c>
    </row>
    <row r="1389" spans="16:40" x14ac:dyDescent="0.25">
      <c r="P1389" s="73" t="str">
        <f t="shared" si="442"/>
        <v/>
      </c>
      <c r="Q1389" s="73" t="str">
        <f t="shared" si="443"/>
        <v/>
      </c>
      <c r="R1389" s="74" t="str">
        <f t="shared" si="444"/>
        <v/>
      </c>
      <c r="S1389" s="74" t="str">
        <f t="shared" si="445"/>
        <v/>
      </c>
      <c r="U1389" s="74" t="str">
        <f t="shared" si="459"/>
        <v/>
      </c>
      <c r="V1389" s="74" t="str">
        <f t="shared" si="459"/>
        <v/>
      </c>
      <c r="W1389" s="74" t="str">
        <f t="shared" si="459"/>
        <v/>
      </c>
      <c r="X1389" s="74" t="str">
        <f t="shared" si="459"/>
        <v/>
      </c>
      <c r="Y1389" s="74" t="str">
        <f t="shared" si="459"/>
        <v/>
      </c>
      <c r="Z1389" s="74" t="str">
        <f t="shared" si="446"/>
        <v/>
      </c>
      <c r="AA1389" s="74">
        <f t="shared" si="447"/>
        <v>0</v>
      </c>
      <c r="AB1389" s="74">
        <f t="shared" si="448"/>
        <v>0</v>
      </c>
      <c r="AC1389" s="74" t="str">
        <f t="shared" si="449"/>
        <v/>
      </c>
      <c r="AE1389" s="74" t="str">
        <f t="shared" si="450"/>
        <v/>
      </c>
      <c r="AF1389" s="74" t="str">
        <f t="shared" si="451"/>
        <v/>
      </c>
      <c r="AG1389" s="74" t="str">
        <f t="shared" si="452"/>
        <v/>
      </c>
      <c r="AH1389" s="74">
        <f t="shared" si="453"/>
        <v>0</v>
      </c>
      <c r="AI1389" s="74" t="str">
        <f>IF(AH1389&lt;&gt;0,COUNTIF(AH$3:AH1389,1),"")</f>
        <v/>
      </c>
      <c r="AJ1389" s="74">
        <f t="shared" si="454"/>
        <v>0</v>
      </c>
      <c r="AK1389" s="73" t="str">
        <f t="shared" si="455"/>
        <v/>
      </c>
      <c r="AL1389" s="73" t="str">
        <f t="shared" si="456"/>
        <v/>
      </c>
      <c r="AM1389" s="73" t="str">
        <f t="shared" si="457"/>
        <v/>
      </c>
      <c r="AN1389" s="73" t="str">
        <f t="shared" si="458"/>
        <v/>
      </c>
    </row>
    <row r="1390" spans="16:40" x14ac:dyDescent="0.25">
      <c r="P1390" s="73" t="str">
        <f t="shared" si="442"/>
        <v/>
      </c>
      <c r="Q1390" s="73" t="str">
        <f t="shared" si="443"/>
        <v/>
      </c>
      <c r="R1390" s="74" t="str">
        <f t="shared" si="444"/>
        <v/>
      </c>
      <c r="S1390" s="74" t="str">
        <f t="shared" si="445"/>
        <v/>
      </c>
      <c r="U1390" s="74" t="str">
        <f t="shared" si="459"/>
        <v/>
      </c>
      <c r="V1390" s="74" t="str">
        <f t="shared" si="459"/>
        <v/>
      </c>
      <c r="W1390" s="74" t="str">
        <f t="shared" si="459"/>
        <v/>
      </c>
      <c r="X1390" s="74" t="str">
        <f t="shared" si="459"/>
        <v/>
      </c>
      <c r="Y1390" s="74" t="str">
        <f t="shared" si="459"/>
        <v/>
      </c>
      <c r="Z1390" s="74" t="str">
        <f t="shared" si="446"/>
        <v/>
      </c>
      <c r="AA1390" s="74">
        <f t="shared" si="447"/>
        <v>0</v>
      </c>
      <c r="AB1390" s="74">
        <f t="shared" si="448"/>
        <v>0</v>
      </c>
      <c r="AC1390" s="74" t="str">
        <f t="shared" si="449"/>
        <v/>
      </c>
      <c r="AE1390" s="74" t="str">
        <f t="shared" si="450"/>
        <v/>
      </c>
      <c r="AF1390" s="74" t="str">
        <f t="shared" si="451"/>
        <v/>
      </c>
      <c r="AG1390" s="74" t="str">
        <f t="shared" si="452"/>
        <v/>
      </c>
      <c r="AH1390" s="74">
        <f t="shared" si="453"/>
        <v>0</v>
      </c>
      <c r="AI1390" s="74" t="str">
        <f>IF(AH1390&lt;&gt;0,COUNTIF(AH$3:AH1390,1),"")</f>
        <v/>
      </c>
      <c r="AJ1390" s="74">
        <f t="shared" si="454"/>
        <v>0</v>
      </c>
      <c r="AK1390" s="73" t="str">
        <f t="shared" si="455"/>
        <v/>
      </c>
      <c r="AL1390" s="73" t="str">
        <f t="shared" si="456"/>
        <v/>
      </c>
      <c r="AM1390" s="73" t="str">
        <f t="shared" si="457"/>
        <v/>
      </c>
      <c r="AN1390" s="73" t="str">
        <f t="shared" si="458"/>
        <v/>
      </c>
    </row>
    <row r="1391" spans="16:40" x14ac:dyDescent="0.25">
      <c r="P1391" s="73" t="str">
        <f t="shared" si="442"/>
        <v/>
      </c>
      <c r="Q1391" s="73" t="str">
        <f t="shared" si="443"/>
        <v/>
      </c>
      <c r="R1391" s="74" t="str">
        <f t="shared" si="444"/>
        <v/>
      </c>
      <c r="S1391" s="74" t="str">
        <f t="shared" si="445"/>
        <v/>
      </c>
      <c r="U1391" s="74" t="str">
        <f t="shared" si="459"/>
        <v/>
      </c>
      <c r="V1391" s="74" t="str">
        <f t="shared" si="459"/>
        <v/>
      </c>
      <c r="W1391" s="74" t="str">
        <f t="shared" si="459"/>
        <v/>
      </c>
      <c r="X1391" s="74" t="str">
        <f t="shared" si="459"/>
        <v/>
      </c>
      <c r="Y1391" s="74" t="str">
        <f t="shared" si="459"/>
        <v/>
      </c>
      <c r="Z1391" s="74" t="str">
        <f t="shared" si="446"/>
        <v/>
      </c>
      <c r="AA1391" s="74">
        <f t="shared" si="447"/>
        <v>0</v>
      </c>
      <c r="AB1391" s="74">
        <f t="shared" si="448"/>
        <v>0</v>
      </c>
      <c r="AC1391" s="74" t="str">
        <f t="shared" si="449"/>
        <v/>
      </c>
      <c r="AE1391" s="74" t="str">
        <f t="shared" si="450"/>
        <v/>
      </c>
      <c r="AF1391" s="74" t="str">
        <f t="shared" si="451"/>
        <v/>
      </c>
      <c r="AG1391" s="74" t="str">
        <f t="shared" si="452"/>
        <v/>
      </c>
      <c r="AH1391" s="74">
        <f t="shared" si="453"/>
        <v>0</v>
      </c>
      <c r="AI1391" s="74" t="str">
        <f>IF(AH1391&lt;&gt;0,COUNTIF(AH$3:AH1391,1),"")</f>
        <v/>
      </c>
      <c r="AJ1391" s="74">
        <f t="shared" si="454"/>
        <v>0</v>
      </c>
      <c r="AK1391" s="73" t="str">
        <f t="shared" si="455"/>
        <v/>
      </c>
      <c r="AL1391" s="73" t="str">
        <f t="shared" si="456"/>
        <v/>
      </c>
      <c r="AM1391" s="73" t="str">
        <f t="shared" si="457"/>
        <v/>
      </c>
      <c r="AN1391" s="73" t="str">
        <f t="shared" si="458"/>
        <v/>
      </c>
    </row>
    <row r="1392" spans="16:40" x14ac:dyDescent="0.25">
      <c r="P1392" s="73" t="str">
        <f t="shared" si="442"/>
        <v/>
      </c>
      <c r="Q1392" s="73" t="str">
        <f t="shared" si="443"/>
        <v/>
      </c>
      <c r="R1392" s="74" t="str">
        <f t="shared" si="444"/>
        <v/>
      </c>
      <c r="S1392" s="74" t="str">
        <f t="shared" si="445"/>
        <v/>
      </c>
      <c r="U1392" s="74" t="str">
        <f t="shared" si="459"/>
        <v/>
      </c>
      <c r="V1392" s="74" t="str">
        <f t="shared" si="459"/>
        <v/>
      </c>
      <c r="W1392" s="74" t="str">
        <f t="shared" si="459"/>
        <v/>
      </c>
      <c r="X1392" s="74" t="str">
        <f t="shared" si="459"/>
        <v/>
      </c>
      <c r="Y1392" s="74" t="str">
        <f t="shared" si="459"/>
        <v/>
      </c>
      <c r="Z1392" s="74" t="str">
        <f t="shared" si="446"/>
        <v/>
      </c>
      <c r="AA1392" s="74">
        <f t="shared" si="447"/>
        <v>0</v>
      </c>
      <c r="AB1392" s="74">
        <f t="shared" si="448"/>
        <v>0</v>
      </c>
      <c r="AC1392" s="74" t="str">
        <f t="shared" si="449"/>
        <v/>
      </c>
      <c r="AE1392" s="74" t="str">
        <f t="shared" si="450"/>
        <v/>
      </c>
      <c r="AF1392" s="74" t="str">
        <f t="shared" si="451"/>
        <v/>
      </c>
      <c r="AG1392" s="74" t="str">
        <f t="shared" si="452"/>
        <v/>
      </c>
      <c r="AH1392" s="74">
        <f t="shared" si="453"/>
        <v>0</v>
      </c>
      <c r="AI1392" s="74" t="str">
        <f>IF(AH1392&lt;&gt;0,COUNTIF(AH$3:AH1392,1),"")</f>
        <v/>
      </c>
      <c r="AJ1392" s="74">
        <f t="shared" si="454"/>
        <v>0</v>
      </c>
      <c r="AK1392" s="73" t="str">
        <f t="shared" si="455"/>
        <v/>
      </c>
      <c r="AL1392" s="73" t="str">
        <f t="shared" si="456"/>
        <v/>
      </c>
      <c r="AM1392" s="73" t="str">
        <f t="shared" si="457"/>
        <v/>
      </c>
      <c r="AN1392" s="73" t="str">
        <f t="shared" si="458"/>
        <v/>
      </c>
    </row>
    <row r="1393" spans="16:40" x14ac:dyDescent="0.25">
      <c r="P1393" s="73" t="str">
        <f t="shared" si="442"/>
        <v/>
      </c>
      <c r="Q1393" s="73" t="str">
        <f t="shared" si="443"/>
        <v/>
      </c>
      <c r="R1393" s="74" t="str">
        <f t="shared" si="444"/>
        <v/>
      </c>
      <c r="S1393" s="74" t="str">
        <f t="shared" si="445"/>
        <v/>
      </c>
      <c r="U1393" s="74" t="str">
        <f t="shared" si="459"/>
        <v/>
      </c>
      <c r="V1393" s="74" t="str">
        <f t="shared" si="459"/>
        <v/>
      </c>
      <c r="W1393" s="74" t="str">
        <f t="shared" si="459"/>
        <v/>
      </c>
      <c r="X1393" s="74" t="str">
        <f t="shared" si="459"/>
        <v/>
      </c>
      <c r="Y1393" s="74" t="str">
        <f t="shared" si="459"/>
        <v/>
      </c>
      <c r="Z1393" s="74" t="str">
        <f t="shared" si="446"/>
        <v/>
      </c>
      <c r="AA1393" s="74">
        <f t="shared" si="447"/>
        <v>0</v>
      </c>
      <c r="AB1393" s="74">
        <f t="shared" si="448"/>
        <v>0</v>
      </c>
      <c r="AC1393" s="74" t="str">
        <f t="shared" si="449"/>
        <v/>
      </c>
      <c r="AE1393" s="74" t="str">
        <f t="shared" si="450"/>
        <v/>
      </c>
      <c r="AF1393" s="74" t="str">
        <f t="shared" si="451"/>
        <v/>
      </c>
      <c r="AG1393" s="74" t="str">
        <f t="shared" si="452"/>
        <v/>
      </c>
      <c r="AH1393" s="74">
        <f t="shared" si="453"/>
        <v>0</v>
      </c>
      <c r="AI1393" s="74" t="str">
        <f>IF(AH1393&lt;&gt;0,COUNTIF(AH$3:AH1393,1),"")</f>
        <v/>
      </c>
      <c r="AJ1393" s="74">
        <f t="shared" si="454"/>
        <v>0</v>
      </c>
      <c r="AK1393" s="73" t="str">
        <f t="shared" si="455"/>
        <v/>
      </c>
      <c r="AL1393" s="73" t="str">
        <f t="shared" si="456"/>
        <v/>
      </c>
      <c r="AM1393" s="73" t="str">
        <f t="shared" si="457"/>
        <v/>
      </c>
      <c r="AN1393" s="73" t="str">
        <f t="shared" si="458"/>
        <v/>
      </c>
    </row>
    <row r="1394" spans="16:40" x14ac:dyDescent="0.25">
      <c r="P1394" s="73" t="str">
        <f t="shared" si="442"/>
        <v/>
      </c>
      <c r="Q1394" s="73" t="str">
        <f t="shared" si="443"/>
        <v/>
      </c>
      <c r="R1394" s="74" t="str">
        <f t="shared" si="444"/>
        <v/>
      </c>
      <c r="S1394" s="74" t="str">
        <f t="shared" si="445"/>
        <v/>
      </c>
      <c r="U1394" s="74" t="str">
        <f t="shared" si="459"/>
        <v/>
      </c>
      <c r="V1394" s="74" t="str">
        <f t="shared" si="459"/>
        <v/>
      </c>
      <c r="W1394" s="74" t="str">
        <f t="shared" si="459"/>
        <v/>
      </c>
      <c r="X1394" s="74" t="str">
        <f t="shared" si="459"/>
        <v/>
      </c>
      <c r="Y1394" s="74" t="str">
        <f t="shared" si="459"/>
        <v/>
      </c>
      <c r="Z1394" s="74" t="str">
        <f t="shared" si="446"/>
        <v/>
      </c>
      <c r="AA1394" s="74">
        <f t="shared" si="447"/>
        <v>0</v>
      </c>
      <c r="AB1394" s="74">
        <f t="shared" si="448"/>
        <v>0</v>
      </c>
      <c r="AC1394" s="74" t="str">
        <f t="shared" si="449"/>
        <v/>
      </c>
      <c r="AE1394" s="74" t="str">
        <f t="shared" si="450"/>
        <v/>
      </c>
      <c r="AF1394" s="74" t="str">
        <f t="shared" si="451"/>
        <v/>
      </c>
      <c r="AG1394" s="74" t="str">
        <f t="shared" si="452"/>
        <v/>
      </c>
      <c r="AH1394" s="74">
        <f t="shared" si="453"/>
        <v>0</v>
      </c>
      <c r="AI1394" s="74" t="str">
        <f>IF(AH1394&lt;&gt;0,COUNTIF(AH$3:AH1394,1),"")</f>
        <v/>
      </c>
      <c r="AJ1394" s="74">
        <f t="shared" si="454"/>
        <v>0</v>
      </c>
      <c r="AK1394" s="73" t="str">
        <f t="shared" si="455"/>
        <v/>
      </c>
      <c r="AL1394" s="73" t="str">
        <f t="shared" si="456"/>
        <v/>
      </c>
      <c r="AM1394" s="73" t="str">
        <f t="shared" si="457"/>
        <v/>
      </c>
      <c r="AN1394" s="73" t="str">
        <f t="shared" si="458"/>
        <v/>
      </c>
    </row>
    <row r="1395" spans="16:40" x14ac:dyDescent="0.25">
      <c r="P1395" s="73" t="str">
        <f t="shared" si="442"/>
        <v/>
      </c>
      <c r="Q1395" s="73" t="str">
        <f t="shared" si="443"/>
        <v/>
      </c>
      <c r="R1395" s="74" t="str">
        <f t="shared" si="444"/>
        <v/>
      </c>
      <c r="S1395" s="74" t="str">
        <f t="shared" si="445"/>
        <v/>
      </c>
      <c r="U1395" s="74" t="str">
        <f t="shared" si="459"/>
        <v/>
      </c>
      <c r="V1395" s="74" t="str">
        <f t="shared" si="459"/>
        <v/>
      </c>
      <c r="W1395" s="74" t="str">
        <f t="shared" si="459"/>
        <v/>
      </c>
      <c r="X1395" s="74" t="str">
        <f t="shared" si="459"/>
        <v/>
      </c>
      <c r="Y1395" s="74" t="str">
        <f t="shared" si="459"/>
        <v/>
      </c>
      <c r="Z1395" s="74" t="str">
        <f t="shared" si="446"/>
        <v/>
      </c>
      <c r="AA1395" s="74">
        <f t="shared" si="447"/>
        <v>0</v>
      </c>
      <c r="AB1395" s="74">
        <f t="shared" si="448"/>
        <v>0</v>
      </c>
      <c r="AC1395" s="74" t="str">
        <f t="shared" si="449"/>
        <v/>
      </c>
      <c r="AE1395" s="74" t="str">
        <f t="shared" si="450"/>
        <v/>
      </c>
      <c r="AF1395" s="74" t="str">
        <f t="shared" si="451"/>
        <v/>
      </c>
      <c r="AG1395" s="74" t="str">
        <f t="shared" si="452"/>
        <v/>
      </c>
      <c r="AH1395" s="74">
        <f t="shared" si="453"/>
        <v>0</v>
      </c>
      <c r="AI1395" s="74" t="str">
        <f>IF(AH1395&lt;&gt;0,COUNTIF(AH$3:AH1395,1),"")</f>
        <v/>
      </c>
      <c r="AJ1395" s="74">
        <f t="shared" si="454"/>
        <v>0</v>
      </c>
      <c r="AK1395" s="73" t="str">
        <f t="shared" si="455"/>
        <v/>
      </c>
      <c r="AL1395" s="73" t="str">
        <f t="shared" si="456"/>
        <v/>
      </c>
      <c r="AM1395" s="73" t="str">
        <f t="shared" si="457"/>
        <v/>
      </c>
      <c r="AN1395" s="73" t="str">
        <f t="shared" si="458"/>
        <v/>
      </c>
    </row>
    <row r="1396" spans="16:40" x14ac:dyDescent="0.25">
      <c r="P1396" s="73" t="str">
        <f t="shared" si="442"/>
        <v/>
      </c>
      <c r="Q1396" s="73" t="str">
        <f t="shared" si="443"/>
        <v/>
      </c>
      <c r="R1396" s="74" t="str">
        <f t="shared" si="444"/>
        <v/>
      </c>
      <c r="S1396" s="74" t="str">
        <f t="shared" si="445"/>
        <v/>
      </c>
      <c r="U1396" s="74" t="str">
        <f t="shared" si="459"/>
        <v/>
      </c>
      <c r="V1396" s="74" t="str">
        <f t="shared" si="459"/>
        <v/>
      </c>
      <c r="W1396" s="74" t="str">
        <f t="shared" si="459"/>
        <v/>
      </c>
      <c r="X1396" s="74" t="str">
        <f t="shared" si="459"/>
        <v/>
      </c>
      <c r="Y1396" s="74" t="str">
        <f t="shared" si="459"/>
        <v/>
      </c>
      <c r="Z1396" s="74" t="str">
        <f t="shared" si="446"/>
        <v/>
      </c>
      <c r="AA1396" s="74">
        <f t="shared" si="447"/>
        <v>0</v>
      </c>
      <c r="AB1396" s="74">
        <f t="shared" si="448"/>
        <v>0</v>
      </c>
      <c r="AC1396" s="74" t="str">
        <f t="shared" si="449"/>
        <v/>
      </c>
      <c r="AE1396" s="74" t="str">
        <f t="shared" si="450"/>
        <v/>
      </c>
      <c r="AF1396" s="74" t="str">
        <f t="shared" si="451"/>
        <v/>
      </c>
      <c r="AG1396" s="74" t="str">
        <f t="shared" si="452"/>
        <v/>
      </c>
      <c r="AH1396" s="74">
        <f t="shared" si="453"/>
        <v>0</v>
      </c>
      <c r="AI1396" s="74" t="str">
        <f>IF(AH1396&lt;&gt;0,COUNTIF(AH$3:AH1396,1),"")</f>
        <v/>
      </c>
      <c r="AJ1396" s="74">
        <f t="shared" si="454"/>
        <v>0</v>
      </c>
      <c r="AK1396" s="73" t="str">
        <f t="shared" si="455"/>
        <v/>
      </c>
      <c r="AL1396" s="73" t="str">
        <f t="shared" si="456"/>
        <v/>
      </c>
      <c r="AM1396" s="73" t="str">
        <f t="shared" si="457"/>
        <v/>
      </c>
      <c r="AN1396" s="73" t="str">
        <f t="shared" si="458"/>
        <v/>
      </c>
    </row>
    <row r="1397" spans="16:40" x14ac:dyDescent="0.25">
      <c r="P1397" s="73" t="str">
        <f t="shared" si="442"/>
        <v/>
      </c>
      <c r="Q1397" s="73" t="str">
        <f t="shared" si="443"/>
        <v/>
      </c>
      <c r="R1397" s="74" t="str">
        <f t="shared" si="444"/>
        <v/>
      </c>
      <c r="S1397" s="74" t="str">
        <f t="shared" si="445"/>
        <v/>
      </c>
      <c r="U1397" s="74" t="str">
        <f t="shared" si="459"/>
        <v/>
      </c>
      <c r="V1397" s="74" t="str">
        <f t="shared" si="459"/>
        <v/>
      </c>
      <c r="W1397" s="74" t="str">
        <f t="shared" si="459"/>
        <v/>
      </c>
      <c r="X1397" s="74" t="str">
        <f t="shared" si="459"/>
        <v/>
      </c>
      <c r="Y1397" s="74" t="str">
        <f t="shared" si="459"/>
        <v/>
      </c>
      <c r="Z1397" s="74" t="str">
        <f t="shared" si="446"/>
        <v/>
      </c>
      <c r="AA1397" s="74">
        <f t="shared" si="447"/>
        <v>0</v>
      </c>
      <c r="AB1397" s="74">
        <f t="shared" si="448"/>
        <v>0</v>
      </c>
      <c r="AC1397" s="74" t="str">
        <f t="shared" si="449"/>
        <v/>
      </c>
      <c r="AE1397" s="74" t="str">
        <f t="shared" si="450"/>
        <v/>
      </c>
      <c r="AF1397" s="74" t="str">
        <f t="shared" si="451"/>
        <v/>
      </c>
      <c r="AG1397" s="74" t="str">
        <f t="shared" si="452"/>
        <v/>
      </c>
      <c r="AH1397" s="74">
        <f t="shared" si="453"/>
        <v>0</v>
      </c>
      <c r="AI1397" s="74" t="str">
        <f>IF(AH1397&lt;&gt;0,COUNTIF(AH$3:AH1397,1),"")</f>
        <v/>
      </c>
      <c r="AJ1397" s="74">
        <f t="shared" si="454"/>
        <v>0</v>
      </c>
      <c r="AK1397" s="73" t="str">
        <f t="shared" si="455"/>
        <v/>
      </c>
      <c r="AL1397" s="73" t="str">
        <f t="shared" si="456"/>
        <v/>
      </c>
      <c r="AM1397" s="73" t="str">
        <f t="shared" si="457"/>
        <v/>
      </c>
      <c r="AN1397" s="73" t="str">
        <f t="shared" si="458"/>
        <v/>
      </c>
    </row>
    <row r="1398" spans="16:40" x14ac:dyDescent="0.25">
      <c r="P1398" s="73" t="str">
        <f t="shared" si="442"/>
        <v/>
      </c>
      <c r="Q1398" s="73" t="str">
        <f t="shared" si="443"/>
        <v/>
      </c>
      <c r="R1398" s="74" t="str">
        <f t="shared" si="444"/>
        <v/>
      </c>
      <c r="S1398" s="74" t="str">
        <f t="shared" si="445"/>
        <v/>
      </c>
      <c r="U1398" s="74" t="str">
        <f t="shared" si="459"/>
        <v/>
      </c>
      <c r="V1398" s="74" t="str">
        <f t="shared" si="459"/>
        <v/>
      </c>
      <c r="W1398" s="74" t="str">
        <f t="shared" si="459"/>
        <v/>
      </c>
      <c r="X1398" s="74" t="str">
        <f t="shared" si="459"/>
        <v/>
      </c>
      <c r="Y1398" s="74" t="str">
        <f t="shared" si="459"/>
        <v/>
      </c>
      <c r="Z1398" s="74" t="str">
        <f t="shared" si="446"/>
        <v/>
      </c>
      <c r="AA1398" s="74">
        <f t="shared" si="447"/>
        <v>0</v>
      </c>
      <c r="AB1398" s="74">
        <f t="shared" si="448"/>
        <v>0</v>
      </c>
      <c r="AC1398" s="74" t="str">
        <f t="shared" si="449"/>
        <v/>
      </c>
      <c r="AE1398" s="74" t="str">
        <f t="shared" si="450"/>
        <v/>
      </c>
      <c r="AF1398" s="74" t="str">
        <f t="shared" si="451"/>
        <v/>
      </c>
      <c r="AG1398" s="74" t="str">
        <f t="shared" si="452"/>
        <v/>
      </c>
      <c r="AH1398" s="74">
        <f t="shared" si="453"/>
        <v>0</v>
      </c>
      <c r="AI1398" s="74" t="str">
        <f>IF(AH1398&lt;&gt;0,COUNTIF(AH$3:AH1398,1),"")</f>
        <v/>
      </c>
      <c r="AJ1398" s="74">
        <f t="shared" si="454"/>
        <v>0</v>
      </c>
      <c r="AK1398" s="73" t="str">
        <f t="shared" si="455"/>
        <v/>
      </c>
      <c r="AL1398" s="73" t="str">
        <f t="shared" si="456"/>
        <v/>
      </c>
      <c r="AM1398" s="73" t="str">
        <f t="shared" si="457"/>
        <v/>
      </c>
      <c r="AN1398" s="73" t="str">
        <f t="shared" si="458"/>
        <v/>
      </c>
    </row>
    <row r="1399" spans="16:40" x14ac:dyDescent="0.25">
      <c r="P1399" s="73" t="str">
        <f t="shared" si="442"/>
        <v/>
      </c>
      <c r="Q1399" s="73" t="str">
        <f t="shared" si="443"/>
        <v/>
      </c>
      <c r="R1399" s="74" t="str">
        <f t="shared" si="444"/>
        <v/>
      </c>
      <c r="S1399" s="74" t="str">
        <f t="shared" si="445"/>
        <v/>
      </c>
      <c r="U1399" s="74" t="str">
        <f t="shared" si="459"/>
        <v/>
      </c>
      <c r="V1399" s="74" t="str">
        <f t="shared" si="459"/>
        <v/>
      </c>
      <c r="W1399" s="74" t="str">
        <f t="shared" si="459"/>
        <v/>
      </c>
      <c r="X1399" s="74" t="str">
        <f t="shared" si="459"/>
        <v/>
      </c>
      <c r="Y1399" s="74" t="str">
        <f t="shared" si="459"/>
        <v/>
      </c>
      <c r="Z1399" s="74" t="str">
        <f t="shared" si="446"/>
        <v/>
      </c>
      <c r="AA1399" s="74">
        <f t="shared" si="447"/>
        <v>0</v>
      </c>
      <c r="AB1399" s="74">
        <f t="shared" si="448"/>
        <v>0</v>
      </c>
      <c r="AC1399" s="74" t="str">
        <f t="shared" si="449"/>
        <v/>
      </c>
      <c r="AE1399" s="74" t="str">
        <f t="shared" si="450"/>
        <v/>
      </c>
      <c r="AF1399" s="74" t="str">
        <f t="shared" si="451"/>
        <v/>
      </c>
      <c r="AG1399" s="74" t="str">
        <f t="shared" si="452"/>
        <v/>
      </c>
      <c r="AH1399" s="74">
        <f t="shared" si="453"/>
        <v>0</v>
      </c>
      <c r="AI1399" s="74" t="str">
        <f>IF(AH1399&lt;&gt;0,COUNTIF(AH$3:AH1399,1),"")</f>
        <v/>
      </c>
      <c r="AJ1399" s="74">
        <f t="shared" si="454"/>
        <v>0</v>
      </c>
      <c r="AK1399" s="73" t="str">
        <f t="shared" si="455"/>
        <v/>
      </c>
      <c r="AL1399" s="73" t="str">
        <f t="shared" si="456"/>
        <v/>
      </c>
      <c r="AM1399" s="73" t="str">
        <f t="shared" si="457"/>
        <v/>
      </c>
      <c r="AN1399" s="73" t="str">
        <f t="shared" si="458"/>
        <v/>
      </c>
    </row>
    <row r="1400" spans="16:40" x14ac:dyDescent="0.25">
      <c r="P1400" s="73" t="str">
        <f t="shared" si="442"/>
        <v/>
      </c>
      <c r="Q1400" s="73" t="str">
        <f t="shared" si="443"/>
        <v/>
      </c>
      <c r="R1400" s="74" t="str">
        <f t="shared" si="444"/>
        <v/>
      </c>
      <c r="S1400" s="74" t="str">
        <f t="shared" si="445"/>
        <v/>
      </c>
      <c r="U1400" s="74" t="str">
        <f t="shared" si="459"/>
        <v/>
      </c>
      <c r="V1400" s="74" t="str">
        <f t="shared" si="459"/>
        <v/>
      </c>
      <c r="W1400" s="74" t="str">
        <f t="shared" si="459"/>
        <v/>
      </c>
      <c r="X1400" s="74" t="str">
        <f t="shared" si="459"/>
        <v/>
      </c>
      <c r="Y1400" s="74" t="str">
        <f t="shared" si="459"/>
        <v/>
      </c>
      <c r="Z1400" s="74" t="str">
        <f t="shared" si="446"/>
        <v/>
      </c>
      <c r="AA1400" s="74">
        <f t="shared" si="447"/>
        <v>0</v>
      </c>
      <c r="AB1400" s="74">
        <f t="shared" si="448"/>
        <v>0</v>
      </c>
      <c r="AC1400" s="74" t="str">
        <f t="shared" si="449"/>
        <v/>
      </c>
      <c r="AE1400" s="74" t="str">
        <f t="shared" si="450"/>
        <v/>
      </c>
      <c r="AF1400" s="74" t="str">
        <f t="shared" si="451"/>
        <v/>
      </c>
      <c r="AG1400" s="74" t="str">
        <f t="shared" si="452"/>
        <v/>
      </c>
      <c r="AH1400" s="74">
        <f t="shared" si="453"/>
        <v>0</v>
      </c>
      <c r="AI1400" s="74" t="str">
        <f>IF(AH1400&lt;&gt;0,COUNTIF(AH$3:AH1400,1),"")</f>
        <v/>
      </c>
      <c r="AJ1400" s="74">
        <f t="shared" si="454"/>
        <v>0</v>
      </c>
      <c r="AK1400" s="73" t="str">
        <f t="shared" si="455"/>
        <v/>
      </c>
      <c r="AL1400" s="73" t="str">
        <f t="shared" si="456"/>
        <v/>
      </c>
      <c r="AM1400" s="73" t="str">
        <f t="shared" si="457"/>
        <v/>
      </c>
      <c r="AN1400" s="73" t="str">
        <f t="shared" si="458"/>
        <v/>
      </c>
    </row>
    <row r="1401" spans="16:40" x14ac:dyDescent="0.25">
      <c r="P1401" s="73" t="str">
        <f t="shared" si="442"/>
        <v/>
      </c>
      <c r="Q1401" s="73" t="str">
        <f t="shared" si="443"/>
        <v/>
      </c>
      <c r="R1401" s="74" t="str">
        <f t="shared" si="444"/>
        <v/>
      </c>
      <c r="S1401" s="74" t="str">
        <f t="shared" si="445"/>
        <v/>
      </c>
      <c r="U1401" s="74" t="str">
        <f t="shared" si="459"/>
        <v/>
      </c>
      <c r="V1401" s="74" t="str">
        <f t="shared" si="459"/>
        <v/>
      </c>
      <c r="W1401" s="74" t="str">
        <f t="shared" si="459"/>
        <v/>
      </c>
      <c r="X1401" s="74" t="str">
        <f t="shared" si="459"/>
        <v/>
      </c>
      <c r="Y1401" s="74" t="str">
        <f t="shared" si="459"/>
        <v/>
      </c>
      <c r="Z1401" s="74" t="str">
        <f t="shared" si="446"/>
        <v/>
      </c>
      <c r="AA1401" s="74">
        <f t="shared" si="447"/>
        <v>0</v>
      </c>
      <c r="AB1401" s="74">
        <f t="shared" si="448"/>
        <v>0</v>
      </c>
      <c r="AC1401" s="74" t="str">
        <f t="shared" si="449"/>
        <v/>
      </c>
      <c r="AE1401" s="74" t="str">
        <f t="shared" si="450"/>
        <v/>
      </c>
      <c r="AF1401" s="74" t="str">
        <f t="shared" si="451"/>
        <v/>
      </c>
      <c r="AG1401" s="74" t="str">
        <f t="shared" si="452"/>
        <v/>
      </c>
      <c r="AH1401" s="74">
        <f t="shared" si="453"/>
        <v>0</v>
      </c>
      <c r="AI1401" s="74" t="str">
        <f>IF(AH1401&lt;&gt;0,COUNTIF(AH$3:AH1401,1),"")</f>
        <v/>
      </c>
      <c r="AJ1401" s="74">
        <f t="shared" si="454"/>
        <v>0</v>
      </c>
      <c r="AK1401" s="73" t="str">
        <f t="shared" si="455"/>
        <v/>
      </c>
      <c r="AL1401" s="73" t="str">
        <f t="shared" si="456"/>
        <v/>
      </c>
      <c r="AM1401" s="73" t="str">
        <f t="shared" si="457"/>
        <v/>
      </c>
      <c r="AN1401" s="73" t="str">
        <f t="shared" si="458"/>
        <v/>
      </c>
    </row>
    <row r="1402" spans="16:40" x14ac:dyDescent="0.25">
      <c r="P1402" s="73" t="str">
        <f t="shared" si="442"/>
        <v/>
      </c>
      <c r="Q1402" s="73" t="str">
        <f t="shared" si="443"/>
        <v/>
      </c>
      <c r="R1402" s="74" t="str">
        <f t="shared" si="444"/>
        <v/>
      </c>
      <c r="S1402" s="74" t="str">
        <f t="shared" si="445"/>
        <v/>
      </c>
      <c r="U1402" s="74" t="str">
        <f t="shared" si="459"/>
        <v/>
      </c>
      <c r="V1402" s="74" t="str">
        <f t="shared" si="459"/>
        <v/>
      </c>
      <c r="W1402" s="74" t="str">
        <f t="shared" si="459"/>
        <v/>
      </c>
      <c r="X1402" s="74" t="str">
        <f t="shared" si="459"/>
        <v/>
      </c>
      <c r="Y1402" s="74" t="str">
        <f t="shared" si="459"/>
        <v/>
      </c>
      <c r="Z1402" s="74" t="str">
        <f t="shared" si="446"/>
        <v/>
      </c>
      <c r="AA1402" s="74">
        <f t="shared" si="447"/>
        <v>0</v>
      </c>
      <c r="AB1402" s="74">
        <f t="shared" si="448"/>
        <v>0</v>
      </c>
      <c r="AC1402" s="74" t="str">
        <f t="shared" si="449"/>
        <v/>
      </c>
      <c r="AE1402" s="74" t="str">
        <f t="shared" si="450"/>
        <v/>
      </c>
      <c r="AF1402" s="74" t="str">
        <f t="shared" si="451"/>
        <v/>
      </c>
      <c r="AG1402" s="74" t="str">
        <f t="shared" si="452"/>
        <v/>
      </c>
      <c r="AH1402" s="74">
        <f t="shared" si="453"/>
        <v>0</v>
      </c>
      <c r="AI1402" s="74" t="str">
        <f>IF(AH1402&lt;&gt;0,COUNTIF(AH$3:AH1402,1),"")</f>
        <v/>
      </c>
      <c r="AJ1402" s="74">
        <f t="shared" si="454"/>
        <v>0</v>
      </c>
      <c r="AK1402" s="73" t="str">
        <f t="shared" si="455"/>
        <v/>
      </c>
      <c r="AL1402" s="73" t="str">
        <f t="shared" si="456"/>
        <v/>
      </c>
      <c r="AM1402" s="73" t="str">
        <f t="shared" si="457"/>
        <v/>
      </c>
      <c r="AN1402" s="73" t="str">
        <f t="shared" si="458"/>
        <v/>
      </c>
    </row>
    <row r="1403" spans="16:40" x14ac:dyDescent="0.25">
      <c r="P1403" s="73" t="str">
        <f t="shared" si="442"/>
        <v/>
      </c>
      <c r="Q1403" s="73" t="str">
        <f t="shared" si="443"/>
        <v/>
      </c>
      <c r="R1403" s="74" t="str">
        <f t="shared" si="444"/>
        <v/>
      </c>
      <c r="S1403" s="74" t="str">
        <f t="shared" si="445"/>
        <v/>
      </c>
      <c r="U1403" s="74" t="str">
        <f t="shared" si="459"/>
        <v/>
      </c>
      <c r="V1403" s="74" t="str">
        <f t="shared" si="459"/>
        <v/>
      </c>
      <c r="W1403" s="74" t="str">
        <f t="shared" si="459"/>
        <v/>
      </c>
      <c r="X1403" s="74" t="str">
        <f t="shared" si="459"/>
        <v/>
      </c>
      <c r="Y1403" s="74" t="str">
        <f t="shared" si="459"/>
        <v/>
      </c>
      <c r="Z1403" s="74" t="str">
        <f t="shared" si="446"/>
        <v/>
      </c>
      <c r="AA1403" s="74">
        <f t="shared" si="447"/>
        <v>0</v>
      </c>
      <c r="AB1403" s="74">
        <f t="shared" si="448"/>
        <v>0</v>
      </c>
      <c r="AC1403" s="74" t="str">
        <f t="shared" si="449"/>
        <v/>
      </c>
      <c r="AE1403" s="74" t="str">
        <f t="shared" si="450"/>
        <v/>
      </c>
      <c r="AF1403" s="74" t="str">
        <f t="shared" si="451"/>
        <v/>
      </c>
      <c r="AG1403" s="74" t="str">
        <f t="shared" si="452"/>
        <v/>
      </c>
      <c r="AH1403" s="74">
        <f t="shared" si="453"/>
        <v>0</v>
      </c>
      <c r="AI1403" s="74" t="str">
        <f>IF(AH1403&lt;&gt;0,COUNTIF(AH$3:AH1403,1),"")</f>
        <v/>
      </c>
      <c r="AJ1403" s="74">
        <f t="shared" si="454"/>
        <v>0</v>
      </c>
      <c r="AK1403" s="73" t="str">
        <f t="shared" si="455"/>
        <v/>
      </c>
      <c r="AL1403" s="73" t="str">
        <f t="shared" si="456"/>
        <v/>
      </c>
      <c r="AM1403" s="73" t="str">
        <f t="shared" si="457"/>
        <v/>
      </c>
      <c r="AN1403" s="73" t="str">
        <f t="shared" si="458"/>
        <v/>
      </c>
    </row>
    <row r="1404" spans="16:40" x14ac:dyDescent="0.25">
      <c r="P1404" s="73" t="str">
        <f t="shared" si="442"/>
        <v/>
      </c>
      <c r="Q1404" s="73" t="str">
        <f t="shared" si="443"/>
        <v/>
      </c>
      <c r="R1404" s="74" t="str">
        <f t="shared" si="444"/>
        <v/>
      </c>
      <c r="S1404" s="74" t="str">
        <f t="shared" si="445"/>
        <v/>
      </c>
      <c r="U1404" s="74" t="str">
        <f t="shared" si="459"/>
        <v/>
      </c>
      <c r="V1404" s="74" t="str">
        <f t="shared" si="459"/>
        <v/>
      </c>
      <c r="W1404" s="74" t="str">
        <f t="shared" si="459"/>
        <v/>
      </c>
      <c r="X1404" s="74" t="str">
        <f t="shared" si="459"/>
        <v/>
      </c>
      <c r="Y1404" s="74" t="str">
        <f t="shared" si="459"/>
        <v/>
      </c>
      <c r="Z1404" s="74" t="str">
        <f t="shared" si="446"/>
        <v/>
      </c>
      <c r="AA1404" s="74">
        <f t="shared" si="447"/>
        <v>0</v>
      </c>
      <c r="AB1404" s="74">
        <f t="shared" si="448"/>
        <v>0</v>
      </c>
      <c r="AC1404" s="74" t="str">
        <f t="shared" si="449"/>
        <v/>
      </c>
      <c r="AE1404" s="74" t="str">
        <f t="shared" si="450"/>
        <v/>
      </c>
      <c r="AF1404" s="74" t="str">
        <f t="shared" si="451"/>
        <v/>
      </c>
      <c r="AG1404" s="74" t="str">
        <f t="shared" si="452"/>
        <v/>
      </c>
      <c r="AH1404" s="74">
        <f t="shared" si="453"/>
        <v>0</v>
      </c>
      <c r="AI1404" s="74" t="str">
        <f>IF(AH1404&lt;&gt;0,COUNTIF(AH$3:AH1404,1),"")</f>
        <v/>
      </c>
      <c r="AJ1404" s="74">
        <f t="shared" si="454"/>
        <v>0</v>
      </c>
      <c r="AK1404" s="73" t="str">
        <f t="shared" si="455"/>
        <v/>
      </c>
      <c r="AL1404" s="73" t="str">
        <f t="shared" si="456"/>
        <v/>
      </c>
      <c r="AM1404" s="73" t="str">
        <f t="shared" si="457"/>
        <v/>
      </c>
      <c r="AN1404" s="73" t="str">
        <f t="shared" si="458"/>
        <v/>
      </c>
    </row>
    <row r="1405" spans="16:40" x14ac:dyDescent="0.25">
      <c r="P1405" s="73" t="str">
        <f t="shared" si="442"/>
        <v/>
      </c>
      <c r="Q1405" s="73" t="str">
        <f t="shared" si="443"/>
        <v/>
      </c>
      <c r="R1405" s="74" t="str">
        <f t="shared" si="444"/>
        <v/>
      </c>
      <c r="S1405" s="74" t="str">
        <f t="shared" si="445"/>
        <v/>
      </c>
      <c r="U1405" s="74" t="str">
        <f t="shared" si="459"/>
        <v/>
      </c>
      <c r="V1405" s="74" t="str">
        <f t="shared" si="459"/>
        <v/>
      </c>
      <c r="W1405" s="74" t="str">
        <f t="shared" si="459"/>
        <v/>
      </c>
      <c r="X1405" s="74" t="str">
        <f t="shared" si="459"/>
        <v/>
      </c>
      <c r="Y1405" s="74" t="str">
        <f t="shared" si="459"/>
        <v/>
      </c>
      <c r="Z1405" s="74" t="str">
        <f t="shared" si="446"/>
        <v/>
      </c>
      <c r="AA1405" s="74">
        <f t="shared" si="447"/>
        <v>0</v>
      </c>
      <c r="AB1405" s="74">
        <f t="shared" si="448"/>
        <v>0</v>
      </c>
      <c r="AC1405" s="74" t="str">
        <f t="shared" si="449"/>
        <v/>
      </c>
      <c r="AE1405" s="74" t="str">
        <f t="shared" si="450"/>
        <v/>
      </c>
      <c r="AF1405" s="74" t="str">
        <f t="shared" si="451"/>
        <v/>
      </c>
      <c r="AG1405" s="74" t="str">
        <f t="shared" si="452"/>
        <v/>
      </c>
      <c r="AH1405" s="74">
        <f t="shared" si="453"/>
        <v>0</v>
      </c>
      <c r="AI1405" s="74" t="str">
        <f>IF(AH1405&lt;&gt;0,COUNTIF(AH$3:AH1405,1),"")</f>
        <v/>
      </c>
      <c r="AJ1405" s="74">
        <f t="shared" si="454"/>
        <v>0</v>
      </c>
      <c r="AK1405" s="73" t="str">
        <f t="shared" si="455"/>
        <v/>
      </c>
      <c r="AL1405" s="73" t="str">
        <f t="shared" si="456"/>
        <v/>
      </c>
      <c r="AM1405" s="73" t="str">
        <f t="shared" si="457"/>
        <v/>
      </c>
      <c r="AN1405" s="73" t="str">
        <f t="shared" si="458"/>
        <v/>
      </c>
    </row>
    <row r="1406" spans="16:40" x14ac:dyDescent="0.25">
      <c r="P1406" s="73" t="str">
        <f t="shared" ref="P1406:P1469" si="460">IF(N1406&lt;&gt;"",SUBSTITUTE(LEFT(N1406,FIND(";",N1406)),";",""),"")</f>
        <v/>
      </c>
      <c r="Q1406" s="73" t="str">
        <f t="shared" ref="Q1406:Q1469" si="461">IF(N1406&lt;&gt;"",SUBSTITUTE(RIGHT(N1406,FIND(";",N1406)),";",""),"")</f>
        <v/>
      </c>
      <c r="R1406" s="74" t="str">
        <f t="shared" ref="R1406:R1469" si="462">IF(O1406&lt;&gt;"",SUBSTITUTE(LEFT(O1406,FIND(";",O1406)),";",""),"")</f>
        <v/>
      </c>
      <c r="S1406" s="74" t="str">
        <f t="shared" ref="S1406:S1469" si="463">IF(O1406&lt;&gt;"",IFERROR(IF(FIND("OK",O1406)&gt;0,TRUE),FALSE),"")</f>
        <v/>
      </c>
      <c r="U1406" s="74" t="str">
        <f t="shared" si="459"/>
        <v/>
      </c>
      <c r="V1406" s="74" t="str">
        <f t="shared" si="459"/>
        <v/>
      </c>
      <c r="W1406" s="74" t="str">
        <f t="shared" si="459"/>
        <v/>
      </c>
      <c r="X1406" s="74" t="str">
        <f t="shared" si="459"/>
        <v/>
      </c>
      <c r="Y1406" s="74" t="str">
        <f t="shared" si="459"/>
        <v/>
      </c>
      <c r="Z1406" s="74" t="str">
        <f t="shared" ref="Z1406:Z1469" si="464">IF(G1406,E1406,"")</f>
        <v/>
      </c>
      <c r="AA1406" s="74">
        <f t="shared" ref="AA1406:AA1469" si="465">IF(G1406=FALSE,E1406,"")</f>
        <v>0</v>
      </c>
      <c r="AB1406" s="74">
        <f t="shared" ref="AB1406:AB1469" si="466">IF(G1406,1,0)</f>
        <v>0</v>
      </c>
      <c r="AC1406" s="74" t="str">
        <f t="shared" ref="AC1406:AC1469" si="467">IF(A1406&lt;&gt;"",IF(G1406,0,1),"")</f>
        <v/>
      </c>
      <c r="AE1406" s="74" t="str">
        <f t="shared" ref="AE1406:AE1469" si="468">IF(P1406&lt;&gt;"",IF(AND(_xlfn.NUMBERVALUE(P1406)&gt;25,_xlfn.NUMBERVALUE(P1406)&lt;38),TRUE,FALSE),"")</f>
        <v/>
      </c>
      <c r="AF1406" s="74" t="str">
        <f t="shared" ref="AF1406:AF1469" si="469">IF(Q1406&lt;&gt;"",IF(AND(_xlfn.NUMBERVALUE(Q1406)&gt;25,_xlfn.NUMBERVALUE(Q1406)&lt;38),TRUE,FALSE),"")</f>
        <v/>
      </c>
      <c r="AG1406" s="74" t="str">
        <f t="shared" ref="AG1406:AG1469" si="470">IF(R1406&lt;&gt;"",IF(AND(_xlfn.NUMBERVALUE(R1406)&gt;262,_xlfn.NUMBERVALUE(R1406)&lt;307),TRUE,FALSE),"")</f>
        <v/>
      </c>
      <c r="AH1406" s="74">
        <f t="shared" ref="AH1406:AH1469" si="471">IF(OR(AE1406=FALSE,AF1406=FALSE,AG1406=FALSE),1,0)</f>
        <v>0</v>
      </c>
      <c r="AI1406" s="74" t="str">
        <f>IF(AH1406&lt;&gt;0,COUNTIF(AH$3:AH1406,1),"")</f>
        <v/>
      </c>
      <c r="AJ1406" s="74">
        <f t="shared" ref="AJ1406:AJ1469" si="472">L1406</f>
        <v>0</v>
      </c>
      <c r="AK1406" s="73" t="str">
        <f t="shared" ref="AK1406:AK1469" si="473">P1406</f>
        <v/>
      </c>
      <c r="AL1406" s="73" t="str">
        <f t="shared" ref="AL1406:AL1469" si="474">Q1406</f>
        <v/>
      </c>
      <c r="AM1406" s="73" t="str">
        <f t="shared" ref="AM1406:AM1469" si="475">R1406</f>
        <v/>
      </c>
      <c r="AN1406" s="73" t="str">
        <f t="shared" ref="AN1406:AN1469" si="476">S1406</f>
        <v/>
      </c>
    </row>
    <row r="1407" spans="16:40" x14ac:dyDescent="0.25">
      <c r="P1407" s="73" t="str">
        <f t="shared" si="460"/>
        <v/>
      </c>
      <c r="Q1407" s="73" t="str">
        <f t="shared" si="461"/>
        <v/>
      </c>
      <c r="R1407" s="74" t="str">
        <f t="shared" si="462"/>
        <v/>
      </c>
      <c r="S1407" s="74" t="str">
        <f t="shared" si="463"/>
        <v/>
      </c>
      <c r="U1407" s="74" t="str">
        <f t="shared" si="459"/>
        <v/>
      </c>
      <c r="V1407" s="74" t="str">
        <f t="shared" si="459"/>
        <v/>
      </c>
      <c r="W1407" s="74" t="str">
        <f t="shared" si="459"/>
        <v/>
      </c>
      <c r="X1407" s="74" t="str">
        <f t="shared" si="459"/>
        <v/>
      </c>
      <c r="Y1407" s="74" t="str">
        <f t="shared" si="459"/>
        <v/>
      </c>
      <c r="Z1407" s="74" t="str">
        <f t="shared" si="464"/>
        <v/>
      </c>
      <c r="AA1407" s="74">
        <f t="shared" si="465"/>
        <v>0</v>
      </c>
      <c r="AB1407" s="74">
        <f t="shared" si="466"/>
        <v>0</v>
      </c>
      <c r="AC1407" s="74" t="str">
        <f t="shared" si="467"/>
        <v/>
      </c>
      <c r="AE1407" s="74" t="str">
        <f t="shared" si="468"/>
        <v/>
      </c>
      <c r="AF1407" s="74" t="str">
        <f t="shared" si="469"/>
        <v/>
      </c>
      <c r="AG1407" s="74" t="str">
        <f t="shared" si="470"/>
        <v/>
      </c>
      <c r="AH1407" s="74">
        <f t="shared" si="471"/>
        <v>0</v>
      </c>
      <c r="AI1407" s="74" t="str">
        <f>IF(AH1407&lt;&gt;0,COUNTIF(AH$3:AH1407,1),"")</f>
        <v/>
      </c>
      <c r="AJ1407" s="74">
        <f t="shared" si="472"/>
        <v>0</v>
      </c>
      <c r="AK1407" s="73" t="str">
        <f t="shared" si="473"/>
        <v/>
      </c>
      <c r="AL1407" s="73" t="str">
        <f t="shared" si="474"/>
        <v/>
      </c>
      <c r="AM1407" s="73" t="str">
        <f t="shared" si="475"/>
        <v/>
      </c>
      <c r="AN1407" s="73" t="str">
        <f t="shared" si="476"/>
        <v/>
      </c>
    </row>
    <row r="1408" spans="16:40" x14ac:dyDescent="0.25">
      <c r="P1408" s="73" t="str">
        <f t="shared" si="460"/>
        <v/>
      </c>
      <c r="Q1408" s="73" t="str">
        <f t="shared" si="461"/>
        <v/>
      </c>
      <c r="R1408" s="74" t="str">
        <f t="shared" si="462"/>
        <v/>
      </c>
      <c r="S1408" s="74" t="str">
        <f t="shared" si="463"/>
        <v/>
      </c>
      <c r="U1408" s="74" t="str">
        <f t="shared" si="459"/>
        <v/>
      </c>
      <c r="V1408" s="74" t="str">
        <f t="shared" si="459"/>
        <v/>
      </c>
      <c r="W1408" s="74" t="str">
        <f t="shared" si="459"/>
        <v/>
      </c>
      <c r="X1408" s="74" t="str">
        <f t="shared" si="459"/>
        <v/>
      </c>
      <c r="Y1408" s="74" t="str">
        <f t="shared" si="459"/>
        <v/>
      </c>
      <c r="Z1408" s="74" t="str">
        <f t="shared" si="464"/>
        <v/>
      </c>
      <c r="AA1408" s="74">
        <f t="shared" si="465"/>
        <v>0</v>
      </c>
      <c r="AB1408" s="74">
        <f t="shared" si="466"/>
        <v>0</v>
      </c>
      <c r="AC1408" s="74" t="str">
        <f t="shared" si="467"/>
        <v/>
      </c>
      <c r="AE1408" s="74" t="str">
        <f t="shared" si="468"/>
        <v/>
      </c>
      <c r="AF1408" s="74" t="str">
        <f t="shared" si="469"/>
        <v/>
      </c>
      <c r="AG1408" s="74" t="str">
        <f t="shared" si="470"/>
        <v/>
      </c>
      <c r="AH1408" s="74">
        <f t="shared" si="471"/>
        <v>0</v>
      </c>
      <c r="AI1408" s="74" t="str">
        <f>IF(AH1408&lt;&gt;0,COUNTIF(AH$3:AH1408,1),"")</f>
        <v/>
      </c>
      <c r="AJ1408" s="74">
        <f t="shared" si="472"/>
        <v>0</v>
      </c>
      <c r="AK1408" s="73" t="str">
        <f t="shared" si="473"/>
        <v/>
      </c>
      <c r="AL1408" s="73" t="str">
        <f t="shared" si="474"/>
        <v/>
      </c>
      <c r="AM1408" s="73" t="str">
        <f t="shared" si="475"/>
        <v/>
      </c>
      <c r="AN1408" s="73" t="str">
        <f t="shared" si="476"/>
        <v/>
      </c>
    </row>
    <row r="1409" spans="16:40" x14ac:dyDescent="0.25">
      <c r="P1409" s="73" t="str">
        <f t="shared" si="460"/>
        <v/>
      </c>
      <c r="Q1409" s="73" t="str">
        <f t="shared" si="461"/>
        <v/>
      </c>
      <c r="R1409" s="74" t="str">
        <f t="shared" si="462"/>
        <v/>
      </c>
      <c r="S1409" s="74" t="str">
        <f t="shared" si="463"/>
        <v/>
      </c>
      <c r="U1409" s="74" t="str">
        <f t="shared" si="459"/>
        <v/>
      </c>
      <c r="V1409" s="74" t="str">
        <f t="shared" si="459"/>
        <v/>
      </c>
      <c r="W1409" s="74" t="str">
        <f t="shared" si="459"/>
        <v/>
      </c>
      <c r="X1409" s="74" t="str">
        <f t="shared" si="459"/>
        <v/>
      </c>
      <c r="Y1409" s="74" t="str">
        <f t="shared" si="459"/>
        <v/>
      </c>
      <c r="Z1409" s="74" t="str">
        <f t="shared" si="464"/>
        <v/>
      </c>
      <c r="AA1409" s="74">
        <f t="shared" si="465"/>
        <v>0</v>
      </c>
      <c r="AB1409" s="74">
        <f t="shared" si="466"/>
        <v>0</v>
      </c>
      <c r="AC1409" s="74" t="str">
        <f t="shared" si="467"/>
        <v/>
      </c>
      <c r="AE1409" s="74" t="str">
        <f t="shared" si="468"/>
        <v/>
      </c>
      <c r="AF1409" s="74" t="str">
        <f t="shared" si="469"/>
        <v/>
      </c>
      <c r="AG1409" s="74" t="str">
        <f t="shared" si="470"/>
        <v/>
      </c>
      <c r="AH1409" s="74">
        <f t="shared" si="471"/>
        <v>0</v>
      </c>
      <c r="AI1409" s="74" t="str">
        <f>IF(AH1409&lt;&gt;0,COUNTIF(AH$3:AH1409,1),"")</f>
        <v/>
      </c>
      <c r="AJ1409" s="74">
        <f t="shared" si="472"/>
        <v>0</v>
      </c>
      <c r="AK1409" s="73" t="str">
        <f t="shared" si="473"/>
        <v/>
      </c>
      <c r="AL1409" s="73" t="str">
        <f t="shared" si="474"/>
        <v/>
      </c>
      <c r="AM1409" s="73" t="str">
        <f t="shared" si="475"/>
        <v/>
      </c>
      <c r="AN1409" s="73" t="str">
        <f t="shared" si="476"/>
        <v/>
      </c>
    </row>
    <row r="1410" spans="16:40" x14ac:dyDescent="0.25">
      <c r="P1410" s="73" t="str">
        <f t="shared" si="460"/>
        <v/>
      </c>
      <c r="Q1410" s="73" t="str">
        <f t="shared" si="461"/>
        <v/>
      </c>
      <c r="R1410" s="74" t="str">
        <f t="shared" si="462"/>
        <v/>
      </c>
      <c r="S1410" s="74" t="str">
        <f t="shared" si="463"/>
        <v/>
      </c>
      <c r="U1410" s="74" t="str">
        <f t="shared" si="459"/>
        <v/>
      </c>
      <c r="V1410" s="74" t="str">
        <f t="shared" si="459"/>
        <v/>
      </c>
      <c r="W1410" s="74" t="str">
        <f t="shared" si="459"/>
        <v/>
      </c>
      <c r="X1410" s="74" t="str">
        <f t="shared" si="459"/>
        <v/>
      </c>
      <c r="Y1410" s="74" t="str">
        <f t="shared" si="459"/>
        <v/>
      </c>
      <c r="Z1410" s="74" t="str">
        <f t="shared" si="464"/>
        <v/>
      </c>
      <c r="AA1410" s="74">
        <f t="shared" si="465"/>
        <v>0</v>
      </c>
      <c r="AB1410" s="74">
        <f t="shared" si="466"/>
        <v>0</v>
      </c>
      <c r="AC1410" s="74" t="str">
        <f t="shared" si="467"/>
        <v/>
      </c>
      <c r="AE1410" s="74" t="str">
        <f t="shared" si="468"/>
        <v/>
      </c>
      <c r="AF1410" s="74" t="str">
        <f t="shared" si="469"/>
        <v/>
      </c>
      <c r="AG1410" s="74" t="str">
        <f t="shared" si="470"/>
        <v/>
      </c>
      <c r="AH1410" s="74">
        <f t="shared" si="471"/>
        <v>0</v>
      </c>
      <c r="AI1410" s="74" t="str">
        <f>IF(AH1410&lt;&gt;0,COUNTIF(AH$3:AH1410,1),"")</f>
        <v/>
      </c>
      <c r="AJ1410" s="74">
        <f t="shared" si="472"/>
        <v>0</v>
      </c>
      <c r="AK1410" s="73" t="str">
        <f t="shared" si="473"/>
        <v/>
      </c>
      <c r="AL1410" s="73" t="str">
        <f t="shared" si="474"/>
        <v/>
      </c>
      <c r="AM1410" s="73" t="str">
        <f t="shared" si="475"/>
        <v/>
      </c>
      <c r="AN1410" s="73" t="str">
        <f t="shared" si="476"/>
        <v/>
      </c>
    </row>
    <row r="1411" spans="16:40" x14ac:dyDescent="0.25">
      <c r="P1411" s="73" t="str">
        <f t="shared" si="460"/>
        <v/>
      </c>
      <c r="Q1411" s="73" t="str">
        <f t="shared" si="461"/>
        <v/>
      </c>
      <c r="R1411" s="74" t="str">
        <f t="shared" si="462"/>
        <v/>
      </c>
      <c r="S1411" s="74" t="str">
        <f t="shared" si="463"/>
        <v/>
      </c>
      <c r="U1411" s="74" t="str">
        <f t="shared" si="459"/>
        <v/>
      </c>
      <c r="V1411" s="74" t="str">
        <f t="shared" si="459"/>
        <v/>
      </c>
      <c r="W1411" s="74" t="str">
        <f t="shared" si="459"/>
        <v/>
      </c>
      <c r="X1411" s="74" t="str">
        <f t="shared" si="459"/>
        <v/>
      </c>
      <c r="Y1411" s="74" t="str">
        <f t="shared" si="459"/>
        <v/>
      </c>
      <c r="Z1411" s="74" t="str">
        <f t="shared" si="464"/>
        <v/>
      </c>
      <c r="AA1411" s="74">
        <f t="shared" si="465"/>
        <v>0</v>
      </c>
      <c r="AB1411" s="74">
        <f t="shared" si="466"/>
        <v>0</v>
      </c>
      <c r="AC1411" s="74" t="str">
        <f t="shared" si="467"/>
        <v/>
      </c>
      <c r="AE1411" s="74" t="str">
        <f t="shared" si="468"/>
        <v/>
      </c>
      <c r="AF1411" s="74" t="str">
        <f t="shared" si="469"/>
        <v/>
      </c>
      <c r="AG1411" s="74" t="str">
        <f t="shared" si="470"/>
        <v/>
      </c>
      <c r="AH1411" s="74">
        <f t="shared" si="471"/>
        <v>0</v>
      </c>
      <c r="AI1411" s="74" t="str">
        <f>IF(AH1411&lt;&gt;0,COUNTIF(AH$3:AH1411,1),"")</f>
        <v/>
      </c>
      <c r="AJ1411" s="74">
        <f t="shared" si="472"/>
        <v>0</v>
      </c>
      <c r="AK1411" s="73" t="str">
        <f t="shared" si="473"/>
        <v/>
      </c>
      <c r="AL1411" s="73" t="str">
        <f t="shared" si="474"/>
        <v/>
      </c>
      <c r="AM1411" s="73" t="str">
        <f t="shared" si="475"/>
        <v/>
      </c>
      <c r="AN1411" s="73" t="str">
        <f t="shared" si="476"/>
        <v/>
      </c>
    </row>
    <row r="1412" spans="16:40" x14ac:dyDescent="0.25">
      <c r="P1412" s="73" t="str">
        <f t="shared" si="460"/>
        <v/>
      </c>
      <c r="Q1412" s="73" t="str">
        <f t="shared" si="461"/>
        <v/>
      </c>
      <c r="R1412" s="74" t="str">
        <f t="shared" si="462"/>
        <v/>
      </c>
      <c r="S1412" s="74" t="str">
        <f t="shared" si="463"/>
        <v/>
      </c>
      <c r="U1412" s="74" t="str">
        <f t="shared" si="459"/>
        <v/>
      </c>
      <c r="V1412" s="74" t="str">
        <f t="shared" si="459"/>
        <v/>
      </c>
      <c r="W1412" s="74" t="str">
        <f t="shared" si="459"/>
        <v/>
      </c>
      <c r="X1412" s="74" t="str">
        <f t="shared" si="459"/>
        <v/>
      </c>
      <c r="Y1412" s="74" t="str">
        <f t="shared" si="459"/>
        <v/>
      </c>
      <c r="Z1412" s="74" t="str">
        <f t="shared" si="464"/>
        <v/>
      </c>
      <c r="AA1412" s="74">
        <f t="shared" si="465"/>
        <v>0</v>
      </c>
      <c r="AB1412" s="74">
        <f t="shared" si="466"/>
        <v>0</v>
      </c>
      <c r="AC1412" s="74" t="str">
        <f t="shared" si="467"/>
        <v/>
      </c>
      <c r="AE1412" s="74" t="str">
        <f t="shared" si="468"/>
        <v/>
      </c>
      <c r="AF1412" s="74" t="str">
        <f t="shared" si="469"/>
        <v/>
      </c>
      <c r="AG1412" s="74" t="str">
        <f t="shared" si="470"/>
        <v/>
      </c>
      <c r="AH1412" s="74">
        <f t="shared" si="471"/>
        <v>0</v>
      </c>
      <c r="AI1412" s="74" t="str">
        <f>IF(AH1412&lt;&gt;0,COUNTIF(AH$3:AH1412,1),"")</f>
        <v/>
      </c>
      <c r="AJ1412" s="74">
        <f t="shared" si="472"/>
        <v>0</v>
      </c>
      <c r="AK1412" s="73" t="str">
        <f t="shared" si="473"/>
        <v/>
      </c>
      <c r="AL1412" s="73" t="str">
        <f t="shared" si="474"/>
        <v/>
      </c>
      <c r="AM1412" s="73" t="str">
        <f t="shared" si="475"/>
        <v/>
      </c>
      <c r="AN1412" s="73" t="str">
        <f t="shared" si="476"/>
        <v/>
      </c>
    </row>
    <row r="1413" spans="16:40" x14ac:dyDescent="0.25">
      <c r="P1413" s="73" t="str">
        <f t="shared" si="460"/>
        <v/>
      </c>
      <c r="Q1413" s="73" t="str">
        <f t="shared" si="461"/>
        <v/>
      </c>
      <c r="R1413" s="74" t="str">
        <f t="shared" si="462"/>
        <v/>
      </c>
      <c r="S1413" s="74" t="str">
        <f t="shared" si="463"/>
        <v/>
      </c>
      <c r="U1413" s="74" t="str">
        <f t="shared" si="459"/>
        <v/>
      </c>
      <c r="V1413" s="74" t="str">
        <f t="shared" si="459"/>
        <v/>
      </c>
      <c r="W1413" s="74" t="str">
        <f t="shared" si="459"/>
        <v/>
      </c>
      <c r="X1413" s="74" t="str">
        <f t="shared" si="459"/>
        <v/>
      </c>
      <c r="Y1413" s="74" t="str">
        <f t="shared" si="459"/>
        <v/>
      </c>
      <c r="Z1413" s="74" t="str">
        <f t="shared" si="464"/>
        <v/>
      </c>
      <c r="AA1413" s="74">
        <f t="shared" si="465"/>
        <v>0</v>
      </c>
      <c r="AB1413" s="74">
        <f t="shared" si="466"/>
        <v>0</v>
      </c>
      <c r="AC1413" s="74" t="str">
        <f t="shared" si="467"/>
        <v/>
      </c>
      <c r="AE1413" s="74" t="str">
        <f t="shared" si="468"/>
        <v/>
      </c>
      <c r="AF1413" s="74" t="str">
        <f t="shared" si="469"/>
        <v/>
      </c>
      <c r="AG1413" s="74" t="str">
        <f t="shared" si="470"/>
        <v/>
      </c>
      <c r="AH1413" s="74">
        <f t="shared" si="471"/>
        <v>0</v>
      </c>
      <c r="AI1413" s="74" t="str">
        <f>IF(AH1413&lt;&gt;0,COUNTIF(AH$3:AH1413,1),"")</f>
        <v/>
      </c>
      <c r="AJ1413" s="74">
        <f t="shared" si="472"/>
        <v>0</v>
      </c>
      <c r="AK1413" s="73" t="str">
        <f t="shared" si="473"/>
        <v/>
      </c>
      <c r="AL1413" s="73" t="str">
        <f t="shared" si="474"/>
        <v/>
      </c>
      <c r="AM1413" s="73" t="str">
        <f t="shared" si="475"/>
        <v/>
      </c>
      <c r="AN1413" s="73" t="str">
        <f t="shared" si="476"/>
        <v/>
      </c>
    </row>
    <row r="1414" spans="16:40" x14ac:dyDescent="0.25">
      <c r="P1414" s="73" t="str">
        <f t="shared" si="460"/>
        <v/>
      </c>
      <c r="Q1414" s="73" t="str">
        <f t="shared" si="461"/>
        <v/>
      </c>
      <c r="R1414" s="74" t="str">
        <f t="shared" si="462"/>
        <v/>
      </c>
      <c r="S1414" s="74" t="str">
        <f t="shared" si="463"/>
        <v/>
      </c>
      <c r="U1414" s="74" t="str">
        <f t="shared" ref="U1414:Y1464" si="477">IF($F1414=U$1,$E1414,"")</f>
        <v/>
      </c>
      <c r="V1414" s="74" t="str">
        <f t="shared" si="477"/>
        <v/>
      </c>
      <c r="W1414" s="74" t="str">
        <f t="shared" si="477"/>
        <v/>
      </c>
      <c r="X1414" s="74" t="str">
        <f t="shared" si="477"/>
        <v/>
      </c>
      <c r="Y1414" s="74" t="str">
        <f t="shared" si="477"/>
        <v/>
      </c>
      <c r="Z1414" s="74" t="str">
        <f t="shared" si="464"/>
        <v/>
      </c>
      <c r="AA1414" s="74">
        <f t="shared" si="465"/>
        <v>0</v>
      </c>
      <c r="AB1414" s="74">
        <f t="shared" si="466"/>
        <v>0</v>
      </c>
      <c r="AC1414" s="74" t="str">
        <f t="shared" si="467"/>
        <v/>
      </c>
      <c r="AE1414" s="74" t="str">
        <f t="shared" si="468"/>
        <v/>
      </c>
      <c r="AF1414" s="74" t="str">
        <f t="shared" si="469"/>
        <v/>
      </c>
      <c r="AG1414" s="74" t="str">
        <f t="shared" si="470"/>
        <v/>
      </c>
      <c r="AH1414" s="74">
        <f t="shared" si="471"/>
        <v>0</v>
      </c>
      <c r="AI1414" s="74" t="str">
        <f>IF(AH1414&lt;&gt;0,COUNTIF(AH$3:AH1414,1),"")</f>
        <v/>
      </c>
      <c r="AJ1414" s="74">
        <f t="shared" si="472"/>
        <v>0</v>
      </c>
      <c r="AK1414" s="73" t="str">
        <f t="shared" si="473"/>
        <v/>
      </c>
      <c r="AL1414" s="73" t="str">
        <f t="shared" si="474"/>
        <v/>
      </c>
      <c r="AM1414" s="73" t="str">
        <f t="shared" si="475"/>
        <v/>
      </c>
      <c r="AN1414" s="73" t="str">
        <f t="shared" si="476"/>
        <v/>
      </c>
    </row>
    <row r="1415" spans="16:40" x14ac:dyDescent="0.25">
      <c r="P1415" s="73" t="str">
        <f t="shared" si="460"/>
        <v/>
      </c>
      <c r="Q1415" s="73" t="str">
        <f t="shared" si="461"/>
        <v/>
      </c>
      <c r="R1415" s="74" t="str">
        <f t="shared" si="462"/>
        <v/>
      </c>
      <c r="S1415" s="74" t="str">
        <f t="shared" si="463"/>
        <v/>
      </c>
      <c r="U1415" s="74" t="str">
        <f t="shared" si="477"/>
        <v/>
      </c>
      <c r="V1415" s="74" t="str">
        <f t="shared" si="477"/>
        <v/>
      </c>
      <c r="W1415" s="74" t="str">
        <f t="shared" si="477"/>
        <v/>
      </c>
      <c r="X1415" s="74" t="str">
        <f t="shared" si="477"/>
        <v/>
      </c>
      <c r="Y1415" s="74" t="str">
        <f t="shared" si="477"/>
        <v/>
      </c>
      <c r="Z1415" s="74" t="str">
        <f t="shared" si="464"/>
        <v/>
      </c>
      <c r="AA1415" s="74">
        <f t="shared" si="465"/>
        <v>0</v>
      </c>
      <c r="AB1415" s="74">
        <f t="shared" si="466"/>
        <v>0</v>
      </c>
      <c r="AC1415" s="74" t="str">
        <f t="shared" si="467"/>
        <v/>
      </c>
      <c r="AE1415" s="74" t="str">
        <f t="shared" si="468"/>
        <v/>
      </c>
      <c r="AF1415" s="74" t="str">
        <f t="shared" si="469"/>
        <v/>
      </c>
      <c r="AG1415" s="74" t="str">
        <f t="shared" si="470"/>
        <v/>
      </c>
      <c r="AH1415" s="74">
        <f t="shared" si="471"/>
        <v>0</v>
      </c>
      <c r="AI1415" s="74" t="str">
        <f>IF(AH1415&lt;&gt;0,COUNTIF(AH$3:AH1415,1),"")</f>
        <v/>
      </c>
      <c r="AJ1415" s="74">
        <f t="shared" si="472"/>
        <v>0</v>
      </c>
      <c r="AK1415" s="73" t="str">
        <f t="shared" si="473"/>
        <v/>
      </c>
      <c r="AL1415" s="73" t="str">
        <f t="shared" si="474"/>
        <v/>
      </c>
      <c r="AM1415" s="73" t="str">
        <f t="shared" si="475"/>
        <v/>
      </c>
      <c r="AN1415" s="73" t="str">
        <f t="shared" si="476"/>
        <v/>
      </c>
    </row>
    <row r="1416" spans="16:40" x14ac:dyDescent="0.25">
      <c r="P1416" s="73" t="str">
        <f t="shared" si="460"/>
        <v/>
      </c>
      <c r="Q1416" s="73" t="str">
        <f t="shared" si="461"/>
        <v/>
      </c>
      <c r="R1416" s="74" t="str">
        <f t="shared" si="462"/>
        <v/>
      </c>
      <c r="S1416" s="74" t="str">
        <f t="shared" si="463"/>
        <v/>
      </c>
      <c r="U1416" s="74" t="str">
        <f t="shared" si="477"/>
        <v/>
      </c>
      <c r="V1416" s="74" t="str">
        <f t="shared" si="477"/>
        <v/>
      </c>
      <c r="W1416" s="74" t="str">
        <f t="shared" si="477"/>
        <v/>
      </c>
      <c r="X1416" s="74" t="str">
        <f t="shared" si="477"/>
        <v/>
      </c>
      <c r="Y1416" s="74" t="str">
        <f t="shared" si="477"/>
        <v/>
      </c>
      <c r="Z1416" s="74" t="str">
        <f t="shared" si="464"/>
        <v/>
      </c>
      <c r="AA1416" s="74">
        <f t="shared" si="465"/>
        <v>0</v>
      </c>
      <c r="AB1416" s="74">
        <f t="shared" si="466"/>
        <v>0</v>
      </c>
      <c r="AC1416" s="74" t="str">
        <f t="shared" si="467"/>
        <v/>
      </c>
      <c r="AE1416" s="74" t="str">
        <f t="shared" si="468"/>
        <v/>
      </c>
      <c r="AF1416" s="74" t="str">
        <f t="shared" si="469"/>
        <v/>
      </c>
      <c r="AG1416" s="74" t="str">
        <f t="shared" si="470"/>
        <v/>
      </c>
      <c r="AH1416" s="74">
        <f t="shared" si="471"/>
        <v>0</v>
      </c>
      <c r="AI1416" s="74" t="str">
        <f>IF(AH1416&lt;&gt;0,COUNTIF(AH$3:AH1416,1),"")</f>
        <v/>
      </c>
      <c r="AJ1416" s="74">
        <f t="shared" si="472"/>
        <v>0</v>
      </c>
      <c r="AK1416" s="73" t="str">
        <f t="shared" si="473"/>
        <v/>
      </c>
      <c r="AL1416" s="73" t="str">
        <f t="shared" si="474"/>
        <v/>
      </c>
      <c r="AM1416" s="73" t="str">
        <f t="shared" si="475"/>
        <v/>
      </c>
      <c r="AN1416" s="73" t="str">
        <f t="shared" si="476"/>
        <v/>
      </c>
    </row>
    <row r="1417" spans="16:40" x14ac:dyDescent="0.25">
      <c r="P1417" s="73" t="str">
        <f t="shared" si="460"/>
        <v/>
      </c>
      <c r="Q1417" s="73" t="str">
        <f t="shared" si="461"/>
        <v/>
      </c>
      <c r="R1417" s="74" t="str">
        <f t="shared" si="462"/>
        <v/>
      </c>
      <c r="S1417" s="74" t="str">
        <f t="shared" si="463"/>
        <v/>
      </c>
      <c r="U1417" s="74" t="str">
        <f t="shared" si="477"/>
        <v/>
      </c>
      <c r="V1417" s="74" t="str">
        <f t="shared" si="477"/>
        <v/>
      </c>
      <c r="W1417" s="74" t="str">
        <f t="shared" si="477"/>
        <v/>
      </c>
      <c r="X1417" s="74" t="str">
        <f t="shared" si="477"/>
        <v/>
      </c>
      <c r="Y1417" s="74" t="str">
        <f t="shared" si="477"/>
        <v/>
      </c>
      <c r="Z1417" s="74" t="str">
        <f t="shared" si="464"/>
        <v/>
      </c>
      <c r="AA1417" s="74">
        <f t="shared" si="465"/>
        <v>0</v>
      </c>
      <c r="AB1417" s="74">
        <f t="shared" si="466"/>
        <v>0</v>
      </c>
      <c r="AC1417" s="74" t="str">
        <f t="shared" si="467"/>
        <v/>
      </c>
      <c r="AE1417" s="74" t="str">
        <f t="shared" si="468"/>
        <v/>
      </c>
      <c r="AF1417" s="74" t="str">
        <f t="shared" si="469"/>
        <v/>
      </c>
      <c r="AG1417" s="74" t="str">
        <f t="shared" si="470"/>
        <v/>
      </c>
      <c r="AH1417" s="74">
        <f t="shared" si="471"/>
        <v>0</v>
      </c>
      <c r="AI1417" s="74" t="str">
        <f>IF(AH1417&lt;&gt;0,COUNTIF(AH$3:AH1417,1),"")</f>
        <v/>
      </c>
      <c r="AJ1417" s="74">
        <f t="shared" si="472"/>
        <v>0</v>
      </c>
      <c r="AK1417" s="73" t="str">
        <f t="shared" si="473"/>
        <v/>
      </c>
      <c r="AL1417" s="73" t="str">
        <f t="shared" si="474"/>
        <v/>
      </c>
      <c r="AM1417" s="73" t="str">
        <f t="shared" si="475"/>
        <v/>
      </c>
      <c r="AN1417" s="73" t="str">
        <f t="shared" si="476"/>
        <v/>
      </c>
    </row>
    <row r="1418" spans="16:40" x14ac:dyDescent="0.25">
      <c r="P1418" s="73" t="str">
        <f t="shared" si="460"/>
        <v/>
      </c>
      <c r="Q1418" s="73" t="str">
        <f t="shared" si="461"/>
        <v/>
      </c>
      <c r="R1418" s="74" t="str">
        <f t="shared" si="462"/>
        <v/>
      </c>
      <c r="S1418" s="74" t="str">
        <f t="shared" si="463"/>
        <v/>
      </c>
      <c r="U1418" s="74" t="str">
        <f t="shared" si="477"/>
        <v/>
      </c>
      <c r="V1418" s="74" t="str">
        <f t="shared" si="477"/>
        <v/>
      </c>
      <c r="W1418" s="74" t="str">
        <f t="shared" si="477"/>
        <v/>
      </c>
      <c r="X1418" s="74" t="str">
        <f t="shared" si="477"/>
        <v/>
      </c>
      <c r="Y1418" s="74" t="str">
        <f t="shared" si="477"/>
        <v/>
      </c>
      <c r="Z1418" s="74" t="str">
        <f t="shared" si="464"/>
        <v/>
      </c>
      <c r="AA1418" s="74">
        <f t="shared" si="465"/>
        <v>0</v>
      </c>
      <c r="AB1418" s="74">
        <f t="shared" si="466"/>
        <v>0</v>
      </c>
      <c r="AC1418" s="74" t="str">
        <f t="shared" si="467"/>
        <v/>
      </c>
      <c r="AE1418" s="74" t="str">
        <f t="shared" si="468"/>
        <v/>
      </c>
      <c r="AF1418" s="74" t="str">
        <f t="shared" si="469"/>
        <v/>
      </c>
      <c r="AG1418" s="74" t="str">
        <f t="shared" si="470"/>
        <v/>
      </c>
      <c r="AH1418" s="74">
        <f t="shared" si="471"/>
        <v>0</v>
      </c>
      <c r="AI1418" s="74" t="str">
        <f>IF(AH1418&lt;&gt;0,COUNTIF(AH$3:AH1418,1),"")</f>
        <v/>
      </c>
      <c r="AJ1418" s="74">
        <f t="shared" si="472"/>
        <v>0</v>
      </c>
      <c r="AK1418" s="73" t="str">
        <f t="shared" si="473"/>
        <v/>
      </c>
      <c r="AL1418" s="73" t="str">
        <f t="shared" si="474"/>
        <v/>
      </c>
      <c r="AM1418" s="73" t="str">
        <f t="shared" si="475"/>
        <v/>
      </c>
      <c r="AN1418" s="73" t="str">
        <f t="shared" si="476"/>
        <v/>
      </c>
    </row>
    <row r="1419" spans="16:40" x14ac:dyDescent="0.25">
      <c r="P1419" s="73" t="str">
        <f t="shared" si="460"/>
        <v/>
      </c>
      <c r="Q1419" s="73" t="str">
        <f t="shared" si="461"/>
        <v/>
      </c>
      <c r="R1419" s="74" t="str">
        <f t="shared" si="462"/>
        <v/>
      </c>
      <c r="S1419" s="74" t="str">
        <f t="shared" si="463"/>
        <v/>
      </c>
      <c r="U1419" s="74" t="str">
        <f t="shared" si="477"/>
        <v/>
      </c>
      <c r="V1419" s="74" t="str">
        <f t="shared" si="477"/>
        <v/>
      </c>
      <c r="W1419" s="74" t="str">
        <f t="shared" si="477"/>
        <v/>
      </c>
      <c r="X1419" s="74" t="str">
        <f t="shared" si="477"/>
        <v/>
      </c>
      <c r="Y1419" s="74" t="str">
        <f t="shared" si="477"/>
        <v/>
      </c>
      <c r="Z1419" s="74" t="str">
        <f t="shared" si="464"/>
        <v/>
      </c>
      <c r="AA1419" s="74">
        <f t="shared" si="465"/>
        <v>0</v>
      </c>
      <c r="AB1419" s="74">
        <f t="shared" si="466"/>
        <v>0</v>
      </c>
      <c r="AC1419" s="74" t="str">
        <f t="shared" si="467"/>
        <v/>
      </c>
      <c r="AE1419" s="74" t="str">
        <f t="shared" si="468"/>
        <v/>
      </c>
      <c r="AF1419" s="74" t="str">
        <f t="shared" si="469"/>
        <v/>
      </c>
      <c r="AG1419" s="74" t="str">
        <f t="shared" si="470"/>
        <v/>
      </c>
      <c r="AH1419" s="74">
        <f t="shared" si="471"/>
        <v>0</v>
      </c>
      <c r="AI1419" s="74" t="str">
        <f>IF(AH1419&lt;&gt;0,COUNTIF(AH$3:AH1419,1),"")</f>
        <v/>
      </c>
      <c r="AJ1419" s="74">
        <f t="shared" si="472"/>
        <v>0</v>
      </c>
      <c r="AK1419" s="73" t="str">
        <f t="shared" si="473"/>
        <v/>
      </c>
      <c r="AL1419" s="73" t="str">
        <f t="shared" si="474"/>
        <v/>
      </c>
      <c r="AM1419" s="73" t="str">
        <f t="shared" si="475"/>
        <v/>
      </c>
      <c r="AN1419" s="73" t="str">
        <f t="shared" si="476"/>
        <v/>
      </c>
    </row>
    <row r="1420" spans="16:40" x14ac:dyDescent="0.25">
      <c r="P1420" s="73" t="str">
        <f t="shared" si="460"/>
        <v/>
      </c>
      <c r="Q1420" s="73" t="str">
        <f t="shared" si="461"/>
        <v/>
      </c>
      <c r="R1420" s="74" t="str">
        <f t="shared" si="462"/>
        <v/>
      </c>
      <c r="S1420" s="74" t="str">
        <f t="shared" si="463"/>
        <v/>
      </c>
      <c r="U1420" s="74" t="str">
        <f t="shared" si="477"/>
        <v/>
      </c>
      <c r="V1420" s="74" t="str">
        <f t="shared" si="477"/>
        <v/>
      </c>
      <c r="W1420" s="74" t="str">
        <f t="shared" si="477"/>
        <v/>
      </c>
      <c r="X1420" s="74" t="str">
        <f t="shared" si="477"/>
        <v/>
      </c>
      <c r="Y1420" s="74" t="str">
        <f t="shared" si="477"/>
        <v/>
      </c>
      <c r="Z1420" s="74" t="str">
        <f t="shared" si="464"/>
        <v/>
      </c>
      <c r="AA1420" s="74">
        <f t="shared" si="465"/>
        <v>0</v>
      </c>
      <c r="AB1420" s="74">
        <f t="shared" si="466"/>
        <v>0</v>
      </c>
      <c r="AC1420" s="74" t="str">
        <f t="shared" si="467"/>
        <v/>
      </c>
      <c r="AE1420" s="74" t="str">
        <f t="shared" si="468"/>
        <v/>
      </c>
      <c r="AF1420" s="74" t="str">
        <f t="shared" si="469"/>
        <v/>
      </c>
      <c r="AG1420" s="74" t="str">
        <f t="shared" si="470"/>
        <v/>
      </c>
      <c r="AH1420" s="74">
        <f t="shared" si="471"/>
        <v>0</v>
      </c>
      <c r="AI1420" s="74" t="str">
        <f>IF(AH1420&lt;&gt;0,COUNTIF(AH$3:AH1420,1),"")</f>
        <v/>
      </c>
      <c r="AJ1420" s="74">
        <f t="shared" si="472"/>
        <v>0</v>
      </c>
      <c r="AK1420" s="73" t="str">
        <f t="shared" si="473"/>
        <v/>
      </c>
      <c r="AL1420" s="73" t="str">
        <f t="shared" si="474"/>
        <v/>
      </c>
      <c r="AM1420" s="73" t="str">
        <f t="shared" si="475"/>
        <v/>
      </c>
      <c r="AN1420" s="73" t="str">
        <f t="shared" si="476"/>
        <v/>
      </c>
    </row>
    <row r="1421" spans="16:40" x14ac:dyDescent="0.25">
      <c r="P1421" s="73" t="str">
        <f t="shared" si="460"/>
        <v/>
      </c>
      <c r="Q1421" s="73" t="str">
        <f t="shared" si="461"/>
        <v/>
      </c>
      <c r="R1421" s="74" t="str">
        <f t="shared" si="462"/>
        <v/>
      </c>
      <c r="S1421" s="74" t="str">
        <f t="shared" si="463"/>
        <v/>
      </c>
      <c r="U1421" s="74" t="str">
        <f t="shared" si="477"/>
        <v/>
      </c>
      <c r="V1421" s="74" t="str">
        <f t="shared" si="477"/>
        <v/>
      </c>
      <c r="W1421" s="74" t="str">
        <f t="shared" si="477"/>
        <v/>
      </c>
      <c r="X1421" s="74" t="str">
        <f t="shared" si="477"/>
        <v/>
      </c>
      <c r="Y1421" s="74" t="str">
        <f t="shared" si="477"/>
        <v/>
      </c>
      <c r="Z1421" s="74" t="str">
        <f t="shared" si="464"/>
        <v/>
      </c>
      <c r="AA1421" s="74">
        <f t="shared" si="465"/>
        <v>0</v>
      </c>
      <c r="AB1421" s="74">
        <f t="shared" si="466"/>
        <v>0</v>
      </c>
      <c r="AC1421" s="74" t="str">
        <f t="shared" si="467"/>
        <v/>
      </c>
      <c r="AE1421" s="74" t="str">
        <f t="shared" si="468"/>
        <v/>
      </c>
      <c r="AF1421" s="74" t="str">
        <f t="shared" si="469"/>
        <v/>
      </c>
      <c r="AG1421" s="74" t="str">
        <f t="shared" si="470"/>
        <v/>
      </c>
      <c r="AH1421" s="74">
        <f t="shared" si="471"/>
        <v>0</v>
      </c>
      <c r="AI1421" s="74" t="str">
        <f>IF(AH1421&lt;&gt;0,COUNTIF(AH$3:AH1421,1),"")</f>
        <v/>
      </c>
      <c r="AJ1421" s="74">
        <f t="shared" si="472"/>
        <v>0</v>
      </c>
      <c r="AK1421" s="73" t="str">
        <f t="shared" si="473"/>
        <v/>
      </c>
      <c r="AL1421" s="73" t="str">
        <f t="shared" si="474"/>
        <v/>
      </c>
      <c r="AM1421" s="73" t="str">
        <f t="shared" si="475"/>
        <v/>
      </c>
      <c r="AN1421" s="73" t="str">
        <f t="shared" si="476"/>
        <v/>
      </c>
    </row>
    <row r="1422" spans="16:40" x14ac:dyDescent="0.25">
      <c r="P1422" s="73" t="str">
        <f t="shared" si="460"/>
        <v/>
      </c>
      <c r="Q1422" s="73" t="str">
        <f t="shared" si="461"/>
        <v/>
      </c>
      <c r="R1422" s="74" t="str">
        <f t="shared" si="462"/>
        <v/>
      </c>
      <c r="S1422" s="74" t="str">
        <f t="shared" si="463"/>
        <v/>
      </c>
      <c r="U1422" s="74" t="str">
        <f t="shared" si="477"/>
        <v/>
      </c>
      <c r="V1422" s="74" t="str">
        <f t="shared" si="477"/>
        <v/>
      </c>
      <c r="W1422" s="74" t="str">
        <f t="shared" si="477"/>
        <v/>
      </c>
      <c r="X1422" s="74" t="str">
        <f t="shared" si="477"/>
        <v/>
      </c>
      <c r="Y1422" s="74" t="str">
        <f t="shared" si="477"/>
        <v/>
      </c>
      <c r="Z1422" s="74" t="str">
        <f t="shared" si="464"/>
        <v/>
      </c>
      <c r="AA1422" s="74">
        <f t="shared" si="465"/>
        <v>0</v>
      </c>
      <c r="AB1422" s="74">
        <f t="shared" si="466"/>
        <v>0</v>
      </c>
      <c r="AC1422" s="74" t="str">
        <f t="shared" si="467"/>
        <v/>
      </c>
      <c r="AE1422" s="74" t="str">
        <f t="shared" si="468"/>
        <v/>
      </c>
      <c r="AF1422" s="74" t="str">
        <f t="shared" si="469"/>
        <v/>
      </c>
      <c r="AG1422" s="74" t="str">
        <f t="shared" si="470"/>
        <v/>
      </c>
      <c r="AH1422" s="74">
        <f t="shared" si="471"/>
        <v>0</v>
      </c>
      <c r="AI1422" s="74" t="str">
        <f>IF(AH1422&lt;&gt;0,COUNTIF(AH$3:AH1422,1),"")</f>
        <v/>
      </c>
      <c r="AJ1422" s="74">
        <f t="shared" si="472"/>
        <v>0</v>
      </c>
      <c r="AK1422" s="73" t="str">
        <f t="shared" si="473"/>
        <v/>
      </c>
      <c r="AL1422" s="73" t="str">
        <f t="shared" si="474"/>
        <v/>
      </c>
      <c r="AM1422" s="73" t="str">
        <f t="shared" si="475"/>
        <v/>
      </c>
      <c r="AN1422" s="73" t="str">
        <f t="shared" si="476"/>
        <v/>
      </c>
    </row>
    <row r="1423" spans="16:40" x14ac:dyDescent="0.25">
      <c r="P1423" s="73" t="str">
        <f t="shared" si="460"/>
        <v/>
      </c>
      <c r="Q1423" s="73" t="str">
        <f t="shared" si="461"/>
        <v/>
      </c>
      <c r="R1423" s="74" t="str">
        <f t="shared" si="462"/>
        <v/>
      </c>
      <c r="S1423" s="74" t="str">
        <f t="shared" si="463"/>
        <v/>
      </c>
      <c r="U1423" s="74" t="str">
        <f t="shared" si="477"/>
        <v/>
      </c>
      <c r="V1423" s="74" t="str">
        <f t="shared" si="477"/>
        <v/>
      </c>
      <c r="W1423" s="74" t="str">
        <f t="shared" si="477"/>
        <v/>
      </c>
      <c r="X1423" s="74" t="str">
        <f t="shared" si="477"/>
        <v/>
      </c>
      <c r="Y1423" s="74" t="str">
        <f t="shared" si="477"/>
        <v/>
      </c>
      <c r="Z1423" s="74" t="str">
        <f t="shared" si="464"/>
        <v/>
      </c>
      <c r="AA1423" s="74">
        <f t="shared" si="465"/>
        <v>0</v>
      </c>
      <c r="AB1423" s="74">
        <f t="shared" si="466"/>
        <v>0</v>
      </c>
      <c r="AC1423" s="74" t="str">
        <f t="shared" si="467"/>
        <v/>
      </c>
      <c r="AE1423" s="74" t="str">
        <f t="shared" si="468"/>
        <v/>
      </c>
      <c r="AF1423" s="74" t="str">
        <f t="shared" si="469"/>
        <v/>
      </c>
      <c r="AG1423" s="74" t="str">
        <f t="shared" si="470"/>
        <v/>
      </c>
      <c r="AH1423" s="74">
        <f t="shared" si="471"/>
        <v>0</v>
      </c>
      <c r="AI1423" s="74" t="str">
        <f>IF(AH1423&lt;&gt;0,COUNTIF(AH$3:AH1423,1),"")</f>
        <v/>
      </c>
      <c r="AJ1423" s="74">
        <f t="shared" si="472"/>
        <v>0</v>
      </c>
      <c r="AK1423" s="73" t="str">
        <f t="shared" si="473"/>
        <v/>
      </c>
      <c r="AL1423" s="73" t="str">
        <f t="shared" si="474"/>
        <v/>
      </c>
      <c r="AM1423" s="73" t="str">
        <f t="shared" si="475"/>
        <v/>
      </c>
      <c r="AN1423" s="73" t="str">
        <f t="shared" si="476"/>
        <v/>
      </c>
    </row>
    <row r="1424" spans="16:40" x14ac:dyDescent="0.25">
      <c r="P1424" s="73" t="str">
        <f t="shared" si="460"/>
        <v/>
      </c>
      <c r="Q1424" s="73" t="str">
        <f t="shared" si="461"/>
        <v/>
      </c>
      <c r="R1424" s="74" t="str">
        <f t="shared" si="462"/>
        <v/>
      </c>
      <c r="S1424" s="74" t="str">
        <f t="shared" si="463"/>
        <v/>
      </c>
      <c r="U1424" s="74" t="str">
        <f t="shared" si="477"/>
        <v/>
      </c>
      <c r="V1424" s="74" t="str">
        <f t="shared" si="477"/>
        <v/>
      </c>
      <c r="W1424" s="74" t="str">
        <f t="shared" si="477"/>
        <v/>
      </c>
      <c r="X1424" s="74" t="str">
        <f t="shared" si="477"/>
        <v/>
      </c>
      <c r="Y1424" s="74" t="str">
        <f t="shared" si="477"/>
        <v/>
      </c>
      <c r="Z1424" s="74" t="str">
        <f t="shared" si="464"/>
        <v/>
      </c>
      <c r="AA1424" s="74">
        <f t="shared" si="465"/>
        <v>0</v>
      </c>
      <c r="AB1424" s="74">
        <f t="shared" si="466"/>
        <v>0</v>
      </c>
      <c r="AC1424" s="74" t="str">
        <f t="shared" si="467"/>
        <v/>
      </c>
      <c r="AE1424" s="74" t="str">
        <f t="shared" si="468"/>
        <v/>
      </c>
      <c r="AF1424" s="74" t="str">
        <f t="shared" si="469"/>
        <v/>
      </c>
      <c r="AG1424" s="74" t="str">
        <f t="shared" si="470"/>
        <v/>
      </c>
      <c r="AH1424" s="74">
        <f t="shared" si="471"/>
        <v>0</v>
      </c>
      <c r="AI1424" s="74" t="str">
        <f>IF(AH1424&lt;&gt;0,COUNTIF(AH$3:AH1424,1),"")</f>
        <v/>
      </c>
      <c r="AJ1424" s="74">
        <f t="shared" si="472"/>
        <v>0</v>
      </c>
      <c r="AK1424" s="73" t="str">
        <f t="shared" si="473"/>
        <v/>
      </c>
      <c r="AL1424" s="73" t="str">
        <f t="shared" si="474"/>
        <v/>
      </c>
      <c r="AM1424" s="73" t="str">
        <f t="shared" si="475"/>
        <v/>
      </c>
      <c r="AN1424" s="73" t="str">
        <f t="shared" si="476"/>
        <v/>
      </c>
    </row>
    <row r="1425" spans="16:40" x14ac:dyDescent="0.25">
      <c r="P1425" s="73" t="str">
        <f t="shared" si="460"/>
        <v/>
      </c>
      <c r="Q1425" s="73" t="str">
        <f t="shared" si="461"/>
        <v/>
      </c>
      <c r="R1425" s="74" t="str">
        <f t="shared" si="462"/>
        <v/>
      </c>
      <c r="S1425" s="74" t="str">
        <f t="shared" si="463"/>
        <v/>
      </c>
      <c r="U1425" s="74" t="str">
        <f t="shared" si="477"/>
        <v/>
      </c>
      <c r="V1425" s="74" t="str">
        <f t="shared" si="477"/>
        <v/>
      </c>
      <c r="W1425" s="74" t="str">
        <f t="shared" si="477"/>
        <v/>
      </c>
      <c r="X1425" s="74" t="str">
        <f t="shared" si="477"/>
        <v/>
      </c>
      <c r="Y1425" s="74" t="str">
        <f t="shared" si="477"/>
        <v/>
      </c>
      <c r="Z1425" s="74" t="str">
        <f t="shared" si="464"/>
        <v/>
      </c>
      <c r="AA1425" s="74">
        <f t="shared" si="465"/>
        <v>0</v>
      </c>
      <c r="AB1425" s="74">
        <f t="shared" si="466"/>
        <v>0</v>
      </c>
      <c r="AC1425" s="74" t="str">
        <f t="shared" si="467"/>
        <v/>
      </c>
      <c r="AE1425" s="74" t="str">
        <f t="shared" si="468"/>
        <v/>
      </c>
      <c r="AF1425" s="74" t="str">
        <f t="shared" si="469"/>
        <v/>
      </c>
      <c r="AG1425" s="74" t="str">
        <f t="shared" si="470"/>
        <v/>
      </c>
      <c r="AH1425" s="74">
        <f t="shared" si="471"/>
        <v>0</v>
      </c>
      <c r="AI1425" s="74" t="str">
        <f>IF(AH1425&lt;&gt;0,COUNTIF(AH$3:AH1425,1),"")</f>
        <v/>
      </c>
      <c r="AJ1425" s="74">
        <f t="shared" si="472"/>
        <v>0</v>
      </c>
      <c r="AK1425" s="73" t="str">
        <f t="shared" si="473"/>
        <v/>
      </c>
      <c r="AL1425" s="73" t="str">
        <f t="shared" si="474"/>
        <v/>
      </c>
      <c r="AM1425" s="73" t="str">
        <f t="shared" si="475"/>
        <v/>
      </c>
      <c r="AN1425" s="73" t="str">
        <f t="shared" si="476"/>
        <v/>
      </c>
    </row>
    <row r="1426" spans="16:40" x14ac:dyDescent="0.25">
      <c r="P1426" s="73" t="str">
        <f t="shared" si="460"/>
        <v/>
      </c>
      <c r="Q1426" s="73" t="str">
        <f t="shared" si="461"/>
        <v/>
      </c>
      <c r="R1426" s="74" t="str">
        <f t="shared" si="462"/>
        <v/>
      </c>
      <c r="S1426" s="74" t="str">
        <f t="shared" si="463"/>
        <v/>
      </c>
      <c r="U1426" s="74" t="str">
        <f t="shared" si="477"/>
        <v/>
      </c>
      <c r="V1426" s="74" t="str">
        <f t="shared" si="477"/>
        <v/>
      </c>
      <c r="W1426" s="74" t="str">
        <f t="shared" si="477"/>
        <v/>
      </c>
      <c r="X1426" s="74" t="str">
        <f t="shared" si="477"/>
        <v/>
      </c>
      <c r="Y1426" s="74" t="str">
        <f t="shared" si="477"/>
        <v/>
      </c>
      <c r="Z1426" s="74" t="str">
        <f t="shared" si="464"/>
        <v/>
      </c>
      <c r="AA1426" s="74">
        <f t="shared" si="465"/>
        <v>0</v>
      </c>
      <c r="AB1426" s="74">
        <f t="shared" si="466"/>
        <v>0</v>
      </c>
      <c r="AC1426" s="74" t="str">
        <f t="shared" si="467"/>
        <v/>
      </c>
      <c r="AE1426" s="74" t="str">
        <f t="shared" si="468"/>
        <v/>
      </c>
      <c r="AF1426" s="74" t="str">
        <f t="shared" si="469"/>
        <v/>
      </c>
      <c r="AG1426" s="74" t="str">
        <f t="shared" si="470"/>
        <v/>
      </c>
      <c r="AH1426" s="74">
        <f t="shared" si="471"/>
        <v>0</v>
      </c>
      <c r="AI1426" s="74" t="str">
        <f>IF(AH1426&lt;&gt;0,COUNTIF(AH$3:AH1426,1),"")</f>
        <v/>
      </c>
      <c r="AJ1426" s="74">
        <f t="shared" si="472"/>
        <v>0</v>
      </c>
      <c r="AK1426" s="73" t="str">
        <f t="shared" si="473"/>
        <v/>
      </c>
      <c r="AL1426" s="73" t="str">
        <f t="shared" si="474"/>
        <v/>
      </c>
      <c r="AM1426" s="73" t="str">
        <f t="shared" si="475"/>
        <v/>
      </c>
      <c r="AN1426" s="73" t="str">
        <f t="shared" si="476"/>
        <v/>
      </c>
    </row>
    <row r="1427" spans="16:40" x14ac:dyDescent="0.25">
      <c r="P1427" s="73" t="str">
        <f t="shared" si="460"/>
        <v/>
      </c>
      <c r="Q1427" s="73" t="str">
        <f t="shared" si="461"/>
        <v/>
      </c>
      <c r="R1427" s="74" t="str">
        <f t="shared" si="462"/>
        <v/>
      </c>
      <c r="S1427" s="74" t="str">
        <f t="shared" si="463"/>
        <v/>
      </c>
      <c r="U1427" s="74" t="str">
        <f t="shared" si="477"/>
        <v/>
      </c>
      <c r="V1427" s="74" t="str">
        <f t="shared" si="477"/>
        <v/>
      </c>
      <c r="W1427" s="74" t="str">
        <f t="shared" si="477"/>
        <v/>
      </c>
      <c r="X1427" s="74" t="str">
        <f t="shared" si="477"/>
        <v/>
      </c>
      <c r="Y1427" s="74" t="str">
        <f t="shared" si="477"/>
        <v/>
      </c>
      <c r="Z1427" s="74" t="str">
        <f t="shared" si="464"/>
        <v/>
      </c>
      <c r="AA1427" s="74">
        <f t="shared" si="465"/>
        <v>0</v>
      </c>
      <c r="AB1427" s="74">
        <f t="shared" si="466"/>
        <v>0</v>
      </c>
      <c r="AC1427" s="74" t="str">
        <f t="shared" si="467"/>
        <v/>
      </c>
      <c r="AE1427" s="74" t="str">
        <f t="shared" si="468"/>
        <v/>
      </c>
      <c r="AF1427" s="74" t="str">
        <f t="shared" si="469"/>
        <v/>
      </c>
      <c r="AG1427" s="74" t="str">
        <f t="shared" si="470"/>
        <v/>
      </c>
      <c r="AH1427" s="74">
        <f t="shared" si="471"/>
        <v>0</v>
      </c>
      <c r="AI1427" s="74" t="str">
        <f>IF(AH1427&lt;&gt;0,COUNTIF(AH$3:AH1427,1),"")</f>
        <v/>
      </c>
      <c r="AJ1427" s="74">
        <f t="shared" si="472"/>
        <v>0</v>
      </c>
      <c r="AK1427" s="73" t="str">
        <f t="shared" si="473"/>
        <v/>
      </c>
      <c r="AL1427" s="73" t="str">
        <f t="shared" si="474"/>
        <v/>
      </c>
      <c r="AM1427" s="73" t="str">
        <f t="shared" si="475"/>
        <v/>
      </c>
      <c r="AN1427" s="73" t="str">
        <f t="shared" si="476"/>
        <v/>
      </c>
    </row>
    <row r="1428" spans="16:40" x14ac:dyDescent="0.25">
      <c r="P1428" s="73" t="str">
        <f t="shared" si="460"/>
        <v/>
      </c>
      <c r="Q1428" s="73" t="str">
        <f t="shared" si="461"/>
        <v/>
      </c>
      <c r="R1428" s="74" t="str">
        <f t="shared" si="462"/>
        <v/>
      </c>
      <c r="S1428" s="74" t="str">
        <f t="shared" si="463"/>
        <v/>
      </c>
      <c r="U1428" s="74" t="str">
        <f t="shared" si="477"/>
        <v/>
      </c>
      <c r="V1428" s="74" t="str">
        <f t="shared" si="477"/>
        <v/>
      </c>
      <c r="W1428" s="74" t="str">
        <f t="shared" si="477"/>
        <v/>
      </c>
      <c r="X1428" s="74" t="str">
        <f t="shared" si="477"/>
        <v/>
      </c>
      <c r="Y1428" s="74" t="str">
        <f t="shared" si="477"/>
        <v/>
      </c>
      <c r="Z1428" s="74" t="str">
        <f t="shared" si="464"/>
        <v/>
      </c>
      <c r="AA1428" s="74">
        <f t="shared" si="465"/>
        <v>0</v>
      </c>
      <c r="AB1428" s="74">
        <f t="shared" si="466"/>
        <v>0</v>
      </c>
      <c r="AC1428" s="74" t="str">
        <f t="shared" si="467"/>
        <v/>
      </c>
      <c r="AE1428" s="74" t="str">
        <f t="shared" si="468"/>
        <v/>
      </c>
      <c r="AF1428" s="74" t="str">
        <f t="shared" si="469"/>
        <v/>
      </c>
      <c r="AG1428" s="74" t="str">
        <f t="shared" si="470"/>
        <v/>
      </c>
      <c r="AH1428" s="74">
        <f t="shared" si="471"/>
        <v>0</v>
      </c>
      <c r="AI1428" s="74" t="str">
        <f>IF(AH1428&lt;&gt;0,COUNTIF(AH$3:AH1428,1),"")</f>
        <v/>
      </c>
      <c r="AJ1428" s="74">
        <f t="shared" si="472"/>
        <v>0</v>
      </c>
      <c r="AK1428" s="73" t="str">
        <f t="shared" si="473"/>
        <v/>
      </c>
      <c r="AL1428" s="73" t="str">
        <f t="shared" si="474"/>
        <v/>
      </c>
      <c r="AM1428" s="73" t="str">
        <f t="shared" si="475"/>
        <v/>
      </c>
      <c r="AN1428" s="73" t="str">
        <f t="shared" si="476"/>
        <v/>
      </c>
    </row>
    <row r="1429" spans="16:40" x14ac:dyDescent="0.25">
      <c r="P1429" s="73" t="str">
        <f t="shared" si="460"/>
        <v/>
      </c>
      <c r="Q1429" s="73" t="str">
        <f t="shared" si="461"/>
        <v/>
      </c>
      <c r="R1429" s="74" t="str">
        <f t="shared" si="462"/>
        <v/>
      </c>
      <c r="S1429" s="74" t="str">
        <f t="shared" si="463"/>
        <v/>
      </c>
      <c r="U1429" s="74" t="str">
        <f t="shared" si="477"/>
        <v/>
      </c>
      <c r="V1429" s="74" t="str">
        <f t="shared" si="477"/>
        <v/>
      </c>
      <c r="W1429" s="74" t="str">
        <f t="shared" si="477"/>
        <v/>
      </c>
      <c r="X1429" s="74" t="str">
        <f t="shared" si="477"/>
        <v/>
      </c>
      <c r="Y1429" s="74" t="str">
        <f t="shared" si="477"/>
        <v/>
      </c>
      <c r="Z1429" s="74" t="str">
        <f t="shared" si="464"/>
        <v/>
      </c>
      <c r="AA1429" s="74">
        <f t="shared" si="465"/>
        <v>0</v>
      </c>
      <c r="AB1429" s="74">
        <f t="shared" si="466"/>
        <v>0</v>
      </c>
      <c r="AC1429" s="74" t="str">
        <f t="shared" si="467"/>
        <v/>
      </c>
      <c r="AE1429" s="74" t="str">
        <f t="shared" si="468"/>
        <v/>
      </c>
      <c r="AF1429" s="74" t="str">
        <f t="shared" si="469"/>
        <v/>
      </c>
      <c r="AG1429" s="74" t="str">
        <f t="shared" si="470"/>
        <v/>
      </c>
      <c r="AH1429" s="74">
        <f t="shared" si="471"/>
        <v>0</v>
      </c>
      <c r="AI1429" s="74" t="str">
        <f>IF(AH1429&lt;&gt;0,COUNTIF(AH$3:AH1429,1),"")</f>
        <v/>
      </c>
      <c r="AJ1429" s="74">
        <f t="shared" si="472"/>
        <v>0</v>
      </c>
      <c r="AK1429" s="73" t="str">
        <f t="shared" si="473"/>
        <v/>
      </c>
      <c r="AL1429" s="73" t="str">
        <f t="shared" si="474"/>
        <v/>
      </c>
      <c r="AM1429" s="73" t="str">
        <f t="shared" si="475"/>
        <v/>
      </c>
      <c r="AN1429" s="73" t="str">
        <f t="shared" si="476"/>
        <v/>
      </c>
    </row>
    <row r="1430" spans="16:40" x14ac:dyDescent="0.25">
      <c r="P1430" s="73" t="str">
        <f t="shared" si="460"/>
        <v/>
      </c>
      <c r="Q1430" s="73" t="str">
        <f t="shared" si="461"/>
        <v/>
      </c>
      <c r="R1430" s="74" t="str">
        <f t="shared" si="462"/>
        <v/>
      </c>
      <c r="S1430" s="74" t="str">
        <f t="shared" si="463"/>
        <v/>
      </c>
      <c r="U1430" s="74" t="str">
        <f t="shared" si="477"/>
        <v/>
      </c>
      <c r="V1430" s="74" t="str">
        <f t="shared" si="477"/>
        <v/>
      </c>
      <c r="W1430" s="74" t="str">
        <f t="shared" si="477"/>
        <v/>
      </c>
      <c r="X1430" s="74" t="str">
        <f t="shared" si="477"/>
        <v/>
      </c>
      <c r="Y1430" s="74" t="str">
        <f t="shared" si="477"/>
        <v/>
      </c>
      <c r="Z1430" s="74" t="str">
        <f t="shared" si="464"/>
        <v/>
      </c>
      <c r="AA1430" s="74">
        <f t="shared" si="465"/>
        <v>0</v>
      </c>
      <c r="AB1430" s="74">
        <f t="shared" si="466"/>
        <v>0</v>
      </c>
      <c r="AC1430" s="74" t="str">
        <f t="shared" si="467"/>
        <v/>
      </c>
      <c r="AE1430" s="74" t="str">
        <f t="shared" si="468"/>
        <v/>
      </c>
      <c r="AF1430" s="74" t="str">
        <f t="shared" si="469"/>
        <v/>
      </c>
      <c r="AG1430" s="74" t="str">
        <f t="shared" si="470"/>
        <v/>
      </c>
      <c r="AH1430" s="74">
        <f t="shared" si="471"/>
        <v>0</v>
      </c>
      <c r="AI1430" s="74" t="str">
        <f>IF(AH1430&lt;&gt;0,COUNTIF(AH$3:AH1430,1),"")</f>
        <v/>
      </c>
      <c r="AJ1430" s="74">
        <f t="shared" si="472"/>
        <v>0</v>
      </c>
      <c r="AK1430" s="73" t="str">
        <f t="shared" si="473"/>
        <v/>
      </c>
      <c r="AL1430" s="73" t="str">
        <f t="shared" si="474"/>
        <v/>
      </c>
      <c r="AM1430" s="73" t="str">
        <f t="shared" si="475"/>
        <v/>
      </c>
      <c r="AN1430" s="73" t="str">
        <f t="shared" si="476"/>
        <v/>
      </c>
    </row>
    <row r="1431" spans="16:40" x14ac:dyDescent="0.25">
      <c r="P1431" s="73" t="str">
        <f t="shared" si="460"/>
        <v/>
      </c>
      <c r="Q1431" s="73" t="str">
        <f t="shared" si="461"/>
        <v/>
      </c>
      <c r="R1431" s="74" t="str">
        <f t="shared" si="462"/>
        <v/>
      </c>
      <c r="S1431" s="74" t="str">
        <f t="shared" si="463"/>
        <v/>
      </c>
      <c r="U1431" s="74" t="str">
        <f t="shared" si="477"/>
        <v/>
      </c>
      <c r="V1431" s="74" t="str">
        <f t="shared" si="477"/>
        <v/>
      </c>
      <c r="W1431" s="74" t="str">
        <f t="shared" si="477"/>
        <v/>
      </c>
      <c r="X1431" s="74" t="str">
        <f t="shared" si="477"/>
        <v/>
      </c>
      <c r="Y1431" s="74" t="str">
        <f t="shared" si="477"/>
        <v/>
      </c>
      <c r="Z1431" s="74" t="str">
        <f t="shared" si="464"/>
        <v/>
      </c>
      <c r="AA1431" s="74">
        <f t="shared" si="465"/>
        <v>0</v>
      </c>
      <c r="AB1431" s="74">
        <f t="shared" si="466"/>
        <v>0</v>
      </c>
      <c r="AC1431" s="74" t="str">
        <f t="shared" si="467"/>
        <v/>
      </c>
      <c r="AE1431" s="74" t="str">
        <f t="shared" si="468"/>
        <v/>
      </c>
      <c r="AF1431" s="74" t="str">
        <f t="shared" si="469"/>
        <v/>
      </c>
      <c r="AG1431" s="74" t="str">
        <f t="shared" si="470"/>
        <v/>
      </c>
      <c r="AH1431" s="74">
        <f t="shared" si="471"/>
        <v>0</v>
      </c>
      <c r="AI1431" s="74" t="str">
        <f>IF(AH1431&lt;&gt;0,COUNTIF(AH$3:AH1431,1),"")</f>
        <v/>
      </c>
      <c r="AJ1431" s="74">
        <f t="shared" si="472"/>
        <v>0</v>
      </c>
      <c r="AK1431" s="73" t="str">
        <f t="shared" si="473"/>
        <v/>
      </c>
      <c r="AL1431" s="73" t="str">
        <f t="shared" si="474"/>
        <v/>
      </c>
      <c r="AM1431" s="73" t="str">
        <f t="shared" si="475"/>
        <v/>
      </c>
      <c r="AN1431" s="73" t="str">
        <f t="shared" si="476"/>
        <v/>
      </c>
    </row>
    <row r="1432" spans="16:40" x14ac:dyDescent="0.25">
      <c r="P1432" s="73" t="str">
        <f t="shared" si="460"/>
        <v/>
      </c>
      <c r="Q1432" s="73" t="str">
        <f t="shared" si="461"/>
        <v/>
      </c>
      <c r="R1432" s="74" t="str">
        <f t="shared" si="462"/>
        <v/>
      </c>
      <c r="S1432" s="74" t="str">
        <f t="shared" si="463"/>
        <v/>
      </c>
      <c r="U1432" s="74" t="str">
        <f t="shared" si="477"/>
        <v/>
      </c>
      <c r="V1432" s="74" t="str">
        <f t="shared" si="477"/>
        <v/>
      </c>
      <c r="W1432" s="74" t="str">
        <f t="shared" si="477"/>
        <v/>
      </c>
      <c r="X1432" s="74" t="str">
        <f t="shared" si="477"/>
        <v/>
      </c>
      <c r="Y1432" s="74" t="str">
        <f t="shared" si="477"/>
        <v/>
      </c>
      <c r="Z1432" s="74" t="str">
        <f t="shared" si="464"/>
        <v/>
      </c>
      <c r="AA1432" s="74">
        <f t="shared" si="465"/>
        <v>0</v>
      </c>
      <c r="AB1432" s="74">
        <f t="shared" si="466"/>
        <v>0</v>
      </c>
      <c r="AC1432" s="74" t="str">
        <f t="shared" si="467"/>
        <v/>
      </c>
      <c r="AE1432" s="74" t="str">
        <f t="shared" si="468"/>
        <v/>
      </c>
      <c r="AF1432" s="74" t="str">
        <f t="shared" si="469"/>
        <v/>
      </c>
      <c r="AG1432" s="74" t="str">
        <f t="shared" si="470"/>
        <v/>
      </c>
      <c r="AH1432" s="74">
        <f t="shared" si="471"/>
        <v>0</v>
      </c>
      <c r="AI1432" s="74" t="str">
        <f>IF(AH1432&lt;&gt;0,COUNTIF(AH$3:AH1432,1),"")</f>
        <v/>
      </c>
      <c r="AJ1432" s="74">
        <f t="shared" si="472"/>
        <v>0</v>
      </c>
      <c r="AK1432" s="73" t="str">
        <f t="shared" si="473"/>
        <v/>
      </c>
      <c r="AL1432" s="73" t="str">
        <f t="shared" si="474"/>
        <v/>
      </c>
      <c r="AM1432" s="73" t="str">
        <f t="shared" si="475"/>
        <v/>
      </c>
      <c r="AN1432" s="73" t="str">
        <f t="shared" si="476"/>
        <v/>
      </c>
    </row>
    <row r="1433" spans="16:40" x14ac:dyDescent="0.25">
      <c r="P1433" s="73" t="str">
        <f t="shared" si="460"/>
        <v/>
      </c>
      <c r="Q1433" s="73" t="str">
        <f t="shared" si="461"/>
        <v/>
      </c>
      <c r="R1433" s="74" t="str">
        <f t="shared" si="462"/>
        <v/>
      </c>
      <c r="S1433" s="74" t="str">
        <f t="shared" si="463"/>
        <v/>
      </c>
      <c r="U1433" s="74" t="str">
        <f t="shared" si="477"/>
        <v/>
      </c>
      <c r="V1433" s="74" t="str">
        <f t="shared" si="477"/>
        <v/>
      </c>
      <c r="W1433" s="74" t="str">
        <f t="shared" si="477"/>
        <v/>
      </c>
      <c r="X1433" s="74" t="str">
        <f t="shared" si="477"/>
        <v/>
      </c>
      <c r="Y1433" s="74" t="str">
        <f t="shared" si="477"/>
        <v/>
      </c>
      <c r="Z1433" s="74" t="str">
        <f t="shared" si="464"/>
        <v/>
      </c>
      <c r="AA1433" s="74">
        <f t="shared" si="465"/>
        <v>0</v>
      </c>
      <c r="AB1433" s="74">
        <f t="shared" si="466"/>
        <v>0</v>
      </c>
      <c r="AC1433" s="74" t="str">
        <f t="shared" si="467"/>
        <v/>
      </c>
      <c r="AE1433" s="74" t="str">
        <f t="shared" si="468"/>
        <v/>
      </c>
      <c r="AF1433" s="74" t="str">
        <f t="shared" si="469"/>
        <v/>
      </c>
      <c r="AG1433" s="74" t="str">
        <f t="shared" si="470"/>
        <v/>
      </c>
      <c r="AH1433" s="74">
        <f t="shared" si="471"/>
        <v>0</v>
      </c>
      <c r="AI1433" s="74" t="str">
        <f>IF(AH1433&lt;&gt;0,COUNTIF(AH$3:AH1433,1),"")</f>
        <v/>
      </c>
      <c r="AJ1433" s="74">
        <f t="shared" si="472"/>
        <v>0</v>
      </c>
      <c r="AK1433" s="73" t="str">
        <f t="shared" si="473"/>
        <v/>
      </c>
      <c r="AL1433" s="73" t="str">
        <f t="shared" si="474"/>
        <v/>
      </c>
      <c r="AM1433" s="73" t="str">
        <f t="shared" si="475"/>
        <v/>
      </c>
      <c r="AN1433" s="73" t="str">
        <f t="shared" si="476"/>
        <v/>
      </c>
    </row>
    <row r="1434" spans="16:40" x14ac:dyDescent="0.25">
      <c r="P1434" s="73" t="str">
        <f t="shared" si="460"/>
        <v/>
      </c>
      <c r="Q1434" s="73" t="str">
        <f t="shared" si="461"/>
        <v/>
      </c>
      <c r="R1434" s="74" t="str">
        <f t="shared" si="462"/>
        <v/>
      </c>
      <c r="S1434" s="74" t="str">
        <f t="shared" si="463"/>
        <v/>
      </c>
      <c r="U1434" s="74" t="str">
        <f t="shared" si="477"/>
        <v/>
      </c>
      <c r="V1434" s="74" t="str">
        <f t="shared" si="477"/>
        <v/>
      </c>
      <c r="W1434" s="74" t="str">
        <f t="shared" si="477"/>
        <v/>
      </c>
      <c r="X1434" s="74" t="str">
        <f t="shared" si="477"/>
        <v/>
      </c>
      <c r="Y1434" s="74" t="str">
        <f t="shared" si="477"/>
        <v/>
      </c>
      <c r="Z1434" s="74" t="str">
        <f t="shared" si="464"/>
        <v/>
      </c>
      <c r="AA1434" s="74">
        <f t="shared" si="465"/>
        <v>0</v>
      </c>
      <c r="AB1434" s="74">
        <f t="shared" si="466"/>
        <v>0</v>
      </c>
      <c r="AC1434" s="74" t="str">
        <f t="shared" si="467"/>
        <v/>
      </c>
      <c r="AE1434" s="74" t="str">
        <f t="shared" si="468"/>
        <v/>
      </c>
      <c r="AF1434" s="74" t="str">
        <f t="shared" si="469"/>
        <v/>
      </c>
      <c r="AG1434" s="74" t="str">
        <f t="shared" si="470"/>
        <v/>
      </c>
      <c r="AH1434" s="74">
        <f t="shared" si="471"/>
        <v>0</v>
      </c>
      <c r="AI1434" s="74" t="str">
        <f>IF(AH1434&lt;&gt;0,COUNTIF(AH$3:AH1434,1),"")</f>
        <v/>
      </c>
      <c r="AJ1434" s="74">
        <f t="shared" si="472"/>
        <v>0</v>
      </c>
      <c r="AK1434" s="73" t="str">
        <f t="shared" si="473"/>
        <v/>
      </c>
      <c r="AL1434" s="73" t="str">
        <f t="shared" si="474"/>
        <v/>
      </c>
      <c r="AM1434" s="73" t="str">
        <f t="shared" si="475"/>
        <v/>
      </c>
      <c r="AN1434" s="73" t="str">
        <f t="shared" si="476"/>
        <v/>
      </c>
    </row>
    <row r="1435" spans="16:40" x14ac:dyDescent="0.25">
      <c r="P1435" s="73" t="str">
        <f t="shared" si="460"/>
        <v/>
      </c>
      <c r="Q1435" s="73" t="str">
        <f t="shared" si="461"/>
        <v/>
      </c>
      <c r="R1435" s="74" t="str">
        <f t="shared" si="462"/>
        <v/>
      </c>
      <c r="S1435" s="74" t="str">
        <f t="shared" si="463"/>
        <v/>
      </c>
      <c r="U1435" s="74" t="str">
        <f t="shared" si="477"/>
        <v/>
      </c>
      <c r="V1435" s="74" t="str">
        <f t="shared" si="477"/>
        <v/>
      </c>
      <c r="W1435" s="74" t="str">
        <f t="shared" si="477"/>
        <v/>
      </c>
      <c r="X1435" s="74" t="str">
        <f t="shared" si="477"/>
        <v/>
      </c>
      <c r="Y1435" s="74" t="str">
        <f t="shared" si="477"/>
        <v/>
      </c>
      <c r="Z1435" s="74" t="str">
        <f t="shared" si="464"/>
        <v/>
      </c>
      <c r="AA1435" s="74">
        <f t="shared" si="465"/>
        <v>0</v>
      </c>
      <c r="AB1435" s="74">
        <f t="shared" si="466"/>
        <v>0</v>
      </c>
      <c r="AC1435" s="74" t="str">
        <f t="shared" si="467"/>
        <v/>
      </c>
      <c r="AE1435" s="74" t="str">
        <f t="shared" si="468"/>
        <v/>
      </c>
      <c r="AF1435" s="74" t="str">
        <f t="shared" si="469"/>
        <v/>
      </c>
      <c r="AG1435" s="74" t="str">
        <f t="shared" si="470"/>
        <v/>
      </c>
      <c r="AH1435" s="74">
        <f t="shared" si="471"/>
        <v>0</v>
      </c>
      <c r="AI1435" s="74" t="str">
        <f>IF(AH1435&lt;&gt;0,COUNTIF(AH$3:AH1435,1),"")</f>
        <v/>
      </c>
      <c r="AJ1435" s="74">
        <f t="shared" si="472"/>
        <v>0</v>
      </c>
      <c r="AK1435" s="73" t="str">
        <f t="shared" si="473"/>
        <v/>
      </c>
      <c r="AL1435" s="73" t="str">
        <f t="shared" si="474"/>
        <v/>
      </c>
      <c r="AM1435" s="73" t="str">
        <f t="shared" si="475"/>
        <v/>
      </c>
      <c r="AN1435" s="73" t="str">
        <f t="shared" si="476"/>
        <v/>
      </c>
    </row>
    <row r="1436" spans="16:40" x14ac:dyDescent="0.25">
      <c r="P1436" s="73" t="str">
        <f t="shared" si="460"/>
        <v/>
      </c>
      <c r="Q1436" s="73" t="str">
        <f t="shared" si="461"/>
        <v/>
      </c>
      <c r="R1436" s="74" t="str">
        <f t="shared" si="462"/>
        <v/>
      </c>
      <c r="S1436" s="74" t="str">
        <f t="shared" si="463"/>
        <v/>
      </c>
      <c r="U1436" s="74" t="str">
        <f t="shared" si="477"/>
        <v/>
      </c>
      <c r="V1436" s="74" t="str">
        <f t="shared" si="477"/>
        <v/>
      </c>
      <c r="W1436" s="74" t="str">
        <f t="shared" si="477"/>
        <v/>
      </c>
      <c r="X1436" s="74" t="str">
        <f t="shared" si="477"/>
        <v/>
      </c>
      <c r="Y1436" s="74" t="str">
        <f t="shared" si="477"/>
        <v/>
      </c>
      <c r="Z1436" s="74" t="str">
        <f t="shared" si="464"/>
        <v/>
      </c>
      <c r="AA1436" s="74">
        <f t="shared" si="465"/>
        <v>0</v>
      </c>
      <c r="AB1436" s="74">
        <f t="shared" si="466"/>
        <v>0</v>
      </c>
      <c r="AC1436" s="74" t="str">
        <f t="shared" si="467"/>
        <v/>
      </c>
      <c r="AE1436" s="74" t="str">
        <f t="shared" si="468"/>
        <v/>
      </c>
      <c r="AF1436" s="74" t="str">
        <f t="shared" si="469"/>
        <v/>
      </c>
      <c r="AG1436" s="74" t="str">
        <f t="shared" si="470"/>
        <v/>
      </c>
      <c r="AH1436" s="74">
        <f t="shared" si="471"/>
        <v>0</v>
      </c>
      <c r="AI1436" s="74" t="str">
        <f>IF(AH1436&lt;&gt;0,COUNTIF(AH$3:AH1436,1),"")</f>
        <v/>
      </c>
      <c r="AJ1436" s="74">
        <f t="shared" si="472"/>
        <v>0</v>
      </c>
      <c r="AK1436" s="73" t="str">
        <f t="shared" si="473"/>
        <v/>
      </c>
      <c r="AL1436" s="73" t="str">
        <f t="shared" si="474"/>
        <v/>
      </c>
      <c r="AM1436" s="73" t="str">
        <f t="shared" si="475"/>
        <v/>
      </c>
      <c r="AN1436" s="73" t="str">
        <f t="shared" si="476"/>
        <v/>
      </c>
    </row>
    <row r="1437" spans="16:40" x14ac:dyDescent="0.25">
      <c r="P1437" s="73" t="str">
        <f t="shared" si="460"/>
        <v/>
      </c>
      <c r="Q1437" s="73" t="str">
        <f t="shared" si="461"/>
        <v/>
      </c>
      <c r="R1437" s="74" t="str">
        <f t="shared" si="462"/>
        <v/>
      </c>
      <c r="S1437" s="74" t="str">
        <f t="shared" si="463"/>
        <v/>
      </c>
      <c r="U1437" s="74" t="str">
        <f t="shared" si="477"/>
        <v/>
      </c>
      <c r="V1437" s="74" t="str">
        <f t="shared" si="477"/>
        <v/>
      </c>
      <c r="W1437" s="74" t="str">
        <f t="shared" si="477"/>
        <v/>
      </c>
      <c r="X1437" s="74" t="str">
        <f t="shared" si="477"/>
        <v/>
      </c>
      <c r="Y1437" s="74" t="str">
        <f t="shared" si="477"/>
        <v/>
      </c>
      <c r="Z1437" s="74" t="str">
        <f t="shared" si="464"/>
        <v/>
      </c>
      <c r="AA1437" s="74">
        <f t="shared" si="465"/>
        <v>0</v>
      </c>
      <c r="AB1437" s="74">
        <f t="shared" si="466"/>
        <v>0</v>
      </c>
      <c r="AC1437" s="74" t="str">
        <f t="shared" si="467"/>
        <v/>
      </c>
      <c r="AE1437" s="74" t="str">
        <f t="shared" si="468"/>
        <v/>
      </c>
      <c r="AF1437" s="74" t="str">
        <f t="shared" si="469"/>
        <v/>
      </c>
      <c r="AG1437" s="74" t="str">
        <f t="shared" si="470"/>
        <v/>
      </c>
      <c r="AH1437" s="74">
        <f t="shared" si="471"/>
        <v>0</v>
      </c>
      <c r="AI1437" s="74" t="str">
        <f>IF(AH1437&lt;&gt;0,COUNTIF(AH$3:AH1437,1),"")</f>
        <v/>
      </c>
      <c r="AJ1437" s="74">
        <f t="shared" si="472"/>
        <v>0</v>
      </c>
      <c r="AK1437" s="73" t="str">
        <f t="shared" si="473"/>
        <v/>
      </c>
      <c r="AL1437" s="73" t="str">
        <f t="shared" si="474"/>
        <v/>
      </c>
      <c r="AM1437" s="73" t="str">
        <f t="shared" si="475"/>
        <v/>
      </c>
      <c r="AN1437" s="73" t="str">
        <f t="shared" si="476"/>
        <v/>
      </c>
    </row>
    <row r="1438" spans="16:40" x14ac:dyDescent="0.25">
      <c r="P1438" s="73" t="str">
        <f t="shared" si="460"/>
        <v/>
      </c>
      <c r="Q1438" s="73" t="str">
        <f t="shared" si="461"/>
        <v/>
      </c>
      <c r="R1438" s="74" t="str">
        <f t="shared" si="462"/>
        <v/>
      </c>
      <c r="S1438" s="74" t="str">
        <f t="shared" si="463"/>
        <v/>
      </c>
      <c r="U1438" s="74" t="str">
        <f t="shared" si="477"/>
        <v/>
      </c>
      <c r="V1438" s="74" t="str">
        <f t="shared" si="477"/>
        <v/>
      </c>
      <c r="W1438" s="74" t="str">
        <f t="shared" si="477"/>
        <v/>
      </c>
      <c r="X1438" s="74" t="str">
        <f t="shared" si="477"/>
        <v/>
      </c>
      <c r="Y1438" s="74" t="str">
        <f t="shared" si="477"/>
        <v/>
      </c>
      <c r="Z1438" s="74" t="str">
        <f t="shared" si="464"/>
        <v/>
      </c>
      <c r="AA1438" s="74">
        <f t="shared" si="465"/>
        <v>0</v>
      </c>
      <c r="AB1438" s="74">
        <f t="shared" si="466"/>
        <v>0</v>
      </c>
      <c r="AC1438" s="74" t="str">
        <f t="shared" si="467"/>
        <v/>
      </c>
      <c r="AE1438" s="74" t="str">
        <f t="shared" si="468"/>
        <v/>
      </c>
      <c r="AF1438" s="74" t="str">
        <f t="shared" si="469"/>
        <v/>
      </c>
      <c r="AG1438" s="74" t="str">
        <f t="shared" si="470"/>
        <v/>
      </c>
      <c r="AH1438" s="74">
        <f t="shared" si="471"/>
        <v>0</v>
      </c>
      <c r="AI1438" s="74" t="str">
        <f>IF(AH1438&lt;&gt;0,COUNTIF(AH$3:AH1438,1),"")</f>
        <v/>
      </c>
      <c r="AJ1438" s="74">
        <f t="shared" si="472"/>
        <v>0</v>
      </c>
      <c r="AK1438" s="73" t="str">
        <f t="shared" si="473"/>
        <v/>
      </c>
      <c r="AL1438" s="73" t="str">
        <f t="shared" si="474"/>
        <v/>
      </c>
      <c r="AM1438" s="73" t="str">
        <f t="shared" si="475"/>
        <v/>
      </c>
      <c r="AN1438" s="73" t="str">
        <f t="shared" si="476"/>
        <v/>
      </c>
    </row>
    <row r="1439" spans="16:40" x14ac:dyDescent="0.25">
      <c r="P1439" s="73" t="str">
        <f t="shared" si="460"/>
        <v/>
      </c>
      <c r="Q1439" s="73" t="str">
        <f t="shared" si="461"/>
        <v/>
      </c>
      <c r="R1439" s="74" t="str">
        <f t="shared" si="462"/>
        <v/>
      </c>
      <c r="S1439" s="74" t="str">
        <f t="shared" si="463"/>
        <v/>
      </c>
      <c r="U1439" s="74" t="str">
        <f t="shared" si="477"/>
        <v/>
      </c>
      <c r="V1439" s="74" t="str">
        <f t="shared" si="477"/>
        <v/>
      </c>
      <c r="W1439" s="74" t="str">
        <f t="shared" si="477"/>
        <v/>
      </c>
      <c r="X1439" s="74" t="str">
        <f t="shared" si="477"/>
        <v/>
      </c>
      <c r="Y1439" s="74" t="str">
        <f t="shared" si="477"/>
        <v/>
      </c>
      <c r="Z1439" s="74" t="str">
        <f t="shared" si="464"/>
        <v/>
      </c>
      <c r="AA1439" s="74">
        <f t="shared" si="465"/>
        <v>0</v>
      </c>
      <c r="AB1439" s="74">
        <f t="shared" si="466"/>
        <v>0</v>
      </c>
      <c r="AC1439" s="74" t="str">
        <f t="shared" si="467"/>
        <v/>
      </c>
      <c r="AE1439" s="74" t="str">
        <f t="shared" si="468"/>
        <v/>
      </c>
      <c r="AF1439" s="74" t="str">
        <f t="shared" si="469"/>
        <v/>
      </c>
      <c r="AG1439" s="74" t="str">
        <f t="shared" si="470"/>
        <v/>
      </c>
      <c r="AH1439" s="74">
        <f t="shared" si="471"/>
        <v>0</v>
      </c>
      <c r="AI1439" s="74" t="str">
        <f>IF(AH1439&lt;&gt;0,COUNTIF(AH$3:AH1439,1),"")</f>
        <v/>
      </c>
      <c r="AJ1439" s="74">
        <f t="shared" si="472"/>
        <v>0</v>
      </c>
      <c r="AK1439" s="73" t="str">
        <f t="shared" si="473"/>
        <v/>
      </c>
      <c r="AL1439" s="73" t="str">
        <f t="shared" si="474"/>
        <v/>
      </c>
      <c r="AM1439" s="73" t="str">
        <f t="shared" si="475"/>
        <v/>
      </c>
      <c r="AN1439" s="73" t="str">
        <f t="shared" si="476"/>
        <v/>
      </c>
    </row>
    <row r="1440" spans="16:40" x14ac:dyDescent="0.25">
      <c r="P1440" s="73" t="str">
        <f t="shared" si="460"/>
        <v/>
      </c>
      <c r="Q1440" s="73" t="str">
        <f t="shared" si="461"/>
        <v/>
      </c>
      <c r="R1440" s="74" t="str">
        <f t="shared" si="462"/>
        <v/>
      </c>
      <c r="S1440" s="74" t="str">
        <f t="shared" si="463"/>
        <v/>
      </c>
      <c r="U1440" s="74" t="str">
        <f t="shared" si="477"/>
        <v/>
      </c>
      <c r="V1440" s="74" t="str">
        <f t="shared" si="477"/>
        <v/>
      </c>
      <c r="W1440" s="74" t="str">
        <f t="shared" si="477"/>
        <v/>
      </c>
      <c r="X1440" s="74" t="str">
        <f t="shared" si="477"/>
        <v/>
      </c>
      <c r="Y1440" s="74" t="str">
        <f t="shared" si="477"/>
        <v/>
      </c>
      <c r="Z1440" s="74" t="str">
        <f t="shared" si="464"/>
        <v/>
      </c>
      <c r="AA1440" s="74">
        <f t="shared" si="465"/>
        <v>0</v>
      </c>
      <c r="AB1440" s="74">
        <f t="shared" si="466"/>
        <v>0</v>
      </c>
      <c r="AC1440" s="74" t="str">
        <f t="shared" si="467"/>
        <v/>
      </c>
      <c r="AE1440" s="74" t="str">
        <f t="shared" si="468"/>
        <v/>
      </c>
      <c r="AF1440" s="74" t="str">
        <f t="shared" si="469"/>
        <v/>
      </c>
      <c r="AG1440" s="74" t="str">
        <f t="shared" si="470"/>
        <v/>
      </c>
      <c r="AH1440" s="74">
        <f t="shared" si="471"/>
        <v>0</v>
      </c>
      <c r="AI1440" s="74" t="str">
        <f>IF(AH1440&lt;&gt;0,COUNTIF(AH$3:AH1440,1),"")</f>
        <v/>
      </c>
      <c r="AJ1440" s="74">
        <f t="shared" si="472"/>
        <v>0</v>
      </c>
      <c r="AK1440" s="73" t="str">
        <f t="shared" si="473"/>
        <v/>
      </c>
      <c r="AL1440" s="73" t="str">
        <f t="shared" si="474"/>
        <v/>
      </c>
      <c r="AM1440" s="73" t="str">
        <f t="shared" si="475"/>
        <v/>
      </c>
      <c r="AN1440" s="73" t="str">
        <f t="shared" si="476"/>
        <v/>
      </c>
    </row>
    <row r="1441" spans="16:40" x14ac:dyDescent="0.25">
      <c r="P1441" s="73" t="str">
        <f t="shared" si="460"/>
        <v/>
      </c>
      <c r="Q1441" s="73" t="str">
        <f t="shared" si="461"/>
        <v/>
      </c>
      <c r="R1441" s="74" t="str">
        <f t="shared" si="462"/>
        <v/>
      </c>
      <c r="S1441" s="74" t="str">
        <f t="shared" si="463"/>
        <v/>
      </c>
      <c r="U1441" s="74" t="str">
        <f t="shared" si="477"/>
        <v/>
      </c>
      <c r="V1441" s="74" t="str">
        <f t="shared" si="477"/>
        <v/>
      </c>
      <c r="W1441" s="74" t="str">
        <f t="shared" si="477"/>
        <v/>
      </c>
      <c r="X1441" s="74" t="str">
        <f t="shared" si="477"/>
        <v/>
      </c>
      <c r="Y1441" s="74" t="str">
        <f t="shared" si="477"/>
        <v/>
      </c>
      <c r="Z1441" s="74" t="str">
        <f t="shared" si="464"/>
        <v/>
      </c>
      <c r="AA1441" s="74">
        <f t="shared" si="465"/>
        <v>0</v>
      </c>
      <c r="AB1441" s="74">
        <f t="shared" si="466"/>
        <v>0</v>
      </c>
      <c r="AC1441" s="74" t="str">
        <f t="shared" si="467"/>
        <v/>
      </c>
      <c r="AE1441" s="74" t="str">
        <f t="shared" si="468"/>
        <v/>
      </c>
      <c r="AF1441" s="74" t="str">
        <f t="shared" si="469"/>
        <v/>
      </c>
      <c r="AG1441" s="74" t="str">
        <f t="shared" si="470"/>
        <v/>
      </c>
      <c r="AH1441" s="74">
        <f t="shared" si="471"/>
        <v>0</v>
      </c>
      <c r="AI1441" s="74" t="str">
        <f>IF(AH1441&lt;&gt;0,COUNTIF(AH$3:AH1441,1),"")</f>
        <v/>
      </c>
      <c r="AJ1441" s="74">
        <f t="shared" si="472"/>
        <v>0</v>
      </c>
      <c r="AK1441" s="73" t="str">
        <f t="shared" si="473"/>
        <v/>
      </c>
      <c r="AL1441" s="73" t="str">
        <f t="shared" si="474"/>
        <v/>
      </c>
      <c r="AM1441" s="73" t="str">
        <f t="shared" si="475"/>
        <v/>
      </c>
      <c r="AN1441" s="73" t="str">
        <f t="shared" si="476"/>
        <v/>
      </c>
    </row>
    <row r="1442" spans="16:40" x14ac:dyDescent="0.25">
      <c r="P1442" s="73" t="str">
        <f t="shared" si="460"/>
        <v/>
      </c>
      <c r="Q1442" s="73" t="str">
        <f t="shared" si="461"/>
        <v/>
      </c>
      <c r="R1442" s="74" t="str">
        <f t="shared" si="462"/>
        <v/>
      </c>
      <c r="S1442" s="74" t="str">
        <f t="shared" si="463"/>
        <v/>
      </c>
      <c r="U1442" s="74" t="str">
        <f t="shared" si="477"/>
        <v/>
      </c>
      <c r="V1442" s="74" t="str">
        <f t="shared" si="477"/>
        <v/>
      </c>
      <c r="W1442" s="74" t="str">
        <f t="shared" si="477"/>
        <v/>
      </c>
      <c r="X1442" s="74" t="str">
        <f t="shared" si="477"/>
        <v/>
      </c>
      <c r="Y1442" s="74" t="str">
        <f t="shared" si="477"/>
        <v/>
      </c>
      <c r="Z1442" s="74" t="str">
        <f t="shared" si="464"/>
        <v/>
      </c>
      <c r="AA1442" s="74">
        <f t="shared" si="465"/>
        <v>0</v>
      </c>
      <c r="AB1442" s="74">
        <f t="shared" si="466"/>
        <v>0</v>
      </c>
      <c r="AC1442" s="74" t="str">
        <f t="shared" si="467"/>
        <v/>
      </c>
      <c r="AE1442" s="74" t="str">
        <f t="shared" si="468"/>
        <v/>
      </c>
      <c r="AF1442" s="74" t="str">
        <f t="shared" si="469"/>
        <v/>
      </c>
      <c r="AG1442" s="74" t="str">
        <f t="shared" si="470"/>
        <v/>
      </c>
      <c r="AH1442" s="74">
        <f t="shared" si="471"/>
        <v>0</v>
      </c>
      <c r="AI1442" s="74" t="str">
        <f>IF(AH1442&lt;&gt;0,COUNTIF(AH$3:AH1442,1),"")</f>
        <v/>
      </c>
      <c r="AJ1442" s="74">
        <f t="shared" si="472"/>
        <v>0</v>
      </c>
      <c r="AK1442" s="73" t="str">
        <f t="shared" si="473"/>
        <v/>
      </c>
      <c r="AL1442" s="73" t="str">
        <f t="shared" si="474"/>
        <v/>
      </c>
      <c r="AM1442" s="73" t="str">
        <f t="shared" si="475"/>
        <v/>
      </c>
      <c r="AN1442" s="73" t="str">
        <f t="shared" si="476"/>
        <v/>
      </c>
    </row>
    <row r="1443" spans="16:40" x14ac:dyDescent="0.25">
      <c r="P1443" s="73" t="str">
        <f t="shared" si="460"/>
        <v/>
      </c>
      <c r="Q1443" s="73" t="str">
        <f t="shared" si="461"/>
        <v/>
      </c>
      <c r="R1443" s="74" t="str">
        <f t="shared" si="462"/>
        <v/>
      </c>
      <c r="S1443" s="74" t="str">
        <f t="shared" si="463"/>
        <v/>
      </c>
      <c r="U1443" s="74" t="str">
        <f t="shared" si="477"/>
        <v/>
      </c>
      <c r="V1443" s="74" t="str">
        <f t="shared" si="477"/>
        <v/>
      </c>
      <c r="W1443" s="74" t="str">
        <f t="shared" si="477"/>
        <v/>
      </c>
      <c r="X1443" s="74" t="str">
        <f t="shared" si="477"/>
        <v/>
      </c>
      <c r="Y1443" s="74" t="str">
        <f t="shared" si="477"/>
        <v/>
      </c>
      <c r="Z1443" s="74" t="str">
        <f t="shared" si="464"/>
        <v/>
      </c>
      <c r="AA1443" s="74">
        <f t="shared" si="465"/>
        <v>0</v>
      </c>
      <c r="AB1443" s="74">
        <f t="shared" si="466"/>
        <v>0</v>
      </c>
      <c r="AC1443" s="74" t="str">
        <f t="shared" si="467"/>
        <v/>
      </c>
      <c r="AE1443" s="74" t="str">
        <f t="shared" si="468"/>
        <v/>
      </c>
      <c r="AF1443" s="74" t="str">
        <f t="shared" si="469"/>
        <v/>
      </c>
      <c r="AG1443" s="74" t="str">
        <f t="shared" si="470"/>
        <v/>
      </c>
      <c r="AH1443" s="74">
        <f t="shared" si="471"/>
        <v>0</v>
      </c>
      <c r="AI1443" s="74" t="str">
        <f>IF(AH1443&lt;&gt;0,COUNTIF(AH$3:AH1443,1),"")</f>
        <v/>
      </c>
      <c r="AJ1443" s="74">
        <f t="shared" si="472"/>
        <v>0</v>
      </c>
      <c r="AK1443" s="73" t="str">
        <f t="shared" si="473"/>
        <v/>
      </c>
      <c r="AL1443" s="73" t="str">
        <f t="shared" si="474"/>
        <v/>
      </c>
      <c r="AM1443" s="73" t="str">
        <f t="shared" si="475"/>
        <v/>
      </c>
      <c r="AN1443" s="73" t="str">
        <f t="shared" si="476"/>
        <v/>
      </c>
    </row>
    <row r="1444" spans="16:40" x14ac:dyDescent="0.25">
      <c r="P1444" s="73" t="str">
        <f t="shared" si="460"/>
        <v/>
      </c>
      <c r="Q1444" s="73" t="str">
        <f t="shared" si="461"/>
        <v/>
      </c>
      <c r="R1444" s="74" t="str">
        <f t="shared" si="462"/>
        <v/>
      </c>
      <c r="S1444" s="74" t="str">
        <f t="shared" si="463"/>
        <v/>
      </c>
      <c r="U1444" s="74" t="str">
        <f t="shared" si="477"/>
        <v/>
      </c>
      <c r="V1444" s="74" t="str">
        <f t="shared" si="477"/>
        <v/>
      </c>
      <c r="W1444" s="74" t="str">
        <f t="shared" si="477"/>
        <v/>
      </c>
      <c r="X1444" s="74" t="str">
        <f t="shared" si="477"/>
        <v/>
      </c>
      <c r="Y1444" s="74" t="str">
        <f t="shared" si="477"/>
        <v/>
      </c>
      <c r="Z1444" s="74" t="str">
        <f t="shared" si="464"/>
        <v/>
      </c>
      <c r="AA1444" s="74">
        <f t="shared" si="465"/>
        <v>0</v>
      </c>
      <c r="AB1444" s="74">
        <f t="shared" si="466"/>
        <v>0</v>
      </c>
      <c r="AC1444" s="74" t="str">
        <f t="shared" si="467"/>
        <v/>
      </c>
      <c r="AE1444" s="74" t="str">
        <f t="shared" si="468"/>
        <v/>
      </c>
      <c r="AF1444" s="74" t="str">
        <f t="shared" si="469"/>
        <v/>
      </c>
      <c r="AG1444" s="74" t="str">
        <f t="shared" si="470"/>
        <v/>
      </c>
      <c r="AH1444" s="74">
        <f t="shared" si="471"/>
        <v>0</v>
      </c>
      <c r="AI1444" s="74" t="str">
        <f>IF(AH1444&lt;&gt;0,COUNTIF(AH$3:AH1444,1),"")</f>
        <v/>
      </c>
      <c r="AJ1444" s="74">
        <f t="shared" si="472"/>
        <v>0</v>
      </c>
      <c r="AK1444" s="73" t="str">
        <f t="shared" si="473"/>
        <v/>
      </c>
      <c r="AL1444" s="73" t="str">
        <f t="shared" si="474"/>
        <v/>
      </c>
      <c r="AM1444" s="73" t="str">
        <f t="shared" si="475"/>
        <v/>
      </c>
      <c r="AN1444" s="73" t="str">
        <f t="shared" si="476"/>
        <v/>
      </c>
    </row>
    <row r="1445" spans="16:40" x14ac:dyDescent="0.25">
      <c r="P1445" s="73" t="str">
        <f t="shared" si="460"/>
        <v/>
      </c>
      <c r="Q1445" s="73" t="str">
        <f t="shared" si="461"/>
        <v/>
      </c>
      <c r="R1445" s="74" t="str">
        <f t="shared" si="462"/>
        <v/>
      </c>
      <c r="S1445" s="74" t="str">
        <f t="shared" si="463"/>
        <v/>
      </c>
      <c r="U1445" s="74" t="str">
        <f t="shared" si="477"/>
        <v/>
      </c>
      <c r="V1445" s="74" t="str">
        <f t="shared" si="477"/>
        <v/>
      </c>
      <c r="W1445" s="74" t="str">
        <f t="shared" si="477"/>
        <v/>
      </c>
      <c r="X1445" s="74" t="str">
        <f t="shared" si="477"/>
        <v/>
      </c>
      <c r="Y1445" s="74" t="str">
        <f t="shared" si="477"/>
        <v/>
      </c>
      <c r="Z1445" s="74" t="str">
        <f t="shared" si="464"/>
        <v/>
      </c>
      <c r="AA1445" s="74">
        <f t="shared" si="465"/>
        <v>0</v>
      </c>
      <c r="AB1445" s="74">
        <f t="shared" si="466"/>
        <v>0</v>
      </c>
      <c r="AC1445" s="74" t="str">
        <f t="shared" si="467"/>
        <v/>
      </c>
      <c r="AE1445" s="74" t="str">
        <f t="shared" si="468"/>
        <v/>
      </c>
      <c r="AF1445" s="74" t="str">
        <f t="shared" si="469"/>
        <v/>
      </c>
      <c r="AG1445" s="74" t="str">
        <f t="shared" si="470"/>
        <v/>
      </c>
      <c r="AH1445" s="74">
        <f t="shared" si="471"/>
        <v>0</v>
      </c>
      <c r="AI1445" s="74" t="str">
        <f>IF(AH1445&lt;&gt;0,COUNTIF(AH$3:AH1445,1),"")</f>
        <v/>
      </c>
      <c r="AJ1445" s="74">
        <f t="shared" si="472"/>
        <v>0</v>
      </c>
      <c r="AK1445" s="73" t="str">
        <f t="shared" si="473"/>
        <v/>
      </c>
      <c r="AL1445" s="73" t="str">
        <f t="shared" si="474"/>
        <v/>
      </c>
      <c r="AM1445" s="73" t="str">
        <f t="shared" si="475"/>
        <v/>
      </c>
      <c r="AN1445" s="73" t="str">
        <f t="shared" si="476"/>
        <v/>
      </c>
    </row>
    <row r="1446" spans="16:40" x14ac:dyDescent="0.25">
      <c r="P1446" s="73" t="str">
        <f t="shared" si="460"/>
        <v/>
      </c>
      <c r="Q1446" s="73" t="str">
        <f t="shared" si="461"/>
        <v/>
      </c>
      <c r="R1446" s="74" t="str">
        <f t="shared" si="462"/>
        <v/>
      </c>
      <c r="S1446" s="74" t="str">
        <f t="shared" si="463"/>
        <v/>
      </c>
      <c r="U1446" s="74" t="str">
        <f t="shared" si="477"/>
        <v/>
      </c>
      <c r="V1446" s="74" t="str">
        <f t="shared" si="477"/>
        <v/>
      </c>
      <c r="W1446" s="74" t="str">
        <f t="shared" si="477"/>
        <v/>
      </c>
      <c r="X1446" s="74" t="str">
        <f t="shared" si="477"/>
        <v/>
      </c>
      <c r="Y1446" s="74" t="str">
        <f t="shared" si="477"/>
        <v/>
      </c>
      <c r="Z1446" s="74" t="str">
        <f t="shared" si="464"/>
        <v/>
      </c>
      <c r="AA1446" s="74">
        <f t="shared" si="465"/>
        <v>0</v>
      </c>
      <c r="AB1446" s="74">
        <f t="shared" si="466"/>
        <v>0</v>
      </c>
      <c r="AC1446" s="74" t="str">
        <f t="shared" si="467"/>
        <v/>
      </c>
      <c r="AE1446" s="74" t="str">
        <f t="shared" si="468"/>
        <v/>
      </c>
      <c r="AF1446" s="74" t="str">
        <f t="shared" si="469"/>
        <v/>
      </c>
      <c r="AG1446" s="74" t="str">
        <f t="shared" si="470"/>
        <v/>
      </c>
      <c r="AH1446" s="74">
        <f t="shared" si="471"/>
        <v>0</v>
      </c>
      <c r="AI1446" s="74" t="str">
        <f>IF(AH1446&lt;&gt;0,COUNTIF(AH$3:AH1446,1),"")</f>
        <v/>
      </c>
      <c r="AJ1446" s="74">
        <f t="shared" si="472"/>
        <v>0</v>
      </c>
      <c r="AK1446" s="73" t="str">
        <f t="shared" si="473"/>
        <v/>
      </c>
      <c r="AL1446" s="73" t="str">
        <f t="shared" si="474"/>
        <v/>
      </c>
      <c r="AM1446" s="73" t="str">
        <f t="shared" si="475"/>
        <v/>
      </c>
      <c r="AN1446" s="73" t="str">
        <f t="shared" si="476"/>
        <v/>
      </c>
    </row>
    <row r="1447" spans="16:40" x14ac:dyDescent="0.25">
      <c r="P1447" s="73" t="str">
        <f t="shared" si="460"/>
        <v/>
      </c>
      <c r="Q1447" s="73" t="str">
        <f t="shared" si="461"/>
        <v/>
      </c>
      <c r="R1447" s="74" t="str">
        <f t="shared" si="462"/>
        <v/>
      </c>
      <c r="S1447" s="74" t="str">
        <f t="shared" si="463"/>
        <v/>
      </c>
      <c r="U1447" s="74" t="str">
        <f t="shared" si="477"/>
        <v/>
      </c>
      <c r="V1447" s="74" t="str">
        <f t="shared" si="477"/>
        <v/>
      </c>
      <c r="W1447" s="74" t="str">
        <f t="shared" si="477"/>
        <v/>
      </c>
      <c r="X1447" s="74" t="str">
        <f t="shared" si="477"/>
        <v/>
      </c>
      <c r="Y1447" s="74" t="str">
        <f t="shared" si="477"/>
        <v/>
      </c>
      <c r="Z1447" s="74" t="str">
        <f t="shared" si="464"/>
        <v/>
      </c>
      <c r="AA1447" s="74">
        <f t="shared" si="465"/>
        <v>0</v>
      </c>
      <c r="AB1447" s="74">
        <f t="shared" si="466"/>
        <v>0</v>
      </c>
      <c r="AC1447" s="74" t="str">
        <f t="shared" si="467"/>
        <v/>
      </c>
      <c r="AE1447" s="74" t="str">
        <f t="shared" si="468"/>
        <v/>
      </c>
      <c r="AF1447" s="74" t="str">
        <f t="shared" si="469"/>
        <v/>
      </c>
      <c r="AG1447" s="74" t="str">
        <f t="shared" si="470"/>
        <v/>
      </c>
      <c r="AH1447" s="74">
        <f t="shared" si="471"/>
        <v>0</v>
      </c>
      <c r="AI1447" s="74" t="str">
        <f>IF(AH1447&lt;&gt;0,COUNTIF(AH$3:AH1447,1),"")</f>
        <v/>
      </c>
      <c r="AJ1447" s="74">
        <f t="shared" si="472"/>
        <v>0</v>
      </c>
      <c r="AK1447" s="73" t="str">
        <f t="shared" si="473"/>
        <v/>
      </c>
      <c r="AL1447" s="73" t="str">
        <f t="shared" si="474"/>
        <v/>
      </c>
      <c r="AM1447" s="73" t="str">
        <f t="shared" si="475"/>
        <v/>
      </c>
      <c r="AN1447" s="73" t="str">
        <f t="shared" si="476"/>
        <v/>
      </c>
    </row>
    <row r="1448" spans="16:40" x14ac:dyDescent="0.25">
      <c r="P1448" s="73" t="str">
        <f t="shared" si="460"/>
        <v/>
      </c>
      <c r="Q1448" s="73" t="str">
        <f t="shared" si="461"/>
        <v/>
      </c>
      <c r="R1448" s="74" t="str">
        <f t="shared" si="462"/>
        <v/>
      </c>
      <c r="S1448" s="74" t="str">
        <f t="shared" si="463"/>
        <v/>
      </c>
      <c r="U1448" s="74" t="str">
        <f t="shared" si="477"/>
        <v/>
      </c>
      <c r="V1448" s="74" t="str">
        <f t="shared" si="477"/>
        <v/>
      </c>
      <c r="W1448" s="74" t="str">
        <f t="shared" si="477"/>
        <v/>
      </c>
      <c r="X1448" s="74" t="str">
        <f t="shared" si="477"/>
        <v/>
      </c>
      <c r="Y1448" s="74" t="str">
        <f t="shared" si="477"/>
        <v/>
      </c>
      <c r="Z1448" s="74" t="str">
        <f t="shared" si="464"/>
        <v/>
      </c>
      <c r="AA1448" s="74">
        <f t="shared" si="465"/>
        <v>0</v>
      </c>
      <c r="AB1448" s="74">
        <f t="shared" si="466"/>
        <v>0</v>
      </c>
      <c r="AC1448" s="74" t="str">
        <f t="shared" si="467"/>
        <v/>
      </c>
      <c r="AE1448" s="74" t="str">
        <f t="shared" si="468"/>
        <v/>
      </c>
      <c r="AF1448" s="74" t="str">
        <f t="shared" si="469"/>
        <v/>
      </c>
      <c r="AG1448" s="74" t="str">
        <f t="shared" si="470"/>
        <v/>
      </c>
      <c r="AH1448" s="74">
        <f t="shared" si="471"/>
        <v>0</v>
      </c>
      <c r="AI1448" s="74" t="str">
        <f>IF(AH1448&lt;&gt;0,COUNTIF(AH$3:AH1448,1),"")</f>
        <v/>
      </c>
      <c r="AJ1448" s="74">
        <f t="shared" si="472"/>
        <v>0</v>
      </c>
      <c r="AK1448" s="73" t="str">
        <f t="shared" si="473"/>
        <v/>
      </c>
      <c r="AL1448" s="73" t="str">
        <f t="shared" si="474"/>
        <v/>
      </c>
      <c r="AM1448" s="73" t="str">
        <f t="shared" si="475"/>
        <v/>
      </c>
      <c r="AN1448" s="73" t="str">
        <f t="shared" si="476"/>
        <v/>
      </c>
    </row>
    <row r="1449" spans="16:40" x14ac:dyDescent="0.25">
      <c r="P1449" s="73" t="str">
        <f t="shared" si="460"/>
        <v/>
      </c>
      <c r="Q1449" s="73" t="str">
        <f t="shared" si="461"/>
        <v/>
      </c>
      <c r="R1449" s="74" t="str">
        <f t="shared" si="462"/>
        <v/>
      </c>
      <c r="S1449" s="74" t="str">
        <f t="shared" si="463"/>
        <v/>
      </c>
      <c r="U1449" s="74" t="str">
        <f t="shared" si="477"/>
        <v/>
      </c>
      <c r="V1449" s="74" t="str">
        <f t="shared" si="477"/>
        <v/>
      </c>
      <c r="W1449" s="74" t="str">
        <f t="shared" si="477"/>
        <v/>
      </c>
      <c r="X1449" s="74" t="str">
        <f t="shared" si="477"/>
        <v/>
      </c>
      <c r="Y1449" s="74" t="str">
        <f t="shared" si="477"/>
        <v/>
      </c>
      <c r="Z1449" s="74" t="str">
        <f t="shared" si="464"/>
        <v/>
      </c>
      <c r="AA1449" s="74">
        <f t="shared" si="465"/>
        <v>0</v>
      </c>
      <c r="AB1449" s="74">
        <f t="shared" si="466"/>
        <v>0</v>
      </c>
      <c r="AC1449" s="74" t="str">
        <f t="shared" si="467"/>
        <v/>
      </c>
      <c r="AE1449" s="74" t="str">
        <f t="shared" si="468"/>
        <v/>
      </c>
      <c r="AF1449" s="74" t="str">
        <f t="shared" si="469"/>
        <v/>
      </c>
      <c r="AG1449" s="74" t="str">
        <f t="shared" si="470"/>
        <v/>
      </c>
      <c r="AH1449" s="74">
        <f t="shared" si="471"/>
        <v>0</v>
      </c>
      <c r="AI1449" s="74" t="str">
        <f>IF(AH1449&lt;&gt;0,COUNTIF(AH$3:AH1449,1),"")</f>
        <v/>
      </c>
      <c r="AJ1449" s="74">
        <f t="shared" si="472"/>
        <v>0</v>
      </c>
      <c r="AK1449" s="73" t="str">
        <f t="shared" si="473"/>
        <v/>
      </c>
      <c r="AL1449" s="73" t="str">
        <f t="shared" si="474"/>
        <v/>
      </c>
      <c r="AM1449" s="73" t="str">
        <f t="shared" si="475"/>
        <v/>
      </c>
      <c r="AN1449" s="73" t="str">
        <f t="shared" si="476"/>
        <v/>
      </c>
    </row>
    <row r="1450" spans="16:40" x14ac:dyDescent="0.25">
      <c r="P1450" s="73" t="str">
        <f t="shared" si="460"/>
        <v/>
      </c>
      <c r="Q1450" s="73" t="str">
        <f t="shared" si="461"/>
        <v/>
      </c>
      <c r="R1450" s="74" t="str">
        <f t="shared" si="462"/>
        <v/>
      </c>
      <c r="S1450" s="74" t="str">
        <f t="shared" si="463"/>
        <v/>
      </c>
      <c r="U1450" s="74" t="str">
        <f t="shared" si="477"/>
        <v/>
      </c>
      <c r="V1450" s="74" t="str">
        <f t="shared" si="477"/>
        <v/>
      </c>
      <c r="W1450" s="74" t="str">
        <f t="shared" si="477"/>
        <v/>
      </c>
      <c r="X1450" s="74" t="str">
        <f t="shared" si="477"/>
        <v/>
      </c>
      <c r="Y1450" s="74" t="str">
        <f t="shared" si="477"/>
        <v/>
      </c>
      <c r="Z1450" s="74" t="str">
        <f t="shared" si="464"/>
        <v/>
      </c>
      <c r="AA1450" s="74">
        <f t="shared" si="465"/>
        <v>0</v>
      </c>
      <c r="AB1450" s="74">
        <f t="shared" si="466"/>
        <v>0</v>
      </c>
      <c r="AC1450" s="74" t="str">
        <f t="shared" si="467"/>
        <v/>
      </c>
      <c r="AE1450" s="74" t="str">
        <f t="shared" si="468"/>
        <v/>
      </c>
      <c r="AF1450" s="74" t="str">
        <f t="shared" si="469"/>
        <v/>
      </c>
      <c r="AG1450" s="74" t="str">
        <f t="shared" si="470"/>
        <v/>
      </c>
      <c r="AH1450" s="74">
        <f t="shared" si="471"/>
        <v>0</v>
      </c>
      <c r="AI1450" s="74" t="str">
        <f>IF(AH1450&lt;&gt;0,COUNTIF(AH$3:AH1450,1),"")</f>
        <v/>
      </c>
      <c r="AJ1450" s="74">
        <f t="shared" si="472"/>
        <v>0</v>
      </c>
      <c r="AK1450" s="73" t="str">
        <f t="shared" si="473"/>
        <v/>
      </c>
      <c r="AL1450" s="73" t="str">
        <f t="shared" si="474"/>
        <v/>
      </c>
      <c r="AM1450" s="73" t="str">
        <f t="shared" si="475"/>
        <v/>
      </c>
      <c r="AN1450" s="73" t="str">
        <f t="shared" si="476"/>
        <v/>
      </c>
    </row>
    <row r="1451" spans="16:40" x14ac:dyDescent="0.25">
      <c r="P1451" s="73" t="str">
        <f t="shared" si="460"/>
        <v/>
      </c>
      <c r="Q1451" s="73" t="str">
        <f t="shared" si="461"/>
        <v/>
      </c>
      <c r="R1451" s="74" t="str">
        <f t="shared" si="462"/>
        <v/>
      </c>
      <c r="S1451" s="74" t="str">
        <f t="shared" si="463"/>
        <v/>
      </c>
      <c r="U1451" s="74" t="str">
        <f t="shared" si="477"/>
        <v/>
      </c>
      <c r="V1451" s="74" t="str">
        <f t="shared" si="477"/>
        <v/>
      </c>
      <c r="W1451" s="74" t="str">
        <f t="shared" si="477"/>
        <v/>
      </c>
      <c r="X1451" s="74" t="str">
        <f t="shared" si="477"/>
        <v/>
      </c>
      <c r="Y1451" s="74" t="str">
        <f t="shared" si="477"/>
        <v/>
      </c>
      <c r="Z1451" s="74" t="str">
        <f t="shared" si="464"/>
        <v/>
      </c>
      <c r="AA1451" s="74">
        <f t="shared" si="465"/>
        <v>0</v>
      </c>
      <c r="AB1451" s="74">
        <f t="shared" si="466"/>
        <v>0</v>
      </c>
      <c r="AC1451" s="74" t="str">
        <f t="shared" si="467"/>
        <v/>
      </c>
      <c r="AE1451" s="74" t="str">
        <f t="shared" si="468"/>
        <v/>
      </c>
      <c r="AF1451" s="74" t="str">
        <f t="shared" si="469"/>
        <v/>
      </c>
      <c r="AG1451" s="74" t="str">
        <f t="shared" si="470"/>
        <v/>
      </c>
      <c r="AH1451" s="74">
        <f t="shared" si="471"/>
        <v>0</v>
      </c>
      <c r="AI1451" s="74" t="str">
        <f>IF(AH1451&lt;&gt;0,COUNTIF(AH$3:AH1451,1),"")</f>
        <v/>
      </c>
      <c r="AJ1451" s="74">
        <f t="shared" si="472"/>
        <v>0</v>
      </c>
      <c r="AK1451" s="73" t="str">
        <f t="shared" si="473"/>
        <v/>
      </c>
      <c r="AL1451" s="73" t="str">
        <f t="shared" si="474"/>
        <v/>
      </c>
      <c r="AM1451" s="73" t="str">
        <f t="shared" si="475"/>
        <v/>
      </c>
      <c r="AN1451" s="73" t="str">
        <f t="shared" si="476"/>
        <v/>
      </c>
    </row>
    <row r="1452" spans="16:40" x14ac:dyDescent="0.25">
      <c r="P1452" s="73" t="str">
        <f t="shared" si="460"/>
        <v/>
      </c>
      <c r="Q1452" s="73" t="str">
        <f t="shared" si="461"/>
        <v/>
      </c>
      <c r="R1452" s="74" t="str">
        <f t="shared" si="462"/>
        <v/>
      </c>
      <c r="S1452" s="74" t="str">
        <f t="shared" si="463"/>
        <v/>
      </c>
      <c r="U1452" s="74" t="str">
        <f t="shared" si="477"/>
        <v/>
      </c>
      <c r="V1452" s="74" t="str">
        <f t="shared" si="477"/>
        <v/>
      </c>
      <c r="W1452" s="74" t="str">
        <f t="shared" si="477"/>
        <v/>
      </c>
      <c r="X1452" s="74" t="str">
        <f t="shared" si="477"/>
        <v/>
      </c>
      <c r="Y1452" s="74" t="str">
        <f t="shared" si="477"/>
        <v/>
      </c>
      <c r="Z1452" s="74" t="str">
        <f t="shared" si="464"/>
        <v/>
      </c>
      <c r="AA1452" s="74">
        <f t="shared" si="465"/>
        <v>0</v>
      </c>
      <c r="AB1452" s="74">
        <f t="shared" si="466"/>
        <v>0</v>
      </c>
      <c r="AC1452" s="74" t="str">
        <f t="shared" si="467"/>
        <v/>
      </c>
      <c r="AE1452" s="74" t="str">
        <f t="shared" si="468"/>
        <v/>
      </c>
      <c r="AF1452" s="74" t="str">
        <f t="shared" si="469"/>
        <v/>
      </c>
      <c r="AG1452" s="74" t="str">
        <f t="shared" si="470"/>
        <v/>
      </c>
      <c r="AH1452" s="74">
        <f t="shared" si="471"/>
        <v>0</v>
      </c>
      <c r="AI1452" s="74" t="str">
        <f>IF(AH1452&lt;&gt;0,COUNTIF(AH$3:AH1452,1),"")</f>
        <v/>
      </c>
      <c r="AJ1452" s="74">
        <f t="shared" si="472"/>
        <v>0</v>
      </c>
      <c r="AK1452" s="73" t="str">
        <f t="shared" si="473"/>
        <v/>
      </c>
      <c r="AL1452" s="73" t="str">
        <f t="shared" si="474"/>
        <v/>
      </c>
      <c r="AM1452" s="73" t="str">
        <f t="shared" si="475"/>
        <v/>
      </c>
      <c r="AN1452" s="73" t="str">
        <f t="shared" si="476"/>
        <v/>
      </c>
    </row>
    <row r="1453" spans="16:40" x14ac:dyDescent="0.25">
      <c r="P1453" s="73" t="str">
        <f t="shared" si="460"/>
        <v/>
      </c>
      <c r="Q1453" s="73" t="str">
        <f t="shared" si="461"/>
        <v/>
      </c>
      <c r="R1453" s="74" t="str">
        <f t="shared" si="462"/>
        <v/>
      </c>
      <c r="S1453" s="74" t="str">
        <f t="shared" si="463"/>
        <v/>
      </c>
      <c r="U1453" s="74" t="str">
        <f t="shared" si="477"/>
        <v/>
      </c>
      <c r="V1453" s="74" t="str">
        <f t="shared" si="477"/>
        <v/>
      </c>
      <c r="W1453" s="74" t="str">
        <f t="shared" si="477"/>
        <v/>
      </c>
      <c r="X1453" s="74" t="str">
        <f t="shared" si="477"/>
        <v/>
      </c>
      <c r="Y1453" s="74" t="str">
        <f t="shared" si="477"/>
        <v/>
      </c>
      <c r="Z1453" s="74" t="str">
        <f t="shared" si="464"/>
        <v/>
      </c>
      <c r="AA1453" s="74">
        <f t="shared" si="465"/>
        <v>0</v>
      </c>
      <c r="AB1453" s="74">
        <f t="shared" si="466"/>
        <v>0</v>
      </c>
      <c r="AC1453" s="74" t="str">
        <f t="shared" si="467"/>
        <v/>
      </c>
      <c r="AE1453" s="74" t="str">
        <f t="shared" si="468"/>
        <v/>
      </c>
      <c r="AF1453" s="74" t="str">
        <f t="shared" si="469"/>
        <v/>
      </c>
      <c r="AG1453" s="74" t="str">
        <f t="shared" si="470"/>
        <v/>
      </c>
      <c r="AH1453" s="74">
        <f t="shared" si="471"/>
        <v>0</v>
      </c>
      <c r="AI1453" s="74" t="str">
        <f>IF(AH1453&lt;&gt;0,COUNTIF(AH$3:AH1453,1),"")</f>
        <v/>
      </c>
      <c r="AJ1453" s="74">
        <f t="shared" si="472"/>
        <v>0</v>
      </c>
      <c r="AK1453" s="73" t="str">
        <f t="shared" si="473"/>
        <v/>
      </c>
      <c r="AL1453" s="73" t="str">
        <f t="shared" si="474"/>
        <v/>
      </c>
      <c r="AM1453" s="73" t="str">
        <f t="shared" si="475"/>
        <v/>
      </c>
      <c r="AN1453" s="73" t="str">
        <f t="shared" si="476"/>
        <v/>
      </c>
    </row>
    <row r="1454" spans="16:40" x14ac:dyDescent="0.25">
      <c r="P1454" s="73" t="str">
        <f t="shared" si="460"/>
        <v/>
      </c>
      <c r="Q1454" s="73" t="str">
        <f t="shared" si="461"/>
        <v/>
      </c>
      <c r="R1454" s="74" t="str">
        <f t="shared" si="462"/>
        <v/>
      </c>
      <c r="S1454" s="74" t="str">
        <f t="shared" si="463"/>
        <v/>
      </c>
      <c r="U1454" s="74" t="str">
        <f t="shared" si="477"/>
        <v/>
      </c>
      <c r="V1454" s="74" t="str">
        <f t="shared" si="477"/>
        <v/>
      </c>
      <c r="W1454" s="74" t="str">
        <f t="shared" si="477"/>
        <v/>
      </c>
      <c r="X1454" s="74" t="str">
        <f t="shared" si="477"/>
        <v/>
      </c>
      <c r="Y1454" s="74" t="str">
        <f t="shared" si="477"/>
        <v/>
      </c>
      <c r="Z1454" s="74" t="str">
        <f t="shared" si="464"/>
        <v/>
      </c>
      <c r="AA1454" s="74">
        <f t="shared" si="465"/>
        <v>0</v>
      </c>
      <c r="AB1454" s="74">
        <f t="shared" si="466"/>
        <v>0</v>
      </c>
      <c r="AC1454" s="74" t="str">
        <f t="shared" si="467"/>
        <v/>
      </c>
      <c r="AE1454" s="74" t="str">
        <f t="shared" si="468"/>
        <v/>
      </c>
      <c r="AF1454" s="74" t="str">
        <f t="shared" si="469"/>
        <v/>
      </c>
      <c r="AG1454" s="74" t="str">
        <f t="shared" si="470"/>
        <v/>
      </c>
      <c r="AH1454" s="74">
        <f t="shared" si="471"/>
        <v>0</v>
      </c>
      <c r="AI1454" s="74" t="str">
        <f>IF(AH1454&lt;&gt;0,COUNTIF(AH$3:AH1454,1),"")</f>
        <v/>
      </c>
      <c r="AJ1454" s="74">
        <f t="shared" si="472"/>
        <v>0</v>
      </c>
      <c r="AK1454" s="73" t="str">
        <f t="shared" si="473"/>
        <v/>
      </c>
      <c r="AL1454" s="73" t="str">
        <f t="shared" si="474"/>
        <v/>
      </c>
      <c r="AM1454" s="73" t="str">
        <f t="shared" si="475"/>
        <v/>
      </c>
      <c r="AN1454" s="73" t="str">
        <f t="shared" si="476"/>
        <v/>
      </c>
    </row>
    <row r="1455" spans="16:40" x14ac:dyDescent="0.25">
      <c r="P1455" s="73" t="str">
        <f t="shared" si="460"/>
        <v/>
      </c>
      <c r="Q1455" s="73" t="str">
        <f t="shared" si="461"/>
        <v/>
      </c>
      <c r="R1455" s="74" t="str">
        <f t="shared" si="462"/>
        <v/>
      </c>
      <c r="S1455" s="74" t="str">
        <f t="shared" si="463"/>
        <v/>
      </c>
      <c r="U1455" s="74" t="str">
        <f t="shared" si="477"/>
        <v/>
      </c>
      <c r="V1455" s="74" t="str">
        <f t="shared" si="477"/>
        <v/>
      </c>
      <c r="W1455" s="74" t="str">
        <f t="shared" si="477"/>
        <v/>
      </c>
      <c r="X1455" s="74" t="str">
        <f t="shared" si="477"/>
        <v/>
      </c>
      <c r="Y1455" s="74" t="str">
        <f t="shared" si="477"/>
        <v/>
      </c>
      <c r="Z1455" s="74" t="str">
        <f t="shared" si="464"/>
        <v/>
      </c>
      <c r="AA1455" s="74">
        <f t="shared" si="465"/>
        <v>0</v>
      </c>
      <c r="AB1455" s="74">
        <f t="shared" si="466"/>
        <v>0</v>
      </c>
      <c r="AC1455" s="74" t="str">
        <f t="shared" si="467"/>
        <v/>
      </c>
      <c r="AE1455" s="74" t="str">
        <f t="shared" si="468"/>
        <v/>
      </c>
      <c r="AF1455" s="74" t="str">
        <f t="shared" si="469"/>
        <v/>
      </c>
      <c r="AG1455" s="74" t="str">
        <f t="shared" si="470"/>
        <v/>
      </c>
      <c r="AH1455" s="74">
        <f t="shared" si="471"/>
        <v>0</v>
      </c>
      <c r="AI1455" s="74" t="str">
        <f>IF(AH1455&lt;&gt;0,COUNTIF(AH$3:AH1455,1),"")</f>
        <v/>
      </c>
      <c r="AJ1455" s="74">
        <f t="shared" si="472"/>
        <v>0</v>
      </c>
      <c r="AK1455" s="73" t="str">
        <f t="shared" si="473"/>
        <v/>
      </c>
      <c r="AL1455" s="73" t="str">
        <f t="shared" si="474"/>
        <v/>
      </c>
      <c r="AM1455" s="73" t="str">
        <f t="shared" si="475"/>
        <v/>
      </c>
      <c r="AN1455" s="73" t="str">
        <f t="shared" si="476"/>
        <v/>
      </c>
    </row>
    <row r="1456" spans="16:40" x14ac:dyDescent="0.25">
      <c r="P1456" s="73" t="str">
        <f t="shared" si="460"/>
        <v/>
      </c>
      <c r="Q1456" s="73" t="str">
        <f t="shared" si="461"/>
        <v/>
      </c>
      <c r="R1456" s="74" t="str">
        <f t="shared" si="462"/>
        <v/>
      </c>
      <c r="S1456" s="74" t="str">
        <f t="shared" si="463"/>
        <v/>
      </c>
      <c r="U1456" s="74" t="str">
        <f t="shared" si="477"/>
        <v/>
      </c>
      <c r="V1456" s="74" t="str">
        <f t="shared" si="477"/>
        <v/>
      </c>
      <c r="W1456" s="74" t="str">
        <f t="shared" si="477"/>
        <v/>
      </c>
      <c r="X1456" s="74" t="str">
        <f t="shared" si="477"/>
        <v/>
      </c>
      <c r="Y1456" s="74" t="str">
        <f t="shared" si="477"/>
        <v/>
      </c>
      <c r="Z1456" s="74" t="str">
        <f t="shared" si="464"/>
        <v/>
      </c>
      <c r="AA1456" s="74">
        <f t="shared" si="465"/>
        <v>0</v>
      </c>
      <c r="AB1456" s="74">
        <f t="shared" si="466"/>
        <v>0</v>
      </c>
      <c r="AC1456" s="74" t="str">
        <f t="shared" si="467"/>
        <v/>
      </c>
      <c r="AE1456" s="74" t="str">
        <f t="shared" si="468"/>
        <v/>
      </c>
      <c r="AF1456" s="74" t="str">
        <f t="shared" si="469"/>
        <v/>
      </c>
      <c r="AG1456" s="74" t="str">
        <f t="shared" si="470"/>
        <v/>
      </c>
      <c r="AH1456" s="74">
        <f t="shared" si="471"/>
        <v>0</v>
      </c>
      <c r="AI1456" s="74" t="str">
        <f>IF(AH1456&lt;&gt;0,COUNTIF(AH$3:AH1456,1),"")</f>
        <v/>
      </c>
      <c r="AJ1456" s="74">
        <f t="shared" si="472"/>
        <v>0</v>
      </c>
      <c r="AK1456" s="73" t="str">
        <f t="shared" si="473"/>
        <v/>
      </c>
      <c r="AL1456" s="73" t="str">
        <f t="shared" si="474"/>
        <v/>
      </c>
      <c r="AM1456" s="73" t="str">
        <f t="shared" si="475"/>
        <v/>
      </c>
      <c r="AN1456" s="73" t="str">
        <f t="shared" si="476"/>
        <v/>
      </c>
    </row>
    <row r="1457" spans="16:40" x14ac:dyDescent="0.25">
      <c r="P1457" s="73" t="str">
        <f t="shared" si="460"/>
        <v/>
      </c>
      <c r="Q1457" s="73" t="str">
        <f t="shared" si="461"/>
        <v/>
      </c>
      <c r="R1457" s="74" t="str">
        <f t="shared" si="462"/>
        <v/>
      </c>
      <c r="S1457" s="74" t="str">
        <f t="shared" si="463"/>
        <v/>
      </c>
      <c r="U1457" s="74" t="str">
        <f t="shared" si="477"/>
        <v/>
      </c>
      <c r="V1457" s="74" t="str">
        <f t="shared" si="477"/>
        <v/>
      </c>
      <c r="W1457" s="74" t="str">
        <f t="shared" si="477"/>
        <v/>
      </c>
      <c r="X1457" s="74" t="str">
        <f t="shared" si="477"/>
        <v/>
      </c>
      <c r="Y1457" s="74" t="str">
        <f t="shared" si="477"/>
        <v/>
      </c>
      <c r="Z1457" s="74" t="str">
        <f t="shared" si="464"/>
        <v/>
      </c>
      <c r="AA1457" s="74">
        <f t="shared" si="465"/>
        <v>0</v>
      </c>
      <c r="AB1457" s="74">
        <f t="shared" si="466"/>
        <v>0</v>
      </c>
      <c r="AC1457" s="74" t="str">
        <f t="shared" si="467"/>
        <v/>
      </c>
      <c r="AE1457" s="74" t="str">
        <f t="shared" si="468"/>
        <v/>
      </c>
      <c r="AF1457" s="74" t="str">
        <f t="shared" si="469"/>
        <v/>
      </c>
      <c r="AG1457" s="74" t="str">
        <f t="shared" si="470"/>
        <v/>
      </c>
      <c r="AH1457" s="74">
        <f t="shared" si="471"/>
        <v>0</v>
      </c>
      <c r="AI1457" s="74" t="str">
        <f>IF(AH1457&lt;&gt;0,COUNTIF(AH$3:AH1457,1),"")</f>
        <v/>
      </c>
      <c r="AJ1457" s="74">
        <f t="shared" si="472"/>
        <v>0</v>
      </c>
      <c r="AK1457" s="73" t="str">
        <f t="shared" si="473"/>
        <v/>
      </c>
      <c r="AL1457" s="73" t="str">
        <f t="shared" si="474"/>
        <v/>
      </c>
      <c r="AM1457" s="73" t="str">
        <f t="shared" si="475"/>
        <v/>
      </c>
      <c r="AN1457" s="73" t="str">
        <f t="shared" si="476"/>
        <v/>
      </c>
    </row>
    <row r="1458" spans="16:40" x14ac:dyDescent="0.25">
      <c r="P1458" s="73" t="str">
        <f t="shared" si="460"/>
        <v/>
      </c>
      <c r="Q1458" s="73" t="str">
        <f t="shared" si="461"/>
        <v/>
      </c>
      <c r="R1458" s="74" t="str">
        <f t="shared" si="462"/>
        <v/>
      </c>
      <c r="S1458" s="74" t="str">
        <f t="shared" si="463"/>
        <v/>
      </c>
      <c r="U1458" s="74" t="str">
        <f t="shared" si="477"/>
        <v/>
      </c>
      <c r="V1458" s="74" t="str">
        <f t="shared" si="477"/>
        <v/>
      </c>
      <c r="W1458" s="74" t="str">
        <f t="shared" si="477"/>
        <v/>
      </c>
      <c r="X1458" s="74" t="str">
        <f t="shared" si="477"/>
        <v/>
      </c>
      <c r="Y1458" s="74" t="str">
        <f t="shared" si="477"/>
        <v/>
      </c>
      <c r="Z1458" s="74" t="str">
        <f t="shared" si="464"/>
        <v/>
      </c>
      <c r="AA1458" s="74">
        <f t="shared" si="465"/>
        <v>0</v>
      </c>
      <c r="AB1458" s="74">
        <f t="shared" si="466"/>
        <v>0</v>
      </c>
      <c r="AC1458" s="74" t="str">
        <f t="shared" si="467"/>
        <v/>
      </c>
      <c r="AE1458" s="74" t="str">
        <f t="shared" si="468"/>
        <v/>
      </c>
      <c r="AF1458" s="74" t="str">
        <f t="shared" si="469"/>
        <v/>
      </c>
      <c r="AG1458" s="74" t="str">
        <f t="shared" si="470"/>
        <v/>
      </c>
      <c r="AH1458" s="74">
        <f t="shared" si="471"/>
        <v>0</v>
      </c>
      <c r="AI1458" s="74" t="str">
        <f>IF(AH1458&lt;&gt;0,COUNTIF(AH$3:AH1458,1),"")</f>
        <v/>
      </c>
      <c r="AJ1458" s="74">
        <f t="shared" si="472"/>
        <v>0</v>
      </c>
      <c r="AK1458" s="73" t="str">
        <f t="shared" si="473"/>
        <v/>
      </c>
      <c r="AL1458" s="73" t="str">
        <f t="shared" si="474"/>
        <v/>
      </c>
      <c r="AM1458" s="73" t="str">
        <f t="shared" si="475"/>
        <v/>
      </c>
      <c r="AN1458" s="73" t="str">
        <f t="shared" si="476"/>
        <v/>
      </c>
    </row>
    <row r="1459" spans="16:40" x14ac:dyDescent="0.25">
      <c r="P1459" s="73" t="str">
        <f t="shared" si="460"/>
        <v/>
      </c>
      <c r="Q1459" s="73" t="str">
        <f t="shared" si="461"/>
        <v/>
      </c>
      <c r="R1459" s="74" t="str">
        <f t="shared" si="462"/>
        <v/>
      </c>
      <c r="S1459" s="74" t="str">
        <f t="shared" si="463"/>
        <v/>
      </c>
      <c r="U1459" s="74" t="str">
        <f t="shared" si="477"/>
        <v/>
      </c>
      <c r="V1459" s="74" t="str">
        <f t="shared" si="477"/>
        <v/>
      </c>
      <c r="W1459" s="74" t="str">
        <f t="shared" si="477"/>
        <v/>
      </c>
      <c r="X1459" s="74" t="str">
        <f t="shared" si="477"/>
        <v/>
      </c>
      <c r="Y1459" s="74" t="str">
        <f t="shared" si="477"/>
        <v/>
      </c>
      <c r="Z1459" s="74" t="str">
        <f t="shared" si="464"/>
        <v/>
      </c>
      <c r="AA1459" s="74">
        <f t="shared" si="465"/>
        <v>0</v>
      </c>
      <c r="AB1459" s="74">
        <f t="shared" si="466"/>
        <v>0</v>
      </c>
      <c r="AC1459" s="74" t="str">
        <f t="shared" si="467"/>
        <v/>
      </c>
      <c r="AE1459" s="74" t="str">
        <f t="shared" si="468"/>
        <v/>
      </c>
      <c r="AF1459" s="74" t="str">
        <f t="shared" si="469"/>
        <v/>
      </c>
      <c r="AG1459" s="74" t="str">
        <f t="shared" si="470"/>
        <v/>
      </c>
      <c r="AH1459" s="74">
        <f t="shared" si="471"/>
        <v>0</v>
      </c>
      <c r="AI1459" s="74" t="str">
        <f>IF(AH1459&lt;&gt;0,COUNTIF(AH$3:AH1459,1),"")</f>
        <v/>
      </c>
      <c r="AJ1459" s="74">
        <f t="shared" si="472"/>
        <v>0</v>
      </c>
      <c r="AK1459" s="73" t="str">
        <f t="shared" si="473"/>
        <v/>
      </c>
      <c r="AL1459" s="73" t="str">
        <f t="shared" si="474"/>
        <v/>
      </c>
      <c r="AM1459" s="73" t="str">
        <f t="shared" si="475"/>
        <v/>
      </c>
      <c r="AN1459" s="73" t="str">
        <f t="shared" si="476"/>
        <v/>
      </c>
    </row>
    <row r="1460" spans="16:40" x14ac:dyDescent="0.25">
      <c r="P1460" s="73" t="str">
        <f t="shared" si="460"/>
        <v/>
      </c>
      <c r="Q1460" s="73" t="str">
        <f t="shared" si="461"/>
        <v/>
      </c>
      <c r="R1460" s="74" t="str">
        <f t="shared" si="462"/>
        <v/>
      </c>
      <c r="S1460" s="74" t="str">
        <f t="shared" si="463"/>
        <v/>
      </c>
      <c r="U1460" s="74" t="str">
        <f t="shared" si="477"/>
        <v/>
      </c>
      <c r="V1460" s="74" t="str">
        <f t="shared" si="477"/>
        <v/>
      </c>
      <c r="W1460" s="74" t="str">
        <f t="shared" si="477"/>
        <v/>
      </c>
      <c r="X1460" s="74" t="str">
        <f t="shared" si="477"/>
        <v/>
      </c>
      <c r="Y1460" s="74" t="str">
        <f t="shared" si="477"/>
        <v/>
      </c>
      <c r="Z1460" s="74" t="str">
        <f t="shared" si="464"/>
        <v/>
      </c>
      <c r="AA1460" s="74">
        <f t="shared" si="465"/>
        <v>0</v>
      </c>
      <c r="AB1460" s="74">
        <f t="shared" si="466"/>
        <v>0</v>
      </c>
      <c r="AC1460" s="74" t="str">
        <f t="shared" si="467"/>
        <v/>
      </c>
      <c r="AE1460" s="74" t="str">
        <f t="shared" si="468"/>
        <v/>
      </c>
      <c r="AF1460" s="74" t="str">
        <f t="shared" si="469"/>
        <v/>
      </c>
      <c r="AG1460" s="74" t="str">
        <f t="shared" si="470"/>
        <v/>
      </c>
      <c r="AH1460" s="74">
        <f t="shared" si="471"/>
        <v>0</v>
      </c>
      <c r="AI1460" s="74" t="str">
        <f>IF(AH1460&lt;&gt;0,COUNTIF(AH$3:AH1460,1),"")</f>
        <v/>
      </c>
      <c r="AJ1460" s="74">
        <f t="shared" si="472"/>
        <v>0</v>
      </c>
      <c r="AK1460" s="73" t="str">
        <f t="shared" si="473"/>
        <v/>
      </c>
      <c r="AL1460" s="73" t="str">
        <f t="shared" si="474"/>
        <v/>
      </c>
      <c r="AM1460" s="73" t="str">
        <f t="shared" si="475"/>
        <v/>
      </c>
      <c r="AN1460" s="73" t="str">
        <f t="shared" si="476"/>
        <v/>
      </c>
    </row>
    <row r="1461" spans="16:40" x14ac:dyDescent="0.25">
      <c r="P1461" s="73" t="str">
        <f t="shared" si="460"/>
        <v/>
      </c>
      <c r="Q1461" s="73" t="str">
        <f t="shared" si="461"/>
        <v/>
      </c>
      <c r="R1461" s="74" t="str">
        <f t="shared" si="462"/>
        <v/>
      </c>
      <c r="S1461" s="74" t="str">
        <f t="shared" si="463"/>
        <v/>
      </c>
      <c r="U1461" s="74" t="str">
        <f t="shared" si="477"/>
        <v/>
      </c>
      <c r="V1461" s="74" t="str">
        <f t="shared" si="477"/>
        <v/>
      </c>
      <c r="W1461" s="74" t="str">
        <f t="shared" si="477"/>
        <v/>
      </c>
      <c r="X1461" s="74" t="str">
        <f t="shared" si="477"/>
        <v/>
      </c>
      <c r="Y1461" s="74" t="str">
        <f t="shared" si="477"/>
        <v/>
      </c>
      <c r="Z1461" s="74" t="str">
        <f t="shared" si="464"/>
        <v/>
      </c>
      <c r="AA1461" s="74">
        <f t="shared" si="465"/>
        <v>0</v>
      </c>
      <c r="AB1461" s="74">
        <f t="shared" si="466"/>
        <v>0</v>
      </c>
      <c r="AC1461" s="74" t="str">
        <f t="shared" si="467"/>
        <v/>
      </c>
      <c r="AE1461" s="74" t="str">
        <f t="shared" si="468"/>
        <v/>
      </c>
      <c r="AF1461" s="74" t="str">
        <f t="shared" si="469"/>
        <v/>
      </c>
      <c r="AG1461" s="74" t="str">
        <f t="shared" si="470"/>
        <v/>
      </c>
      <c r="AH1461" s="74">
        <f t="shared" si="471"/>
        <v>0</v>
      </c>
      <c r="AI1461" s="74" t="str">
        <f>IF(AH1461&lt;&gt;0,COUNTIF(AH$3:AH1461,1),"")</f>
        <v/>
      </c>
      <c r="AJ1461" s="74">
        <f t="shared" si="472"/>
        <v>0</v>
      </c>
      <c r="AK1461" s="73" t="str">
        <f t="shared" si="473"/>
        <v/>
      </c>
      <c r="AL1461" s="73" t="str">
        <f t="shared" si="474"/>
        <v/>
      </c>
      <c r="AM1461" s="73" t="str">
        <f t="shared" si="475"/>
        <v/>
      </c>
      <c r="AN1461" s="73" t="str">
        <f t="shared" si="476"/>
        <v/>
      </c>
    </row>
    <row r="1462" spans="16:40" x14ac:dyDescent="0.25">
      <c r="P1462" s="73" t="str">
        <f t="shared" si="460"/>
        <v/>
      </c>
      <c r="Q1462" s="73" t="str">
        <f t="shared" si="461"/>
        <v/>
      </c>
      <c r="R1462" s="74" t="str">
        <f t="shared" si="462"/>
        <v/>
      </c>
      <c r="S1462" s="74" t="str">
        <f t="shared" si="463"/>
        <v/>
      </c>
      <c r="U1462" s="74" t="str">
        <f t="shared" si="477"/>
        <v/>
      </c>
      <c r="V1462" s="74" t="str">
        <f t="shared" si="477"/>
        <v/>
      </c>
      <c r="W1462" s="74" t="str">
        <f t="shared" si="477"/>
        <v/>
      </c>
      <c r="X1462" s="74" t="str">
        <f t="shared" si="477"/>
        <v/>
      </c>
      <c r="Y1462" s="74" t="str">
        <f t="shared" si="477"/>
        <v/>
      </c>
      <c r="Z1462" s="74" t="str">
        <f t="shared" si="464"/>
        <v/>
      </c>
      <c r="AA1462" s="74">
        <f t="shared" si="465"/>
        <v>0</v>
      </c>
      <c r="AB1462" s="74">
        <f t="shared" si="466"/>
        <v>0</v>
      </c>
      <c r="AC1462" s="74" t="str">
        <f t="shared" si="467"/>
        <v/>
      </c>
      <c r="AE1462" s="74" t="str">
        <f t="shared" si="468"/>
        <v/>
      </c>
      <c r="AF1462" s="74" t="str">
        <f t="shared" si="469"/>
        <v/>
      </c>
      <c r="AG1462" s="74" t="str">
        <f t="shared" si="470"/>
        <v/>
      </c>
      <c r="AH1462" s="74">
        <f t="shared" si="471"/>
        <v>0</v>
      </c>
      <c r="AI1462" s="74" t="str">
        <f>IF(AH1462&lt;&gt;0,COUNTIF(AH$3:AH1462,1),"")</f>
        <v/>
      </c>
      <c r="AJ1462" s="74">
        <f t="shared" si="472"/>
        <v>0</v>
      </c>
      <c r="AK1462" s="73" t="str">
        <f t="shared" si="473"/>
        <v/>
      </c>
      <c r="AL1462" s="73" t="str">
        <f t="shared" si="474"/>
        <v/>
      </c>
      <c r="AM1462" s="73" t="str">
        <f t="shared" si="475"/>
        <v/>
      </c>
      <c r="AN1462" s="73" t="str">
        <f t="shared" si="476"/>
        <v/>
      </c>
    </row>
    <row r="1463" spans="16:40" x14ac:dyDescent="0.25">
      <c r="P1463" s="73" t="str">
        <f t="shared" si="460"/>
        <v/>
      </c>
      <c r="Q1463" s="73" t="str">
        <f t="shared" si="461"/>
        <v/>
      </c>
      <c r="R1463" s="74" t="str">
        <f t="shared" si="462"/>
        <v/>
      </c>
      <c r="S1463" s="74" t="str">
        <f t="shared" si="463"/>
        <v/>
      </c>
      <c r="U1463" s="74" t="str">
        <f t="shared" si="477"/>
        <v/>
      </c>
      <c r="V1463" s="74" t="str">
        <f t="shared" si="477"/>
        <v/>
      </c>
      <c r="W1463" s="74" t="str">
        <f t="shared" si="477"/>
        <v/>
      </c>
      <c r="X1463" s="74" t="str">
        <f t="shared" si="477"/>
        <v/>
      </c>
      <c r="Y1463" s="74" t="str">
        <f t="shared" si="477"/>
        <v/>
      </c>
      <c r="Z1463" s="74" t="str">
        <f t="shared" si="464"/>
        <v/>
      </c>
      <c r="AA1463" s="74">
        <f t="shared" si="465"/>
        <v>0</v>
      </c>
      <c r="AB1463" s="74">
        <f t="shared" si="466"/>
        <v>0</v>
      </c>
      <c r="AC1463" s="74" t="str">
        <f t="shared" si="467"/>
        <v/>
      </c>
      <c r="AE1463" s="74" t="str">
        <f t="shared" si="468"/>
        <v/>
      </c>
      <c r="AF1463" s="74" t="str">
        <f t="shared" si="469"/>
        <v/>
      </c>
      <c r="AG1463" s="74" t="str">
        <f t="shared" si="470"/>
        <v/>
      </c>
      <c r="AH1463" s="74">
        <f t="shared" si="471"/>
        <v>0</v>
      </c>
      <c r="AI1463" s="74" t="str">
        <f>IF(AH1463&lt;&gt;0,COUNTIF(AH$3:AH1463,1),"")</f>
        <v/>
      </c>
      <c r="AJ1463" s="74">
        <f t="shared" si="472"/>
        <v>0</v>
      </c>
      <c r="AK1463" s="73" t="str">
        <f t="shared" si="473"/>
        <v/>
      </c>
      <c r="AL1463" s="73" t="str">
        <f t="shared" si="474"/>
        <v/>
      </c>
      <c r="AM1463" s="73" t="str">
        <f t="shared" si="475"/>
        <v/>
      </c>
      <c r="AN1463" s="73" t="str">
        <f t="shared" si="476"/>
        <v/>
      </c>
    </row>
    <row r="1464" spans="16:40" x14ac:dyDescent="0.25">
      <c r="P1464" s="73" t="str">
        <f t="shared" si="460"/>
        <v/>
      </c>
      <c r="Q1464" s="73" t="str">
        <f t="shared" si="461"/>
        <v/>
      </c>
      <c r="R1464" s="74" t="str">
        <f t="shared" si="462"/>
        <v/>
      </c>
      <c r="S1464" s="74" t="str">
        <f t="shared" si="463"/>
        <v/>
      </c>
      <c r="U1464" s="74" t="str">
        <f t="shared" si="477"/>
        <v/>
      </c>
      <c r="V1464" s="74" t="str">
        <f t="shared" si="477"/>
        <v/>
      </c>
      <c r="W1464" s="74" t="str">
        <f t="shared" si="477"/>
        <v/>
      </c>
      <c r="X1464" s="74" t="str">
        <f t="shared" si="477"/>
        <v/>
      </c>
      <c r="Y1464" s="74" t="str">
        <f t="shared" si="477"/>
        <v/>
      </c>
      <c r="Z1464" s="74" t="str">
        <f t="shared" si="464"/>
        <v/>
      </c>
      <c r="AA1464" s="74">
        <f t="shared" si="465"/>
        <v>0</v>
      </c>
      <c r="AB1464" s="74">
        <f t="shared" si="466"/>
        <v>0</v>
      </c>
      <c r="AC1464" s="74" t="str">
        <f t="shared" si="467"/>
        <v/>
      </c>
      <c r="AE1464" s="74" t="str">
        <f t="shared" si="468"/>
        <v/>
      </c>
      <c r="AF1464" s="74" t="str">
        <f t="shared" si="469"/>
        <v/>
      </c>
      <c r="AG1464" s="74" t="str">
        <f t="shared" si="470"/>
        <v/>
      </c>
      <c r="AH1464" s="74">
        <f t="shared" si="471"/>
        <v>0</v>
      </c>
      <c r="AI1464" s="74" t="str">
        <f>IF(AH1464&lt;&gt;0,COUNTIF(AH$3:AH1464,1),"")</f>
        <v/>
      </c>
      <c r="AJ1464" s="74">
        <f t="shared" si="472"/>
        <v>0</v>
      </c>
      <c r="AK1464" s="73" t="str">
        <f t="shared" si="473"/>
        <v/>
      </c>
      <c r="AL1464" s="73" t="str">
        <f t="shared" si="474"/>
        <v/>
      </c>
      <c r="AM1464" s="73" t="str">
        <f t="shared" si="475"/>
        <v/>
      </c>
      <c r="AN1464" s="73" t="str">
        <f t="shared" si="476"/>
        <v/>
      </c>
    </row>
    <row r="1465" spans="16:40" x14ac:dyDescent="0.25">
      <c r="P1465" s="73" t="str">
        <f t="shared" si="460"/>
        <v/>
      </c>
      <c r="Q1465" s="73" t="str">
        <f t="shared" si="461"/>
        <v/>
      </c>
      <c r="R1465" s="74" t="str">
        <f t="shared" si="462"/>
        <v/>
      </c>
      <c r="S1465" s="74" t="str">
        <f t="shared" si="463"/>
        <v/>
      </c>
      <c r="U1465" s="74" t="str">
        <f t="shared" ref="U1465:Y1515" si="478">IF($F1465=U$1,$E1465,"")</f>
        <v/>
      </c>
      <c r="V1465" s="74" t="str">
        <f t="shared" si="478"/>
        <v/>
      </c>
      <c r="W1465" s="74" t="str">
        <f t="shared" si="478"/>
        <v/>
      </c>
      <c r="X1465" s="74" t="str">
        <f t="shared" si="478"/>
        <v/>
      </c>
      <c r="Y1465" s="74" t="str">
        <f t="shared" si="478"/>
        <v/>
      </c>
      <c r="Z1465" s="74" t="str">
        <f t="shared" si="464"/>
        <v/>
      </c>
      <c r="AA1465" s="74">
        <f t="shared" si="465"/>
        <v>0</v>
      </c>
      <c r="AB1465" s="74">
        <f t="shared" si="466"/>
        <v>0</v>
      </c>
      <c r="AC1465" s="74" t="str">
        <f t="shared" si="467"/>
        <v/>
      </c>
      <c r="AE1465" s="74" t="str">
        <f t="shared" si="468"/>
        <v/>
      </c>
      <c r="AF1465" s="74" t="str">
        <f t="shared" si="469"/>
        <v/>
      </c>
      <c r="AG1465" s="74" t="str">
        <f t="shared" si="470"/>
        <v/>
      </c>
      <c r="AH1465" s="74">
        <f t="shared" si="471"/>
        <v>0</v>
      </c>
      <c r="AI1465" s="74" t="str">
        <f>IF(AH1465&lt;&gt;0,COUNTIF(AH$3:AH1465,1),"")</f>
        <v/>
      </c>
      <c r="AJ1465" s="74">
        <f t="shared" si="472"/>
        <v>0</v>
      </c>
      <c r="AK1465" s="73" t="str">
        <f t="shared" si="473"/>
        <v/>
      </c>
      <c r="AL1465" s="73" t="str">
        <f t="shared" si="474"/>
        <v/>
      </c>
      <c r="AM1465" s="73" t="str">
        <f t="shared" si="475"/>
        <v/>
      </c>
      <c r="AN1465" s="73" t="str">
        <f t="shared" si="476"/>
        <v/>
      </c>
    </row>
    <row r="1466" spans="16:40" x14ac:dyDescent="0.25">
      <c r="P1466" s="73" t="str">
        <f t="shared" si="460"/>
        <v/>
      </c>
      <c r="Q1466" s="73" t="str">
        <f t="shared" si="461"/>
        <v/>
      </c>
      <c r="R1466" s="74" t="str">
        <f t="shared" si="462"/>
        <v/>
      </c>
      <c r="S1466" s="74" t="str">
        <f t="shared" si="463"/>
        <v/>
      </c>
      <c r="U1466" s="74" t="str">
        <f t="shared" si="478"/>
        <v/>
      </c>
      <c r="V1466" s="74" t="str">
        <f t="shared" si="478"/>
        <v/>
      </c>
      <c r="W1466" s="74" t="str">
        <f t="shared" si="478"/>
        <v/>
      </c>
      <c r="X1466" s="74" t="str">
        <f t="shared" si="478"/>
        <v/>
      </c>
      <c r="Y1466" s="74" t="str">
        <f t="shared" si="478"/>
        <v/>
      </c>
      <c r="Z1466" s="74" t="str">
        <f t="shared" si="464"/>
        <v/>
      </c>
      <c r="AA1466" s="74">
        <f t="shared" si="465"/>
        <v>0</v>
      </c>
      <c r="AB1466" s="74">
        <f t="shared" si="466"/>
        <v>0</v>
      </c>
      <c r="AC1466" s="74" t="str">
        <f t="shared" si="467"/>
        <v/>
      </c>
      <c r="AE1466" s="74" t="str">
        <f t="shared" si="468"/>
        <v/>
      </c>
      <c r="AF1466" s="74" t="str">
        <f t="shared" si="469"/>
        <v/>
      </c>
      <c r="AG1466" s="74" t="str">
        <f t="shared" si="470"/>
        <v/>
      </c>
      <c r="AH1466" s="74">
        <f t="shared" si="471"/>
        <v>0</v>
      </c>
      <c r="AI1466" s="74" t="str">
        <f>IF(AH1466&lt;&gt;0,COUNTIF(AH$3:AH1466,1),"")</f>
        <v/>
      </c>
      <c r="AJ1466" s="74">
        <f t="shared" si="472"/>
        <v>0</v>
      </c>
      <c r="AK1466" s="73" t="str">
        <f t="shared" si="473"/>
        <v/>
      </c>
      <c r="AL1466" s="73" t="str">
        <f t="shared" si="474"/>
        <v/>
      </c>
      <c r="AM1466" s="73" t="str">
        <f t="shared" si="475"/>
        <v/>
      </c>
      <c r="AN1466" s="73" t="str">
        <f t="shared" si="476"/>
        <v/>
      </c>
    </row>
    <row r="1467" spans="16:40" x14ac:dyDescent="0.25">
      <c r="P1467" s="73" t="str">
        <f t="shared" si="460"/>
        <v/>
      </c>
      <c r="Q1467" s="73" t="str">
        <f t="shared" si="461"/>
        <v/>
      </c>
      <c r="R1467" s="74" t="str">
        <f t="shared" si="462"/>
        <v/>
      </c>
      <c r="S1467" s="74" t="str">
        <f t="shared" si="463"/>
        <v/>
      </c>
      <c r="U1467" s="74" t="str">
        <f t="shared" si="478"/>
        <v/>
      </c>
      <c r="V1467" s="74" t="str">
        <f t="shared" si="478"/>
        <v/>
      </c>
      <c r="W1467" s="74" t="str">
        <f t="shared" si="478"/>
        <v/>
      </c>
      <c r="X1467" s="74" t="str">
        <f t="shared" si="478"/>
        <v/>
      </c>
      <c r="Y1467" s="74" t="str">
        <f t="shared" si="478"/>
        <v/>
      </c>
      <c r="Z1467" s="74" t="str">
        <f t="shared" si="464"/>
        <v/>
      </c>
      <c r="AA1467" s="74">
        <f t="shared" si="465"/>
        <v>0</v>
      </c>
      <c r="AB1467" s="74">
        <f t="shared" si="466"/>
        <v>0</v>
      </c>
      <c r="AC1467" s="74" t="str">
        <f t="shared" si="467"/>
        <v/>
      </c>
      <c r="AE1467" s="74" t="str">
        <f t="shared" si="468"/>
        <v/>
      </c>
      <c r="AF1467" s="74" t="str">
        <f t="shared" si="469"/>
        <v/>
      </c>
      <c r="AG1467" s="74" t="str">
        <f t="shared" si="470"/>
        <v/>
      </c>
      <c r="AH1467" s="74">
        <f t="shared" si="471"/>
        <v>0</v>
      </c>
      <c r="AI1467" s="74" t="str">
        <f>IF(AH1467&lt;&gt;0,COUNTIF(AH$3:AH1467,1),"")</f>
        <v/>
      </c>
      <c r="AJ1467" s="74">
        <f t="shared" si="472"/>
        <v>0</v>
      </c>
      <c r="AK1467" s="73" t="str">
        <f t="shared" si="473"/>
        <v/>
      </c>
      <c r="AL1467" s="73" t="str">
        <f t="shared" si="474"/>
        <v/>
      </c>
      <c r="AM1467" s="73" t="str">
        <f t="shared" si="475"/>
        <v/>
      </c>
      <c r="AN1467" s="73" t="str">
        <f t="shared" si="476"/>
        <v/>
      </c>
    </row>
    <row r="1468" spans="16:40" x14ac:dyDescent="0.25">
      <c r="P1468" s="73" t="str">
        <f t="shared" si="460"/>
        <v/>
      </c>
      <c r="Q1468" s="73" t="str">
        <f t="shared" si="461"/>
        <v/>
      </c>
      <c r="R1468" s="74" t="str">
        <f t="shared" si="462"/>
        <v/>
      </c>
      <c r="S1468" s="74" t="str">
        <f t="shared" si="463"/>
        <v/>
      </c>
      <c r="U1468" s="74" t="str">
        <f t="shared" si="478"/>
        <v/>
      </c>
      <c r="V1468" s="74" t="str">
        <f t="shared" si="478"/>
        <v/>
      </c>
      <c r="W1468" s="74" t="str">
        <f t="shared" si="478"/>
        <v/>
      </c>
      <c r="X1468" s="74" t="str">
        <f t="shared" si="478"/>
        <v/>
      </c>
      <c r="Y1468" s="74" t="str">
        <f t="shared" si="478"/>
        <v/>
      </c>
      <c r="Z1468" s="74" t="str">
        <f t="shared" si="464"/>
        <v/>
      </c>
      <c r="AA1468" s="74">
        <f t="shared" si="465"/>
        <v>0</v>
      </c>
      <c r="AB1468" s="74">
        <f t="shared" si="466"/>
        <v>0</v>
      </c>
      <c r="AC1468" s="74" t="str">
        <f t="shared" si="467"/>
        <v/>
      </c>
      <c r="AE1468" s="74" t="str">
        <f t="shared" si="468"/>
        <v/>
      </c>
      <c r="AF1468" s="74" t="str">
        <f t="shared" si="469"/>
        <v/>
      </c>
      <c r="AG1468" s="74" t="str">
        <f t="shared" si="470"/>
        <v/>
      </c>
      <c r="AH1468" s="74">
        <f t="shared" si="471"/>
        <v>0</v>
      </c>
      <c r="AI1468" s="74" t="str">
        <f>IF(AH1468&lt;&gt;0,COUNTIF(AH$3:AH1468,1),"")</f>
        <v/>
      </c>
      <c r="AJ1468" s="74">
        <f t="shared" si="472"/>
        <v>0</v>
      </c>
      <c r="AK1468" s="73" t="str">
        <f t="shared" si="473"/>
        <v/>
      </c>
      <c r="AL1468" s="73" t="str">
        <f t="shared" si="474"/>
        <v/>
      </c>
      <c r="AM1468" s="73" t="str">
        <f t="shared" si="475"/>
        <v/>
      </c>
      <c r="AN1468" s="73" t="str">
        <f t="shared" si="476"/>
        <v/>
      </c>
    </row>
    <row r="1469" spans="16:40" x14ac:dyDescent="0.25">
      <c r="P1469" s="73" t="str">
        <f t="shared" si="460"/>
        <v/>
      </c>
      <c r="Q1469" s="73" t="str">
        <f t="shared" si="461"/>
        <v/>
      </c>
      <c r="R1469" s="74" t="str">
        <f t="shared" si="462"/>
        <v/>
      </c>
      <c r="S1469" s="74" t="str">
        <f t="shared" si="463"/>
        <v/>
      </c>
      <c r="U1469" s="74" t="str">
        <f t="shared" si="478"/>
        <v/>
      </c>
      <c r="V1469" s="74" t="str">
        <f t="shared" si="478"/>
        <v/>
      </c>
      <c r="W1469" s="74" t="str">
        <f t="shared" si="478"/>
        <v/>
      </c>
      <c r="X1469" s="74" t="str">
        <f t="shared" si="478"/>
        <v/>
      </c>
      <c r="Y1469" s="74" t="str">
        <f t="shared" si="478"/>
        <v/>
      </c>
      <c r="Z1469" s="74" t="str">
        <f t="shared" si="464"/>
        <v/>
      </c>
      <c r="AA1469" s="74">
        <f t="shared" si="465"/>
        <v>0</v>
      </c>
      <c r="AB1469" s="74">
        <f t="shared" si="466"/>
        <v>0</v>
      </c>
      <c r="AC1469" s="74" t="str">
        <f t="shared" si="467"/>
        <v/>
      </c>
      <c r="AE1469" s="74" t="str">
        <f t="shared" si="468"/>
        <v/>
      </c>
      <c r="AF1469" s="74" t="str">
        <f t="shared" si="469"/>
        <v/>
      </c>
      <c r="AG1469" s="74" t="str">
        <f t="shared" si="470"/>
        <v/>
      </c>
      <c r="AH1469" s="74">
        <f t="shared" si="471"/>
        <v>0</v>
      </c>
      <c r="AI1469" s="74" t="str">
        <f>IF(AH1469&lt;&gt;0,COUNTIF(AH$3:AH1469,1),"")</f>
        <v/>
      </c>
      <c r="AJ1469" s="74">
        <f t="shared" si="472"/>
        <v>0</v>
      </c>
      <c r="AK1469" s="73" t="str">
        <f t="shared" si="473"/>
        <v/>
      </c>
      <c r="AL1469" s="73" t="str">
        <f t="shared" si="474"/>
        <v/>
      </c>
      <c r="AM1469" s="73" t="str">
        <f t="shared" si="475"/>
        <v/>
      </c>
      <c r="AN1469" s="73" t="str">
        <f t="shared" si="476"/>
        <v/>
      </c>
    </row>
    <row r="1470" spans="16:40" x14ac:dyDescent="0.25">
      <c r="P1470" s="73" t="str">
        <f t="shared" ref="P1470:P1533" si="479">IF(N1470&lt;&gt;"",SUBSTITUTE(LEFT(N1470,FIND(";",N1470)),";",""),"")</f>
        <v/>
      </c>
      <c r="Q1470" s="73" t="str">
        <f t="shared" ref="Q1470:Q1533" si="480">IF(N1470&lt;&gt;"",SUBSTITUTE(RIGHT(N1470,FIND(";",N1470)),";",""),"")</f>
        <v/>
      </c>
      <c r="R1470" s="74" t="str">
        <f t="shared" ref="R1470:R1533" si="481">IF(O1470&lt;&gt;"",SUBSTITUTE(LEFT(O1470,FIND(";",O1470)),";",""),"")</f>
        <v/>
      </c>
      <c r="S1470" s="74" t="str">
        <f t="shared" ref="S1470:S1533" si="482">IF(O1470&lt;&gt;"",IFERROR(IF(FIND("OK",O1470)&gt;0,TRUE),FALSE),"")</f>
        <v/>
      </c>
      <c r="U1470" s="74" t="str">
        <f t="shared" si="478"/>
        <v/>
      </c>
      <c r="V1470" s="74" t="str">
        <f t="shared" si="478"/>
        <v/>
      </c>
      <c r="W1470" s="74" t="str">
        <f t="shared" si="478"/>
        <v/>
      </c>
      <c r="X1470" s="74" t="str">
        <f t="shared" si="478"/>
        <v/>
      </c>
      <c r="Y1470" s="74" t="str">
        <f t="shared" si="478"/>
        <v/>
      </c>
      <c r="Z1470" s="74" t="str">
        <f t="shared" ref="Z1470:Z1533" si="483">IF(G1470,E1470,"")</f>
        <v/>
      </c>
      <c r="AA1470" s="74">
        <f t="shared" ref="AA1470:AA1533" si="484">IF(G1470=FALSE,E1470,"")</f>
        <v>0</v>
      </c>
      <c r="AB1470" s="74">
        <f t="shared" ref="AB1470:AB1533" si="485">IF(G1470,1,0)</f>
        <v>0</v>
      </c>
      <c r="AC1470" s="74" t="str">
        <f t="shared" ref="AC1470:AC1533" si="486">IF(A1470&lt;&gt;"",IF(G1470,0,1),"")</f>
        <v/>
      </c>
      <c r="AE1470" s="74" t="str">
        <f t="shared" ref="AE1470:AE1533" si="487">IF(P1470&lt;&gt;"",IF(AND(_xlfn.NUMBERVALUE(P1470)&gt;25,_xlfn.NUMBERVALUE(P1470)&lt;38),TRUE,FALSE),"")</f>
        <v/>
      </c>
      <c r="AF1470" s="74" t="str">
        <f t="shared" ref="AF1470:AF1533" si="488">IF(Q1470&lt;&gt;"",IF(AND(_xlfn.NUMBERVALUE(Q1470)&gt;25,_xlfn.NUMBERVALUE(Q1470)&lt;38),TRUE,FALSE),"")</f>
        <v/>
      </c>
      <c r="AG1470" s="74" t="str">
        <f t="shared" ref="AG1470:AG1533" si="489">IF(R1470&lt;&gt;"",IF(AND(_xlfn.NUMBERVALUE(R1470)&gt;262,_xlfn.NUMBERVALUE(R1470)&lt;307),TRUE,FALSE),"")</f>
        <v/>
      </c>
      <c r="AH1470" s="74">
        <f t="shared" ref="AH1470:AH1533" si="490">IF(OR(AE1470=FALSE,AF1470=FALSE,AG1470=FALSE),1,0)</f>
        <v>0</v>
      </c>
      <c r="AI1470" s="74" t="str">
        <f>IF(AH1470&lt;&gt;0,COUNTIF(AH$3:AH1470,1),"")</f>
        <v/>
      </c>
      <c r="AJ1470" s="74">
        <f t="shared" ref="AJ1470:AJ1533" si="491">L1470</f>
        <v>0</v>
      </c>
      <c r="AK1470" s="73" t="str">
        <f t="shared" ref="AK1470:AK1533" si="492">P1470</f>
        <v/>
      </c>
      <c r="AL1470" s="73" t="str">
        <f t="shared" ref="AL1470:AL1533" si="493">Q1470</f>
        <v/>
      </c>
      <c r="AM1470" s="73" t="str">
        <f t="shared" ref="AM1470:AM1533" si="494">R1470</f>
        <v/>
      </c>
      <c r="AN1470" s="73" t="str">
        <f t="shared" ref="AN1470:AN1533" si="495">S1470</f>
        <v/>
      </c>
    </row>
    <row r="1471" spans="16:40" x14ac:dyDescent="0.25">
      <c r="P1471" s="73" t="str">
        <f t="shared" si="479"/>
        <v/>
      </c>
      <c r="Q1471" s="73" t="str">
        <f t="shared" si="480"/>
        <v/>
      </c>
      <c r="R1471" s="74" t="str">
        <f t="shared" si="481"/>
        <v/>
      </c>
      <c r="S1471" s="74" t="str">
        <f t="shared" si="482"/>
        <v/>
      </c>
      <c r="U1471" s="74" t="str">
        <f t="shared" si="478"/>
        <v/>
      </c>
      <c r="V1471" s="74" t="str">
        <f t="shared" si="478"/>
        <v/>
      </c>
      <c r="W1471" s="74" t="str">
        <f t="shared" si="478"/>
        <v/>
      </c>
      <c r="X1471" s="74" t="str">
        <f t="shared" si="478"/>
        <v/>
      </c>
      <c r="Y1471" s="74" t="str">
        <f t="shared" si="478"/>
        <v/>
      </c>
      <c r="Z1471" s="74" t="str">
        <f t="shared" si="483"/>
        <v/>
      </c>
      <c r="AA1471" s="74">
        <f t="shared" si="484"/>
        <v>0</v>
      </c>
      <c r="AB1471" s="74">
        <f t="shared" si="485"/>
        <v>0</v>
      </c>
      <c r="AC1471" s="74" t="str">
        <f t="shared" si="486"/>
        <v/>
      </c>
      <c r="AE1471" s="74" t="str">
        <f t="shared" si="487"/>
        <v/>
      </c>
      <c r="AF1471" s="74" t="str">
        <f t="shared" si="488"/>
        <v/>
      </c>
      <c r="AG1471" s="74" t="str">
        <f t="shared" si="489"/>
        <v/>
      </c>
      <c r="AH1471" s="74">
        <f t="shared" si="490"/>
        <v>0</v>
      </c>
      <c r="AI1471" s="74" t="str">
        <f>IF(AH1471&lt;&gt;0,COUNTIF(AH$3:AH1471,1),"")</f>
        <v/>
      </c>
      <c r="AJ1471" s="74">
        <f t="shared" si="491"/>
        <v>0</v>
      </c>
      <c r="AK1471" s="73" t="str">
        <f t="shared" si="492"/>
        <v/>
      </c>
      <c r="AL1471" s="73" t="str">
        <f t="shared" si="493"/>
        <v/>
      </c>
      <c r="AM1471" s="73" t="str">
        <f t="shared" si="494"/>
        <v/>
      </c>
      <c r="AN1471" s="73" t="str">
        <f t="shared" si="495"/>
        <v/>
      </c>
    </row>
    <row r="1472" spans="16:40" x14ac:dyDescent="0.25">
      <c r="P1472" s="73" t="str">
        <f t="shared" si="479"/>
        <v/>
      </c>
      <c r="Q1472" s="73" t="str">
        <f t="shared" si="480"/>
        <v/>
      </c>
      <c r="R1472" s="74" t="str">
        <f t="shared" si="481"/>
        <v/>
      </c>
      <c r="S1472" s="74" t="str">
        <f t="shared" si="482"/>
        <v/>
      </c>
      <c r="U1472" s="74" t="str">
        <f t="shared" si="478"/>
        <v/>
      </c>
      <c r="V1472" s="74" t="str">
        <f t="shared" si="478"/>
        <v/>
      </c>
      <c r="W1472" s="74" t="str">
        <f t="shared" si="478"/>
        <v/>
      </c>
      <c r="X1472" s="74" t="str">
        <f t="shared" si="478"/>
        <v/>
      </c>
      <c r="Y1472" s="74" t="str">
        <f t="shared" si="478"/>
        <v/>
      </c>
      <c r="Z1472" s="74" t="str">
        <f t="shared" si="483"/>
        <v/>
      </c>
      <c r="AA1472" s="74">
        <f t="shared" si="484"/>
        <v>0</v>
      </c>
      <c r="AB1472" s="74">
        <f t="shared" si="485"/>
        <v>0</v>
      </c>
      <c r="AC1472" s="74" t="str">
        <f t="shared" si="486"/>
        <v/>
      </c>
      <c r="AE1472" s="74" t="str">
        <f t="shared" si="487"/>
        <v/>
      </c>
      <c r="AF1472" s="74" t="str">
        <f t="shared" si="488"/>
        <v/>
      </c>
      <c r="AG1472" s="74" t="str">
        <f t="shared" si="489"/>
        <v/>
      </c>
      <c r="AH1472" s="74">
        <f t="shared" si="490"/>
        <v>0</v>
      </c>
      <c r="AI1472" s="74" t="str">
        <f>IF(AH1472&lt;&gt;0,COUNTIF(AH$3:AH1472,1),"")</f>
        <v/>
      </c>
      <c r="AJ1472" s="74">
        <f t="shared" si="491"/>
        <v>0</v>
      </c>
      <c r="AK1472" s="73" t="str">
        <f t="shared" si="492"/>
        <v/>
      </c>
      <c r="AL1472" s="73" t="str">
        <f t="shared" si="493"/>
        <v/>
      </c>
      <c r="AM1472" s="73" t="str">
        <f t="shared" si="494"/>
        <v/>
      </c>
      <c r="AN1472" s="73" t="str">
        <f t="shared" si="495"/>
        <v/>
      </c>
    </row>
    <row r="1473" spans="16:40" x14ac:dyDescent="0.25">
      <c r="P1473" s="73" t="str">
        <f t="shared" si="479"/>
        <v/>
      </c>
      <c r="Q1473" s="73" t="str">
        <f t="shared" si="480"/>
        <v/>
      </c>
      <c r="R1473" s="74" t="str">
        <f t="shared" si="481"/>
        <v/>
      </c>
      <c r="S1473" s="74" t="str">
        <f t="shared" si="482"/>
        <v/>
      </c>
      <c r="U1473" s="74" t="str">
        <f t="shared" si="478"/>
        <v/>
      </c>
      <c r="V1473" s="74" t="str">
        <f t="shared" si="478"/>
        <v/>
      </c>
      <c r="W1473" s="74" t="str">
        <f t="shared" si="478"/>
        <v/>
      </c>
      <c r="X1473" s="74" t="str">
        <f t="shared" si="478"/>
        <v/>
      </c>
      <c r="Y1473" s="74" t="str">
        <f t="shared" si="478"/>
        <v/>
      </c>
      <c r="Z1473" s="74" t="str">
        <f t="shared" si="483"/>
        <v/>
      </c>
      <c r="AA1473" s="74">
        <f t="shared" si="484"/>
        <v>0</v>
      </c>
      <c r="AB1473" s="74">
        <f t="shared" si="485"/>
        <v>0</v>
      </c>
      <c r="AC1473" s="74" t="str">
        <f t="shared" si="486"/>
        <v/>
      </c>
      <c r="AE1473" s="74" t="str">
        <f t="shared" si="487"/>
        <v/>
      </c>
      <c r="AF1473" s="74" t="str">
        <f t="shared" si="488"/>
        <v/>
      </c>
      <c r="AG1473" s="74" t="str">
        <f t="shared" si="489"/>
        <v/>
      </c>
      <c r="AH1473" s="74">
        <f t="shared" si="490"/>
        <v>0</v>
      </c>
      <c r="AI1473" s="74" t="str">
        <f>IF(AH1473&lt;&gt;0,COUNTIF(AH$3:AH1473,1),"")</f>
        <v/>
      </c>
      <c r="AJ1473" s="74">
        <f t="shared" si="491"/>
        <v>0</v>
      </c>
      <c r="AK1473" s="73" t="str">
        <f t="shared" si="492"/>
        <v/>
      </c>
      <c r="AL1473" s="73" t="str">
        <f t="shared" si="493"/>
        <v/>
      </c>
      <c r="AM1473" s="73" t="str">
        <f t="shared" si="494"/>
        <v/>
      </c>
      <c r="AN1473" s="73" t="str">
        <f t="shared" si="495"/>
        <v/>
      </c>
    </row>
    <row r="1474" spans="16:40" x14ac:dyDescent="0.25">
      <c r="P1474" s="73" t="str">
        <f t="shared" si="479"/>
        <v/>
      </c>
      <c r="Q1474" s="73" t="str">
        <f t="shared" si="480"/>
        <v/>
      </c>
      <c r="R1474" s="74" t="str">
        <f t="shared" si="481"/>
        <v/>
      </c>
      <c r="S1474" s="74" t="str">
        <f t="shared" si="482"/>
        <v/>
      </c>
      <c r="U1474" s="74" t="str">
        <f t="shared" si="478"/>
        <v/>
      </c>
      <c r="V1474" s="74" t="str">
        <f t="shared" si="478"/>
        <v/>
      </c>
      <c r="W1474" s="74" t="str">
        <f t="shared" si="478"/>
        <v/>
      </c>
      <c r="X1474" s="74" t="str">
        <f t="shared" si="478"/>
        <v/>
      </c>
      <c r="Y1474" s="74" t="str">
        <f t="shared" si="478"/>
        <v/>
      </c>
      <c r="Z1474" s="74" t="str">
        <f t="shared" si="483"/>
        <v/>
      </c>
      <c r="AA1474" s="74">
        <f t="shared" si="484"/>
        <v>0</v>
      </c>
      <c r="AB1474" s="74">
        <f t="shared" si="485"/>
        <v>0</v>
      </c>
      <c r="AC1474" s="74" t="str">
        <f t="shared" si="486"/>
        <v/>
      </c>
      <c r="AE1474" s="74" t="str">
        <f t="shared" si="487"/>
        <v/>
      </c>
      <c r="AF1474" s="74" t="str">
        <f t="shared" si="488"/>
        <v/>
      </c>
      <c r="AG1474" s="74" t="str">
        <f t="shared" si="489"/>
        <v/>
      </c>
      <c r="AH1474" s="74">
        <f t="shared" si="490"/>
        <v>0</v>
      </c>
      <c r="AI1474" s="74" t="str">
        <f>IF(AH1474&lt;&gt;0,COUNTIF(AH$3:AH1474,1),"")</f>
        <v/>
      </c>
      <c r="AJ1474" s="74">
        <f t="shared" si="491"/>
        <v>0</v>
      </c>
      <c r="AK1474" s="73" t="str">
        <f t="shared" si="492"/>
        <v/>
      </c>
      <c r="AL1474" s="73" t="str">
        <f t="shared" si="493"/>
        <v/>
      </c>
      <c r="AM1474" s="73" t="str">
        <f t="shared" si="494"/>
        <v/>
      </c>
      <c r="AN1474" s="73" t="str">
        <f t="shared" si="495"/>
        <v/>
      </c>
    </row>
    <row r="1475" spans="16:40" x14ac:dyDescent="0.25">
      <c r="P1475" s="73" t="str">
        <f t="shared" si="479"/>
        <v/>
      </c>
      <c r="Q1475" s="73" t="str">
        <f t="shared" si="480"/>
        <v/>
      </c>
      <c r="R1475" s="74" t="str">
        <f t="shared" si="481"/>
        <v/>
      </c>
      <c r="S1475" s="74" t="str">
        <f t="shared" si="482"/>
        <v/>
      </c>
      <c r="U1475" s="74" t="str">
        <f t="shared" si="478"/>
        <v/>
      </c>
      <c r="V1475" s="74" t="str">
        <f t="shared" si="478"/>
        <v/>
      </c>
      <c r="W1475" s="74" t="str">
        <f t="shared" si="478"/>
        <v/>
      </c>
      <c r="X1475" s="74" t="str">
        <f t="shared" si="478"/>
        <v/>
      </c>
      <c r="Y1475" s="74" t="str">
        <f t="shared" si="478"/>
        <v/>
      </c>
      <c r="Z1475" s="74" t="str">
        <f t="shared" si="483"/>
        <v/>
      </c>
      <c r="AA1475" s="74">
        <f t="shared" si="484"/>
        <v>0</v>
      </c>
      <c r="AB1475" s="74">
        <f t="shared" si="485"/>
        <v>0</v>
      </c>
      <c r="AC1475" s="74" t="str">
        <f t="shared" si="486"/>
        <v/>
      </c>
      <c r="AE1475" s="74" t="str">
        <f t="shared" si="487"/>
        <v/>
      </c>
      <c r="AF1475" s="74" t="str">
        <f t="shared" si="488"/>
        <v/>
      </c>
      <c r="AG1475" s="74" t="str">
        <f t="shared" si="489"/>
        <v/>
      </c>
      <c r="AH1475" s="74">
        <f t="shared" si="490"/>
        <v>0</v>
      </c>
      <c r="AI1475" s="74" t="str">
        <f>IF(AH1475&lt;&gt;0,COUNTIF(AH$3:AH1475,1),"")</f>
        <v/>
      </c>
      <c r="AJ1475" s="74">
        <f t="shared" si="491"/>
        <v>0</v>
      </c>
      <c r="AK1475" s="73" t="str">
        <f t="shared" si="492"/>
        <v/>
      </c>
      <c r="AL1475" s="73" t="str">
        <f t="shared" si="493"/>
        <v/>
      </c>
      <c r="AM1475" s="73" t="str">
        <f t="shared" si="494"/>
        <v/>
      </c>
      <c r="AN1475" s="73" t="str">
        <f t="shared" si="495"/>
        <v/>
      </c>
    </row>
    <row r="1476" spans="16:40" x14ac:dyDescent="0.25">
      <c r="P1476" s="73" t="str">
        <f t="shared" si="479"/>
        <v/>
      </c>
      <c r="Q1476" s="73" t="str">
        <f t="shared" si="480"/>
        <v/>
      </c>
      <c r="R1476" s="74" t="str">
        <f t="shared" si="481"/>
        <v/>
      </c>
      <c r="S1476" s="74" t="str">
        <f t="shared" si="482"/>
        <v/>
      </c>
      <c r="U1476" s="74" t="str">
        <f t="shared" si="478"/>
        <v/>
      </c>
      <c r="V1476" s="74" t="str">
        <f t="shared" si="478"/>
        <v/>
      </c>
      <c r="W1476" s="74" t="str">
        <f t="shared" si="478"/>
        <v/>
      </c>
      <c r="X1476" s="74" t="str">
        <f t="shared" si="478"/>
        <v/>
      </c>
      <c r="Y1476" s="74" t="str">
        <f t="shared" si="478"/>
        <v/>
      </c>
      <c r="Z1476" s="74" t="str">
        <f t="shared" si="483"/>
        <v/>
      </c>
      <c r="AA1476" s="74">
        <f t="shared" si="484"/>
        <v>0</v>
      </c>
      <c r="AB1476" s="74">
        <f t="shared" si="485"/>
        <v>0</v>
      </c>
      <c r="AC1476" s="74" t="str">
        <f t="shared" si="486"/>
        <v/>
      </c>
      <c r="AE1476" s="74" t="str">
        <f t="shared" si="487"/>
        <v/>
      </c>
      <c r="AF1476" s="74" t="str">
        <f t="shared" si="488"/>
        <v/>
      </c>
      <c r="AG1476" s="74" t="str">
        <f t="shared" si="489"/>
        <v/>
      </c>
      <c r="AH1476" s="74">
        <f t="shared" si="490"/>
        <v>0</v>
      </c>
      <c r="AI1476" s="74" t="str">
        <f>IF(AH1476&lt;&gt;0,COUNTIF(AH$3:AH1476,1),"")</f>
        <v/>
      </c>
      <c r="AJ1476" s="74">
        <f t="shared" si="491"/>
        <v>0</v>
      </c>
      <c r="AK1476" s="73" t="str">
        <f t="shared" si="492"/>
        <v/>
      </c>
      <c r="AL1476" s="73" t="str">
        <f t="shared" si="493"/>
        <v/>
      </c>
      <c r="AM1476" s="73" t="str">
        <f t="shared" si="494"/>
        <v/>
      </c>
      <c r="AN1476" s="73" t="str">
        <f t="shared" si="495"/>
        <v/>
      </c>
    </row>
    <row r="1477" spans="16:40" x14ac:dyDescent="0.25">
      <c r="P1477" s="73" t="str">
        <f t="shared" si="479"/>
        <v/>
      </c>
      <c r="Q1477" s="73" t="str">
        <f t="shared" si="480"/>
        <v/>
      </c>
      <c r="R1477" s="74" t="str">
        <f t="shared" si="481"/>
        <v/>
      </c>
      <c r="S1477" s="74" t="str">
        <f t="shared" si="482"/>
        <v/>
      </c>
      <c r="U1477" s="74" t="str">
        <f t="shared" si="478"/>
        <v/>
      </c>
      <c r="V1477" s="74" t="str">
        <f t="shared" si="478"/>
        <v/>
      </c>
      <c r="W1477" s="74" t="str">
        <f t="shared" si="478"/>
        <v/>
      </c>
      <c r="X1477" s="74" t="str">
        <f t="shared" si="478"/>
        <v/>
      </c>
      <c r="Y1477" s="74" t="str">
        <f t="shared" si="478"/>
        <v/>
      </c>
      <c r="Z1477" s="74" t="str">
        <f t="shared" si="483"/>
        <v/>
      </c>
      <c r="AA1477" s="74">
        <f t="shared" si="484"/>
        <v>0</v>
      </c>
      <c r="AB1477" s="74">
        <f t="shared" si="485"/>
        <v>0</v>
      </c>
      <c r="AC1477" s="74" t="str">
        <f t="shared" si="486"/>
        <v/>
      </c>
      <c r="AE1477" s="74" t="str">
        <f t="shared" si="487"/>
        <v/>
      </c>
      <c r="AF1477" s="74" t="str">
        <f t="shared" si="488"/>
        <v/>
      </c>
      <c r="AG1477" s="74" t="str">
        <f t="shared" si="489"/>
        <v/>
      </c>
      <c r="AH1477" s="74">
        <f t="shared" si="490"/>
        <v>0</v>
      </c>
      <c r="AI1477" s="74" t="str">
        <f>IF(AH1477&lt;&gt;0,COUNTIF(AH$3:AH1477,1),"")</f>
        <v/>
      </c>
      <c r="AJ1477" s="74">
        <f t="shared" si="491"/>
        <v>0</v>
      </c>
      <c r="AK1477" s="73" t="str">
        <f t="shared" si="492"/>
        <v/>
      </c>
      <c r="AL1477" s="73" t="str">
        <f t="shared" si="493"/>
        <v/>
      </c>
      <c r="AM1477" s="73" t="str">
        <f t="shared" si="494"/>
        <v/>
      </c>
      <c r="AN1477" s="73" t="str">
        <f t="shared" si="495"/>
        <v/>
      </c>
    </row>
    <row r="1478" spans="16:40" x14ac:dyDescent="0.25">
      <c r="P1478" s="73" t="str">
        <f t="shared" si="479"/>
        <v/>
      </c>
      <c r="Q1478" s="73" t="str">
        <f t="shared" si="480"/>
        <v/>
      </c>
      <c r="R1478" s="74" t="str">
        <f t="shared" si="481"/>
        <v/>
      </c>
      <c r="S1478" s="74" t="str">
        <f t="shared" si="482"/>
        <v/>
      </c>
      <c r="U1478" s="74" t="str">
        <f t="shared" si="478"/>
        <v/>
      </c>
      <c r="V1478" s="74" t="str">
        <f t="shared" si="478"/>
        <v/>
      </c>
      <c r="W1478" s="74" t="str">
        <f t="shared" si="478"/>
        <v/>
      </c>
      <c r="X1478" s="74" t="str">
        <f t="shared" si="478"/>
        <v/>
      </c>
      <c r="Y1478" s="74" t="str">
        <f t="shared" si="478"/>
        <v/>
      </c>
      <c r="Z1478" s="74" t="str">
        <f t="shared" si="483"/>
        <v/>
      </c>
      <c r="AA1478" s="74">
        <f t="shared" si="484"/>
        <v>0</v>
      </c>
      <c r="AB1478" s="74">
        <f t="shared" si="485"/>
        <v>0</v>
      </c>
      <c r="AC1478" s="74" t="str">
        <f t="shared" si="486"/>
        <v/>
      </c>
      <c r="AE1478" s="74" t="str">
        <f t="shared" si="487"/>
        <v/>
      </c>
      <c r="AF1478" s="74" t="str">
        <f t="shared" si="488"/>
        <v/>
      </c>
      <c r="AG1478" s="74" t="str">
        <f t="shared" si="489"/>
        <v/>
      </c>
      <c r="AH1478" s="74">
        <f t="shared" si="490"/>
        <v>0</v>
      </c>
      <c r="AI1478" s="74" t="str">
        <f>IF(AH1478&lt;&gt;0,COUNTIF(AH$3:AH1478,1),"")</f>
        <v/>
      </c>
      <c r="AJ1478" s="74">
        <f t="shared" si="491"/>
        <v>0</v>
      </c>
      <c r="AK1478" s="73" t="str">
        <f t="shared" si="492"/>
        <v/>
      </c>
      <c r="AL1478" s="73" t="str">
        <f t="shared" si="493"/>
        <v/>
      </c>
      <c r="AM1478" s="73" t="str">
        <f t="shared" si="494"/>
        <v/>
      </c>
      <c r="AN1478" s="73" t="str">
        <f t="shared" si="495"/>
        <v/>
      </c>
    </row>
    <row r="1479" spans="16:40" x14ac:dyDescent="0.25">
      <c r="P1479" s="73" t="str">
        <f t="shared" si="479"/>
        <v/>
      </c>
      <c r="Q1479" s="73" t="str">
        <f t="shared" si="480"/>
        <v/>
      </c>
      <c r="R1479" s="74" t="str">
        <f t="shared" si="481"/>
        <v/>
      </c>
      <c r="S1479" s="74" t="str">
        <f t="shared" si="482"/>
        <v/>
      </c>
      <c r="U1479" s="74" t="str">
        <f t="shared" si="478"/>
        <v/>
      </c>
      <c r="V1479" s="74" t="str">
        <f t="shared" si="478"/>
        <v/>
      </c>
      <c r="W1479" s="74" t="str">
        <f t="shared" si="478"/>
        <v/>
      </c>
      <c r="X1479" s="74" t="str">
        <f t="shared" si="478"/>
        <v/>
      </c>
      <c r="Y1479" s="74" t="str">
        <f t="shared" si="478"/>
        <v/>
      </c>
      <c r="Z1479" s="74" t="str">
        <f t="shared" si="483"/>
        <v/>
      </c>
      <c r="AA1479" s="74">
        <f t="shared" si="484"/>
        <v>0</v>
      </c>
      <c r="AB1479" s="74">
        <f t="shared" si="485"/>
        <v>0</v>
      </c>
      <c r="AC1479" s="74" t="str">
        <f t="shared" si="486"/>
        <v/>
      </c>
      <c r="AE1479" s="74" t="str">
        <f t="shared" si="487"/>
        <v/>
      </c>
      <c r="AF1479" s="74" t="str">
        <f t="shared" si="488"/>
        <v/>
      </c>
      <c r="AG1479" s="74" t="str">
        <f t="shared" si="489"/>
        <v/>
      </c>
      <c r="AH1479" s="74">
        <f t="shared" si="490"/>
        <v>0</v>
      </c>
      <c r="AI1479" s="74" t="str">
        <f>IF(AH1479&lt;&gt;0,COUNTIF(AH$3:AH1479,1),"")</f>
        <v/>
      </c>
      <c r="AJ1479" s="74">
        <f t="shared" si="491"/>
        <v>0</v>
      </c>
      <c r="AK1479" s="73" t="str">
        <f t="shared" si="492"/>
        <v/>
      </c>
      <c r="AL1479" s="73" t="str">
        <f t="shared" si="493"/>
        <v/>
      </c>
      <c r="AM1479" s="73" t="str">
        <f t="shared" si="494"/>
        <v/>
      </c>
      <c r="AN1479" s="73" t="str">
        <f t="shared" si="495"/>
        <v/>
      </c>
    </row>
    <row r="1480" spans="16:40" x14ac:dyDescent="0.25">
      <c r="P1480" s="73" t="str">
        <f t="shared" si="479"/>
        <v/>
      </c>
      <c r="Q1480" s="73" t="str">
        <f t="shared" si="480"/>
        <v/>
      </c>
      <c r="R1480" s="74" t="str">
        <f t="shared" si="481"/>
        <v/>
      </c>
      <c r="S1480" s="74" t="str">
        <f t="shared" si="482"/>
        <v/>
      </c>
      <c r="U1480" s="74" t="str">
        <f t="shared" si="478"/>
        <v/>
      </c>
      <c r="V1480" s="74" t="str">
        <f t="shared" si="478"/>
        <v/>
      </c>
      <c r="W1480" s="74" t="str">
        <f t="shared" si="478"/>
        <v/>
      </c>
      <c r="X1480" s="74" t="str">
        <f t="shared" si="478"/>
        <v/>
      </c>
      <c r="Y1480" s="74" t="str">
        <f t="shared" si="478"/>
        <v/>
      </c>
      <c r="Z1480" s="74" t="str">
        <f t="shared" si="483"/>
        <v/>
      </c>
      <c r="AA1480" s="74">
        <f t="shared" si="484"/>
        <v>0</v>
      </c>
      <c r="AB1480" s="74">
        <f t="shared" si="485"/>
        <v>0</v>
      </c>
      <c r="AC1480" s="74" t="str">
        <f t="shared" si="486"/>
        <v/>
      </c>
      <c r="AE1480" s="74" t="str">
        <f t="shared" si="487"/>
        <v/>
      </c>
      <c r="AF1480" s="74" t="str">
        <f t="shared" si="488"/>
        <v/>
      </c>
      <c r="AG1480" s="74" t="str">
        <f t="shared" si="489"/>
        <v/>
      </c>
      <c r="AH1480" s="74">
        <f t="shared" si="490"/>
        <v>0</v>
      </c>
      <c r="AI1480" s="74" t="str">
        <f>IF(AH1480&lt;&gt;0,COUNTIF(AH$3:AH1480,1),"")</f>
        <v/>
      </c>
      <c r="AJ1480" s="74">
        <f t="shared" si="491"/>
        <v>0</v>
      </c>
      <c r="AK1480" s="73" t="str">
        <f t="shared" si="492"/>
        <v/>
      </c>
      <c r="AL1480" s="73" t="str">
        <f t="shared" si="493"/>
        <v/>
      </c>
      <c r="AM1480" s="73" t="str">
        <f t="shared" si="494"/>
        <v/>
      </c>
      <c r="AN1480" s="73" t="str">
        <f t="shared" si="495"/>
        <v/>
      </c>
    </row>
    <row r="1481" spans="16:40" x14ac:dyDescent="0.25">
      <c r="P1481" s="73" t="str">
        <f t="shared" si="479"/>
        <v/>
      </c>
      <c r="Q1481" s="73" t="str">
        <f t="shared" si="480"/>
        <v/>
      </c>
      <c r="R1481" s="74" t="str">
        <f t="shared" si="481"/>
        <v/>
      </c>
      <c r="S1481" s="74" t="str">
        <f t="shared" si="482"/>
        <v/>
      </c>
      <c r="U1481" s="74" t="str">
        <f t="shared" si="478"/>
        <v/>
      </c>
      <c r="V1481" s="74" t="str">
        <f t="shared" si="478"/>
        <v/>
      </c>
      <c r="W1481" s="74" t="str">
        <f t="shared" si="478"/>
        <v/>
      </c>
      <c r="X1481" s="74" t="str">
        <f t="shared" si="478"/>
        <v/>
      </c>
      <c r="Y1481" s="74" t="str">
        <f t="shared" si="478"/>
        <v/>
      </c>
      <c r="Z1481" s="74" t="str">
        <f t="shared" si="483"/>
        <v/>
      </c>
      <c r="AA1481" s="74">
        <f t="shared" si="484"/>
        <v>0</v>
      </c>
      <c r="AB1481" s="74">
        <f t="shared" si="485"/>
        <v>0</v>
      </c>
      <c r="AC1481" s="74" t="str">
        <f t="shared" si="486"/>
        <v/>
      </c>
      <c r="AE1481" s="74" t="str">
        <f t="shared" si="487"/>
        <v/>
      </c>
      <c r="AF1481" s="74" t="str">
        <f t="shared" si="488"/>
        <v/>
      </c>
      <c r="AG1481" s="74" t="str">
        <f t="shared" si="489"/>
        <v/>
      </c>
      <c r="AH1481" s="74">
        <f t="shared" si="490"/>
        <v>0</v>
      </c>
      <c r="AI1481" s="74" t="str">
        <f>IF(AH1481&lt;&gt;0,COUNTIF(AH$3:AH1481,1),"")</f>
        <v/>
      </c>
      <c r="AJ1481" s="74">
        <f t="shared" si="491"/>
        <v>0</v>
      </c>
      <c r="AK1481" s="73" t="str">
        <f t="shared" si="492"/>
        <v/>
      </c>
      <c r="AL1481" s="73" t="str">
        <f t="shared" si="493"/>
        <v/>
      </c>
      <c r="AM1481" s="73" t="str">
        <f t="shared" si="494"/>
        <v/>
      </c>
      <c r="AN1481" s="73" t="str">
        <f t="shared" si="495"/>
        <v/>
      </c>
    </row>
    <row r="1482" spans="16:40" x14ac:dyDescent="0.25">
      <c r="P1482" s="73" t="str">
        <f t="shared" si="479"/>
        <v/>
      </c>
      <c r="Q1482" s="73" t="str">
        <f t="shared" si="480"/>
        <v/>
      </c>
      <c r="R1482" s="74" t="str">
        <f t="shared" si="481"/>
        <v/>
      </c>
      <c r="S1482" s="74" t="str">
        <f t="shared" si="482"/>
        <v/>
      </c>
      <c r="U1482" s="74" t="str">
        <f t="shared" si="478"/>
        <v/>
      </c>
      <c r="V1482" s="74" t="str">
        <f t="shared" si="478"/>
        <v/>
      </c>
      <c r="W1482" s="74" t="str">
        <f t="shared" si="478"/>
        <v/>
      </c>
      <c r="X1482" s="74" t="str">
        <f t="shared" si="478"/>
        <v/>
      </c>
      <c r="Y1482" s="74" t="str">
        <f t="shared" si="478"/>
        <v/>
      </c>
      <c r="Z1482" s="74" t="str">
        <f t="shared" si="483"/>
        <v/>
      </c>
      <c r="AA1482" s="74">
        <f t="shared" si="484"/>
        <v>0</v>
      </c>
      <c r="AB1482" s="74">
        <f t="shared" si="485"/>
        <v>0</v>
      </c>
      <c r="AC1482" s="74" t="str">
        <f t="shared" si="486"/>
        <v/>
      </c>
      <c r="AE1482" s="74" t="str">
        <f t="shared" si="487"/>
        <v/>
      </c>
      <c r="AF1482" s="74" t="str">
        <f t="shared" si="488"/>
        <v/>
      </c>
      <c r="AG1482" s="74" t="str">
        <f t="shared" si="489"/>
        <v/>
      </c>
      <c r="AH1482" s="74">
        <f t="shared" si="490"/>
        <v>0</v>
      </c>
      <c r="AI1482" s="74" t="str">
        <f>IF(AH1482&lt;&gt;0,COUNTIF(AH$3:AH1482,1),"")</f>
        <v/>
      </c>
      <c r="AJ1482" s="74">
        <f t="shared" si="491"/>
        <v>0</v>
      </c>
      <c r="AK1482" s="73" t="str">
        <f t="shared" si="492"/>
        <v/>
      </c>
      <c r="AL1482" s="73" t="str">
        <f t="shared" si="493"/>
        <v/>
      </c>
      <c r="AM1482" s="73" t="str">
        <f t="shared" si="494"/>
        <v/>
      </c>
      <c r="AN1482" s="73" t="str">
        <f t="shared" si="495"/>
        <v/>
      </c>
    </row>
    <row r="1483" spans="16:40" x14ac:dyDescent="0.25">
      <c r="P1483" s="73" t="str">
        <f t="shared" si="479"/>
        <v/>
      </c>
      <c r="Q1483" s="73" t="str">
        <f t="shared" si="480"/>
        <v/>
      </c>
      <c r="R1483" s="74" t="str">
        <f t="shared" si="481"/>
        <v/>
      </c>
      <c r="S1483" s="74" t="str">
        <f t="shared" si="482"/>
        <v/>
      </c>
      <c r="U1483" s="74" t="str">
        <f t="shared" si="478"/>
        <v/>
      </c>
      <c r="V1483" s="74" t="str">
        <f t="shared" si="478"/>
        <v/>
      </c>
      <c r="W1483" s="74" t="str">
        <f t="shared" si="478"/>
        <v/>
      </c>
      <c r="X1483" s="74" t="str">
        <f t="shared" si="478"/>
        <v/>
      </c>
      <c r="Y1483" s="74" t="str">
        <f t="shared" si="478"/>
        <v/>
      </c>
      <c r="Z1483" s="74" t="str">
        <f t="shared" si="483"/>
        <v/>
      </c>
      <c r="AA1483" s="74">
        <f t="shared" si="484"/>
        <v>0</v>
      </c>
      <c r="AB1483" s="74">
        <f t="shared" si="485"/>
        <v>0</v>
      </c>
      <c r="AC1483" s="74" t="str">
        <f t="shared" si="486"/>
        <v/>
      </c>
      <c r="AE1483" s="74" t="str">
        <f t="shared" si="487"/>
        <v/>
      </c>
      <c r="AF1483" s="74" t="str">
        <f t="shared" si="488"/>
        <v/>
      </c>
      <c r="AG1483" s="74" t="str">
        <f t="shared" si="489"/>
        <v/>
      </c>
      <c r="AH1483" s="74">
        <f t="shared" si="490"/>
        <v>0</v>
      </c>
      <c r="AI1483" s="74" t="str">
        <f>IF(AH1483&lt;&gt;0,COUNTIF(AH$3:AH1483,1),"")</f>
        <v/>
      </c>
      <c r="AJ1483" s="74">
        <f t="shared" si="491"/>
        <v>0</v>
      </c>
      <c r="AK1483" s="73" t="str">
        <f t="shared" si="492"/>
        <v/>
      </c>
      <c r="AL1483" s="73" t="str">
        <f t="shared" si="493"/>
        <v/>
      </c>
      <c r="AM1483" s="73" t="str">
        <f t="shared" si="494"/>
        <v/>
      </c>
      <c r="AN1483" s="73" t="str">
        <f t="shared" si="495"/>
        <v/>
      </c>
    </row>
    <row r="1484" spans="16:40" x14ac:dyDescent="0.25">
      <c r="P1484" s="73" t="str">
        <f t="shared" si="479"/>
        <v/>
      </c>
      <c r="Q1484" s="73" t="str">
        <f t="shared" si="480"/>
        <v/>
      </c>
      <c r="R1484" s="74" t="str">
        <f t="shared" si="481"/>
        <v/>
      </c>
      <c r="S1484" s="74" t="str">
        <f t="shared" si="482"/>
        <v/>
      </c>
      <c r="U1484" s="74" t="str">
        <f t="shared" si="478"/>
        <v/>
      </c>
      <c r="V1484" s="74" t="str">
        <f t="shared" si="478"/>
        <v/>
      </c>
      <c r="W1484" s="74" t="str">
        <f t="shared" si="478"/>
        <v/>
      </c>
      <c r="X1484" s="74" t="str">
        <f t="shared" si="478"/>
        <v/>
      </c>
      <c r="Y1484" s="74" t="str">
        <f t="shared" si="478"/>
        <v/>
      </c>
      <c r="Z1484" s="74" t="str">
        <f t="shared" si="483"/>
        <v/>
      </c>
      <c r="AA1484" s="74">
        <f t="shared" si="484"/>
        <v>0</v>
      </c>
      <c r="AB1484" s="74">
        <f t="shared" si="485"/>
        <v>0</v>
      </c>
      <c r="AC1484" s="74" t="str">
        <f t="shared" si="486"/>
        <v/>
      </c>
      <c r="AE1484" s="74" t="str">
        <f t="shared" si="487"/>
        <v/>
      </c>
      <c r="AF1484" s="74" t="str">
        <f t="shared" si="488"/>
        <v/>
      </c>
      <c r="AG1484" s="74" t="str">
        <f t="shared" si="489"/>
        <v/>
      </c>
      <c r="AH1484" s="74">
        <f t="shared" si="490"/>
        <v>0</v>
      </c>
      <c r="AI1484" s="74" t="str">
        <f>IF(AH1484&lt;&gt;0,COUNTIF(AH$3:AH1484,1),"")</f>
        <v/>
      </c>
      <c r="AJ1484" s="74">
        <f t="shared" si="491"/>
        <v>0</v>
      </c>
      <c r="AK1484" s="73" t="str">
        <f t="shared" si="492"/>
        <v/>
      </c>
      <c r="AL1484" s="73" t="str">
        <f t="shared" si="493"/>
        <v/>
      </c>
      <c r="AM1484" s="73" t="str">
        <f t="shared" si="494"/>
        <v/>
      </c>
      <c r="AN1484" s="73" t="str">
        <f t="shared" si="495"/>
        <v/>
      </c>
    </row>
    <row r="1485" spans="16:40" x14ac:dyDescent="0.25">
      <c r="P1485" s="73" t="str">
        <f t="shared" si="479"/>
        <v/>
      </c>
      <c r="Q1485" s="73" t="str">
        <f t="shared" si="480"/>
        <v/>
      </c>
      <c r="R1485" s="74" t="str">
        <f t="shared" si="481"/>
        <v/>
      </c>
      <c r="S1485" s="74" t="str">
        <f t="shared" si="482"/>
        <v/>
      </c>
      <c r="U1485" s="74" t="str">
        <f t="shared" si="478"/>
        <v/>
      </c>
      <c r="V1485" s="74" t="str">
        <f t="shared" si="478"/>
        <v/>
      </c>
      <c r="W1485" s="74" t="str">
        <f t="shared" si="478"/>
        <v/>
      </c>
      <c r="X1485" s="74" t="str">
        <f t="shared" si="478"/>
        <v/>
      </c>
      <c r="Y1485" s="74" t="str">
        <f t="shared" si="478"/>
        <v/>
      </c>
      <c r="Z1485" s="74" t="str">
        <f t="shared" si="483"/>
        <v/>
      </c>
      <c r="AA1485" s="74">
        <f t="shared" si="484"/>
        <v>0</v>
      </c>
      <c r="AB1485" s="74">
        <f t="shared" si="485"/>
        <v>0</v>
      </c>
      <c r="AC1485" s="74" t="str">
        <f t="shared" si="486"/>
        <v/>
      </c>
      <c r="AE1485" s="74" t="str">
        <f t="shared" si="487"/>
        <v/>
      </c>
      <c r="AF1485" s="74" t="str">
        <f t="shared" si="488"/>
        <v/>
      </c>
      <c r="AG1485" s="74" t="str">
        <f t="shared" si="489"/>
        <v/>
      </c>
      <c r="AH1485" s="74">
        <f t="shared" si="490"/>
        <v>0</v>
      </c>
      <c r="AI1485" s="74" t="str">
        <f>IF(AH1485&lt;&gt;0,COUNTIF(AH$3:AH1485,1),"")</f>
        <v/>
      </c>
      <c r="AJ1485" s="74">
        <f t="shared" si="491"/>
        <v>0</v>
      </c>
      <c r="AK1485" s="73" t="str">
        <f t="shared" si="492"/>
        <v/>
      </c>
      <c r="AL1485" s="73" t="str">
        <f t="shared" si="493"/>
        <v/>
      </c>
      <c r="AM1485" s="73" t="str">
        <f t="shared" si="494"/>
        <v/>
      </c>
      <c r="AN1485" s="73" t="str">
        <f t="shared" si="495"/>
        <v/>
      </c>
    </row>
    <row r="1486" spans="16:40" x14ac:dyDescent="0.25">
      <c r="P1486" s="73" t="str">
        <f t="shared" si="479"/>
        <v/>
      </c>
      <c r="Q1486" s="73" t="str">
        <f t="shared" si="480"/>
        <v/>
      </c>
      <c r="R1486" s="74" t="str">
        <f t="shared" si="481"/>
        <v/>
      </c>
      <c r="S1486" s="74" t="str">
        <f t="shared" si="482"/>
        <v/>
      </c>
      <c r="U1486" s="74" t="str">
        <f t="shared" si="478"/>
        <v/>
      </c>
      <c r="V1486" s="74" t="str">
        <f t="shared" si="478"/>
        <v/>
      </c>
      <c r="W1486" s="74" t="str">
        <f t="shared" si="478"/>
        <v/>
      </c>
      <c r="X1486" s="74" t="str">
        <f t="shared" si="478"/>
        <v/>
      </c>
      <c r="Y1486" s="74" t="str">
        <f t="shared" si="478"/>
        <v/>
      </c>
      <c r="Z1486" s="74" t="str">
        <f t="shared" si="483"/>
        <v/>
      </c>
      <c r="AA1486" s="74">
        <f t="shared" si="484"/>
        <v>0</v>
      </c>
      <c r="AB1486" s="74">
        <f t="shared" si="485"/>
        <v>0</v>
      </c>
      <c r="AC1486" s="74" t="str">
        <f t="shared" si="486"/>
        <v/>
      </c>
      <c r="AE1486" s="74" t="str">
        <f t="shared" si="487"/>
        <v/>
      </c>
      <c r="AF1486" s="74" t="str">
        <f t="shared" si="488"/>
        <v/>
      </c>
      <c r="AG1486" s="74" t="str">
        <f t="shared" si="489"/>
        <v/>
      </c>
      <c r="AH1486" s="74">
        <f t="shared" si="490"/>
        <v>0</v>
      </c>
      <c r="AI1486" s="74" t="str">
        <f>IF(AH1486&lt;&gt;0,COUNTIF(AH$3:AH1486,1),"")</f>
        <v/>
      </c>
      <c r="AJ1486" s="74">
        <f t="shared" si="491"/>
        <v>0</v>
      </c>
      <c r="AK1486" s="73" t="str">
        <f t="shared" si="492"/>
        <v/>
      </c>
      <c r="AL1486" s="73" t="str">
        <f t="shared" si="493"/>
        <v/>
      </c>
      <c r="AM1486" s="73" t="str">
        <f t="shared" si="494"/>
        <v/>
      </c>
      <c r="AN1486" s="73" t="str">
        <f t="shared" si="495"/>
        <v/>
      </c>
    </row>
    <row r="1487" spans="16:40" x14ac:dyDescent="0.25">
      <c r="P1487" s="73" t="str">
        <f t="shared" si="479"/>
        <v/>
      </c>
      <c r="Q1487" s="73" t="str">
        <f t="shared" si="480"/>
        <v/>
      </c>
      <c r="R1487" s="74" t="str">
        <f t="shared" si="481"/>
        <v/>
      </c>
      <c r="S1487" s="74" t="str">
        <f t="shared" si="482"/>
        <v/>
      </c>
      <c r="U1487" s="74" t="str">
        <f t="shared" si="478"/>
        <v/>
      </c>
      <c r="V1487" s="74" t="str">
        <f t="shared" si="478"/>
        <v/>
      </c>
      <c r="W1487" s="74" t="str">
        <f t="shared" si="478"/>
        <v/>
      </c>
      <c r="X1487" s="74" t="str">
        <f t="shared" si="478"/>
        <v/>
      </c>
      <c r="Y1487" s="74" t="str">
        <f t="shared" si="478"/>
        <v/>
      </c>
      <c r="Z1487" s="74" t="str">
        <f t="shared" si="483"/>
        <v/>
      </c>
      <c r="AA1487" s="74">
        <f t="shared" si="484"/>
        <v>0</v>
      </c>
      <c r="AB1487" s="74">
        <f t="shared" si="485"/>
        <v>0</v>
      </c>
      <c r="AC1487" s="74" t="str">
        <f t="shared" si="486"/>
        <v/>
      </c>
      <c r="AE1487" s="74" t="str">
        <f t="shared" si="487"/>
        <v/>
      </c>
      <c r="AF1487" s="74" t="str">
        <f t="shared" si="488"/>
        <v/>
      </c>
      <c r="AG1487" s="74" t="str">
        <f t="shared" si="489"/>
        <v/>
      </c>
      <c r="AH1487" s="74">
        <f t="shared" si="490"/>
        <v>0</v>
      </c>
      <c r="AI1487" s="74" t="str">
        <f>IF(AH1487&lt;&gt;0,COUNTIF(AH$3:AH1487,1),"")</f>
        <v/>
      </c>
      <c r="AJ1487" s="74">
        <f t="shared" si="491"/>
        <v>0</v>
      </c>
      <c r="AK1487" s="73" t="str">
        <f t="shared" si="492"/>
        <v/>
      </c>
      <c r="AL1487" s="73" t="str">
        <f t="shared" si="493"/>
        <v/>
      </c>
      <c r="AM1487" s="73" t="str">
        <f t="shared" si="494"/>
        <v/>
      </c>
      <c r="AN1487" s="73" t="str">
        <f t="shared" si="495"/>
        <v/>
      </c>
    </row>
    <row r="1488" spans="16:40" x14ac:dyDescent="0.25">
      <c r="P1488" s="73" t="str">
        <f t="shared" si="479"/>
        <v/>
      </c>
      <c r="Q1488" s="73" t="str">
        <f t="shared" si="480"/>
        <v/>
      </c>
      <c r="R1488" s="74" t="str">
        <f t="shared" si="481"/>
        <v/>
      </c>
      <c r="S1488" s="74" t="str">
        <f t="shared" si="482"/>
        <v/>
      </c>
      <c r="U1488" s="74" t="str">
        <f t="shared" si="478"/>
        <v/>
      </c>
      <c r="V1488" s="74" t="str">
        <f t="shared" si="478"/>
        <v/>
      </c>
      <c r="W1488" s="74" t="str">
        <f t="shared" si="478"/>
        <v/>
      </c>
      <c r="X1488" s="74" t="str">
        <f t="shared" si="478"/>
        <v/>
      </c>
      <c r="Y1488" s="74" t="str">
        <f t="shared" si="478"/>
        <v/>
      </c>
      <c r="Z1488" s="74" t="str">
        <f t="shared" si="483"/>
        <v/>
      </c>
      <c r="AA1488" s="74">
        <f t="shared" si="484"/>
        <v>0</v>
      </c>
      <c r="AB1488" s="74">
        <f t="shared" si="485"/>
        <v>0</v>
      </c>
      <c r="AC1488" s="74" t="str">
        <f t="shared" si="486"/>
        <v/>
      </c>
      <c r="AE1488" s="74" t="str">
        <f t="shared" si="487"/>
        <v/>
      </c>
      <c r="AF1488" s="74" t="str">
        <f t="shared" si="488"/>
        <v/>
      </c>
      <c r="AG1488" s="74" t="str">
        <f t="shared" si="489"/>
        <v/>
      </c>
      <c r="AH1488" s="74">
        <f t="shared" si="490"/>
        <v>0</v>
      </c>
      <c r="AI1488" s="74" t="str">
        <f>IF(AH1488&lt;&gt;0,COUNTIF(AH$3:AH1488,1),"")</f>
        <v/>
      </c>
      <c r="AJ1488" s="74">
        <f t="shared" si="491"/>
        <v>0</v>
      </c>
      <c r="AK1488" s="73" t="str">
        <f t="shared" si="492"/>
        <v/>
      </c>
      <c r="AL1488" s="73" t="str">
        <f t="shared" si="493"/>
        <v/>
      </c>
      <c r="AM1488" s="73" t="str">
        <f t="shared" si="494"/>
        <v/>
      </c>
      <c r="AN1488" s="73" t="str">
        <f t="shared" si="495"/>
        <v/>
      </c>
    </row>
    <row r="1489" spans="16:40" x14ac:dyDescent="0.25">
      <c r="P1489" s="73" t="str">
        <f t="shared" si="479"/>
        <v/>
      </c>
      <c r="Q1489" s="73" t="str">
        <f t="shared" si="480"/>
        <v/>
      </c>
      <c r="R1489" s="74" t="str">
        <f t="shared" si="481"/>
        <v/>
      </c>
      <c r="S1489" s="74" t="str">
        <f t="shared" si="482"/>
        <v/>
      </c>
      <c r="U1489" s="74" t="str">
        <f t="shared" si="478"/>
        <v/>
      </c>
      <c r="V1489" s="74" t="str">
        <f t="shared" si="478"/>
        <v/>
      </c>
      <c r="W1489" s="74" t="str">
        <f t="shared" si="478"/>
        <v/>
      </c>
      <c r="X1489" s="74" t="str">
        <f t="shared" si="478"/>
        <v/>
      </c>
      <c r="Y1489" s="74" t="str">
        <f t="shared" si="478"/>
        <v/>
      </c>
      <c r="Z1489" s="74" t="str">
        <f t="shared" si="483"/>
        <v/>
      </c>
      <c r="AA1489" s="74">
        <f t="shared" si="484"/>
        <v>0</v>
      </c>
      <c r="AB1489" s="74">
        <f t="shared" si="485"/>
        <v>0</v>
      </c>
      <c r="AC1489" s="74" t="str">
        <f t="shared" si="486"/>
        <v/>
      </c>
      <c r="AE1489" s="74" t="str">
        <f t="shared" si="487"/>
        <v/>
      </c>
      <c r="AF1489" s="74" t="str">
        <f t="shared" si="488"/>
        <v/>
      </c>
      <c r="AG1489" s="74" t="str">
        <f t="shared" si="489"/>
        <v/>
      </c>
      <c r="AH1489" s="74">
        <f t="shared" si="490"/>
        <v>0</v>
      </c>
      <c r="AI1489" s="74" t="str">
        <f>IF(AH1489&lt;&gt;0,COUNTIF(AH$3:AH1489,1),"")</f>
        <v/>
      </c>
      <c r="AJ1489" s="74">
        <f t="shared" si="491"/>
        <v>0</v>
      </c>
      <c r="AK1489" s="73" t="str">
        <f t="shared" si="492"/>
        <v/>
      </c>
      <c r="AL1489" s="73" t="str">
        <f t="shared" si="493"/>
        <v/>
      </c>
      <c r="AM1489" s="73" t="str">
        <f t="shared" si="494"/>
        <v/>
      </c>
      <c r="AN1489" s="73" t="str">
        <f t="shared" si="495"/>
        <v/>
      </c>
    </row>
    <row r="1490" spans="16:40" x14ac:dyDescent="0.25">
      <c r="P1490" s="73" t="str">
        <f t="shared" si="479"/>
        <v/>
      </c>
      <c r="Q1490" s="73" t="str">
        <f t="shared" si="480"/>
        <v/>
      </c>
      <c r="R1490" s="74" t="str">
        <f t="shared" si="481"/>
        <v/>
      </c>
      <c r="S1490" s="74" t="str">
        <f t="shared" si="482"/>
        <v/>
      </c>
      <c r="U1490" s="74" t="str">
        <f t="shared" si="478"/>
        <v/>
      </c>
      <c r="V1490" s="74" t="str">
        <f t="shared" si="478"/>
        <v/>
      </c>
      <c r="W1490" s="74" t="str">
        <f t="shared" si="478"/>
        <v/>
      </c>
      <c r="X1490" s="74" t="str">
        <f t="shared" si="478"/>
        <v/>
      </c>
      <c r="Y1490" s="74" t="str">
        <f t="shared" si="478"/>
        <v/>
      </c>
      <c r="Z1490" s="74" t="str">
        <f t="shared" si="483"/>
        <v/>
      </c>
      <c r="AA1490" s="74">
        <f t="shared" si="484"/>
        <v>0</v>
      </c>
      <c r="AB1490" s="74">
        <f t="shared" si="485"/>
        <v>0</v>
      </c>
      <c r="AC1490" s="74" t="str">
        <f t="shared" si="486"/>
        <v/>
      </c>
      <c r="AE1490" s="74" t="str">
        <f t="shared" si="487"/>
        <v/>
      </c>
      <c r="AF1490" s="74" t="str">
        <f t="shared" si="488"/>
        <v/>
      </c>
      <c r="AG1490" s="74" t="str">
        <f t="shared" si="489"/>
        <v/>
      </c>
      <c r="AH1490" s="74">
        <f t="shared" si="490"/>
        <v>0</v>
      </c>
      <c r="AI1490" s="74" t="str">
        <f>IF(AH1490&lt;&gt;0,COUNTIF(AH$3:AH1490,1),"")</f>
        <v/>
      </c>
      <c r="AJ1490" s="74">
        <f t="shared" si="491"/>
        <v>0</v>
      </c>
      <c r="AK1490" s="73" t="str">
        <f t="shared" si="492"/>
        <v/>
      </c>
      <c r="AL1490" s="73" t="str">
        <f t="shared" si="493"/>
        <v/>
      </c>
      <c r="AM1490" s="73" t="str">
        <f t="shared" si="494"/>
        <v/>
      </c>
      <c r="AN1490" s="73" t="str">
        <f t="shared" si="495"/>
        <v/>
      </c>
    </row>
    <row r="1491" spans="16:40" x14ac:dyDescent="0.25">
      <c r="P1491" s="73" t="str">
        <f t="shared" si="479"/>
        <v/>
      </c>
      <c r="Q1491" s="73" t="str">
        <f t="shared" si="480"/>
        <v/>
      </c>
      <c r="R1491" s="74" t="str">
        <f t="shared" si="481"/>
        <v/>
      </c>
      <c r="S1491" s="74" t="str">
        <f t="shared" si="482"/>
        <v/>
      </c>
      <c r="U1491" s="74" t="str">
        <f t="shared" si="478"/>
        <v/>
      </c>
      <c r="V1491" s="74" t="str">
        <f t="shared" si="478"/>
        <v/>
      </c>
      <c r="W1491" s="74" t="str">
        <f t="shared" si="478"/>
        <v/>
      </c>
      <c r="X1491" s="74" t="str">
        <f t="shared" si="478"/>
        <v/>
      </c>
      <c r="Y1491" s="74" t="str">
        <f t="shared" si="478"/>
        <v/>
      </c>
      <c r="Z1491" s="74" t="str">
        <f t="shared" si="483"/>
        <v/>
      </c>
      <c r="AA1491" s="74">
        <f t="shared" si="484"/>
        <v>0</v>
      </c>
      <c r="AB1491" s="74">
        <f t="shared" si="485"/>
        <v>0</v>
      </c>
      <c r="AC1491" s="74" t="str">
        <f t="shared" si="486"/>
        <v/>
      </c>
      <c r="AE1491" s="74" t="str">
        <f t="shared" si="487"/>
        <v/>
      </c>
      <c r="AF1491" s="74" t="str">
        <f t="shared" si="488"/>
        <v/>
      </c>
      <c r="AG1491" s="74" t="str">
        <f t="shared" si="489"/>
        <v/>
      </c>
      <c r="AH1491" s="74">
        <f t="shared" si="490"/>
        <v>0</v>
      </c>
      <c r="AI1491" s="74" t="str">
        <f>IF(AH1491&lt;&gt;0,COUNTIF(AH$3:AH1491,1),"")</f>
        <v/>
      </c>
      <c r="AJ1491" s="74">
        <f t="shared" si="491"/>
        <v>0</v>
      </c>
      <c r="AK1491" s="73" t="str">
        <f t="shared" si="492"/>
        <v/>
      </c>
      <c r="AL1491" s="73" t="str">
        <f t="shared" si="493"/>
        <v/>
      </c>
      <c r="AM1491" s="73" t="str">
        <f t="shared" si="494"/>
        <v/>
      </c>
      <c r="AN1491" s="73" t="str">
        <f t="shared" si="495"/>
        <v/>
      </c>
    </row>
    <row r="1492" spans="16:40" x14ac:dyDescent="0.25">
      <c r="P1492" s="73" t="str">
        <f t="shared" si="479"/>
        <v/>
      </c>
      <c r="Q1492" s="73" t="str">
        <f t="shared" si="480"/>
        <v/>
      </c>
      <c r="R1492" s="74" t="str">
        <f t="shared" si="481"/>
        <v/>
      </c>
      <c r="S1492" s="74" t="str">
        <f t="shared" si="482"/>
        <v/>
      </c>
      <c r="U1492" s="74" t="str">
        <f t="shared" si="478"/>
        <v/>
      </c>
      <c r="V1492" s="74" t="str">
        <f t="shared" si="478"/>
        <v/>
      </c>
      <c r="W1492" s="74" t="str">
        <f t="shared" si="478"/>
        <v/>
      </c>
      <c r="X1492" s="74" t="str">
        <f t="shared" si="478"/>
        <v/>
      </c>
      <c r="Y1492" s="74" t="str">
        <f t="shared" si="478"/>
        <v/>
      </c>
      <c r="Z1492" s="74" t="str">
        <f t="shared" si="483"/>
        <v/>
      </c>
      <c r="AA1492" s="74">
        <f t="shared" si="484"/>
        <v>0</v>
      </c>
      <c r="AB1492" s="74">
        <f t="shared" si="485"/>
        <v>0</v>
      </c>
      <c r="AC1492" s="74" t="str">
        <f t="shared" si="486"/>
        <v/>
      </c>
      <c r="AE1492" s="74" t="str">
        <f t="shared" si="487"/>
        <v/>
      </c>
      <c r="AF1492" s="74" t="str">
        <f t="shared" si="488"/>
        <v/>
      </c>
      <c r="AG1492" s="74" t="str">
        <f t="shared" si="489"/>
        <v/>
      </c>
      <c r="AH1492" s="74">
        <f t="shared" si="490"/>
        <v>0</v>
      </c>
      <c r="AI1492" s="74" t="str">
        <f>IF(AH1492&lt;&gt;0,COUNTIF(AH$3:AH1492,1),"")</f>
        <v/>
      </c>
      <c r="AJ1492" s="74">
        <f t="shared" si="491"/>
        <v>0</v>
      </c>
      <c r="AK1492" s="73" t="str">
        <f t="shared" si="492"/>
        <v/>
      </c>
      <c r="AL1492" s="73" t="str">
        <f t="shared" si="493"/>
        <v/>
      </c>
      <c r="AM1492" s="73" t="str">
        <f t="shared" si="494"/>
        <v/>
      </c>
      <c r="AN1492" s="73" t="str">
        <f t="shared" si="495"/>
        <v/>
      </c>
    </row>
    <row r="1493" spans="16:40" x14ac:dyDescent="0.25">
      <c r="P1493" s="73" t="str">
        <f t="shared" si="479"/>
        <v/>
      </c>
      <c r="Q1493" s="73" t="str">
        <f t="shared" si="480"/>
        <v/>
      </c>
      <c r="R1493" s="74" t="str">
        <f t="shared" si="481"/>
        <v/>
      </c>
      <c r="S1493" s="74" t="str">
        <f t="shared" si="482"/>
        <v/>
      </c>
      <c r="U1493" s="74" t="str">
        <f t="shared" si="478"/>
        <v/>
      </c>
      <c r="V1493" s="74" t="str">
        <f t="shared" si="478"/>
        <v/>
      </c>
      <c r="W1493" s="74" t="str">
        <f t="shared" si="478"/>
        <v/>
      </c>
      <c r="X1493" s="74" t="str">
        <f t="shared" si="478"/>
        <v/>
      </c>
      <c r="Y1493" s="74" t="str">
        <f t="shared" si="478"/>
        <v/>
      </c>
      <c r="Z1493" s="74" t="str">
        <f t="shared" si="483"/>
        <v/>
      </c>
      <c r="AA1493" s="74">
        <f t="shared" si="484"/>
        <v>0</v>
      </c>
      <c r="AB1493" s="74">
        <f t="shared" si="485"/>
        <v>0</v>
      </c>
      <c r="AC1493" s="74" t="str">
        <f t="shared" si="486"/>
        <v/>
      </c>
      <c r="AE1493" s="74" t="str">
        <f t="shared" si="487"/>
        <v/>
      </c>
      <c r="AF1493" s="74" t="str">
        <f t="shared" si="488"/>
        <v/>
      </c>
      <c r="AG1493" s="74" t="str">
        <f t="shared" si="489"/>
        <v/>
      </c>
      <c r="AH1493" s="74">
        <f t="shared" si="490"/>
        <v>0</v>
      </c>
      <c r="AI1493" s="74" t="str">
        <f>IF(AH1493&lt;&gt;0,COUNTIF(AH$3:AH1493,1),"")</f>
        <v/>
      </c>
      <c r="AJ1493" s="74">
        <f t="shared" si="491"/>
        <v>0</v>
      </c>
      <c r="AK1493" s="73" t="str">
        <f t="shared" si="492"/>
        <v/>
      </c>
      <c r="AL1493" s="73" t="str">
        <f t="shared" si="493"/>
        <v/>
      </c>
      <c r="AM1493" s="73" t="str">
        <f t="shared" si="494"/>
        <v/>
      </c>
      <c r="AN1493" s="73" t="str">
        <f t="shared" si="495"/>
        <v/>
      </c>
    </row>
    <row r="1494" spans="16:40" x14ac:dyDescent="0.25">
      <c r="P1494" s="73" t="str">
        <f t="shared" si="479"/>
        <v/>
      </c>
      <c r="Q1494" s="73" t="str">
        <f t="shared" si="480"/>
        <v/>
      </c>
      <c r="R1494" s="74" t="str">
        <f t="shared" si="481"/>
        <v/>
      </c>
      <c r="S1494" s="74" t="str">
        <f t="shared" si="482"/>
        <v/>
      </c>
      <c r="U1494" s="74" t="str">
        <f t="shared" si="478"/>
        <v/>
      </c>
      <c r="V1494" s="74" t="str">
        <f t="shared" si="478"/>
        <v/>
      </c>
      <c r="W1494" s="74" t="str">
        <f t="shared" si="478"/>
        <v/>
      </c>
      <c r="X1494" s="74" t="str">
        <f t="shared" si="478"/>
        <v/>
      </c>
      <c r="Y1494" s="74" t="str">
        <f t="shared" si="478"/>
        <v/>
      </c>
      <c r="Z1494" s="74" t="str">
        <f t="shared" si="483"/>
        <v/>
      </c>
      <c r="AA1494" s="74">
        <f t="shared" si="484"/>
        <v>0</v>
      </c>
      <c r="AB1494" s="74">
        <f t="shared" si="485"/>
        <v>0</v>
      </c>
      <c r="AC1494" s="74" t="str">
        <f t="shared" si="486"/>
        <v/>
      </c>
      <c r="AE1494" s="74" t="str">
        <f t="shared" si="487"/>
        <v/>
      </c>
      <c r="AF1494" s="74" t="str">
        <f t="shared" si="488"/>
        <v/>
      </c>
      <c r="AG1494" s="74" t="str">
        <f t="shared" si="489"/>
        <v/>
      </c>
      <c r="AH1494" s="74">
        <f t="shared" si="490"/>
        <v>0</v>
      </c>
      <c r="AI1494" s="74" t="str">
        <f>IF(AH1494&lt;&gt;0,COUNTIF(AH$3:AH1494,1),"")</f>
        <v/>
      </c>
      <c r="AJ1494" s="74">
        <f t="shared" si="491"/>
        <v>0</v>
      </c>
      <c r="AK1494" s="73" t="str">
        <f t="shared" si="492"/>
        <v/>
      </c>
      <c r="AL1494" s="73" t="str">
        <f t="shared" si="493"/>
        <v/>
      </c>
      <c r="AM1494" s="73" t="str">
        <f t="shared" si="494"/>
        <v/>
      </c>
      <c r="AN1494" s="73" t="str">
        <f t="shared" si="495"/>
        <v/>
      </c>
    </row>
    <row r="1495" spans="16:40" x14ac:dyDescent="0.25">
      <c r="P1495" s="73" t="str">
        <f t="shared" si="479"/>
        <v/>
      </c>
      <c r="Q1495" s="73" t="str">
        <f t="shared" si="480"/>
        <v/>
      </c>
      <c r="R1495" s="74" t="str">
        <f t="shared" si="481"/>
        <v/>
      </c>
      <c r="S1495" s="74" t="str">
        <f t="shared" si="482"/>
        <v/>
      </c>
      <c r="U1495" s="74" t="str">
        <f t="shared" si="478"/>
        <v/>
      </c>
      <c r="V1495" s="74" t="str">
        <f t="shared" si="478"/>
        <v/>
      </c>
      <c r="W1495" s="74" t="str">
        <f t="shared" si="478"/>
        <v/>
      </c>
      <c r="X1495" s="74" t="str">
        <f t="shared" si="478"/>
        <v/>
      </c>
      <c r="Y1495" s="74" t="str">
        <f t="shared" si="478"/>
        <v/>
      </c>
      <c r="Z1495" s="74" t="str">
        <f t="shared" si="483"/>
        <v/>
      </c>
      <c r="AA1495" s="74">
        <f t="shared" si="484"/>
        <v>0</v>
      </c>
      <c r="AB1495" s="74">
        <f t="shared" si="485"/>
        <v>0</v>
      </c>
      <c r="AC1495" s="74" t="str">
        <f t="shared" si="486"/>
        <v/>
      </c>
      <c r="AE1495" s="74" t="str">
        <f t="shared" si="487"/>
        <v/>
      </c>
      <c r="AF1495" s="74" t="str">
        <f t="shared" si="488"/>
        <v/>
      </c>
      <c r="AG1495" s="74" t="str">
        <f t="shared" si="489"/>
        <v/>
      </c>
      <c r="AH1495" s="74">
        <f t="shared" si="490"/>
        <v>0</v>
      </c>
      <c r="AI1495" s="74" t="str">
        <f>IF(AH1495&lt;&gt;0,COUNTIF(AH$3:AH1495,1),"")</f>
        <v/>
      </c>
      <c r="AJ1495" s="74">
        <f t="shared" si="491"/>
        <v>0</v>
      </c>
      <c r="AK1495" s="73" t="str">
        <f t="shared" si="492"/>
        <v/>
      </c>
      <c r="AL1495" s="73" t="str">
        <f t="shared" si="493"/>
        <v/>
      </c>
      <c r="AM1495" s="73" t="str">
        <f t="shared" si="494"/>
        <v/>
      </c>
      <c r="AN1495" s="73" t="str">
        <f t="shared" si="495"/>
        <v/>
      </c>
    </row>
    <row r="1496" spans="16:40" x14ac:dyDescent="0.25">
      <c r="P1496" s="73" t="str">
        <f t="shared" si="479"/>
        <v/>
      </c>
      <c r="Q1496" s="73" t="str">
        <f t="shared" si="480"/>
        <v/>
      </c>
      <c r="R1496" s="74" t="str">
        <f t="shared" si="481"/>
        <v/>
      </c>
      <c r="S1496" s="74" t="str">
        <f t="shared" si="482"/>
        <v/>
      </c>
      <c r="U1496" s="74" t="str">
        <f t="shared" si="478"/>
        <v/>
      </c>
      <c r="V1496" s="74" t="str">
        <f t="shared" si="478"/>
        <v/>
      </c>
      <c r="W1496" s="74" t="str">
        <f t="shared" si="478"/>
        <v/>
      </c>
      <c r="X1496" s="74" t="str">
        <f t="shared" si="478"/>
        <v/>
      </c>
      <c r="Y1496" s="74" t="str">
        <f t="shared" si="478"/>
        <v/>
      </c>
      <c r="Z1496" s="74" t="str">
        <f t="shared" si="483"/>
        <v/>
      </c>
      <c r="AA1496" s="74">
        <f t="shared" si="484"/>
        <v>0</v>
      </c>
      <c r="AB1496" s="74">
        <f t="shared" si="485"/>
        <v>0</v>
      </c>
      <c r="AC1496" s="74" t="str">
        <f t="shared" si="486"/>
        <v/>
      </c>
      <c r="AE1496" s="74" t="str">
        <f t="shared" si="487"/>
        <v/>
      </c>
      <c r="AF1496" s="74" t="str">
        <f t="shared" si="488"/>
        <v/>
      </c>
      <c r="AG1496" s="74" t="str">
        <f t="shared" si="489"/>
        <v/>
      </c>
      <c r="AH1496" s="74">
        <f t="shared" si="490"/>
        <v>0</v>
      </c>
      <c r="AI1496" s="74" t="str">
        <f>IF(AH1496&lt;&gt;0,COUNTIF(AH$3:AH1496,1),"")</f>
        <v/>
      </c>
      <c r="AJ1496" s="74">
        <f t="shared" si="491"/>
        <v>0</v>
      </c>
      <c r="AK1496" s="73" t="str">
        <f t="shared" si="492"/>
        <v/>
      </c>
      <c r="AL1496" s="73" t="str">
        <f t="shared" si="493"/>
        <v/>
      </c>
      <c r="AM1496" s="73" t="str">
        <f t="shared" si="494"/>
        <v/>
      </c>
      <c r="AN1496" s="73" t="str">
        <f t="shared" si="495"/>
        <v/>
      </c>
    </row>
    <row r="1497" spans="16:40" x14ac:dyDescent="0.25">
      <c r="P1497" s="73" t="str">
        <f t="shared" si="479"/>
        <v/>
      </c>
      <c r="Q1497" s="73" t="str">
        <f t="shared" si="480"/>
        <v/>
      </c>
      <c r="R1497" s="74" t="str">
        <f t="shared" si="481"/>
        <v/>
      </c>
      <c r="S1497" s="74" t="str">
        <f t="shared" si="482"/>
        <v/>
      </c>
      <c r="U1497" s="74" t="str">
        <f t="shared" si="478"/>
        <v/>
      </c>
      <c r="V1497" s="74" t="str">
        <f t="shared" si="478"/>
        <v/>
      </c>
      <c r="W1497" s="74" t="str">
        <f t="shared" si="478"/>
        <v/>
      </c>
      <c r="X1497" s="74" t="str">
        <f t="shared" si="478"/>
        <v/>
      </c>
      <c r="Y1497" s="74" t="str">
        <f t="shared" si="478"/>
        <v/>
      </c>
      <c r="Z1497" s="74" t="str">
        <f t="shared" si="483"/>
        <v/>
      </c>
      <c r="AA1497" s="74">
        <f t="shared" si="484"/>
        <v>0</v>
      </c>
      <c r="AB1497" s="74">
        <f t="shared" si="485"/>
        <v>0</v>
      </c>
      <c r="AC1497" s="74" t="str">
        <f t="shared" si="486"/>
        <v/>
      </c>
      <c r="AE1497" s="74" t="str">
        <f t="shared" si="487"/>
        <v/>
      </c>
      <c r="AF1497" s="74" t="str">
        <f t="shared" si="488"/>
        <v/>
      </c>
      <c r="AG1497" s="74" t="str">
        <f t="shared" si="489"/>
        <v/>
      </c>
      <c r="AH1497" s="74">
        <f t="shared" si="490"/>
        <v>0</v>
      </c>
      <c r="AI1497" s="74" t="str">
        <f>IF(AH1497&lt;&gt;0,COUNTIF(AH$3:AH1497,1),"")</f>
        <v/>
      </c>
      <c r="AJ1497" s="74">
        <f t="shared" si="491"/>
        <v>0</v>
      </c>
      <c r="AK1497" s="73" t="str">
        <f t="shared" si="492"/>
        <v/>
      </c>
      <c r="AL1497" s="73" t="str">
        <f t="shared" si="493"/>
        <v/>
      </c>
      <c r="AM1497" s="73" t="str">
        <f t="shared" si="494"/>
        <v/>
      </c>
      <c r="AN1497" s="73" t="str">
        <f t="shared" si="495"/>
        <v/>
      </c>
    </row>
    <row r="1498" spans="16:40" x14ac:dyDescent="0.25">
      <c r="P1498" s="73" t="str">
        <f t="shared" si="479"/>
        <v/>
      </c>
      <c r="Q1498" s="73" t="str">
        <f t="shared" si="480"/>
        <v/>
      </c>
      <c r="R1498" s="74" t="str">
        <f t="shared" si="481"/>
        <v/>
      </c>
      <c r="S1498" s="74" t="str">
        <f t="shared" si="482"/>
        <v/>
      </c>
      <c r="U1498" s="74" t="str">
        <f t="shared" si="478"/>
        <v/>
      </c>
      <c r="V1498" s="74" t="str">
        <f t="shared" si="478"/>
        <v/>
      </c>
      <c r="W1498" s="74" t="str">
        <f t="shared" si="478"/>
        <v/>
      </c>
      <c r="X1498" s="74" t="str">
        <f t="shared" si="478"/>
        <v/>
      </c>
      <c r="Y1498" s="74" t="str">
        <f t="shared" si="478"/>
        <v/>
      </c>
      <c r="Z1498" s="74" t="str">
        <f t="shared" si="483"/>
        <v/>
      </c>
      <c r="AA1498" s="74">
        <f t="shared" si="484"/>
        <v>0</v>
      </c>
      <c r="AB1498" s="74">
        <f t="shared" si="485"/>
        <v>0</v>
      </c>
      <c r="AC1498" s="74" t="str">
        <f t="shared" si="486"/>
        <v/>
      </c>
      <c r="AE1498" s="74" t="str">
        <f t="shared" si="487"/>
        <v/>
      </c>
      <c r="AF1498" s="74" t="str">
        <f t="shared" si="488"/>
        <v/>
      </c>
      <c r="AG1498" s="74" t="str">
        <f t="shared" si="489"/>
        <v/>
      </c>
      <c r="AH1498" s="74">
        <f t="shared" si="490"/>
        <v>0</v>
      </c>
      <c r="AI1498" s="74" t="str">
        <f>IF(AH1498&lt;&gt;0,COUNTIF(AH$3:AH1498,1),"")</f>
        <v/>
      </c>
      <c r="AJ1498" s="74">
        <f t="shared" si="491"/>
        <v>0</v>
      </c>
      <c r="AK1498" s="73" t="str">
        <f t="shared" si="492"/>
        <v/>
      </c>
      <c r="AL1498" s="73" t="str">
        <f t="shared" si="493"/>
        <v/>
      </c>
      <c r="AM1498" s="73" t="str">
        <f t="shared" si="494"/>
        <v/>
      </c>
      <c r="AN1498" s="73" t="str">
        <f t="shared" si="495"/>
        <v/>
      </c>
    </row>
    <row r="1499" spans="16:40" x14ac:dyDescent="0.25">
      <c r="P1499" s="73" t="str">
        <f t="shared" si="479"/>
        <v/>
      </c>
      <c r="Q1499" s="73" t="str">
        <f t="shared" si="480"/>
        <v/>
      </c>
      <c r="R1499" s="74" t="str">
        <f t="shared" si="481"/>
        <v/>
      </c>
      <c r="S1499" s="74" t="str">
        <f t="shared" si="482"/>
        <v/>
      </c>
      <c r="U1499" s="74" t="str">
        <f t="shared" si="478"/>
        <v/>
      </c>
      <c r="V1499" s="74" t="str">
        <f t="shared" si="478"/>
        <v/>
      </c>
      <c r="W1499" s="74" t="str">
        <f t="shared" si="478"/>
        <v/>
      </c>
      <c r="X1499" s="74" t="str">
        <f t="shared" si="478"/>
        <v/>
      </c>
      <c r="Y1499" s="74" t="str">
        <f t="shared" si="478"/>
        <v/>
      </c>
      <c r="Z1499" s="74" t="str">
        <f t="shared" si="483"/>
        <v/>
      </c>
      <c r="AA1499" s="74">
        <f t="shared" si="484"/>
        <v>0</v>
      </c>
      <c r="AB1499" s="74">
        <f t="shared" si="485"/>
        <v>0</v>
      </c>
      <c r="AC1499" s="74" t="str">
        <f t="shared" si="486"/>
        <v/>
      </c>
      <c r="AE1499" s="74" t="str">
        <f t="shared" si="487"/>
        <v/>
      </c>
      <c r="AF1499" s="74" t="str">
        <f t="shared" si="488"/>
        <v/>
      </c>
      <c r="AG1499" s="74" t="str">
        <f t="shared" si="489"/>
        <v/>
      </c>
      <c r="AH1499" s="74">
        <f t="shared" si="490"/>
        <v>0</v>
      </c>
      <c r="AI1499" s="74" t="str">
        <f>IF(AH1499&lt;&gt;0,COUNTIF(AH$3:AH1499,1),"")</f>
        <v/>
      </c>
      <c r="AJ1499" s="74">
        <f t="shared" si="491"/>
        <v>0</v>
      </c>
      <c r="AK1499" s="73" t="str">
        <f t="shared" si="492"/>
        <v/>
      </c>
      <c r="AL1499" s="73" t="str">
        <f t="shared" si="493"/>
        <v/>
      </c>
      <c r="AM1499" s="73" t="str">
        <f t="shared" si="494"/>
        <v/>
      </c>
      <c r="AN1499" s="73" t="str">
        <f t="shared" si="495"/>
        <v/>
      </c>
    </row>
    <row r="1500" spans="16:40" x14ac:dyDescent="0.25">
      <c r="P1500" s="73" t="str">
        <f t="shared" si="479"/>
        <v/>
      </c>
      <c r="Q1500" s="73" t="str">
        <f t="shared" si="480"/>
        <v/>
      </c>
      <c r="R1500" s="74" t="str">
        <f t="shared" si="481"/>
        <v/>
      </c>
      <c r="S1500" s="74" t="str">
        <f t="shared" si="482"/>
        <v/>
      </c>
      <c r="U1500" s="74" t="str">
        <f t="shared" si="478"/>
        <v/>
      </c>
      <c r="V1500" s="74" t="str">
        <f t="shared" si="478"/>
        <v/>
      </c>
      <c r="W1500" s="74" t="str">
        <f t="shared" si="478"/>
        <v/>
      </c>
      <c r="X1500" s="74" t="str">
        <f t="shared" si="478"/>
        <v/>
      </c>
      <c r="Y1500" s="74" t="str">
        <f t="shared" si="478"/>
        <v/>
      </c>
      <c r="Z1500" s="74" t="str">
        <f t="shared" si="483"/>
        <v/>
      </c>
      <c r="AA1500" s="74">
        <f t="shared" si="484"/>
        <v>0</v>
      </c>
      <c r="AB1500" s="74">
        <f t="shared" si="485"/>
        <v>0</v>
      </c>
      <c r="AC1500" s="74" t="str">
        <f t="shared" si="486"/>
        <v/>
      </c>
      <c r="AE1500" s="74" t="str">
        <f t="shared" si="487"/>
        <v/>
      </c>
      <c r="AF1500" s="74" t="str">
        <f t="shared" si="488"/>
        <v/>
      </c>
      <c r="AG1500" s="74" t="str">
        <f t="shared" si="489"/>
        <v/>
      </c>
      <c r="AH1500" s="74">
        <f t="shared" si="490"/>
        <v>0</v>
      </c>
      <c r="AI1500" s="74" t="str">
        <f>IF(AH1500&lt;&gt;0,COUNTIF(AH$3:AH1500,1),"")</f>
        <v/>
      </c>
      <c r="AJ1500" s="74">
        <f t="shared" si="491"/>
        <v>0</v>
      </c>
      <c r="AK1500" s="73" t="str">
        <f t="shared" si="492"/>
        <v/>
      </c>
      <c r="AL1500" s="73" t="str">
        <f t="shared" si="493"/>
        <v/>
      </c>
      <c r="AM1500" s="73" t="str">
        <f t="shared" si="494"/>
        <v/>
      </c>
      <c r="AN1500" s="73" t="str">
        <f t="shared" si="495"/>
        <v/>
      </c>
    </row>
    <row r="1501" spans="16:40" x14ac:dyDescent="0.25">
      <c r="P1501" s="73" t="str">
        <f t="shared" si="479"/>
        <v/>
      </c>
      <c r="Q1501" s="73" t="str">
        <f t="shared" si="480"/>
        <v/>
      </c>
      <c r="R1501" s="74" t="str">
        <f t="shared" si="481"/>
        <v/>
      </c>
      <c r="S1501" s="74" t="str">
        <f t="shared" si="482"/>
        <v/>
      </c>
      <c r="U1501" s="74" t="str">
        <f t="shared" si="478"/>
        <v/>
      </c>
      <c r="V1501" s="74" t="str">
        <f t="shared" si="478"/>
        <v/>
      </c>
      <c r="W1501" s="74" t="str">
        <f t="shared" si="478"/>
        <v/>
      </c>
      <c r="X1501" s="74" t="str">
        <f t="shared" si="478"/>
        <v/>
      </c>
      <c r="Y1501" s="74" t="str">
        <f t="shared" si="478"/>
        <v/>
      </c>
      <c r="Z1501" s="74" t="str">
        <f t="shared" si="483"/>
        <v/>
      </c>
      <c r="AA1501" s="74">
        <f t="shared" si="484"/>
        <v>0</v>
      </c>
      <c r="AB1501" s="74">
        <f t="shared" si="485"/>
        <v>0</v>
      </c>
      <c r="AC1501" s="74" t="str">
        <f t="shared" si="486"/>
        <v/>
      </c>
      <c r="AE1501" s="74" t="str">
        <f t="shared" si="487"/>
        <v/>
      </c>
      <c r="AF1501" s="74" t="str">
        <f t="shared" si="488"/>
        <v/>
      </c>
      <c r="AG1501" s="74" t="str">
        <f t="shared" si="489"/>
        <v/>
      </c>
      <c r="AH1501" s="74">
        <f t="shared" si="490"/>
        <v>0</v>
      </c>
      <c r="AI1501" s="74" t="str">
        <f>IF(AH1501&lt;&gt;0,COUNTIF(AH$3:AH1501,1),"")</f>
        <v/>
      </c>
      <c r="AJ1501" s="74">
        <f t="shared" si="491"/>
        <v>0</v>
      </c>
      <c r="AK1501" s="73" t="str">
        <f t="shared" si="492"/>
        <v/>
      </c>
      <c r="AL1501" s="73" t="str">
        <f t="shared" si="493"/>
        <v/>
      </c>
      <c r="AM1501" s="73" t="str">
        <f t="shared" si="494"/>
        <v/>
      </c>
      <c r="AN1501" s="73" t="str">
        <f t="shared" si="495"/>
        <v/>
      </c>
    </row>
    <row r="1502" spans="16:40" x14ac:dyDescent="0.25">
      <c r="P1502" s="73" t="str">
        <f t="shared" si="479"/>
        <v/>
      </c>
      <c r="Q1502" s="73" t="str">
        <f t="shared" si="480"/>
        <v/>
      </c>
      <c r="R1502" s="74" t="str">
        <f t="shared" si="481"/>
        <v/>
      </c>
      <c r="S1502" s="74" t="str">
        <f t="shared" si="482"/>
        <v/>
      </c>
      <c r="U1502" s="74" t="str">
        <f t="shared" si="478"/>
        <v/>
      </c>
      <c r="V1502" s="74" t="str">
        <f t="shared" si="478"/>
        <v/>
      </c>
      <c r="W1502" s="74" t="str">
        <f t="shared" si="478"/>
        <v/>
      </c>
      <c r="X1502" s="74" t="str">
        <f t="shared" si="478"/>
        <v/>
      </c>
      <c r="Y1502" s="74" t="str">
        <f t="shared" si="478"/>
        <v/>
      </c>
      <c r="Z1502" s="74" t="str">
        <f t="shared" si="483"/>
        <v/>
      </c>
      <c r="AA1502" s="74">
        <f t="shared" si="484"/>
        <v>0</v>
      </c>
      <c r="AB1502" s="74">
        <f t="shared" si="485"/>
        <v>0</v>
      </c>
      <c r="AC1502" s="74" t="str">
        <f t="shared" si="486"/>
        <v/>
      </c>
      <c r="AE1502" s="74" t="str">
        <f t="shared" si="487"/>
        <v/>
      </c>
      <c r="AF1502" s="74" t="str">
        <f t="shared" si="488"/>
        <v/>
      </c>
      <c r="AG1502" s="74" t="str">
        <f t="shared" si="489"/>
        <v/>
      </c>
      <c r="AH1502" s="74">
        <f t="shared" si="490"/>
        <v>0</v>
      </c>
      <c r="AI1502" s="74" t="str">
        <f>IF(AH1502&lt;&gt;0,COUNTIF(AH$3:AH1502,1),"")</f>
        <v/>
      </c>
      <c r="AJ1502" s="74">
        <f t="shared" si="491"/>
        <v>0</v>
      </c>
      <c r="AK1502" s="73" t="str">
        <f t="shared" si="492"/>
        <v/>
      </c>
      <c r="AL1502" s="73" t="str">
        <f t="shared" si="493"/>
        <v/>
      </c>
      <c r="AM1502" s="73" t="str">
        <f t="shared" si="494"/>
        <v/>
      </c>
      <c r="AN1502" s="73" t="str">
        <f t="shared" si="495"/>
        <v/>
      </c>
    </row>
    <row r="1503" spans="16:40" x14ac:dyDescent="0.25">
      <c r="P1503" s="73" t="str">
        <f t="shared" si="479"/>
        <v/>
      </c>
      <c r="Q1503" s="73" t="str">
        <f t="shared" si="480"/>
        <v/>
      </c>
      <c r="R1503" s="74" t="str">
        <f t="shared" si="481"/>
        <v/>
      </c>
      <c r="S1503" s="74" t="str">
        <f t="shared" si="482"/>
        <v/>
      </c>
      <c r="U1503" s="74" t="str">
        <f t="shared" si="478"/>
        <v/>
      </c>
      <c r="V1503" s="74" t="str">
        <f t="shared" si="478"/>
        <v/>
      </c>
      <c r="W1503" s="74" t="str">
        <f t="shared" si="478"/>
        <v/>
      </c>
      <c r="X1503" s="74" t="str">
        <f t="shared" si="478"/>
        <v/>
      </c>
      <c r="Y1503" s="74" t="str">
        <f t="shared" si="478"/>
        <v/>
      </c>
      <c r="Z1503" s="74" t="str">
        <f t="shared" si="483"/>
        <v/>
      </c>
      <c r="AA1503" s="74">
        <f t="shared" si="484"/>
        <v>0</v>
      </c>
      <c r="AB1503" s="74">
        <f t="shared" si="485"/>
        <v>0</v>
      </c>
      <c r="AC1503" s="74" t="str">
        <f t="shared" si="486"/>
        <v/>
      </c>
      <c r="AE1503" s="74" t="str">
        <f t="shared" si="487"/>
        <v/>
      </c>
      <c r="AF1503" s="74" t="str">
        <f t="shared" si="488"/>
        <v/>
      </c>
      <c r="AG1503" s="74" t="str">
        <f t="shared" si="489"/>
        <v/>
      </c>
      <c r="AH1503" s="74">
        <f t="shared" si="490"/>
        <v>0</v>
      </c>
      <c r="AI1503" s="74" t="str">
        <f>IF(AH1503&lt;&gt;0,COUNTIF(AH$3:AH1503,1),"")</f>
        <v/>
      </c>
      <c r="AJ1503" s="74">
        <f t="shared" si="491"/>
        <v>0</v>
      </c>
      <c r="AK1503" s="73" t="str">
        <f t="shared" si="492"/>
        <v/>
      </c>
      <c r="AL1503" s="73" t="str">
        <f t="shared" si="493"/>
        <v/>
      </c>
      <c r="AM1503" s="73" t="str">
        <f t="shared" si="494"/>
        <v/>
      </c>
      <c r="AN1503" s="73" t="str">
        <f t="shared" si="495"/>
        <v/>
      </c>
    </row>
    <row r="1504" spans="16:40" x14ac:dyDescent="0.25">
      <c r="P1504" s="73" t="str">
        <f t="shared" si="479"/>
        <v/>
      </c>
      <c r="Q1504" s="73" t="str">
        <f t="shared" si="480"/>
        <v/>
      </c>
      <c r="R1504" s="74" t="str">
        <f t="shared" si="481"/>
        <v/>
      </c>
      <c r="S1504" s="74" t="str">
        <f t="shared" si="482"/>
        <v/>
      </c>
      <c r="U1504" s="74" t="str">
        <f t="shared" si="478"/>
        <v/>
      </c>
      <c r="V1504" s="74" t="str">
        <f t="shared" si="478"/>
        <v/>
      </c>
      <c r="W1504" s="74" t="str">
        <f t="shared" si="478"/>
        <v/>
      </c>
      <c r="X1504" s="74" t="str">
        <f t="shared" si="478"/>
        <v/>
      </c>
      <c r="Y1504" s="74" t="str">
        <f t="shared" si="478"/>
        <v/>
      </c>
      <c r="Z1504" s="74" t="str">
        <f t="shared" si="483"/>
        <v/>
      </c>
      <c r="AA1504" s="74">
        <f t="shared" si="484"/>
        <v>0</v>
      </c>
      <c r="AB1504" s="74">
        <f t="shared" si="485"/>
        <v>0</v>
      </c>
      <c r="AC1504" s="74" t="str">
        <f t="shared" si="486"/>
        <v/>
      </c>
      <c r="AE1504" s="74" t="str">
        <f t="shared" si="487"/>
        <v/>
      </c>
      <c r="AF1504" s="74" t="str">
        <f t="shared" si="488"/>
        <v/>
      </c>
      <c r="AG1504" s="74" t="str">
        <f t="shared" si="489"/>
        <v/>
      </c>
      <c r="AH1504" s="74">
        <f t="shared" si="490"/>
        <v>0</v>
      </c>
      <c r="AI1504" s="74" t="str">
        <f>IF(AH1504&lt;&gt;0,COUNTIF(AH$3:AH1504,1),"")</f>
        <v/>
      </c>
      <c r="AJ1504" s="74">
        <f t="shared" si="491"/>
        <v>0</v>
      </c>
      <c r="AK1504" s="73" t="str">
        <f t="shared" si="492"/>
        <v/>
      </c>
      <c r="AL1504" s="73" t="str">
        <f t="shared" si="493"/>
        <v/>
      </c>
      <c r="AM1504" s="73" t="str">
        <f t="shared" si="494"/>
        <v/>
      </c>
      <c r="AN1504" s="73" t="str">
        <f t="shared" si="495"/>
        <v/>
      </c>
    </row>
    <row r="1505" spans="16:40" x14ac:dyDescent="0.25">
      <c r="P1505" s="73" t="str">
        <f t="shared" si="479"/>
        <v/>
      </c>
      <c r="Q1505" s="73" t="str">
        <f t="shared" si="480"/>
        <v/>
      </c>
      <c r="R1505" s="74" t="str">
        <f t="shared" si="481"/>
        <v/>
      </c>
      <c r="S1505" s="74" t="str">
        <f t="shared" si="482"/>
        <v/>
      </c>
      <c r="U1505" s="74" t="str">
        <f t="shared" si="478"/>
        <v/>
      </c>
      <c r="V1505" s="74" t="str">
        <f t="shared" si="478"/>
        <v/>
      </c>
      <c r="W1505" s="74" t="str">
        <f t="shared" si="478"/>
        <v/>
      </c>
      <c r="X1505" s="74" t="str">
        <f t="shared" si="478"/>
        <v/>
      </c>
      <c r="Y1505" s="74" t="str">
        <f t="shared" si="478"/>
        <v/>
      </c>
      <c r="Z1505" s="74" t="str">
        <f t="shared" si="483"/>
        <v/>
      </c>
      <c r="AA1505" s="74">
        <f t="shared" si="484"/>
        <v>0</v>
      </c>
      <c r="AB1505" s="74">
        <f t="shared" si="485"/>
        <v>0</v>
      </c>
      <c r="AC1505" s="74" t="str">
        <f t="shared" si="486"/>
        <v/>
      </c>
      <c r="AE1505" s="74" t="str">
        <f t="shared" si="487"/>
        <v/>
      </c>
      <c r="AF1505" s="74" t="str">
        <f t="shared" si="488"/>
        <v/>
      </c>
      <c r="AG1505" s="74" t="str">
        <f t="shared" si="489"/>
        <v/>
      </c>
      <c r="AH1505" s="74">
        <f t="shared" si="490"/>
        <v>0</v>
      </c>
      <c r="AI1505" s="74" t="str">
        <f>IF(AH1505&lt;&gt;0,COUNTIF(AH$3:AH1505,1),"")</f>
        <v/>
      </c>
      <c r="AJ1505" s="74">
        <f t="shared" si="491"/>
        <v>0</v>
      </c>
      <c r="AK1505" s="73" t="str">
        <f t="shared" si="492"/>
        <v/>
      </c>
      <c r="AL1505" s="73" t="str">
        <f t="shared" si="493"/>
        <v/>
      </c>
      <c r="AM1505" s="73" t="str">
        <f t="shared" si="494"/>
        <v/>
      </c>
      <c r="AN1505" s="73" t="str">
        <f t="shared" si="495"/>
        <v/>
      </c>
    </row>
    <row r="1506" spans="16:40" x14ac:dyDescent="0.25">
      <c r="P1506" s="73" t="str">
        <f t="shared" si="479"/>
        <v/>
      </c>
      <c r="Q1506" s="73" t="str">
        <f t="shared" si="480"/>
        <v/>
      </c>
      <c r="R1506" s="74" t="str">
        <f t="shared" si="481"/>
        <v/>
      </c>
      <c r="S1506" s="74" t="str">
        <f t="shared" si="482"/>
        <v/>
      </c>
      <c r="U1506" s="74" t="str">
        <f t="shared" si="478"/>
        <v/>
      </c>
      <c r="V1506" s="74" t="str">
        <f t="shared" si="478"/>
        <v/>
      </c>
      <c r="W1506" s="74" t="str">
        <f t="shared" si="478"/>
        <v/>
      </c>
      <c r="X1506" s="74" t="str">
        <f t="shared" si="478"/>
        <v/>
      </c>
      <c r="Y1506" s="74" t="str">
        <f t="shared" si="478"/>
        <v/>
      </c>
      <c r="Z1506" s="74" t="str">
        <f t="shared" si="483"/>
        <v/>
      </c>
      <c r="AA1506" s="74">
        <f t="shared" si="484"/>
        <v>0</v>
      </c>
      <c r="AB1506" s="74">
        <f t="shared" si="485"/>
        <v>0</v>
      </c>
      <c r="AC1506" s="74" t="str">
        <f t="shared" si="486"/>
        <v/>
      </c>
      <c r="AE1506" s="74" t="str">
        <f t="shared" si="487"/>
        <v/>
      </c>
      <c r="AF1506" s="74" t="str">
        <f t="shared" si="488"/>
        <v/>
      </c>
      <c r="AG1506" s="74" t="str">
        <f t="shared" si="489"/>
        <v/>
      </c>
      <c r="AH1506" s="74">
        <f t="shared" si="490"/>
        <v>0</v>
      </c>
      <c r="AI1506" s="74" t="str">
        <f>IF(AH1506&lt;&gt;0,COUNTIF(AH$3:AH1506,1),"")</f>
        <v/>
      </c>
      <c r="AJ1506" s="74">
        <f t="shared" si="491"/>
        <v>0</v>
      </c>
      <c r="AK1506" s="73" t="str">
        <f t="shared" si="492"/>
        <v/>
      </c>
      <c r="AL1506" s="73" t="str">
        <f t="shared" si="493"/>
        <v/>
      </c>
      <c r="AM1506" s="73" t="str">
        <f t="shared" si="494"/>
        <v/>
      </c>
      <c r="AN1506" s="73" t="str">
        <f t="shared" si="495"/>
        <v/>
      </c>
    </row>
    <row r="1507" spans="16:40" x14ac:dyDescent="0.25">
      <c r="P1507" s="73" t="str">
        <f t="shared" si="479"/>
        <v/>
      </c>
      <c r="Q1507" s="73" t="str">
        <f t="shared" si="480"/>
        <v/>
      </c>
      <c r="R1507" s="74" t="str">
        <f t="shared" si="481"/>
        <v/>
      </c>
      <c r="S1507" s="74" t="str">
        <f t="shared" si="482"/>
        <v/>
      </c>
      <c r="U1507" s="74" t="str">
        <f t="shared" si="478"/>
        <v/>
      </c>
      <c r="V1507" s="74" t="str">
        <f t="shared" si="478"/>
        <v/>
      </c>
      <c r="W1507" s="74" t="str">
        <f t="shared" si="478"/>
        <v/>
      </c>
      <c r="X1507" s="74" t="str">
        <f t="shared" si="478"/>
        <v/>
      </c>
      <c r="Y1507" s="74" t="str">
        <f t="shared" si="478"/>
        <v/>
      </c>
      <c r="Z1507" s="74" t="str">
        <f t="shared" si="483"/>
        <v/>
      </c>
      <c r="AA1507" s="74">
        <f t="shared" si="484"/>
        <v>0</v>
      </c>
      <c r="AB1507" s="74">
        <f t="shared" si="485"/>
        <v>0</v>
      </c>
      <c r="AC1507" s="74" t="str">
        <f t="shared" si="486"/>
        <v/>
      </c>
      <c r="AE1507" s="74" t="str">
        <f t="shared" si="487"/>
        <v/>
      </c>
      <c r="AF1507" s="74" t="str">
        <f t="shared" si="488"/>
        <v/>
      </c>
      <c r="AG1507" s="74" t="str">
        <f t="shared" si="489"/>
        <v/>
      </c>
      <c r="AH1507" s="74">
        <f t="shared" si="490"/>
        <v>0</v>
      </c>
      <c r="AI1507" s="74" t="str">
        <f>IF(AH1507&lt;&gt;0,COUNTIF(AH$3:AH1507,1),"")</f>
        <v/>
      </c>
      <c r="AJ1507" s="74">
        <f t="shared" si="491"/>
        <v>0</v>
      </c>
      <c r="AK1507" s="73" t="str">
        <f t="shared" si="492"/>
        <v/>
      </c>
      <c r="AL1507" s="73" t="str">
        <f t="shared" si="493"/>
        <v/>
      </c>
      <c r="AM1507" s="73" t="str">
        <f t="shared" si="494"/>
        <v/>
      </c>
      <c r="AN1507" s="73" t="str">
        <f t="shared" si="495"/>
        <v/>
      </c>
    </row>
    <row r="1508" spans="16:40" x14ac:dyDescent="0.25">
      <c r="P1508" s="73" t="str">
        <f t="shared" si="479"/>
        <v/>
      </c>
      <c r="Q1508" s="73" t="str">
        <f t="shared" si="480"/>
        <v/>
      </c>
      <c r="R1508" s="74" t="str">
        <f t="shared" si="481"/>
        <v/>
      </c>
      <c r="S1508" s="74" t="str">
        <f t="shared" si="482"/>
        <v/>
      </c>
      <c r="U1508" s="74" t="str">
        <f t="shared" si="478"/>
        <v/>
      </c>
      <c r="V1508" s="74" t="str">
        <f t="shared" si="478"/>
        <v/>
      </c>
      <c r="W1508" s="74" t="str">
        <f t="shared" si="478"/>
        <v/>
      </c>
      <c r="X1508" s="74" t="str">
        <f t="shared" si="478"/>
        <v/>
      </c>
      <c r="Y1508" s="74" t="str">
        <f t="shared" si="478"/>
        <v/>
      </c>
      <c r="Z1508" s="74" t="str">
        <f t="shared" si="483"/>
        <v/>
      </c>
      <c r="AA1508" s="74">
        <f t="shared" si="484"/>
        <v>0</v>
      </c>
      <c r="AB1508" s="74">
        <f t="shared" si="485"/>
        <v>0</v>
      </c>
      <c r="AC1508" s="74" t="str">
        <f t="shared" si="486"/>
        <v/>
      </c>
      <c r="AE1508" s="74" t="str">
        <f t="shared" si="487"/>
        <v/>
      </c>
      <c r="AF1508" s="74" t="str">
        <f t="shared" si="488"/>
        <v/>
      </c>
      <c r="AG1508" s="74" t="str">
        <f t="shared" si="489"/>
        <v/>
      </c>
      <c r="AH1508" s="74">
        <f t="shared" si="490"/>
        <v>0</v>
      </c>
      <c r="AI1508" s="74" t="str">
        <f>IF(AH1508&lt;&gt;0,COUNTIF(AH$3:AH1508,1),"")</f>
        <v/>
      </c>
      <c r="AJ1508" s="74">
        <f t="shared" si="491"/>
        <v>0</v>
      </c>
      <c r="AK1508" s="73" t="str">
        <f t="shared" si="492"/>
        <v/>
      </c>
      <c r="AL1508" s="73" t="str">
        <f t="shared" si="493"/>
        <v/>
      </c>
      <c r="AM1508" s="73" t="str">
        <f t="shared" si="494"/>
        <v/>
      </c>
      <c r="AN1508" s="73" t="str">
        <f t="shared" si="495"/>
        <v/>
      </c>
    </row>
    <row r="1509" spans="16:40" x14ac:dyDescent="0.25">
      <c r="P1509" s="73" t="str">
        <f t="shared" si="479"/>
        <v/>
      </c>
      <c r="Q1509" s="73" t="str">
        <f t="shared" si="480"/>
        <v/>
      </c>
      <c r="R1509" s="74" t="str">
        <f t="shared" si="481"/>
        <v/>
      </c>
      <c r="S1509" s="74" t="str">
        <f t="shared" si="482"/>
        <v/>
      </c>
      <c r="U1509" s="74" t="str">
        <f t="shared" si="478"/>
        <v/>
      </c>
      <c r="V1509" s="74" t="str">
        <f t="shared" si="478"/>
        <v/>
      </c>
      <c r="W1509" s="74" t="str">
        <f t="shared" si="478"/>
        <v/>
      </c>
      <c r="X1509" s="74" t="str">
        <f t="shared" si="478"/>
        <v/>
      </c>
      <c r="Y1509" s="74" t="str">
        <f t="shared" si="478"/>
        <v/>
      </c>
      <c r="Z1509" s="74" t="str">
        <f t="shared" si="483"/>
        <v/>
      </c>
      <c r="AA1509" s="74">
        <f t="shared" si="484"/>
        <v>0</v>
      </c>
      <c r="AB1509" s="74">
        <f t="shared" si="485"/>
        <v>0</v>
      </c>
      <c r="AC1509" s="74" t="str">
        <f t="shared" si="486"/>
        <v/>
      </c>
      <c r="AE1509" s="74" t="str">
        <f t="shared" si="487"/>
        <v/>
      </c>
      <c r="AF1509" s="74" t="str">
        <f t="shared" si="488"/>
        <v/>
      </c>
      <c r="AG1509" s="74" t="str">
        <f t="shared" si="489"/>
        <v/>
      </c>
      <c r="AH1509" s="74">
        <f t="shared" si="490"/>
        <v>0</v>
      </c>
      <c r="AI1509" s="74" t="str">
        <f>IF(AH1509&lt;&gt;0,COUNTIF(AH$3:AH1509,1),"")</f>
        <v/>
      </c>
      <c r="AJ1509" s="74">
        <f t="shared" si="491"/>
        <v>0</v>
      </c>
      <c r="AK1509" s="73" t="str">
        <f t="shared" si="492"/>
        <v/>
      </c>
      <c r="AL1509" s="73" t="str">
        <f t="shared" si="493"/>
        <v/>
      </c>
      <c r="AM1509" s="73" t="str">
        <f t="shared" si="494"/>
        <v/>
      </c>
      <c r="AN1509" s="73" t="str">
        <f t="shared" si="495"/>
        <v/>
      </c>
    </row>
    <row r="1510" spans="16:40" x14ac:dyDescent="0.25">
      <c r="P1510" s="73" t="str">
        <f t="shared" si="479"/>
        <v/>
      </c>
      <c r="Q1510" s="73" t="str">
        <f t="shared" si="480"/>
        <v/>
      </c>
      <c r="R1510" s="74" t="str">
        <f t="shared" si="481"/>
        <v/>
      </c>
      <c r="S1510" s="74" t="str">
        <f t="shared" si="482"/>
        <v/>
      </c>
      <c r="U1510" s="74" t="str">
        <f t="shared" si="478"/>
        <v/>
      </c>
      <c r="V1510" s="74" t="str">
        <f t="shared" si="478"/>
        <v/>
      </c>
      <c r="W1510" s="74" t="str">
        <f t="shared" si="478"/>
        <v/>
      </c>
      <c r="X1510" s="74" t="str">
        <f t="shared" si="478"/>
        <v/>
      </c>
      <c r="Y1510" s="74" t="str">
        <f t="shared" si="478"/>
        <v/>
      </c>
      <c r="Z1510" s="74" t="str">
        <f t="shared" si="483"/>
        <v/>
      </c>
      <c r="AA1510" s="74">
        <f t="shared" si="484"/>
        <v>0</v>
      </c>
      <c r="AB1510" s="74">
        <f t="shared" si="485"/>
        <v>0</v>
      </c>
      <c r="AC1510" s="74" t="str">
        <f t="shared" si="486"/>
        <v/>
      </c>
      <c r="AE1510" s="74" t="str">
        <f t="shared" si="487"/>
        <v/>
      </c>
      <c r="AF1510" s="74" t="str">
        <f t="shared" si="488"/>
        <v/>
      </c>
      <c r="AG1510" s="74" t="str">
        <f t="shared" si="489"/>
        <v/>
      </c>
      <c r="AH1510" s="74">
        <f t="shared" si="490"/>
        <v>0</v>
      </c>
      <c r="AI1510" s="74" t="str">
        <f>IF(AH1510&lt;&gt;0,COUNTIF(AH$3:AH1510,1),"")</f>
        <v/>
      </c>
      <c r="AJ1510" s="74">
        <f t="shared" si="491"/>
        <v>0</v>
      </c>
      <c r="AK1510" s="73" t="str">
        <f t="shared" si="492"/>
        <v/>
      </c>
      <c r="AL1510" s="73" t="str">
        <f t="shared" si="493"/>
        <v/>
      </c>
      <c r="AM1510" s="73" t="str">
        <f t="shared" si="494"/>
        <v/>
      </c>
      <c r="AN1510" s="73" t="str">
        <f t="shared" si="495"/>
        <v/>
      </c>
    </row>
    <row r="1511" spans="16:40" x14ac:dyDescent="0.25">
      <c r="P1511" s="73" t="str">
        <f t="shared" si="479"/>
        <v/>
      </c>
      <c r="Q1511" s="73" t="str">
        <f t="shared" si="480"/>
        <v/>
      </c>
      <c r="R1511" s="74" t="str">
        <f t="shared" si="481"/>
        <v/>
      </c>
      <c r="S1511" s="74" t="str">
        <f t="shared" si="482"/>
        <v/>
      </c>
      <c r="U1511" s="74" t="str">
        <f t="shared" si="478"/>
        <v/>
      </c>
      <c r="V1511" s="74" t="str">
        <f t="shared" si="478"/>
        <v/>
      </c>
      <c r="W1511" s="74" t="str">
        <f t="shared" si="478"/>
        <v/>
      </c>
      <c r="X1511" s="74" t="str">
        <f t="shared" si="478"/>
        <v/>
      </c>
      <c r="Y1511" s="74" t="str">
        <f t="shared" si="478"/>
        <v/>
      </c>
      <c r="Z1511" s="74" t="str">
        <f t="shared" si="483"/>
        <v/>
      </c>
      <c r="AA1511" s="74">
        <f t="shared" si="484"/>
        <v>0</v>
      </c>
      <c r="AB1511" s="74">
        <f t="shared" si="485"/>
        <v>0</v>
      </c>
      <c r="AC1511" s="74" t="str">
        <f t="shared" si="486"/>
        <v/>
      </c>
      <c r="AE1511" s="74" t="str">
        <f t="shared" si="487"/>
        <v/>
      </c>
      <c r="AF1511" s="74" t="str">
        <f t="shared" si="488"/>
        <v/>
      </c>
      <c r="AG1511" s="74" t="str">
        <f t="shared" si="489"/>
        <v/>
      </c>
      <c r="AH1511" s="74">
        <f t="shared" si="490"/>
        <v>0</v>
      </c>
      <c r="AI1511" s="74" t="str">
        <f>IF(AH1511&lt;&gt;0,COUNTIF(AH$3:AH1511,1),"")</f>
        <v/>
      </c>
      <c r="AJ1511" s="74">
        <f t="shared" si="491"/>
        <v>0</v>
      </c>
      <c r="AK1511" s="73" t="str">
        <f t="shared" si="492"/>
        <v/>
      </c>
      <c r="AL1511" s="73" t="str">
        <f t="shared" si="493"/>
        <v/>
      </c>
      <c r="AM1511" s="73" t="str">
        <f t="shared" si="494"/>
        <v/>
      </c>
      <c r="AN1511" s="73" t="str">
        <f t="shared" si="495"/>
        <v/>
      </c>
    </row>
    <row r="1512" spans="16:40" x14ac:dyDescent="0.25">
      <c r="P1512" s="73" t="str">
        <f t="shared" si="479"/>
        <v/>
      </c>
      <c r="Q1512" s="73" t="str">
        <f t="shared" si="480"/>
        <v/>
      </c>
      <c r="R1512" s="74" t="str">
        <f t="shared" si="481"/>
        <v/>
      </c>
      <c r="S1512" s="74" t="str">
        <f t="shared" si="482"/>
        <v/>
      </c>
      <c r="U1512" s="74" t="str">
        <f t="shared" si="478"/>
        <v/>
      </c>
      <c r="V1512" s="74" t="str">
        <f t="shared" si="478"/>
        <v/>
      </c>
      <c r="W1512" s="74" t="str">
        <f t="shared" si="478"/>
        <v/>
      </c>
      <c r="X1512" s="74" t="str">
        <f t="shared" si="478"/>
        <v/>
      </c>
      <c r="Y1512" s="74" t="str">
        <f t="shared" si="478"/>
        <v/>
      </c>
      <c r="Z1512" s="74" t="str">
        <f t="shared" si="483"/>
        <v/>
      </c>
      <c r="AA1512" s="74">
        <f t="shared" si="484"/>
        <v>0</v>
      </c>
      <c r="AB1512" s="74">
        <f t="shared" si="485"/>
        <v>0</v>
      </c>
      <c r="AC1512" s="74" t="str">
        <f t="shared" si="486"/>
        <v/>
      </c>
      <c r="AE1512" s="74" t="str">
        <f t="shared" si="487"/>
        <v/>
      </c>
      <c r="AF1512" s="74" t="str">
        <f t="shared" si="488"/>
        <v/>
      </c>
      <c r="AG1512" s="74" t="str">
        <f t="shared" si="489"/>
        <v/>
      </c>
      <c r="AH1512" s="74">
        <f t="shared" si="490"/>
        <v>0</v>
      </c>
      <c r="AI1512" s="74" t="str">
        <f>IF(AH1512&lt;&gt;0,COUNTIF(AH$3:AH1512,1),"")</f>
        <v/>
      </c>
      <c r="AJ1512" s="74">
        <f t="shared" si="491"/>
        <v>0</v>
      </c>
      <c r="AK1512" s="73" t="str">
        <f t="shared" si="492"/>
        <v/>
      </c>
      <c r="AL1512" s="73" t="str">
        <f t="shared" si="493"/>
        <v/>
      </c>
      <c r="AM1512" s="73" t="str">
        <f t="shared" si="494"/>
        <v/>
      </c>
      <c r="AN1512" s="73" t="str">
        <f t="shared" si="495"/>
        <v/>
      </c>
    </row>
    <row r="1513" spans="16:40" x14ac:dyDescent="0.25">
      <c r="P1513" s="73" t="str">
        <f t="shared" si="479"/>
        <v/>
      </c>
      <c r="Q1513" s="73" t="str">
        <f t="shared" si="480"/>
        <v/>
      </c>
      <c r="R1513" s="74" t="str">
        <f t="shared" si="481"/>
        <v/>
      </c>
      <c r="S1513" s="74" t="str">
        <f t="shared" si="482"/>
        <v/>
      </c>
      <c r="U1513" s="74" t="str">
        <f t="shared" si="478"/>
        <v/>
      </c>
      <c r="V1513" s="74" t="str">
        <f t="shared" si="478"/>
        <v/>
      </c>
      <c r="W1513" s="74" t="str">
        <f t="shared" si="478"/>
        <v/>
      </c>
      <c r="X1513" s="74" t="str">
        <f t="shared" si="478"/>
        <v/>
      </c>
      <c r="Y1513" s="74" t="str">
        <f t="shared" si="478"/>
        <v/>
      </c>
      <c r="Z1513" s="74" t="str">
        <f t="shared" si="483"/>
        <v/>
      </c>
      <c r="AA1513" s="74">
        <f t="shared" si="484"/>
        <v>0</v>
      </c>
      <c r="AB1513" s="74">
        <f t="shared" si="485"/>
        <v>0</v>
      </c>
      <c r="AC1513" s="74" t="str">
        <f t="shared" si="486"/>
        <v/>
      </c>
      <c r="AE1513" s="74" t="str">
        <f t="shared" si="487"/>
        <v/>
      </c>
      <c r="AF1513" s="74" t="str">
        <f t="shared" si="488"/>
        <v/>
      </c>
      <c r="AG1513" s="74" t="str">
        <f t="shared" si="489"/>
        <v/>
      </c>
      <c r="AH1513" s="74">
        <f t="shared" si="490"/>
        <v>0</v>
      </c>
      <c r="AI1513" s="74" t="str">
        <f>IF(AH1513&lt;&gt;0,COUNTIF(AH$3:AH1513,1),"")</f>
        <v/>
      </c>
      <c r="AJ1513" s="74">
        <f t="shared" si="491"/>
        <v>0</v>
      </c>
      <c r="AK1513" s="73" t="str">
        <f t="shared" si="492"/>
        <v/>
      </c>
      <c r="AL1513" s="73" t="str">
        <f t="shared" si="493"/>
        <v/>
      </c>
      <c r="AM1513" s="73" t="str">
        <f t="shared" si="494"/>
        <v/>
      </c>
      <c r="AN1513" s="73" t="str">
        <f t="shared" si="495"/>
        <v/>
      </c>
    </row>
    <row r="1514" spans="16:40" x14ac:dyDescent="0.25">
      <c r="P1514" s="73" t="str">
        <f t="shared" si="479"/>
        <v/>
      </c>
      <c r="Q1514" s="73" t="str">
        <f t="shared" si="480"/>
        <v/>
      </c>
      <c r="R1514" s="74" t="str">
        <f t="shared" si="481"/>
        <v/>
      </c>
      <c r="S1514" s="74" t="str">
        <f t="shared" si="482"/>
        <v/>
      </c>
      <c r="U1514" s="74" t="str">
        <f t="shared" si="478"/>
        <v/>
      </c>
      <c r="V1514" s="74" t="str">
        <f t="shared" si="478"/>
        <v/>
      </c>
      <c r="W1514" s="74" t="str">
        <f t="shared" si="478"/>
        <v/>
      </c>
      <c r="X1514" s="74" t="str">
        <f t="shared" si="478"/>
        <v/>
      </c>
      <c r="Y1514" s="74" t="str">
        <f t="shared" si="478"/>
        <v/>
      </c>
      <c r="Z1514" s="74" t="str">
        <f t="shared" si="483"/>
        <v/>
      </c>
      <c r="AA1514" s="74">
        <f t="shared" si="484"/>
        <v>0</v>
      </c>
      <c r="AB1514" s="74">
        <f t="shared" si="485"/>
        <v>0</v>
      </c>
      <c r="AC1514" s="74" t="str">
        <f t="shared" si="486"/>
        <v/>
      </c>
      <c r="AE1514" s="74" t="str">
        <f t="shared" si="487"/>
        <v/>
      </c>
      <c r="AF1514" s="74" t="str">
        <f t="shared" si="488"/>
        <v/>
      </c>
      <c r="AG1514" s="74" t="str">
        <f t="shared" si="489"/>
        <v/>
      </c>
      <c r="AH1514" s="74">
        <f t="shared" si="490"/>
        <v>0</v>
      </c>
      <c r="AI1514" s="74" t="str">
        <f>IF(AH1514&lt;&gt;0,COUNTIF(AH$3:AH1514,1),"")</f>
        <v/>
      </c>
      <c r="AJ1514" s="74">
        <f t="shared" si="491"/>
        <v>0</v>
      </c>
      <c r="AK1514" s="73" t="str">
        <f t="shared" si="492"/>
        <v/>
      </c>
      <c r="AL1514" s="73" t="str">
        <f t="shared" si="493"/>
        <v/>
      </c>
      <c r="AM1514" s="73" t="str">
        <f t="shared" si="494"/>
        <v/>
      </c>
      <c r="AN1514" s="73" t="str">
        <f t="shared" si="495"/>
        <v/>
      </c>
    </row>
    <row r="1515" spans="16:40" x14ac:dyDescent="0.25">
      <c r="P1515" s="73" t="str">
        <f t="shared" si="479"/>
        <v/>
      </c>
      <c r="Q1515" s="73" t="str">
        <f t="shared" si="480"/>
        <v/>
      </c>
      <c r="R1515" s="74" t="str">
        <f t="shared" si="481"/>
        <v/>
      </c>
      <c r="S1515" s="74" t="str">
        <f t="shared" si="482"/>
        <v/>
      </c>
      <c r="U1515" s="74" t="str">
        <f t="shared" si="478"/>
        <v/>
      </c>
      <c r="V1515" s="74" t="str">
        <f t="shared" si="478"/>
        <v/>
      </c>
      <c r="W1515" s="74" t="str">
        <f t="shared" si="478"/>
        <v/>
      </c>
      <c r="X1515" s="74" t="str">
        <f t="shared" si="478"/>
        <v/>
      </c>
      <c r="Y1515" s="74" t="str">
        <f t="shared" si="478"/>
        <v/>
      </c>
      <c r="Z1515" s="74" t="str">
        <f t="shared" si="483"/>
        <v/>
      </c>
      <c r="AA1515" s="74">
        <f t="shared" si="484"/>
        <v>0</v>
      </c>
      <c r="AB1515" s="74">
        <f t="shared" si="485"/>
        <v>0</v>
      </c>
      <c r="AC1515" s="74" t="str">
        <f t="shared" si="486"/>
        <v/>
      </c>
      <c r="AE1515" s="74" t="str">
        <f t="shared" si="487"/>
        <v/>
      </c>
      <c r="AF1515" s="74" t="str">
        <f t="shared" si="488"/>
        <v/>
      </c>
      <c r="AG1515" s="74" t="str">
        <f t="shared" si="489"/>
        <v/>
      </c>
      <c r="AH1515" s="74">
        <f t="shared" si="490"/>
        <v>0</v>
      </c>
      <c r="AI1515" s="74" t="str">
        <f>IF(AH1515&lt;&gt;0,COUNTIF(AH$3:AH1515,1),"")</f>
        <v/>
      </c>
      <c r="AJ1515" s="74">
        <f t="shared" si="491"/>
        <v>0</v>
      </c>
      <c r="AK1515" s="73" t="str">
        <f t="shared" si="492"/>
        <v/>
      </c>
      <c r="AL1515" s="73" t="str">
        <f t="shared" si="493"/>
        <v/>
      </c>
      <c r="AM1515" s="73" t="str">
        <f t="shared" si="494"/>
        <v/>
      </c>
      <c r="AN1515" s="73" t="str">
        <f t="shared" si="495"/>
        <v/>
      </c>
    </row>
    <row r="1516" spans="16:40" x14ac:dyDescent="0.25">
      <c r="P1516" s="73" t="str">
        <f t="shared" si="479"/>
        <v/>
      </c>
      <c r="Q1516" s="73" t="str">
        <f t="shared" si="480"/>
        <v/>
      </c>
      <c r="R1516" s="74" t="str">
        <f t="shared" si="481"/>
        <v/>
      </c>
      <c r="S1516" s="74" t="str">
        <f t="shared" si="482"/>
        <v/>
      </c>
      <c r="U1516" s="74" t="str">
        <f t="shared" ref="U1516:Y1566" si="496">IF($F1516=U$1,$E1516,"")</f>
        <v/>
      </c>
      <c r="V1516" s="74" t="str">
        <f t="shared" si="496"/>
        <v/>
      </c>
      <c r="W1516" s="74" t="str">
        <f t="shared" si="496"/>
        <v/>
      </c>
      <c r="X1516" s="74" t="str">
        <f t="shared" si="496"/>
        <v/>
      </c>
      <c r="Y1516" s="74" t="str">
        <f t="shared" si="496"/>
        <v/>
      </c>
      <c r="Z1516" s="74" t="str">
        <f t="shared" si="483"/>
        <v/>
      </c>
      <c r="AA1516" s="74">
        <f t="shared" si="484"/>
        <v>0</v>
      </c>
      <c r="AB1516" s="74">
        <f t="shared" si="485"/>
        <v>0</v>
      </c>
      <c r="AC1516" s="74" t="str">
        <f t="shared" si="486"/>
        <v/>
      </c>
      <c r="AE1516" s="74" t="str">
        <f t="shared" si="487"/>
        <v/>
      </c>
      <c r="AF1516" s="74" t="str">
        <f t="shared" si="488"/>
        <v/>
      </c>
      <c r="AG1516" s="74" t="str">
        <f t="shared" si="489"/>
        <v/>
      </c>
      <c r="AH1516" s="74">
        <f t="shared" si="490"/>
        <v>0</v>
      </c>
      <c r="AI1516" s="74" t="str">
        <f>IF(AH1516&lt;&gt;0,COUNTIF(AH$3:AH1516,1),"")</f>
        <v/>
      </c>
      <c r="AJ1516" s="74">
        <f t="shared" si="491"/>
        <v>0</v>
      </c>
      <c r="AK1516" s="73" t="str">
        <f t="shared" si="492"/>
        <v/>
      </c>
      <c r="AL1516" s="73" t="str">
        <f t="shared" si="493"/>
        <v/>
      </c>
      <c r="AM1516" s="73" t="str">
        <f t="shared" si="494"/>
        <v/>
      </c>
      <c r="AN1516" s="73" t="str">
        <f t="shared" si="495"/>
        <v/>
      </c>
    </row>
    <row r="1517" spans="16:40" x14ac:dyDescent="0.25">
      <c r="P1517" s="73" t="str">
        <f t="shared" si="479"/>
        <v/>
      </c>
      <c r="Q1517" s="73" t="str">
        <f t="shared" si="480"/>
        <v/>
      </c>
      <c r="R1517" s="74" t="str">
        <f t="shared" si="481"/>
        <v/>
      </c>
      <c r="S1517" s="74" t="str">
        <f t="shared" si="482"/>
        <v/>
      </c>
      <c r="U1517" s="74" t="str">
        <f t="shared" si="496"/>
        <v/>
      </c>
      <c r="V1517" s="74" t="str">
        <f t="shared" si="496"/>
        <v/>
      </c>
      <c r="W1517" s="74" t="str">
        <f t="shared" si="496"/>
        <v/>
      </c>
      <c r="X1517" s="74" t="str">
        <f t="shared" si="496"/>
        <v/>
      </c>
      <c r="Y1517" s="74" t="str">
        <f t="shared" si="496"/>
        <v/>
      </c>
      <c r="Z1517" s="74" t="str">
        <f t="shared" si="483"/>
        <v/>
      </c>
      <c r="AA1517" s="74">
        <f t="shared" si="484"/>
        <v>0</v>
      </c>
      <c r="AB1517" s="74">
        <f t="shared" si="485"/>
        <v>0</v>
      </c>
      <c r="AC1517" s="74" t="str">
        <f t="shared" si="486"/>
        <v/>
      </c>
      <c r="AE1517" s="74" t="str">
        <f t="shared" si="487"/>
        <v/>
      </c>
      <c r="AF1517" s="74" t="str">
        <f t="shared" si="488"/>
        <v/>
      </c>
      <c r="AG1517" s="74" t="str">
        <f t="shared" si="489"/>
        <v/>
      </c>
      <c r="AH1517" s="74">
        <f t="shared" si="490"/>
        <v>0</v>
      </c>
      <c r="AI1517" s="74" t="str">
        <f>IF(AH1517&lt;&gt;0,COUNTIF(AH$3:AH1517,1),"")</f>
        <v/>
      </c>
      <c r="AJ1517" s="74">
        <f t="shared" si="491"/>
        <v>0</v>
      </c>
      <c r="AK1517" s="73" t="str">
        <f t="shared" si="492"/>
        <v/>
      </c>
      <c r="AL1517" s="73" t="str">
        <f t="shared" si="493"/>
        <v/>
      </c>
      <c r="AM1517" s="73" t="str">
        <f t="shared" si="494"/>
        <v/>
      </c>
      <c r="AN1517" s="73" t="str">
        <f t="shared" si="495"/>
        <v/>
      </c>
    </row>
    <row r="1518" spans="16:40" x14ac:dyDescent="0.25">
      <c r="P1518" s="73" t="str">
        <f t="shared" si="479"/>
        <v/>
      </c>
      <c r="Q1518" s="73" t="str">
        <f t="shared" si="480"/>
        <v/>
      </c>
      <c r="R1518" s="74" t="str">
        <f t="shared" si="481"/>
        <v/>
      </c>
      <c r="S1518" s="74" t="str">
        <f t="shared" si="482"/>
        <v/>
      </c>
      <c r="U1518" s="74" t="str">
        <f t="shared" si="496"/>
        <v/>
      </c>
      <c r="V1518" s="74" t="str">
        <f t="shared" si="496"/>
        <v/>
      </c>
      <c r="W1518" s="74" t="str">
        <f t="shared" si="496"/>
        <v/>
      </c>
      <c r="X1518" s="74" t="str">
        <f t="shared" si="496"/>
        <v/>
      </c>
      <c r="Y1518" s="74" t="str">
        <f t="shared" si="496"/>
        <v/>
      </c>
      <c r="Z1518" s="74" t="str">
        <f t="shared" si="483"/>
        <v/>
      </c>
      <c r="AA1518" s="74">
        <f t="shared" si="484"/>
        <v>0</v>
      </c>
      <c r="AB1518" s="74">
        <f t="shared" si="485"/>
        <v>0</v>
      </c>
      <c r="AC1518" s="74" t="str">
        <f t="shared" si="486"/>
        <v/>
      </c>
      <c r="AE1518" s="74" t="str">
        <f t="shared" si="487"/>
        <v/>
      </c>
      <c r="AF1518" s="74" t="str">
        <f t="shared" si="488"/>
        <v/>
      </c>
      <c r="AG1518" s="74" t="str">
        <f t="shared" si="489"/>
        <v/>
      </c>
      <c r="AH1518" s="74">
        <f t="shared" si="490"/>
        <v>0</v>
      </c>
      <c r="AI1518" s="74" t="str">
        <f>IF(AH1518&lt;&gt;0,COUNTIF(AH$3:AH1518,1),"")</f>
        <v/>
      </c>
      <c r="AJ1518" s="74">
        <f t="shared" si="491"/>
        <v>0</v>
      </c>
      <c r="AK1518" s="73" t="str">
        <f t="shared" si="492"/>
        <v/>
      </c>
      <c r="AL1518" s="73" t="str">
        <f t="shared" si="493"/>
        <v/>
      </c>
      <c r="AM1518" s="73" t="str">
        <f t="shared" si="494"/>
        <v/>
      </c>
      <c r="AN1518" s="73" t="str">
        <f t="shared" si="495"/>
        <v/>
      </c>
    </row>
    <row r="1519" spans="16:40" x14ac:dyDescent="0.25">
      <c r="P1519" s="73" t="str">
        <f t="shared" si="479"/>
        <v/>
      </c>
      <c r="Q1519" s="73" t="str">
        <f t="shared" si="480"/>
        <v/>
      </c>
      <c r="R1519" s="74" t="str">
        <f t="shared" si="481"/>
        <v/>
      </c>
      <c r="S1519" s="74" t="str">
        <f t="shared" si="482"/>
        <v/>
      </c>
      <c r="U1519" s="74" t="str">
        <f t="shared" si="496"/>
        <v/>
      </c>
      <c r="V1519" s="74" t="str">
        <f t="shared" si="496"/>
        <v/>
      </c>
      <c r="W1519" s="74" t="str">
        <f t="shared" si="496"/>
        <v/>
      </c>
      <c r="X1519" s="74" t="str">
        <f t="shared" si="496"/>
        <v/>
      </c>
      <c r="Y1519" s="74" t="str">
        <f t="shared" si="496"/>
        <v/>
      </c>
      <c r="Z1519" s="74" t="str">
        <f t="shared" si="483"/>
        <v/>
      </c>
      <c r="AA1519" s="74">
        <f t="shared" si="484"/>
        <v>0</v>
      </c>
      <c r="AB1519" s="74">
        <f t="shared" si="485"/>
        <v>0</v>
      </c>
      <c r="AC1519" s="74" t="str">
        <f t="shared" si="486"/>
        <v/>
      </c>
      <c r="AE1519" s="74" t="str">
        <f t="shared" si="487"/>
        <v/>
      </c>
      <c r="AF1519" s="74" t="str">
        <f t="shared" si="488"/>
        <v/>
      </c>
      <c r="AG1519" s="74" t="str">
        <f t="shared" si="489"/>
        <v/>
      </c>
      <c r="AH1519" s="74">
        <f t="shared" si="490"/>
        <v>0</v>
      </c>
      <c r="AI1519" s="74" t="str">
        <f>IF(AH1519&lt;&gt;0,COUNTIF(AH$3:AH1519,1),"")</f>
        <v/>
      </c>
      <c r="AJ1519" s="74">
        <f t="shared" si="491"/>
        <v>0</v>
      </c>
      <c r="AK1519" s="73" t="str">
        <f t="shared" si="492"/>
        <v/>
      </c>
      <c r="AL1519" s="73" t="str">
        <f t="shared" si="493"/>
        <v/>
      </c>
      <c r="AM1519" s="73" t="str">
        <f t="shared" si="494"/>
        <v/>
      </c>
      <c r="AN1519" s="73" t="str">
        <f t="shared" si="495"/>
        <v/>
      </c>
    </row>
    <row r="1520" spans="16:40" x14ac:dyDescent="0.25">
      <c r="P1520" s="73" t="str">
        <f t="shared" si="479"/>
        <v/>
      </c>
      <c r="Q1520" s="73" t="str">
        <f t="shared" si="480"/>
        <v/>
      </c>
      <c r="R1520" s="74" t="str">
        <f t="shared" si="481"/>
        <v/>
      </c>
      <c r="S1520" s="74" t="str">
        <f t="shared" si="482"/>
        <v/>
      </c>
      <c r="U1520" s="74" t="str">
        <f t="shared" si="496"/>
        <v/>
      </c>
      <c r="V1520" s="74" t="str">
        <f t="shared" si="496"/>
        <v/>
      </c>
      <c r="W1520" s="74" t="str">
        <f t="shared" si="496"/>
        <v/>
      </c>
      <c r="X1520" s="74" t="str">
        <f t="shared" si="496"/>
        <v/>
      </c>
      <c r="Y1520" s="74" t="str">
        <f t="shared" si="496"/>
        <v/>
      </c>
      <c r="Z1520" s="74" t="str">
        <f t="shared" si="483"/>
        <v/>
      </c>
      <c r="AA1520" s="74">
        <f t="shared" si="484"/>
        <v>0</v>
      </c>
      <c r="AB1520" s="74">
        <f t="shared" si="485"/>
        <v>0</v>
      </c>
      <c r="AC1520" s="74" t="str">
        <f t="shared" si="486"/>
        <v/>
      </c>
      <c r="AE1520" s="74" t="str">
        <f t="shared" si="487"/>
        <v/>
      </c>
      <c r="AF1520" s="74" t="str">
        <f t="shared" si="488"/>
        <v/>
      </c>
      <c r="AG1520" s="74" t="str">
        <f t="shared" si="489"/>
        <v/>
      </c>
      <c r="AH1520" s="74">
        <f t="shared" si="490"/>
        <v>0</v>
      </c>
      <c r="AI1520" s="74" t="str">
        <f>IF(AH1520&lt;&gt;0,COUNTIF(AH$3:AH1520,1),"")</f>
        <v/>
      </c>
      <c r="AJ1520" s="74">
        <f t="shared" si="491"/>
        <v>0</v>
      </c>
      <c r="AK1520" s="73" t="str">
        <f t="shared" si="492"/>
        <v/>
      </c>
      <c r="AL1520" s="73" t="str">
        <f t="shared" si="493"/>
        <v/>
      </c>
      <c r="AM1520" s="73" t="str">
        <f t="shared" si="494"/>
        <v/>
      </c>
      <c r="AN1520" s="73" t="str">
        <f t="shared" si="495"/>
        <v/>
      </c>
    </row>
    <row r="1521" spans="16:40" x14ac:dyDescent="0.25">
      <c r="P1521" s="73" t="str">
        <f t="shared" si="479"/>
        <v/>
      </c>
      <c r="Q1521" s="73" t="str">
        <f t="shared" si="480"/>
        <v/>
      </c>
      <c r="R1521" s="74" t="str">
        <f t="shared" si="481"/>
        <v/>
      </c>
      <c r="S1521" s="74" t="str">
        <f t="shared" si="482"/>
        <v/>
      </c>
      <c r="U1521" s="74" t="str">
        <f t="shared" si="496"/>
        <v/>
      </c>
      <c r="V1521" s="74" t="str">
        <f t="shared" si="496"/>
        <v/>
      </c>
      <c r="W1521" s="74" t="str">
        <f t="shared" si="496"/>
        <v/>
      </c>
      <c r="X1521" s="74" t="str">
        <f t="shared" si="496"/>
        <v/>
      </c>
      <c r="Y1521" s="74" t="str">
        <f t="shared" si="496"/>
        <v/>
      </c>
      <c r="Z1521" s="74" t="str">
        <f t="shared" si="483"/>
        <v/>
      </c>
      <c r="AA1521" s="74">
        <f t="shared" si="484"/>
        <v>0</v>
      </c>
      <c r="AB1521" s="74">
        <f t="shared" si="485"/>
        <v>0</v>
      </c>
      <c r="AC1521" s="74" t="str">
        <f t="shared" si="486"/>
        <v/>
      </c>
      <c r="AE1521" s="74" t="str">
        <f t="shared" si="487"/>
        <v/>
      </c>
      <c r="AF1521" s="74" t="str">
        <f t="shared" si="488"/>
        <v/>
      </c>
      <c r="AG1521" s="74" t="str">
        <f t="shared" si="489"/>
        <v/>
      </c>
      <c r="AH1521" s="74">
        <f t="shared" si="490"/>
        <v>0</v>
      </c>
      <c r="AI1521" s="74" t="str">
        <f>IF(AH1521&lt;&gt;0,COUNTIF(AH$3:AH1521,1),"")</f>
        <v/>
      </c>
      <c r="AJ1521" s="74">
        <f t="shared" si="491"/>
        <v>0</v>
      </c>
      <c r="AK1521" s="73" t="str">
        <f t="shared" si="492"/>
        <v/>
      </c>
      <c r="AL1521" s="73" t="str">
        <f t="shared" si="493"/>
        <v/>
      </c>
      <c r="AM1521" s="73" t="str">
        <f t="shared" si="494"/>
        <v/>
      </c>
      <c r="AN1521" s="73" t="str">
        <f t="shared" si="495"/>
        <v/>
      </c>
    </row>
    <row r="1522" spans="16:40" x14ac:dyDescent="0.25">
      <c r="P1522" s="73" t="str">
        <f t="shared" si="479"/>
        <v/>
      </c>
      <c r="Q1522" s="73" t="str">
        <f t="shared" si="480"/>
        <v/>
      </c>
      <c r="R1522" s="74" t="str">
        <f t="shared" si="481"/>
        <v/>
      </c>
      <c r="S1522" s="74" t="str">
        <f t="shared" si="482"/>
        <v/>
      </c>
      <c r="U1522" s="74" t="str">
        <f t="shared" si="496"/>
        <v/>
      </c>
      <c r="V1522" s="74" t="str">
        <f t="shared" si="496"/>
        <v/>
      </c>
      <c r="W1522" s="74" t="str">
        <f t="shared" si="496"/>
        <v/>
      </c>
      <c r="X1522" s="74" t="str">
        <f t="shared" si="496"/>
        <v/>
      </c>
      <c r="Y1522" s="74" t="str">
        <f t="shared" si="496"/>
        <v/>
      </c>
      <c r="Z1522" s="74" t="str">
        <f t="shared" si="483"/>
        <v/>
      </c>
      <c r="AA1522" s="74">
        <f t="shared" si="484"/>
        <v>0</v>
      </c>
      <c r="AB1522" s="74">
        <f t="shared" si="485"/>
        <v>0</v>
      </c>
      <c r="AC1522" s="74" t="str">
        <f t="shared" si="486"/>
        <v/>
      </c>
      <c r="AE1522" s="74" t="str">
        <f t="shared" si="487"/>
        <v/>
      </c>
      <c r="AF1522" s="74" t="str">
        <f t="shared" si="488"/>
        <v/>
      </c>
      <c r="AG1522" s="74" t="str">
        <f t="shared" si="489"/>
        <v/>
      </c>
      <c r="AH1522" s="74">
        <f t="shared" si="490"/>
        <v>0</v>
      </c>
      <c r="AI1522" s="74" t="str">
        <f>IF(AH1522&lt;&gt;0,COUNTIF(AH$3:AH1522,1),"")</f>
        <v/>
      </c>
      <c r="AJ1522" s="74">
        <f t="shared" si="491"/>
        <v>0</v>
      </c>
      <c r="AK1522" s="73" t="str">
        <f t="shared" si="492"/>
        <v/>
      </c>
      <c r="AL1522" s="73" t="str">
        <f t="shared" si="493"/>
        <v/>
      </c>
      <c r="AM1522" s="73" t="str">
        <f t="shared" si="494"/>
        <v/>
      </c>
      <c r="AN1522" s="73" t="str">
        <f t="shared" si="495"/>
        <v/>
      </c>
    </row>
    <row r="1523" spans="16:40" x14ac:dyDescent="0.25">
      <c r="P1523" s="73" t="str">
        <f t="shared" si="479"/>
        <v/>
      </c>
      <c r="Q1523" s="73" t="str">
        <f t="shared" si="480"/>
        <v/>
      </c>
      <c r="R1523" s="74" t="str">
        <f t="shared" si="481"/>
        <v/>
      </c>
      <c r="S1523" s="74" t="str">
        <f t="shared" si="482"/>
        <v/>
      </c>
      <c r="U1523" s="74" t="str">
        <f t="shared" si="496"/>
        <v/>
      </c>
      <c r="V1523" s="74" t="str">
        <f t="shared" si="496"/>
        <v/>
      </c>
      <c r="W1523" s="74" t="str">
        <f t="shared" si="496"/>
        <v/>
      </c>
      <c r="X1523" s="74" t="str">
        <f t="shared" si="496"/>
        <v/>
      </c>
      <c r="Y1523" s="74" t="str">
        <f t="shared" si="496"/>
        <v/>
      </c>
      <c r="Z1523" s="74" t="str">
        <f t="shared" si="483"/>
        <v/>
      </c>
      <c r="AA1523" s="74">
        <f t="shared" si="484"/>
        <v>0</v>
      </c>
      <c r="AB1523" s="74">
        <f t="shared" si="485"/>
        <v>0</v>
      </c>
      <c r="AC1523" s="74" t="str">
        <f t="shared" si="486"/>
        <v/>
      </c>
      <c r="AE1523" s="74" t="str">
        <f t="shared" si="487"/>
        <v/>
      </c>
      <c r="AF1523" s="74" t="str">
        <f t="shared" si="488"/>
        <v/>
      </c>
      <c r="AG1523" s="74" t="str">
        <f t="shared" si="489"/>
        <v/>
      </c>
      <c r="AH1523" s="74">
        <f t="shared" si="490"/>
        <v>0</v>
      </c>
      <c r="AI1523" s="74" t="str">
        <f>IF(AH1523&lt;&gt;0,COUNTIF(AH$3:AH1523,1),"")</f>
        <v/>
      </c>
      <c r="AJ1523" s="74">
        <f t="shared" si="491"/>
        <v>0</v>
      </c>
      <c r="AK1523" s="73" t="str">
        <f t="shared" si="492"/>
        <v/>
      </c>
      <c r="AL1523" s="73" t="str">
        <f t="shared" si="493"/>
        <v/>
      </c>
      <c r="AM1523" s="73" t="str">
        <f t="shared" si="494"/>
        <v/>
      </c>
      <c r="AN1523" s="73" t="str">
        <f t="shared" si="495"/>
        <v/>
      </c>
    </row>
    <row r="1524" spans="16:40" x14ac:dyDescent="0.25">
      <c r="P1524" s="73" t="str">
        <f t="shared" si="479"/>
        <v/>
      </c>
      <c r="Q1524" s="73" t="str">
        <f t="shared" si="480"/>
        <v/>
      </c>
      <c r="R1524" s="74" t="str">
        <f t="shared" si="481"/>
        <v/>
      </c>
      <c r="S1524" s="74" t="str">
        <f t="shared" si="482"/>
        <v/>
      </c>
      <c r="U1524" s="74" t="str">
        <f t="shared" si="496"/>
        <v/>
      </c>
      <c r="V1524" s="74" t="str">
        <f t="shared" si="496"/>
        <v/>
      </c>
      <c r="W1524" s="74" t="str">
        <f t="shared" si="496"/>
        <v/>
      </c>
      <c r="X1524" s="74" t="str">
        <f t="shared" si="496"/>
        <v/>
      </c>
      <c r="Y1524" s="74" t="str">
        <f t="shared" si="496"/>
        <v/>
      </c>
      <c r="Z1524" s="74" t="str">
        <f t="shared" si="483"/>
        <v/>
      </c>
      <c r="AA1524" s="74">
        <f t="shared" si="484"/>
        <v>0</v>
      </c>
      <c r="AB1524" s="74">
        <f t="shared" si="485"/>
        <v>0</v>
      </c>
      <c r="AC1524" s="74" t="str">
        <f t="shared" si="486"/>
        <v/>
      </c>
      <c r="AE1524" s="74" t="str">
        <f t="shared" si="487"/>
        <v/>
      </c>
      <c r="AF1524" s="74" t="str">
        <f t="shared" si="488"/>
        <v/>
      </c>
      <c r="AG1524" s="74" t="str">
        <f t="shared" si="489"/>
        <v/>
      </c>
      <c r="AH1524" s="74">
        <f t="shared" si="490"/>
        <v>0</v>
      </c>
      <c r="AI1524" s="74" t="str">
        <f>IF(AH1524&lt;&gt;0,COUNTIF(AH$3:AH1524,1),"")</f>
        <v/>
      </c>
      <c r="AJ1524" s="74">
        <f t="shared" si="491"/>
        <v>0</v>
      </c>
      <c r="AK1524" s="73" t="str">
        <f t="shared" si="492"/>
        <v/>
      </c>
      <c r="AL1524" s="73" t="str">
        <f t="shared" si="493"/>
        <v/>
      </c>
      <c r="AM1524" s="73" t="str">
        <f t="shared" si="494"/>
        <v/>
      </c>
      <c r="AN1524" s="73" t="str">
        <f t="shared" si="495"/>
        <v/>
      </c>
    </row>
    <row r="1525" spans="16:40" x14ac:dyDescent="0.25">
      <c r="P1525" s="73" t="str">
        <f t="shared" si="479"/>
        <v/>
      </c>
      <c r="Q1525" s="73" t="str">
        <f t="shared" si="480"/>
        <v/>
      </c>
      <c r="R1525" s="74" t="str">
        <f t="shared" si="481"/>
        <v/>
      </c>
      <c r="S1525" s="74" t="str">
        <f t="shared" si="482"/>
        <v/>
      </c>
      <c r="U1525" s="74" t="str">
        <f t="shared" si="496"/>
        <v/>
      </c>
      <c r="V1525" s="74" t="str">
        <f t="shared" si="496"/>
        <v/>
      </c>
      <c r="W1525" s="74" t="str">
        <f t="shared" si="496"/>
        <v/>
      </c>
      <c r="X1525" s="74" t="str">
        <f t="shared" si="496"/>
        <v/>
      </c>
      <c r="Y1525" s="74" t="str">
        <f t="shared" si="496"/>
        <v/>
      </c>
      <c r="Z1525" s="74" t="str">
        <f t="shared" si="483"/>
        <v/>
      </c>
      <c r="AA1525" s="74">
        <f t="shared" si="484"/>
        <v>0</v>
      </c>
      <c r="AB1525" s="74">
        <f t="shared" si="485"/>
        <v>0</v>
      </c>
      <c r="AC1525" s="74" t="str">
        <f t="shared" si="486"/>
        <v/>
      </c>
      <c r="AE1525" s="74" t="str">
        <f t="shared" si="487"/>
        <v/>
      </c>
      <c r="AF1525" s="74" t="str">
        <f t="shared" si="488"/>
        <v/>
      </c>
      <c r="AG1525" s="74" t="str">
        <f t="shared" si="489"/>
        <v/>
      </c>
      <c r="AH1525" s="74">
        <f t="shared" si="490"/>
        <v>0</v>
      </c>
      <c r="AI1525" s="74" t="str">
        <f>IF(AH1525&lt;&gt;0,COUNTIF(AH$3:AH1525,1),"")</f>
        <v/>
      </c>
      <c r="AJ1525" s="74">
        <f t="shared" si="491"/>
        <v>0</v>
      </c>
      <c r="AK1525" s="73" t="str">
        <f t="shared" si="492"/>
        <v/>
      </c>
      <c r="AL1525" s="73" t="str">
        <f t="shared" si="493"/>
        <v/>
      </c>
      <c r="AM1525" s="73" t="str">
        <f t="shared" si="494"/>
        <v/>
      </c>
      <c r="AN1525" s="73" t="str">
        <f t="shared" si="495"/>
        <v/>
      </c>
    </row>
    <row r="1526" spans="16:40" x14ac:dyDescent="0.25">
      <c r="P1526" s="73" t="str">
        <f t="shared" si="479"/>
        <v/>
      </c>
      <c r="Q1526" s="73" t="str">
        <f t="shared" si="480"/>
        <v/>
      </c>
      <c r="R1526" s="74" t="str">
        <f t="shared" si="481"/>
        <v/>
      </c>
      <c r="S1526" s="74" t="str">
        <f t="shared" si="482"/>
        <v/>
      </c>
      <c r="U1526" s="74" t="str">
        <f t="shared" si="496"/>
        <v/>
      </c>
      <c r="V1526" s="74" t="str">
        <f t="shared" si="496"/>
        <v/>
      </c>
      <c r="W1526" s="74" t="str">
        <f t="shared" si="496"/>
        <v/>
      </c>
      <c r="X1526" s="74" t="str">
        <f t="shared" si="496"/>
        <v/>
      </c>
      <c r="Y1526" s="74" t="str">
        <f t="shared" si="496"/>
        <v/>
      </c>
      <c r="Z1526" s="74" t="str">
        <f t="shared" si="483"/>
        <v/>
      </c>
      <c r="AA1526" s="74">
        <f t="shared" si="484"/>
        <v>0</v>
      </c>
      <c r="AB1526" s="74">
        <f t="shared" si="485"/>
        <v>0</v>
      </c>
      <c r="AC1526" s="74" t="str">
        <f t="shared" si="486"/>
        <v/>
      </c>
      <c r="AE1526" s="74" t="str">
        <f t="shared" si="487"/>
        <v/>
      </c>
      <c r="AF1526" s="74" t="str">
        <f t="shared" si="488"/>
        <v/>
      </c>
      <c r="AG1526" s="74" t="str">
        <f t="shared" si="489"/>
        <v/>
      </c>
      <c r="AH1526" s="74">
        <f t="shared" si="490"/>
        <v>0</v>
      </c>
      <c r="AI1526" s="74" t="str">
        <f>IF(AH1526&lt;&gt;0,COUNTIF(AH$3:AH1526,1),"")</f>
        <v/>
      </c>
      <c r="AJ1526" s="74">
        <f t="shared" si="491"/>
        <v>0</v>
      </c>
      <c r="AK1526" s="73" t="str">
        <f t="shared" si="492"/>
        <v/>
      </c>
      <c r="AL1526" s="73" t="str">
        <f t="shared" si="493"/>
        <v/>
      </c>
      <c r="AM1526" s="73" t="str">
        <f t="shared" si="494"/>
        <v/>
      </c>
      <c r="AN1526" s="73" t="str">
        <f t="shared" si="495"/>
        <v/>
      </c>
    </row>
    <row r="1527" spans="16:40" x14ac:dyDescent="0.25">
      <c r="P1527" s="73" t="str">
        <f t="shared" si="479"/>
        <v/>
      </c>
      <c r="Q1527" s="73" t="str">
        <f t="shared" si="480"/>
        <v/>
      </c>
      <c r="R1527" s="74" t="str">
        <f t="shared" si="481"/>
        <v/>
      </c>
      <c r="S1527" s="74" t="str">
        <f t="shared" si="482"/>
        <v/>
      </c>
      <c r="U1527" s="74" t="str">
        <f t="shared" si="496"/>
        <v/>
      </c>
      <c r="V1527" s="74" t="str">
        <f t="shared" si="496"/>
        <v/>
      </c>
      <c r="W1527" s="74" t="str">
        <f t="shared" si="496"/>
        <v/>
      </c>
      <c r="X1527" s="74" t="str">
        <f t="shared" si="496"/>
        <v/>
      </c>
      <c r="Y1527" s="74" t="str">
        <f t="shared" si="496"/>
        <v/>
      </c>
      <c r="Z1527" s="74" t="str">
        <f t="shared" si="483"/>
        <v/>
      </c>
      <c r="AA1527" s="74">
        <f t="shared" si="484"/>
        <v>0</v>
      </c>
      <c r="AB1527" s="74">
        <f t="shared" si="485"/>
        <v>0</v>
      </c>
      <c r="AC1527" s="74" t="str">
        <f t="shared" si="486"/>
        <v/>
      </c>
      <c r="AE1527" s="74" t="str">
        <f t="shared" si="487"/>
        <v/>
      </c>
      <c r="AF1527" s="74" t="str">
        <f t="shared" si="488"/>
        <v/>
      </c>
      <c r="AG1527" s="74" t="str">
        <f t="shared" si="489"/>
        <v/>
      </c>
      <c r="AH1527" s="74">
        <f t="shared" si="490"/>
        <v>0</v>
      </c>
      <c r="AI1527" s="74" t="str">
        <f>IF(AH1527&lt;&gt;0,COUNTIF(AH$3:AH1527,1),"")</f>
        <v/>
      </c>
      <c r="AJ1527" s="74">
        <f t="shared" si="491"/>
        <v>0</v>
      </c>
      <c r="AK1527" s="73" t="str">
        <f t="shared" si="492"/>
        <v/>
      </c>
      <c r="AL1527" s="73" t="str">
        <f t="shared" si="493"/>
        <v/>
      </c>
      <c r="AM1527" s="73" t="str">
        <f t="shared" si="494"/>
        <v/>
      </c>
      <c r="AN1527" s="73" t="str">
        <f t="shared" si="495"/>
        <v/>
      </c>
    </row>
    <row r="1528" spans="16:40" x14ac:dyDescent="0.25">
      <c r="P1528" s="73" t="str">
        <f t="shared" si="479"/>
        <v/>
      </c>
      <c r="Q1528" s="73" t="str">
        <f t="shared" si="480"/>
        <v/>
      </c>
      <c r="R1528" s="74" t="str">
        <f t="shared" si="481"/>
        <v/>
      </c>
      <c r="S1528" s="74" t="str">
        <f t="shared" si="482"/>
        <v/>
      </c>
      <c r="U1528" s="74" t="str">
        <f t="shared" si="496"/>
        <v/>
      </c>
      <c r="V1528" s="74" t="str">
        <f t="shared" si="496"/>
        <v/>
      </c>
      <c r="W1528" s="74" t="str">
        <f t="shared" si="496"/>
        <v/>
      </c>
      <c r="X1528" s="74" t="str">
        <f t="shared" si="496"/>
        <v/>
      </c>
      <c r="Y1528" s="74" t="str">
        <f t="shared" si="496"/>
        <v/>
      </c>
      <c r="Z1528" s="74" t="str">
        <f t="shared" si="483"/>
        <v/>
      </c>
      <c r="AA1528" s="74">
        <f t="shared" si="484"/>
        <v>0</v>
      </c>
      <c r="AB1528" s="74">
        <f t="shared" si="485"/>
        <v>0</v>
      </c>
      <c r="AC1528" s="74" t="str">
        <f t="shared" si="486"/>
        <v/>
      </c>
      <c r="AE1528" s="74" t="str">
        <f t="shared" si="487"/>
        <v/>
      </c>
      <c r="AF1528" s="74" t="str">
        <f t="shared" si="488"/>
        <v/>
      </c>
      <c r="AG1528" s="74" t="str">
        <f t="shared" si="489"/>
        <v/>
      </c>
      <c r="AH1528" s="74">
        <f t="shared" si="490"/>
        <v>0</v>
      </c>
      <c r="AI1528" s="74" t="str">
        <f>IF(AH1528&lt;&gt;0,COUNTIF(AH$3:AH1528,1),"")</f>
        <v/>
      </c>
      <c r="AJ1528" s="74">
        <f t="shared" si="491"/>
        <v>0</v>
      </c>
      <c r="AK1528" s="73" t="str">
        <f t="shared" si="492"/>
        <v/>
      </c>
      <c r="AL1528" s="73" t="str">
        <f t="shared" si="493"/>
        <v/>
      </c>
      <c r="AM1528" s="73" t="str">
        <f t="shared" si="494"/>
        <v/>
      </c>
      <c r="AN1528" s="73" t="str">
        <f t="shared" si="495"/>
        <v/>
      </c>
    </row>
    <row r="1529" spans="16:40" x14ac:dyDescent="0.25">
      <c r="P1529" s="73" t="str">
        <f t="shared" si="479"/>
        <v/>
      </c>
      <c r="Q1529" s="73" t="str">
        <f t="shared" si="480"/>
        <v/>
      </c>
      <c r="R1529" s="74" t="str">
        <f t="shared" si="481"/>
        <v/>
      </c>
      <c r="S1529" s="74" t="str">
        <f t="shared" si="482"/>
        <v/>
      </c>
      <c r="U1529" s="74" t="str">
        <f t="shared" si="496"/>
        <v/>
      </c>
      <c r="V1529" s="74" t="str">
        <f t="shared" si="496"/>
        <v/>
      </c>
      <c r="W1529" s="74" t="str">
        <f t="shared" si="496"/>
        <v/>
      </c>
      <c r="X1529" s="74" t="str">
        <f t="shared" si="496"/>
        <v/>
      </c>
      <c r="Y1529" s="74" t="str">
        <f t="shared" si="496"/>
        <v/>
      </c>
      <c r="Z1529" s="74" t="str">
        <f t="shared" si="483"/>
        <v/>
      </c>
      <c r="AA1529" s="74">
        <f t="shared" si="484"/>
        <v>0</v>
      </c>
      <c r="AB1529" s="74">
        <f t="shared" si="485"/>
        <v>0</v>
      </c>
      <c r="AC1529" s="74" t="str">
        <f t="shared" si="486"/>
        <v/>
      </c>
      <c r="AE1529" s="74" t="str">
        <f t="shared" si="487"/>
        <v/>
      </c>
      <c r="AF1529" s="74" t="str">
        <f t="shared" si="488"/>
        <v/>
      </c>
      <c r="AG1529" s="74" t="str">
        <f t="shared" si="489"/>
        <v/>
      </c>
      <c r="AH1529" s="74">
        <f t="shared" si="490"/>
        <v>0</v>
      </c>
      <c r="AI1529" s="74" t="str">
        <f>IF(AH1529&lt;&gt;0,COUNTIF(AH$3:AH1529,1),"")</f>
        <v/>
      </c>
      <c r="AJ1529" s="74">
        <f t="shared" si="491"/>
        <v>0</v>
      </c>
      <c r="AK1529" s="73" t="str">
        <f t="shared" si="492"/>
        <v/>
      </c>
      <c r="AL1529" s="73" t="str">
        <f t="shared" si="493"/>
        <v/>
      </c>
      <c r="AM1529" s="73" t="str">
        <f t="shared" si="494"/>
        <v/>
      </c>
      <c r="AN1529" s="73" t="str">
        <f t="shared" si="495"/>
        <v/>
      </c>
    </row>
    <row r="1530" spans="16:40" x14ac:dyDescent="0.25">
      <c r="P1530" s="73" t="str">
        <f t="shared" si="479"/>
        <v/>
      </c>
      <c r="Q1530" s="73" t="str">
        <f t="shared" si="480"/>
        <v/>
      </c>
      <c r="R1530" s="74" t="str">
        <f t="shared" si="481"/>
        <v/>
      </c>
      <c r="S1530" s="74" t="str">
        <f t="shared" si="482"/>
        <v/>
      </c>
      <c r="U1530" s="74" t="str">
        <f t="shared" si="496"/>
        <v/>
      </c>
      <c r="V1530" s="74" t="str">
        <f t="shared" si="496"/>
        <v/>
      </c>
      <c r="W1530" s="74" t="str">
        <f t="shared" si="496"/>
        <v/>
      </c>
      <c r="X1530" s="74" t="str">
        <f t="shared" si="496"/>
        <v/>
      </c>
      <c r="Y1530" s="74" t="str">
        <f t="shared" si="496"/>
        <v/>
      </c>
      <c r="Z1530" s="74" t="str">
        <f t="shared" si="483"/>
        <v/>
      </c>
      <c r="AA1530" s="74">
        <f t="shared" si="484"/>
        <v>0</v>
      </c>
      <c r="AB1530" s="74">
        <f t="shared" si="485"/>
        <v>0</v>
      </c>
      <c r="AC1530" s="74" t="str">
        <f t="shared" si="486"/>
        <v/>
      </c>
      <c r="AE1530" s="74" t="str">
        <f t="shared" si="487"/>
        <v/>
      </c>
      <c r="AF1530" s="74" t="str">
        <f t="shared" si="488"/>
        <v/>
      </c>
      <c r="AG1530" s="74" t="str">
        <f t="shared" si="489"/>
        <v/>
      </c>
      <c r="AH1530" s="74">
        <f t="shared" si="490"/>
        <v>0</v>
      </c>
      <c r="AI1530" s="74" t="str">
        <f>IF(AH1530&lt;&gt;0,COUNTIF(AH$3:AH1530,1),"")</f>
        <v/>
      </c>
      <c r="AJ1530" s="74">
        <f t="shared" si="491"/>
        <v>0</v>
      </c>
      <c r="AK1530" s="73" t="str">
        <f t="shared" si="492"/>
        <v/>
      </c>
      <c r="AL1530" s="73" t="str">
        <f t="shared" si="493"/>
        <v/>
      </c>
      <c r="AM1530" s="73" t="str">
        <f t="shared" si="494"/>
        <v/>
      </c>
      <c r="AN1530" s="73" t="str">
        <f t="shared" si="495"/>
        <v/>
      </c>
    </row>
    <row r="1531" spans="16:40" x14ac:dyDescent="0.25">
      <c r="P1531" s="73" t="str">
        <f t="shared" si="479"/>
        <v/>
      </c>
      <c r="Q1531" s="73" t="str">
        <f t="shared" si="480"/>
        <v/>
      </c>
      <c r="R1531" s="74" t="str">
        <f t="shared" si="481"/>
        <v/>
      </c>
      <c r="S1531" s="74" t="str">
        <f t="shared" si="482"/>
        <v/>
      </c>
      <c r="U1531" s="74" t="str">
        <f t="shared" si="496"/>
        <v/>
      </c>
      <c r="V1531" s="74" t="str">
        <f t="shared" si="496"/>
        <v/>
      </c>
      <c r="W1531" s="74" t="str">
        <f t="shared" si="496"/>
        <v/>
      </c>
      <c r="X1531" s="74" t="str">
        <f t="shared" si="496"/>
        <v/>
      </c>
      <c r="Y1531" s="74" t="str">
        <f t="shared" si="496"/>
        <v/>
      </c>
      <c r="Z1531" s="74" t="str">
        <f t="shared" si="483"/>
        <v/>
      </c>
      <c r="AA1531" s="74">
        <f t="shared" si="484"/>
        <v>0</v>
      </c>
      <c r="AB1531" s="74">
        <f t="shared" si="485"/>
        <v>0</v>
      </c>
      <c r="AC1531" s="74" t="str">
        <f t="shared" si="486"/>
        <v/>
      </c>
      <c r="AE1531" s="74" t="str">
        <f t="shared" si="487"/>
        <v/>
      </c>
      <c r="AF1531" s="74" t="str">
        <f t="shared" si="488"/>
        <v/>
      </c>
      <c r="AG1531" s="74" t="str">
        <f t="shared" si="489"/>
        <v/>
      </c>
      <c r="AH1531" s="74">
        <f t="shared" si="490"/>
        <v>0</v>
      </c>
      <c r="AI1531" s="74" t="str">
        <f>IF(AH1531&lt;&gt;0,COUNTIF(AH$3:AH1531,1),"")</f>
        <v/>
      </c>
      <c r="AJ1531" s="74">
        <f t="shared" si="491"/>
        <v>0</v>
      </c>
      <c r="AK1531" s="73" t="str">
        <f t="shared" si="492"/>
        <v/>
      </c>
      <c r="AL1531" s="73" t="str">
        <f t="shared" si="493"/>
        <v/>
      </c>
      <c r="AM1531" s="73" t="str">
        <f t="shared" si="494"/>
        <v/>
      </c>
      <c r="AN1531" s="73" t="str">
        <f t="shared" si="495"/>
        <v/>
      </c>
    </row>
    <row r="1532" spans="16:40" x14ac:dyDescent="0.25">
      <c r="P1532" s="73" t="str">
        <f t="shared" si="479"/>
        <v/>
      </c>
      <c r="Q1532" s="73" t="str">
        <f t="shared" si="480"/>
        <v/>
      </c>
      <c r="R1532" s="74" t="str">
        <f t="shared" si="481"/>
        <v/>
      </c>
      <c r="S1532" s="74" t="str">
        <f t="shared" si="482"/>
        <v/>
      </c>
      <c r="U1532" s="74" t="str">
        <f t="shared" si="496"/>
        <v/>
      </c>
      <c r="V1532" s="74" t="str">
        <f t="shared" si="496"/>
        <v/>
      </c>
      <c r="W1532" s="74" t="str">
        <f t="shared" si="496"/>
        <v/>
      </c>
      <c r="X1532" s="74" t="str">
        <f t="shared" si="496"/>
        <v/>
      </c>
      <c r="Y1532" s="74" t="str">
        <f t="shared" si="496"/>
        <v/>
      </c>
      <c r="Z1532" s="74" t="str">
        <f t="shared" si="483"/>
        <v/>
      </c>
      <c r="AA1532" s="74">
        <f t="shared" si="484"/>
        <v>0</v>
      </c>
      <c r="AB1532" s="74">
        <f t="shared" si="485"/>
        <v>0</v>
      </c>
      <c r="AC1532" s="74" t="str">
        <f t="shared" si="486"/>
        <v/>
      </c>
      <c r="AE1532" s="74" t="str">
        <f t="shared" si="487"/>
        <v/>
      </c>
      <c r="AF1532" s="74" t="str">
        <f t="shared" si="488"/>
        <v/>
      </c>
      <c r="AG1532" s="74" t="str">
        <f t="shared" si="489"/>
        <v/>
      </c>
      <c r="AH1532" s="74">
        <f t="shared" si="490"/>
        <v>0</v>
      </c>
      <c r="AI1532" s="74" t="str">
        <f>IF(AH1532&lt;&gt;0,COUNTIF(AH$3:AH1532,1),"")</f>
        <v/>
      </c>
      <c r="AJ1532" s="74">
        <f t="shared" si="491"/>
        <v>0</v>
      </c>
      <c r="AK1532" s="73" t="str">
        <f t="shared" si="492"/>
        <v/>
      </c>
      <c r="AL1532" s="73" t="str">
        <f t="shared" si="493"/>
        <v/>
      </c>
      <c r="AM1532" s="73" t="str">
        <f t="shared" si="494"/>
        <v/>
      </c>
      <c r="AN1532" s="73" t="str">
        <f t="shared" si="495"/>
        <v/>
      </c>
    </row>
    <row r="1533" spans="16:40" x14ac:dyDescent="0.25">
      <c r="P1533" s="73" t="str">
        <f t="shared" si="479"/>
        <v/>
      </c>
      <c r="Q1533" s="73" t="str">
        <f t="shared" si="480"/>
        <v/>
      </c>
      <c r="R1533" s="74" t="str">
        <f t="shared" si="481"/>
        <v/>
      </c>
      <c r="S1533" s="74" t="str">
        <f t="shared" si="482"/>
        <v/>
      </c>
      <c r="U1533" s="74" t="str">
        <f t="shared" si="496"/>
        <v/>
      </c>
      <c r="V1533" s="74" t="str">
        <f t="shared" si="496"/>
        <v/>
      </c>
      <c r="W1533" s="74" t="str">
        <f t="shared" si="496"/>
        <v/>
      </c>
      <c r="X1533" s="74" t="str">
        <f t="shared" si="496"/>
        <v/>
      </c>
      <c r="Y1533" s="74" t="str">
        <f t="shared" si="496"/>
        <v/>
      </c>
      <c r="Z1533" s="74" t="str">
        <f t="shared" si="483"/>
        <v/>
      </c>
      <c r="AA1533" s="74">
        <f t="shared" si="484"/>
        <v>0</v>
      </c>
      <c r="AB1533" s="74">
        <f t="shared" si="485"/>
        <v>0</v>
      </c>
      <c r="AC1533" s="74" t="str">
        <f t="shared" si="486"/>
        <v/>
      </c>
      <c r="AE1533" s="74" t="str">
        <f t="shared" si="487"/>
        <v/>
      </c>
      <c r="AF1533" s="74" t="str">
        <f t="shared" si="488"/>
        <v/>
      </c>
      <c r="AG1533" s="74" t="str">
        <f t="shared" si="489"/>
        <v/>
      </c>
      <c r="AH1533" s="74">
        <f t="shared" si="490"/>
        <v>0</v>
      </c>
      <c r="AI1533" s="74" t="str">
        <f>IF(AH1533&lt;&gt;0,COUNTIF(AH$3:AH1533,1),"")</f>
        <v/>
      </c>
      <c r="AJ1533" s="74">
        <f t="shared" si="491"/>
        <v>0</v>
      </c>
      <c r="AK1533" s="73" t="str">
        <f t="shared" si="492"/>
        <v/>
      </c>
      <c r="AL1533" s="73" t="str">
        <f t="shared" si="493"/>
        <v/>
      </c>
      <c r="AM1533" s="73" t="str">
        <f t="shared" si="494"/>
        <v/>
      </c>
      <c r="AN1533" s="73" t="str">
        <f t="shared" si="495"/>
        <v/>
      </c>
    </row>
    <row r="1534" spans="16:40" x14ac:dyDescent="0.25">
      <c r="P1534" s="73" t="str">
        <f t="shared" ref="P1534:P1593" si="497">IF(N1534&lt;&gt;"",SUBSTITUTE(LEFT(N1534,FIND(";",N1534)),";",""),"")</f>
        <v/>
      </c>
      <c r="Q1534" s="73" t="str">
        <f t="shared" ref="Q1534:Q1593" si="498">IF(N1534&lt;&gt;"",SUBSTITUTE(RIGHT(N1534,FIND(";",N1534)),";",""),"")</f>
        <v/>
      </c>
      <c r="R1534" s="74" t="str">
        <f t="shared" ref="R1534:R1593" si="499">IF(O1534&lt;&gt;"",SUBSTITUTE(LEFT(O1534,FIND(";",O1534)),";",""),"")</f>
        <v/>
      </c>
      <c r="S1534" s="74" t="str">
        <f t="shared" ref="S1534:S1593" si="500">IF(O1534&lt;&gt;"",IFERROR(IF(FIND("OK",O1534)&gt;0,TRUE),FALSE),"")</f>
        <v/>
      </c>
      <c r="U1534" s="74" t="str">
        <f t="shared" si="496"/>
        <v/>
      </c>
      <c r="V1534" s="74" t="str">
        <f t="shared" si="496"/>
        <v/>
      </c>
      <c r="W1534" s="74" t="str">
        <f t="shared" si="496"/>
        <v/>
      </c>
      <c r="X1534" s="74" t="str">
        <f t="shared" si="496"/>
        <v/>
      </c>
      <c r="Y1534" s="74" t="str">
        <f t="shared" si="496"/>
        <v/>
      </c>
      <c r="Z1534" s="74" t="str">
        <f t="shared" ref="Z1534:Z1593" si="501">IF(G1534,E1534,"")</f>
        <v/>
      </c>
      <c r="AA1534" s="74">
        <f t="shared" ref="AA1534:AA1593" si="502">IF(G1534=FALSE,E1534,"")</f>
        <v>0</v>
      </c>
      <c r="AB1534" s="74">
        <f t="shared" ref="AB1534:AB1593" si="503">IF(G1534,1,0)</f>
        <v>0</v>
      </c>
      <c r="AC1534" s="74" t="str">
        <f t="shared" ref="AC1534:AC1593" si="504">IF(A1534&lt;&gt;"",IF(G1534,0,1),"")</f>
        <v/>
      </c>
      <c r="AE1534" s="74" t="str">
        <f t="shared" ref="AE1534:AE1593" si="505">IF(P1534&lt;&gt;"",IF(AND(_xlfn.NUMBERVALUE(P1534)&gt;25,_xlfn.NUMBERVALUE(P1534)&lt;38),TRUE,FALSE),"")</f>
        <v/>
      </c>
      <c r="AF1534" s="74" t="str">
        <f t="shared" ref="AF1534:AF1593" si="506">IF(Q1534&lt;&gt;"",IF(AND(_xlfn.NUMBERVALUE(Q1534)&gt;25,_xlfn.NUMBERVALUE(Q1534)&lt;38),TRUE,FALSE),"")</f>
        <v/>
      </c>
      <c r="AG1534" s="74" t="str">
        <f t="shared" ref="AG1534:AG1593" si="507">IF(R1534&lt;&gt;"",IF(AND(_xlfn.NUMBERVALUE(R1534)&gt;262,_xlfn.NUMBERVALUE(R1534)&lt;307),TRUE,FALSE),"")</f>
        <v/>
      </c>
      <c r="AH1534" s="74">
        <f t="shared" ref="AH1534:AH1593" si="508">IF(OR(AE1534=FALSE,AF1534=FALSE,AG1534=FALSE),1,0)</f>
        <v>0</v>
      </c>
      <c r="AI1534" s="74" t="str">
        <f>IF(AH1534&lt;&gt;0,COUNTIF(AH$3:AH1534,1),"")</f>
        <v/>
      </c>
      <c r="AJ1534" s="74">
        <f t="shared" ref="AJ1534:AJ1593" si="509">L1534</f>
        <v>0</v>
      </c>
      <c r="AK1534" s="73" t="str">
        <f t="shared" ref="AK1534:AK1593" si="510">P1534</f>
        <v/>
      </c>
      <c r="AL1534" s="73" t="str">
        <f t="shared" ref="AL1534:AL1593" si="511">Q1534</f>
        <v/>
      </c>
      <c r="AM1534" s="73" t="str">
        <f t="shared" ref="AM1534:AM1593" si="512">R1534</f>
        <v/>
      </c>
      <c r="AN1534" s="73" t="str">
        <f t="shared" ref="AN1534:AN1593" si="513">S1534</f>
        <v/>
      </c>
    </row>
    <row r="1535" spans="16:40" x14ac:dyDescent="0.25">
      <c r="P1535" s="73" t="str">
        <f t="shared" si="497"/>
        <v/>
      </c>
      <c r="Q1535" s="73" t="str">
        <f t="shared" si="498"/>
        <v/>
      </c>
      <c r="R1535" s="74" t="str">
        <f t="shared" si="499"/>
        <v/>
      </c>
      <c r="S1535" s="74" t="str">
        <f t="shared" si="500"/>
        <v/>
      </c>
      <c r="U1535" s="74" t="str">
        <f t="shared" si="496"/>
        <v/>
      </c>
      <c r="V1535" s="74" t="str">
        <f t="shared" si="496"/>
        <v/>
      </c>
      <c r="W1535" s="74" t="str">
        <f t="shared" si="496"/>
        <v/>
      </c>
      <c r="X1535" s="74" t="str">
        <f t="shared" si="496"/>
        <v/>
      </c>
      <c r="Y1535" s="74" t="str">
        <f t="shared" si="496"/>
        <v/>
      </c>
      <c r="Z1535" s="74" t="str">
        <f t="shared" si="501"/>
        <v/>
      </c>
      <c r="AA1535" s="74">
        <f t="shared" si="502"/>
        <v>0</v>
      </c>
      <c r="AB1535" s="74">
        <f t="shared" si="503"/>
        <v>0</v>
      </c>
      <c r="AC1535" s="74" t="str">
        <f t="shared" si="504"/>
        <v/>
      </c>
      <c r="AE1535" s="74" t="str">
        <f t="shared" si="505"/>
        <v/>
      </c>
      <c r="AF1535" s="74" t="str">
        <f t="shared" si="506"/>
        <v/>
      </c>
      <c r="AG1535" s="74" t="str">
        <f t="shared" si="507"/>
        <v/>
      </c>
      <c r="AH1535" s="74">
        <f t="shared" si="508"/>
        <v>0</v>
      </c>
      <c r="AI1535" s="74" t="str">
        <f>IF(AH1535&lt;&gt;0,COUNTIF(AH$3:AH1535,1),"")</f>
        <v/>
      </c>
      <c r="AJ1535" s="74">
        <f t="shared" si="509"/>
        <v>0</v>
      </c>
      <c r="AK1535" s="73" t="str">
        <f t="shared" si="510"/>
        <v/>
      </c>
      <c r="AL1535" s="73" t="str">
        <f t="shared" si="511"/>
        <v/>
      </c>
      <c r="AM1535" s="73" t="str">
        <f t="shared" si="512"/>
        <v/>
      </c>
      <c r="AN1535" s="73" t="str">
        <f t="shared" si="513"/>
        <v/>
      </c>
    </row>
    <row r="1536" spans="16:40" x14ac:dyDescent="0.25">
      <c r="P1536" s="73" t="str">
        <f t="shared" si="497"/>
        <v/>
      </c>
      <c r="Q1536" s="73" t="str">
        <f t="shared" si="498"/>
        <v/>
      </c>
      <c r="R1536" s="74" t="str">
        <f t="shared" si="499"/>
        <v/>
      </c>
      <c r="S1536" s="74" t="str">
        <f t="shared" si="500"/>
        <v/>
      </c>
      <c r="U1536" s="74" t="str">
        <f t="shared" si="496"/>
        <v/>
      </c>
      <c r="V1536" s="74" t="str">
        <f t="shared" si="496"/>
        <v/>
      </c>
      <c r="W1536" s="74" t="str">
        <f t="shared" si="496"/>
        <v/>
      </c>
      <c r="X1536" s="74" t="str">
        <f t="shared" si="496"/>
        <v/>
      </c>
      <c r="Y1536" s="74" t="str">
        <f t="shared" si="496"/>
        <v/>
      </c>
      <c r="Z1536" s="74" t="str">
        <f t="shared" si="501"/>
        <v/>
      </c>
      <c r="AA1536" s="74">
        <f t="shared" si="502"/>
        <v>0</v>
      </c>
      <c r="AB1536" s="74">
        <f t="shared" si="503"/>
        <v>0</v>
      </c>
      <c r="AC1536" s="74" t="str">
        <f t="shared" si="504"/>
        <v/>
      </c>
      <c r="AE1536" s="74" t="str">
        <f t="shared" si="505"/>
        <v/>
      </c>
      <c r="AF1536" s="74" t="str">
        <f t="shared" si="506"/>
        <v/>
      </c>
      <c r="AG1536" s="74" t="str">
        <f t="shared" si="507"/>
        <v/>
      </c>
      <c r="AH1536" s="74">
        <f t="shared" si="508"/>
        <v>0</v>
      </c>
      <c r="AI1536" s="74" t="str">
        <f>IF(AH1536&lt;&gt;0,COUNTIF(AH$3:AH1536,1),"")</f>
        <v/>
      </c>
      <c r="AJ1536" s="74">
        <f t="shared" si="509"/>
        <v>0</v>
      </c>
      <c r="AK1536" s="73" t="str">
        <f t="shared" si="510"/>
        <v/>
      </c>
      <c r="AL1536" s="73" t="str">
        <f t="shared" si="511"/>
        <v/>
      </c>
      <c r="AM1536" s="73" t="str">
        <f t="shared" si="512"/>
        <v/>
      </c>
      <c r="AN1536" s="73" t="str">
        <f t="shared" si="513"/>
        <v/>
      </c>
    </row>
    <row r="1537" spans="16:40" x14ac:dyDescent="0.25">
      <c r="P1537" s="73" t="str">
        <f t="shared" si="497"/>
        <v/>
      </c>
      <c r="Q1537" s="73" t="str">
        <f t="shared" si="498"/>
        <v/>
      </c>
      <c r="R1537" s="74" t="str">
        <f t="shared" si="499"/>
        <v/>
      </c>
      <c r="S1537" s="74" t="str">
        <f t="shared" si="500"/>
        <v/>
      </c>
      <c r="U1537" s="74" t="str">
        <f t="shared" si="496"/>
        <v/>
      </c>
      <c r="V1537" s="74" t="str">
        <f t="shared" si="496"/>
        <v/>
      </c>
      <c r="W1537" s="74" t="str">
        <f t="shared" si="496"/>
        <v/>
      </c>
      <c r="X1537" s="74" t="str">
        <f t="shared" si="496"/>
        <v/>
      </c>
      <c r="Y1537" s="74" t="str">
        <f t="shared" si="496"/>
        <v/>
      </c>
      <c r="Z1537" s="74" t="str">
        <f t="shared" si="501"/>
        <v/>
      </c>
      <c r="AA1537" s="74">
        <f t="shared" si="502"/>
        <v>0</v>
      </c>
      <c r="AB1537" s="74">
        <f t="shared" si="503"/>
        <v>0</v>
      </c>
      <c r="AC1537" s="74" t="str">
        <f t="shared" si="504"/>
        <v/>
      </c>
      <c r="AE1537" s="74" t="str">
        <f t="shared" si="505"/>
        <v/>
      </c>
      <c r="AF1537" s="74" t="str">
        <f t="shared" si="506"/>
        <v/>
      </c>
      <c r="AG1537" s="74" t="str">
        <f t="shared" si="507"/>
        <v/>
      </c>
      <c r="AH1537" s="74">
        <f t="shared" si="508"/>
        <v>0</v>
      </c>
      <c r="AI1537" s="74" t="str">
        <f>IF(AH1537&lt;&gt;0,COUNTIF(AH$3:AH1537,1),"")</f>
        <v/>
      </c>
      <c r="AJ1537" s="74">
        <f t="shared" si="509"/>
        <v>0</v>
      </c>
      <c r="AK1537" s="73" t="str">
        <f t="shared" si="510"/>
        <v/>
      </c>
      <c r="AL1537" s="73" t="str">
        <f t="shared" si="511"/>
        <v/>
      </c>
      <c r="AM1537" s="73" t="str">
        <f t="shared" si="512"/>
        <v/>
      </c>
      <c r="AN1537" s="73" t="str">
        <f t="shared" si="513"/>
        <v/>
      </c>
    </row>
    <row r="1538" spans="16:40" x14ac:dyDescent="0.25">
      <c r="P1538" s="73" t="str">
        <f t="shared" si="497"/>
        <v/>
      </c>
      <c r="Q1538" s="73" t="str">
        <f t="shared" si="498"/>
        <v/>
      </c>
      <c r="R1538" s="74" t="str">
        <f t="shared" si="499"/>
        <v/>
      </c>
      <c r="S1538" s="74" t="str">
        <f t="shared" si="500"/>
        <v/>
      </c>
      <c r="U1538" s="74" t="str">
        <f t="shared" si="496"/>
        <v/>
      </c>
      <c r="V1538" s="74" t="str">
        <f t="shared" si="496"/>
        <v/>
      </c>
      <c r="W1538" s="74" t="str">
        <f t="shared" si="496"/>
        <v/>
      </c>
      <c r="X1538" s="74" t="str">
        <f t="shared" si="496"/>
        <v/>
      </c>
      <c r="Y1538" s="74" t="str">
        <f t="shared" si="496"/>
        <v/>
      </c>
      <c r="Z1538" s="74" t="str">
        <f t="shared" si="501"/>
        <v/>
      </c>
      <c r="AA1538" s="74">
        <f t="shared" si="502"/>
        <v>0</v>
      </c>
      <c r="AB1538" s="74">
        <f t="shared" si="503"/>
        <v>0</v>
      </c>
      <c r="AC1538" s="74" t="str">
        <f t="shared" si="504"/>
        <v/>
      </c>
      <c r="AE1538" s="74" t="str">
        <f t="shared" si="505"/>
        <v/>
      </c>
      <c r="AF1538" s="74" t="str">
        <f t="shared" si="506"/>
        <v/>
      </c>
      <c r="AG1538" s="74" t="str">
        <f t="shared" si="507"/>
        <v/>
      </c>
      <c r="AH1538" s="74">
        <f t="shared" si="508"/>
        <v>0</v>
      </c>
      <c r="AI1538" s="74" t="str">
        <f>IF(AH1538&lt;&gt;0,COUNTIF(AH$3:AH1538,1),"")</f>
        <v/>
      </c>
      <c r="AJ1538" s="74">
        <f t="shared" si="509"/>
        <v>0</v>
      </c>
      <c r="AK1538" s="73" t="str">
        <f t="shared" si="510"/>
        <v/>
      </c>
      <c r="AL1538" s="73" t="str">
        <f t="shared" si="511"/>
        <v/>
      </c>
      <c r="AM1538" s="73" t="str">
        <f t="shared" si="512"/>
        <v/>
      </c>
      <c r="AN1538" s="73" t="str">
        <f t="shared" si="513"/>
        <v/>
      </c>
    </row>
    <row r="1539" spans="16:40" x14ac:dyDescent="0.25">
      <c r="P1539" s="73" t="str">
        <f t="shared" si="497"/>
        <v/>
      </c>
      <c r="Q1539" s="73" t="str">
        <f t="shared" si="498"/>
        <v/>
      </c>
      <c r="R1539" s="74" t="str">
        <f t="shared" si="499"/>
        <v/>
      </c>
      <c r="S1539" s="74" t="str">
        <f t="shared" si="500"/>
        <v/>
      </c>
      <c r="U1539" s="74" t="str">
        <f t="shared" si="496"/>
        <v/>
      </c>
      <c r="V1539" s="74" t="str">
        <f t="shared" si="496"/>
        <v/>
      </c>
      <c r="W1539" s="74" t="str">
        <f t="shared" si="496"/>
        <v/>
      </c>
      <c r="X1539" s="74" t="str">
        <f t="shared" si="496"/>
        <v/>
      </c>
      <c r="Y1539" s="74" t="str">
        <f t="shared" si="496"/>
        <v/>
      </c>
      <c r="Z1539" s="74" t="str">
        <f t="shared" si="501"/>
        <v/>
      </c>
      <c r="AA1539" s="74">
        <f t="shared" si="502"/>
        <v>0</v>
      </c>
      <c r="AB1539" s="74">
        <f t="shared" si="503"/>
        <v>0</v>
      </c>
      <c r="AC1539" s="74" t="str">
        <f t="shared" si="504"/>
        <v/>
      </c>
      <c r="AE1539" s="74" t="str">
        <f t="shared" si="505"/>
        <v/>
      </c>
      <c r="AF1539" s="74" t="str">
        <f t="shared" si="506"/>
        <v/>
      </c>
      <c r="AG1539" s="74" t="str">
        <f t="shared" si="507"/>
        <v/>
      </c>
      <c r="AH1539" s="74">
        <f t="shared" si="508"/>
        <v>0</v>
      </c>
      <c r="AI1539" s="74" t="str">
        <f>IF(AH1539&lt;&gt;0,COUNTIF(AH$3:AH1539,1),"")</f>
        <v/>
      </c>
      <c r="AJ1539" s="74">
        <f t="shared" si="509"/>
        <v>0</v>
      </c>
      <c r="AK1539" s="73" t="str">
        <f t="shared" si="510"/>
        <v/>
      </c>
      <c r="AL1539" s="73" t="str">
        <f t="shared" si="511"/>
        <v/>
      </c>
      <c r="AM1539" s="73" t="str">
        <f t="shared" si="512"/>
        <v/>
      </c>
      <c r="AN1539" s="73" t="str">
        <f t="shared" si="513"/>
        <v/>
      </c>
    </row>
    <row r="1540" spans="16:40" x14ac:dyDescent="0.25">
      <c r="P1540" s="73" t="str">
        <f t="shared" si="497"/>
        <v/>
      </c>
      <c r="Q1540" s="73" t="str">
        <f t="shared" si="498"/>
        <v/>
      </c>
      <c r="R1540" s="74" t="str">
        <f t="shared" si="499"/>
        <v/>
      </c>
      <c r="S1540" s="74" t="str">
        <f t="shared" si="500"/>
        <v/>
      </c>
      <c r="U1540" s="74" t="str">
        <f t="shared" si="496"/>
        <v/>
      </c>
      <c r="V1540" s="74" t="str">
        <f t="shared" si="496"/>
        <v/>
      </c>
      <c r="W1540" s="74" t="str">
        <f t="shared" si="496"/>
        <v/>
      </c>
      <c r="X1540" s="74" t="str">
        <f t="shared" si="496"/>
        <v/>
      </c>
      <c r="Y1540" s="74" t="str">
        <f t="shared" si="496"/>
        <v/>
      </c>
      <c r="Z1540" s="74" t="str">
        <f t="shared" si="501"/>
        <v/>
      </c>
      <c r="AA1540" s="74">
        <f t="shared" si="502"/>
        <v>0</v>
      </c>
      <c r="AB1540" s="74">
        <f t="shared" si="503"/>
        <v>0</v>
      </c>
      <c r="AC1540" s="74" t="str">
        <f t="shared" si="504"/>
        <v/>
      </c>
      <c r="AE1540" s="74" t="str">
        <f t="shared" si="505"/>
        <v/>
      </c>
      <c r="AF1540" s="74" t="str">
        <f t="shared" si="506"/>
        <v/>
      </c>
      <c r="AG1540" s="74" t="str">
        <f t="shared" si="507"/>
        <v/>
      </c>
      <c r="AH1540" s="74">
        <f t="shared" si="508"/>
        <v>0</v>
      </c>
      <c r="AI1540" s="74" t="str">
        <f>IF(AH1540&lt;&gt;0,COUNTIF(AH$3:AH1540,1),"")</f>
        <v/>
      </c>
      <c r="AJ1540" s="74">
        <f t="shared" si="509"/>
        <v>0</v>
      </c>
      <c r="AK1540" s="73" t="str">
        <f t="shared" si="510"/>
        <v/>
      </c>
      <c r="AL1540" s="73" t="str">
        <f t="shared" si="511"/>
        <v/>
      </c>
      <c r="AM1540" s="73" t="str">
        <f t="shared" si="512"/>
        <v/>
      </c>
      <c r="AN1540" s="73" t="str">
        <f t="shared" si="513"/>
        <v/>
      </c>
    </row>
    <row r="1541" spans="16:40" x14ac:dyDescent="0.25">
      <c r="P1541" s="73" t="str">
        <f t="shared" si="497"/>
        <v/>
      </c>
      <c r="Q1541" s="73" t="str">
        <f t="shared" si="498"/>
        <v/>
      </c>
      <c r="R1541" s="74" t="str">
        <f t="shared" si="499"/>
        <v/>
      </c>
      <c r="S1541" s="74" t="str">
        <f t="shared" si="500"/>
        <v/>
      </c>
      <c r="U1541" s="74" t="str">
        <f t="shared" si="496"/>
        <v/>
      </c>
      <c r="V1541" s="74" t="str">
        <f t="shared" si="496"/>
        <v/>
      </c>
      <c r="W1541" s="74" t="str">
        <f t="shared" si="496"/>
        <v/>
      </c>
      <c r="X1541" s="74" t="str">
        <f t="shared" si="496"/>
        <v/>
      </c>
      <c r="Y1541" s="74" t="str">
        <f t="shared" si="496"/>
        <v/>
      </c>
      <c r="Z1541" s="74" t="str">
        <f t="shared" si="501"/>
        <v/>
      </c>
      <c r="AA1541" s="74">
        <f t="shared" si="502"/>
        <v>0</v>
      </c>
      <c r="AB1541" s="74">
        <f t="shared" si="503"/>
        <v>0</v>
      </c>
      <c r="AC1541" s="74" t="str">
        <f t="shared" si="504"/>
        <v/>
      </c>
      <c r="AE1541" s="74" t="str">
        <f t="shared" si="505"/>
        <v/>
      </c>
      <c r="AF1541" s="74" t="str">
        <f t="shared" si="506"/>
        <v/>
      </c>
      <c r="AG1541" s="74" t="str">
        <f t="shared" si="507"/>
        <v/>
      </c>
      <c r="AH1541" s="74">
        <f t="shared" si="508"/>
        <v>0</v>
      </c>
      <c r="AI1541" s="74" t="str">
        <f>IF(AH1541&lt;&gt;0,COUNTIF(AH$3:AH1541,1),"")</f>
        <v/>
      </c>
      <c r="AJ1541" s="74">
        <f t="shared" si="509"/>
        <v>0</v>
      </c>
      <c r="AK1541" s="73" t="str">
        <f t="shared" si="510"/>
        <v/>
      </c>
      <c r="AL1541" s="73" t="str">
        <f t="shared" si="511"/>
        <v/>
      </c>
      <c r="AM1541" s="73" t="str">
        <f t="shared" si="512"/>
        <v/>
      </c>
      <c r="AN1541" s="73" t="str">
        <f t="shared" si="513"/>
        <v/>
      </c>
    </row>
    <row r="1542" spans="16:40" x14ac:dyDescent="0.25">
      <c r="P1542" s="73" t="str">
        <f t="shared" si="497"/>
        <v/>
      </c>
      <c r="Q1542" s="73" t="str">
        <f t="shared" si="498"/>
        <v/>
      </c>
      <c r="R1542" s="74" t="str">
        <f t="shared" si="499"/>
        <v/>
      </c>
      <c r="S1542" s="74" t="str">
        <f t="shared" si="500"/>
        <v/>
      </c>
      <c r="U1542" s="74" t="str">
        <f t="shared" si="496"/>
        <v/>
      </c>
      <c r="V1542" s="74" t="str">
        <f t="shared" si="496"/>
        <v/>
      </c>
      <c r="W1542" s="74" t="str">
        <f t="shared" si="496"/>
        <v/>
      </c>
      <c r="X1542" s="74" t="str">
        <f t="shared" si="496"/>
        <v/>
      </c>
      <c r="Y1542" s="74" t="str">
        <f t="shared" si="496"/>
        <v/>
      </c>
      <c r="Z1542" s="74" t="str">
        <f t="shared" si="501"/>
        <v/>
      </c>
      <c r="AA1542" s="74">
        <f t="shared" si="502"/>
        <v>0</v>
      </c>
      <c r="AB1542" s="74">
        <f t="shared" si="503"/>
        <v>0</v>
      </c>
      <c r="AC1542" s="74" t="str">
        <f t="shared" si="504"/>
        <v/>
      </c>
      <c r="AE1542" s="74" t="str">
        <f t="shared" si="505"/>
        <v/>
      </c>
      <c r="AF1542" s="74" t="str">
        <f t="shared" si="506"/>
        <v/>
      </c>
      <c r="AG1542" s="74" t="str">
        <f t="shared" si="507"/>
        <v/>
      </c>
      <c r="AH1542" s="74">
        <f t="shared" si="508"/>
        <v>0</v>
      </c>
      <c r="AI1542" s="74" t="str">
        <f>IF(AH1542&lt;&gt;0,COUNTIF(AH$3:AH1542,1),"")</f>
        <v/>
      </c>
      <c r="AJ1542" s="74">
        <f t="shared" si="509"/>
        <v>0</v>
      </c>
      <c r="AK1542" s="73" t="str">
        <f t="shared" si="510"/>
        <v/>
      </c>
      <c r="AL1542" s="73" t="str">
        <f t="shared" si="511"/>
        <v/>
      </c>
      <c r="AM1542" s="73" t="str">
        <f t="shared" si="512"/>
        <v/>
      </c>
      <c r="AN1542" s="73" t="str">
        <f t="shared" si="513"/>
        <v/>
      </c>
    </row>
    <row r="1543" spans="16:40" x14ac:dyDescent="0.25">
      <c r="P1543" s="73" t="str">
        <f t="shared" si="497"/>
        <v/>
      </c>
      <c r="Q1543" s="73" t="str">
        <f t="shared" si="498"/>
        <v/>
      </c>
      <c r="R1543" s="74" t="str">
        <f t="shared" si="499"/>
        <v/>
      </c>
      <c r="S1543" s="74" t="str">
        <f t="shared" si="500"/>
        <v/>
      </c>
      <c r="U1543" s="74" t="str">
        <f t="shared" si="496"/>
        <v/>
      </c>
      <c r="V1543" s="74" t="str">
        <f t="shared" si="496"/>
        <v/>
      </c>
      <c r="W1543" s="74" t="str">
        <f t="shared" si="496"/>
        <v/>
      </c>
      <c r="X1543" s="74" t="str">
        <f t="shared" si="496"/>
        <v/>
      </c>
      <c r="Y1543" s="74" t="str">
        <f t="shared" si="496"/>
        <v/>
      </c>
      <c r="Z1543" s="74" t="str">
        <f t="shared" si="501"/>
        <v/>
      </c>
      <c r="AA1543" s="74">
        <f t="shared" si="502"/>
        <v>0</v>
      </c>
      <c r="AB1543" s="74">
        <f t="shared" si="503"/>
        <v>0</v>
      </c>
      <c r="AC1543" s="74" t="str">
        <f t="shared" si="504"/>
        <v/>
      </c>
      <c r="AE1543" s="74" t="str">
        <f t="shared" si="505"/>
        <v/>
      </c>
      <c r="AF1543" s="74" t="str">
        <f t="shared" si="506"/>
        <v/>
      </c>
      <c r="AG1543" s="74" t="str">
        <f t="shared" si="507"/>
        <v/>
      </c>
      <c r="AH1543" s="74">
        <f t="shared" si="508"/>
        <v>0</v>
      </c>
      <c r="AI1543" s="74" t="str">
        <f>IF(AH1543&lt;&gt;0,COUNTIF(AH$3:AH1543,1),"")</f>
        <v/>
      </c>
      <c r="AJ1543" s="74">
        <f t="shared" si="509"/>
        <v>0</v>
      </c>
      <c r="AK1543" s="73" t="str">
        <f t="shared" si="510"/>
        <v/>
      </c>
      <c r="AL1543" s="73" t="str">
        <f t="shared" si="511"/>
        <v/>
      </c>
      <c r="AM1543" s="73" t="str">
        <f t="shared" si="512"/>
        <v/>
      </c>
      <c r="AN1543" s="73" t="str">
        <f t="shared" si="513"/>
        <v/>
      </c>
    </row>
    <row r="1544" spans="16:40" x14ac:dyDescent="0.25">
      <c r="P1544" s="73" t="str">
        <f t="shared" si="497"/>
        <v/>
      </c>
      <c r="Q1544" s="73" t="str">
        <f t="shared" si="498"/>
        <v/>
      </c>
      <c r="R1544" s="74" t="str">
        <f t="shared" si="499"/>
        <v/>
      </c>
      <c r="S1544" s="74" t="str">
        <f t="shared" si="500"/>
        <v/>
      </c>
      <c r="U1544" s="74" t="str">
        <f t="shared" si="496"/>
        <v/>
      </c>
      <c r="V1544" s="74" t="str">
        <f t="shared" si="496"/>
        <v/>
      </c>
      <c r="W1544" s="74" t="str">
        <f t="shared" si="496"/>
        <v/>
      </c>
      <c r="X1544" s="74" t="str">
        <f t="shared" si="496"/>
        <v/>
      </c>
      <c r="Y1544" s="74" t="str">
        <f t="shared" si="496"/>
        <v/>
      </c>
      <c r="Z1544" s="74" t="str">
        <f t="shared" si="501"/>
        <v/>
      </c>
      <c r="AA1544" s="74">
        <f t="shared" si="502"/>
        <v>0</v>
      </c>
      <c r="AB1544" s="74">
        <f t="shared" si="503"/>
        <v>0</v>
      </c>
      <c r="AC1544" s="74" t="str">
        <f t="shared" si="504"/>
        <v/>
      </c>
      <c r="AE1544" s="74" t="str">
        <f t="shared" si="505"/>
        <v/>
      </c>
      <c r="AF1544" s="74" t="str">
        <f t="shared" si="506"/>
        <v/>
      </c>
      <c r="AG1544" s="74" t="str">
        <f t="shared" si="507"/>
        <v/>
      </c>
      <c r="AH1544" s="74">
        <f t="shared" si="508"/>
        <v>0</v>
      </c>
      <c r="AI1544" s="74" t="str">
        <f>IF(AH1544&lt;&gt;0,COUNTIF(AH$3:AH1544,1),"")</f>
        <v/>
      </c>
      <c r="AJ1544" s="74">
        <f t="shared" si="509"/>
        <v>0</v>
      </c>
      <c r="AK1544" s="73" t="str">
        <f t="shared" si="510"/>
        <v/>
      </c>
      <c r="AL1544" s="73" t="str">
        <f t="shared" si="511"/>
        <v/>
      </c>
      <c r="AM1544" s="73" t="str">
        <f t="shared" si="512"/>
        <v/>
      </c>
      <c r="AN1544" s="73" t="str">
        <f t="shared" si="513"/>
        <v/>
      </c>
    </row>
    <row r="1545" spans="16:40" x14ac:dyDescent="0.25">
      <c r="P1545" s="73" t="str">
        <f t="shared" si="497"/>
        <v/>
      </c>
      <c r="Q1545" s="73" t="str">
        <f t="shared" si="498"/>
        <v/>
      </c>
      <c r="R1545" s="74" t="str">
        <f t="shared" si="499"/>
        <v/>
      </c>
      <c r="S1545" s="74" t="str">
        <f t="shared" si="500"/>
        <v/>
      </c>
      <c r="U1545" s="74" t="str">
        <f t="shared" si="496"/>
        <v/>
      </c>
      <c r="V1545" s="74" t="str">
        <f t="shared" si="496"/>
        <v/>
      </c>
      <c r="W1545" s="74" t="str">
        <f t="shared" si="496"/>
        <v/>
      </c>
      <c r="X1545" s="74" t="str">
        <f t="shared" si="496"/>
        <v/>
      </c>
      <c r="Y1545" s="74" t="str">
        <f t="shared" si="496"/>
        <v/>
      </c>
      <c r="Z1545" s="74" t="str">
        <f t="shared" si="501"/>
        <v/>
      </c>
      <c r="AA1545" s="74">
        <f t="shared" si="502"/>
        <v>0</v>
      </c>
      <c r="AB1545" s="74">
        <f t="shared" si="503"/>
        <v>0</v>
      </c>
      <c r="AC1545" s="74" t="str">
        <f t="shared" si="504"/>
        <v/>
      </c>
      <c r="AE1545" s="74" t="str">
        <f t="shared" si="505"/>
        <v/>
      </c>
      <c r="AF1545" s="74" t="str">
        <f t="shared" si="506"/>
        <v/>
      </c>
      <c r="AG1545" s="74" t="str">
        <f t="shared" si="507"/>
        <v/>
      </c>
      <c r="AH1545" s="74">
        <f t="shared" si="508"/>
        <v>0</v>
      </c>
      <c r="AI1545" s="74" t="str">
        <f>IF(AH1545&lt;&gt;0,COUNTIF(AH$3:AH1545,1),"")</f>
        <v/>
      </c>
      <c r="AJ1545" s="74">
        <f t="shared" si="509"/>
        <v>0</v>
      </c>
      <c r="AK1545" s="73" t="str">
        <f t="shared" si="510"/>
        <v/>
      </c>
      <c r="AL1545" s="73" t="str">
        <f t="shared" si="511"/>
        <v/>
      </c>
      <c r="AM1545" s="73" t="str">
        <f t="shared" si="512"/>
        <v/>
      </c>
      <c r="AN1545" s="73" t="str">
        <f t="shared" si="513"/>
        <v/>
      </c>
    </row>
    <row r="1546" spans="16:40" x14ac:dyDescent="0.25">
      <c r="P1546" s="73" t="str">
        <f t="shared" si="497"/>
        <v/>
      </c>
      <c r="Q1546" s="73" t="str">
        <f t="shared" si="498"/>
        <v/>
      </c>
      <c r="R1546" s="74" t="str">
        <f t="shared" si="499"/>
        <v/>
      </c>
      <c r="S1546" s="74" t="str">
        <f t="shared" si="500"/>
        <v/>
      </c>
      <c r="U1546" s="74" t="str">
        <f t="shared" si="496"/>
        <v/>
      </c>
      <c r="V1546" s="74" t="str">
        <f t="shared" si="496"/>
        <v/>
      </c>
      <c r="W1546" s="74" t="str">
        <f t="shared" si="496"/>
        <v/>
      </c>
      <c r="X1546" s="74" t="str">
        <f t="shared" si="496"/>
        <v/>
      </c>
      <c r="Y1546" s="74" t="str">
        <f t="shared" si="496"/>
        <v/>
      </c>
      <c r="Z1546" s="74" t="str">
        <f t="shared" si="501"/>
        <v/>
      </c>
      <c r="AA1546" s="74">
        <f t="shared" si="502"/>
        <v>0</v>
      </c>
      <c r="AB1546" s="74">
        <f t="shared" si="503"/>
        <v>0</v>
      </c>
      <c r="AC1546" s="74" t="str">
        <f t="shared" si="504"/>
        <v/>
      </c>
      <c r="AE1546" s="74" t="str">
        <f t="shared" si="505"/>
        <v/>
      </c>
      <c r="AF1546" s="74" t="str">
        <f t="shared" si="506"/>
        <v/>
      </c>
      <c r="AG1546" s="74" t="str">
        <f t="shared" si="507"/>
        <v/>
      </c>
      <c r="AH1546" s="74">
        <f t="shared" si="508"/>
        <v>0</v>
      </c>
      <c r="AI1546" s="74" t="str">
        <f>IF(AH1546&lt;&gt;0,COUNTIF(AH$3:AH1546,1),"")</f>
        <v/>
      </c>
      <c r="AJ1546" s="74">
        <f t="shared" si="509"/>
        <v>0</v>
      </c>
      <c r="AK1546" s="73" t="str">
        <f t="shared" si="510"/>
        <v/>
      </c>
      <c r="AL1546" s="73" t="str">
        <f t="shared" si="511"/>
        <v/>
      </c>
      <c r="AM1546" s="73" t="str">
        <f t="shared" si="512"/>
        <v/>
      </c>
      <c r="AN1546" s="73" t="str">
        <f t="shared" si="513"/>
        <v/>
      </c>
    </row>
    <row r="1547" spans="16:40" x14ac:dyDescent="0.25">
      <c r="P1547" s="73" t="str">
        <f t="shared" si="497"/>
        <v/>
      </c>
      <c r="Q1547" s="73" t="str">
        <f t="shared" si="498"/>
        <v/>
      </c>
      <c r="R1547" s="74" t="str">
        <f t="shared" si="499"/>
        <v/>
      </c>
      <c r="S1547" s="74" t="str">
        <f t="shared" si="500"/>
        <v/>
      </c>
      <c r="U1547" s="74" t="str">
        <f t="shared" si="496"/>
        <v/>
      </c>
      <c r="V1547" s="74" t="str">
        <f t="shared" si="496"/>
        <v/>
      </c>
      <c r="W1547" s="74" t="str">
        <f t="shared" si="496"/>
        <v/>
      </c>
      <c r="X1547" s="74" t="str">
        <f t="shared" si="496"/>
        <v/>
      </c>
      <c r="Y1547" s="74" t="str">
        <f t="shared" si="496"/>
        <v/>
      </c>
      <c r="Z1547" s="74" t="str">
        <f t="shared" si="501"/>
        <v/>
      </c>
      <c r="AA1547" s="74">
        <f t="shared" si="502"/>
        <v>0</v>
      </c>
      <c r="AB1547" s="74">
        <f t="shared" si="503"/>
        <v>0</v>
      </c>
      <c r="AC1547" s="74" t="str">
        <f t="shared" si="504"/>
        <v/>
      </c>
      <c r="AE1547" s="74" t="str">
        <f t="shared" si="505"/>
        <v/>
      </c>
      <c r="AF1547" s="74" t="str">
        <f t="shared" si="506"/>
        <v/>
      </c>
      <c r="AG1547" s="74" t="str">
        <f t="shared" si="507"/>
        <v/>
      </c>
      <c r="AH1547" s="74">
        <f t="shared" si="508"/>
        <v>0</v>
      </c>
      <c r="AI1547" s="74" t="str">
        <f>IF(AH1547&lt;&gt;0,COUNTIF(AH$3:AH1547,1),"")</f>
        <v/>
      </c>
      <c r="AJ1547" s="74">
        <f t="shared" si="509"/>
        <v>0</v>
      </c>
      <c r="AK1547" s="73" t="str">
        <f t="shared" si="510"/>
        <v/>
      </c>
      <c r="AL1547" s="73" t="str">
        <f t="shared" si="511"/>
        <v/>
      </c>
      <c r="AM1547" s="73" t="str">
        <f t="shared" si="512"/>
        <v/>
      </c>
      <c r="AN1547" s="73" t="str">
        <f t="shared" si="513"/>
        <v/>
      </c>
    </row>
    <row r="1548" spans="16:40" x14ac:dyDescent="0.25">
      <c r="P1548" s="73" t="str">
        <f t="shared" si="497"/>
        <v/>
      </c>
      <c r="Q1548" s="73" t="str">
        <f t="shared" si="498"/>
        <v/>
      </c>
      <c r="R1548" s="74" t="str">
        <f t="shared" si="499"/>
        <v/>
      </c>
      <c r="S1548" s="74" t="str">
        <f t="shared" si="500"/>
        <v/>
      </c>
      <c r="U1548" s="74" t="str">
        <f t="shared" si="496"/>
        <v/>
      </c>
      <c r="V1548" s="74" t="str">
        <f t="shared" si="496"/>
        <v/>
      </c>
      <c r="W1548" s="74" t="str">
        <f t="shared" si="496"/>
        <v/>
      </c>
      <c r="X1548" s="74" t="str">
        <f t="shared" si="496"/>
        <v/>
      </c>
      <c r="Y1548" s="74" t="str">
        <f t="shared" si="496"/>
        <v/>
      </c>
      <c r="Z1548" s="74" t="str">
        <f t="shared" si="501"/>
        <v/>
      </c>
      <c r="AA1548" s="74">
        <f t="shared" si="502"/>
        <v>0</v>
      </c>
      <c r="AB1548" s="74">
        <f t="shared" si="503"/>
        <v>0</v>
      </c>
      <c r="AC1548" s="74" t="str">
        <f t="shared" si="504"/>
        <v/>
      </c>
      <c r="AE1548" s="74" t="str">
        <f t="shared" si="505"/>
        <v/>
      </c>
      <c r="AF1548" s="74" t="str">
        <f t="shared" si="506"/>
        <v/>
      </c>
      <c r="AG1548" s="74" t="str">
        <f t="shared" si="507"/>
        <v/>
      </c>
      <c r="AH1548" s="74">
        <f t="shared" si="508"/>
        <v>0</v>
      </c>
      <c r="AI1548" s="74" t="str">
        <f>IF(AH1548&lt;&gt;0,COUNTIF(AH$3:AH1548,1),"")</f>
        <v/>
      </c>
      <c r="AJ1548" s="74">
        <f t="shared" si="509"/>
        <v>0</v>
      </c>
      <c r="AK1548" s="73" t="str">
        <f t="shared" si="510"/>
        <v/>
      </c>
      <c r="AL1548" s="73" t="str">
        <f t="shared" si="511"/>
        <v/>
      </c>
      <c r="AM1548" s="73" t="str">
        <f t="shared" si="512"/>
        <v/>
      </c>
      <c r="AN1548" s="73" t="str">
        <f t="shared" si="513"/>
        <v/>
      </c>
    </row>
    <row r="1549" spans="16:40" x14ac:dyDescent="0.25">
      <c r="P1549" s="73" t="str">
        <f t="shared" si="497"/>
        <v/>
      </c>
      <c r="Q1549" s="73" t="str">
        <f t="shared" si="498"/>
        <v/>
      </c>
      <c r="R1549" s="74" t="str">
        <f t="shared" si="499"/>
        <v/>
      </c>
      <c r="S1549" s="74" t="str">
        <f t="shared" si="500"/>
        <v/>
      </c>
      <c r="U1549" s="74" t="str">
        <f t="shared" si="496"/>
        <v/>
      </c>
      <c r="V1549" s="74" t="str">
        <f t="shared" si="496"/>
        <v/>
      </c>
      <c r="W1549" s="74" t="str">
        <f t="shared" si="496"/>
        <v/>
      </c>
      <c r="X1549" s="74" t="str">
        <f t="shared" si="496"/>
        <v/>
      </c>
      <c r="Y1549" s="74" t="str">
        <f t="shared" si="496"/>
        <v/>
      </c>
      <c r="Z1549" s="74" t="str">
        <f t="shared" si="501"/>
        <v/>
      </c>
      <c r="AA1549" s="74">
        <f t="shared" si="502"/>
        <v>0</v>
      </c>
      <c r="AB1549" s="74">
        <f t="shared" si="503"/>
        <v>0</v>
      </c>
      <c r="AC1549" s="74" t="str">
        <f t="shared" si="504"/>
        <v/>
      </c>
      <c r="AE1549" s="74" t="str">
        <f t="shared" si="505"/>
        <v/>
      </c>
      <c r="AF1549" s="74" t="str">
        <f t="shared" si="506"/>
        <v/>
      </c>
      <c r="AG1549" s="74" t="str">
        <f t="shared" si="507"/>
        <v/>
      </c>
      <c r="AH1549" s="74">
        <f t="shared" si="508"/>
        <v>0</v>
      </c>
      <c r="AI1549" s="74" t="str">
        <f>IF(AH1549&lt;&gt;0,COUNTIF(AH$3:AH1549,1),"")</f>
        <v/>
      </c>
      <c r="AJ1549" s="74">
        <f t="shared" si="509"/>
        <v>0</v>
      </c>
      <c r="AK1549" s="73" t="str">
        <f t="shared" si="510"/>
        <v/>
      </c>
      <c r="AL1549" s="73" t="str">
        <f t="shared" si="511"/>
        <v/>
      </c>
      <c r="AM1549" s="73" t="str">
        <f t="shared" si="512"/>
        <v/>
      </c>
      <c r="AN1549" s="73" t="str">
        <f t="shared" si="513"/>
        <v/>
      </c>
    </row>
    <row r="1550" spans="16:40" x14ac:dyDescent="0.25">
      <c r="P1550" s="73" t="str">
        <f t="shared" si="497"/>
        <v/>
      </c>
      <c r="Q1550" s="73" t="str">
        <f t="shared" si="498"/>
        <v/>
      </c>
      <c r="R1550" s="74" t="str">
        <f t="shared" si="499"/>
        <v/>
      </c>
      <c r="S1550" s="74" t="str">
        <f t="shared" si="500"/>
        <v/>
      </c>
      <c r="U1550" s="74" t="str">
        <f t="shared" si="496"/>
        <v/>
      </c>
      <c r="V1550" s="74" t="str">
        <f t="shared" si="496"/>
        <v/>
      </c>
      <c r="W1550" s="74" t="str">
        <f t="shared" si="496"/>
        <v/>
      </c>
      <c r="X1550" s="74" t="str">
        <f t="shared" si="496"/>
        <v/>
      </c>
      <c r="Y1550" s="74" t="str">
        <f t="shared" si="496"/>
        <v/>
      </c>
      <c r="Z1550" s="74" t="str">
        <f t="shared" si="501"/>
        <v/>
      </c>
      <c r="AA1550" s="74">
        <f t="shared" si="502"/>
        <v>0</v>
      </c>
      <c r="AB1550" s="74">
        <f t="shared" si="503"/>
        <v>0</v>
      </c>
      <c r="AC1550" s="74" t="str">
        <f t="shared" si="504"/>
        <v/>
      </c>
      <c r="AE1550" s="74" t="str">
        <f t="shared" si="505"/>
        <v/>
      </c>
      <c r="AF1550" s="74" t="str">
        <f t="shared" si="506"/>
        <v/>
      </c>
      <c r="AG1550" s="74" t="str">
        <f t="shared" si="507"/>
        <v/>
      </c>
      <c r="AH1550" s="74">
        <f t="shared" si="508"/>
        <v>0</v>
      </c>
      <c r="AI1550" s="74" t="str">
        <f>IF(AH1550&lt;&gt;0,COUNTIF(AH$3:AH1550,1),"")</f>
        <v/>
      </c>
      <c r="AJ1550" s="74">
        <f t="shared" si="509"/>
        <v>0</v>
      </c>
      <c r="AK1550" s="73" t="str">
        <f t="shared" si="510"/>
        <v/>
      </c>
      <c r="AL1550" s="73" t="str">
        <f t="shared" si="511"/>
        <v/>
      </c>
      <c r="AM1550" s="73" t="str">
        <f t="shared" si="512"/>
        <v/>
      </c>
      <c r="AN1550" s="73" t="str">
        <f t="shared" si="513"/>
        <v/>
      </c>
    </row>
    <row r="1551" spans="16:40" x14ac:dyDescent="0.25">
      <c r="P1551" s="73" t="str">
        <f t="shared" si="497"/>
        <v/>
      </c>
      <c r="Q1551" s="73" t="str">
        <f t="shared" si="498"/>
        <v/>
      </c>
      <c r="R1551" s="74" t="str">
        <f t="shared" si="499"/>
        <v/>
      </c>
      <c r="S1551" s="74" t="str">
        <f t="shared" si="500"/>
        <v/>
      </c>
      <c r="U1551" s="74" t="str">
        <f t="shared" si="496"/>
        <v/>
      </c>
      <c r="V1551" s="74" t="str">
        <f t="shared" si="496"/>
        <v/>
      </c>
      <c r="W1551" s="74" t="str">
        <f t="shared" si="496"/>
        <v/>
      </c>
      <c r="X1551" s="74" t="str">
        <f t="shared" si="496"/>
        <v/>
      </c>
      <c r="Y1551" s="74" t="str">
        <f t="shared" si="496"/>
        <v/>
      </c>
      <c r="Z1551" s="74" t="str">
        <f t="shared" si="501"/>
        <v/>
      </c>
      <c r="AA1551" s="74">
        <f t="shared" si="502"/>
        <v>0</v>
      </c>
      <c r="AB1551" s="74">
        <f t="shared" si="503"/>
        <v>0</v>
      </c>
      <c r="AC1551" s="74" t="str">
        <f t="shared" si="504"/>
        <v/>
      </c>
      <c r="AE1551" s="74" t="str">
        <f t="shared" si="505"/>
        <v/>
      </c>
      <c r="AF1551" s="74" t="str">
        <f t="shared" si="506"/>
        <v/>
      </c>
      <c r="AG1551" s="74" t="str">
        <f t="shared" si="507"/>
        <v/>
      </c>
      <c r="AH1551" s="74">
        <f t="shared" si="508"/>
        <v>0</v>
      </c>
      <c r="AI1551" s="74" t="str">
        <f>IF(AH1551&lt;&gt;0,COUNTIF(AH$3:AH1551,1),"")</f>
        <v/>
      </c>
      <c r="AJ1551" s="74">
        <f t="shared" si="509"/>
        <v>0</v>
      </c>
      <c r="AK1551" s="73" t="str">
        <f t="shared" si="510"/>
        <v/>
      </c>
      <c r="AL1551" s="73" t="str">
        <f t="shared" si="511"/>
        <v/>
      </c>
      <c r="AM1551" s="73" t="str">
        <f t="shared" si="512"/>
        <v/>
      </c>
      <c r="AN1551" s="73" t="str">
        <f t="shared" si="513"/>
        <v/>
      </c>
    </row>
    <row r="1552" spans="16:40" x14ac:dyDescent="0.25">
      <c r="P1552" s="73" t="str">
        <f t="shared" si="497"/>
        <v/>
      </c>
      <c r="Q1552" s="73" t="str">
        <f t="shared" si="498"/>
        <v/>
      </c>
      <c r="R1552" s="74" t="str">
        <f t="shared" si="499"/>
        <v/>
      </c>
      <c r="S1552" s="74" t="str">
        <f t="shared" si="500"/>
        <v/>
      </c>
      <c r="U1552" s="74" t="str">
        <f t="shared" si="496"/>
        <v/>
      </c>
      <c r="V1552" s="74" t="str">
        <f t="shared" si="496"/>
        <v/>
      </c>
      <c r="W1552" s="74" t="str">
        <f t="shared" si="496"/>
        <v/>
      </c>
      <c r="X1552" s="74" t="str">
        <f t="shared" si="496"/>
        <v/>
      </c>
      <c r="Y1552" s="74" t="str">
        <f t="shared" si="496"/>
        <v/>
      </c>
      <c r="Z1552" s="74" t="str">
        <f t="shared" si="501"/>
        <v/>
      </c>
      <c r="AA1552" s="74">
        <f t="shared" si="502"/>
        <v>0</v>
      </c>
      <c r="AB1552" s="74">
        <f t="shared" si="503"/>
        <v>0</v>
      </c>
      <c r="AC1552" s="74" t="str">
        <f t="shared" si="504"/>
        <v/>
      </c>
      <c r="AE1552" s="74" t="str">
        <f t="shared" si="505"/>
        <v/>
      </c>
      <c r="AF1552" s="74" t="str">
        <f t="shared" si="506"/>
        <v/>
      </c>
      <c r="AG1552" s="74" t="str">
        <f t="shared" si="507"/>
        <v/>
      </c>
      <c r="AH1552" s="74">
        <f t="shared" si="508"/>
        <v>0</v>
      </c>
      <c r="AI1552" s="74" t="str">
        <f>IF(AH1552&lt;&gt;0,COUNTIF(AH$3:AH1552,1),"")</f>
        <v/>
      </c>
      <c r="AJ1552" s="74">
        <f t="shared" si="509"/>
        <v>0</v>
      </c>
      <c r="AK1552" s="73" t="str">
        <f t="shared" si="510"/>
        <v/>
      </c>
      <c r="AL1552" s="73" t="str">
        <f t="shared" si="511"/>
        <v/>
      </c>
      <c r="AM1552" s="73" t="str">
        <f t="shared" si="512"/>
        <v/>
      </c>
      <c r="AN1552" s="73" t="str">
        <f t="shared" si="513"/>
        <v/>
      </c>
    </row>
    <row r="1553" spans="16:40" x14ac:dyDescent="0.25">
      <c r="P1553" s="73" t="str">
        <f t="shared" si="497"/>
        <v/>
      </c>
      <c r="Q1553" s="73" t="str">
        <f t="shared" si="498"/>
        <v/>
      </c>
      <c r="R1553" s="74" t="str">
        <f t="shared" si="499"/>
        <v/>
      </c>
      <c r="S1553" s="74" t="str">
        <f t="shared" si="500"/>
        <v/>
      </c>
      <c r="U1553" s="74" t="str">
        <f t="shared" si="496"/>
        <v/>
      </c>
      <c r="V1553" s="74" t="str">
        <f t="shared" si="496"/>
        <v/>
      </c>
      <c r="W1553" s="74" t="str">
        <f t="shared" si="496"/>
        <v/>
      </c>
      <c r="X1553" s="74" t="str">
        <f t="shared" si="496"/>
        <v/>
      </c>
      <c r="Y1553" s="74" t="str">
        <f t="shared" si="496"/>
        <v/>
      </c>
      <c r="Z1553" s="74" t="str">
        <f t="shared" si="501"/>
        <v/>
      </c>
      <c r="AA1553" s="74">
        <f t="shared" si="502"/>
        <v>0</v>
      </c>
      <c r="AB1553" s="74">
        <f t="shared" si="503"/>
        <v>0</v>
      </c>
      <c r="AC1553" s="74" t="str">
        <f t="shared" si="504"/>
        <v/>
      </c>
      <c r="AE1553" s="74" t="str">
        <f t="shared" si="505"/>
        <v/>
      </c>
      <c r="AF1553" s="74" t="str">
        <f t="shared" si="506"/>
        <v/>
      </c>
      <c r="AG1553" s="74" t="str">
        <f t="shared" si="507"/>
        <v/>
      </c>
      <c r="AH1553" s="74">
        <f t="shared" si="508"/>
        <v>0</v>
      </c>
      <c r="AI1553" s="74" t="str">
        <f>IF(AH1553&lt;&gt;0,COUNTIF(AH$3:AH1553,1),"")</f>
        <v/>
      </c>
      <c r="AJ1553" s="74">
        <f t="shared" si="509"/>
        <v>0</v>
      </c>
      <c r="AK1553" s="73" t="str">
        <f t="shared" si="510"/>
        <v/>
      </c>
      <c r="AL1553" s="73" t="str">
        <f t="shared" si="511"/>
        <v/>
      </c>
      <c r="AM1553" s="73" t="str">
        <f t="shared" si="512"/>
        <v/>
      </c>
      <c r="AN1553" s="73" t="str">
        <f t="shared" si="513"/>
        <v/>
      </c>
    </row>
    <row r="1554" spans="16:40" x14ac:dyDescent="0.25">
      <c r="P1554" s="73" t="str">
        <f t="shared" si="497"/>
        <v/>
      </c>
      <c r="Q1554" s="73" t="str">
        <f t="shared" si="498"/>
        <v/>
      </c>
      <c r="R1554" s="74" t="str">
        <f t="shared" si="499"/>
        <v/>
      </c>
      <c r="S1554" s="74" t="str">
        <f t="shared" si="500"/>
        <v/>
      </c>
      <c r="U1554" s="74" t="str">
        <f t="shared" si="496"/>
        <v/>
      </c>
      <c r="V1554" s="74" t="str">
        <f t="shared" si="496"/>
        <v/>
      </c>
      <c r="W1554" s="74" t="str">
        <f t="shared" si="496"/>
        <v/>
      </c>
      <c r="X1554" s="74" t="str">
        <f t="shared" si="496"/>
        <v/>
      </c>
      <c r="Y1554" s="74" t="str">
        <f t="shared" si="496"/>
        <v/>
      </c>
      <c r="Z1554" s="74" t="str">
        <f t="shared" si="501"/>
        <v/>
      </c>
      <c r="AA1554" s="74">
        <f t="shared" si="502"/>
        <v>0</v>
      </c>
      <c r="AB1554" s="74">
        <f t="shared" si="503"/>
        <v>0</v>
      </c>
      <c r="AC1554" s="74" t="str">
        <f t="shared" si="504"/>
        <v/>
      </c>
      <c r="AE1554" s="74" t="str">
        <f t="shared" si="505"/>
        <v/>
      </c>
      <c r="AF1554" s="74" t="str">
        <f t="shared" si="506"/>
        <v/>
      </c>
      <c r="AG1554" s="74" t="str">
        <f t="shared" si="507"/>
        <v/>
      </c>
      <c r="AH1554" s="74">
        <f t="shared" si="508"/>
        <v>0</v>
      </c>
      <c r="AI1554" s="74" t="str">
        <f>IF(AH1554&lt;&gt;0,COUNTIF(AH$3:AH1554,1),"")</f>
        <v/>
      </c>
      <c r="AJ1554" s="74">
        <f t="shared" si="509"/>
        <v>0</v>
      </c>
      <c r="AK1554" s="73" t="str">
        <f t="shared" si="510"/>
        <v/>
      </c>
      <c r="AL1554" s="73" t="str">
        <f t="shared" si="511"/>
        <v/>
      </c>
      <c r="AM1554" s="73" t="str">
        <f t="shared" si="512"/>
        <v/>
      </c>
      <c r="AN1554" s="73" t="str">
        <f t="shared" si="513"/>
        <v/>
      </c>
    </row>
    <row r="1555" spans="16:40" x14ac:dyDescent="0.25">
      <c r="P1555" s="73" t="str">
        <f t="shared" si="497"/>
        <v/>
      </c>
      <c r="Q1555" s="73" t="str">
        <f t="shared" si="498"/>
        <v/>
      </c>
      <c r="R1555" s="74" t="str">
        <f t="shared" si="499"/>
        <v/>
      </c>
      <c r="S1555" s="74" t="str">
        <f t="shared" si="500"/>
        <v/>
      </c>
      <c r="U1555" s="74" t="str">
        <f t="shared" si="496"/>
        <v/>
      </c>
      <c r="V1555" s="74" t="str">
        <f t="shared" si="496"/>
        <v/>
      </c>
      <c r="W1555" s="74" t="str">
        <f t="shared" si="496"/>
        <v/>
      </c>
      <c r="X1555" s="74" t="str">
        <f t="shared" si="496"/>
        <v/>
      </c>
      <c r="Y1555" s="74" t="str">
        <f t="shared" si="496"/>
        <v/>
      </c>
      <c r="Z1555" s="74" t="str">
        <f t="shared" si="501"/>
        <v/>
      </c>
      <c r="AA1555" s="74">
        <f t="shared" si="502"/>
        <v>0</v>
      </c>
      <c r="AB1555" s="74">
        <f t="shared" si="503"/>
        <v>0</v>
      </c>
      <c r="AC1555" s="74" t="str">
        <f t="shared" si="504"/>
        <v/>
      </c>
      <c r="AE1555" s="74" t="str">
        <f t="shared" si="505"/>
        <v/>
      </c>
      <c r="AF1555" s="74" t="str">
        <f t="shared" si="506"/>
        <v/>
      </c>
      <c r="AG1555" s="74" t="str">
        <f t="shared" si="507"/>
        <v/>
      </c>
      <c r="AH1555" s="74">
        <f t="shared" si="508"/>
        <v>0</v>
      </c>
      <c r="AI1555" s="74" t="str">
        <f>IF(AH1555&lt;&gt;0,COUNTIF(AH$3:AH1555,1),"")</f>
        <v/>
      </c>
      <c r="AJ1555" s="74">
        <f t="shared" si="509"/>
        <v>0</v>
      </c>
      <c r="AK1555" s="73" t="str">
        <f t="shared" si="510"/>
        <v/>
      </c>
      <c r="AL1555" s="73" t="str">
        <f t="shared" si="511"/>
        <v/>
      </c>
      <c r="AM1555" s="73" t="str">
        <f t="shared" si="512"/>
        <v/>
      </c>
      <c r="AN1555" s="73" t="str">
        <f t="shared" si="513"/>
        <v/>
      </c>
    </row>
    <row r="1556" spans="16:40" x14ac:dyDescent="0.25">
      <c r="P1556" s="73" t="str">
        <f t="shared" si="497"/>
        <v/>
      </c>
      <c r="Q1556" s="73" t="str">
        <f t="shared" si="498"/>
        <v/>
      </c>
      <c r="R1556" s="74" t="str">
        <f t="shared" si="499"/>
        <v/>
      </c>
      <c r="S1556" s="74" t="str">
        <f t="shared" si="500"/>
        <v/>
      </c>
      <c r="U1556" s="74" t="str">
        <f t="shared" si="496"/>
        <v/>
      </c>
      <c r="V1556" s="74" t="str">
        <f t="shared" si="496"/>
        <v/>
      </c>
      <c r="W1556" s="74" t="str">
        <f t="shared" si="496"/>
        <v/>
      </c>
      <c r="X1556" s="74" t="str">
        <f t="shared" si="496"/>
        <v/>
      </c>
      <c r="Y1556" s="74" t="str">
        <f t="shared" si="496"/>
        <v/>
      </c>
      <c r="Z1556" s="74" t="str">
        <f t="shared" si="501"/>
        <v/>
      </c>
      <c r="AA1556" s="74">
        <f t="shared" si="502"/>
        <v>0</v>
      </c>
      <c r="AB1556" s="74">
        <f t="shared" si="503"/>
        <v>0</v>
      </c>
      <c r="AC1556" s="74" t="str">
        <f t="shared" si="504"/>
        <v/>
      </c>
      <c r="AE1556" s="74" t="str">
        <f t="shared" si="505"/>
        <v/>
      </c>
      <c r="AF1556" s="74" t="str">
        <f t="shared" si="506"/>
        <v/>
      </c>
      <c r="AG1556" s="74" t="str">
        <f t="shared" si="507"/>
        <v/>
      </c>
      <c r="AH1556" s="74">
        <f t="shared" si="508"/>
        <v>0</v>
      </c>
      <c r="AI1556" s="74" t="str">
        <f>IF(AH1556&lt;&gt;0,COUNTIF(AH$3:AH1556,1),"")</f>
        <v/>
      </c>
      <c r="AJ1556" s="74">
        <f t="shared" si="509"/>
        <v>0</v>
      </c>
      <c r="AK1556" s="73" t="str">
        <f t="shared" si="510"/>
        <v/>
      </c>
      <c r="AL1556" s="73" t="str">
        <f t="shared" si="511"/>
        <v/>
      </c>
      <c r="AM1556" s="73" t="str">
        <f t="shared" si="512"/>
        <v/>
      </c>
      <c r="AN1556" s="73" t="str">
        <f t="shared" si="513"/>
        <v/>
      </c>
    </row>
    <row r="1557" spans="16:40" x14ac:dyDescent="0.25">
      <c r="P1557" s="73" t="str">
        <f t="shared" si="497"/>
        <v/>
      </c>
      <c r="Q1557" s="73" t="str">
        <f t="shared" si="498"/>
        <v/>
      </c>
      <c r="R1557" s="74" t="str">
        <f t="shared" si="499"/>
        <v/>
      </c>
      <c r="S1557" s="74" t="str">
        <f t="shared" si="500"/>
        <v/>
      </c>
      <c r="U1557" s="74" t="str">
        <f t="shared" si="496"/>
        <v/>
      </c>
      <c r="V1557" s="74" t="str">
        <f t="shared" si="496"/>
        <v/>
      </c>
      <c r="W1557" s="74" t="str">
        <f t="shared" si="496"/>
        <v/>
      </c>
      <c r="X1557" s="74" t="str">
        <f t="shared" si="496"/>
        <v/>
      </c>
      <c r="Y1557" s="74" t="str">
        <f t="shared" si="496"/>
        <v/>
      </c>
      <c r="Z1557" s="74" t="str">
        <f t="shared" si="501"/>
        <v/>
      </c>
      <c r="AA1557" s="74">
        <f t="shared" si="502"/>
        <v>0</v>
      </c>
      <c r="AB1557" s="74">
        <f t="shared" si="503"/>
        <v>0</v>
      </c>
      <c r="AC1557" s="74" t="str">
        <f t="shared" si="504"/>
        <v/>
      </c>
      <c r="AE1557" s="74" t="str">
        <f t="shared" si="505"/>
        <v/>
      </c>
      <c r="AF1557" s="74" t="str">
        <f t="shared" si="506"/>
        <v/>
      </c>
      <c r="AG1557" s="74" t="str">
        <f t="shared" si="507"/>
        <v/>
      </c>
      <c r="AH1557" s="74">
        <f t="shared" si="508"/>
        <v>0</v>
      </c>
      <c r="AI1557" s="74" t="str">
        <f>IF(AH1557&lt;&gt;0,COUNTIF(AH$3:AH1557,1),"")</f>
        <v/>
      </c>
      <c r="AJ1557" s="74">
        <f t="shared" si="509"/>
        <v>0</v>
      </c>
      <c r="AK1557" s="73" t="str">
        <f t="shared" si="510"/>
        <v/>
      </c>
      <c r="AL1557" s="73" t="str">
        <f t="shared" si="511"/>
        <v/>
      </c>
      <c r="AM1557" s="73" t="str">
        <f t="shared" si="512"/>
        <v/>
      </c>
      <c r="AN1557" s="73" t="str">
        <f t="shared" si="513"/>
        <v/>
      </c>
    </row>
    <row r="1558" spans="16:40" x14ac:dyDescent="0.25">
      <c r="P1558" s="73" t="str">
        <f t="shared" si="497"/>
        <v/>
      </c>
      <c r="Q1558" s="73" t="str">
        <f t="shared" si="498"/>
        <v/>
      </c>
      <c r="R1558" s="74" t="str">
        <f t="shared" si="499"/>
        <v/>
      </c>
      <c r="S1558" s="74" t="str">
        <f t="shared" si="500"/>
        <v/>
      </c>
      <c r="U1558" s="74" t="str">
        <f t="shared" si="496"/>
        <v/>
      </c>
      <c r="V1558" s="74" t="str">
        <f t="shared" si="496"/>
        <v/>
      </c>
      <c r="W1558" s="74" t="str">
        <f t="shared" si="496"/>
        <v/>
      </c>
      <c r="X1558" s="74" t="str">
        <f t="shared" si="496"/>
        <v/>
      </c>
      <c r="Y1558" s="74" t="str">
        <f t="shared" si="496"/>
        <v/>
      </c>
      <c r="Z1558" s="74" t="str">
        <f t="shared" si="501"/>
        <v/>
      </c>
      <c r="AA1558" s="74">
        <f t="shared" si="502"/>
        <v>0</v>
      </c>
      <c r="AB1558" s="74">
        <f t="shared" si="503"/>
        <v>0</v>
      </c>
      <c r="AC1558" s="74" t="str">
        <f t="shared" si="504"/>
        <v/>
      </c>
      <c r="AE1558" s="74" t="str">
        <f t="shared" si="505"/>
        <v/>
      </c>
      <c r="AF1558" s="74" t="str">
        <f t="shared" si="506"/>
        <v/>
      </c>
      <c r="AG1558" s="74" t="str">
        <f t="shared" si="507"/>
        <v/>
      </c>
      <c r="AH1558" s="74">
        <f t="shared" si="508"/>
        <v>0</v>
      </c>
      <c r="AI1558" s="74" t="str">
        <f>IF(AH1558&lt;&gt;0,COUNTIF(AH$3:AH1558,1),"")</f>
        <v/>
      </c>
      <c r="AJ1558" s="74">
        <f t="shared" si="509"/>
        <v>0</v>
      </c>
      <c r="AK1558" s="73" t="str">
        <f t="shared" si="510"/>
        <v/>
      </c>
      <c r="AL1558" s="73" t="str">
        <f t="shared" si="511"/>
        <v/>
      </c>
      <c r="AM1558" s="73" t="str">
        <f t="shared" si="512"/>
        <v/>
      </c>
      <c r="AN1558" s="73" t="str">
        <f t="shared" si="513"/>
        <v/>
      </c>
    </row>
    <row r="1559" spans="16:40" x14ac:dyDescent="0.25">
      <c r="P1559" s="73" t="str">
        <f t="shared" si="497"/>
        <v/>
      </c>
      <c r="Q1559" s="73" t="str">
        <f t="shared" si="498"/>
        <v/>
      </c>
      <c r="R1559" s="74" t="str">
        <f t="shared" si="499"/>
        <v/>
      </c>
      <c r="S1559" s="74" t="str">
        <f t="shared" si="500"/>
        <v/>
      </c>
      <c r="U1559" s="74" t="str">
        <f t="shared" si="496"/>
        <v/>
      </c>
      <c r="V1559" s="74" t="str">
        <f t="shared" si="496"/>
        <v/>
      </c>
      <c r="W1559" s="74" t="str">
        <f t="shared" si="496"/>
        <v/>
      </c>
      <c r="X1559" s="74" t="str">
        <f t="shared" si="496"/>
        <v/>
      </c>
      <c r="Y1559" s="74" t="str">
        <f t="shared" si="496"/>
        <v/>
      </c>
      <c r="Z1559" s="74" t="str">
        <f t="shared" si="501"/>
        <v/>
      </c>
      <c r="AA1559" s="74">
        <f t="shared" si="502"/>
        <v>0</v>
      </c>
      <c r="AB1559" s="74">
        <f t="shared" si="503"/>
        <v>0</v>
      </c>
      <c r="AC1559" s="74" t="str">
        <f t="shared" si="504"/>
        <v/>
      </c>
      <c r="AE1559" s="74" t="str">
        <f t="shared" si="505"/>
        <v/>
      </c>
      <c r="AF1559" s="74" t="str">
        <f t="shared" si="506"/>
        <v/>
      </c>
      <c r="AG1559" s="74" t="str">
        <f t="shared" si="507"/>
        <v/>
      </c>
      <c r="AH1559" s="74">
        <f t="shared" si="508"/>
        <v>0</v>
      </c>
      <c r="AI1559" s="74" t="str">
        <f>IF(AH1559&lt;&gt;0,COUNTIF(AH$3:AH1559,1),"")</f>
        <v/>
      </c>
      <c r="AJ1559" s="74">
        <f t="shared" si="509"/>
        <v>0</v>
      </c>
      <c r="AK1559" s="73" t="str">
        <f t="shared" si="510"/>
        <v/>
      </c>
      <c r="AL1559" s="73" t="str">
        <f t="shared" si="511"/>
        <v/>
      </c>
      <c r="AM1559" s="73" t="str">
        <f t="shared" si="512"/>
        <v/>
      </c>
      <c r="AN1559" s="73" t="str">
        <f t="shared" si="513"/>
        <v/>
      </c>
    </row>
    <row r="1560" spans="16:40" x14ac:dyDescent="0.25">
      <c r="P1560" s="73" t="str">
        <f t="shared" si="497"/>
        <v/>
      </c>
      <c r="Q1560" s="73" t="str">
        <f t="shared" si="498"/>
        <v/>
      </c>
      <c r="R1560" s="74" t="str">
        <f t="shared" si="499"/>
        <v/>
      </c>
      <c r="S1560" s="74" t="str">
        <f t="shared" si="500"/>
        <v/>
      </c>
      <c r="U1560" s="74" t="str">
        <f t="shared" si="496"/>
        <v/>
      </c>
      <c r="V1560" s="74" t="str">
        <f t="shared" si="496"/>
        <v/>
      </c>
      <c r="W1560" s="74" t="str">
        <f t="shared" si="496"/>
        <v/>
      </c>
      <c r="X1560" s="74" t="str">
        <f t="shared" si="496"/>
        <v/>
      </c>
      <c r="Y1560" s="74" t="str">
        <f t="shared" si="496"/>
        <v/>
      </c>
      <c r="Z1560" s="74" t="str">
        <f t="shared" si="501"/>
        <v/>
      </c>
      <c r="AA1560" s="74">
        <f t="shared" si="502"/>
        <v>0</v>
      </c>
      <c r="AB1560" s="74">
        <f t="shared" si="503"/>
        <v>0</v>
      </c>
      <c r="AC1560" s="74" t="str">
        <f t="shared" si="504"/>
        <v/>
      </c>
      <c r="AE1560" s="74" t="str">
        <f t="shared" si="505"/>
        <v/>
      </c>
      <c r="AF1560" s="74" t="str">
        <f t="shared" si="506"/>
        <v/>
      </c>
      <c r="AG1560" s="74" t="str">
        <f t="shared" si="507"/>
        <v/>
      </c>
      <c r="AH1560" s="74">
        <f t="shared" si="508"/>
        <v>0</v>
      </c>
      <c r="AI1560" s="74" t="str">
        <f>IF(AH1560&lt;&gt;0,COUNTIF(AH$3:AH1560,1),"")</f>
        <v/>
      </c>
      <c r="AJ1560" s="74">
        <f t="shared" si="509"/>
        <v>0</v>
      </c>
      <c r="AK1560" s="73" t="str">
        <f t="shared" si="510"/>
        <v/>
      </c>
      <c r="AL1560" s="73" t="str">
        <f t="shared" si="511"/>
        <v/>
      </c>
      <c r="AM1560" s="73" t="str">
        <f t="shared" si="512"/>
        <v/>
      </c>
      <c r="AN1560" s="73" t="str">
        <f t="shared" si="513"/>
        <v/>
      </c>
    </row>
    <row r="1561" spans="16:40" x14ac:dyDescent="0.25">
      <c r="P1561" s="73" t="str">
        <f t="shared" si="497"/>
        <v/>
      </c>
      <c r="Q1561" s="73" t="str">
        <f t="shared" si="498"/>
        <v/>
      </c>
      <c r="R1561" s="74" t="str">
        <f t="shared" si="499"/>
        <v/>
      </c>
      <c r="S1561" s="74" t="str">
        <f t="shared" si="500"/>
        <v/>
      </c>
      <c r="U1561" s="74" t="str">
        <f t="shared" si="496"/>
        <v/>
      </c>
      <c r="V1561" s="74" t="str">
        <f t="shared" si="496"/>
        <v/>
      </c>
      <c r="W1561" s="74" t="str">
        <f t="shared" si="496"/>
        <v/>
      </c>
      <c r="X1561" s="74" t="str">
        <f t="shared" si="496"/>
        <v/>
      </c>
      <c r="Y1561" s="74" t="str">
        <f t="shared" si="496"/>
        <v/>
      </c>
      <c r="Z1561" s="74" t="str">
        <f t="shared" si="501"/>
        <v/>
      </c>
      <c r="AA1561" s="74">
        <f t="shared" si="502"/>
        <v>0</v>
      </c>
      <c r="AB1561" s="74">
        <f t="shared" si="503"/>
        <v>0</v>
      </c>
      <c r="AC1561" s="74" t="str">
        <f t="shared" si="504"/>
        <v/>
      </c>
      <c r="AE1561" s="74" t="str">
        <f t="shared" si="505"/>
        <v/>
      </c>
      <c r="AF1561" s="74" t="str">
        <f t="shared" si="506"/>
        <v/>
      </c>
      <c r="AG1561" s="74" t="str">
        <f t="shared" si="507"/>
        <v/>
      </c>
      <c r="AH1561" s="74">
        <f t="shared" si="508"/>
        <v>0</v>
      </c>
      <c r="AI1561" s="74" t="str">
        <f>IF(AH1561&lt;&gt;0,COUNTIF(AH$3:AH1561,1),"")</f>
        <v/>
      </c>
      <c r="AJ1561" s="74">
        <f t="shared" si="509"/>
        <v>0</v>
      </c>
      <c r="AK1561" s="73" t="str">
        <f t="shared" si="510"/>
        <v/>
      </c>
      <c r="AL1561" s="73" t="str">
        <f t="shared" si="511"/>
        <v/>
      </c>
      <c r="AM1561" s="73" t="str">
        <f t="shared" si="512"/>
        <v/>
      </c>
      <c r="AN1561" s="73" t="str">
        <f t="shared" si="513"/>
        <v/>
      </c>
    </row>
    <row r="1562" spans="16:40" x14ac:dyDescent="0.25">
      <c r="P1562" s="73" t="str">
        <f t="shared" si="497"/>
        <v/>
      </c>
      <c r="Q1562" s="73" t="str">
        <f t="shared" si="498"/>
        <v/>
      </c>
      <c r="R1562" s="74" t="str">
        <f t="shared" si="499"/>
        <v/>
      </c>
      <c r="S1562" s="74" t="str">
        <f t="shared" si="500"/>
        <v/>
      </c>
      <c r="U1562" s="74" t="str">
        <f t="shared" si="496"/>
        <v/>
      </c>
      <c r="V1562" s="74" t="str">
        <f t="shared" si="496"/>
        <v/>
      </c>
      <c r="W1562" s="74" t="str">
        <f t="shared" si="496"/>
        <v/>
      </c>
      <c r="X1562" s="74" t="str">
        <f t="shared" si="496"/>
        <v/>
      </c>
      <c r="Y1562" s="74" t="str">
        <f t="shared" si="496"/>
        <v/>
      </c>
      <c r="Z1562" s="74" t="str">
        <f t="shared" si="501"/>
        <v/>
      </c>
      <c r="AA1562" s="74">
        <f t="shared" si="502"/>
        <v>0</v>
      </c>
      <c r="AB1562" s="74">
        <f t="shared" si="503"/>
        <v>0</v>
      </c>
      <c r="AC1562" s="74" t="str">
        <f t="shared" si="504"/>
        <v/>
      </c>
      <c r="AE1562" s="74" t="str">
        <f t="shared" si="505"/>
        <v/>
      </c>
      <c r="AF1562" s="74" t="str">
        <f t="shared" si="506"/>
        <v/>
      </c>
      <c r="AG1562" s="74" t="str">
        <f t="shared" si="507"/>
        <v/>
      </c>
      <c r="AH1562" s="74">
        <f t="shared" si="508"/>
        <v>0</v>
      </c>
      <c r="AI1562" s="74" t="str">
        <f>IF(AH1562&lt;&gt;0,COUNTIF(AH$3:AH1562,1),"")</f>
        <v/>
      </c>
      <c r="AJ1562" s="74">
        <f t="shared" si="509"/>
        <v>0</v>
      </c>
      <c r="AK1562" s="73" t="str">
        <f t="shared" si="510"/>
        <v/>
      </c>
      <c r="AL1562" s="73" t="str">
        <f t="shared" si="511"/>
        <v/>
      </c>
      <c r="AM1562" s="73" t="str">
        <f t="shared" si="512"/>
        <v/>
      </c>
      <c r="AN1562" s="73" t="str">
        <f t="shared" si="513"/>
        <v/>
      </c>
    </row>
    <row r="1563" spans="16:40" x14ac:dyDescent="0.25">
      <c r="P1563" s="73" t="str">
        <f t="shared" si="497"/>
        <v/>
      </c>
      <c r="Q1563" s="73" t="str">
        <f t="shared" si="498"/>
        <v/>
      </c>
      <c r="R1563" s="74" t="str">
        <f t="shared" si="499"/>
        <v/>
      </c>
      <c r="S1563" s="74" t="str">
        <f t="shared" si="500"/>
        <v/>
      </c>
      <c r="U1563" s="74" t="str">
        <f t="shared" si="496"/>
        <v/>
      </c>
      <c r="V1563" s="74" t="str">
        <f t="shared" si="496"/>
        <v/>
      </c>
      <c r="W1563" s="74" t="str">
        <f t="shared" si="496"/>
        <v/>
      </c>
      <c r="X1563" s="74" t="str">
        <f t="shared" si="496"/>
        <v/>
      </c>
      <c r="Y1563" s="74" t="str">
        <f t="shared" si="496"/>
        <v/>
      </c>
      <c r="Z1563" s="74" t="str">
        <f t="shared" si="501"/>
        <v/>
      </c>
      <c r="AA1563" s="74">
        <f t="shared" si="502"/>
        <v>0</v>
      </c>
      <c r="AB1563" s="74">
        <f t="shared" si="503"/>
        <v>0</v>
      </c>
      <c r="AC1563" s="74" t="str">
        <f t="shared" si="504"/>
        <v/>
      </c>
      <c r="AE1563" s="74" t="str">
        <f t="shared" si="505"/>
        <v/>
      </c>
      <c r="AF1563" s="74" t="str">
        <f t="shared" si="506"/>
        <v/>
      </c>
      <c r="AG1563" s="74" t="str">
        <f t="shared" si="507"/>
        <v/>
      </c>
      <c r="AH1563" s="74">
        <f t="shared" si="508"/>
        <v>0</v>
      </c>
      <c r="AI1563" s="74" t="str">
        <f>IF(AH1563&lt;&gt;0,COUNTIF(AH$3:AH1563,1),"")</f>
        <v/>
      </c>
      <c r="AJ1563" s="74">
        <f t="shared" si="509"/>
        <v>0</v>
      </c>
      <c r="AK1563" s="73" t="str">
        <f t="shared" si="510"/>
        <v/>
      </c>
      <c r="AL1563" s="73" t="str">
        <f t="shared" si="511"/>
        <v/>
      </c>
      <c r="AM1563" s="73" t="str">
        <f t="shared" si="512"/>
        <v/>
      </c>
      <c r="AN1563" s="73" t="str">
        <f t="shared" si="513"/>
        <v/>
      </c>
    </row>
    <row r="1564" spans="16:40" x14ac:dyDescent="0.25">
      <c r="P1564" s="73" t="str">
        <f t="shared" si="497"/>
        <v/>
      </c>
      <c r="Q1564" s="73" t="str">
        <f t="shared" si="498"/>
        <v/>
      </c>
      <c r="R1564" s="74" t="str">
        <f t="shared" si="499"/>
        <v/>
      </c>
      <c r="S1564" s="74" t="str">
        <f t="shared" si="500"/>
        <v/>
      </c>
      <c r="U1564" s="74" t="str">
        <f t="shared" si="496"/>
        <v/>
      </c>
      <c r="V1564" s="74" t="str">
        <f t="shared" si="496"/>
        <v/>
      </c>
      <c r="W1564" s="74" t="str">
        <f t="shared" si="496"/>
        <v/>
      </c>
      <c r="X1564" s="74" t="str">
        <f t="shared" si="496"/>
        <v/>
      </c>
      <c r="Y1564" s="74" t="str">
        <f t="shared" si="496"/>
        <v/>
      </c>
      <c r="Z1564" s="74" t="str">
        <f t="shared" si="501"/>
        <v/>
      </c>
      <c r="AA1564" s="74">
        <f t="shared" si="502"/>
        <v>0</v>
      </c>
      <c r="AB1564" s="74">
        <f t="shared" si="503"/>
        <v>0</v>
      </c>
      <c r="AC1564" s="74" t="str">
        <f t="shared" si="504"/>
        <v/>
      </c>
      <c r="AE1564" s="74" t="str">
        <f t="shared" si="505"/>
        <v/>
      </c>
      <c r="AF1564" s="74" t="str">
        <f t="shared" si="506"/>
        <v/>
      </c>
      <c r="AG1564" s="74" t="str">
        <f t="shared" si="507"/>
        <v/>
      </c>
      <c r="AH1564" s="74">
        <f t="shared" si="508"/>
        <v>0</v>
      </c>
      <c r="AI1564" s="74" t="str">
        <f>IF(AH1564&lt;&gt;0,COUNTIF(AH$3:AH1564,1),"")</f>
        <v/>
      </c>
      <c r="AJ1564" s="74">
        <f t="shared" si="509"/>
        <v>0</v>
      </c>
      <c r="AK1564" s="73" t="str">
        <f t="shared" si="510"/>
        <v/>
      </c>
      <c r="AL1564" s="73" t="str">
        <f t="shared" si="511"/>
        <v/>
      </c>
      <c r="AM1564" s="73" t="str">
        <f t="shared" si="512"/>
        <v/>
      </c>
      <c r="AN1564" s="73" t="str">
        <f t="shared" si="513"/>
        <v/>
      </c>
    </row>
    <row r="1565" spans="16:40" x14ac:dyDescent="0.25">
      <c r="P1565" s="73" t="str">
        <f t="shared" si="497"/>
        <v/>
      </c>
      <c r="Q1565" s="73" t="str">
        <f t="shared" si="498"/>
        <v/>
      </c>
      <c r="R1565" s="74" t="str">
        <f t="shared" si="499"/>
        <v/>
      </c>
      <c r="S1565" s="74" t="str">
        <f t="shared" si="500"/>
        <v/>
      </c>
      <c r="U1565" s="74" t="str">
        <f t="shared" si="496"/>
        <v/>
      </c>
      <c r="V1565" s="74" t="str">
        <f t="shared" si="496"/>
        <v/>
      </c>
      <c r="W1565" s="74" t="str">
        <f t="shared" si="496"/>
        <v/>
      </c>
      <c r="X1565" s="74" t="str">
        <f t="shared" si="496"/>
        <v/>
      </c>
      <c r="Y1565" s="74" t="str">
        <f t="shared" si="496"/>
        <v/>
      </c>
      <c r="Z1565" s="74" t="str">
        <f t="shared" si="501"/>
        <v/>
      </c>
      <c r="AA1565" s="74">
        <f t="shared" si="502"/>
        <v>0</v>
      </c>
      <c r="AB1565" s="74">
        <f t="shared" si="503"/>
        <v>0</v>
      </c>
      <c r="AC1565" s="74" t="str">
        <f t="shared" si="504"/>
        <v/>
      </c>
      <c r="AE1565" s="74" t="str">
        <f t="shared" si="505"/>
        <v/>
      </c>
      <c r="AF1565" s="74" t="str">
        <f t="shared" si="506"/>
        <v/>
      </c>
      <c r="AG1565" s="74" t="str">
        <f t="shared" si="507"/>
        <v/>
      </c>
      <c r="AH1565" s="74">
        <f t="shared" si="508"/>
        <v>0</v>
      </c>
      <c r="AI1565" s="74" t="str">
        <f>IF(AH1565&lt;&gt;0,COUNTIF(AH$3:AH1565,1),"")</f>
        <v/>
      </c>
      <c r="AJ1565" s="74">
        <f t="shared" si="509"/>
        <v>0</v>
      </c>
      <c r="AK1565" s="73" t="str">
        <f t="shared" si="510"/>
        <v/>
      </c>
      <c r="AL1565" s="73" t="str">
        <f t="shared" si="511"/>
        <v/>
      </c>
      <c r="AM1565" s="73" t="str">
        <f t="shared" si="512"/>
        <v/>
      </c>
      <c r="AN1565" s="73" t="str">
        <f t="shared" si="513"/>
        <v/>
      </c>
    </row>
    <row r="1566" spans="16:40" x14ac:dyDescent="0.25">
      <c r="P1566" s="73" t="str">
        <f t="shared" si="497"/>
        <v/>
      </c>
      <c r="Q1566" s="73" t="str">
        <f t="shared" si="498"/>
        <v/>
      </c>
      <c r="R1566" s="74" t="str">
        <f t="shared" si="499"/>
        <v/>
      </c>
      <c r="S1566" s="74" t="str">
        <f t="shared" si="500"/>
        <v/>
      </c>
      <c r="U1566" s="74" t="str">
        <f t="shared" si="496"/>
        <v/>
      </c>
      <c r="V1566" s="74" t="str">
        <f t="shared" si="496"/>
        <v/>
      </c>
      <c r="W1566" s="74" t="str">
        <f t="shared" si="496"/>
        <v/>
      </c>
      <c r="X1566" s="74" t="str">
        <f t="shared" si="496"/>
        <v/>
      </c>
      <c r="Y1566" s="74" t="str">
        <f t="shared" si="496"/>
        <v/>
      </c>
      <c r="Z1566" s="74" t="str">
        <f t="shared" si="501"/>
        <v/>
      </c>
      <c r="AA1566" s="74">
        <f t="shared" si="502"/>
        <v>0</v>
      </c>
      <c r="AB1566" s="74">
        <f t="shared" si="503"/>
        <v>0</v>
      </c>
      <c r="AC1566" s="74" t="str">
        <f t="shared" si="504"/>
        <v/>
      </c>
      <c r="AE1566" s="74" t="str">
        <f t="shared" si="505"/>
        <v/>
      </c>
      <c r="AF1566" s="74" t="str">
        <f t="shared" si="506"/>
        <v/>
      </c>
      <c r="AG1566" s="74" t="str">
        <f t="shared" si="507"/>
        <v/>
      </c>
      <c r="AH1566" s="74">
        <f t="shared" si="508"/>
        <v>0</v>
      </c>
      <c r="AI1566" s="74" t="str">
        <f>IF(AH1566&lt;&gt;0,COUNTIF(AH$3:AH1566,1),"")</f>
        <v/>
      </c>
      <c r="AJ1566" s="74">
        <f t="shared" si="509"/>
        <v>0</v>
      </c>
      <c r="AK1566" s="73" t="str">
        <f t="shared" si="510"/>
        <v/>
      </c>
      <c r="AL1566" s="73" t="str">
        <f t="shared" si="511"/>
        <v/>
      </c>
      <c r="AM1566" s="73" t="str">
        <f t="shared" si="512"/>
        <v/>
      </c>
      <c r="AN1566" s="73" t="str">
        <f t="shared" si="513"/>
        <v/>
      </c>
    </row>
    <row r="1567" spans="16:40" x14ac:dyDescent="0.25">
      <c r="P1567" s="73" t="str">
        <f t="shared" si="497"/>
        <v/>
      </c>
      <c r="Q1567" s="73" t="str">
        <f t="shared" si="498"/>
        <v/>
      </c>
      <c r="R1567" s="74" t="str">
        <f t="shared" si="499"/>
        <v/>
      </c>
      <c r="S1567" s="74" t="str">
        <f t="shared" si="500"/>
        <v/>
      </c>
      <c r="U1567" s="74" t="str">
        <f t="shared" ref="U1567:Y1593" si="514">IF($F1567=U$1,$E1567,"")</f>
        <v/>
      </c>
      <c r="V1567" s="74" t="str">
        <f t="shared" si="514"/>
        <v/>
      </c>
      <c r="W1567" s="74" t="str">
        <f t="shared" si="514"/>
        <v/>
      </c>
      <c r="X1567" s="74" t="str">
        <f t="shared" si="514"/>
        <v/>
      </c>
      <c r="Y1567" s="74" t="str">
        <f t="shared" si="514"/>
        <v/>
      </c>
      <c r="Z1567" s="74" t="str">
        <f t="shared" si="501"/>
        <v/>
      </c>
      <c r="AA1567" s="74">
        <f t="shared" si="502"/>
        <v>0</v>
      </c>
      <c r="AB1567" s="74">
        <f t="shared" si="503"/>
        <v>0</v>
      </c>
      <c r="AC1567" s="74" t="str">
        <f t="shared" si="504"/>
        <v/>
      </c>
      <c r="AE1567" s="74" t="str">
        <f t="shared" si="505"/>
        <v/>
      </c>
      <c r="AF1567" s="74" t="str">
        <f t="shared" si="506"/>
        <v/>
      </c>
      <c r="AG1567" s="74" t="str">
        <f t="shared" si="507"/>
        <v/>
      </c>
      <c r="AH1567" s="74">
        <f t="shared" si="508"/>
        <v>0</v>
      </c>
      <c r="AI1567" s="74" t="str">
        <f>IF(AH1567&lt;&gt;0,COUNTIF(AH$3:AH1567,1),"")</f>
        <v/>
      </c>
      <c r="AJ1567" s="74">
        <f t="shared" si="509"/>
        <v>0</v>
      </c>
      <c r="AK1567" s="73" t="str">
        <f t="shared" si="510"/>
        <v/>
      </c>
      <c r="AL1567" s="73" t="str">
        <f t="shared" si="511"/>
        <v/>
      </c>
      <c r="AM1567" s="73" t="str">
        <f t="shared" si="512"/>
        <v/>
      </c>
      <c r="AN1567" s="73" t="str">
        <f t="shared" si="513"/>
        <v/>
      </c>
    </row>
    <row r="1568" spans="16:40" x14ac:dyDescent="0.25">
      <c r="P1568" s="73" t="str">
        <f t="shared" si="497"/>
        <v/>
      </c>
      <c r="Q1568" s="73" t="str">
        <f t="shared" si="498"/>
        <v/>
      </c>
      <c r="R1568" s="74" t="str">
        <f t="shared" si="499"/>
        <v/>
      </c>
      <c r="S1568" s="74" t="str">
        <f t="shared" si="500"/>
        <v/>
      </c>
      <c r="U1568" s="74" t="str">
        <f t="shared" si="514"/>
        <v/>
      </c>
      <c r="V1568" s="74" t="str">
        <f t="shared" si="514"/>
        <v/>
      </c>
      <c r="W1568" s="74" t="str">
        <f t="shared" si="514"/>
        <v/>
      </c>
      <c r="X1568" s="74" t="str">
        <f t="shared" si="514"/>
        <v/>
      </c>
      <c r="Y1568" s="74" t="str">
        <f t="shared" si="514"/>
        <v/>
      </c>
      <c r="Z1568" s="74" t="str">
        <f t="shared" si="501"/>
        <v/>
      </c>
      <c r="AA1568" s="74">
        <f t="shared" si="502"/>
        <v>0</v>
      </c>
      <c r="AB1568" s="74">
        <f t="shared" si="503"/>
        <v>0</v>
      </c>
      <c r="AC1568" s="74" t="str">
        <f t="shared" si="504"/>
        <v/>
      </c>
      <c r="AE1568" s="74" t="str">
        <f t="shared" si="505"/>
        <v/>
      </c>
      <c r="AF1568" s="74" t="str">
        <f t="shared" si="506"/>
        <v/>
      </c>
      <c r="AG1568" s="74" t="str">
        <f t="shared" si="507"/>
        <v/>
      </c>
      <c r="AH1568" s="74">
        <f t="shared" si="508"/>
        <v>0</v>
      </c>
      <c r="AI1568" s="74" t="str">
        <f>IF(AH1568&lt;&gt;0,COUNTIF(AH$3:AH1568,1),"")</f>
        <v/>
      </c>
      <c r="AJ1568" s="74">
        <f t="shared" si="509"/>
        <v>0</v>
      </c>
      <c r="AK1568" s="73" t="str">
        <f t="shared" si="510"/>
        <v/>
      </c>
      <c r="AL1568" s="73" t="str">
        <f t="shared" si="511"/>
        <v/>
      </c>
      <c r="AM1568" s="73" t="str">
        <f t="shared" si="512"/>
        <v/>
      </c>
      <c r="AN1568" s="73" t="str">
        <f t="shared" si="513"/>
        <v/>
      </c>
    </row>
    <row r="1569" spans="16:40" x14ac:dyDescent="0.25">
      <c r="P1569" s="73" t="str">
        <f t="shared" si="497"/>
        <v/>
      </c>
      <c r="Q1569" s="73" t="str">
        <f t="shared" si="498"/>
        <v/>
      </c>
      <c r="R1569" s="74" t="str">
        <f t="shared" si="499"/>
        <v/>
      </c>
      <c r="S1569" s="74" t="str">
        <f t="shared" si="500"/>
        <v/>
      </c>
      <c r="U1569" s="74" t="str">
        <f t="shared" si="514"/>
        <v/>
      </c>
      <c r="V1569" s="74" t="str">
        <f t="shared" si="514"/>
        <v/>
      </c>
      <c r="W1569" s="74" t="str">
        <f t="shared" si="514"/>
        <v/>
      </c>
      <c r="X1569" s="74" t="str">
        <f t="shared" si="514"/>
        <v/>
      </c>
      <c r="Y1569" s="74" t="str">
        <f t="shared" si="514"/>
        <v/>
      </c>
      <c r="Z1569" s="74" t="str">
        <f t="shared" si="501"/>
        <v/>
      </c>
      <c r="AA1569" s="74">
        <f t="shared" si="502"/>
        <v>0</v>
      </c>
      <c r="AB1569" s="74">
        <f t="shared" si="503"/>
        <v>0</v>
      </c>
      <c r="AC1569" s="74" t="str">
        <f t="shared" si="504"/>
        <v/>
      </c>
      <c r="AE1569" s="74" t="str">
        <f t="shared" si="505"/>
        <v/>
      </c>
      <c r="AF1569" s="74" t="str">
        <f t="shared" si="506"/>
        <v/>
      </c>
      <c r="AG1569" s="74" t="str">
        <f t="shared" si="507"/>
        <v/>
      </c>
      <c r="AH1569" s="74">
        <f t="shared" si="508"/>
        <v>0</v>
      </c>
      <c r="AI1569" s="74" t="str">
        <f>IF(AH1569&lt;&gt;0,COUNTIF(AH$3:AH1569,1),"")</f>
        <v/>
      </c>
      <c r="AJ1569" s="74">
        <f t="shared" si="509"/>
        <v>0</v>
      </c>
      <c r="AK1569" s="73" t="str">
        <f t="shared" si="510"/>
        <v/>
      </c>
      <c r="AL1569" s="73" t="str">
        <f t="shared" si="511"/>
        <v/>
      </c>
      <c r="AM1569" s="73" t="str">
        <f t="shared" si="512"/>
        <v/>
      </c>
      <c r="AN1569" s="73" t="str">
        <f t="shared" si="513"/>
        <v/>
      </c>
    </row>
    <row r="1570" spans="16:40" x14ac:dyDescent="0.25">
      <c r="P1570" s="73" t="str">
        <f t="shared" si="497"/>
        <v/>
      </c>
      <c r="Q1570" s="73" t="str">
        <f t="shared" si="498"/>
        <v/>
      </c>
      <c r="R1570" s="74" t="str">
        <f t="shared" si="499"/>
        <v/>
      </c>
      <c r="S1570" s="74" t="str">
        <f t="shared" si="500"/>
        <v/>
      </c>
      <c r="U1570" s="74" t="str">
        <f t="shared" si="514"/>
        <v/>
      </c>
      <c r="V1570" s="74" t="str">
        <f t="shared" si="514"/>
        <v/>
      </c>
      <c r="W1570" s="74" t="str">
        <f t="shared" si="514"/>
        <v/>
      </c>
      <c r="X1570" s="74" t="str">
        <f t="shared" si="514"/>
        <v/>
      </c>
      <c r="Y1570" s="74" t="str">
        <f t="shared" si="514"/>
        <v/>
      </c>
      <c r="Z1570" s="74" t="str">
        <f t="shared" si="501"/>
        <v/>
      </c>
      <c r="AA1570" s="74">
        <f t="shared" si="502"/>
        <v>0</v>
      </c>
      <c r="AB1570" s="74">
        <f t="shared" si="503"/>
        <v>0</v>
      </c>
      <c r="AC1570" s="74" t="str">
        <f t="shared" si="504"/>
        <v/>
      </c>
      <c r="AE1570" s="74" t="str">
        <f t="shared" si="505"/>
        <v/>
      </c>
      <c r="AF1570" s="74" t="str">
        <f t="shared" si="506"/>
        <v/>
      </c>
      <c r="AG1570" s="74" t="str">
        <f t="shared" si="507"/>
        <v/>
      </c>
      <c r="AH1570" s="74">
        <f t="shared" si="508"/>
        <v>0</v>
      </c>
      <c r="AI1570" s="74" t="str">
        <f>IF(AH1570&lt;&gt;0,COUNTIF(AH$3:AH1570,1),"")</f>
        <v/>
      </c>
      <c r="AJ1570" s="74">
        <f t="shared" si="509"/>
        <v>0</v>
      </c>
      <c r="AK1570" s="73" t="str">
        <f t="shared" si="510"/>
        <v/>
      </c>
      <c r="AL1570" s="73" t="str">
        <f t="shared" si="511"/>
        <v/>
      </c>
      <c r="AM1570" s="73" t="str">
        <f t="shared" si="512"/>
        <v/>
      </c>
      <c r="AN1570" s="73" t="str">
        <f t="shared" si="513"/>
        <v/>
      </c>
    </row>
    <row r="1571" spans="16:40" x14ac:dyDescent="0.25">
      <c r="P1571" s="73" t="str">
        <f t="shared" si="497"/>
        <v/>
      </c>
      <c r="Q1571" s="73" t="str">
        <f t="shared" si="498"/>
        <v/>
      </c>
      <c r="R1571" s="74" t="str">
        <f t="shared" si="499"/>
        <v/>
      </c>
      <c r="S1571" s="74" t="str">
        <f t="shared" si="500"/>
        <v/>
      </c>
      <c r="U1571" s="74" t="str">
        <f t="shared" si="514"/>
        <v/>
      </c>
      <c r="V1571" s="74" t="str">
        <f t="shared" si="514"/>
        <v/>
      </c>
      <c r="W1571" s="74" t="str">
        <f t="shared" si="514"/>
        <v/>
      </c>
      <c r="X1571" s="74" t="str">
        <f t="shared" si="514"/>
        <v/>
      </c>
      <c r="Y1571" s="74" t="str">
        <f t="shared" si="514"/>
        <v/>
      </c>
      <c r="Z1571" s="74" t="str">
        <f t="shared" si="501"/>
        <v/>
      </c>
      <c r="AA1571" s="74">
        <f t="shared" si="502"/>
        <v>0</v>
      </c>
      <c r="AB1571" s="74">
        <f t="shared" si="503"/>
        <v>0</v>
      </c>
      <c r="AC1571" s="74" t="str">
        <f t="shared" si="504"/>
        <v/>
      </c>
      <c r="AE1571" s="74" t="str">
        <f t="shared" si="505"/>
        <v/>
      </c>
      <c r="AF1571" s="74" t="str">
        <f t="shared" si="506"/>
        <v/>
      </c>
      <c r="AG1571" s="74" t="str">
        <f t="shared" si="507"/>
        <v/>
      </c>
      <c r="AH1571" s="74">
        <f t="shared" si="508"/>
        <v>0</v>
      </c>
      <c r="AI1571" s="74" t="str">
        <f>IF(AH1571&lt;&gt;0,COUNTIF(AH$3:AH1571,1),"")</f>
        <v/>
      </c>
      <c r="AJ1571" s="74">
        <f t="shared" si="509"/>
        <v>0</v>
      </c>
      <c r="AK1571" s="73" t="str">
        <f t="shared" si="510"/>
        <v/>
      </c>
      <c r="AL1571" s="73" t="str">
        <f t="shared" si="511"/>
        <v/>
      </c>
      <c r="AM1571" s="73" t="str">
        <f t="shared" si="512"/>
        <v/>
      </c>
      <c r="AN1571" s="73" t="str">
        <f t="shared" si="513"/>
        <v/>
      </c>
    </row>
    <row r="1572" spans="16:40" x14ac:dyDescent="0.25">
      <c r="P1572" s="73" t="str">
        <f t="shared" si="497"/>
        <v/>
      </c>
      <c r="Q1572" s="73" t="str">
        <f t="shared" si="498"/>
        <v/>
      </c>
      <c r="R1572" s="74" t="str">
        <f t="shared" si="499"/>
        <v/>
      </c>
      <c r="S1572" s="74" t="str">
        <f t="shared" si="500"/>
        <v/>
      </c>
      <c r="U1572" s="74" t="str">
        <f t="shared" si="514"/>
        <v/>
      </c>
      <c r="V1572" s="74" t="str">
        <f t="shared" si="514"/>
        <v/>
      </c>
      <c r="W1572" s="74" t="str">
        <f t="shared" si="514"/>
        <v/>
      </c>
      <c r="X1572" s="74" t="str">
        <f t="shared" si="514"/>
        <v/>
      </c>
      <c r="Y1572" s="74" t="str">
        <f t="shared" si="514"/>
        <v/>
      </c>
      <c r="Z1572" s="74" t="str">
        <f t="shared" si="501"/>
        <v/>
      </c>
      <c r="AA1572" s="74">
        <f t="shared" si="502"/>
        <v>0</v>
      </c>
      <c r="AB1572" s="74">
        <f t="shared" si="503"/>
        <v>0</v>
      </c>
      <c r="AC1572" s="74" t="str">
        <f t="shared" si="504"/>
        <v/>
      </c>
      <c r="AE1572" s="74" t="str">
        <f t="shared" si="505"/>
        <v/>
      </c>
      <c r="AF1572" s="74" t="str">
        <f t="shared" si="506"/>
        <v/>
      </c>
      <c r="AG1572" s="74" t="str">
        <f t="shared" si="507"/>
        <v/>
      </c>
      <c r="AH1572" s="74">
        <f t="shared" si="508"/>
        <v>0</v>
      </c>
      <c r="AI1572" s="74" t="str">
        <f>IF(AH1572&lt;&gt;0,COUNTIF(AH$3:AH1572,1),"")</f>
        <v/>
      </c>
      <c r="AJ1572" s="74">
        <f t="shared" si="509"/>
        <v>0</v>
      </c>
      <c r="AK1572" s="73" t="str">
        <f t="shared" si="510"/>
        <v/>
      </c>
      <c r="AL1572" s="73" t="str">
        <f t="shared" si="511"/>
        <v/>
      </c>
      <c r="AM1572" s="73" t="str">
        <f t="shared" si="512"/>
        <v/>
      </c>
      <c r="AN1572" s="73" t="str">
        <f t="shared" si="513"/>
        <v/>
      </c>
    </row>
    <row r="1573" spans="16:40" x14ac:dyDescent="0.25">
      <c r="P1573" s="73" t="str">
        <f t="shared" si="497"/>
        <v/>
      </c>
      <c r="Q1573" s="73" t="str">
        <f t="shared" si="498"/>
        <v/>
      </c>
      <c r="R1573" s="74" t="str">
        <f t="shared" si="499"/>
        <v/>
      </c>
      <c r="S1573" s="74" t="str">
        <f t="shared" si="500"/>
        <v/>
      </c>
      <c r="U1573" s="74" t="str">
        <f t="shared" si="514"/>
        <v/>
      </c>
      <c r="V1573" s="74" t="str">
        <f t="shared" si="514"/>
        <v/>
      </c>
      <c r="W1573" s="74" t="str">
        <f t="shared" si="514"/>
        <v/>
      </c>
      <c r="X1573" s="74" t="str">
        <f t="shared" si="514"/>
        <v/>
      </c>
      <c r="Y1573" s="74" t="str">
        <f t="shared" si="514"/>
        <v/>
      </c>
      <c r="Z1573" s="74" t="str">
        <f t="shared" si="501"/>
        <v/>
      </c>
      <c r="AA1573" s="74">
        <f t="shared" si="502"/>
        <v>0</v>
      </c>
      <c r="AB1573" s="74">
        <f t="shared" si="503"/>
        <v>0</v>
      </c>
      <c r="AC1573" s="74" t="str">
        <f t="shared" si="504"/>
        <v/>
      </c>
      <c r="AE1573" s="74" t="str">
        <f t="shared" si="505"/>
        <v/>
      </c>
      <c r="AF1573" s="74" t="str">
        <f t="shared" si="506"/>
        <v/>
      </c>
      <c r="AG1573" s="74" t="str">
        <f t="shared" si="507"/>
        <v/>
      </c>
      <c r="AH1573" s="74">
        <f t="shared" si="508"/>
        <v>0</v>
      </c>
      <c r="AI1573" s="74" t="str">
        <f>IF(AH1573&lt;&gt;0,COUNTIF(AH$3:AH1573,1),"")</f>
        <v/>
      </c>
      <c r="AJ1573" s="74">
        <f t="shared" si="509"/>
        <v>0</v>
      </c>
      <c r="AK1573" s="73" t="str">
        <f t="shared" si="510"/>
        <v/>
      </c>
      <c r="AL1573" s="73" t="str">
        <f t="shared" si="511"/>
        <v/>
      </c>
      <c r="AM1573" s="73" t="str">
        <f t="shared" si="512"/>
        <v/>
      </c>
      <c r="AN1573" s="73" t="str">
        <f t="shared" si="513"/>
        <v/>
      </c>
    </row>
    <row r="1574" spans="16:40" x14ac:dyDescent="0.25">
      <c r="P1574" s="73" t="str">
        <f t="shared" si="497"/>
        <v/>
      </c>
      <c r="Q1574" s="73" t="str">
        <f t="shared" si="498"/>
        <v/>
      </c>
      <c r="R1574" s="74" t="str">
        <f t="shared" si="499"/>
        <v/>
      </c>
      <c r="S1574" s="74" t="str">
        <f t="shared" si="500"/>
        <v/>
      </c>
      <c r="U1574" s="74" t="str">
        <f t="shared" si="514"/>
        <v/>
      </c>
      <c r="V1574" s="74" t="str">
        <f t="shared" si="514"/>
        <v/>
      </c>
      <c r="W1574" s="74" t="str">
        <f t="shared" si="514"/>
        <v/>
      </c>
      <c r="X1574" s="74" t="str">
        <f t="shared" si="514"/>
        <v/>
      </c>
      <c r="Y1574" s="74" t="str">
        <f t="shared" si="514"/>
        <v/>
      </c>
      <c r="Z1574" s="74" t="str">
        <f t="shared" si="501"/>
        <v/>
      </c>
      <c r="AA1574" s="74">
        <f t="shared" si="502"/>
        <v>0</v>
      </c>
      <c r="AB1574" s="74">
        <f t="shared" si="503"/>
        <v>0</v>
      </c>
      <c r="AC1574" s="74" t="str">
        <f t="shared" si="504"/>
        <v/>
      </c>
      <c r="AE1574" s="74" t="str">
        <f t="shared" si="505"/>
        <v/>
      </c>
      <c r="AF1574" s="74" t="str">
        <f t="shared" si="506"/>
        <v/>
      </c>
      <c r="AG1574" s="74" t="str">
        <f t="shared" si="507"/>
        <v/>
      </c>
      <c r="AH1574" s="74">
        <f t="shared" si="508"/>
        <v>0</v>
      </c>
      <c r="AI1574" s="74" t="str">
        <f>IF(AH1574&lt;&gt;0,COUNTIF(AH$3:AH1574,1),"")</f>
        <v/>
      </c>
      <c r="AJ1574" s="74">
        <f t="shared" si="509"/>
        <v>0</v>
      </c>
      <c r="AK1574" s="73" t="str">
        <f t="shared" si="510"/>
        <v/>
      </c>
      <c r="AL1574" s="73" t="str">
        <f t="shared" si="511"/>
        <v/>
      </c>
      <c r="AM1574" s="73" t="str">
        <f t="shared" si="512"/>
        <v/>
      </c>
      <c r="AN1574" s="73" t="str">
        <f t="shared" si="513"/>
        <v/>
      </c>
    </row>
    <row r="1575" spans="16:40" x14ac:dyDescent="0.25">
      <c r="P1575" s="73" t="str">
        <f t="shared" si="497"/>
        <v/>
      </c>
      <c r="Q1575" s="73" t="str">
        <f t="shared" si="498"/>
        <v/>
      </c>
      <c r="R1575" s="74" t="str">
        <f t="shared" si="499"/>
        <v/>
      </c>
      <c r="S1575" s="74" t="str">
        <f t="shared" si="500"/>
        <v/>
      </c>
      <c r="U1575" s="74" t="str">
        <f t="shared" si="514"/>
        <v/>
      </c>
      <c r="V1575" s="74" t="str">
        <f t="shared" si="514"/>
        <v/>
      </c>
      <c r="W1575" s="74" t="str">
        <f t="shared" si="514"/>
        <v/>
      </c>
      <c r="X1575" s="74" t="str">
        <f t="shared" si="514"/>
        <v/>
      </c>
      <c r="Y1575" s="74" t="str">
        <f t="shared" si="514"/>
        <v/>
      </c>
      <c r="Z1575" s="74" t="str">
        <f t="shared" si="501"/>
        <v/>
      </c>
      <c r="AA1575" s="74">
        <f t="shared" si="502"/>
        <v>0</v>
      </c>
      <c r="AB1575" s="74">
        <f t="shared" si="503"/>
        <v>0</v>
      </c>
      <c r="AC1575" s="74" t="str">
        <f t="shared" si="504"/>
        <v/>
      </c>
      <c r="AE1575" s="74" t="str">
        <f t="shared" si="505"/>
        <v/>
      </c>
      <c r="AF1575" s="74" t="str">
        <f t="shared" si="506"/>
        <v/>
      </c>
      <c r="AG1575" s="74" t="str">
        <f t="shared" si="507"/>
        <v/>
      </c>
      <c r="AH1575" s="74">
        <f t="shared" si="508"/>
        <v>0</v>
      </c>
      <c r="AI1575" s="74" t="str">
        <f>IF(AH1575&lt;&gt;0,COUNTIF(AH$3:AH1575,1),"")</f>
        <v/>
      </c>
      <c r="AJ1575" s="74">
        <f t="shared" si="509"/>
        <v>0</v>
      </c>
      <c r="AK1575" s="73" t="str">
        <f t="shared" si="510"/>
        <v/>
      </c>
      <c r="AL1575" s="73" t="str">
        <f t="shared" si="511"/>
        <v/>
      </c>
      <c r="AM1575" s="73" t="str">
        <f t="shared" si="512"/>
        <v/>
      </c>
      <c r="AN1575" s="73" t="str">
        <f t="shared" si="513"/>
        <v/>
      </c>
    </row>
    <row r="1576" spans="16:40" x14ac:dyDescent="0.25">
      <c r="P1576" s="73" t="str">
        <f t="shared" si="497"/>
        <v/>
      </c>
      <c r="Q1576" s="73" t="str">
        <f t="shared" si="498"/>
        <v/>
      </c>
      <c r="R1576" s="74" t="str">
        <f t="shared" si="499"/>
        <v/>
      </c>
      <c r="S1576" s="74" t="str">
        <f t="shared" si="500"/>
        <v/>
      </c>
      <c r="U1576" s="74" t="str">
        <f t="shared" si="514"/>
        <v/>
      </c>
      <c r="V1576" s="74" t="str">
        <f t="shared" si="514"/>
        <v/>
      </c>
      <c r="W1576" s="74" t="str">
        <f t="shared" si="514"/>
        <v/>
      </c>
      <c r="X1576" s="74" t="str">
        <f t="shared" si="514"/>
        <v/>
      </c>
      <c r="Y1576" s="74" t="str">
        <f t="shared" si="514"/>
        <v/>
      </c>
      <c r="Z1576" s="74" t="str">
        <f t="shared" si="501"/>
        <v/>
      </c>
      <c r="AA1576" s="74">
        <f t="shared" si="502"/>
        <v>0</v>
      </c>
      <c r="AB1576" s="74">
        <f t="shared" si="503"/>
        <v>0</v>
      </c>
      <c r="AC1576" s="74" t="str">
        <f t="shared" si="504"/>
        <v/>
      </c>
      <c r="AE1576" s="74" t="str">
        <f t="shared" si="505"/>
        <v/>
      </c>
      <c r="AF1576" s="74" t="str">
        <f t="shared" si="506"/>
        <v/>
      </c>
      <c r="AG1576" s="74" t="str">
        <f t="shared" si="507"/>
        <v/>
      </c>
      <c r="AH1576" s="74">
        <f t="shared" si="508"/>
        <v>0</v>
      </c>
      <c r="AI1576" s="74" t="str">
        <f>IF(AH1576&lt;&gt;0,COUNTIF(AH$3:AH1576,1),"")</f>
        <v/>
      </c>
      <c r="AJ1576" s="74">
        <f t="shared" si="509"/>
        <v>0</v>
      </c>
      <c r="AK1576" s="73" t="str">
        <f t="shared" si="510"/>
        <v/>
      </c>
      <c r="AL1576" s="73" t="str">
        <f t="shared" si="511"/>
        <v/>
      </c>
      <c r="AM1576" s="73" t="str">
        <f t="shared" si="512"/>
        <v/>
      </c>
      <c r="AN1576" s="73" t="str">
        <f t="shared" si="513"/>
        <v/>
      </c>
    </row>
    <row r="1577" spans="16:40" x14ac:dyDescent="0.25">
      <c r="P1577" s="73" t="str">
        <f t="shared" si="497"/>
        <v/>
      </c>
      <c r="Q1577" s="73" t="str">
        <f t="shared" si="498"/>
        <v/>
      </c>
      <c r="R1577" s="74" t="str">
        <f t="shared" si="499"/>
        <v/>
      </c>
      <c r="S1577" s="74" t="str">
        <f t="shared" si="500"/>
        <v/>
      </c>
      <c r="U1577" s="74" t="str">
        <f t="shared" si="514"/>
        <v/>
      </c>
      <c r="V1577" s="74" t="str">
        <f t="shared" si="514"/>
        <v/>
      </c>
      <c r="W1577" s="74" t="str">
        <f t="shared" si="514"/>
        <v/>
      </c>
      <c r="X1577" s="74" t="str">
        <f t="shared" si="514"/>
        <v/>
      </c>
      <c r="Y1577" s="74" t="str">
        <f t="shared" si="514"/>
        <v/>
      </c>
      <c r="Z1577" s="74" t="str">
        <f t="shared" si="501"/>
        <v/>
      </c>
      <c r="AA1577" s="74">
        <f t="shared" si="502"/>
        <v>0</v>
      </c>
      <c r="AB1577" s="74">
        <f t="shared" si="503"/>
        <v>0</v>
      </c>
      <c r="AC1577" s="74" t="str">
        <f t="shared" si="504"/>
        <v/>
      </c>
      <c r="AE1577" s="74" t="str">
        <f t="shared" si="505"/>
        <v/>
      </c>
      <c r="AF1577" s="74" t="str">
        <f t="shared" si="506"/>
        <v/>
      </c>
      <c r="AG1577" s="74" t="str">
        <f t="shared" si="507"/>
        <v/>
      </c>
      <c r="AH1577" s="74">
        <f t="shared" si="508"/>
        <v>0</v>
      </c>
      <c r="AI1577" s="74" t="str">
        <f>IF(AH1577&lt;&gt;0,COUNTIF(AH$3:AH1577,1),"")</f>
        <v/>
      </c>
      <c r="AJ1577" s="74">
        <f t="shared" si="509"/>
        <v>0</v>
      </c>
      <c r="AK1577" s="73" t="str">
        <f t="shared" si="510"/>
        <v/>
      </c>
      <c r="AL1577" s="73" t="str">
        <f t="shared" si="511"/>
        <v/>
      </c>
      <c r="AM1577" s="73" t="str">
        <f t="shared" si="512"/>
        <v/>
      </c>
      <c r="AN1577" s="73" t="str">
        <f t="shared" si="513"/>
        <v/>
      </c>
    </row>
    <row r="1578" spans="16:40" x14ac:dyDescent="0.25">
      <c r="P1578" s="73" t="str">
        <f t="shared" si="497"/>
        <v/>
      </c>
      <c r="Q1578" s="73" t="str">
        <f t="shared" si="498"/>
        <v/>
      </c>
      <c r="R1578" s="74" t="str">
        <f t="shared" si="499"/>
        <v/>
      </c>
      <c r="S1578" s="74" t="str">
        <f t="shared" si="500"/>
        <v/>
      </c>
      <c r="U1578" s="74" t="str">
        <f t="shared" si="514"/>
        <v/>
      </c>
      <c r="V1578" s="74" t="str">
        <f t="shared" si="514"/>
        <v/>
      </c>
      <c r="W1578" s="74" t="str">
        <f t="shared" si="514"/>
        <v/>
      </c>
      <c r="X1578" s="74" t="str">
        <f t="shared" si="514"/>
        <v/>
      </c>
      <c r="Y1578" s="74" t="str">
        <f t="shared" si="514"/>
        <v/>
      </c>
      <c r="Z1578" s="74" t="str">
        <f t="shared" si="501"/>
        <v/>
      </c>
      <c r="AA1578" s="74">
        <f t="shared" si="502"/>
        <v>0</v>
      </c>
      <c r="AB1578" s="74">
        <f t="shared" si="503"/>
        <v>0</v>
      </c>
      <c r="AC1578" s="74" t="str">
        <f t="shared" si="504"/>
        <v/>
      </c>
      <c r="AE1578" s="74" t="str">
        <f t="shared" si="505"/>
        <v/>
      </c>
      <c r="AF1578" s="74" t="str">
        <f t="shared" si="506"/>
        <v/>
      </c>
      <c r="AG1578" s="74" t="str">
        <f t="shared" si="507"/>
        <v/>
      </c>
      <c r="AH1578" s="74">
        <f t="shared" si="508"/>
        <v>0</v>
      </c>
      <c r="AI1578" s="74" t="str">
        <f>IF(AH1578&lt;&gt;0,COUNTIF(AH$3:AH1578,1),"")</f>
        <v/>
      </c>
      <c r="AJ1578" s="74">
        <f t="shared" si="509"/>
        <v>0</v>
      </c>
      <c r="AK1578" s="73" t="str">
        <f t="shared" si="510"/>
        <v/>
      </c>
      <c r="AL1578" s="73" t="str">
        <f t="shared" si="511"/>
        <v/>
      </c>
      <c r="AM1578" s="73" t="str">
        <f t="shared" si="512"/>
        <v/>
      </c>
      <c r="AN1578" s="73" t="str">
        <f t="shared" si="513"/>
        <v/>
      </c>
    </row>
    <row r="1579" spans="16:40" x14ac:dyDescent="0.25">
      <c r="P1579" s="73" t="str">
        <f t="shared" si="497"/>
        <v/>
      </c>
      <c r="Q1579" s="73" t="str">
        <f t="shared" si="498"/>
        <v/>
      </c>
      <c r="R1579" s="74" t="str">
        <f t="shared" si="499"/>
        <v/>
      </c>
      <c r="S1579" s="74" t="str">
        <f t="shared" si="500"/>
        <v/>
      </c>
      <c r="U1579" s="74" t="str">
        <f t="shared" si="514"/>
        <v/>
      </c>
      <c r="V1579" s="74" t="str">
        <f t="shared" si="514"/>
        <v/>
      </c>
      <c r="W1579" s="74" t="str">
        <f t="shared" si="514"/>
        <v/>
      </c>
      <c r="X1579" s="74" t="str">
        <f t="shared" si="514"/>
        <v/>
      </c>
      <c r="Y1579" s="74" t="str">
        <f t="shared" si="514"/>
        <v/>
      </c>
      <c r="Z1579" s="74" t="str">
        <f t="shared" si="501"/>
        <v/>
      </c>
      <c r="AA1579" s="74">
        <f t="shared" si="502"/>
        <v>0</v>
      </c>
      <c r="AB1579" s="74">
        <f t="shared" si="503"/>
        <v>0</v>
      </c>
      <c r="AC1579" s="74" t="str">
        <f t="shared" si="504"/>
        <v/>
      </c>
      <c r="AE1579" s="74" t="str">
        <f t="shared" si="505"/>
        <v/>
      </c>
      <c r="AF1579" s="74" t="str">
        <f t="shared" si="506"/>
        <v/>
      </c>
      <c r="AG1579" s="74" t="str">
        <f t="shared" si="507"/>
        <v/>
      </c>
      <c r="AH1579" s="74">
        <f t="shared" si="508"/>
        <v>0</v>
      </c>
      <c r="AI1579" s="74" t="str">
        <f>IF(AH1579&lt;&gt;0,COUNTIF(AH$3:AH1579,1),"")</f>
        <v/>
      </c>
      <c r="AJ1579" s="74">
        <f t="shared" si="509"/>
        <v>0</v>
      </c>
      <c r="AK1579" s="73" t="str">
        <f t="shared" si="510"/>
        <v/>
      </c>
      <c r="AL1579" s="73" t="str">
        <f t="shared" si="511"/>
        <v/>
      </c>
      <c r="AM1579" s="73" t="str">
        <f t="shared" si="512"/>
        <v/>
      </c>
      <c r="AN1579" s="73" t="str">
        <f t="shared" si="513"/>
        <v/>
      </c>
    </row>
    <row r="1580" spans="16:40" x14ac:dyDescent="0.25">
      <c r="P1580" s="73" t="str">
        <f t="shared" si="497"/>
        <v/>
      </c>
      <c r="Q1580" s="73" t="str">
        <f t="shared" si="498"/>
        <v/>
      </c>
      <c r="R1580" s="74" t="str">
        <f t="shared" si="499"/>
        <v/>
      </c>
      <c r="S1580" s="74" t="str">
        <f t="shared" si="500"/>
        <v/>
      </c>
      <c r="U1580" s="74" t="str">
        <f t="shared" si="514"/>
        <v/>
      </c>
      <c r="V1580" s="74" t="str">
        <f t="shared" si="514"/>
        <v/>
      </c>
      <c r="W1580" s="74" t="str">
        <f t="shared" si="514"/>
        <v/>
      </c>
      <c r="X1580" s="74" t="str">
        <f t="shared" si="514"/>
        <v/>
      </c>
      <c r="Y1580" s="74" t="str">
        <f t="shared" si="514"/>
        <v/>
      </c>
      <c r="Z1580" s="74" t="str">
        <f t="shared" si="501"/>
        <v/>
      </c>
      <c r="AA1580" s="74">
        <f t="shared" si="502"/>
        <v>0</v>
      </c>
      <c r="AB1580" s="74">
        <f t="shared" si="503"/>
        <v>0</v>
      </c>
      <c r="AC1580" s="74" t="str">
        <f t="shared" si="504"/>
        <v/>
      </c>
      <c r="AE1580" s="74" t="str">
        <f t="shared" si="505"/>
        <v/>
      </c>
      <c r="AF1580" s="74" t="str">
        <f t="shared" si="506"/>
        <v/>
      </c>
      <c r="AG1580" s="74" t="str">
        <f t="shared" si="507"/>
        <v/>
      </c>
      <c r="AH1580" s="74">
        <f t="shared" si="508"/>
        <v>0</v>
      </c>
      <c r="AI1580" s="74" t="str">
        <f>IF(AH1580&lt;&gt;0,COUNTIF(AH$3:AH1580,1),"")</f>
        <v/>
      </c>
      <c r="AJ1580" s="74">
        <f t="shared" si="509"/>
        <v>0</v>
      </c>
      <c r="AK1580" s="73" t="str">
        <f t="shared" si="510"/>
        <v/>
      </c>
      <c r="AL1580" s="73" t="str">
        <f t="shared" si="511"/>
        <v/>
      </c>
      <c r="AM1580" s="73" t="str">
        <f t="shared" si="512"/>
        <v/>
      </c>
      <c r="AN1580" s="73" t="str">
        <f t="shared" si="513"/>
        <v/>
      </c>
    </row>
    <row r="1581" spans="16:40" x14ac:dyDescent="0.25">
      <c r="P1581" s="73" t="str">
        <f t="shared" si="497"/>
        <v/>
      </c>
      <c r="Q1581" s="73" t="str">
        <f t="shared" si="498"/>
        <v/>
      </c>
      <c r="R1581" s="74" t="str">
        <f t="shared" si="499"/>
        <v/>
      </c>
      <c r="S1581" s="74" t="str">
        <f t="shared" si="500"/>
        <v/>
      </c>
      <c r="U1581" s="74" t="str">
        <f t="shared" si="514"/>
        <v/>
      </c>
      <c r="V1581" s="74" t="str">
        <f t="shared" si="514"/>
        <v/>
      </c>
      <c r="W1581" s="74" t="str">
        <f t="shared" si="514"/>
        <v/>
      </c>
      <c r="X1581" s="74" t="str">
        <f t="shared" si="514"/>
        <v/>
      </c>
      <c r="Y1581" s="74" t="str">
        <f t="shared" si="514"/>
        <v/>
      </c>
      <c r="Z1581" s="74" t="str">
        <f t="shared" si="501"/>
        <v/>
      </c>
      <c r="AA1581" s="74">
        <f t="shared" si="502"/>
        <v>0</v>
      </c>
      <c r="AB1581" s="74">
        <f t="shared" si="503"/>
        <v>0</v>
      </c>
      <c r="AC1581" s="74" t="str">
        <f t="shared" si="504"/>
        <v/>
      </c>
      <c r="AE1581" s="74" t="str">
        <f t="shared" si="505"/>
        <v/>
      </c>
      <c r="AF1581" s="74" t="str">
        <f t="shared" si="506"/>
        <v/>
      </c>
      <c r="AG1581" s="74" t="str">
        <f t="shared" si="507"/>
        <v/>
      </c>
      <c r="AH1581" s="74">
        <f t="shared" si="508"/>
        <v>0</v>
      </c>
      <c r="AI1581" s="74" t="str">
        <f>IF(AH1581&lt;&gt;0,COUNTIF(AH$3:AH1581,1),"")</f>
        <v/>
      </c>
      <c r="AJ1581" s="74">
        <f t="shared" si="509"/>
        <v>0</v>
      </c>
      <c r="AK1581" s="73" t="str">
        <f t="shared" si="510"/>
        <v/>
      </c>
      <c r="AL1581" s="73" t="str">
        <f t="shared" si="511"/>
        <v/>
      </c>
      <c r="AM1581" s="73" t="str">
        <f t="shared" si="512"/>
        <v/>
      </c>
      <c r="AN1581" s="73" t="str">
        <f t="shared" si="513"/>
        <v/>
      </c>
    </row>
    <row r="1582" spans="16:40" x14ac:dyDescent="0.25">
      <c r="P1582" s="73" t="str">
        <f t="shared" si="497"/>
        <v/>
      </c>
      <c r="Q1582" s="73" t="str">
        <f t="shared" si="498"/>
        <v/>
      </c>
      <c r="R1582" s="74" t="str">
        <f t="shared" si="499"/>
        <v/>
      </c>
      <c r="S1582" s="74" t="str">
        <f t="shared" si="500"/>
        <v/>
      </c>
      <c r="U1582" s="74" t="str">
        <f t="shared" si="514"/>
        <v/>
      </c>
      <c r="V1582" s="74" t="str">
        <f t="shared" si="514"/>
        <v/>
      </c>
      <c r="W1582" s="74" t="str">
        <f t="shared" si="514"/>
        <v/>
      </c>
      <c r="X1582" s="74" t="str">
        <f t="shared" si="514"/>
        <v/>
      </c>
      <c r="Y1582" s="74" t="str">
        <f t="shared" si="514"/>
        <v/>
      </c>
      <c r="Z1582" s="74" t="str">
        <f t="shared" si="501"/>
        <v/>
      </c>
      <c r="AA1582" s="74">
        <f t="shared" si="502"/>
        <v>0</v>
      </c>
      <c r="AB1582" s="74">
        <f t="shared" si="503"/>
        <v>0</v>
      </c>
      <c r="AC1582" s="74" t="str">
        <f t="shared" si="504"/>
        <v/>
      </c>
      <c r="AE1582" s="74" t="str">
        <f t="shared" si="505"/>
        <v/>
      </c>
      <c r="AF1582" s="74" t="str">
        <f t="shared" si="506"/>
        <v/>
      </c>
      <c r="AG1582" s="74" t="str">
        <f t="shared" si="507"/>
        <v/>
      </c>
      <c r="AH1582" s="74">
        <f t="shared" si="508"/>
        <v>0</v>
      </c>
      <c r="AI1582" s="74" t="str">
        <f>IF(AH1582&lt;&gt;0,COUNTIF(AH$3:AH1582,1),"")</f>
        <v/>
      </c>
      <c r="AJ1582" s="74">
        <f t="shared" si="509"/>
        <v>0</v>
      </c>
      <c r="AK1582" s="73" t="str">
        <f t="shared" si="510"/>
        <v/>
      </c>
      <c r="AL1582" s="73" t="str">
        <f t="shared" si="511"/>
        <v/>
      </c>
      <c r="AM1582" s="73" t="str">
        <f t="shared" si="512"/>
        <v/>
      </c>
      <c r="AN1582" s="73" t="str">
        <f t="shared" si="513"/>
        <v/>
      </c>
    </row>
    <row r="1583" spans="16:40" x14ac:dyDescent="0.25">
      <c r="P1583" s="73" t="str">
        <f t="shared" si="497"/>
        <v/>
      </c>
      <c r="Q1583" s="73" t="str">
        <f t="shared" si="498"/>
        <v/>
      </c>
      <c r="R1583" s="74" t="str">
        <f t="shared" si="499"/>
        <v/>
      </c>
      <c r="S1583" s="74" t="str">
        <f t="shared" si="500"/>
        <v/>
      </c>
      <c r="U1583" s="74" t="str">
        <f t="shared" si="514"/>
        <v/>
      </c>
      <c r="V1583" s="74" t="str">
        <f t="shared" si="514"/>
        <v/>
      </c>
      <c r="W1583" s="74" t="str">
        <f t="shared" si="514"/>
        <v/>
      </c>
      <c r="X1583" s="74" t="str">
        <f t="shared" si="514"/>
        <v/>
      </c>
      <c r="Y1583" s="74" t="str">
        <f t="shared" si="514"/>
        <v/>
      </c>
      <c r="Z1583" s="74" t="str">
        <f t="shared" si="501"/>
        <v/>
      </c>
      <c r="AA1583" s="74">
        <f t="shared" si="502"/>
        <v>0</v>
      </c>
      <c r="AB1583" s="74">
        <f t="shared" si="503"/>
        <v>0</v>
      </c>
      <c r="AC1583" s="74" t="str">
        <f t="shared" si="504"/>
        <v/>
      </c>
      <c r="AE1583" s="74" t="str">
        <f t="shared" si="505"/>
        <v/>
      </c>
      <c r="AF1583" s="74" t="str">
        <f t="shared" si="506"/>
        <v/>
      </c>
      <c r="AG1583" s="74" t="str">
        <f t="shared" si="507"/>
        <v/>
      </c>
      <c r="AH1583" s="74">
        <f t="shared" si="508"/>
        <v>0</v>
      </c>
      <c r="AI1583" s="74" t="str">
        <f>IF(AH1583&lt;&gt;0,COUNTIF(AH$3:AH1583,1),"")</f>
        <v/>
      </c>
      <c r="AJ1583" s="74">
        <f t="shared" si="509"/>
        <v>0</v>
      </c>
      <c r="AK1583" s="73" t="str">
        <f t="shared" si="510"/>
        <v/>
      </c>
      <c r="AL1583" s="73" t="str">
        <f t="shared" si="511"/>
        <v/>
      </c>
      <c r="AM1583" s="73" t="str">
        <f t="shared" si="512"/>
        <v/>
      </c>
      <c r="AN1583" s="73" t="str">
        <f t="shared" si="513"/>
        <v/>
      </c>
    </row>
    <row r="1584" spans="16:40" x14ac:dyDescent="0.25">
      <c r="P1584" s="73" t="str">
        <f t="shared" si="497"/>
        <v/>
      </c>
      <c r="Q1584" s="73" t="str">
        <f t="shared" si="498"/>
        <v/>
      </c>
      <c r="R1584" s="74" t="str">
        <f t="shared" si="499"/>
        <v/>
      </c>
      <c r="S1584" s="74" t="str">
        <f t="shared" si="500"/>
        <v/>
      </c>
      <c r="U1584" s="74" t="str">
        <f t="shared" si="514"/>
        <v/>
      </c>
      <c r="V1584" s="74" t="str">
        <f t="shared" si="514"/>
        <v/>
      </c>
      <c r="W1584" s="74" t="str">
        <f t="shared" si="514"/>
        <v/>
      </c>
      <c r="X1584" s="74" t="str">
        <f t="shared" si="514"/>
        <v/>
      </c>
      <c r="Y1584" s="74" t="str">
        <f t="shared" si="514"/>
        <v/>
      </c>
      <c r="Z1584" s="74" t="str">
        <f t="shared" si="501"/>
        <v/>
      </c>
      <c r="AA1584" s="74">
        <f t="shared" si="502"/>
        <v>0</v>
      </c>
      <c r="AB1584" s="74">
        <f t="shared" si="503"/>
        <v>0</v>
      </c>
      <c r="AC1584" s="74" t="str">
        <f t="shared" si="504"/>
        <v/>
      </c>
      <c r="AE1584" s="74" t="str">
        <f t="shared" si="505"/>
        <v/>
      </c>
      <c r="AF1584" s="74" t="str">
        <f t="shared" si="506"/>
        <v/>
      </c>
      <c r="AG1584" s="74" t="str">
        <f t="shared" si="507"/>
        <v/>
      </c>
      <c r="AH1584" s="74">
        <f t="shared" si="508"/>
        <v>0</v>
      </c>
      <c r="AI1584" s="74" t="str">
        <f>IF(AH1584&lt;&gt;0,COUNTIF(AH$3:AH1584,1),"")</f>
        <v/>
      </c>
      <c r="AJ1584" s="74">
        <f t="shared" si="509"/>
        <v>0</v>
      </c>
      <c r="AK1584" s="73" t="str">
        <f t="shared" si="510"/>
        <v/>
      </c>
      <c r="AL1584" s="73" t="str">
        <f t="shared" si="511"/>
        <v/>
      </c>
      <c r="AM1584" s="73" t="str">
        <f t="shared" si="512"/>
        <v/>
      </c>
      <c r="AN1584" s="73" t="str">
        <f t="shared" si="513"/>
        <v/>
      </c>
    </row>
    <row r="1585" spans="16:40" x14ac:dyDescent="0.25">
      <c r="P1585" s="73" t="str">
        <f t="shared" si="497"/>
        <v/>
      </c>
      <c r="Q1585" s="73" t="str">
        <f t="shared" si="498"/>
        <v/>
      </c>
      <c r="R1585" s="74" t="str">
        <f t="shared" si="499"/>
        <v/>
      </c>
      <c r="S1585" s="74" t="str">
        <f t="shared" si="500"/>
        <v/>
      </c>
      <c r="U1585" s="74" t="str">
        <f t="shared" si="514"/>
        <v/>
      </c>
      <c r="V1585" s="74" t="str">
        <f t="shared" si="514"/>
        <v/>
      </c>
      <c r="W1585" s="74" t="str">
        <f t="shared" si="514"/>
        <v/>
      </c>
      <c r="X1585" s="74" t="str">
        <f t="shared" si="514"/>
        <v/>
      </c>
      <c r="Y1585" s="74" t="str">
        <f t="shared" si="514"/>
        <v/>
      </c>
      <c r="Z1585" s="74" t="str">
        <f t="shared" si="501"/>
        <v/>
      </c>
      <c r="AA1585" s="74">
        <f t="shared" si="502"/>
        <v>0</v>
      </c>
      <c r="AB1585" s="74">
        <f t="shared" si="503"/>
        <v>0</v>
      </c>
      <c r="AC1585" s="74" t="str">
        <f t="shared" si="504"/>
        <v/>
      </c>
      <c r="AE1585" s="74" t="str">
        <f t="shared" si="505"/>
        <v/>
      </c>
      <c r="AF1585" s="74" t="str">
        <f t="shared" si="506"/>
        <v/>
      </c>
      <c r="AG1585" s="74" t="str">
        <f t="shared" si="507"/>
        <v/>
      </c>
      <c r="AH1585" s="74">
        <f t="shared" si="508"/>
        <v>0</v>
      </c>
      <c r="AI1585" s="74" t="str">
        <f>IF(AH1585&lt;&gt;0,COUNTIF(AH$3:AH1585,1),"")</f>
        <v/>
      </c>
      <c r="AJ1585" s="74">
        <f t="shared" si="509"/>
        <v>0</v>
      </c>
      <c r="AK1585" s="73" t="str">
        <f t="shared" si="510"/>
        <v/>
      </c>
      <c r="AL1585" s="73" t="str">
        <f t="shared" si="511"/>
        <v/>
      </c>
      <c r="AM1585" s="73" t="str">
        <f t="shared" si="512"/>
        <v/>
      </c>
      <c r="AN1585" s="73" t="str">
        <f t="shared" si="513"/>
        <v/>
      </c>
    </row>
    <row r="1586" spans="16:40" x14ac:dyDescent="0.25">
      <c r="P1586" s="73" t="str">
        <f t="shared" si="497"/>
        <v/>
      </c>
      <c r="Q1586" s="73" t="str">
        <f t="shared" si="498"/>
        <v/>
      </c>
      <c r="R1586" s="74" t="str">
        <f t="shared" si="499"/>
        <v/>
      </c>
      <c r="S1586" s="74" t="str">
        <f t="shared" si="500"/>
        <v/>
      </c>
      <c r="U1586" s="74" t="str">
        <f t="shared" si="514"/>
        <v/>
      </c>
      <c r="V1586" s="74" t="str">
        <f t="shared" si="514"/>
        <v/>
      </c>
      <c r="W1586" s="74" t="str">
        <f t="shared" si="514"/>
        <v/>
      </c>
      <c r="X1586" s="74" t="str">
        <f t="shared" si="514"/>
        <v/>
      </c>
      <c r="Y1586" s="74" t="str">
        <f t="shared" si="514"/>
        <v/>
      </c>
      <c r="Z1586" s="74" t="str">
        <f t="shared" si="501"/>
        <v/>
      </c>
      <c r="AA1586" s="74">
        <f t="shared" si="502"/>
        <v>0</v>
      </c>
      <c r="AB1586" s="74">
        <f t="shared" si="503"/>
        <v>0</v>
      </c>
      <c r="AC1586" s="74" t="str">
        <f t="shared" si="504"/>
        <v/>
      </c>
      <c r="AE1586" s="74" t="str">
        <f t="shared" si="505"/>
        <v/>
      </c>
      <c r="AF1586" s="74" t="str">
        <f t="shared" si="506"/>
        <v/>
      </c>
      <c r="AG1586" s="74" t="str">
        <f t="shared" si="507"/>
        <v/>
      </c>
      <c r="AH1586" s="74">
        <f t="shared" si="508"/>
        <v>0</v>
      </c>
      <c r="AI1586" s="74" t="str">
        <f>IF(AH1586&lt;&gt;0,COUNTIF(AH$3:AH1586,1),"")</f>
        <v/>
      </c>
      <c r="AJ1586" s="74">
        <f t="shared" si="509"/>
        <v>0</v>
      </c>
      <c r="AK1586" s="73" t="str">
        <f t="shared" si="510"/>
        <v/>
      </c>
      <c r="AL1586" s="73" t="str">
        <f t="shared" si="511"/>
        <v/>
      </c>
      <c r="AM1586" s="73" t="str">
        <f t="shared" si="512"/>
        <v/>
      </c>
      <c r="AN1586" s="73" t="str">
        <f t="shared" si="513"/>
        <v/>
      </c>
    </row>
    <row r="1587" spans="16:40" x14ac:dyDescent="0.25">
      <c r="P1587" s="73" t="str">
        <f t="shared" si="497"/>
        <v/>
      </c>
      <c r="Q1587" s="73" t="str">
        <f t="shared" si="498"/>
        <v/>
      </c>
      <c r="R1587" s="74" t="str">
        <f t="shared" si="499"/>
        <v/>
      </c>
      <c r="S1587" s="74" t="str">
        <f t="shared" si="500"/>
        <v/>
      </c>
      <c r="U1587" s="74" t="str">
        <f t="shared" si="514"/>
        <v/>
      </c>
      <c r="V1587" s="74" t="str">
        <f t="shared" si="514"/>
        <v/>
      </c>
      <c r="W1587" s="74" t="str">
        <f t="shared" si="514"/>
        <v/>
      </c>
      <c r="X1587" s="74" t="str">
        <f t="shared" si="514"/>
        <v/>
      </c>
      <c r="Y1587" s="74" t="str">
        <f t="shared" si="514"/>
        <v/>
      </c>
      <c r="Z1587" s="74" t="str">
        <f t="shared" si="501"/>
        <v/>
      </c>
      <c r="AA1587" s="74">
        <f t="shared" si="502"/>
        <v>0</v>
      </c>
      <c r="AB1587" s="74">
        <f t="shared" si="503"/>
        <v>0</v>
      </c>
      <c r="AC1587" s="74" t="str">
        <f t="shared" si="504"/>
        <v/>
      </c>
      <c r="AE1587" s="74" t="str">
        <f t="shared" si="505"/>
        <v/>
      </c>
      <c r="AF1587" s="74" t="str">
        <f t="shared" si="506"/>
        <v/>
      </c>
      <c r="AG1587" s="74" t="str">
        <f t="shared" si="507"/>
        <v/>
      </c>
      <c r="AH1587" s="74">
        <f t="shared" si="508"/>
        <v>0</v>
      </c>
      <c r="AI1587" s="74" t="str">
        <f>IF(AH1587&lt;&gt;0,COUNTIF(AH$3:AH1587,1),"")</f>
        <v/>
      </c>
      <c r="AJ1587" s="74">
        <f t="shared" si="509"/>
        <v>0</v>
      </c>
      <c r="AK1587" s="73" t="str">
        <f t="shared" si="510"/>
        <v/>
      </c>
      <c r="AL1587" s="73" t="str">
        <f t="shared" si="511"/>
        <v/>
      </c>
      <c r="AM1587" s="73" t="str">
        <f t="shared" si="512"/>
        <v/>
      </c>
      <c r="AN1587" s="73" t="str">
        <f t="shared" si="513"/>
        <v/>
      </c>
    </row>
    <row r="1588" spans="16:40" x14ac:dyDescent="0.25">
      <c r="P1588" s="73" t="str">
        <f t="shared" si="497"/>
        <v/>
      </c>
      <c r="Q1588" s="73" t="str">
        <f t="shared" si="498"/>
        <v/>
      </c>
      <c r="R1588" s="74" t="str">
        <f t="shared" si="499"/>
        <v/>
      </c>
      <c r="S1588" s="74" t="str">
        <f t="shared" si="500"/>
        <v/>
      </c>
      <c r="U1588" s="74" t="str">
        <f t="shared" si="514"/>
        <v/>
      </c>
      <c r="V1588" s="74" t="str">
        <f t="shared" si="514"/>
        <v/>
      </c>
      <c r="W1588" s="74" t="str">
        <f t="shared" si="514"/>
        <v/>
      </c>
      <c r="X1588" s="74" t="str">
        <f t="shared" si="514"/>
        <v/>
      </c>
      <c r="Y1588" s="74" t="str">
        <f t="shared" si="514"/>
        <v/>
      </c>
      <c r="Z1588" s="74" t="str">
        <f t="shared" si="501"/>
        <v/>
      </c>
      <c r="AA1588" s="74">
        <f t="shared" si="502"/>
        <v>0</v>
      </c>
      <c r="AB1588" s="74">
        <f t="shared" si="503"/>
        <v>0</v>
      </c>
      <c r="AC1588" s="74" t="str">
        <f t="shared" si="504"/>
        <v/>
      </c>
      <c r="AE1588" s="74" t="str">
        <f t="shared" si="505"/>
        <v/>
      </c>
      <c r="AF1588" s="74" t="str">
        <f t="shared" si="506"/>
        <v/>
      </c>
      <c r="AG1588" s="74" t="str">
        <f t="shared" si="507"/>
        <v/>
      </c>
      <c r="AH1588" s="74">
        <f t="shared" si="508"/>
        <v>0</v>
      </c>
      <c r="AI1588" s="74" t="str">
        <f>IF(AH1588&lt;&gt;0,COUNTIF(AH$3:AH1588,1),"")</f>
        <v/>
      </c>
      <c r="AJ1588" s="74">
        <f t="shared" si="509"/>
        <v>0</v>
      </c>
      <c r="AK1588" s="73" t="str">
        <f t="shared" si="510"/>
        <v/>
      </c>
      <c r="AL1588" s="73" t="str">
        <f t="shared" si="511"/>
        <v/>
      </c>
      <c r="AM1588" s="73" t="str">
        <f t="shared" si="512"/>
        <v/>
      </c>
      <c r="AN1588" s="73" t="str">
        <f t="shared" si="513"/>
        <v/>
      </c>
    </row>
    <row r="1589" spans="16:40" x14ac:dyDescent="0.25">
      <c r="P1589" s="73" t="str">
        <f t="shared" si="497"/>
        <v/>
      </c>
      <c r="Q1589" s="73" t="str">
        <f t="shared" si="498"/>
        <v/>
      </c>
      <c r="R1589" s="74" t="str">
        <f t="shared" si="499"/>
        <v/>
      </c>
      <c r="S1589" s="74" t="str">
        <f t="shared" si="500"/>
        <v/>
      </c>
      <c r="U1589" s="74" t="str">
        <f t="shared" si="514"/>
        <v/>
      </c>
      <c r="V1589" s="74" t="str">
        <f t="shared" si="514"/>
        <v/>
      </c>
      <c r="W1589" s="74" t="str">
        <f t="shared" si="514"/>
        <v/>
      </c>
      <c r="X1589" s="74" t="str">
        <f t="shared" si="514"/>
        <v/>
      </c>
      <c r="Y1589" s="74" t="str">
        <f t="shared" si="514"/>
        <v/>
      </c>
      <c r="Z1589" s="74" t="str">
        <f t="shared" si="501"/>
        <v/>
      </c>
      <c r="AA1589" s="74">
        <f t="shared" si="502"/>
        <v>0</v>
      </c>
      <c r="AB1589" s="74">
        <f t="shared" si="503"/>
        <v>0</v>
      </c>
      <c r="AC1589" s="74" t="str">
        <f t="shared" si="504"/>
        <v/>
      </c>
      <c r="AE1589" s="74" t="str">
        <f t="shared" si="505"/>
        <v/>
      </c>
      <c r="AF1589" s="74" t="str">
        <f t="shared" si="506"/>
        <v/>
      </c>
      <c r="AG1589" s="74" t="str">
        <f t="shared" si="507"/>
        <v/>
      </c>
      <c r="AH1589" s="74">
        <f t="shared" si="508"/>
        <v>0</v>
      </c>
      <c r="AI1589" s="74" t="str">
        <f>IF(AH1589&lt;&gt;0,COUNTIF(AH$3:AH1589,1),"")</f>
        <v/>
      </c>
      <c r="AJ1589" s="74">
        <f t="shared" si="509"/>
        <v>0</v>
      </c>
      <c r="AK1589" s="73" t="str">
        <f t="shared" si="510"/>
        <v/>
      </c>
      <c r="AL1589" s="73" t="str">
        <f t="shared" si="511"/>
        <v/>
      </c>
      <c r="AM1589" s="73" t="str">
        <f t="shared" si="512"/>
        <v/>
      </c>
      <c r="AN1589" s="73" t="str">
        <f t="shared" si="513"/>
        <v/>
      </c>
    </row>
    <row r="1590" spans="16:40" x14ac:dyDescent="0.25">
      <c r="P1590" s="73" t="str">
        <f t="shared" si="497"/>
        <v/>
      </c>
      <c r="Q1590" s="73" t="str">
        <f t="shared" si="498"/>
        <v/>
      </c>
      <c r="R1590" s="74" t="str">
        <f t="shared" si="499"/>
        <v/>
      </c>
      <c r="S1590" s="74" t="str">
        <f t="shared" si="500"/>
        <v/>
      </c>
      <c r="U1590" s="74" t="str">
        <f t="shared" si="514"/>
        <v/>
      </c>
      <c r="V1590" s="74" t="str">
        <f t="shared" si="514"/>
        <v/>
      </c>
      <c r="W1590" s="74" t="str">
        <f t="shared" si="514"/>
        <v/>
      </c>
      <c r="X1590" s="74" t="str">
        <f t="shared" si="514"/>
        <v/>
      </c>
      <c r="Y1590" s="74" t="str">
        <f t="shared" si="514"/>
        <v/>
      </c>
      <c r="Z1590" s="74" t="str">
        <f t="shared" si="501"/>
        <v/>
      </c>
      <c r="AA1590" s="74">
        <f t="shared" si="502"/>
        <v>0</v>
      </c>
      <c r="AB1590" s="74">
        <f t="shared" si="503"/>
        <v>0</v>
      </c>
      <c r="AC1590" s="74" t="str">
        <f t="shared" si="504"/>
        <v/>
      </c>
      <c r="AE1590" s="74" t="str">
        <f t="shared" si="505"/>
        <v/>
      </c>
      <c r="AF1590" s="74" t="str">
        <f t="shared" si="506"/>
        <v/>
      </c>
      <c r="AG1590" s="74" t="str">
        <f t="shared" si="507"/>
        <v/>
      </c>
      <c r="AH1590" s="74">
        <f t="shared" si="508"/>
        <v>0</v>
      </c>
      <c r="AI1590" s="74" t="str">
        <f>IF(AH1590&lt;&gt;0,COUNTIF(AH$3:AH1590,1),"")</f>
        <v/>
      </c>
      <c r="AJ1590" s="74">
        <f t="shared" si="509"/>
        <v>0</v>
      </c>
      <c r="AK1590" s="73" t="str">
        <f t="shared" si="510"/>
        <v/>
      </c>
      <c r="AL1590" s="73" t="str">
        <f t="shared" si="511"/>
        <v/>
      </c>
      <c r="AM1590" s="73" t="str">
        <f t="shared" si="512"/>
        <v/>
      </c>
      <c r="AN1590" s="73" t="str">
        <f t="shared" si="513"/>
        <v/>
      </c>
    </row>
    <row r="1591" spans="16:40" x14ac:dyDescent="0.25">
      <c r="P1591" s="73" t="str">
        <f t="shared" si="497"/>
        <v/>
      </c>
      <c r="Q1591" s="73" t="str">
        <f t="shared" si="498"/>
        <v/>
      </c>
      <c r="R1591" s="74" t="str">
        <f t="shared" si="499"/>
        <v/>
      </c>
      <c r="S1591" s="74" t="str">
        <f t="shared" si="500"/>
        <v/>
      </c>
      <c r="U1591" s="74" t="str">
        <f t="shared" si="514"/>
        <v/>
      </c>
      <c r="V1591" s="74" t="str">
        <f t="shared" si="514"/>
        <v/>
      </c>
      <c r="W1591" s="74" t="str">
        <f t="shared" si="514"/>
        <v/>
      </c>
      <c r="X1591" s="74" t="str">
        <f t="shared" si="514"/>
        <v/>
      </c>
      <c r="Y1591" s="74" t="str">
        <f t="shared" si="514"/>
        <v/>
      </c>
      <c r="Z1591" s="74" t="str">
        <f t="shared" si="501"/>
        <v/>
      </c>
      <c r="AA1591" s="74">
        <f t="shared" si="502"/>
        <v>0</v>
      </c>
      <c r="AB1591" s="74">
        <f t="shared" si="503"/>
        <v>0</v>
      </c>
      <c r="AC1591" s="74" t="str">
        <f t="shared" si="504"/>
        <v/>
      </c>
      <c r="AE1591" s="74" t="str">
        <f t="shared" si="505"/>
        <v/>
      </c>
      <c r="AF1591" s="74" t="str">
        <f t="shared" si="506"/>
        <v/>
      </c>
      <c r="AG1591" s="74" t="str">
        <f t="shared" si="507"/>
        <v/>
      </c>
      <c r="AH1591" s="74">
        <f t="shared" si="508"/>
        <v>0</v>
      </c>
      <c r="AI1591" s="74" t="str">
        <f>IF(AH1591&lt;&gt;0,COUNTIF(AH$3:AH1591,1),"")</f>
        <v/>
      </c>
      <c r="AJ1591" s="74">
        <f t="shared" si="509"/>
        <v>0</v>
      </c>
      <c r="AK1591" s="73" t="str">
        <f t="shared" si="510"/>
        <v/>
      </c>
      <c r="AL1591" s="73" t="str">
        <f t="shared" si="511"/>
        <v/>
      </c>
      <c r="AM1591" s="73" t="str">
        <f t="shared" si="512"/>
        <v/>
      </c>
      <c r="AN1591" s="73" t="str">
        <f t="shared" si="513"/>
        <v/>
      </c>
    </row>
    <row r="1592" spans="16:40" x14ac:dyDescent="0.25">
      <c r="P1592" s="73" t="str">
        <f t="shared" si="497"/>
        <v/>
      </c>
      <c r="Q1592" s="73" t="str">
        <f t="shared" si="498"/>
        <v/>
      </c>
      <c r="R1592" s="74" t="str">
        <f t="shared" si="499"/>
        <v/>
      </c>
      <c r="S1592" s="74" t="str">
        <f t="shared" si="500"/>
        <v/>
      </c>
      <c r="U1592" s="74" t="str">
        <f t="shared" si="514"/>
        <v/>
      </c>
      <c r="V1592" s="74" t="str">
        <f t="shared" si="514"/>
        <v/>
      </c>
      <c r="W1592" s="74" t="str">
        <f t="shared" si="514"/>
        <v/>
      </c>
      <c r="X1592" s="74" t="str">
        <f t="shared" si="514"/>
        <v/>
      </c>
      <c r="Y1592" s="74" t="str">
        <f t="shared" si="514"/>
        <v/>
      </c>
      <c r="Z1592" s="74" t="str">
        <f t="shared" si="501"/>
        <v/>
      </c>
      <c r="AA1592" s="74">
        <f t="shared" si="502"/>
        <v>0</v>
      </c>
      <c r="AB1592" s="74">
        <f t="shared" si="503"/>
        <v>0</v>
      </c>
      <c r="AC1592" s="74" t="str">
        <f t="shared" si="504"/>
        <v/>
      </c>
      <c r="AE1592" s="74" t="str">
        <f t="shared" si="505"/>
        <v/>
      </c>
      <c r="AF1592" s="74" t="str">
        <f t="shared" si="506"/>
        <v/>
      </c>
      <c r="AG1592" s="74" t="str">
        <f t="shared" si="507"/>
        <v/>
      </c>
      <c r="AH1592" s="74">
        <f t="shared" si="508"/>
        <v>0</v>
      </c>
      <c r="AI1592" s="74" t="str">
        <f>IF(AH1592&lt;&gt;0,COUNTIF(AH$3:AH1592,1),"")</f>
        <v/>
      </c>
      <c r="AJ1592" s="74">
        <f t="shared" si="509"/>
        <v>0</v>
      </c>
      <c r="AK1592" s="73" t="str">
        <f t="shared" si="510"/>
        <v/>
      </c>
      <c r="AL1592" s="73" t="str">
        <f t="shared" si="511"/>
        <v/>
      </c>
      <c r="AM1592" s="73" t="str">
        <f t="shared" si="512"/>
        <v/>
      </c>
      <c r="AN1592" s="73" t="str">
        <f t="shared" si="513"/>
        <v/>
      </c>
    </row>
    <row r="1593" spans="16:40" x14ac:dyDescent="0.25">
      <c r="P1593" s="73" t="str">
        <f t="shared" si="497"/>
        <v/>
      </c>
      <c r="Q1593" s="73" t="str">
        <f t="shared" si="498"/>
        <v/>
      </c>
      <c r="R1593" s="74" t="str">
        <f t="shared" si="499"/>
        <v/>
      </c>
      <c r="S1593" s="74" t="str">
        <f t="shared" si="500"/>
        <v/>
      </c>
      <c r="U1593" s="74" t="str">
        <f t="shared" si="514"/>
        <v/>
      </c>
      <c r="V1593" s="74" t="str">
        <f t="shared" si="514"/>
        <v/>
      </c>
      <c r="W1593" s="74" t="str">
        <f t="shared" si="514"/>
        <v/>
      </c>
      <c r="X1593" s="74" t="str">
        <f t="shared" si="514"/>
        <v/>
      </c>
      <c r="Y1593" s="74" t="str">
        <f t="shared" si="514"/>
        <v/>
      </c>
      <c r="Z1593" s="74" t="str">
        <f t="shared" si="501"/>
        <v/>
      </c>
      <c r="AA1593" s="74">
        <f t="shared" si="502"/>
        <v>0</v>
      </c>
      <c r="AB1593" s="74">
        <f t="shared" si="503"/>
        <v>0</v>
      </c>
      <c r="AC1593" s="74" t="str">
        <f t="shared" si="504"/>
        <v/>
      </c>
      <c r="AE1593" s="74" t="str">
        <f t="shared" si="505"/>
        <v/>
      </c>
      <c r="AF1593" s="74" t="str">
        <f t="shared" si="506"/>
        <v/>
      </c>
      <c r="AG1593" s="74" t="str">
        <f t="shared" si="507"/>
        <v/>
      </c>
      <c r="AH1593" s="74">
        <f t="shared" si="508"/>
        <v>0</v>
      </c>
      <c r="AI1593" s="74" t="str">
        <f>IF(AH1593&lt;&gt;0,COUNTIF(AH$3:AH1593,1),"")</f>
        <v/>
      </c>
      <c r="AJ1593" s="74">
        <f t="shared" si="509"/>
        <v>0</v>
      </c>
      <c r="AK1593" s="73" t="str">
        <f t="shared" si="510"/>
        <v/>
      </c>
      <c r="AL1593" s="73" t="str">
        <f t="shared" si="511"/>
        <v/>
      </c>
      <c r="AM1593" s="73" t="str">
        <f t="shared" si="512"/>
        <v/>
      </c>
      <c r="AN1593" s="73" t="str">
        <f t="shared" si="513"/>
        <v/>
      </c>
    </row>
  </sheetData>
  <sheetProtection selectLockedCells="1"/>
  <mergeCells count="1">
    <mergeCell ref="AH1:AI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E25"/>
  <sheetViews>
    <sheetView workbookViewId="0">
      <selection activeCell="AE3" sqref="AE3"/>
    </sheetView>
  </sheetViews>
  <sheetFormatPr baseColWidth="10" defaultRowHeight="15" x14ac:dyDescent="0.25"/>
  <cols>
    <col min="1" max="1" width="28.5703125" bestFit="1" customWidth="1"/>
    <col min="2" max="2" width="10.7109375" bestFit="1" customWidth="1"/>
    <col min="3" max="3" width="10.85546875" bestFit="1" customWidth="1"/>
    <col min="4" max="4" width="13.85546875" bestFit="1" customWidth="1"/>
    <col min="5" max="5" width="4" bestFit="1" customWidth="1"/>
    <col min="6" max="6" width="3.85546875" bestFit="1" customWidth="1"/>
    <col min="7" max="7" width="11" bestFit="1" customWidth="1"/>
    <col min="8" max="8" width="14.5703125" bestFit="1" customWidth="1"/>
    <col min="9" max="9" width="11.7109375" bestFit="1" customWidth="1"/>
    <col min="10" max="10" width="8.42578125" bestFit="1" customWidth="1"/>
    <col min="11" max="11" width="6.140625" bestFit="1" customWidth="1"/>
    <col min="12" max="12" width="5.5703125" bestFit="1" customWidth="1"/>
    <col min="13" max="13" width="7.5703125" bestFit="1" customWidth="1"/>
    <col min="14" max="14" width="12.42578125" bestFit="1" customWidth="1"/>
    <col min="15" max="15" width="8.42578125" bestFit="1" customWidth="1"/>
    <col min="16" max="16" width="13.7109375" bestFit="1" customWidth="1"/>
    <col min="17" max="17" width="3.140625" bestFit="1" customWidth="1"/>
    <col min="18" max="18" width="5.140625" bestFit="1" customWidth="1"/>
    <col min="19" max="19" width="10" bestFit="1" customWidth="1"/>
    <col min="20" max="20" width="6" bestFit="1" customWidth="1"/>
    <col min="21" max="21" width="11.28515625" bestFit="1" customWidth="1"/>
    <col min="22" max="22" width="5" bestFit="1" customWidth="1"/>
    <col min="23" max="23" width="7.140625" bestFit="1" customWidth="1"/>
    <col min="24" max="25" width="8.140625" bestFit="1" customWidth="1"/>
    <col min="26" max="26" width="6" bestFit="1" customWidth="1"/>
    <col min="27" max="28" width="15.7109375" bestFit="1" customWidth="1"/>
    <col min="29" max="29" width="9.7109375" bestFit="1" customWidth="1"/>
    <col min="30" max="30" width="6.85546875" bestFit="1" customWidth="1"/>
    <col min="31" max="31" width="11.85546875" bestFit="1" customWidth="1"/>
  </cols>
  <sheetData>
    <row r="1" spans="1:31" ht="15.75" x14ac:dyDescent="0.25">
      <c r="A1" s="43" t="s">
        <v>53</v>
      </c>
      <c r="B1" s="43" t="s">
        <v>0</v>
      </c>
      <c r="C1" s="43" t="s">
        <v>2</v>
      </c>
      <c r="D1" s="43" t="s">
        <v>3</v>
      </c>
      <c r="E1" s="43" t="s">
        <v>42</v>
      </c>
      <c r="F1" s="43" t="s">
        <v>56</v>
      </c>
      <c r="G1" s="43" t="s">
        <v>29</v>
      </c>
      <c r="H1" s="43" t="s">
        <v>57</v>
      </c>
      <c r="I1" s="43" t="s">
        <v>58</v>
      </c>
      <c r="J1" s="43" t="s">
        <v>59</v>
      </c>
      <c r="K1" s="43" t="s">
        <v>60</v>
      </c>
      <c r="L1" s="7" t="s">
        <v>61</v>
      </c>
      <c r="M1" s="7" t="s">
        <v>62</v>
      </c>
      <c r="N1" s="7" t="s">
        <v>63</v>
      </c>
      <c r="O1" s="7" t="s">
        <v>64</v>
      </c>
      <c r="P1" s="7" t="s">
        <v>65</v>
      </c>
      <c r="Q1" s="7" t="s">
        <v>14</v>
      </c>
      <c r="R1" s="7" t="s">
        <v>13</v>
      </c>
      <c r="S1" s="7" t="s">
        <v>8</v>
      </c>
      <c r="T1" s="7" t="s">
        <v>15</v>
      </c>
      <c r="U1" s="7" t="s">
        <v>16</v>
      </c>
      <c r="V1" s="7" t="s">
        <v>66</v>
      </c>
      <c r="W1" s="43" t="s">
        <v>71</v>
      </c>
      <c r="X1" s="43" t="s">
        <v>72</v>
      </c>
      <c r="Y1" s="43" t="s">
        <v>74</v>
      </c>
      <c r="Z1" s="43" t="s">
        <v>73</v>
      </c>
      <c r="AA1" s="43" t="s">
        <v>75</v>
      </c>
      <c r="AB1" s="43" t="s">
        <v>76</v>
      </c>
      <c r="AC1" s="43" t="s">
        <v>77</v>
      </c>
      <c r="AD1" s="43" t="s">
        <v>78</v>
      </c>
      <c r="AE1" s="43" t="s">
        <v>145</v>
      </c>
    </row>
    <row r="2" spans="1:31" x14ac:dyDescent="0.25">
      <c r="A2" t="s">
        <v>84</v>
      </c>
    </row>
    <row r="3" spans="1:31" x14ac:dyDescent="0.25">
      <c r="A3" t="s">
        <v>91</v>
      </c>
      <c r="B3" s="48">
        <v>44905</v>
      </c>
      <c r="C3" t="s">
        <v>38</v>
      </c>
      <c r="D3" t="s">
        <v>54</v>
      </c>
      <c r="E3">
        <v>480</v>
      </c>
      <c r="F3">
        <v>30</v>
      </c>
      <c r="G3">
        <v>810</v>
      </c>
      <c r="H3">
        <v>26</v>
      </c>
      <c r="I3">
        <v>5</v>
      </c>
      <c r="J3">
        <v>9984</v>
      </c>
      <c r="K3">
        <v>1794</v>
      </c>
      <c r="L3">
        <v>3384</v>
      </c>
      <c r="M3">
        <v>0</v>
      </c>
      <c r="N3">
        <v>0</v>
      </c>
      <c r="O3">
        <v>0</v>
      </c>
      <c r="P3">
        <v>1038</v>
      </c>
      <c r="Q3">
        <v>4</v>
      </c>
      <c r="R3">
        <v>0</v>
      </c>
      <c r="S3">
        <v>0</v>
      </c>
      <c r="T3">
        <v>0</v>
      </c>
      <c r="U3">
        <v>1</v>
      </c>
      <c r="V3">
        <v>86.7</v>
      </c>
      <c r="W3" t="s">
        <v>154</v>
      </c>
      <c r="X3" t="s">
        <v>132</v>
      </c>
      <c r="Y3" t="s">
        <v>137</v>
      </c>
      <c r="AA3" t="s">
        <v>138</v>
      </c>
      <c r="AB3" t="s">
        <v>139</v>
      </c>
      <c r="AC3" t="s">
        <v>155</v>
      </c>
      <c r="AE3">
        <f t="shared" ref="AE3:AE25" si="0">IF(B3&lt;&gt;"",1,0)</f>
        <v>1</v>
      </c>
    </row>
    <row r="4" spans="1:31" x14ac:dyDescent="0.25">
      <c r="A4" t="s">
        <v>183</v>
      </c>
      <c r="B4" s="48">
        <v>44905</v>
      </c>
      <c r="C4" t="s">
        <v>39</v>
      </c>
      <c r="D4" t="s">
        <v>88</v>
      </c>
      <c r="E4">
        <v>480</v>
      </c>
      <c r="F4">
        <v>30</v>
      </c>
      <c r="G4">
        <v>810</v>
      </c>
      <c r="H4">
        <v>26</v>
      </c>
      <c r="I4">
        <v>5</v>
      </c>
      <c r="J4">
        <v>9984</v>
      </c>
      <c r="K4">
        <v>1794</v>
      </c>
      <c r="L4">
        <v>3384</v>
      </c>
      <c r="M4">
        <v>0</v>
      </c>
      <c r="N4">
        <v>0</v>
      </c>
      <c r="O4">
        <v>0</v>
      </c>
      <c r="P4">
        <v>1038</v>
      </c>
      <c r="Q4">
        <v>4</v>
      </c>
      <c r="R4">
        <v>0</v>
      </c>
      <c r="S4">
        <v>0</v>
      </c>
      <c r="T4">
        <v>0</v>
      </c>
      <c r="U4">
        <v>1</v>
      </c>
      <c r="V4">
        <v>86.7</v>
      </c>
      <c r="W4" t="s">
        <v>154</v>
      </c>
      <c r="X4" t="s">
        <v>132</v>
      </c>
      <c r="Y4" t="s">
        <v>137</v>
      </c>
      <c r="AA4" t="s">
        <v>133</v>
      </c>
      <c r="AB4" t="s">
        <v>134</v>
      </c>
      <c r="AC4" t="s">
        <v>155</v>
      </c>
      <c r="AE4">
        <f t="shared" si="0"/>
        <v>1</v>
      </c>
    </row>
    <row r="5" spans="1:31" x14ac:dyDescent="0.25">
      <c r="A5" t="s">
        <v>196</v>
      </c>
      <c r="B5" s="48">
        <v>44905</v>
      </c>
      <c r="C5" t="s">
        <v>40</v>
      </c>
      <c r="D5" t="s">
        <v>89</v>
      </c>
      <c r="E5">
        <v>480</v>
      </c>
      <c r="F5">
        <v>30</v>
      </c>
      <c r="G5">
        <v>810</v>
      </c>
      <c r="H5">
        <v>26</v>
      </c>
      <c r="I5">
        <v>5</v>
      </c>
      <c r="J5">
        <v>9984</v>
      </c>
      <c r="K5">
        <v>1794</v>
      </c>
      <c r="L5">
        <v>3384</v>
      </c>
      <c r="M5">
        <v>0</v>
      </c>
      <c r="N5">
        <v>0</v>
      </c>
      <c r="O5">
        <v>0</v>
      </c>
      <c r="P5">
        <v>1038</v>
      </c>
      <c r="Q5">
        <v>4</v>
      </c>
      <c r="R5">
        <v>0</v>
      </c>
      <c r="S5">
        <v>0</v>
      </c>
      <c r="T5">
        <v>0</v>
      </c>
      <c r="U5">
        <v>1</v>
      </c>
      <c r="V5">
        <v>86.7</v>
      </c>
      <c r="W5" t="s">
        <v>197</v>
      </c>
      <c r="X5" t="s">
        <v>132</v>
      </c>
      <c r="Y5" t="s">
        <v>137</v>
      </c>
      <c r="AA5" t="s">
        <v>198</v>
      </c>
      <c r="AB5" t="s">
        <v>134</v>
      </c>
      <c r="AC5" t="s">
        <v>155</v>
      </c>
      <c r="AE5">
        <f t="shared" si="0"/>
        <v>1</v>
      </c>
    </row>
    <row r="6" spans="1:31" x14ac:dyDescent="0.25">
      <c r="B6" s="48"/>
      <c r="AE6">
        <f t="shared" si="0"/>
        <v>0</v>
      </c>
    </row>
    <row r="7" spans="1:31" x14ac:dyDescent="0.25">
      <c r="B7" s="48"/>
      <c r="AE7">
        <f t="shared" si="0"/>
        <v>0</v>
      </c>
    </row>
    <row r="8" spans="1:31" x14ac:dyDescent="0.25">
      <c r="B8" s="48"/>
      <c r="AE8">
        <f t="shared" si="0"/>
        <v>0</v>
      </c>
    </row>
    <row r="9" spans="1:31" x14ac:dyDescent="0.25">
      <c r="B9" s="48"/>
      <c r="AE9">
        <f t="shared" si="0"/>
        <v>0</v>
      </c>
    </row>
    <row r="10" spans="1:31" x14ac:dyDescent="0.25">
      <c r="B10" s="48"/>
      <c r="AE10">
        <f t="shared" si="0"/>
        <v>0</v>
      </c>
    </row>
    <row r="11" spans="1:31" x14ac:dyDescent="0.25">
      <c r="AE11">
        <f t="shared" si="0"/>
        <v>0</v>
      </c>
    </row>
    <row r="12" spans="1:31" x14ac:dyDescent="0.25">
      <c r="AE12">
        <f t="shared" si="0"/>
        <v>0</v>
      </c>
    </row>
    <row r="13" spans="1:31" x14ac:dyDescent="0.25">
      <c r="AE13">
        <f t="shared" si="0"/>
        <v>0</v>
      </c>
    </row>
    <row r="14" spans="1:31" x14ac:dyDescent="0.25">
      <c r="AE14">
        <f t="shared" si="0"/>
        <v>0</v>
      </c>
    </row>
    <row r="15" spans="1:31" x14ac:dyDescent="0.25">
      <c r="AE15">
        <f t="shared" si="0"/>
        <v>0</v>
      </c>
    </row>
    <row r="16" spans="1:31" x14ac:dyDescent="0.25">
      <c r="AE16">
        <f t="shared" si="0"/>
        <v>0</v>
      </c>
    </row>
    <row r="17" spans="31:31" x14ac:dyDescent="0.25">
      <c r="AE17">
        <f t="shared" si="0"/>
        <v>0</v>
      </c>
    </row>
    <row r="18" spans="31:31" x14ac:dyDescent="0.25">
      <c r="AE18">
        <f t="shared" si="0"/>
        <v>0</v>
      </c>
    </row>
    <row r="19" spans="31:31" x14ac:dyDescent="0.25">
      <c r="AE19">
        <f t="shared" si="0"/>
        <v>0</v>
      </c>
    </row>
    <row r="20" spans="31:31" x14ac:dyDescent="0.25">
      <c r="AE20">
        <f t="shared" si="0"/>
        <v>0</v>
      </c>
    </row>
    <row r="21" spans="31:31" x14ac:dyDescent="0.25">
      <c r="AE21">
        <f t="shared" si="0"/>
        <v>0</v>
      </c>
    </row>
    <row r="22" spans="31:31" x14ac:dyDescent="0.25">
      <c r="AE22">
        <f t="shared" si="0"/>
        <v>0</v>
      </c>
    </row>
    <row r="23" spans="31:31" x14ac:dyDescent="0.25">
      <c r="AE23">
        <f t="shared" si="0"/>
        <v>0</v>
      </c>
    </row>
    <row r="24" spans="31:31" x14ac:dyDescent="0.25">
      <c r="AE24">
        <f t="shared" si="0"/>
        <v>0</v>
      </c>
    </row>
    <row r="25" spans="31:31" x14ac:dyDescent="0.25">
      <c r="AE25">
        <f t="shared" si="0"/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2:W154"/>
  <sheetViews>
    <sheetView workbookViewId="0">
      <selection activeCell="U10" sqref="U10"/>
    </sheetView>
  </sheetViews>
  <sheetFormatPr baseColWidth="10" defaultRowHeight="15" x14ac:dyDescent="0.25"/>
  <cols>
    <col min="3" max="4" width="6" bestFit="1" customWidth="1"/>
    <col min="5" max="5" width="9.42578125" bestFit="1" customWidth="1"/>
    <col min="6" max="6" width="6" bestFit="1" customWidth="1"/>
    <col min="7" max="7" width="10.7109375" bestFit="1" customWidth="1"/>
    <col min="8" max="8" width="6" bestFit="1" customWidth="1"/>
    <col min="9" max="9" width="5.85546875" bestFit="1" customWidth="1"/>
    <col min="10" max="10" width="10.28515625" bestFit="1" customWidth="1"/>
    <col min="11" max="11" width="8.140625" bestFit="1" customWidth="1"/>
    <col min="12" max="12" width="10.7109375" bestFit="1" customWidth="1"/>
    <col min="13" max="13" width="8.42578125" bestFit="1" customWidth="1"/>
    <col min="14" max="14" width="9.85546875" bestFit="1" customWidth="1"/>
    <col min="15" max="16" width="5.5703125" bestFit="1" customWidth="1"/>
    <col min="17" max="17" width="10.7109375" bestFit="1" customWidth="1"/>
    <col min="18" max="18" width="6.42578125" customWidth="1"/>
    <col min="19" max="19" width="24.140625" bestFit="1" customWidth="1"/>
  </cols>
  <sheetData>
    <row r="2" spans="1:23" x14ac:dyDescent="0.25">
      <c r="C2" s="258" t="s">
        <v>140</v>
      </c>
      <c r="D2" s="258"/>
      <c r="E2" s="259" t="s">
        <v>11</v>
      </c>
      <c r="F2" s="259"/>
      <c r="G2" s="260" t="s">
        <v>143</v>
      </c>
      <c r="H2" s="260"/>
      <c r="J2" t="s">
        <v>144</v>
      </c>
      <c r="K2" t="s">
        <v>146</v>
      </c>
      <c r="M2" t="s">
        <v>147</v>
      </c>
    </row>
    <row r="3" spans="1:23" x14ac:dyDescent="0.25">
      <c r="C3" s="62">
        <f>SUM(data_FIBRAGETEMP!AB:AB)</f>
        <v>52</v>
      </c>
      <c r="D3" s="62">
        <f>SUM(data_FIBRAGETEMP!Z:Z)</f>
        <v>19968</v>
      </c>
      <c r="E3" s="64">
        <f>SUM(data_FIBRAGETEMP!AC:AC)</f>
        <v>10</v>
      </c>
      <c r="F3" s="64">
        <f>SUM(data_FIBRAGETEMP!AA:AA)</f>
        <v>3588</v>
      </c>
      <c r="G3">
        <f>C3+E3</f>
        <v>62</v>
      </c>
      <c r="H3">
        <f>D3+F3</f>
        <v>23556</v>
      </c>
      <c r="J3">
        <f>SUM(data_TRS!AE:AE)</f>
        <v>3</v>
      </c>
      <c r="K3">
        <f>SUM(data_TRS!E:E)</f>
        <v>1440</v>
      </c>
      <c r="M3">
        <f>SUM(data_TRS!F:F)</f>
        <v>90</v>
      </c>
    </row>
    <row r="4" spans="1:23" x14ac:dyDescent="0.25">
      <c r="C4" s="61">
        <f>ROUND(C3/G3*100,2)</f>
        <v>83.87</v>
      </c>
      <c r="D4" s="61">
        <f>ROUND(D3/H3*100,2)</f>
        <v>84.77</v>
      </c>
      <c r="E4" s="61">
        <f>ROUND(E3/G3*100,2)</f>
        <v>16.13</v>
      </c>
      <c r="F4" s="61">
        <f>ROUND(F3/H3*100,2)</f>
        <v>15.23</v>
      </c>
    </row>
    <row r="7" spans="1:23" x14ac:dyDescent="0.25">
      <c r="C7" s="63" t="s">
        <v>14</v>
      </c>
      <c r="D7" s="63" t="s">
        <v>13</v>
      </c>
      <c r="E7" s="63" t="s">
        <v>8</v>
      </c>
      <c r="F7" s="63" t="s">
        <v>15</v>
      </c>
      <c r="G7" s="63" t="s">
        <v>16</v>
      </c>
      <c r="I7" s="64" t="s">
        <v>148</v>
      </c>
      <c r="J7" s="64" t="s">
        <v>149</v>
      </c>
      <c r="K7" s="65"/>
      <c r="M7" s="66" t="s">
        <v>148</v>
      </c>
      <c r="N7" s="66" t="s">
        <v>149</v>
      </c>
      <c r="O7" s="66" t="s">
        <v>7</v>
      </c>
      <c r="R7">
        <v>1</v>
      </c>
      <c r="S7" t="str">
        <f>IFERROR(VLOOKUP(STATS!R7,data_FIBRAGE!AF:AN,2,FALSE),"")</f>
        <v>44905;Matin;Nicolas B.</v>
      </c>
      <c r="T7">
        <f>IFERROR(VLOOKUP(STATS!R7,data_FIBRAGE!AF:AN,3,FALSE),"")</f>
        <v>3</v>
      </c>
      <c r="U7" t="str">
        <f>IFERROR(VLOOKUP(STATS!R7,data_FIBRAGE!AF:AN,8,FALSE),"")</f>
        <v>298</v>
      </c>
      <c r="V7" t="str">
        <f>IFERROR(VLOOKUP(STATS!R7,data_FIBRAGE!AF:AN,6,FALSE),"")</f>
        <v/>
      </c>
      <c r="W7" t="str">
        <f>IFERROR(VLOOKUP(STATS!R7,data_FIBRAGE!AF:AN,7,FALSE),"")</f>
        <v/>
      </c>
    </row>
    <row r="8" spans="1:23" x14ac:dyDescent="0.25">
      <c r="C8" s="64">
        <f>SUM(data_FIBRAGETEMP!U:U)</f>
        <v>2820</v>
      </c>
      <c r="D8" s="64">
        <f>SUM(data_FIBRAGETEMP!V:V)</f>
        <v>0</v>
      </c>
      <c r="E8" s="64">
        <f>SUM(data_FIBRAGETEMP!W:W)</f>
        <v>0</v>
      </c>
      <c r="F8" s="64">
        <f>SUM(data_FIBRAGETEMP!X:X)</f>
        <v>0</v>
      </c>
      <c r="G8" s="64">
        <f>SUM(data_FIBRAGETEMP!Y:Y)</f>
        <v>768</v>
      </c>
      <c r="I8" s="64">
        <f>COUNTIF(data_FIBRAGETEMP!AE:AE,FALSE)</f>
        <v>0</v>
      </c>
      <c r="J8" s="64">
        <f>COUNTIF(data_FIBRAGETEMP!AF:AF,FALSE)</f>
        <v>0</v>
      </c>
      <c r="K8" s="65"/>
      <c r="L8" s="78" t="s">
        <v>184</v>
      </c>
      <c r="M8" s="77">
        <f>AVERAGE(data_FIBRAGETEMP!AP:AP)</f>
        <v>31</v>
      </c>
      <c r="N8" s="77">
        <f>AVERAGE(data_FIBRAGETEMP!AQ:AQ)</f>
        <v>31</v>
      </c>
      <c r="O8" s="77">
        <f>AVERAGE(data_FIBRAGETEMP!AR:AR)</f>
        <v>300.33333333333331</v>
      </c>
      <c r="R8">
        <v>2</v>
      </c>
      <c r="S8" t="str">
        <f>IFERROR(VLOOKUP(STATS!R8,data_FIBRAGE!AF:AN,2,FALSE),"")</f>
        <v>44905;Matin;Nicolas B.</v>
      </c>
      <c r="T8">
        <f>IFERROR(VLOOKUP(STATS!R8,data_FIBRAGE!AF:AN,3,FALSE),"")</f>
        <v>4</v>
      </c>
      <c r="U8" t="str">
        <f>IFERROR(VLOOKUP(STATS!R8,data_FIBRAGE!AF:AN,8,FALSE),"")</f>
        <v>301</v>
      </c>
      <c r="V8" t="str">
        <f>IFERROR(VLOOKUP(STATS!R8,data_FIBRAGE!AF:AN,6,FALSE),"")</f>
        <v>32</v>
      </c>
      <c r="W8" t="str">
        <f>IFERROR(VLOOKUP(STATS!R8,data_FIBRAGE!AF:AN,7,FALSE),"")</f>
        <v>31</v>
      </c>
    </row>
    <row r="9" spans="1:23" x14ac:dyDescent="0.25">
      <c r="C9" s="64">
        <f>ROUND(C8/$F3*100,2)</f>
        <v>78.599999999999994</v>
      </c>
      <c r="D9" s="64">
        <f>ROUND(D8/$F3*100,2)</f>
        <v>0</v>
      </c>
      <c r="E9" s="64">
        <f>ROUND(E8/$F3*100,2)</f>
        <v>0</v>
      </c>
      <c r="F9" s="64">
        <f>ROUND(F8/$F3*100,2)</f>
        <v>0</v>
      </c>
      <c r="G9" s="64">
        <f>ROUND(G8/$F3*100,2)</f>
        <v>21.4</v>
      </c>
      <c r="I9" s="65"/>
      <c r="J9" s="65"/>
      <c r="K9" s="65"/>
      <c r="L9" s="78" t="s">
        <v>185</v>
      </c>
      <c r="M9" s="77">
        <f>MIN(data_FIBRAGETEMP!AP:AP)</f>
        <v>29</v>
      </c>
      <c r="N9" s="77">
        <f>MIN(data_FIBRAGETEMP!AQ:AQ)</f>
        <v>31</v>
      </c>
      <c r="O9" s="77">
        <f>MIN(data_FIBRAGETEMP!AR:AR)</f>
        <v>298</v>
      </c>
      <c r="R9">
        <v>3</v>
      </c>
      <c r="S9" t="str">
        <f>IFERROR(VLOOKUP(STATS!R9,data_FIBRAGE!AF:AN,2,FALSE),"")</f>
        <v>44905;Nuit;ThomasNau N.</v>
      </c>
      <c r="T9">
        <f>IFERROR(VLOOKUP(STATS!R9,data_FIBRAGE!AF:AN,3,FALSE),"")</f>
        <v>3</v>
      </c>
      <c r="U9" t="str">
        <f>IFERROR(VLOOKUP(STATS!R9,data_FIBRAGE!AF:AN,8,FALSE),"")</f>
        <v>122</v>
      </c>
      <c r="V9" t="str">
        <f>IFERROR(VLOOKUP(STATS!R9,data_FIBRAGE!AF:AN,6,FALSE),"")</f>
        <v/>
      </c>
      <c r="W9" t="str">
        <f>IFERROR(VLOOKUP(STATS!R9,data_FIBRAGE!AF:AN,7,FALSE),"")</f>
        <v/>
      </c>
    </row>
    <row r="10" spans="1:23" x14ac:dyDescent="0.25">
      <c r="I10" s="65"/>
      <c r="J10" s="65"/>
      <c r="K10" s="65"/>
      <c r="L10" s="78" t="s">
        <v>186</v>
      </c>
      <c r="M10" s="77">
        <f>MAX(data_FIBRAGETEMP!AP:AP)</f>
        <v>32</v>
      </c>
      <c r="N10" s="77">
        <f>MAX(data_FIBRAGETEMP!AQ:AQ)</f>
        <v>31</v>
      </c>
      <c r="O10" s="77">
        <f>MAX(data_FIBRAGETEMP!AR:AR)</f>
        <v>302</v>
      </c>
      <c r="R10">
        <v>4</v>
      </c>
      <c r="S10" t="str">
        <f>IFERROR(VLOOKUP(STATS!R10,data_FIBRAGE!AF:AN,2,FALSE),"")</f>
        <v>44905;Nuit;ThomasNau N.</v>
      </c>
      <c r="T10">
        <f>IFERROR(VLOOKUP(STATS!R10,data_FIBRAGE!AF:AN,3,FALSE),"")</f>
        <v>4</v>
      </c>
      <c r="U10" t="str">
        <f>IFERROR(VLOOKUP(STATS!R10,data_FIBRAGE!AF:AN,8,FALSE),"")</f>
        <v>301</v>
      </c>
      <c r="V10" t="str">
        <f>IFERROR(VLOOKUP(STATS!R10,data_FIBRAGE!AF:AN,6,FALSE),"")</f>
        <v>23</v>
      </c>
      <c r="W10" t="str">
        <f>IFERROR(VLOOKUP(STATS!R10,data_FIBRAGE!AF:AN,7,FALSE),"")</f>
        <v>21</v>
      </c>
    </row>
    <row r="11" spans="1:23" x14ac:dyDescent="0.25">
      <c r="I11" s="65"/>
      <c r="J11" s="65"/>
      <c r="K11" s="65"/>
      <c r="L11" s="65"/>
      <c r="M11" s="65"/>
      <c r="N11" s="65"/>
      <c r="O11" s="65"/>
      <c r="R11">
        <v>5</v>
      </c>
      <c r="S11" t="str">
        <f>IFERROR(VLOOKUP(STATS!R11,data_FIBRAGE!AF:AN,2,FALSE),"")</f>
        <v/>
      </c>
      <c r="T11" t="str">
        <f>IFERROR(VLOOKUP(STATS!R11,data_FIBRAGE!AF:AN,3,FALSE),"")</f>
        <v/>
      </c>
      <c r="U11" t="str">
        <f>IFERROR(VLOOKUP(STATS!R11,data_FIBRAGE!AF:AN,8,FALSE),"")</f>
        <v/>
      </c>
      <c r="V11" t="str">
        <f>IFERROR(VLOOKUP(STATS!R11,data_FIBRAGE!AF:AN,6,FALSE),"")</f>
        <v/>
      </c>
      <c r="W11" t="str">
        <f>IFERROR(VLOOKUP(STATS!R11,data_FIBRAGE!AF:AN,7,FALSE),"")</f>
        <v/>
      </c>
    </row>
    <row r="12" spans="1:23" x14ac:dyDescent="0.25">
      <c r="I12" s="65"/>
      <c r="J12" s="65"/>
      <c r="K12" s="65"/>
      <c r="L12" s="65"/>
      <c r="M12" s="65"/>
      <c r="N12" s="65"/>
      <c r="O12" s="65"/>
      <c r="R12">
        <v>6</v>
      </c>
      <c r="S12" t="str">
        <f>IFERROR(VLOOKUP(STATS!R12,data_FIBRAGE!AF:AN,2,FALSE),"")</f>
        <v/>
      </c>
      <c r="T12" t="str">
        <f>IFERROR(VLOOKUP(STATS!R12,data_FIBRAGE!AF:AN,3,FALSE),"")</f>
        <v/>
      </c>
      <c r="U12" t="str">
        <f>IFERROR(VLOOKUP(STATS!R12,data_FIBRAGE!AF:AN,8,FALSE),"")</f>
        <v/>
      </c>
      <c r="V12" t="str">
        <f>IFERROR(VLOOKUP(STATS!R12,data_FIBRAGE!AF:AN,6,FALSE),"")</f>
        <v/>
      </c>
      <c r="W12" t="str">
        <f>IFERROR(VLOOKUP(STATS!R12,data_FIBRAGE!AF:AN,7,FALSE),"")</f>
        <v/>
      </c>
    </row>
    <row r="13" spans="1:23" x14ac:dyDescent="0.25">
      <c r="A13" s="1"/>
      <c r="B13" s="1"/>
      <c r="C13" s="1"/>
      <c r="D13" s="1"/>
      <c r="E13" s="1"/>
      <c r="F13" s="1"/>
      <c r="G13" s="1"/>
      <c r="H13" s="61"/>
      <c r="I13" s="66"/>
      <c r="J13" s="66"/>
      <c r="K13" s="66"/>
      <c r="L13" s="66"/>
      <c r="M13" s="66"/>
      <c r="N13" s="66"/>
      <c r="O13" s="66"/>
      <c r="P13" s="61"/>
      <c r="Q13" s="61"/>
      <c r="R13">
        <v>7</v>
      </c>
      <c r="S13" t="str">
        <f>IFERROR(VLOOKUP(STATS!R13,data_FIBRAGE!AF:AN,2,FALSE),"")</f>
        <v/>
      </c>
      <c r="T13" t="str">
        <f>IFERROR(VLOOKUP(STATS!R13,data_FIBRAGE!AF:AN,3,FALSE),"")</f>
        <v/>
      </c>
      <c r="U13" t="str">
        <f>IFERROR(VLOOKUP(STATS!R13,data_FIBRAGE!AF:AN,8,FALSE),"")</f>
        <v/>
      </c>
      <c r="V13" t="str">
        <f>IFERROR(VLOOKUP(STATS!R13,data_FIBRAGE!AF:AN,6,FALSE),"")</f>
        <v/>
      </c>
      <c r="W13" t="str">
        <f>IFERROR(VLOOKUP(STATS!R13,data_FIBRAGE!AF:AN,7,FALSE),"")</f>
        <v/>
      </c>
    </row>
    <row r="14" spans="1:23" x14ac:dyDescent="0.25">
      <c r="D14" s="1"/>
      <c r="E14" s="1"/>
      <c r="F14" s="1"/>
      <c r="G14" s="1"/>
      <c r="L14" s="68"/>
      <c r="M14" s="65"/>
      <c r="N14" s="65"/>
      <c r="O14" s="65"/>
      <c r="R14">
        <v>8</v>
      </c>
      <c r="S14" t="str">
        <f>IFERROR(VLOOKUP(STATS!R14,data_FIBRAGE!AF:AN,2,FALSE),"")</f>
        <v/>
      </c>
      <c r="T14" t="str">
        <f>IFERROR(VLOOKUP(STATS!R14,data_FIBRAGE!AF:AN,3,FALSE),"")</f>
        <v/>
      </c>
      <c r="U14" t="str">
        <f>IFERROR(VLOOKUP(STATS!R14,data_FIBRAGE!AF:AN,8,FALSE),"")</f>
        <v/>
      </c>
      <c r="V14" t="str">
        <f>IFERROR(VLOOKUP(STATS!R14,data_FIBRAGE!AF:AN,6,FALSE),"")</f>
        <v/>
      </c>
      <c r="W14" t="str">
        <f>IFERROR(VLOOKUP(STATS!R14,data_FIBRAGE!AF:AN,7,FALSE),"")</f>
        <v/>
      </c>
    </row>
    <row r="15" spans="1:23" x14ac:dyDescent="0.25">
      <c r="D15" s="1"/>
      <c r="E15" s="1"/>
      <c r="F15" s="1"/>
      <c r="G15" s="1"/>
      <c r="L15" s="68"/>
      <c r="M15" s="65"/>
      <c r="N15" s="65"/>
      <c r="O15" s="65"/>
      <c r="R15">
        <v>9</v>
      </c>
      <c r="S15" t="str">
        <f>IFERROR(VLOOKUP(STATS!R15,data_FIBRAGE!AF:AN,2,FALSE),"")</f>
        <v/>
      </c>
      <c r="T15" t="str">
        <f>IFERROR(VLOOKUP(STATS!R15,data_FIBRAGE!AF:AN,3,FALSE),"")</f>
        <v/>
      </c>
      <c r="U15" t="str">
        <f>IFERROR(VLOOKUP(STATS!R15,data_FIBRAGE!AF:AN,8,FALSE),"")</f>
        <v/>
      </c>
      <c r="V15" t="str">
        <f>IFERROR(VLOOKUP(STATS!R15,data_FIBRAGE!AF:AN,6,FALSE),"")</f>
        <v/>
      </c>
      <c r="W15" t="str">
        <f>IFERROR(VLOOKUP(STATS!R15,data_FIBRAGE!AF:AN,7,FALSE),"")</f>
        <v/>
      </c>
    </row>
    <row r="16" spans="1:23" x14ac:dyDescent="0.25">
      <c r="D16" s="1"/>
      <c r="E16" s="1"/>
      <c r="F16" s="1"/>
      <c r="G16" s="1"/>
      <c r="L16" s="68"/>
      <c r="M16" s="65"/>
      <c r="N16" s="65"/>
      <c r="O16" s="65"/>
      <c r="R16">
        <v>10</v>
      </c>
      <c r="S16" t="str">
        <f>IFERROR(VLOOKUP(STATS!R16,data_FIBRAGE!AF:AN,2,FALSE),"")</f>
        <v/>
      </c>
      <c r="T16" t="str">
        <f>IFERROR(VLOOKUP(STATS!R16,data_FIBRAGE!AF:AN,3,FALSE),"")</f>
        <v/>
      </c>
      <c r="U16" t="str">
        <f>IFERROR(VLOOKUP(STATS!R16,data_FIBRAGE!AF:AN,8,FALSE),"")</f>
        <v/>
      </c>
      <c r="V16" t="str">
        <f>IFERROR(VLOOKUP(STATS!R16,data_FIBRAGE!AF:AN,6,FALSE),"")</f>
        <v/>
      </c>
      <c r="W16" t="str">
        <f>IFERROR(VLOOKUP(STATS!R16,data_FIBRAGE!AF:AN,7,FALSE),"")</f>
        <v/>
      </c>
    </row>
    <row r="17" spans="4:23" x14ac:dyDescent="0.25">
      <c r="D17" s="1"/>
      <c r="E17" s="1"/>
      <c r="F17" s="1"/>
      <c r="G17" s="1"/>
      <c r="L17" s="68"/>
      <c r="M17" s="65"/>
      <c r="N17" s="65"/>
      <c r="O17" s="65"/>
      <c r="R17">
        <v>11</v>
      </c>
      <c r="S17" t="str">
        <f>IFERROR(VLOOKUP(STATS!R17,data_FIBRAGE!AF:AN,2,FALSE),"")</f>
        <v/>
      </c>
      <c r="T17" t="str">
        <f>IFERROR(VLOOKUP(STATS!R17,data_FIBRAGE!AF:AN,3,FALSE),"")</f>
        <v/>
      </c>
      <c r="U17" t="str">
        <f>IFERROR(VLOOKUP(STATS!R17,data_FIBRAGE!AF:AN,8,FALSE),"")</f>
        <v/>
      </c>
      <c r="V17" t="str">
        <f>IFERROR(VLOOKUP(STATS!R17,data_FIBRAGE!AF:AN,6,FALSE),"")</f>
        <v/>
      </c>
      <c r="W17" t="str">
        <f>IFERROR(VLOOKUP(STATS!R17,data_FIBRAGE!AF:AN,7,FALSE),"")</f>
        <v/>
      </c>
    </row>
    <row r="18" spans="4:23" x14ac:dyDescent="0.25">
      <c r="D18" s="1"/>
      <c r="E18" s="1"/>
      <c r="F18" s="1"/>
      <c r="G18" s="1"/>
      <c r="L18" s="68"/>
      <c r="M18" s="65"/>
      <c r="N18" s="65"/>
      <c r="O18" s="65"/>
      <c r="R18">
        <v>12</v>
      </c>
      <c r="S18" t="str">
        <f>IFERROR(VLOOKUP(STATS!R18,data_FIBRAGE!AF:AN,2,FALSE),"")</f>
        <v/>
      </c>
      <c r="T18" t="str">
        <f>IFERROR(VLOOKUP(STATS!R18,data_FIBRAGE!AF:AN,3,FALSE),"")</f>
        <v/>
      </c>
      <c r="U18" t="str">
        <f>IFERROR(VLOOKUP(STATS!R18,data_FIBRAGE!AF:AN,8,FALSE),"")</f>
        <v/>
      </c>
      <c r="V18" t="str">
        <f>IFERROR(VLOOKUP(STATS!R18,data_FIBRAGE!AF:AN,6,FALSE),"")</f>
        <v/>
      </c>
      <c r="W18" t="str">
        <f>IFERROR(VLOOKUP(STATS!R18,data_FIBRAGE!AF:AN,7,FALSE),"")</f>
        <v/>
      </c>
    </row>
    <row r="19" spans="4:23" x14ac:dyDescent="0.25">
      <c r="D19" s="1"/>
      <c r="E19" s="1"/>
      <c r="F19" s="1"/>
      <c r="G19" s="1"/>
      <c r="L19" s="68"/>
      <c r="M19" s="65"/>
      <c r="N19" s="65"/>
      <c r="O19" s="65"/>
      <c r="R19">
        <v>13</v>
      </c>
      <c r="S19" t="str">
        <f>IFERROR(VLOOKUP(STATS!R19,data_FIBRAGE!AF:AN,2,FALSE),"")</f>
        <v/>
      </c>
      <c r="T19" t="str">
        <f>IFERROR(VLOOKUP(STATS!R19,data_FIBRAGE!AF:AN,3,FALSE),"")</f>
        <v/>
      </c>
      <c r="U19" t="str">
        <f>IFERROR(VLOOKUP(STATS!R19,data_FIBRAGE!AF:AN,8,FALSE),"")</f>
        <v/>
      </c>
      <c r="V19" t="str">
        <f>IFERROR(VLOOKUP(STATS!R19,data_FIBRAGE!AF:AN,6,FALSE),"")</f>
        <v/>
      </c>
      <c r="W19" t="str">
        <f>IFERROR(VLOOKUP(STATS!R19,data_FIBRAGE!AF:AN,7,FALSE),"")</f>
        <v/>
      </c>
    </row>
    <row r="20" spans="4:23" x14ac:dyDescent="0.25">
      <c r="D20" s="1"/>
      <c r="E20" s="1"/>
      <c r="F20" s="1"/>
      <c r="G20" s="1"/>
      <c r="L20" s="68"/>
      <c r="M20" s="65"/>
      <c r="N20" s="65"/>
      <c r="O20" s="65"/>
      <c r="R20">
        <v>14</v>
      </c>
      <c r="S20" t="str">
        <f>IFERROR(VLOOKUP(STATS!R20,data_FIBRAGE!AF:AN,2,FALSE),"")</f>
        <v/>
      </c>
      <c r="T20" t="str">
        <f>IFERROR(VLOOKUP(STATS!R20,data_FIBRAGE!AF:AN,3,FALSE),"")</f>
        <v/>
      </c>
      <c r="U20" t="str">
        <f>IFERROR(VLOOKUP(STATS!R20,data_FIBRAGE!AF:AN,8,FALSE),"")</f>
        <v/>
      </c>
      <c r="V20" t="str">
        <f>IFERROR(VLOOKUP(STATS!R20,data_FIBRAGE!AF:AN,6,FALSE),"")</f>
        <v/>
      </c>
      <c r="W20" t="str">
        <f>IFERROR(VLOOKUP(STATS!R20,data_FIBRAGE!AF:AN,7,FALSE),"")</f>
        <v/>
      </c>
    </row>
    <row r="21" spans="4:23" x14ac:dyDescent="0.25">
      <c r="D21" s="1"/>
      <c r="E21" s="1"/>
      <c r="F21" s="1"/>
      <c r="G21" s="1"/>
      <c r="L21" s="68"/>
      <c r="M21" s="65"/>
      <c r="N21" s="65"/>
      <c r="O21" s="65"/>
      <c r="R21">
        <v>15</v>
      </c>
      <c r="S21" t="str">
        <f>IFERROR(VLOOKUP(STATS!R21,data_FIBRAGE!AF:AN,2,FALSE),"")</f>
        <v/>
      </c>
      <c r="T21" t="str">
        <f>IFERROR(VLOOKUP(STATS!R21,data_FIBRAGE!AF:AN,3,FALSE),"")</f>
        <v/>
      </c>
      <c r="U21" t="str">
        <f>IFERROR(VLOOKUP(STATS!R21,data_FIBRAGE!AF:AN,8,FALSE),"")</f>
        <v/>
      </c>
      <c r="V21" t="str">
        <f>IFERROR(VLOOKUP(STATS!R21,data_FIBRAGE!AF:AN,6,FALSE),"")</f>
        <v/>
      </c>
      <c r="W21" t="str">
        <f>IFERROR(VLOOKUP(STATS!R21,data_FIBRAGE!AF:AN,7,FALSE),"")</f>
        <v/>
      </c>
    </row>
    <row r="22" spans="4:23" x14ac:dyDescent="0.25">
      <c r="D22" s="1"/>
      <c r="E22" s="1"/>
      <c r="F22" s="1"/>
      <c r="G22" s="1"/>
      <c r="L22" s="68"/>
      <c r="M22" s="65"/>
      <c r="N22" s="65"/>
      <c r="O22" s="65"/>
      <c r="R22">
        <v>16</v>
      </c>
      <c r="S22" t="str">
        <f>IFERROR(VLOOKUP(STATS!R22,data_FIBRAGE!AF:AN,2,FALSE),"")</f>
        <v/>
      </c>
      <c r="T22" t="str">
        <f>IFERROR(VLOOKUP(STATS!R22,data_FIBRAGE!AF:AN,3,FALSE),"")</f>
        <v/>
      </c>
      <c r="U22" t="str">
        <f>IFERROR(VLOOKUP(STATS!R22,data_FIBRAGE!AF:AN,8,FALSE),"")</f>
        <v/>
      </c>
      <c r="V22" t="str">
        <f>IFERROR(VLOOKUP(STATS!R22,data_FIBRAGE!AF:AN,6,FALSE),"")</f>
        <v/>
      </c>
      <c r="W22" t="str">
        <f>IFERROR(VLOOKUP(STATS!R22,data_FIBRAGE!AF:AN,7,FALSE),"")</f>
        <v/>
      </c>
    </row>
    <row r="23" spans="4:23" x14ac:dyDescent="0.25">
      <c r="D23" s="1"/>
      <c r="E23" s="1"/>
      <c r="F23" s="1"/>
      <c r="G23" s="1"/>
      <c r="L23" s="68"/>
      <c r="M23" s="65"/>
      <c r="N23" s="65"/>
      <c r="O23" s="65"/>
      <c r="R23">
        <v>17</v>
      </c>
      <c r="S23" t="str">
        <f>IFERROR(VLOOKUP(STATS!R23,data_FIBRAGE!AF:AN,2,FALSE),"")</f>
        <v/>
      </c>
      <c r="T23" t="str">
        <f>IFERROR(VLOOKUP(STATS!R23,data_FIBRAGE!AF:AN,3,FALSE),"")</f>
        <v/>
      </c>
      <c r="U23" t="str">
        <f>IFERROR(VLOOKUP(STATS!R23,data_FIBRAGE!AF:AN,8,FALSE),"")</f>
        <v/>
      </c>
      <c r="V23" t="str">
        <f>IFERROR(VLOOKUP(STATS!R23,data_FIBRAGE!AF:AN,6,FALSE),"")</f>
        <v/>
      </c>
      <c r="W23" t="str">
        <f>IFERROR(VLOOKUP(STATS!R23,data_FIBRAGE!AF:AN,7,FALSE),"")</f>
        <v/>
      </c>
    </row>
    <row r="24" spans="4:23" x14ac:dyDescent="0.25">
      <c r="D24" s="1"/>
      <c r="E24" s="1"/>
      <c r="F24" s="1"/>
      <c r="G24" s="1"/>
      <c r="L24" s="68"/>
      <c r="M24" s="65"/>
      <c r="N24" s="65"/>
      <c r="O24" s="65"/>
      <c r="R24">
        <v>18</v>
      </c>
      <c r="S24" t="str">
        <f>IFERROR(VLOOKUP(STATS!R24,data_FIBRAGE!AF:AN,2,FALSE),"")</f>
        <v/>
      </c>
      <c r="T24" t="str">
        <f>IFERROR(VLOOKUP(STATS!R24,data_FIBRAGE!AF:AN,3,FALSE),"")</f>
        <v/>
      </c>
      <c r="U24" t="str">
        <f>IFERROR(VLOOKUP(STATS!R24,data_FIBRAGE!AF:AN,8,FALSE),"")</f>
        <v/>
      </c>
      <c r="V24" t="str">
        <f>IFERROR(VLOOKUP(STATS!R24,data_FIBRAGE!AF:AN,6,FALSE),"")</f>
        <v/>
      </c>
      <c r="W24" t="str">
        <f>IFERROR(VLOOKUP(STATS!R24,data_FIBRAGE!AF:AN,7,FALSE),"")</f>
        <v/>
      </c>
    </row>
    <row r="25" spans="4:23" x14ac:dyDescent="0.25">
      <c r="D25" s="1"/>
      <c r="E25" s="1"/>
      <c r="F25" s="1"/>
      <c r="G25" s="1"/>
      <c r="L25" s="68"/>
      <c r="M25" s="65"/>
      <c r="N25" s="65"/>
      <c r="O25" s="65"/>
      <c r="R25">
        <v>19</v>
      </c>
      <c r="S25" t="str">
        <f>IFERROR(VLOOKUP(STATS!R25,data_FIBRAGE!AF:AN,2,FALSE),"")</f>
        <v/>
      </c>
      <c r="T25" t="str">
        <f>IFERROR(VLOOKUP(STATS!R25,data_FIBRAGE!AF:AN,3,FALSE),"")</f>
        <v/>
      </c>
      <c r="U25" t="str">
        <f>IFERROR(VLOOKUP(STATS!R25,data_FIBRAGE!AF:AN,8,FALSE),"")</f>
        <v/>
      </c>
      <c r="V25" t="str">
        <f>IFERROR(VLOOKUP(STATS!R25,data_FIBRAGE!AF:AN,6,FALSE),"")</f>
        <v/>
      </c>
      <c r="W25" t="str">
        <f>IFERROR(VLOOKUP(STATS!R25,data_FIBRAGE!AF:AN,7,FALSE),"")</f>
        <v/>
      </c>
    </row>
    <row r="26" spans="4:23" x14ac:dyDescent="0.25">
      <c r="D26" s="1"/>
      <c r="E26" s="1"/>
      <c r="F26" s="1"/>
      <c r="G26" s="1"/>
      <c r="L26" s="68"/>
      <c r="M26" s="65"/>
      <c r="N26" s="65"/>
      <c r="O26" s="65"/>
    </row>
    <row r="27" spans="4:23" x14ac:dyDescent="0.25">
      <c r="D27" s="1"/>
      <c r="E27" s="1"/>
      <c r="F27" s="1"/>
      <c r="G27" s="1"/>
      <c r="L27" s="68"/>
      <c r="M27" s="65"/>
      <c r="N27" s="65"/>
      <c r="O27" s="65"/>
    </row>
    <row r="28" spans="4:23" x14ac:dyDescent="0.25">
      <c r="D28" s="1"/>
      <c r="E28" s="1"/>
      <c r="F28" s="1"/>
      <c r="G28" s="1"/>
      <c r="L28" s="68"/>
      <c r="M28" s="65"/>
      <c r="N28" s="65"/>
      <c r="O28" s="65"/>
    </row>
    <row r="29" spans="4:23" x14ac:dyDescent="0.25">
      <c r="D29" s="1"/>
      <c r="E29" s="1"/>
      <c r="F29" s="1"/>
      <c r="G29" s="1"/>
      <c r="L29" s="68"/>
      <c r="M29" s="65"/>
      <c r="N29" s="65"/>
      <c r="O29" s="65"/>
    </row>
    <row r="30" spans="4:23" x14ac:dyDescent="0.25">
      <c r="D30" s="1"/>
      <c r="E30" s="1"/>
      <c r="F30" s="1"/>
      <c r="G30" s="1"/>
      <c r="L30" s="68"/>
      <c r="M30" s="65"/>
      <c r="N30" s="65"/>
      <c r="O30" s="65"/>
    </row>
    <row r="31" spans="4:23" x14ac:dyDescent="0.25">
      <c r="D31" s="1"/>
      <c r="E31" s="1"/>
      <c r="F31" s="1"/>
      <c r="G31" s="1"/>
      <c r="L31" s="68"/>
      <c r="M31" s="65"/>
      <c r="N31" s="65"/>
      <c r="O31" s="65"/>
    </row>
    <row r="32" spans="4:23" x14ac:dyDescent="0.25">
      <c r="D32" s="1"/>
      <c r="E32" s="1"/>
      <c r="F32" s="1"/>
      <c r="G32" s="1"/>
      <c r="L32" s="68"/>
      <c r="M32" s="65"/>
      <c r="N32" s="65"/>
      <c r="O32" s="65"/>
    </row>
    <row r="33" spans="4:15" x14ac:dyDescent="0.25">
      <c r="D33" s="1"/>
      <c r="E33" s="1"/>
      <c r="F33" s="1"/>
      <c r="G33" s="1"/>
      <c r="L33" s="68"/>
      <c r="M33" s="65"/>
      <c r="N33" s="65"/>
      <c r="O33" s="65"/>
    </row>
    <row r="34" spans="4:15" x14ac:dyDescent="0.25">
      <c r="D34" s="1"/>
      <c r="E34" s="1"/>
      <c r="F34" s="1"/>
      <c r="G34" s="1"/>
      <c r="L34" s="68"/>
      <c r="M34" s="65"/>
      <c r="N34" s="65"/>
      <c r="O34" s="65"/>
    </row>
    <row r="35" spans="4:15" x14ac:dyDescent="0.25">
      <c r="D35" s="1"/>
      <c r="E35" s="1"/>
      <c r="F35" s="1"/>
      <c r="G35" s="1"/>
      <c r="L35" s="68"/>
      <c r="M35" s="65"/>
      <c r="N35" s="65"/>
      <c r="O35" s="65"/>
    </row>
    <row r="36" spans="4:15" x14ac:dyDescent="0.25">
      <c r="D36" s="1"/>
      <c r="E36" s="1"/>
      <c r="F36" s="1"/>
      <c r="G36" s="1"/>
      <c r="L36" s="68"/>
      <c r="M36" s="65"/>
      <c r="N36" s="65"/>
      <c r="O36" s="65"/>
    </row>
    <row r="37" spans="4:15" x14ac:dyDescent="0.25">
      <c r="D37" s="1"/>
      <c r="E37" s="1"/>
      <c r="F37" s="1"/>
      <c r="G37" s="1"/>
      <c r="L37" s="68"/>
      <c r="M37" s="65"/>
      <c r="N37" s="65"/>
      <c r="O37" s="65"/>
    </row>
    <row r="38" spans="4:15" x14ac:dyDescent="0.25">
      <c r="D38" s="1"/>
      <c r="E38" s="1"/>
      <c r="F38" s="1"/>
      <c r="G38" s="1"/>
      <c r="L38" s="68"/>
      <c r="M38" s="65"/>
      <c r="N38" s="65"/>
      <c r="O38" s="65"/>
    </row>
    <row r="39" spans="4:15" x14ac:dyDescent="0.25">
      <c r="D39" s="1"/>
      <c r="E39" s="1"/>
      <c r="F39" s="1"/>
      <c r="G39" s="1"/>
      <c r="L39" s="68"/>
      <c r="M39" s="65"/>
      <c r="N39" s="65"/>
      <c r="O39" s="65"/>
    </row>
    <row r="40" spans="4:15" x14ac:dyDescent="0.25">
      <c r="D40" s="1"/>
      <c r="E40" s="1"/>
      <c r="F40" s="1"/>
      <c r="G40" s="1"/>
      <c r="L40" s="68"/>
      <c r="M40" s="65"/>
      <c r="N40" s="65"/>
      <c r="O40" s="65"/>
    </row>
    <row r="41" spans="4:15" x14ac:dyDescent="0.25">
      <c r="D41" s="1"/>
      <c r="E41" s="1"/>
      <c r="F41" s="1"/>
      <c r="G41" s="1"/>
      <c r="L41" s="68"/>
      <c r="M41" s="65"/>
      <c r="N41" s="65"/>
      <c r="O41" s="65"/>
    </row>
    <row r="42" spans="4:15" x14ac:dyDescent="0.25">
      <c r="D42" s="1"/>
      <c r="E42" s="1"/>
      <c r="F42" s="1"/>
      <c r="G42" s="1"/>
      <c r="L42" s="68"/>
      <c r="M42" s="65"/>
      <c r="N42" s="65"/>
      <c r="O42" s="65"/>
    </row>
    <row r="43" spans="4:15" x14ac:dyDescent="0.25">
      <c r="D43" s="1"/>
      <c r="E43" s="1"/>
      <c r="F43" s="1"/>
      <c r="G43" s="1"/>
      <c r="L43" s="68"/>
      <c r="M43" s="65"/>
      <c r="N43" s="65"/>
      <c r="O43" s="65"/>
    </row>
    <row r="44" spans="4:15" x14ac:dyDescent="0.25">
      <c r="D44" s="1"/>
      <c r="E44" s="1"/>
      <c r="F44" s="1"/>
      <c r="G44" s="1"/>
      <c r="L44" s="68"/>
      <c r="M44" s="65"/>
      <c r="N44" s="65"/>
      <c r="O44" s="65"/>
    </row>
    <row r="45" spans="4:15" x14ac:dyDescent="0.25">
      <c r="D45" s="1"/>
      <c r="E45" s="1"/>
      <c r="F45" s="1"/>
      <c r="G45" s="1"/>
      <c r="L45" s="68"/>
      <c r="M45" s="65"/>
      <c r="N45" s="65"/>
      <c r="O45" s="65"/>
    </row>
    <row r="46" spans="4:15" x14ac:dyDescent="0.25">
      <c r="D46" s="1"/>
      <c r="E46" s="1"/>
      <c r="F46" s="1"/>
      <c r="G46" s="1"/>
      <c r="L46" s="68"/>
      <c r="M46" s="65"/>
      <c r="N46" s="65"/>
      <c r="O46" s="65"/>
    </row>
    <row r="47" spans="4:15" x14ac:dyDescent="0.25">
      <c r="D47" s="1"/>
      <c r="E47" s="1"/>
      <c r="F47" s="1"/>
      <c r="G47" s="1"/>
      <c r="L47" s="68"/>
      <c r="M47" s="65"/>
      <c r="N47" s="65"/>
      <c r="O47" s="65"/>
    </row>
    <row r="48" spans="4:15" x14ac:dyDescent="0.25">
      <c r="D48" s="1"/>
      <c r="E48" s="1"/>
      <c r="F48" s="1"/>
      <c r="G48" s="1"/>
      <c r="L48" s="68"/>
      <c r="M48" s="65"/>
      <c r="N48" s="65"/>
      <c r="O48" s="65"/>
    </row>
    <row r="49" spans="4:15" x14ac:dyDescent="0.25">
      <c r="D49" s="1"/>
      <c r="E49" s="1"/>
      <c r="F49" s="1"/>
      <c r="G49" s="1"/>
      <c r="L49" s="68"/>
      <c r="M49" s="65"/>
      <c r="N49" s="65"/>
      <c r="O49" s="65"/>
    </row>
    <row r="50" spans="4:15" x14ac:dyDescent="0.25">
      <c r="D50" s="1"/>
      <c r="E50" s="1"/>
      <c r="F50" s="1"/>
      <c r="G50" s="1"/>
      <c r="L50" s="68"/>
      <c r="M50" s="65"/>
      <c r="N50" s="65"/>
      <c r="O50" s="65"/>
    </row>
    <row r="51" spans="4:15" x14ac:dyDescent="0.25">
      <c r="D51" s="1"/>
      <c r="E51" s="1"/>
      <c r="F51" s="1"/>
      <c r="G51" s="1"/>
      <c r="L51" s="68"/>
      <c r="M51" s="65"/>
      <c r="N51" s="65"/>
      <c r="O51" s="65"/>
    </row>
    <row r="52" spans="4:15" x14ac:dyDescent="0.25">
      <c r="D52" s="1"/>
      <c r="E52" s="1"/>
      <c r="F52" s="1"/>
      <c r="G52" s="1"/>
      <c r="L52" s="68"/>
      <c r="M52" s="65"/>
      <c r="N52" s="65"/>
      <c r="O52" s="65"/>
    </row>
    <row r="53" spans="4:15" x14ac:dyDescent="0.25">
      <c r="D53" s="1"/>
      <c r="E53" s="1"/>
      <c r="F53" s="1"/>
      <c r="G53" s="1"/>
      <c r="L53" s="68"/>
      <c r="M53" s="65"/>
      <c r="N53" s="65"/>
      <c r="O53" s="65"/>
    </row>
    <row r="54" spans="4:15" x14ac:dyDescent="0.25">
      <c r="D54" s="1"/>
      <c r="E54" s="1"/>
      <c r="F54" s="1"/>
      <c r="G54" s="1"/>
      <c r="L54" s="68"/>
      <c r="M54" s="65"/>
      <c r="N54" s="65"/>
      <c r="O54" s="65"/>
    </row>
    <row r="55" spans="4:15" x14ac:dyDescent="0.25">
      <c r="D55" s="1"/>
      <c r="E55" s="1"/>
      <c r="F55" s="1"/>
      <c r="G55" s="1"/>
      <c r="L55" s="68"/>
      <c r="M55" s="65"/>
      <c r="N55" s="65"/>
      <c r="O55" s="65"/>
    </row>
    <row r="56" spans="4:15" x14ac:dyDescent="0.25">
      <c r="D56" s="1"/>
      <c r="E56" s="1"/>
      <c r="F56" s="1"/>
      <c r="G56" s="1"/>
      <c r="L56" s="68"/>
      <c r="M56" s="65"/>
      <c r="N56" s="65"/>
      <c r="O56" s="65"/>
    </row>
    <row r="57" spans="4:15" x14ac:dyDescent="0.25">
      <c r="D57" s="1"/>
      <c r="E57" s="1"/>
      <c r="F57" s="1"/>
      <c r="G57" s="1"/>
      <c r="L57" s="68"/>
      <c r="M57" s="65"/>
      <c r="N57" s="65"/>
      <c r="O57" s="65"/>
    </row>
    <row r="58" spans="4:15" x14ac:dyDescent="0.25">
      <c r="D58" s="1"/>
      <c r="E58" s="1"/>
      <c r="F58" s="1"/>
      <c r="G58" s="1"/>
      <c r="L58" s="68"/>
      <c r="M58" s="65"/>
      <c r="N58" s="65"/>
      <c r="O58" s="65"/>
    </row>
    <row r="59" spans="4:15" x14ac:dyDescent="0.25">
      <c r="D59" s="1"/>
      <c r="E59" s="1"/>
      <c r="F59" s="1"/>
      <c r="G59" s="1"/>
      <c r="L59" s="68"/>
      <c r="M59" s="65"/>
      <c r="N59" s="65"/>
      <c r="O59" s="65"/>
    </row>
    <row r="60" spans="4:15" x14ac:dyDescent="0.25">
      <c r="D60" s="1"/>
      <c r="E60" s="1"/>
      <c r="F60" s="1"/>
      <c r="G60" s="1"/>
      <c r="L60" s="68"/>
      <c r="M60" s="65"/>
      <c r="N60" s="65"/>
      <c r="O60" s="65"/>
    </row>
    <row r="61" spans="4:15" x14ac:dyDescent="0.25">
      <c r="D61" s="1"/>
      <c r="E61" s="1"/>
      <c r="F61" s="1"/>
      <c r="G61" s="1"/>
      <c r="L61" s="68"/>
      <c r="M61" s="65"/>
      <c r="N61" s="65"/>
      <c r="O61" s="65"/>
    </row>
    <row r="62" spans="4:15" x14ac:dyDescent="0.25">
      <c r="D62" s="1"/>
      <c r="E62" s="1"/>
      <c r="F62" s="1"/>
      <c r="G62" s="1"/>
      <c r="L62" s="68"/>
      <c r="M62" s="65"/>
      <c r="N62" s="65"/>
      <c r="O62" s="65"/>
    </row>
    <row r="63" spans="4:15" x14ac:dyDescent="0.25">
      <c r="D63" s="1"/>
      <c r="E63" s="1"/>
      <c r="F63" s="1"/>
      <c r="G63" s="1"/>
      <c r="L63" s="68"/>
      <c r="M63" s="65"/>
      <c r="N63" s="65"/>
      <c r="O63" s="65"/>
    </row>
    <row r="64" spans="4:15" x14ac:dyDescent="0.25">
      <c r="D64" s="1"/>
      <c r="E64" s="1"/>
      <c r="F64" s="1"/>
      <c r="G64" s="1"/>
      <c r="L64" s="68"/>
      <c r="M64" s="65"/>
      <c r="N64" s="65"/>
      <c r="O64" s="65"/>
    </row>
    <row r="65" spans="4:15" x14ac:dyDescent="0.25">
      <c r="D65" s="1"/>
      <c r="E65" s="1"/>
      <c r="F65" s="1"/>
      <c r="G65" s="1"/>
      <c r="L65" s="68"/>
      <c r="M65" s="65"/>
      <c r="N65" s="65"/>
      <c r="O65" s="65"/>
    </row>
    <row r="66" spans="4:15" x14ac:dyDescent="0.25">
      <c r="D66" s="1"/>
      <c r="E66" s="1"/>
      <c r="F66" s="1"/>
      <c r="G66" s="1"/>
      <c r="L66" s="68"/>
      <c r="M66" s="65"/>
      <c r="N66" s="65"/>
      <c r="O66" s="65"/>
    </row>
    <row r="67" spans="4:15" x14ac:dyDescent="0.25">
      <c r="D67" s="1"/>
      <c r="E67" s="1"/>
      <c r="F67" s="1"/>
      <c r="G67" s="1"/>
      <c r="L67" s="68"/>
      <c r="M67" s="65"/>
      <c r="N67" s="65"/>
      <c r="O67" s="65"/>
    </row>
    <row r="68" spans="4:15" x14ac:dyDescent="0.25">
      <c r="D68" s="1"/>
      <c r="E68" s="1"/>
      <c r="F68" s="1"/>
      <c r="G68" s="1"/>
      <c r="L68" s="68"/>
      <c r="M68" s="65"/>
      <c r="N68" s="65"/>
      <c r="O68" s="65"/>
    </row>
    <row r="69" spans="4:15" x14ac:dyDescent="0.25">
      <c r="D69" s="1"/>
      <c r="E69" s="1"/>
      <c r="F69" s="1"/>
      <c r="G69" s="1"/>
      <c r="L69" s="68"/>
      <c r="M69" s="65"/>
      <c r="N69" s="65"/>
      <c r="O69" s="65"/>
    </row>
    <row r="70" spans="4:15" x14ac:dyDescent="0.25">
      <c r="D70" s="1"/>
      <c r="E70" s="1"/>
      <c r="F70" s="1"/>
      <c r="G70" s="1"/>
      <c r="L70" s="68"/>
      <c r="M70" s="65"/>
      <c r="N70" s="65"/>
      <c r="O70" s="65"/>
    </row>
    <row r="71" spans="4:15" x14ac:dyDescent="0.25">
      <c r="D71" s="1"/>
      <c r="E71" s="1"/>
      <c r="F71" s="1"/>
      <c r="G71" s="1"/>
      <c r="L71" s="68"/>
      <c r="M71" s="65"/>
      <c r="N71" s="65"/>
      <c r="O71" s="65"/>
    </row>
    <row r="72" spans="4:15" x14ac:dyDescent="0.25">
      <c r="D72" s="1"/>
      <c r="E72" s="1"/>
      <c r="F72" s="1"/>
      <c r="G72" s="1"/>
      <c r="L72" s="68"/>
      <c r="M72" s="65"/>
      <c r="N72" s="65"/>
      <c r="O72" s="65"/>
    </row>
    <row r="73" spans="4:15" x14ac:dyDescent="0.25">
      <c r="D73" s="1"/>
      <c r="E73" s="1"/>
      <c r="F73" s="1"/>
      <c r="G73" s="1"/>
      <c r="L73" s="68"/>
      <c r="M73" s="65"/>
      <c r="N73" s="65"/>
      <c r="O73" s="65"/>
    </row>
    <row r="74" spans="4:15" x14ac:dyDescent="0.25">
      <c r="D74" s="1"/>
      <c r="E74" s="1"/>
      <c r="F74" s="1"/>
      <c r="G74" s="1"/>
      <c r="L74" s="68"/>
      <c r="M74" s="65"/>
      <c r="N74" s="65"/>
      <c r="O74" s="65"/>
    </row>
    <row r="75" spans="4:15" x14ac:dyDescent="0.25">
      <c r="D75" s="1"/>
      <c r="E75" s="1"/>
      <c r="F75" s="1"/>
      <c r="G75" s="1"/>
      <c r="L75" s="68"/>
      <c r="M75" s="65"/>
      <c r="N75" s="65"/>
      <c r="O75" s="65"/>
    </row>
    <row r="76" spans="4:15" x14ac:dyDescent="0.25">
      <c r="D76" s="1"/>
      <c r="E76" s="1"/>
      <c r="F76" s="1"/>
      <c r="G76" s="1"/>
      <c r="L76" s="68"/>
      <c r="M76" s="65"/>
      <c r="N76" s="65"/>
      <c r="O76" s="65"/>
    </row>
    <row r="77" spans="4:15" x14ac:dyDescent="0.25">
      <c r="D77" s="1"/>
      <c r="E77" s="1"/>
      <c r="F77" s="1"/>
      <c r="G77" s="1"/>
      <c r="L77" s="68"/>
      <c r="M77" s="65"/>
      <c r="N77" s="65"/>
      <c r="O77" s="65"/>
    </row>
    <row r="78" spans="4:15" x14ac:dyDescent="0.25">
      <c r="D78" s="1"/>
      <c r="E78" s="1"/>
      <c r="F78" s="1"/>
      <c r="G78" s="1"/>
      <c r="L78" s="68"/>
      <c r="M78" s="65"/>
      <c r="N78" s="65"/>
      <c r="O78" s="65"/>
    </row>
    <row r="79" spans="4:15" x14ac:dyDescent="0.25">
      <c r="D79" s="1"/>
      <c r="E79" s="1"/>
      <c r="F79" s="1"/>
      <c r="G79" s="1"/>
      <c r="L79" s="68"/>
      <c r="M79" s="65"/>
      <c r="N79" s="65"/>
      <c r="O79" s="65"/>
    </row>
    <row r="80" spans="4:15" x14ac:dyDescent="0.25">
      <c r="D80" s="1"/>
      <c r="E80" s="1"/>
      <c r="F80" s="1"/>
      <c r="G80" s="1"/>
      <c r="L80" s="68"/>
      <c r="M80" s="65"/>
      <c r="N80" s="65"/>
      <c r="O80" s="65"/>
    </row>
    <row r="81" spans="4:15" x14ac:dyDescent="0.25">
      <c r="D81" s="1"/>
      <c r="E81" s="1"/>
      <c r="F81" s="1"/>
      <c r="G81" s="1"/>
      <c r="L81" s="68"/>
      <c r="M81" s="65"/>
      <c r="N81" s="65"/>
      <c r="O81" s="65"/>
    </row>
    <row r="82" spans="4:15" x14ac:dyDescent="0.25">
      <c r="D82" s="1"/>
      <c r="E82" s="1"/>
      <c r="F82" s="1"/>
      <c r="G82" s="1"/>
      <c r="L82" s="68"/>
      <c r="M82" s="65"/>
      <c r="N82" s="65"/>
      <c r="O82" s="65"/>
    </row>
    <row r="83" spans="4:15" x14ac:dyDescent="0.25">
      <c r="D83" s="1"/>
      <c r="E83" s="1"/>
      <c r="F83" s="1"/>
      <c r="G83" s="1"/>
      <c r="L83" s="68"/>
      <c r="M83" s="65"/>
      <c r="N83" s="65"/>
      <c r="O83" s="65"/>
    </row>
    <row r="84" spans="4:15" x14ac:dyDescent="0.25">
      <c r="D84" s="1"/>
      <c r="E84" s="1"/>
      <c r="F84" s="1"/>
      <c r="G84" s="1"/>
      <c r="L84" s="68"/>
      <c r="M84" s="65"/>
      <c r="N84" s="65"/>
      <c r="O84" s="65"/>
    </row>
    <row r="85" spans="4:15" x14ac:dyDescent="0.25">
      <c r="D85" s="1"/>
      <c r="E85" s="1"/>
      <c r="F85" s="1"/>
      <c r="G85" s="1"/>
      <c r="L85" s="68"/>
      <c r="M85" s="65"/>
      <c r="N85" s="65"/>
      <c r="O85" s="65"/>
    </row>
    <row r="86" spans="4:15" x14ac:dyDescent="0.25">
      <c r="D86" s="1"/>
      <c r="E86" s="1"/>
      <c r="F86" s="1"/>
      <c r="G86" s="1"/>
      <c r="L86" s="68"/>
      <c r="M86" s="65"/>
      <c r="N86" s="65"/>
      <c r="O86" s="65"/>
    </row>
    <row r="87" spans="4:15" x14ac:dyDescent="0.25">
      <c r="D87" s="1"/>
      <c r="E87" s="1"/>
      <c r="F87" s="1"/>
      <c r="G87" s="1"/>
      <c r="L87" s="68"/>
      <c r="M87" s="65"/>
      <c r="N87" s="65"/>
      <c r="O87" s="65"/>
    </row>
    <row r="88" spans="4:15" x14ac:dyDescent="0.25">
      <c r="D88" s="1"/>
      <c r="E88" s="1"/>
      <c r="F88" s="1"/>
      <c r="G88" s="1"/>
      <c r="L88" s="68"/>
      <c r="M88" s="65"/>
      <c r="N88" s="65"/>
      <c r="O88" s="65"/>
    </row>
    <row r="89" spans="4:15" x14ac:dyDescent="0.25">
      <c r="D89" s="1"/>
      <c r="E89" s="1"/>
      <c r="F89" s="1"/>
      <c r="G89" s="1"/>
      <c r="L89" s="68"/>
      <c r="M89" s="65"/>
      <c r="N89" s="65"/>
      <c r="O89" s="65"/>
    </row>
    <row r="90" spans="4:15" x14ac:dyDescent="0.25">
      <c r="D90" s="1"/>
      <c r="E90" s="1"/>
      <c r="F90" s="1"/>
      <c r="G90" s="1"/>
      <c r="L90" s="68"/>
      <c r="M90" s="65"/>
      <c r="N90" s="65"/>
      <c r="O90" s="65"/>
    </row>
    <row r="91" spans="4:15" x14ac:dyDescent="0.25">
      <c r="D91" s="1"/>
      <c r="E91" s="1"/>
      <c r="F91" s="1"/>
      <c r="G91" s="1"/>
      <c r="L91" s="68"/>
      <c r="M91" s="65"/>
      <c r="N91" s="65"/>
      <c r="O91" s="65"/>
    </row>
    <row r="92" spans="4:15" x14ac:dyDescent="0.25">
      <c r="D92" s="1"/>
      <c r="E92" s="1"/>
      <c r="F92" s="1"/>
      <c r="G92" s="1"/>
      <c r="L92" s="68"/>
      <c r="M92" s="65"/>
      <c r="N92" s="65"/>
      <c r="O92" s="65"/>
    </row>
    <row r="93" spans="4:15" x14ac:dyDescent="0.25">
      <c r="D93" s="1"/>
      <c r="E93" s="1"/>
      <c r="F93" s="1"/>
      <c r="G93" s="1"/>
      <c r="L93" s="68"/>
      <c r="M93" s="65"/>
      <c r="N93" s="65"/>
      <c r="O93" s="65"/>
    </row>
    <row r="94" spans="4:15" x14ac:dyDescent="0.25">
      <c r="D94" s="1"/>
      <c r="E94" s="1"/>
      <c r="F94" s="1"/>
      <c r="G94" s="1"/>
      <c r="L94" s="68"/>
      <c r="M94" s="65"/>
      <c r="N94" s="65"/>
      <c r="O94" s="65"/>
    </row>
    <row r="95" spans="4:15" x14ac:dyDescent="0.25">
      <c r="D95" s="1"/>
      <c r="E95" s="1"/>
      <c r="F95" s="1"/>
      <c r="G95" s="1"/>
      <c r="L95" s="68"/>
      <c r="M95" s="65"/>
      <c r="N95" s="65"/>
      <c r="O95" s="65"/>
    </row>
    <row r="96" spans="4:15" x14ac:dyDescent="0.25">
      <c r="D96" s="1"/>
      <c r="E96" s="1"/>
      <c r="F96" s="1"/>
      <c r="G96" s="1"/>
      <c r="L96" s="68"/>
      <c r="M96" s="65"/>
      <c r="N96" s="65"/>
      <c r="O96" s="65"/>
    </row>
    <row r="97" spans="4:15" x14ac:dyDescent="0.25">
      <c r="D97" s="1"/>
      <c r="E97" s="1"/>
      <c r="F97" s="1"/>
      <c r="G97" s="1"/>
      <c r="L97" s="68"/>
      <c r="M97" s="65"/>
      <c r="N97" s="65"/>
      <c r="O97" s="65"/>
    </row>
    <row r="98" spans="4:15" x14ac:dyDescent="0.25">
      <c r="D98" s="1"/>
      <c r="E98" s="1"/>
      <c r="F98" s="1"/>
      <c r="G98" s="1"/>
      <c r="L98" s="68"/>
      <c r="M98" s="65"/>
      <c r="N98" s="65"/>
      <c r="O98" s="65"/>
    </row>
    <row r="99" spans="4:15" x14ac:dyDescent="0.25">
      <c r="D99" s="1"/>
      <c r="E99" s="1"/>
      <c r="F99" s="1"/>
      <c r="G99" s="1"/>
      <c r="L99" s="68"/>
      <c r="M99" s="65"/>
      <c r="N99" s="65"/>
      <c r="O99" s="65"/>
    </row>
    <row r="100" spans="4:15" x14ac:dyDescent="0.25">
      <c r="D100" s="1"/>
      <c r="E100" s="1"/>
      <c r="F100" s="1"/>
      <c r="G100" s="1"/>
      <c r="L100" s="68"/>
      <c r="M100" s="65"/>
      <c r="N100" s="65"/>
      <c r="O100" s="65"/>
    </row>
    <row r="101" spans="4:15" x14ac:dyDescent="0.25">
      <c r="D101" s="1"/>
      <c r="E101" s="1"/>
      <c r="F101" s="1"/>
      <c r="G101" s="1"/>
      <c r="L101" s="68"/>
      <c r="M101" s="65"/>
      <c r="N101" s="65"/>
      <c r="O101" s="65"/>
    </row>
    <row r="102" spans="4:15" x14ac:dyDescent="0.25">
      <c r="D102" s="1"/>
      <c r="E102" s="1"/>
      <c r="F102" s="1"/>
      <c r="G102" s="1"/>
      <c r="L102" s="68"/>
      <c r="M102" s="65"/>
      <c r="N102" s="65"/>
      <c r="O102" s="65"/>
    </row>
    <row r="103" spans="4:15" x14ac:dyDescent="0.25">
      <c r="D103" s="1"/>
      <c r="E103" s="1"/>
      <c r="F103" s="1"/>
      <c r="G103" s="1"/>
      <c r="L103" s="68"/>
      <c r="M103" s="65"/>
      <c r="N103" s="65"/>
      <c r="O103" s="65"/>
    </row>
    <row r="104" spans="4:15" x14ac:dyDescent="0.25">
      <c r="D104" s="1"/>
      <c r="E104" s="1"/>
      <c r="F104" s="1"/>
      <c r="G104" s="1"/>
      <c r="L104" s="68"/>
      <c r="M104" s="65"/>
      <c r="N104" s="65"/>
      <c r="O104" s="65"/>
    </row>
    <row r="105" spans="4:15" x14ac:dyDescent="0.25">
      <c r="D105" s="1"/>
      <c r="E105" s="1"/>
      <c r="F105" s="1"/>
      <c r="G105" s="1"/>
      <c r="L105" s="68"/>
      <c r="M105" s="65"/>
      <c r="N105" s="65"/>
      <c r="O105" s="65"/>
    </row>
    <row r="106" spans="4:15" x14ac:dyDescent="0.25">
      <c r="D106" s="1"/>
      <c r="E106" s="1"/>
      <c r="F106" s="1"/>
      <c r="G106" s="1"/>
      <c r="L106" s="68"/>
      <c r="M106" s="65"/>
      <c r="N106" s="65"/>
      <c r="O106" s="65"/>
    </row>
    <row r="107" spans="4:15" x14ac:dyDescent="0.25">
      <c r="D107" s="1"/>
      <c r="E107" s="1"/>
      <c r="F107" s="1"/>
      <c r="G107" s="1"/>
      <c r="L107" s="68"/>
      <c r="M107" s="65"/>
      <c r="N107" s="65"/>
      <c r="O107" s="65"/>
    </row>
    <row r="108" spans="4:15" x14ac:dyDescent="0.25">
      <c r="D108" s="1"/>
      <c r="E108" s="1"/>
      <c r="F108" s="1"/>
      <c r="G108" s="1"/>
      <c r="L108" s="68"/>
      <c r="M108" s="65"/>
      <c r="N108" s="65"/>
      <c r="O108" s="65"/>
    </row>
    <row r="109" spans="4:15" x14ac:dyDescent="0.25">
      <c r="D109" s="1"/>
      <c r="E109" s="1"/>
      <c r="F109" s="1"/>
      <c r="G109" s="1"/>
      <c r="L109" s="68"/>
      <c r="M109" s="65"/>
      <c r="N109" s="65"/>
      <c r="O109" s="65"/>
    </row>
    <row r="110" spans="4:15" x14ac:dyDescent="0.25">
      <c r="D110" s="1"/>
      <c r="E110" s="1"/>
      <c r="F110" s="1"/>
      <c r="G110" s="1"/>
      <c r="L110" s="68"/>
      <c r="M110" s="65"/>
      <c r="N110" s="65"/>
      <c r="O110" s="65"/>
    </row>
    <row r="111" spans="4:15" x14ac:dyDescent="0.25">
      <c r="D111" s="1"/>
      <c r="E111" s="1"/>
      <c r="F111" s="1"/>
      <c r="G111" s="1"/>
      <c r="L111" s="68"/>
      <c r="M111" s="65"/>
      <c r="N111" s="65"/>
      <c r="O111" s="65"/>
    </row>
    <row r="112" spans="4:15" x14ac:dyDescent="0.25">
      <c r="D112" s="1"/>
      <c r="E112" s="1"/>
      <c r="F112" s="1"/>
      <c r="G112" s="1"/>
      <c r="L112" s="68"/>
      <c r="M112" s="65"/>
      <c r="N112" s="65"/>
      <c r="O112" s="65"/>
    </row>
    <row r="113" spans="4:15" x14ac:dyDescent="0.25">
      <c r="D113" s="1"/>
      <c r="E113" s="1"/>
      <c r="F113" s="1"/>
      <c r="G113" s="1"/>
      <c r="L113" s="68"/>
      <c r="M113" s="65"/>
      <c r="N113" s="65"/>
      <c r="O113" s="65"/>
    </row>
    <row r="114" spans="4:15" x14ac:dyDescent="0.25">
      <c r="D114" s="1"/>
      <c r="E114" s="1"/>
      <c r="F114" s="1"/>
      <c r="G114" s="1"/>
      <c r="L114" s="68"/>
      <c r="M114" s="65"/>
      <c r="N114" s="65"/>
      <c r="O114" s="65"/>
    </row>
    <row r="115" spans="4:15" x14ac:dyDescent="0.25">
      <c r="D115" s="1"/>
      <c r="E115" s="1"/>
      <c r="F115" s="1"/>
      <c r="G115" s="1"/>
      <c r="L115" s="68"/>
      <c r="M115" s="65"/>
      <c r="N115" s="65"/>
      <c r="O115" s="65"/>
    </row>
    <row r="116" spans="4:15" x14ac:dyDescent="0.25">
      <c r="D116" s="1"/>
      <c r="E116" s="1"/>
      <c r="F116" s="1"/>
      <c r="G116" s="1"/>
      <c r="L116" s="68"/>
      <c r="M116" s="65"/>
      <c r="N116" s="65"/>
      <c r="O116" s="65"/>
    </row>
    <row r="117" spans="4:15" x14ac:dyDescent="0.25">
      <c r="D117" s="1"/>
      <c r="E117" s="1"/>
      <c r="F117" s="1"/>
      <c r="G117" s="1"/>
      <c r="L117" s="68"/>
      <c r="M117" s="65"/>
      <c r="N117" s="65"/>
      <c r="O117" s="65"/>
    </row>
    <row r="118" spans="4:15" x14ac:dyDescent="0.25">
      <c r="D118" s="1"/>
      <c r="E118" s="1"/>
      <c r="F118" s="1"/>
      <c r="G118" s="1"/>
      <c r="L118" s="68"/>
      <c r="M118" s="65"/>
      <c r="N118" s="65"/>
      <c r="O118" s="65"/>
    </row>
    <row r="119" spans="4:15" x14ac:dyDescent="0.25">
      <c r="D119" s="1"/>
      <c r="E119" s="1"/>
      <c r="F119" s="1"/>
      <c r="G119" s="1"/>
      <c r="L119" s="68"/>
      <c r="M119" s="65"/>
      <c r="N119" s="65"/>
      <c r="O119" s="65"/>
    </row>
    <row r="120" spans="4:15" x14ac:dyDescent="0.25">
      <c r="D120" s="1"/>
      <c r="E120" s="1"/>
      <c r="F120" s="1"/>
      <c r="G120" s="1"/>
      <c r="L120" s="68"/>
      <c r="M120" s="65"/>
      <c r="N120" s="65"/>
      <c r="O120" s="65"/>
    </row>
    <row r="121" spans="4:15" x14ac:dyDescent="0.25">
      <c r="D121" s="1"/>
      <c r="E121" s="1"/>
      <c r="F121" s="1"/>
      <c r="G121" s="1"/>
      <c r="L121" s="68"/>
      <c r="M121" s="65"/>
      <c r="N121" s="65"/>
      <c r="O121" s="65"/>
    </row>
    <row r="122" spans="4:15" x14ac:dyDescent="0.25">
      <c r="D122" s="1"/>
      <c r="E122" s="1"/>
      <c r="F122" s="1"/>
      <c r="G122" s="1"/>
      <c r="L122" s="68"/>
      <c r="M122" s="65"/>
      <c r="N122" s="65"/>
      <c r="O122" s="65"/>
    </row>
    <row r="123" spans="4:15" x14ac:dyDescent="0.25">
      <c r="D123" s="1"/>
      <c r="E123" s="1"/>
      <c r="F123" s="1"/>
      <c r="G123" s="1"/>
      <c r="L123" s="68"/>
      <c r="M123" s="65"/>
      <c r="N123" s="65"/>
      <c r="O123" s="65"/>
    </row>
    <row r="124" spans="4:15" x14ac:dyDescent="0.25">
      <c r="D124" s="1"/>
      <c r="E124" s="1"/>
      <c r="F124" s="1"/>
      <c r="G124" s="1"/>
      <c r="L124" s="68"/>
      <c r="M124" s="65"/>
      <c r="N124" s="65"/>
      <c r="O124" s="65"/>
    </row>
    <row r="125" spans="4:15" x14ac:dyDescent="0.25">
      <c r="D125" s="1"/>
      <c r="E125" s="1"/>
      <c r="F125" s="1"/>
      <c r="G125" s="1"/>
      <c r="L125" s="68"/>
      <c r="M125" s="65"/>
      <c r="N125" s="65"/>
      <c r="O125" s="65"/>
    </row>
    <row r="126" spans="4:15" x14ac:dyDescent="0.25">
      <c r="D126" s="1"/>
      <c r="E126" s="1"/>
      <c r="F126" s="1"/>
      <c r="G126" s="1"/>
      <c r="L126" s="68"/>
      <c r="M126" s="65"/>
      <c r="N126" s="65"/>
      <c r="O126" s="65"/>
    </row>
    <row r="127" spans="4:15" x14ac:dyDescent="0.25">
      <c r="D127" s="1"/>
      <c r="E127" s="1"/>
      <c r="F127" s="1"/>
      <c r="G127" s="1"/>
      <c r="L127" s="68"/>
      <c r="M127" s="65"/>
      <c r="N127" s="65"/>
      <c r="O127" s="65"/>
    </row>
    <row r="128" spans="4:15" x14ac:dyDescent="0.25">
      <c r="D128" s="1"/>
      <c r="E128" s="1"/>
      <c r="F128" s="1"/>
      <c r="G128" s="1"/>
      <c r="L128" s="68"/>
      <c r="M128" s="65"/>
      <c r="N128" s="65"/>
      <c r="O128" s="65"/>
    </row>
    <row r="129" spans="4:15" x14ac:dyDescent="0.25">
      <c r="D129" s="1"/>
      <c r="E129" s="1"/>
      <c r="F129" s="1"/>
      <c r="G129" s="1"/>
      <c r="L129" s="68"/>
      <c r="M129" s="65"/>
      <c r="N129" s="65"/>
      <c r="O129" s="65"/>
    </row>
    <row r="130" spans="4:15" x14ac:dyDescent="0.25">
      <c r="D130" s="1"/>
      <c r="E130" s="1"/>
      <c r="F130" s="1"/>
      <c r="G130" s="1"/>
      <c r="L130" s="68"/>
      <c r="M130" s="65"/>
      <c r="N130" s="65"/>
      <c r="O130" s="65"/>
    </row>
    <row r="131" spans="4:15" x14ac:dyDescent="0.25">
      <c r="D131" s="1"/>
      <c r="E131" s="1"/>
      <c r="F131" s="1"/>
      <c r="G131" s="1"/>
      <c r="L131" s="68"/>
      <c r="M131" s="65"/>
      <c r="N131" s="65"/>
      <c r="O131" s="65"/>
    </row>
    <row r="132" spans="4:15" x14ac:dyDescent="0.25">
      <c r="D132" s="1"/>
      <c r="E132" s="1"/>
      <c r="F132" s="1"/>
      <c r="G132" s="1"/>
      <c r="L132" s="68"/>
      <c r="M132" s="65"/>
      <c r="N132" s="65"/>
      <c r="O132" s="65"/>
    </row>
    <row r="133" spans="4:15" x14ac:dyDescent="0.25">
      <c r="D133" s="1"/>
      <c r="E133" s="1"/>
      <c r="F133" s="1"/>
      <c r="G133" s="1"/>
      <c r="L133" s="68"/>
      <c r="M133" s="65"/>
      <c r="N133" s="65"/>
      <c r="O133" s="65"/>
    </row>
    <row r="134" spans="4:15" x14ac:dyDescent="0.25">
      <c r="D134" s="1"/>
      <c r="E134" s="1"/>
      <c r="F134" s="1"/>
      <c r="G134" s="1"/>
      <c r="L134" s="68"/>
      <c r="M134" s="65"/>
      <c r="N134" s="65"/>
      <c r="O134" s="65"/>
    </row>
    <row r="135" spans="4:15" x14ac:dyDescent="0.25">
      <c r="D135" s="1"/>
      <c r="E135" s="1"/>
      <c r="F135" s="1"/>
      <c r="G135" s="1"/>
      <c r="L135" s="68"/>
      <c r="M135" s="65"/>
      <c r="N135" s="65"/>
      <c r="O135" s="65"/>
    </row>
    <row r="136" spans="4:15" x14ac:dyDescent="0.25">
      <c r="D136" s="1"/>
      <c r="E136" s="1"/>
      <c r="F136" s="1"/>
      <c r="G136" s="1"/>
      <c r="L136" s="68"/>
      <c r="M136" s="65"/>
      <c r="N136" s="65"/>
      <c r="O136" s="65"/>
    </row>
    <row r="137" spans="4:15" x14ac:dyDescent="0.25">
      <c r="D137" s="1"/>
      <c r="E137" s="1"/>
      <c r="F137" s="1"/>
      <c r="G137" s="1"/>
      <c r="L137" s="68"/>
      <c r="M137" s="65"/>
      <c r="N137" s="65"/>
      <c r="O137" s="65"/>
    </row>
    <row r="138" spans="4:15" x14ac:dyDescent="0.25">
      <c r="D138" s="1"/>
      <c r="E138" s="1"/>
      <c r="F138" s="1"/>
      <c r="G138" s="1"/>
      <c r="L138" s="68"/>
      <c r="M138" s="65"/>
      <c r="N138" s="65"/>
      <c r="O138" s="65"/>
    </row>
    <row r="139" spans="4:15" x14ac:dyDescent="0.25">
      <c r="D139" s="1"/>
      <c r="E139" s="1"/>
      <c r="F139" s="1"/>
      <c r="G139" s="1"/>
      <c r="L139" s="68"/>
      <c r="M139" s="65"/>
      <c r="N139" s="65"/>
      <c r="O139" s="65"/>
    </row>
    <row r="140" spans="4:15" x14ac:dyDescent="0.25">
      <c r="D140" s="1"/>
      <c r="E140" s="1"/>
      <c r="F140" s="1"/>
      <c r="G140" s="1"/>
      <c r="L140" s="68"/>
      <c r="M140" s="65"/>
      <c r="N140" s="65"/>
      <c r="O140" s="65"/>
    </row>
    <row r="141" spans="4:15" x14ac:dyDescent="0.25">
      <c r="D141" s="1"/>
      <c r="E141" s="1"/>
      <c r="F141" s="1"/>
      <c r="G141" s="1"/>
      <c r="L141" s="68"/>
      <c r="M141" s="65"/>
      <c r="N141" s="65"/>
      <c r="O141" s="65"/>
    </row>
    <row r="142" spans="4:15" x14ac:dyDescent="0.25">
      <c r="D142" s="1"/>
      <c r="E142" s="1"/>
      <c r="F142" s="1"/>
      <c r="G142" s="1"/>
      <c r="L142" s="68"/>
      <c r="M142" s="65"/>
      <c r="N142" s="65"/>
      <c r="O142" s="65"/>
    </row>
    <row r="143" spans="4:15" x14ac:dyDescent="0.25">
      <c r="D143" s="1"/>
      <c r="E143" s="1"/>
      <c r="F143" s="1"/>
      <c r="G143" s="1"/>
      <c r="L143" s="68"/>
      <c r="M143" s="65"/>
      <c r="N143" s="65"/>
      <c r="O143" s="65"/>
    </row>
    <row r="144" spans="4:15" x14ac:dyDescent="0.25">
      <c r="D144" s="1"/>
      <c r="E144" s="1"/>
      <c r="F144" s="1"/>
      <c r="G144" s="1"/>
      <c r="L144" s="68"/>
      <c r="M144" s="65"/>
      <c r="N144" s="65"/>
      <c r="O144" s="65"/>
    </row>
    <row r="145" spans="4:15" x14ac:dyDescent="0.25">
      <c r="D145" s="1"/>
      <c r="E145" s="1"/>
      <c r="F145" s="1"/>
      <c r="G145" s="1"/>
      <c r="L145" s="68"/>
      <c r="M145" s="65"/>
      <c r="N145" s="65"/>
      <c r="O145" s="65"/>
    </row>
    <row r="146" spans="4:15" x14ac:dyDescent="0.25">
      <c r="D146" s="1"/>
      <c r="E146" s="1"/>
      <c r="F146" s="1"/>
      <c r="G146" s="1"/>
      <c r="L146" s="68"/>
      <c r="M146" s="65"/>
      <c r="N146" s="65"/>
      <c r="O146" s="65"/>
    </row>
    <row r="147" spans="4:15" x14ac:dyDescent="0.25">
      <c r="D147" s="1"/>
      <c r="E147" s="1"/>
      <c r="F147" s="1"/>
      <c r="G147" s="1"/>
      <c r="L147" s="68"/>
      <c r="M147" s="65"/>
      <c r="N147" s="65"/>
      <c r="O147" s="65"/>
    </row>
    <row r="148" spans="4:15" x14ac:dyDescent="0.25">
      <c r="D148" s="1"/>
      <c r="E148" s="1"/>
      <c r="F148" s="1"/>
      <c r="G148" s="1"/>
      <c r="L148" s="68"/>
      <c r="M148" s="65"/>
      <c r="N148" s="65"/>
      <c r="O148" s="65"/>
    </row>
    <row r="149" spans="4:15" x14ac:dyDescent="0.25">
      <c r="D149" s="1"/>
      <c r="E149" s="1"/>
      <c r="F149" s="1"/>
      <c r="G149" s="1"/>
      <c r="L149" s="68"/>
      <c r="M149" s="65"/>
      <c r="N149" s="65"/>
      <c r="O149" s="65"/>
    </row>
    <row r="150" spans="4:15" x14ac:dyDescent="0.25">
      <c r="D150" s="1"/>
      <c r="E150" s="1"/>
      <c r="F150" s="1"/>
      <c r="G150" s="1"/>
      <c r="L150" s="68"/>
      <c r="M150" s="65"/>
      <c r="N150" s="65"/>
      <c r="O150" s="65"/>
    </row>
    <row r="151" spans="4:15" x14ac:dyDescent="0.25">
      <c r="D151" s="1"/>
      <c r="E151" s="1"/>
      <c r="F151" s="1"/>
      <c r="G151" s="1"/>
      <c r="L151" s="68"/>
      <c r="M151" s="65"/>
      <c r="N151" s="65"/>
      <c r="O151" s="65"/>
    </row>
    <row r="152" spans="4:15" x14ac:dyDescent="0.25">
      <c r="D152" s="1"/>
      <c r="E152" s="1"/>
      <c r="F152" s="1"/>
      <c r="G152" s="1"/>
      <c r="L152" s="68"/>
      <c r="M152" s="65"/>
      <c r="N152" s="65"/>
      <c r="O152" s="65"/>
    </row>
    <row r="153" spans="4:15" x14ac:dyDescent="0.25">
      <c r="D153" s="1"/>
      <c r="E153" s="1"/>
      <c r="F153" s="1"/>
      <c r="G153" s="1"/>
      <c r="L153" s="68"/>
      <c r="M153" s="65"/>
      <c r="N153" s="65"/>
      <c r="O153" s="65"/>
    </row>
    <row r="154" spans="4:15" x14ac:dyDescent="0.25">
      <c r="D154" s="1"/>
      <c r="E154" s="1"/>
      <c r="F154" s="1"/>
      <c r="G154" s="1"/>
      <c r="L154" s="68"/>
      <c r="M154" s="65"/>
      <c r="N154" s="65"/>
      <c r="O154" s="65"/>
    </row>
  </sheetData>
  <mergeCells count="3">
    <mergeCell ref="C2:D2"/>
    <mergeCell ref="E2:F2"/>
    <mergeCell ref="G2:H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10</vt:i4>
      </vt:variant>
    </vt:vector>
  </HeadingPairs>
  <TitlesOfParts>
    <vt:vector size="10" baseType="lpstr">
      <vt:lpstr>data</vt:lpstr>
      <vt:lpstr>Prod</vt:lpstr>
      <vt:lpstr>exportateur</vt:lpstr>
      <vt:lpstr>newProd</vt:lpstr>
      <vt:lpstr>newFibrage</vt:lpstr>
      <vt:lpstr>newTRS</vt:lpstr>
      <vt:lpstr>data_FIBRAGE</vt:lpstr>
      <vt:lpstr>data_FIBRAGETEMP</vt:lpstr>
      <vt:lpstr>data_TRS</vt:lpstr>
      <vt:lpstr>STATS</vt:lpstr>
    </vt:vector>
  </TitlesOfParts>
  <Company>SAINT-GOBAIN 1.1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</dc:creator>
  <cp:lastModifiedBy>SGQSAS, Laine</cp:lastModifiedBy>
  <dcterms:created xsi:type="dcterms:W3CDTF">2022-12-10T07:09:47Z</dcterms:created>
  <dcterms:modified xsi:type="dcterms:W3CDTF">2023-03-15T15:57:29Z</dcterms:modified>
</cp:coreProperties>
</file>