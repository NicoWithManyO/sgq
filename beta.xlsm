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4D29EB62-47D6-4FBA-AD78-0F9FB7F010DC}" xr6:coauthVersionLast="47" xr6:coauthVersionMax="47" xr10:uidLastSave="{00000000-0000-0000-0000-000000000000}"/>
  <bookViews>
    <workbookView xWindow="-105" yWindow="0" windowWidth="7485" windowHeight="15585" xr2:uid="{00000000-000D-0000-FFFF-FFFF00000000}"/>
  </bookViews>
  <sheets>
    <sheet name="PROD" sheetId="1" r:id="rId1"/>
    <sheet name="data" sheetId="3" r:id="rId2"/>
    <sheet name="dataProduits" sheetId="2" r:id="rId3"/>
    <sheet name="matriceTRS" sheetId="4" r:id="rId4"/>
    <sheet name="newTRS" sheetId="5" state="hidden" r:id="rId5"/>
  </sheets>
  <definedNames>
    <definedName name="Commentaires">PROD!$AL$38:$AN$41</definedName>
    <definedName name="Date">PROD!$AD$39</definedName>
    <definedName name="defautsListe">data!$C$2:$C$100</definedName>
    <definedName name="durationsListe">data!$F$2:$F$100</definedName>
    <definedName name="Machine">PROD!$AJ$39</definedName>
    <definedName name="ncCount">PROD!$AJ$48</definedName>
    <definedName name="Of">PROD!$AF$41</definedName>
    <definedName name="okCount">PROD!$AI$48</definedName>
    <definedName name="Operateur">PROD!$AD$41</definedName>
    <definedName name="operateursListe">data!$A$2:$A$100</definedName>
    <definedName name="Poste">PROD!$AD$40</definedName>
    <definedName name="postesListe">data!$B$2:$B$100</definedName>
    <definedName name="prodNC">PROD!$AJ$47</definedName>
    <definedName name="prodOK">PROD!$AI$47</definedName>
    <definedName name="produitsListe">dataProduits!$B$1:$Z$1</definedName>
    <definedName name="prodZone">PROD!$AC$50:$AJ$100</definedName>
    <definedName name="Source">PROD!$AA$50:$AJ$100</definedName>
    <definedName name="TO">PROD!$AD$42</definedName>
    <definedName name="typeProduction">PROD!$AF$40</definedName>
    <definedName name="valideRow">PROD!$AF$50:$AF$100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5" l="1"/>
  <c r="B5" i="5" s="1"/>
  <c r="B3" i="5"/>
  <c r="A4" i="5"/>
  <c r="A5" i="5" s="1"/>
  <c r="A3" i="5"/>
  <c r="BD51" i="1"/>
  <c r="BE51" i="1"/>
  <c r="BD52" i="1"/>
  <c r="BE52" i="1"/>
  <c r="BD53" i="1"/>
  <c r="BE53" i="1"/>
  <c r="BD54" i="1"/>
  <c r="BE54" i="1"/>
  <c r="BD55" i="1"/>
  <c r="BE55" i="1"/>
  <c r="BD56" i="1"/>
  <c r="BE56" i="1"/>
  <c r="BD57" i="1"/>
  <c r="BE57" i="1"/>
  <c r="BD58" i="1"/>
  <c r="BE58" i="1"/>
  <c r="BD59" i="1"/>
  <c r="BE59" i="1"/>
  <c r="BD60" i="1"/>
  <c r="BE60" i="1"/>
  <c r="BD61" i="1"/>
  <c r="BE61" i="1"/>
  <c r="BD62" i="1"/>
  <c r="BE62" i="1"/>
  <c r="BD63" i="1"/>
  <c r="BE63" i="1"/>
  <c r="BD64" i="1"/>
  <c r="BE64" i="1"/>
  <c r="BD65" i="1"/>
  <c r="BE65" i="1"/>
  <c r="BD66" i="1"/>
  <c r="BE66" i="1"/>
  <c r="BD67" i="1"/>
  <c r="BE67" i="1"/>
  <c r="BD68" i="1"/>
  <c r="BE68" i="1"/>
  <c r="BD69" i="1"/>
  <c r="BE69" i="1"/>
  <c r="BD70" i="1"/>
  <c r="BE70" i="1"/>
  <c r="BD71" i="1"/>
  <c r="BE71" i="1"/>
  <c r="BD72" i="1"/>
  <c r="BE72" i="1"/>
  <c r="BD73" i="1"/>
  <c r="BE73" i="1"/>
  <c r="BD74" i="1"/>
  <c r="BE74" i="1"/>
  <c r="BD75" i="1"/>
  <c r="BE75" i="1"/>
  <c r="BD76" i="1"/>
  <c r="BE76" i="1"/>
  <c r="BD77" i="1"/>
  <c r="BE77" i="1"/>
  <c r="BD78" i="1"/>
  <c r="BE78" i="1"/>
  <c r="BD79" i="1"/>
  <c r="BE79" i="1"/>
  <c r="BD80" i="1"/>
  <c r="BE80" i="1"/>
  <c r="BD81" i="1"/>
  <c r="BE81" i="1"/>
  <c r="BD82" i="1"/>
  <c r="BE82" i="1"/>
  <c r="BD83" i="1"/>
  <c r="BE83" i="1"/>
  <c r="BD84" i="1"/>
  <c r="BE84" i="1"/>
  <c r="BD85" i="1"/>
  <c r="BE85" i="1"/>
  <c r="BD86" i="1"/>
  <c r="BE86" i="1"/>
  <c r="BD87" i="1"/>
  <c r="BE87" i="1"/>
  <c r="BD88" i="1"/>
  <c r="BE88" i="1"/>
  <c r="BD89" i="1"/>
  <c r="BE89" i="1"/>
  <c r="BD90" i="1"/>
  <c r="BE90" i="1"/>
  <c r="BD91" i="1"/>
  <c r="BE91" i="1"/>
  <c r="BD92" i="1"/>
  <c r="BE92" i="1"/>
  <c r="BD93" i="1"/>
  <c r="BE93" i="1"/>
  <c r="BD94" i="1"/>
  <c r="BE94" i="1"/>
  <c r="BD95" i="1"/>
  <c r="BE95" i="1"/>
  <c r="BD96" i="1"/>
  <c r="BE96" i="1"/>
  <c r="BD97" i="1"/>
  <c r="BE97" i="1"/>
  <c r="BD98" i="1"/>
  <c r="BE98" i="1"/>
  <c r="BD99" i="1"/>
  <c r="BE99" i="1"/>
  <c r="BD100" i="1"/>
  <c r="BE100" i="1"/>
  <c r="BE50" i="1"/>
  <c r="BD50" i="1"/>
  <c r="AJ39" i="1"/>
  <c r="BG39" i="1" s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50" i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3" i="4"/>
  <c r="AP63" i="1"/>
  <c r="AR61" i="1"/>
  <c r="AP61" i="1"/>
  <c r="AR59" i="1"/>
  <c r="AQ59" i="1"/>
  <c r="AP59" i="1"/>
  <c r="AB52" i="1"/>
  <c r="BC52" i="1" s="1"/>
  <c r="AB53" i="1"/>
  <c r="BC53" i="1" s="1"/>
  <c r="AB54" i="1"/>
  <c r="BC54" i="1" s="1"/>
  <c r="AB55" i="1"/>
  <c r="BC55" i="1" s="1"/>
  <c r="AB56" i="1"/>
  <c r="BC56" i="1" s="1"/>
  <c r="AB57" i="1"/>
  <c r="BC57" i="1" s="1"/>
  <c r="AB58" i="1"/>
  <c r="BC58" i="1" s="1"/>
  <c r="AB59" i="1"/>
  <c r="BC59" i="1" s="1"/>
  <c r="AB60" i="1"/>
  <c r="BC60" i="1" s="1"/>
  <c r="AB61" i="1"/>
  <c r="BC61" i="1" s="1"/>
  <c r="AB62" i="1"/>
  <c r="BC62" i="1" s="1"/>
  <c r="AB63" i="1"/>
  <c r="BC63" i="1" s="1"/>
  <c r="AB64" i="1"/>
  <c r="BC64" i="1" s="1"/>
  <c r="AB65" i="1"/>
  <c r="BC65" i="1" s="1"/>
  <c r="AB66" i="1"/>
  <c r="BC66" i="1" s="1"/>
  <c r="AB67" i="1"/>
  <c r="BC67" i="1" s="1"/>
  <c r="AB68" i="1"/>
  <c r="BC68" i="1" s="1"/>
  <c r="AB69" i="1"/>
  <c r="BC69" i="1" s="1"/>
  <c r="AB70" i="1"/>
  <c r="BC70" i="1" s="1"/>
  <c r="AB71" i="1"/>
  <c r="BC71" i="1" s="1"/>
  <c r="AB72" i="1"/>
  <c r="BC72" i="1" s="1"/>
  <c r="AB73" i="1"/>
  <c r="BC73" i="1" s="1"/>
  <c r="AB74" i="1"/>
  <c r="BC74" i="1" s="1"/>
  <c r="AB75" i="1"/>
  <c r="BC75" i="1" s="1"/>
  <c r="AB76" i="1"/>
  <c r="BC76" i="1" s="1"/>
  <c r="AB77" i="1"/>
  <c r="BC77" i="1" s="1"/>
  <c r="AB78" i="1"/>
  <c r="BC78" i="1" s="1"/>
  <c r="AB79" i="1"/>
  <c r="BC79" i="1" s="1"/>
  <c r="AB80" i="1"/>
  <c r="BC80" i="1" s="1"/>
  <c r="AB81" i="1"/>
  <c r="BC81" i="1" s="1"/>
  <c r="AB82" i="1"/>
  <c r="BC82" i="1" s="1"/>
  <c r="AB83" i="1"/>
  <c r="BC83" i="1" s="1"/>
  <c r="AB84" i="1"/>
  <c r="BC84" i="1" s="1"/>
  <c r="AB85" i="1"/>
  <c r="BC85" i="1" s="1"/>
  <c r="AB86" i="1"/>
  <c r="BC86" i="1" s="1"/>
  <c r="AB87" i="1"/>
  <c r="BC87" i="1" s="1"/>
  <c r="AB88" i="1"/>
  <c r="BC88" i="1" s="1"/>
  <c r="AB89" i="1"/>
  <c r="BC89" i="1" s="1"/>
  <c r="AB90" i="1"/>
  <c r="BC90" i="1" s="1"/>
  <c r="AB91" i="1"/>
  <c r="BC91" i="1" s="1"/>
  <c r="AB92" i="1"/>
  <c r="BC92" i="1" s="1"/>
  <c r="AB93" i="1"/>
  <c r="BC93" i="1" s="1"/>
  <c r="AB94" i="1"/>
  <c r="BC94" i="1" s="1"/>
  <c r="AB95" i="1"/>
  <c r="BC95" i="1" s="1"/>
  <c r="AB96" i="1"/>
  <c r="BC96" i="1" s="1"/>
  <c r="AB97" i="1"/>
  <c r="BC97" i="1" s="1"/>
  <c r="AB98" i="1"/>
  <c r="BC98" i="1" s="1"/>
  <c r="AB99" i="1"/>
  <c r="BC99" i="1" s="1"/>
  <c r="AB100" i="1"/>
  <c r="BC100" i="1" s="1"/>
  <c r="AB51" i="1"/>
  <c r="BC51" i="1" s="1"/>
  <c r="AB50" i="1"/>
  <c r="BC50" i="1" s="1"/>
  <c r="AN66" i="1"/>
  <c r="AN65" i="1"/>
  <c r="AM66" i="1"/>
  <c r="AM65" i="1"/>
  <c r="AM63" i="1"/>
  <c r="AM55" i="1"/>
  <c r="AN55" i="1"/>
  <c r="AO54" i="1"/>
  <c r="AO53" i="1"/>
  <c r="AO52" i="1"/>
  <c r="AO51" i="1"/>
  <c r="AO50" i="1"/>
  <c r="AO49" i="1"/>
  <c r="AL68" i="1"/>
  <c r="AL69" i="1"/>
  <c r="AL70" i="1"/>
  <c r="AL71" i="1"/>
  <c r="AL67" i="1"/>
  <c r="BJ39" i="1"/>
  <c r="BI39" i="1"/>
  <c r="BH39" i="1"/>
  <c r="BE39" i="1"/>
  <c r="BB39" i="1"/>
  <c r="BD39" i="1"/>
  <c r="AE39" i="1"/>
  <c r="BC39" i="1" s="1"/>
  <c r="AD43" i="1"/>
  <c r="AC43" i="1" s="1"/>
  <c r="AD38" i="1"/>
  <c r="AE42" i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" i="3"/>
  <c r="AR49" i="1" l="1"/>
  <c r="AP49" i="1" s="1"/>
  <c r="BF39" i="1"/>
  <c r="AI62" i="1"/>
  <c r="AC62" i="1" s="1"/>
  <c r="BB62" i="1" s="1"/>
  <c r="AJ62" i="1"/>
  <c r="AI63" i="1"/>
  <c r="AC63" i="1" s="1"/>
  <c r="BB63" i="1" s="1"/>
  <c r="AJ63" i="1"/>
  <c r="AI64" i="1"/>
  <c r="AC64" i="1" s="1"/>
  <c r="BB64" i="1" s="1"/>
  <c r="AJ64" i="1"/>
  <c r="AI65" i="1"/>
  <c r="AC65" i="1" s="1"/>
  <c r="BB65" i="1" s="1"/>
  <c r="AJ65" i="1"/>
  <c r="AI66" i="1"/>
  <c r="AC66" i="1" s="1"/>
  <c r="BB66" i="1" s="1"/>
  <c r="AJ66" i="1"/>
  <c r="AI67" i="1"/>
  <c r="AC67" i="1" s="1"/>
  <c r="BB67" i="1" s="1"/>
  <c r="AJ67" i="1"/>
  <c r="AI68" i="1"/>
  <c r="AC68" i="1" s="1"/>
  <c r="BB68" i="1" s="1"/>
  <c r="AJ68" i="1"/>
  <c r="AI69" i="1"/>
  <c r="AC69" i="1" s="1"/>
  <c r="BB69" i="1" s="1"/>
  <c r="AJ69" i="1"/>
  <c r="AI70" i="1"/>
  <c r="AC70" i="1" s="1"/>
  <c r="BB70" i="1" s="1"/>
  <c r="AJ70" i="1"/>
  <c r="AI71" i="1"/>
  <c r="AC71" i="1" s="1"/>
  <c r="BB71" i="1" s="1"/>
  <c r="AJ71" i="1"/>
  <c r="AI72" i="1"/>
  <c r="AC72" i="1" s="1"/>
  <c r="BB72" i="1" s="1"/>
  <c r="AJ72" i="1"/>
  <c r="AI73" i="1"/>
  <c r="AC73" i="1" s="1"/>
  <c r="BB73" i="1" s="1"/>
  <c r="AJ73" i="1"/>
  <c r="AI74" i="1"/>
  <c r="AC74" i="1" s="1"/>
  <c r="BB74" i="1" s="1"/>
  <c r="AJ74" i="1"/>
  <c r="AI75" i="1"/>
  <c r="AC75" i="1" s="1"/>
  <c r="BB75" i="1" s="1"/>
  <c r="AJ75" i="1"/>
  <c r="AI76" i="1"/>
  <c r="AC76" i="1" s="1"/>
  <c r="BB76" i="1" s="1"/>
  <c r="AJ76" i="1"/>
  <c r="AI77" i="1"/>
  <c r="AC77" i="1" s="1"/>
  <c r="BB77" i="1" s="1"/>
  <c r="AJ77" i="1"/>
  <c r="AI78" i="1"/>
  <c r="AC78" i="1" s="1"/>
  <c r="BB78" i="1" s="1"/>
  <c r="AJ78" i="1"/>
  <c r="AI79" i="1"/>
  <c r="AC79" i="1" s="1"/>
  <c r="BB79" i="1" s="1"/>
  <c r="AJ79" i="1"/>
  <c r="AI80" i="1"/>
  <c r="AC80" i="1" s="1"/>
  <c r="BB80" i="1" s="1"/>
  <c r="AJ80" i="1"/>
  <c r="AI81" i="1"/>
  <c r="AC81" i="1" s="1"/>
  <c r="BB81" i="1" s="1"/>
  <c r="AJ81" i="1"/>
  <c r="AI82" i="1"/>
  <c r="AC82" i="1" s="1"/>
  <c r="BB82" i="1" s="1"/>
  <c r="AJ82" i="1"/>
  <c r="AI83" i="1"/>
  <c r="AC83" i="1" s="1"/>
  <c r="BB83" i="1" s="1"/>
  <c r="AJ83" i="1"/>
  <c r="AI84" i="1"/>
  <c r="AC84" i="1" s="1"/>
  <c r="BB84" i="1" s="1"/>
  <c r="AJ84" i="1"/>
  <c r="AI85" i="1"/>
  <c r="AC85" i="1" s="1"/>
  <c r="BB85" i="1" s="1"/>
  <c r="AJ85" i="1"/>
  <c r="AI86" i="1"/>
  <c r="AC86" i="1" s="1"/>
  <c r="BB86" i="1" s="1"/>
  <c r="AJ86" i="1"/>
  <c r="AI87" i="1"/>
  <c r="AC87" i="1" s="1"/>
  <c r="BB87" i="1" s="1"/>
  <c r="AJ87" i="1"/>
  <c r="AI88" i="1"/>
  <c r="AC88" i="1" s="1"/>
  <c r="BB88" i="1" s="1"/>
  <c r="AJ88" i="1"/>
  <c r="AI89" i="1"/>
  <c r="AC89" i="1" s="1"/>
  <c r="BB89" i="1" s="1"/>
  <c r="AJ89" i="1"/>
  <c r="AI90" i="1"/>
  <c r="AC90" i="1" s="1"/>
  <c r="BB90" i="1" s="1"/>
  <c r="AJ90" i="1"/>
  <c r="AI91" i="1"/>
  <c r="AC91" i="1" s="1"/>
  <c r="BB91" i="1" s="1"/>
  <c r="AJ91" i="1"/>
  <c r="AI92" i="1"/>
  <c r="AC92" i="1" s="1"/>
  <c r="BB92" i="1" s="1"/>
  <c r="AJ92" i="1"/>
  <c r="AI93" i="1"/>
  <c r="AC93" i="1" s="1"/>
  <c r="BB93" i="1" s="1"/>
  <c r="AJ93" i="1"/>
  <c r="AI94" i="1"/>
  <c r="AC94" i="1" s="1"/>
  <c r="BB94" i="1" s="1"/>
  <c r="AJ94" i="1"/>
  <c r="AI95" i="1"/>
  <c r="AC95" i="1" s="1"/>
  <c r="BB95" i="1" s="1"/>
  <c r="AJ95" i="1"/>
  <c r="AI96" i="1"/>
  <c r="AC96" i="1" s="1"/>
  <c r="BB96" i="1" s="1"/>
  <c r="AJ96" i="1"/>
  <c r="AI97" i="1"/>
  <c r="AC97" i="1" s="1"/>
  <c r="BB97" i="1" s="1"/>
  <c r="AJ97" i="1"/>
  <c r="AI98" i="1"/>
  <c r="AC98" i="1" s="1"/>
  <c r="BB98" i="1" s="1"/>
  <c r="AJ98" i="1"/>
  <c r="AI99" i="1"/>
  <c r="AC99" i="1" s="1"/>
  <c r="BB99" i="1" s="1"/>
  <c r="AJ99" i="1"/>
  <c r="AI100" i="1"/>
  <c r="AC100" i="1" s="1"/>
  <c r="BB100" i="1" s="1"/>
  <c r="AJ100" i="1"/>
  <c r="AI51" i="1"/>
  <c r="AC51" i="1" s="1"/>
  <c r="BB51" i="1" s="1"/>
  <c r="AJ51" i="1"/>
  <c r="AI52" i="1"/>
  <c r="AC52" i="1" s="1"/>
  <c r="BB52" i="1" s="1"/>
  <c r="AJ52" i="1"/>
  <c r="AI53" i="1"/>
  <c r="AC53" i="1" s="1"/>
  <c r="BB53" i="1" s="1"/>
  <c r="AJ53" i="1"/>
  <c r="AI54" i="1"/>
  <c r="AC54" i="1" s="1"/>
  <c r="BB54" i="1" s="1"/>
  <c r="AJ54" i="1"/>
  <c r="AI55" i="1"/>
  <c r="AC55" i="1" s="1"/>
  <c r="BB55" i="1" s="1"/>
  <c r="AJ55" i="1"/>
  <c r="AI56" i="1"/>
  <c r="AC56" i="1" s="1"/>
  <c r="BB56" i="1" s="1"/>
  <c r="AJ56" i="1"/>
  <c r="AI57" i="1"/>
  <c r="AC57" i="1" s="1"/>
  <c r="BB57" i="1" s="1"/>
  <c r="AJ57" i="1"/>
  <c r="AI58" i="1"/>
  <c r="AC58" i="1" s="1"/>
  <c r="BB58" i="1" s="1"/>
  <c r="AJ58" i="1"/>
  <c r="AI59" i="1"/>
  <c r="AC59" i="1" s="1"/>
  <c r="BB59" i="1" s="1"/>
  <c r="AJ59" i="1"/>
  <c r="AI60" i="1"/>
  <c r="AC60" i="1" s="1"/>
  <c r="BB60" i="1" s="1"/>
  <c r="AJ60" i="1"/>
  <c r="AI61" i="1"/>
  <c r="AC61" i="1" s="1"/>
  <c r="BB61" i="1" s="1"/>
  <c r="AJ61" i="1"/>
  <c r="AJ50" i="1"/>
  <c r="AI50" i="1"/>
  <c r="AC50" i="1" s="1"/>
  <c r="BB50" i="1" s="1"/>
  <c r="AM71" i="1" l="1"/>
  <c r="AM67" i="1"/>
  <c r="AM70" i="1"/>
  <c r="AM68" i="1"/>
  <c r="AM69" i="1"/>
</calcChain>
</file>

<file path=xl/sharedStrings.xml><?xml version="1.0" encoding="utf-8"?>
<sst xmlns="http://schemas.openxmlformats.org/spreadsheetml/2006/main" count="107" uniqueCount="86">
  <si>
    <t>si défaut</t>
  </si>
  <si>
    <t>plastique</t>
  </si>
  <si>
    <t>poids total</t>
  </si>
  <si>
    <t>ok</t>
  </si>
  <si>
    <t>nc</t>
  </si>
  <si>
    <t>production</t>
  </si>
  <si>
    <t>count</t>
  </si>
  <si>
    <t>date</t>
  </si>
  <si>
    <t>poste</t>
  </si>
  <si>
    <t>opérateur</t>
  </si>
  <si>
    <t>TO</t>
  </si>
  <si>
    <t>of</t>
  </si>
  <si>
    <t>2x250g</t>
  </si>
  <si>
    <t>500g</t>
  </si>
  <si>
    <t>50g</t>
  </si>
  <si>
    <t>80g/m2</t>
  </si>
  <si>
    <t>poids mini</t>
  </si>
  <si>
    <t>poids nominal</t>
  </si>
  <si>
    <t>poids max</t>
  </si>
  <si>
    <t>poids final min</t>
  </si>
  <si>
    <t>poids final max</t>
  </si>
  <si>
    <t>impulsions</t>
  </si>
  <si>
    <t>vitesse primaire</t>
  </si>
  <si>
    <t>vitesse secondaire</t>
  </si>
  <si>
    <t>65g/m2</t>
  </si>
  <si>
    <t>opérateurs</t>
  </si>
  <si>
    <t>David H.</t>
  </si>
  <si>
    <t>Morgan H.</t>
  </si>
  <si>
    <t>Stéphane M.</t>
  </si>
  <si>
    <t>ThomasNau N.</t>
  </si>
  <si>
    <t>Matin</t>
  </si>
  <si>
    <t>Après-Midi</t>
  </si>
  <si>
    <t>Nuit</t>
  </si>
  <si>
    <t>Journée</t>
  </si>
  <si>
    <t>Invité</t>
  </si>
  <si>
    <t>horaires</t>
  </si>
  <si>
    <t>durée du poste</t>
  </si>
  <si>
    <t>Nicolas B.</t>
  </si>
  <si>
    <t>défaut</t>
  </si>
  <si>
    <t>Trou</t>
  </si>
  <si>
    <t>Fil</t>
  </si>
  <si>
    <t>Poids</t>
  </si>
  <si>
    <t>Autre</t>
  </si>
  <si>
    <t>Démarrage</t>
  </si>
  <si>
    <t>post_id</t>
  </si>
  <si>
    <t>jour</t>
  </si>
  <si>
    <t>to</t>
  </si>
  <si>
    <t>machine</t>
  </si>
  <si>
    <t>prod</t>
  </si>
  <si>
    <t>impulsion</t>
  </si>
  <si>
    <t>vitesse prim.</t>
  </si>
  <si>
    <t>cmt</t>
  </si>
  <si>
    <t>mic D avg</t>
  </si>
  <si>
    <t>mic G avg</t>
  </si>
  <si>
    <t>poids avg</t>
  </si>
  <si>
    <t>ep</t>
  </si>
  <si>
    <t>trs</t>
  </si>
  <si>
    <t>obj</t>
  </si>
  <si>
    <t>OK</t>
  </si>
  <si>
    <t>NC</t>
  </si>
  <si>
    <t>OK_count</t>
  </si>
  <si>
    <t>NC_count</t>
  </si>
  <si>
    <t>Informations Poste &amp; Production</t>
  </si>
  <si>
    <t>Commentaires Opérateur</t>
  </si>
  <si>
    <t>PRODUCTION</t>
  </si>
  <si>
    <t>Micronnaire</t>
  </si>
  <si>
    <t>Final</t>
  </si>
  <si>
    <t>Recap Production</t>
  </si>
  <si>
    <t>TRS</t>
  </si>
  <si>
    <t>%</t>
  </si>
  <si>
    <t>obj.</t>
  </si>
  <si>
    <t>Valider le Poste</t>
  </si>
  <si>
    <t>valeur</t>
  </si>
  <si>
    <t>item_id</t>
  </si>
  <si>
    <t>Poids sortie fibrage</t>
  </si>
  <si>
    <t>Mini</t>
  </si>
  <si>
    <t>Nominal</t>
  </si>
  <si>
    <t>Maxi</t>
  </si>
  <si>
    <t>Poids contrôle final</t>
  </si>
  <si>
    <t>Epaisseurs contrôle final</t>
  </si>
  <si>
    <t>ep min</t>
  </si>
  <si>
    <t>ep max</t>
  </si>
  <si>
    <t>valeur nC</t>
  </si>
  <si>
    <t>Rappels Qualité</t>
  </si>
  <si>
    <t>cote</t>
  </si>
  <si>
    <t>poids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</si>
</sst>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12" x14ac:knownFonts="1">
    <font>
      <sz val="11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6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48"/>
      <color theme="0" tint="-0.3499862666707357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ashed">
        <color rgb="FF0070C0"/>
      </bottom>
      <diagonal/>
    </border>
    <border>
      <left/>
      <right/>
      <top style="dashed">
        <color rgb="FF0070C0"/>
      </top>
      <bottom style="dashed">
        <color rgb="FF0070C0"/>
      </bottom>
      <diagonal/>
    </border>
    <border>
      <left/>
      <right/>
      <top style="dashed">
        <color rgb="FF0070C0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65" fontId="1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0" fillId="4" borderId="0" xfId="0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20" fontId="4" fillId="3" borderId="3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0" fillId="3" borderId="0" xfId="0" applyFont="1" applyFill="1" applyAlignment="1">
      <alignment vertical="center"/>
    </xf>
    <xf numFmtId="0" fontId="5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2" fillId="5" borderId="0" xfId="0" applyFont="1" applyFill="1" applyAlignment="1">
      <alignment horizontal="right"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center" vertical="center"/>
    </xf>
    <xf numFmtId="0" fontId="4" fillId="3" borderId="3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2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3" fillId="5" borderId="0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2" borderId="0" xfId="0" applyFont="1" applyFill="1" applyBorder="1" applyAlignment="1">
      <alignment horizontal="center" vertical="top"/>
    </xf>
    <xf numFmtId="0" fontId="10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right" vertical="center"/>
    </xf>
    <xf numFmtId="0" fontId="3" fillId="2" borderId="0" xfId="0" applyFont="1" applyFill="1" applyBorder="1" applyAlignment="1">
      <alignment vertical="center"/>
    </xf>
  </cellXfs>
  <cellStyles count="1">
    <cellStyle name="Normal" xfId="0" builtinId="0"/>
  </cellStyles>
  <dxfs count="1">
    <dxf>
      <border>
        <bottom style="thin">
          <color rgb="FF0070C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428625</xdr:colOff>
      <xdr:row>36</xdr:row>
      <xdr:rowOff>133350</xdr:rowOff>
    </xdr:from>
    <xdr:to>
      <xdr:col>28</xdr:col>
      <xdr:colOff>681051</xdr:colOff>
      <xdr:row>38</xdr:row>
      <xdr:rowOff>29265</xdr:rowOff>
    </xdr:to>
    <xdr:pic macro="[0]!addDate">
      <xdr:nvPicPr>
        <xdr:cNvPr id="7" name="Image 6" descr="Clipart - Calendar">
          <a:extLst>
            <a:ext uri="{FF2B5EF4-FFF2-40B4-BE49-F238E27FC236}">
              <a16:creationId xmlns:a16="http://schemas.microsoft.com/office/drawing/2014/main" id="{2794C695-B9E3-45F3-BBA1-6C8A5744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625" y="2057400"/>
          <a:ext cx="252426" cy="2769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A100"/>
  <sheetViews>
    <sheetView tabSelected="1" topLeftCell="AB36" workbookViewId="0">
      <selection activeCell="AY41" sqref="AY41"/>
    </sheetView>
  </sheetViews>
  <sheetFormatPr baseColWidth="10" defaultRowHeight="15" x14ac:dyDescent="0.25"/>
  <cols>
    <col min="1" max="26" width="11.42578125" style="4" hidden="1" customWidth="1"/>
    <col min="27" max="27" width="11.42578125" style="36" hidden="1" customWidth="1"/>
    <col min="28" max="28" width="11.42578125" style="37"/>
    <col min="29" max="29" width="10.28515625" style="4" customWidth="1"/>
    <col min="30" max="32" width="13.7109375" style="4" customWidth="1"/>
    <col min="33" max="33" width="12.5703125" style="4" customWidth="1"/>
    <col min="34" max="34" width="3.7109375" style="4" hidden="1" customWidth="1"/>
    <col min="35" max="36" width="8.85546875" style="3" customWidth="1"/>
    <col min="37" max="37" width="6.7109375" style="4" customWidth="1"/>
    <col min="38" max="40" width="11.42578125" style="4" customWidth="1"/>
    <col min="41" max="41" width="2.85546875" style="4" customWidth="1"/>
    <col min="42" max="52" width="11.42578125" style="4" customWidth="1"/>
    <col min="53" max="53" width="11.42578125" style="4"/>
    <col min="54" max="54" width="35.85546875" style="4" bestFit="1" customWidth="1"/>
    <col min="55" max="16384" width="11.42578125" style="4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27:44" hidden="1" x14ac:dyDescent="0.25"/>
    <row r="18" spans="27:44" hidden="1" x14ac:dyDescent="0.25"/>
    <row r="19" spans="27:44" hidden="1" x14ac:dyDescent="0.25"/>
    <row r="20" spans="27:44" hidden="1" x14ac:dyDescent="0.25"/>
    <row r="21" spans="27:44" hidden="1" x14ac:dyDescent="0.25"/>
    <row r="22" spans="27:44" hidden="1" x14ac:dyDescent="0.25"/>
    <row r="23" spans="27:44" hidden="1" x14ac:dyDescent="0.25"/>
    <row r="24" spans="27:44" hidden="1" x14ac:dyDescent="0.25"/>
    <row r="25" spans="27:44" hidden="1" x14ac:dyDescent="0.25"/>
    <row r="26" spans="27:44" hidden="1" x14ac:dyDescent="0.25"/>
    <row r="27" spans="27:44" hidden="1" x14ac:dyDescent="0.25"/>
    <row r="28" spans="27:44" s="44" customFormat="1" hidden="1" x14ac:dyDescent="0.25">
      <c r="AA28" s="49"/>
      <c r="AB28" s="50"/>
      <c r="AC28" s="51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51"/>
    </row>
    <row r="29" spans="27:44" s="44" customFormat="1" hidden="1" x14ac:dyDescent="0.25">
      <c r="AA29" s="49"/>
      <c r="AB29" s="50"/>
      <c r="AC29" s="51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51"/>
    </row>
    <row r="30" spans="27:44" s="44" customFormat="1" hidden="1" x14ac:dyDescent="0.25">
      <c r="AA30" s="49"/>
      <c r="AB30" s="50"/>
      <c r="AC30" s="51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51"/>
    </row>
    <row r="31" spans="27:44" s="44" customFormat="1" hidden="1" x14ac:dyDescent="0.25">
      <c r="AA31" s="49"/>
      <c r="AB31" s="50"/>
      <c r="AC31" s="51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51"/>
    </row>
    <row r="32" spans="27:44" s="44" customFormat="1" hidden="1" x14ac:dyDescent="0.25">
      <c r="AA32" s="49"/>
      <c r="AB32" s="50"/>
      <c r="AC32" s="51"/>
      <c r="AD32" s="51"/>
      <c r="AE32" s="51"/>
      <c r="AF32" s="48"/>
      <c r="AG32" s="48"/>
      <c r="AH32" s="48"/>
      <c r="AI32" s="48"/>
      <c r="AJ32" s="48"/>
      <c r="AK32" s="48"/>
      <c r="AL32" s="48"/>
      <c r="AM32" s="48"/>
      <c r="AN32" s="48"/>
      <c r="AO32" s="51"/>
      <c r="AP32" s="51"/>
      <c r="AQ32" s="51"/>
      <c r="AR32" s="51"/>
    </row>
    <row r="33" spans="27:79" s="44" customFormat="1" hidden="1" x14ac:dyDescent="0.25">
      <c r="AA33" s="49"/>
      <c r="AB33" s="50"/>
      <c r="AD33" s="51"/>
      <c r="AE33" s="51"/>
      <c r="AF33" s="48"/>
      <c r="AG33" s="48"/>
      <c r="AH33" s="48"/>
      <c r="AI33" s="48"/>
      <c r="AJ33" s="48"/>
      <c r="AK33" s="48"/>
      <c r="AL33" s="48"/>
      <c r="AM33" s="48"/>
      <c r="AN33" s="48"/>
      <c r="AO33" s="51"/>
      <c r="AP33" s="51"/>
      <c r="AQ33" s="51"/>
    </row>
    <row r="34" spans="27:79" s="44" customFormat="1" hidden="1" x14ac:dyDescent="0.25">
      <c r="AA34" s="49"/>
      <c r="AB34" s="50"/>
      <c r="AF34" s="48"/>
      <c r="AG34" s="48"/>
      <c r="AH34" s="48"/>
      <c r="AI34" s="48"/>
      <c r="AJ34" s="48"/>
      <c r="AK34" s="48"/>
      <c r="AL34" s="48"/>
      <c r="AM34" s="48"/>
      <c r="AN34" s="48"/>
    </row>
    <row r="35" spans="27:79" s="44" customFormat="1" hidden="1" x14ac:dyDescent="0.25">
      <c r="AA35" s="49"/>
      <c r="AB35" s="50"/>
      <c r="AF35" s="48"/>
      <c r="AG35" s="48"/>
      <c r="AH35" s="48"/>
      <c r="AI35" s="48"/>
      <c r="AJ35" s="48"/>
      <c r="AK35" s="48"/>
      <c r="AL35" s="48"/>
      <c r="AM35" s="48"/>
      <c r="AN35" s="48"/>
    </row>
    <row r="37" spans="27:79" x14ac:dyDescent="0.25">
      <c r="AC37" s="14" t="s">
        <v>62</v>
      </c>
      <c r="AD37" s="14"/>
      <c r="AE37" s="14"/>
      <c r="AF37" s="14"/>
      <c r="AG37" s="14"/>
      <c r="AH37" s="14"/>
      <c r="AI37" s="14"/>
      <c r="AJ37" s="14"/>
      <c r="AL37" s="14" t="s">
        <v>63</v>
      </c>
      <c r="AM37" s="14"/>
      <c r="AN37" s="14"/>
      <c r="AO37" s="14"/>
      <c r="AP37" s="14"/>
      <c r="AQ37" s="14"/>
      <c r="AR37" s="14"/>
    </row>
    <row r="38" spans="27:79" x14ac:dyDescent="0.25">
      <c r="AD38" s="10">
        <f>IF(Date&lt;&gt;"",Date,"")</f>
        <v>45032</v>
      </c>
      <c r="AL38" s="15"/>
      <c r="AM38" s="15"/>
      <c r="AN38" s="15"/>
      <c r="AO38" s="15"/>
      <c r="AP38" s="15"/>
      <c r="AQ38" s="15"/>
      <c r="AR38" s="15"/>
      <c r="BB38" s="11" t="s">
        <v>44</v>
      </c>
      <c r="BC38" s="11" t="s">
        <v>45</v>
      </c>
      <c r="BD38" s="11" t="s">
        <v>7</v>
      </c>
      <c r="BE38" s="11" t="s">
        <v>8</v>
      </c>
      <c r="BF38" s="11" t="s">
        <v>46</v>
      </c>
      <c r="BG38" s="11" t="s">
        <v>47</v>
      </c>
      <c r="BH38" s="11" t="s">
        <v>48</v>
      </c>
      <c r="BI38" s="11" t="s">
        <v>49</v>
      </c>
      <c r="BJ38" s="11" t="s">
        <v>50</v>
      </c>
      <c r="BK38" s="11" t="s">
        <v>11</v>
      </c>
      <c r="BL38" s="11" t="s">
        <v>51</v>
      </c>
      <c r="BM38" s="11" t="s">
        <v>52</v>
      </c>
      <c r="BN38" s="11" t="s">
        <v>53</v>
      </c>
      <c r="BO38" s="11" t="s">
        <v>54</v>
      </c>
      <c r="BP38" s="11" t="s">
        <v>55</v>
      </c>
      <c r="BQ38" s="11" t="s">
        <v>56</v>
      </c>
      <c r="BR38" s="11" t="s">
        <v>57</v>
      </c>
      <c r="BS38" s="11" t="s">
        <v>58</v>
      </c>
      <c r="BT38" s="11" t="s">
        <v>59</v>
      </c>
      <c r="BU38" s="11" t="s">
        <v>60</v>
      </c>
      <c r="BV38" s="11" t="s">
        <v>61</v>
      </c>
      <c r="BW38" s="12"/>
      <c r="BX38" s="12"/>
      <c r="BY38" s="12"/>
      <c r="BZ38" s="12"/>
      <c r="CA38" s="12"/>
    </row>
    <row r="39" spans="27:79" x14ac:dyDescent="0.25">
      <c r="AC39" s="22" t="s">
        <v>7</v>
      </c>
      <c r="AD39" s="16">
        <v>45032</v>
      </c>
      <c r="AE39" s="9">
        <f>IF(AD39&lt;&gt;"",AD39-DATE(YEAR(AD39),1,1)+1,"")</f>
        <v>106</v>
      </c>
      <c r="AI39" s="22" t="s">
        <v>47</v>
      </c>
      <c r="AJ39" s="19" t="str">
        <f>IF(typeProduction&lt;&gt;"",IF(OR(typeProduction="2x250g",typeProduction="500g"),"E","F"),"")</f>
        <v>F</v>
      </c>
      <c r="AL39" s="15"/>
      <c r="AM39" s="15"/>
      <c r="AN39" s="15"/>
      <c r="AO39" s="15"/>
      <c r="AP39" s="15"/>
      <c r="AQ39" s="15"/>
      <c r="AR39" s="15"/>
      <c r="BB39" s="3" t="str">
        <f>CONCATENATE(23,"_",Date,"_",Poste,"_",Operateur,"_",typeProduction)</f>
        <v>23_45032_Matin_Nicolas B._80g/m2</v>
      </c>
      <c r="BC39" s="3">
        <f>AE39</f>
        <v>106</v>
      </c>
      <c r="BD39" s="3">
        <f>Date</f>
        <v>45032</v>
      </c>
      <c r="BE39" s="3" t="str">
        <f>Poste</f>
        <v>Matin</v>
      </c>
      <c r="BF39" s="3">
        <f>AD43</f>
        <v>480</v>
      </c>
      <c r="BG39" s="3" t="str">
        <f>Machine</f>
        <v>F</v>
      </c>
      <c r="BH39" s="3" t="str">
        <f>typeProduction</f>
        <v>80g/m2</v>
      </c>
      <c r="BI39" s="3">
        <f>AJ40</f>
        <v>0</v>
      </c>
      <c r="BJ39" s="3">
        <f>AJ41</f>
        <v>0</v>
      </c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</row>
    <row r="40" spans="27:79" x14ac:dyDescent="0.25">
      <c r="AC40" s="22" t="s">
        <v>8</v>
      </c>
      <c r="AD40" s="17" t="s">
        <v>30</v>
      </c>
      <c r="AE40" s="22" t="s">
        <v>5</v>
      </c>
      <c r="AF40" s="19" t="s">
        <v>15</v>
      </c>
      <c r="AI40" s="22" t="s">
        <v>21</v>
      </c>
      <c r="AJ40" s="17"/>
      <c r="AL40" s="15"/>
      <c r="AM40" s="15"/>
      <c r="AN40" s="15"/>
      <c r="AO40" s="15"/>
      <c r="AP40" s="15"/>
      <c r="AQ40" s="15"/>
      <c r="AR40" s="15"/>
    </row>
    <row r="41" spans="27:79" x14ac:dyDescent="0.25">
      <c r="AC41" s="22" t="s">
        <v>9</v>
      </c>
      <c r="AD41" s="17" t="s">
        <v>37</v>
      </c>
      <c r="AE41" s="22" t="s">
        <v>11</v>
      </c>
      <c r="AF41" s="20"/>
      <c r="AI41" s="22" t="s">
        <v>22</v>
      </c>
      <c r="AJ41" s="35"/>
      <c r="AL41" s="15"/>
      <c r="AM41" s="15"/>
      <c r="AN41" s="15"/>
      <c r="AO41" s="15"/>
      <c r="AP41" s="15"/>
      <c r="AQ41" s="15"/>
      <c r="AR41" s="15"/>
    </row>
    <row r="42" spans="27:79" x14ac:dyDescent="0.25">
      <c r="AC42" s="22" t="s">
        <v>36</v>
      </c>
      <c r="AD42" s="18">
        <v>0.33333333333333331</v>
      </c>
      <c r="AE42" s="7" t="str">
        <f>IF(TO&lt;&gt;"","heures","")</f>
        <v>heures</v>
      </c>
      <c r="AL42" s="15"/>
      <c r="AM42" s="15"/>
      <c r="AN42" s="15"/>
      <c r="AO42" s="15"/>
      <c r="AP42" s="15"/>
      <c r="AQ42" s="15"/>
      <c r="AR42" s="15"/>
    </row>
    <row r="43" spans="27:79" x14ac:dyDescent="0.25">
      <c r="AC43" s="8" t="str">
        <f>IF(AD43&lt;&gt;"","temps d'ouverture","")</f>
        <v>temps d'ouverture</v>
      </c>
      <c r="AD43" s="9">
        <f>IF(TO&lt;&gt;"",TO*60*24,"")</f>
        <v>480</v>
      </c>
      <c r="AL43" s="15"/>
      <c r="AM43" s="15"/>
      <c r="AN43" s="15"/>
      <c r="AO43" s="15"/>
      <c r="AP43" s="15"/>
      <c r="AQ43" s="15"/>
      <c r="AR43" s="15"/>
    </row>
    <row r="44" spans="27:79" hidden="1" x14ac:dyDescent="0.25"/>
    <row r="45" spans="27:79" hidden="1" x14ac:dyDescent="0.25"/>
    <row r="46" spans="27:79" hidden="1" x14ac:dyDescent="0.25"/>
    <row r="47" spans="27:79" x14ac:dyDescent="0.25">
      <c r="AC47" s="14" t="s">
        <v>64</v>
      </c>
      <c r="AD47" s="14"/>
      <c r="AE47" s="14"/>
      <c r="AF47" s="14"/>
      <c r="AG47" s="14"/>
      <c r="AH47" s="13"/>
      <c r="AI47" s="46">
        <v>1010</v>
      </c>
      <c r="AJ47" s="46">
        <v>0</v>
      </c>
      <c r="AK47" s="9"/>
    </row>
    <row r="48" spans="27:79" x14ac:dyDescent="0.25">
      <c r="AC48" s="14"/>
      <c r="AD48" s="14"/>
      <c r="AE48" s="14"/>
      <c r="AF48" s="14"/>
      <c r="AG48" s="14"/>
      <c r="AI48" s="24">
        <v>2</v>
      </c>
      <c r="AJ48" s="24">
        <v>0</v>
      </c>
      <c r="AK48" s="9"/>
      <c r="AL48" s="14" t="s">
        <v>65</v>
      </c>
      <c r="AM48" s="14"/>
      <c r="AN48" s="14"/>
      <c r="AP48" s="14" t="s">
        <v>68</v>
      </c>
      <c r="AQ48" s="14"/>
      <c r="AR48" s="25" t="s">
        <v>70</v>
      </c>
    </row>
    <row r="49" spans="26:57" x14ac:dyDescent="0.25">
      <c r="Z49" s="4" t="s">
        <v>82</v>
      </c>
      <c r="AA49" s="36" t="s">
        <v>72</v>
      </c>
      <c r="AC49" s="28" t="s">
        <v>6</v>
      </c>
      <c r="AD49" s="43" t="s">
        <v>0</v>
      </c>
      <c r="AE49" s="28" t="s">
        <v>1</v>
      </c>
      <c r="AF49" s="28" t="s">
        <v>2</v>
      </c>
      <c r="AG49" s="28" t="s">
        <v>5</v>
      </c>
      <c r="AH49" s="44"/>
      <c r="AI49" s="45" t="s">
        <v>3</v>
      </c>
      <c r="AJ49" s="43" t="s">
        <v>4</v>
      </c>
      <c r="AL49" s="21"/>
      <c r="AM49" s="21"/>
      <c r="AN49" s="21"/>
      <c r="AO49" s="29" t="str">
        <f>IFERROR(AVERAGE(AM49:AN49),"")</f>
        <v/>
      </c>
      <c r="AP49" s="41">
        <f>okCount/AR49*100</f>
        <v>6.666666666666667</v>
      </c>
      <c r="AQ49" s="41"/>
      <c r="AR49" s="25">
        <f>IF(typeProduction="80g/m2",VLOOKUP(AD43,matriceTRS!G:H,2,TRUE),IF(typeProduction="65g/m2",VLOOKUP(AD43,matriceTRS!J:K,2,TRUE),IF(typeProduction="500g",VLOOKUP(AD43,matriceTRS!D:E,2,TRUE),IF(typeProduction="2x250g",VLOOKUP(AD43,matriceTRS!A:B,2,TRUE)))))</f>
        <v>30</v>
      </c>
      <c r="BB49" s="11" t="s">
        <v>73</v>
      </c>
      <c r="BC49" s="11" t="s">
        <v>84</v>
      </c>
      <c r="BD49" s="11" t="s">
        <v>85</v>
      </c>
      <c r="BE49" s="11" t="s">
        <v>38</v>
      </c>
    </row>
    <row r="50" spans="26:57" ht="15" customHeight="1" x14ac:dyDescent="0.25">
      <c r="Z50" s="4">
        <f>IF(AND(AF50&lt;&gt;"",AD50&lt;&gt;""),IF(OR(AG50="2x250g",AF$40="2x250g"),0.5,1),0)</f>
        <v>0</v>
      </c>
      <c r="AA50" s="36">
        <f>IF(AND(AF50&lt;&gt;"",AD50=""),IF(OR(AG50="2x250g",AF$40="2x250g"),0.5,1),0)</f>
        <v>1</v>
      </c>
      <c r="AB50" s="37" t="str">
        <f>IF(OR(typeProduction="2x250g",typeProduction="500g"),"droite","")</f>
        <v/>
      </c>
      <c r="AC50" s="4">
        <f>IF(AI50&lt;&gt;0,SUM(AA$50:AA50),"")</f>
        <v>1</v>
      </c>
      <c r="AD50" s="26"/>
      <c r="AE50" s="5"/>
      <c r="AF50" s="5">
        <v>505</v>
      </c>
      <c r="AG50" s="5"/>
      <c r="AI50" s="22">
        <f>IF(AD50="",AF50,0)</f>
        <v>505</v>
      </c>
      <c r="AJ50" s="22">
        <f>IF(AD50&lt;&gt;"",AF50,0)</f>
        <v>0</v>
      </c>
      <c r="AL50" s="21"/>
      <c r="AM50" s="21"/>
      <c r="AN50" s="21"/>
      <c r="AO50" s="29" t="str">
        <f t="shared" ref="AO50:AO54" si="0">IFERROR(AVERAGE(AM50:AN50),"")</f>
        <v/>
      </c>
      <c r="AP50" s="41"/>
      <c r="AQ50" s="41"/>
      <c r="AR50" s="23" t="s">
        <v>69</v>
      </c>
      <c r="BB50" s="4" t="str">
        <f>CONCATENATE(BB$39,"_",AC50)</f>
        <v>23_45032_Matin_Nicolas B._80g/m2_1</v>
      </c>
      <c r="BC50" s="4" t="str">
        <f>AB50</f>
        <v/>
      </c>
      <c r="BD50" s="4">
        <f>AF50</f>
        <v>505</v>
      </c>
      <c r="BE50" s="4">
        <f>AD50</f>
        <v>0</v>
      </c>
    </row>
    <row r="51" spans="26:57" ht="15" customHeight="1" x14ac:dyDescent="0.25">
      <c r="Z51" s="4">
        <f t="shared" ref="Z51:Z100" si="1">IF(AND(AF51&lt;&gt;"",AD51&lt;&gt;""),IF(OR(AG51="2x250g",AF$40="2x250g"),0.5,1),0)</f>
        <v>0</v>
      </c>
      <c r="AA51" s="36">
        <f t="shared" ref="AA51:AA100" si="2">IF(AND(AF51&lt;&gt;"",AD51=""),IF(OR(AG51="2x250g",AF$40="2x250g"),0.5,1),0)</f>
        <v>1</v>
      </c>
      <c r="AB51" s="37" t="str">
        <f>IF(OR(typeProduction="2x250g",typeProduction="500g"),"gauche","")</f>
        <v/>
      </c>
      <c r="AC51" s="4">
        <f>IF(AI51&lt;&gt;0,SUM(AA$50:AA51),"")</f>
        <v>2</v>
      </c>
      <c r="AD51" s="26"/>
      <c r="AE51" s="5"/>
      <c r="AF51" s="5">
        <v>505</v>
      </c>
      <c r="AG51" s="5"/>
      <c r="AI51" s="22">
        <f t="shared" ref="AI51:AI61" si="3">IF(AD51="",AF51,0)</f>
        <v>505</v>
      </c>
      <c r="AJ51" s="22">
        <f t="shared" ref="AJ51:AJ61" si="4">IF(AD51&lt;&gt;"",AF51,0)</f>
        <v>0</v>
      </c>
      <c r="AL51" s="21"/>
      <c r="AM51" s="21"/>
      <c r="AN51" s="21"/>
      <c r="AO51" s="29" t="str">
        <f t="shared" si="0"/>
        <v/>
      </c>
      <c r="AP51" s="41"/>
      <c r="AQ51" s="41"/>
      <c r="AR51" s="23"/>
      <c r="BB51" s="4" t="str">
        <f t="shared" ref="BB51:BB100" si="5">CONCATENATE(BB$39,"_",AC51)</f>
        <v>23_45032_Matin_Nicolas B._80g/m2_2</v>
      </c>
      <c r="BC51" s="4" t="str">
        <f t="shared" ref="BC51:BC102" si="6">AB51</f>
        <v/>
      </c>
      <c r="BD51" s="4">
        <f t="shared" ref="BD51:BD102" si="7">AF51</f>
        <v>505</v>
      </c>
      <c r="BE51" s="4">
        <f t="shared" ref="BE51:BE102" si="8">AD51</f>
        <v>0</v>
      </c>
    </row>
    <row r="52" spans="26:57" ht="15" customHeight="1" x14ac:dyDescent="0.25">
      <c r="Z52" s="4">
        <f t="shared" si="1"/>
        <v>0</v>
      </c>
      <c r="AA52" s="36">
        <f t="shared" si="2"/>
        <v>0</v>
      </c>
      <c r="AB52" s="37" t="str">
        <f>IF(OR(typeProduction="2x250g",typeProduction="500g"),"droite","")</f>
        <v/>
      </c>
      <c r="AC52" s="4" t="str">
        <f>IF(AI52&lt;&gt;0,SUM(AA$50:AA52),"")</f>
        <v/>
      </c>
      <c r="AD52" s="26"/>
      <c r="AE52" s="5"/>
      <c r="AF52" s="5"/>
      <c r="AG52" s="5"/>
      <c r="AI52" s="22">
        <f t="shared" si="3"/>
        <v>0</v>
      </c>
      <c r="AJ52" s="22">
        <f t="shared" si="4"/>
        <v>0</v>
      </c>
      <c r="AL52" s="21"/>
      <c r="AM52" s="21"/>
      <c r="AN52" s="21"/>
      <c r="AO52" s="29" t="str">
        <f t="shared" si="0"/>
        <v/>
      </c>
      <c r="AP52" s="41"/>
      <c r="AQ52" s="41"/>
      <c r="AR52" s="23"/>
      <c r="BB52" s="4" t="str">
        <f t="shared" si="5"/>
        <v>23_45032_Matin_Nicolas B._80g/m2_</v>
      </c>
      <c r="BC52" s="4" t="str">
        <f t="shared" si="6"/>
        <v/>
      </c>
      <c r="BD52" s="4">
        <f t="shared" si="7"/>
        <v>0</v>
      </c>
      <c r="BE52" s="4">
        <f t="shared" si="8"/>
        <v>0</v>
      </c>
    </row>
    <row r="53" spans="26:57" ht="15" customHeight="1" x14ac:dyDescent="0.25">
      <c r="Z53" s="4">
        <f t="shared" si="1"/>
        <v>0</v>
      </c>
      <c r="AA53" s="36">
        <f t="shared" si="2"/>
        <v>0</v>
      </c>
      <c r="AB53" s="37" t="str">
        <f>IF(OR(typeProduction="2x250g",typeProduction="500g"),"gauche","")</f>
        <v/>
      </c>
      <c r="AC53" s="4" t="str">
        <f>IF(AI53&lt;&gt;0,SUM(AA$50:AA53),"")</f>
        <v/>
      </c>
      <c r="AD53" s="26"/>
      <c r="AE53" s="5"/>
      <c r="AF53" s="5"/>
      <c r="AG53" s="5"/>
      <c r="AI53" s="22">
        <f t="shared" si="3"/>
        <v>0</v>
      </c>
      <c r="AJ53" s="22">
        <f t="shared" si="4"/>
        <v>0</v>
      </c>
      <c r="AL53" s="21"/>
      <c r="AM53" s="21"/>
      <c r="AN53" s="21"/>
      <c r="AO53" s="29" t="str">
        <f t="shared" si="0"/>
        <v/>
      </c>
      <c r="AP53" s="41"/>
      <c r="AQ53" s="41"/>
      <c r="AR53" s="23"/>
      <c r="BB53" s="4" t="str">
        <f t="shared" si="5"/>
        <v>23_45032_Matin_Nicolas B._80g/m2_</v>
      </c>
      <c r="BC53" s="4" t="str">
        <f t="shared" si="6"/>
        <v/>
      </c>
      <c r="BD53" s="4">
        <f t="shared" si="7"/>
        <v>0</v>
      </c>
      <c r="BE53" s="4">
        <f t="shared" si="8"/>
        <v>0</v>
      </c>
    </row>
    <row r="54" spans="26:57" ht="15" customHeight="1" x14ac:dyDescent="0.25">
      <c r="Z54" s="4">
        <f t="shared" si="1"/>
        <v>0</v>
      </c>
      <c r="AA54" s="36">
        <f t="shared" si="2"/>
        <v>0</v>
      </c>
      <c r="AB54" s="37" t="str">
        <f>IF(OR(typeProduction="2x250g",typeProduction="500g"),"droite","")</f>
        <v/>
      </c>
      <c r="AC54" s="4" t="str">
        <f>IF(AI54&lt;&gt;0,SUM(AA$50:AA54),"")</f>
        <v/>
      </c>
      <c r="AD54" s="26"/>
      <c r="AE54" s="5"/>
      <c r="AF54" s="5"/>
      <c r="AG54" s="5"/>
      <c r="AI54" s="22">
        <f t="shared" si="3"/>
        <v>0</v>
      </c>
      <c r="AJ54" s="22">
        <f t="shared" si="4"/>
        <v>0</v>
      </c>
      <c r="AL54" s="21"/>
      <c r="AM54" s="21"/>
      <c r="AN54" s="21"/>
      <c r="AO54" s="29" t="str">
        <f t="shared" si="0"/>
        <v/>
      </c>
      <c r="AP54" s="41"/>
      <c r="AQ54" s="41"/>
      <c r="AR54" s="23"/>
      <c r="BB54" s="4" t="str">
        <f t="shared" si="5"/>
        <v>23_45032_Matin_Nicolas B._80g/m2_</v>
      </c>
      <c r="BC54" s="4" t="str">
        <f t="shared" si="6"/>
        <v/>
      </c>
      <c r="BD54" s="4">
        <f t="shared" si="7"/>
        <v>0</v>
      </c>
      <c r="BE54" s="4">
        <f t="shared" si="8"/>
        <v>0</v>
      </c>
    </row>
    <row r="55" spans="26:57" x14ac:dyDescent="0.25">
      <c r="Z55" s="4">
        <f t="shared" si="1"/>
        <v>0</v>
      </c>
      <c r="AA55" s="36">
        <f t="shared" si="2"/>
        <v>0</v>
      </c>
      <c r="AB55" s="37" t="str">
        <f>IF(OR(typeProduction="2x250g",typeProduction="500g"),"gauche","")</f>
        <v/>
      </c>
      <c r="AC55" s="4" t="str">
        <f>IF(AI55&lt;&gt;0,SUM(AA$50:AA55),"")</f>
        <v/>
      </c>
      <c r="AD55" s="26"/>
      <c r="AE55" s="5"/>
      <c r="AF55" s="42"/>
      <c r="AG55" s="5"/>
      <c r="AI55" s="22">
        <f t="shared" si="3"/>
        <v>0</v>
      </c>
      <c r="AJ55" s="22">
        <f t="shared" si="4"/>
        <v>0</v>
      </c>
      <c r="AM55" s="30">
        <f>IF(COUNT(AM50:AM54)&lt;1,AM49,AVERAGE(AM50:AM54))</f>
        <v>0</v>
      </c>
      <c r="AN55" s="30">
        <f>IF(COUNT(AN50:AN54)&lt;1,AN49,AVERAGE(AN50:AN54))</f>
        <v>0</v>
      </c>
      <c r="BB55" s="4" t="str">
        <f t="shared" si="5"/>
        <v>23_45032_Matin_Nicolas B._80g/m2_</v>
      </c>
      <c r="BC55" s="4" t="str">
        <f t="shared" si="6"/>
        <v/>
      </c>
      <c r="BD55" s="4">
        <f t="shared" si="7"/>
        <v>0</v>
      </c>
      <c r="BE55" s="4">
        <f t="shared" si="8"/>
        <v>0</v>
      </c>
    </row>
    <row r="56" spans="26:57" x14ac:dyDescent="0.25">
      <c r="Z56" s="4">
        <f t="shared" si="1"/>
        <v>0</v>
      </c>
      <c r="AA56" s="36">
        <f t="shared" si="2"/>
        <v>0</v>
      </c>
      <c r="AB56" s="37" t="str">
        <f>IF(OR(typeProduction="2x250g",typeProduction="500g"),"droite","")</f>
        <v/>
      </c>
      <c r="AC56" s="4" t="str">
        <f>IF(AI56&lt;&gt;0,SUM(AA$50:AA56),"")</f>
        <v/>
      </c>
      <c r="AD56" s="26"/>
      <c r="AE56" s="5"/>
      <c r="AF56" s="5"/>
      <c r="AG56" s="5"/>
      <c r="AI56" s="22">
        <f t="shared" si="3"/>
        <v>0</v>
      </c>
      <c r="AJ56" s="22">
        <f t="shared" si="4"/>
        <v>0</v>
      </c>
      <c r="AL56" s="14" t="s">
        <v>66</v>
      </c>
      <c r="AM56" s="14"/>
      <c r="AN56" s="14"/>
      <c r="AP56" s="14" t="s">
        <v>83</v>
      </c>
      <c r="AQ56" s="14"/>
      <c r="AR56" s="14"/>
      <c r="BB56" s="4" t="str">
        <f t="shared" si="5"/>
        <v>23_45032_Matin_Nicolas B._80g/m2_</v>
      </c>
      <c r="BC56" s="4" t="str">
        <f t="shared" si="6"/>
        <v/>
      </c>
      <c r="BD56" s="4">
        <f t="shared" si="7"/>
        <v>0</v>
      </c>
      <c r="BE56" s="4">
        <f t="shared" si="8"/>
        <v>0</v>
      </c>
    </row>
    <row r="57" spans="26:57" x14ac:dyDescent="0.25">
      <c r="Z57" s="4">
        <f t="shared" si="1"/>
        <v>0</v>
      </c>
      <c r="AA57" s="36">
        <f t="shared" si="2"/>
        <v>0</v>
      </c>
      <c r="AB57" s="37" t="str">
        <f>IF(OR(typeProduction="2x250g",typeProduction="500g"),"gauche","")</f>
        <v/>
      </c>
      <c r="AC57" s="4" t="str">
        <f>IF(AI57&lt;&gt;0,SUM(AA$50:AA57),"")</f>
        <v/>
      </c>
      <c r="AD57" s="26"/>
      <c r="AE57" s="5"/>
      <c r="AF57" s="5"/>
      <c r="AG57" s="5"/>
      <c r="AI57" s="22">
        <f t="shared" si="3"/>
        <v>0</v>
      </c>
      <c r="AJ57" s="22">
        <f t="shared" si="4"/>
        <v>0</v>
      </c>
      <c r="AL57" s="21"/>
      <c r="AM57" s="21"/>
      <c r="AN57" s="21"/>
      <c r="AP57" s="27" t="s">
        <v>75</v>
      </c>
      <c r="AQ57" s="27" t="s">
        <v>76</v>
      </c>
      <c r="AR57" s="27" t="s">
        <v>77</v>
      </c>
      <c r="BB57" s="4" t="str">
        <f t="shared" si="5"/>
        <v>23_45032_Matin_Nicolas B._80g/m2_</v>
      </c>
      <c r="BC57" s="4" t="str">
        <f t="shared" si="6"/>
        <v/>
      </c>
      <c r="BD57" s="4">
        <f t="shared" si="7"/>
        <v>0</v>
      </c>
      <c r="BE57" s="4">
        <f t="shared" si="8"/>
        <v>0</v>
      </c>
    </row>
    <row r="58" spans="26:57" x14ac:dyDescent="0.25">
      <c r="Z58" s="4">
        <f t="shared" si="1"/>
        <v>0</v>
      </c>
      <c r="AA58" s="36">
        <f t="shared" si="2"/>
        <v>0</v>
      </c>
      <c r="AB58" s="37" t="str">
        <f>IF(OR(typeProduction="2x250g",typeProduction="500g"),"droite","")</f>
        <v/>
      </c>
      <c r="AC58" s="4" t="str">
        <f>IF(AI58&lt;&gt;0,SUM(AA$50:AA58),"")</f>
        <v/>
      </c>
      <c r="AD58" s="26"/>
      <c r="AE58" s="5"/>
      <c r="AF58" s="5"/>
      <c r="AG58" s="5"/>
      <c r="AI58" s="22">
        <f t="shared" si="3"/>
        <v>0</v>
      </c>
      <c r="AJ58" s="22">
        <f t="shared" si="4"/>
        <v>0</v>
      </c>
      <c r="AL58" s="21"/>
      <c r="AM58" s="21"/>
      <c r="AN58" s="21"/>
      <c r="AP58" s="40" t="s">
        <v>74</v>
      </c>
      <c r="AQ58" s="40"/>
      <c r="AR58" s="40"/>
      <c r="BB58" s="4" t="str">
        <f t="shared" si="5"/>
        <v>23_45032_Matin_Nicolas B._80g/m2_</v>
      </c>
      <c r="BC58" s="4" t="str">
        <f t="shared" si="6"/>
        <v/>
      </c>
      <c r="BD58" s="4">
        <f t="shared" si="7"/>
        <v>0</v>
      </c>
      <c r="BE58" s="4">
        <f t="shared" si="8"/>
        <v>0</v>
      </c>
    </row>
    <row r="59" spans="26:57" x14ac:dyDescent="0.25">
      <c r="Z59" s="4">
        <f t="shared" si="1"/>
        <v>0</v>
      </c>
      <c r="AA59" s="36">
        <f t="shared" si="2"/>
        <v>0</v>
      </c>
      <c r="AB59" s="37" t="str">
        <f>IF(OR(typeProduction="2x250g",typeProduction="500g"),"gauche","")</f>
        <v/>
      </c>
      <c r="AC59" s="4" t="str">
        <f>IF(AI59&lt;&gt;0,SUM(AA$50:AA59),"")</f>
        <v/>
      </c>
      <c r="AD59" s="26"/>
      <c r="AE59" s="5"/>
      <c r="AF59" s="5"/>
      <c r="AG59" s="5"/>
      <c r="AI59" s="22">
        <f t="shared" si="3"/>
        <v>0</v>
      </c>
      <c r="AJ59" s="22">
        <f t="shared" si="4"/>
        <v>0</v>
      </c>
      <c r="AL59" s="21"/>
      <c r="AM59" s="21"/>
      <c r="AN59" s="21"/>
      <c r="AP59" s="39">
        <f>HLOOKUP(typeProduction,dataProduits!$B$1:$F$11,2,FALSE)</f>
        <v>380</v>
      </c>
      <c r="AQ59" s="39">
        <f>HLOOKUP(typeProduction,dataProduits!$B$1:$F$11,3,FALSE)</f>
        <v>380</v>
      </c>
      <c r="AR59" s="39">
        <f>HLOOKUP(typeProduction,dataProduits!$B$1:$F$11,4,FALSE)</f>
        <v>410</v>
      </c>
      <c r="BB59" s="4" t="str">
        <f t="shared" si="5"/>
        <v>23_45032_Matin_Nicolas B._80g/m2_</v>
      </c>
      <c r="BC59" s="4" t="str">
        <f t="shared" si="6"/>
        <v/>
      </c>
      <c r="BD59" s="4">
        <f t="shared" si="7"/>
        <v>0</v>
      </c>
      <c r="BE59" s="4">
        <f t="shared" si="8"/>
        <v>0</v>
      </c>
    </row>
    <row r="60" spans="26:57" x14ac:dyDescent="0.25">
      <c r="Z60" s="4">
        <f t="shared" si="1"/>
        <v>0</v>
      </c>
      <c r="AA60" s="36">
        <f t="shared" si="2"/>
        <v>0</v>
      </c>
      <c r="AB60" s="37" t="str">
        <f>IF(OR(typeProduction="2x250g",typeProduction="500g"),"droite","")</f>
        <v/>
      </c>
      <c r="AC60" s="4" t="str">
        <f>IF(AI60&lt;&gt;0,SUM(AA$50:AA60),"")</f>
        <v/>
      </c>
      <c r="AD60" s="26"/>
      <c r="AE60" s="5"/>
      <c r="AF60" s="5"/>
      <c r="AG60" s="5"/>
      <c r="AI60" s="22">
        <f t="shared" si="3"/>
        <v>0</v>
      </c>
      <c r="AJ60" s="22">
        <f t="shared" si="4"/>
        <v>0</v>
      </c>
      <c r="AL60" s="21"/>
      <c r="AM60" s="21"/>
      <c r="AN60" s="21"/>
      <c r="AP60" s="40" t="s">
        <v>79</v>
      </c>
      <c r="AQ60" s="40"/>
      <c r="AR60" s="40"/>
      <c r="BB60" s="4" t="str">
        <f t="shared" si="5"/>
        <v>23_45032_Matin_Nicolas B._80g/m2_</v>
      </c>
      <c r="BC60" s="4" t="str">
        <f t="shared" si="6"/>
        <v/>
      </c>
      <c r="BD60" s="4">
        <f t="shared" si="7"/>
        <v>0</v>
      </c>
      <c r="BE60" s="4">
        <f t="shared" si="8"/>
        <v>0</v>
      </c>
    </row>
    <row r="61" spans="26:57" x14ac:dyDescent="0.25">
      <c r="Z61" s="4">
        <f t="shared" si="1"/>
        <v>0</v>
      </c>
      <c r="AA61" s="36">
        <f t="shared" si="2"/>
        <v>0</v>
      </c>
      <c r="AB61" s="37" t="str">
        <f>IF(OR(typeProduction="2x250g",typeProduction="500g"),"gauche","")</f>
        <v/>
      </c>
      <c r="AC61" s="4" t="str">
        <f>IF(AI61&lt;&gt;0,SUM(AA$50:AA61),"")</f>
        <v/>
      </c>
      <c r="AD61" s="26"/>
      <c r="AE61" s="5"/>
      <c r="AF61" s="5"/>
      <c r="AG61" s="5"/>
      <c r="AI61" s="22">
        <f t="shared" si="3"/>
        <v>0</v>
      </c>
      <c r="AJ61" s="22">
        <f t="shared" si="4"/>
        <v>0</v>
      </c>
      <c r="AL61" s="21"/>
      <c r="AM61" s="21"/>
      <c r="AN61" s="21"/>
      <c r="AP61" s="39">
        <f>HLOOKUP(typeProduction,dataProduits!$B$1:$F$11,6,FALSE)</f>
        <v>252</v>
      </c>
      <c r="AQ61" s="39"/>
      <c r="AR61" s="39">
        <f>HLOOKUP(typeProduction,dataProduits!$B$1:$F$11,7,FALSE)</f>
        <v>308</v>
      </c>
      <c r="BB61" s="4" t="str">
        <f t="shared" si="5"/>
        <v>23_45032_Matin_Nicolas B._80g/m2_</v>
      </c>
      <c r="BC61" s="4" t="str">
        <f t="shared" si="6"/>
        <v/>
      </c>
      <c r="BD61" s="4">
        <f t="shared" si="7"/>
        <v>0</v>
      </c>
      <c r="BE61" s="4">
        <f t="shared" si="8"/>
        <v>0</v>
      </c>
    </row>
    <row r="62" spans="26:57" x14ac:dyDescent="0.25">
      <c r="Z62" s="4">
        <f t="shared" si="1"/>
        <v>0</v>
      </c>
      <c r="AA62" s="36">
        <f t="shared" si="2"/>
        <v>0</v>
      </c>
      <c r="AB62" s="37" t="str">
        <f>IF(OR(typeProduction="2x250g",typeProduction="500g"),"droite","")</f>
        <v/>
      </c>
      <c r="AC62" s="4" t="str">
        <f>IF(AI62&lt;&gt;0,SUM(AA$50:AA62),"")</f>
        <v/>
      </c>
      <c r="AD62" s="26"/>
      <c r="AE62" s="5"/>
      <c r="AF62" s="5"/>
      <c r="AG62" s="5"/>
      <c r="AI62" s="22">
        <f t="shared" ref="AI62:AI100" si="9">IF(AD62="",AF62,0)</f>
        <v>0</v>
      </c>
      <c r="AJ62" s="22">
        <f t="shared" ref="AJ62:AJ100" si="10">IF(AD62&lt;&gt;"",AF62,0)</f>
        <v>0</v>
      </c>
      <c r="AL62" s="21"/>
      <c r="AM62" s="21"/>
      <c r="AN62" s="21"/>
      <c r="AP62" s="40" t="s">
        <v>78</v>
      </c>
      <c r="AQ62" s="40"/>
      <c r="AR62" s="40"/>
      <c r="BB62" s="4" t="str">
        <f t="shared" si="5"/>
        <v>23_45032_Matin_Nicolas B._80g/m2_</v>
      </c>
      <c r="BC62" s="4" t="str">
        <f t="shared" si="6"/>
        <v/>
      </c>
      <c r="BD62" s="4">
        <f t="shared" si="7"/>
        <v>0</v>
      </c>
      <c r="BE62" s="4">
        <f t="shared" si="8"/>
        <v>0</v>
      </c>
    </row>
    <row r="63" spans="26:57" x14ac:dyDescent="0.25">
      <c r="Z63" s="4">
        <f t="shared" si="1"/>
        <v>0</v>
      </c>
      <c r="AA63" s="36">
        <f t="shared" si="2"/>
        <v>0</v>
      </c>
      <c r="AB63" s="37" t="str">
        <f>IF(OR(typeProduction="2x250g",typeProduction="500g"),"gauche","")</f>
        <v/>
      </c>
      <c r="AC63" s="4" t="str">
        <f>IF(AI63&lt;&gt;0,SUM(AA$50:AA63),"")</f>
        <v/>
      </c>
      <c r="AD63" s="26"/>
      <c r="AE63" s="5"/>
      <c r="AF63" s="5"/>
      <c r="AG63" s="5"/>
      <c r="AI63" s="22">
        <f t="shared" si="9"/>
        <v>0</v>
      </c>
      <c r="AJ63" s="22">
        <f t="shared" si="10"/>
        <v>0</v>
      </c>
      <c r="AM63" s="30">
        <f>IF(COUNT(AM58:AM62)&lt;2,AM58,AVERAGE(AM58:AM62))</f>
        <v>0</v>
      </c>
      <c r="AP63" s="39">
        <f>HLOOKUP(typeProduction,dataProduits!$B$1:$F$13,13,FALSE)</f>
        <v>3.6</v>
      </c>
      <c r="AQ63" s="39"/>
      <c r="AR63" s="39"/>
      <c r="BB63" s="4" t="str">
        <f t="shared" si="5"/>
        <v>23_45032_Matin_Nicolas B._80g/m2_</v>
      </c>
      <c r="BC63" s="4" t="str">
        <f t="shared" si="6"/>
        <v/>
      </c>
      <c r="BD63" s="4">
        <f t="shared" si="7"/>
        <v>0</v>
      </c>
      <c r="BE63" s="4">
        <f t="shared" si="8"/>
        <v>0</v>
      </c>
    </row>
    <row r="64" spans="26:57" x14ac:dyDescent="0.25">
      <c r="Z64" s="4">
        <f t="shared" si="1"/>
        <v>0</v>
      </c>
      <c r="AA64" s="36">
        <f t="shared" si="2"/>
        <v>0</v>
      </c>
      <c r="AB64" s="37" t="str">
        <f>IF(OR(typeProduction="2x250g",typeProduction="500g"),"droite","")</f>
        <v/>
      </c>
      <c r="AC64" s="4" t="str">
        <f>IF(AI64&lt;&gt;0,SUM(AA$50:AA64),"")</f>
        <v/>
      </c>
      <c r="AD64" s="26"/>
      <c r="AE64" s="5"/>
      <c r="AF64" s="5"/>
      <c r="AG64" s="5"/>
      <c r="AI64" s="22">
        <f t="shared" si="9"/>
        <v>0</v>
      </c>
      <c r="AJ64" s="22">
        <f t="shared" si="10"/>
        <v>0</v>
      </c>
      <c r="AL64" s="14" t="s">
        <v>67</v>
      </c>
      <c r="AM64" s="14"/>
      <c r="AN64" s="14"/>
      <c r="BB64" s="4" t="str">
        <f t="shared" si="5"/>
        <v>23_45032_Matin_Nicolas B._80g/m2_</v>
      </c>
      <c r="BC64" s="4" t="str">
        <f t="shared" si="6"/>
        <v/>
      </c>
      <c r="BD64" s="4">
        <f t="shared" si="7"/>
        <v>0</v>
      </c>
      <c r="BE64" s="4">
        <f t="shared" si="8"/>
        <v>0</v>
      </c>
    </row>
    <row r="65" spans="26:57" x14ac:dyDescent="0.25">
      <c r="Z65" s="4">
        <f t="shared" si="1"/>
        <v>0</v>
      </c>
      <c r="AA65" s="36">
        <f t="shared" si="2"/>
        <v>0</v>
      </c>
      <c r="AB65" s="37" t="str">
        <f>IF(OR(typeProduction="2x250g",typeProduction="500g"),"gauche","")</f>
        <v/>
      </c>
      <c r="AC65" s="4" t="str">
        <f>IF(AI65&lt;&gt;0,SUM(AA$50:AA65),"")</f>
        <v/>
      </c>
      <c r="AD65" s="26"/>
      <c r="AE65" s="5"/>
      <c r="AF65" s="5"/>
      <c r="AG65" s="5"/>
      <c r="AI65" s="22">
        <f t="shared" si="9"/>
        <v>0</v>
      </c>
      <c r="AJ65" s="22">
        <f t="shared" si="10"/>
        <v>0</v>
      </c>
      <c r="AL65" s="31" t="s">
        <v>58</v>
      </c>
      <c r="AM65" s="32">
        <f>okCount</f>
        <v>2</v>
      </c>
      <c r="AN65" s="32">
        <f>prodOK</f>
        <v>1010</v>
      </c>
      <c r="AP65" s="14" t="s">
        <v>71</v>
      </c>
      <c r="AQ65" s="14"/>
      <c r="AR65" s="14"/>
      <c r="BB65" s="4" t="str">
        <f t="shared" si="5"/>
        <v>23_45032_Matin_Nicolas B._80g/m2_</v>
      </c>
      <c r="BC65" s="4" t="str">
        <f t="shared" si="6"/>
        <v/>
      </c>
      <c r="BD65" s="4">
        <f t="shared" si="7"/>
        <v>0</v>
      </c>
      <c r="BE65" s="4">
        <f t="shared" si="8"/>
        <v>0</v>
      </c>
    </row>
    <row r="66" spans="26:57" x14ac:dyDescent="0.25">
      <c r="Z66" s="4">
        <f t="shared" si="1"/>
        <v>0</v>
      </c>
      <c r="AA66" s="36">
        <f t="shared" si="2"/>
        <v>0</v>
      </c>
      <c r="AB66" s="37" t="str">
        <f>IF(OR(typeProduction="2x250g",typeProduction="500g"),"droite","")</f>
        <v/>
      </c>
      <c r="AC66" s="4" t="str">
        <f>IF(AI66&lt;&gt;0,SUM(AA$50:AA66),"")</f>
        <v/>
      </c>
      <c r="AD66" s="26"/>
      <c r="AE66" s="5"/>
      <c r="AF66" s="5"/>
      <c r="AG66" s="5"/>
      <c r="AI66" s="22">
        <f t="shared" si="9"/>
        <v>0</v>
      </c>
      <c r="AJ66" s="22">
        <f t="shared" si="10"/>
        <v>0</v>
      </c>
      <c r="AL66" s="33" t="s">
        <v>59</v>
      </c>
      <c r="AM66" s="34">
        <f>ncCount</f>
        <v>0</v>
      </c>
      <c r="AN66" s="34">
        <f>prodNC</f>
        <v>0</v>
      </c>
      <c r="AP66" s="13"/>
      <c r="AQ66" s="13"/>
      <c r="AR66" s="13"/>
      <c r="BB66" s="4" t="str">
        <f t="shared" si="5"/>
        <v>23_45032_Matin_Nicolas B._80g/m2_</v>
      </c>
      <c r="BC66" s="4" t="str">
        <f t="shared" si="6"/>
        <v/>
      </c>
      <c r="BD66" s="4">
        <f t="shared" si="7"/>
        <v>0</v>
      </c>
      <c r="BE66" s="4">
        <f t="shared" si="8"/>
        <v>0</v>
      </c>
    </row>
    <row r="67" spans="26:57" x14ac:dyDescent="0.25">
      <c r="Z67" s="4">
        <f t="shared" si="1"/>
        <v>0</v>
      </c>
      <c r="AA67" s="36">
        <f t="shared" si="2"/>
        <v>0</v>
      </c>
      <c r="AB67" s="37" t="str">
        <f>IF(OR(typeProduction="2x250g",typeProduction="500g"),"gauche","")</f>
        <v/>
      </c>
      <c r="AC67" s="4" t="str">
        <f>IF(AI67&lt;&gt;0,SUM(AA$50:AA67),"")</f>
        <v/>
      </c>
      <c r="AD67" s="26"/>
      <c r="AE67" s="5"/>
      <c r="AF67" s="5"/>
      <c r="AG67" s="5"/>
      <c r="AI67" s="22">
        <f t="shared" si="9"/>
        <v>0</v>
      </c>
      <c r="AJ67" s="22">
        <f t="shared" si="10"/>
        <v>0</v>
      </c>
      <c r="AL67" s="22" t="str">
        <f>data!C2</f>
        <v>Trou</v>
      </c>
      <c r="AM67" s="38">
        <f>COUNTIF(prodZone,AL67)</f>
        <v>0</v>
      </c>
      <c r="AN67" s="38"/>
      <c r="AP67" s="13"/>
      <c r="AQ67" s="13"/>
      <c r="AR67" s="13"/>
      <c r="BB67" s="4" t="str">
        <f t="shared" si="5"/>
        <v>23_45032_Matin_Nicolas B._80g/m2_</v>
      </c>
      <c r="BC67" s="4" t="str">
        <f t="shared" si="6"/>
        <v/>
      </c>
      <c r="BD67" s="4">
        <f t="shared" si="7"/>
        <v>0</v>
      </c>
      <c r="BE67" s="4">
        <f t="shared" si="8"/>
        <v>0</v>
      </c>
    </row>
    <row r="68" spans="26:57" x14ac:dyDescent="0.25">
      <c r="Z68" s="4">
        <f t="shared" si="1"/>
        <v>0</v>
      </c>
      <c r="AA68" s="36">
        <f t="shared" si="2"/>
        <v>0</v>
      </c>
      <c r="AB68" s="37" t="str">
        <f>IF(OR(typeProduction="2x250g",typeProduction="500g"),"droite","")</f>
        <v/>
      </c>
      <c r="AC68" s="4" t="str">
        <f>IF(AI68&lt;&gt;0,SUM(AA$50:AA68),"")</f>
        <v/>
      </c>
      <c r="AD68" s="26"/>
      <c r="AE68" s="5"/>
      <c r="AF68" s="5"/>
      <c r="AG68" s="5"/>
      <c r="AI68" s="22">
        <f t="shared" si="9"/>
        <v>0</v>
      </c>
      <c r="AJ68" s="22">
        <f t="shared" si="10"/>
        <v>0</v>
      </c>
      <c r="AL68" s="22" t="str">
        <f>data!C3</f>
        <v>Fil</v>
      </c>
      <c r="AM68" s="38">
        <f>COUNTIF(prodZone,AL68)</f>
        <v>0</v>
      </c>
      <c r="AN68" s="38"/>
      <c r="AP68" s="13"/>
      <c r="AQ68" s="13"/>
      <c r="AR68" s="13"/>
      <c r="BB68" s="4" t="str">
        <f t="shared" si="5"/>
        <v>23_45032_Matin_Nicolas B._80g/m2_</v>
      </c>
      <c r="BC68" s="4" t="str">
        <f t="shared" si="6"/>
        <v/>
      </c>
      <c r="BD68" s="4">
        <f t="shared" si="7"/>
        <v>0</v>
      </c>
      <c r="BE68" s="4">
        <f t="shared" si="8"/>
        <v>0</v>
      </c>
    </row>
    <row r="69" spans="26:57" x14ac:dyDescent="0.25">
      <c r="Z69" s="4">
        <f t="shared" si="1"/>
        <v>0</v>
      </c>
      <c r="AA69" s="36">
        <f t="shared" si="2"/>
        <v>0</v>
      </c>
      <c r="AB69" s="37" t="str">
        <f>IF(OR(typeProduction="2x250g",typeProduction="500g"),"gauche","")</f>
        <v/>
      </c>
      <c r="AC69" s="4" t="str">
        <f>IF(AI69&lt;&gt;0,SUM(AA$50:AA69),"")</f>
        <v/>
      </c>
      <c r="AD69" s="26"/>
      <c r="AE69" s="5"/>
      <c r="AF69" s="5"/>
      <c r="AG69" s="5"/>
      <c r="AI69" s="22">
        <f t="shared" si="9"/>
        <v>0</v>
      </c>
      <c r="AJ69" s="22">
        <f t="shared" si="10"/>
        <v>0</v>
      </c>
      <c r="AL69" s="22" t="str">
        <f>data!C4</f>
        <v>Poids</v>
      </c>
      <c r="AM69" s="38">
        <f>COUNTIF(prodZone,AL69)</f>
        <v>0</v>
      </c>
      <c r="AN69" s="38"/>
      <c r="AP69" s="13"/>
      <c r="AQ69" s="13"/>
      <c r="AR69" s="13"/>
      <c r="BB69" s="4" t="str">
        <f t="shared" si="5"/>
        <v>23_45032_Matin_Nicolas B._80g/m2_</v>
      </c>
      <c r="BC69" s="4" t="str">
        <f t="shared" si="6"/>
        <v/>
      </c>
      <c r="BD69" s="4">
        <f t="shared" si="7"/>
        <v>0</v>
      </c>
      <c r="BE69" s="4">
        <f t="shared" si="8"/>
        <v>0</v>
      </c>
    </row>
    <row r="70" spans="26:57" x14ac:dyDescent="0.25">
      <c r="Z70" s="4">
        <f t="shared" si="1"/>
        <v>0</v>
      </c>
      <c r="AA70" s="36">
        <f t="shared" si="2"/>
        <v>0</v>
      </c>
      <c r="AB70" s="37" t="str">
        <f>IF(OR(typeProduction="2x250g",typeProduction="500g"),"droite","")</f>
        <v/>
      </c>
      <c r="AC70" s="4" t="str">
        <f>IF(AI70&lt;&gt;0,SUM(AA$50:AA70),"")</f>
        <v/>
      </c>
      <c r="AD70" s="26"/>
      <c r="AE70" s="6"/>
      <c r="AF70" s="6"/>
      <c r="AG70" s="5"/>
      <c r="AI70" s="22">
        <f t="shared" si="9"/>
        <v>0</v>
      </c>
      <c r="AJ70" s="22">
        <f t="shared" si="10"/>
        <v>0</v>
      </c>
      <c r="AL70" s="22" t="str">
        <f>data!C5</f>
        <v>Autre</v>
      </c>
      <c r="AM70" s="38">
        <f>COUNTIF(prodZone,AL70)</f>
        <v>0</v>
      </c>
      <c r="AN70" s="38"/>
      <c r="AP70" s="13"/>
      <c r="AQ70" s="13"/>
      <c r="AR70" s="13"/>
      <c r="BB70" s="4" t="str">
        <f t="shared" si="5"/>
        <v>23_45032_Matin_Nicolas B._80g/m2_</v>
      </c>
      <c r="BC70" s="4" t="str">
        <f t="shared" si="6"/>
        <v/>
      </c>
      <c r="BD70" s="4">
        <f t="shared" si="7"/>
        <v>0</v>
      </c>
      <c r="BE70" s="4">
        <f t="shared" si="8"/>
        <v>0</v>
      </c>
    </row>
    <row r="71" spans="26:57" x14ac:dyDescent="0.25">
      <c r="Z71" s="4">
        <f t="shared" si="1"/>
        <v>0</v>
      </c>
      <c r="AA71" s="36">
        <f t="shared" si="2"/>
        <v>0</v>
      </c>
      <c r="AB71" s="37" t="str">
        <f>IF(OR(typeProduction="2x250g",typeProduction="500g"),"gauche","")</f>
        <v/>
      </c>
      <c r="AC71" s="4" t="str">
        <f>IF(AI71&lt;&gt;0,SUM(AA$50:AA71),"")</f>
        <v/>
      </c>
      <c r="AD71" s="26"/>
      <c r="AE71" s="6"/>
      <c r="AF71" s="6"/>
      <c r="AG71" s="5"/>
      <c r="AI71" s="22">
        <f t="shared" si="9"/>
        <v>0</v>
      </c>
      <c r="AJ71" s="22">
        <f t="shared" si="10"/>
        <v>0</v>
      </c>
      <c r="AL71" s="22" t="str">
        <f>data!C6</f>
        <v>Démarrage</v>
      </c>
      <c r="AM71" s="38">
        <f>COUNTIF(prodZone,AL71)</f>
        <v>0</v>
      </c>
      <c r="AN71" s="38"/>
      <c r="AP71" s="13"/>
      <c r="AQ71" s="13"/>
      <c r="AR71" s="13"/>
      <c r="BB71" s="4" t="str">
        <f t="shared" si="5"/>
        <v>23_45032_Matin_Nicolas B._80g/m2_</v>
      </c>
      <c r="BC71" s="4" t="str">
        <f t="shared" si="6"/>
        <v/>
      </c>
      <c r="BD71" s="4">
        <f t="shared" si="7"/>
        <v>0</v>
      </c>
      <c r="BE71" s="4">
        <f t="shared" si="8"/>
        <v>0</v>
      </c>
    </row>
    <row r="72" spans="26:57" x14ac:dyDescent="0.25">
      <c r="Z72" s="4">
        <f t="shared" si="1"/>
        <v>0</v>
      </c>
      <c r="AA72" s="36">
        <f t="shared" si="2"/>
        <v>0</v>
      </c>
      <c r="AB72" s="37" t="str">
        <f>IF(OR(typeProduction="2x250g",typeProduction="500g"),"droite","")</f>
        <v/>
      </c>
      <c r="AC72" s="4" t="str">
        <f>IF(AI72&lt;&gt;0,SUM(AA$50:AA72),"")</f>
        <v/>
      </c>
      <c r="AD72" s="26"/>
      <c r="AE72" s="6"/>
      <c r="AF72" s="6"/>
      <c r="AG72" s="5"/>
      <c r="AI72" s="22">
        <f t="shared" si="9"/>
        <v>0</v>
      </c>
      <c r="AJ72" s="22">
        <f t="shared" si="10"/>
        <v>0</v>
      </c>
      <c r="BB72" s="4" t="str">
        <f t="shared" si="5"/>
        <v>23_45032_Matin_Nicolas B._80g/m2_</v>
      </c>
      <c r="BC72" s="4" t="str">
        <f t="shared" si="6"/>
        <v/>
      </c>
      <c r="BD72" s="4">
        <f t="shared" si="7"/>
        <v>0</v>
      </c>
      <c r="BE72" s="4">
        <f t="shared" si="8"/>
        <v>0</v>
      </c>
    </row>
    <row r="73" spans="26:57" x14ac:dyDescent="0.25">
      <c r="Z73" s="4">
        <f t="shared" si="1"/>
        <v>0</v>
      </c>
      <c r="AA73" s="36">
        <f t="shared" si="2"/>
        <v>0</v>
      </c>
      <c r="AB73" s="37" t="str">
        <f>IF(OR(typeProduction="2x250g",typeProduction="500g"),"gauche","")</f>
        <v/>
      </c>
      <c r="AC73" s="4" t="str">
        <f>IF(AI73&lt;&gt;0,SUM(AA$50:AA73),"")</f>
        <v/>
      </c>
      <c r="AD73" s="26"/>
      <c r="AE73" s="6"/>
      <c r="AF73" s="6"/>
      <c r="AG73" s="5"/>
      <c r="AI73" s="22">
        <f t="shared" si="9"/>
        <v>0</v>
      </c>
      <c r="AJ73" s="22">
        <f t="shared" si="10"/>
        <v>0</v>
      </c>
      <c r="BB73" s="4" t="str">
        <f t="shared" si="5"/>
        <v>23_45032_Matin_Nicolas B._80g/m2_</v>
      </c>
      <c r="BC73" s="4" t="str">
        <f t="shared" si="6"/>
        <v/>
      </c>
      <c r="BD73" s="4">
        <f t="shared" si="7"/>
        <v>0</v>
      </c>
      <c r="BE73" s="4">
        <f t="shared" si="8"/>
        <v>0</v>
      </c>
    </row>
    <row r="74" spans="26:57" x14ac:dyDescent="0.25">
      <c r="Z74" s="4">
        <f t="shared" si="1"/>
        <v>0</v>
      </c>
      <c r="AA74" s="36">
        <f t="shared" si="2"/>
        <v>0</v>
      </c>
      <c r="AB74" s="37" t="str">
        <f>IF(OR(typeProduction="2x250g",typeProduction="500g"),"droite","")</f>
        <v/>
      </c>
      <c r="AC74" s="4" t="str">
        <f>IF(AI74&lt;&gt;0,SUM(AA$50:AA74),"")</f>
        <v/>
      </c>
      <c r="AD74" s="26"/>
      <c r="AE74" s="6"/>
      <c r="AF74" s="6"/>
      <c r="AG74" s="5"/>
      <c r="AI74" s="22">
        <f t="shared" si="9"/>
        <v>0</v>
      </c>
      <c r="AJ74" s="22">
        <f t="shared" si="10"/>
        <v>0</v>
      </c>
      <c r="BB74" s="4" t="str">
        <f t="shared" si="5"/>
        <v>23_45032_Matin_Nicolas B._80g/m2_</v>
      </c>
      <c r="BC74" s="4" t="str">
        <f t="shared" si="6"/>
        <v/>
      </c>
      <c r="BD74" s="4">
        <f t="shared" si="7"/>
        <v>0</v>
      </c>
      <c r="BE74" s="4">
        <f t="shared" si="8"/>
        <v>0</v>
      </c>
    </row>
    <row r="75" spans="26:57" x14ac:dyDescent="0.25">
      <c r="Z75" s="4">
        <f t="shared" si="1"/>
        <v>0</v>
      </c>
      <c r="AA75" s="36">
        <f t="shared" si="2"/>
        <v>0</v>
      </c>
      <c r="AB75" s="37" t="str">
        <f>IF(OR(typeProduction="2x250g",typeProduction="500g"),"gauche","")</f>
        <v/>
      </c>
      <c r="AC75" s="4" t="str">
        <f>IF(AI75&lt;&gt;0,SUM(AA$50:AA75),"")</f>
        <v/>
      </c>
      <c r="AD75" s="26"/>
      <c r="AE75" s="6"/>
      <c r="AF75" s="6"/>
      <c r="AG75" s="5"/>
      <c r="AI75" s="22">
        <f t="shared" si="9"/>
        <v>0</v>
      </c>
      <c r="AJ75" s="22">
        <f t="shared" si="10"/>
        <v>0</v>
      </c>
      <c r="BB75" s="4" t="str">
        <f t="shared" si="5"/>
        <v>23_45032_Matin_Nicolas B._80g/m2_</v>
      </c>
      <c r="BC75" s="4" t="str">
        <f t="shared" si="6"/>
        <v/>
      </c>
      <c r="BD75" s="4">
        <f t="shared" si="7"/>
        <v>0</v>
      </c>
      <c r="BE75" s="4">
        <f t="shared" si="8"/>
        <v>0</v>
      </c>
    </row>
    <row r="76" spans="26:57" x14ac:dyDescent="0.25">
      <c r="Z76" s="4">
        <f t="shared" si="1"/>
        <v>0</v>
      </c>
      <c r="AA76" s="36">
        <f t="shared" si="2"/>
        <v>0</v>
      </c>
      <c r="AB76" s="37" t="str">
        <f>IF(OR(typeProduction="2x250g",typeProduction="500g"),"droite","")</f>
        <v/>
      </c>
      <c r="AC76" s="4" t="str">
        <f>IF(AI76&lt;&gt;0,SUM(AA$50:AA76),"")</f>
        <v/>
      </c>
      <c r="AD76" s="26"/>
      <c r="AE76" s="6"/>
      <c r="AF76" s="6"/>
      <c r="AG76" s="5"/>
      <c r="AI76" s="22">
        <f t="shared" si="9"/>
        <v>0</v>
      </c>
      <c r="AJ76" s="22">
        <f t="shared" si="10"/>
        <v>0</v>
      </c>
      <c r="BB76" s="4" t="str">
        <f t="shared" si="5"/>
        <v>23_45032_Matin_Nicolas B._80g/m2_</v>
      </c>
      <c r="BC76" s="4" t="str">
        <f t="shared" si="6"/>
        <v/>
      </c>
      <c r="BD76" s="4">
        <f t="shared" si="7"/>
        <v>0</v>
      </c>
      <c r="BE76" s="4">
        <f t="shared" si="8"/>
        <v>0</v>
      </c>
    </row>
    <row r="77" spans="26:57" x14ac:dyDescent="0.25">
      <c r="Z77" s="4">
        <f t="shared" si="1"/>
        <v>0</v>
      </c>
      <c r="AA77" s="36">
        <f t="shared" si="2"/>
        <v>0</v>
      </c>
      <c r="AB77" s="37" t="str">
        <f>IF(OR(typeProduction="2x250g",typeProduction="500g"),"gauche","")</f>
        <v/>
      </c>
      <c r="AC77" s="4" t="str">
        <f>IF(AI77&lt;&gt;0,SUM(AA$50:AA77),"")</f>
        <v/>
      </c>
      <c r="AD77" s="26"/>
      <c r="AE77" s="6"/>
      <c r="AF77" s="6"/>
      <c r="AG77" s="5"/>
      <c r="AI77" s="22">
        <f t="shared" si="9"/>
        <v>0</v>
      </c>
      <c r="AJ77" s="22">
        <f t="shared" si="10"/>
        <v>0</v>
      </c>
      <c r="BB77" s="4" t="str">
        <f t="shared" si="5"/>
        <v>23_45032_Matin_Nicolas B._80g/m2_</v>
      </c>
      <c r="BC77" s="4" t="str">
        <f t="shared" si="6"/>
        <v/>
      </c>
      <c r="BD77" s="4">
        <f t="shared" si="7"/>
        <v>0</v>
      </c>
      <c r="BE77" s="4">
        <f t="shared" si="8"/>
        <v>0</v>
      </c>
    </row>
    <row r="78" spans="26:57" x14ac:dyDescent="0.25">
      <c r="Z78" s="4">
        <f t="shared" si="1"/>
        <v>0</v>
      </c>
      <c r="AA78" s="36">
        <f t="shared" si="2"/>
        <v>0</v>
      </c>
      <c r="AB78" s="37" t="str">
        <f>IF(OR(typeProduction="2x250g",typeProduction="500g"),"droite","")</f>
        <v/>
      </c>
      <c r="AC78" s="4" t="str">
        <f>IF(AI78&lt;&gt;0,SUM(AA$50:AA78),"")</f>
        <v/>
      </c>
      <c r="AD78" s="26"/>
      <c r="AE78" s="6"/>
      <c r="AF78" s="6"/>
      <c r="AG78" s="5"/>
      <c r="AI78" s="22">
        <f t="shared" si="9"/>
        <v>0</v>
      </c>
      <c r="AJ78" s="22">
        <f t="shared" si="10"/>
        <v>0</v>
      </c>
      <c r="BB78" s="4" t="str">
        <f t="shared" si="5"/>
        <v>23_45032_Matin_Nicolas B._80g/m2_</v>
      </c>
      <c r="BC78" s="4" t="str">
        <f t="shared" si="6"/>
        <v/>
      </c>
      <c r="BD78" s="4">
        <f t="shared" si="7"/>
        <v>0</v>
      </c>
      <c r="BE78" s="4">
        <f t="shared" si="8"/>
        <v>0</v>
      </c>
    </row>
    <row r="79" spans="26:57" x14ac:dyDescent="0.25">
      <c r="Z79" s="4">
        <f t="shared" si="1"/>
        <v>0</v>
      </c>
      <c r="AA79" s="36">
        <f t="shared" si="2"/>
        <v>0</v>
      </c>
      <c r="AB79" s="37" t="str">
        <f>IF(OR(typeProduction="2x250g",typeProduction="500g"),"gauche","")</f>
        <v/>
      </c>
      <c r="AC79" s="4" t="str">
        <f>IF(AI79&lt;&gt;0,SUM(AA$50:AA79),"")</f>
        <v/>
      </c>
      <c r="AD79" s="26"/>
      <c r="AE79" s="6"/>
      <c r="AF79" s="6"/>
      <c r="AG79" s="5"/>
      <c r="AI79" s="22">
        <f t="shared" si="9"/>
        <v>0</v>
      </c>
      <c r="AJ79" s="22">
        <f t="shared" si="10"/>
        <v>0</v>
      </c>
      <c r="BB79" s="4" t="str">
        <f t="shared" si="5"/>
        <v>23_45032_Matin_Nicolas B._80g/m2_</v>
      </c>
      <c r="BC79" s="4" t="str">
        <f t="shared" si="6"/>
        <v/>
      </c>
      <c r="BD79" s="4">
        <f t="shared" si="7"/>
        <v>0</v>
      </c>
      <c r="BE79" s="4">
        <f t="shared" si="8"/>
        <v>0</v>
      </c>
    </row>
    <row r="80" spans="26:57" x14ac:dyDescent="0.25">
      <c r="Z80" s="4">
        <f t="shared" si="1"/>
        <v>0</v>
      </c>
      <c r="AA80" s="36">
        <f t="shared" si="2"/>
        <v>0</v>
      </c>
      <c r="AB80" s="37" t="str">
        <f>IF(OR(typeProduction="2x250g",typeProduction="500g"),"droite","")</f>
        <v/>
      </c>
      <c r="AC80" s="4" t="str">
        <f>IF(AI80&lt;&gt;0,SUM(AA$50:AA80),"")</f>
        <v/>
      </c>
      <c r="AD80" s="26"/>
      <c r="AE80" s="6"/>
      <c r="AF80" s="6"/>
      <c r="AG80" s="5"/>
      <c r="AI80" s="22">
        <f t="shared" si="9"/>
        <v>0</v>
      </c>
      <c r="AJ80" s="22">
        <f t="shared" si="10"/>
        <v>0</v>
      </c>
      <c r="BB80" s="4" t="str">
        <f t="shared" si="5"/>
        <v>23_45032_Matin_Nicolas B._80g/m2_</v>
      </c>
      <c r="BC80" s="4" t="str">
        <f t="shared" si="6"/>
        <v/>
      </c>
      <c r="BD80" s="4">
        <f t="shared" si="7"/>
        <v>0</v>
      </c>
      <c r="BE80" s="4">
        <f t="shared" si="8"/>
        <v>0</v>
      </c>
    </row>
    <row r="81" spans="26:57" x14ac:dyDescent="0.25">
      <c r="Z81" s="4">
        <f t="shared" si="1"/>
        <v>0</v>
      </c>
      <c r="AA81" s="36">
        <f t="shared" si="2"/>
        <v>0</v>
      </c>
      <c r="AB81" s="37" t="str">
        <f>IF(OR(typeProduction="2x250g",typeProduction="500g"),"gauche","")</f>
        <v/>
      </c>
      <c r="AC81" s="4" t="str">
        <f>IF(AI81&lt;&gt;0,SUM(AA$50:AA81),"")</f>
        <v/>
      </c>
      <c r="AD81" s="26"/>
      <c r="AE81" s="6"/>
      <c r="AF81" s="6"/>
      <c r="AG81" s="5"/>
      <c r="AI81" s="22">
        <f t="shared" si="9"/>
        <v>0</v>
      </c>
      <c r="AJ81" s="22">
        <f t="shared" si="10"/>
        <v>0</v>
      </c>
      <c r="BB81" s="4" t="str">
        <f t="shared" si="5"/>
        <v>23_45032_Matin_Nicolas B._80g/m2_</v>
      </c>
      <c r="BC81" s="4" t="str">
        <f t="shared" si="6"/>
        <v/>
      </c>
      <c r="BD81" s="4">
        <f t="shared" si="7"/>
        <v>0</v>
      </c>
      <c r="BE81" s="4">
        <f t="shared" si="8"/>
        <v>0</v>
      </c>
    </row>
    <row r="82" spans="26:57" x14ac:dyDescent="0.25">
      <c r="Z82" s="4">
        <f t="shared" si="1"/>
        <v>0</v>
      </c>
      <c r="AA82" s="36">
        <f t="shared" si="2"/>
        <v>0</v>
      </c>
      <c r="AB82" s="37" t="str">
        <f>IF(OR(typeProduction="2x250g",typeProduction="500g"),"droite","")</f>
        <v/>
      </c>
      <c r="AC82" s="4" t="str">
        <f>IF(AI82&lt;&gt;0,SUM(AA$50:AA82),"")</f>
        <v/>
      </c>
      <c r="AD82" s="26"/>
      <c r="AE82" s="6"/>
      <c r="AF82" s="6"/>
      <c r="AG82" s="5"/>
      <c r="AI82" s="22">
        <f t="shared" si="9"/>
        <v>0</v>
      </c>
      <c r="AJ82" s="22">
        <f t="shared" si="10"/>
        <v>0</v>
      </c>
      <c r="BB82" s="4" t="str">
        <f t="shared" si="5"/>
        <v>23_45032_Matin_Nicolas B._80g/m2_</v>
      </c>
      <c r="BC82" s="4" t="str">
        <f t="shared" si="6"/>
        <v/>
      </c>
      <c r="BD82" s="4">
        <f t="shared" si="7"/>
        <v>0</v>
      </c>
      <c r="BE82" s="4">
        <f t="shared" si="8"/>
        <v>0</v>
      </c>
    </row>
    <row r="83" spans="26:57" x14ac:dyDescent="0.25">
      <c r="Z83" s="4">
        <f t="shared" si="1"/>
        <v>0</v>
      </c>
      <c r="AA83" s="36">
        <f t="shared" si="2"/>
        <v>0</v>
      </c>
      <c r="AB83" s="37" t="str">
        <f>IF(OR(typeProduction="2x250g",typeProduction="500g"),"gauche","")</f>
        <v/>
      </c>
      <c r="AC83" s="4" t="str">
        <f>IF(AI83&lt;&gt;0,SUM(AA$50:AA83),"")</f>
        <v/>
      </c>
      <c r="AD83" s="26"/>
      <c r="AE83" s="6"/>
      <c r="AF83" s="6"/>
      <c r="AG83" s="5"/>
      <c r="AI83" s="22">
        <f t="shared" si="9"/>
        <v>0</v>
      </c>
      <c r="AJ83" s="22">
        <f t="shared" si="10"/>
        <v>0</v>
      </c>
      <c r="BB83" s="4" t="str">
        <f t="shared" si="5"/>
        <v>23_45032_Matin_Nicolas B._80g/m2_</v>
      </c>
      <c r="BC83" s="4" t="str">
        <f t="shared" si="6"/>
        <v/>
      </c>
      <c r="BD83" s="4">
        <f t="shared" si="7"/>
        <v>0</v>
      </c>
      <c r="BE83" s="4">
        <f t="shared" si="8"/>
        <v>0</v>
      </c>
    </row>
    <row r="84" spans="26:57" x14ac:dyDescent="0.25">
      <c r="Z84" s="4">
        <f t="shared" si="1"/>
        <v>0</v>
      </c>
      <c r="AA84" s="36">
        <f t="shared" si="2"/>
        <v>0</v>
      </c>
      <c r="AB84" s="37" t="str">
        <f>IF(OR(typeProduction="2x250g",typeProduction="500g"),"droite","")</f>
        <v/>
      </c>
      <c r="AC84" s="4" t="str">
        <f>IF(AI84&lt;&gt;0,SUM(AA$50:AA84),"")</f>
        <v/>
      </c>
      <c r="AD84" s="26"/>
      <c r="AE84" s="6"/>
      <c r="AF84" s="6"/>
      <c r="AG84" s="5"/>
      <c r="AI84" s="22">
        <f t="shared" si="9"/>
        <v>0</v>
      </c>
      <c r="AJ84" s="22">
        <f t="shared" si="10"/>
        <v>0</v>
      </c>
      <c r="BB84" s="4" t="str">
        <f t="shared" si="5"/>
        <v>23_45032_Matin_Nicolas B._80g/m2_</v>
      </c>
      <c r="BC84" s="4" t="str">
        <f t="shared" si="6"/>
        <v/>
      </c>
      <c r="BD84" s="4">
        <f t="shared" si="7"/>
        <v>0</v>
      </c>
      <c r="BE84" s="4">
        <f t="shared" si="8"/>
        <v>0</v>
      </c>
    </row>
    <row r="85" spans="26:57" x14ac:dyDescent="0.25">
      <c r="Z85" s="4">
        <f t="shared" si="1"/>
        <v>0</v>
      </c>
      <c r="AA85" s="36">
        <f t="shared" si="2"/>
        <v>0</v>
      </c>
      <c r="AB85" s="37" t="str">
        <f>IF(OR(typeProduction="2x250g",typeProduction="500g"),"gauche","")</f>
        <v/>
      </c>
      <c r="AC85" s="4" t="str">
        <f>IF(AI85&lt;&gt;0,SUM(AA$50:AA85),"")</f>
        <v/>
      </c>
      <c r="AD85" s="26"/>
      <c r="AE85" s="6"/>
      <c r="AF85" s="6"/>
      <c r="AG85" s="5"/>
      <c r="AI85" s="22">
        <f t="shared" si="9"/>
        <v>0</v>
      </c>
      <c r="AJ85" s="22">
        <f t="shared" si="10"/>
        <v>0</v>
      </c>
      <c r="BB85" s="4" t="str">
        <f t="shared" si="5"/>
        <v>23_45032_Matin_Nicolas B._80g/m2_</v>
      </c>
      <c r="BC85" s="4" t="str">
        <f t="shared" si="6"/>
        <v/>
      </c>
      <c r="BD85" s="4">
        <f t="shared" si="7"/>
        <v>0</v>
      </c>
      <c r="BE85" s="4">
        <f t="shared" si="8"/>
        <v>0</v>
      </c>
    </row>
    <row r="86" spans="26:57" x14ac:dyDescent="0.25">
      <c r="Z86" s="4">
        <f t="shared" si="1"/>
        <v>0</v>
      </c>
      <c r="AA86" s="36">
        <f t="shared" si="2"/>
        <v>0</v>
      </c>
      <c r="AB86" s="37" t="str">
        <f>IF(OR(typeProduction="2x250g",typeProduction="500g"),"droite","")</f>
        <v/>
      </c>
      <c r="AC86" s="4" t="str">
        <f>IF(AI86&lt;&gt;0,SUM(AA$50:AA86),"")</f>
        <v/>
      </c>
      <c r="AD86" s="26"/>
      <c r="AE86" s="6"/>
      <c r="AF86" s="6"/>
      <c r="AG86" s="5"/>
      <c r="AI86" s="22">
        <f t="shared" si="9"/>
        <v>0</v>
      </c>
      <c r="AJ86" s="22">
        <f t="shared" si="10"/>
        <v>0</v>
      </c>
      <c r="BB86" s="4" t="str">
        <f t="shared" si="5"/>
        <v>23_45032_Matin_Nicolas B._80g/m2_</v>
      </c>
      <c r="BC86" s="4" t="str">
        <f t="shared" si="6"/>
        <v/>
      </c>
      <c r="BD86" s="4">
        <f t="shared" si="7"/>
        <v>0</v>
      </c>
      <c r="BE86" s="4">
        <f t="shared" si="8"/>
        <v>0</v>
      </c>
    </row>
    <row r="87" spans="26:57" x14ac:dyDescent="0.25">
      <c r="Z87" s="4">
        <f t="shared" si="1"/>
        <v>0</v>
      </c>
      <c r="AA87" s="36">
        <f t="shared" si="2"/>
        <v>0</v>
      </c>
      <c r="AB87" s="37" t="str">
        <f>IF(OR(typeProduction="2x250g",typeProduction="500g"),"gauche","")</f>
        <v/>
      </c>
      <c r="AC87" s="4" t="str">
        <f>IF(AI87&lt;&gt;0,SUM(AA$50:AA87),"")</f>
        <v/>
      </c>
      <c r="AD87" s="26"/>
      <c r="AE87" s="6"/>
      <c r="AF87" s="6"/>
      <c r="AG87" s="5"/>
      <c r="AI87" s="22">
        <f t="shared" si="9"/>
        <v>0</v>
      </c>
      <c r="AJ87" s="22">
        <f t="shared" si="10"/>
        <v>0</v>
      </c>
      <c r="BB87" s="4" t="str">
        <f t="shared" si="5"/>
        <v>23_45032_Matin_Nicolas B._80g/m2_</v>
      </c>
      <c r="BC87" s="4" t="str">
        <f t="shared" si="6"/>
        <v/>
      </c>
      <c r="BD87" s="4">
        <f t="shared" si="7"/>
        <v>0</v>
      </c>
      <c r="BE87" s="4">
        <f t="shared" si="8"/>
        <v>0</v>
      </c>
    </row>
    <row r="88" spans="26:57" x14ac:dyDescent="0.25">
      <c r="Z88" s="4">
        <f t="shared" si="1"/>
        <v>0</v>
      </c>
      <c r="AA88" s="36">
        <f t="shared" si="2"/>
        <v>0</v>
      </c>
      <c r="AB88" s="37" t="str">
        <f>IF(OR(typeProduction="2x250g",typeProduction="500g"),"droite","")</f>
        <v/>
      </c>
      <c r="AC88" s="4" t="str">
        <f>IF(AI88&lt;&gt;0,SUM(AA$50:AA88),"")</f>
        <v/>
      </c>
      <c r="AD88" s="26"/>
      <c r="AE88" s="6"/>
      <c r="AF88" s="6"/>
      <c r="AG88" s="5"/>
      <c r="AI88" s="22">
        <f t="shared" si="9"/>
        <v>0</v>
      </c>
      <c r="AJ88" s="22">
        <f t="shared" si="10"/>
        <v>0</v>
      </c>
      <c r="BB88" s="4" t="str">
        <f t="shared" si="5"/>
        <v>23_45032_Matin_Nicolas B._80g/m2_</v>
      </c>
      <c r="BC88" s="4" t="str">
        <f t="shared" si="6"/>
        <v/>
      </c>
      <c r="BD88" s="4">
        <f t="shared" si="7"/>
        <v>0</v>
      </c>
      <c r="BE88" s="4">
        <f t="shared" si="8"/>
        <v>0</v>
      </c>
    </row>
    <row r="89" spans="26:57" x14ac:dyDescent="0.25">
      <c r="Z89" s="4">
        <f t="shared" si="1"/>
        <v>0</v>
      </c>
      <c r="AA89" s="36">
        <f t="shared" si="2"/>
        <v>0</v>
      </c>
      <c r="AB89" s="37" t="str">
        <f>IF(OR(typeProduction="2x250g",typeProduction="500g"),"gauche","")</f>
        <v/>
      </c>
      <c r="AC89" s="4" t="str">
        <f>IF(AI89&lt;&gt;0,SUM(AA$50:AA89),"")</f>
        <v/>
      </c>
      <c r="AD89" s="26"/>
      <c r="AE89" s="6"/>
      <c r="AF89" s="6"/>
      <c r="AG89" s="5"/>
      <c r="AI89" s="22">
        <f t="shared" si="9"/>
        <v>0</v>
      </c>
      <c r="AJ89" s="22">
        <f t="shared" si="10"/>
        <v>0</v>
      </c>
      <c r="BB89" s="4" t="str">
        <f t="shared" si="5"/>
        <v>23_45032_Matin_Nicolas B._80g/m2_</v>
      </c>
      <c r="BC89" s="4" t="str">
        <f t="shared" si="6"/>
        <v/>
      </c>
      <c r="BD89" s="4">
        <f t="shared" si="7"/>
        <v>0</v>
      </c>
      <c r="BE89" s="4">
        <f t="shared" si="8"/>
        <v>0</v>
      </c>
    </row>
    <row r="90" spans="26:57" x14ac:dyDescent="0.25">
      <c r="Z90" s="4">
        <f t="shared" si="1"/>
        <v>0</v>
      </c>
      <c r="AA90" s="36">
        <f t="shared" si="2"/>
        <v>0</v>
      </c>
      <c r="AB90" s="37" t="str">
        <f>IF(OR(typeProduction="2x250g",typeProduction="500g"),"droite","")</f>
        <v/>
      </c>
      <c r="AC90" s="4" t="str">
        <f>IF(AI90&lt;&gt;0,SUM(AA$50:AA90),"")</f>
        <v/>
      </c>
      <c r="AD90" s="26"/>
      <c r="AE90" s="6"/>
      <c r="AF90" s="6"/>
      <c r="AG90" s="5"/>
      <c r="AI90" s="22">
        <f t="shared" si="9"/>
        <v>0</v>
      </c>
      <c r="AJ90" s="22">
        <f t="shared" si="10"/>
        <v>0</v>
      </c>
      <c r="BB90" s="4" t="str">
        <f t="shared" si="5"/>
        <v>23_45032_Matin_Nicolas B._80g/m2_</v>
      </c>
      <c r="BC90" s="4" t="str">
        <f t="shared" si="6"/>
        <v/>
      </c>
      <c r="BD90" s="4">
        <f t="shared" si="7"/>
        <v>0</v>
      </c>
      <c r="BE90" s="4">
        <f t="shared" si="8"/>
        <v>0</v>
      </c>
    </row>
    <row r="91" spans="26:57" x14ac:dyDescent="0.25">
      <c r="Z91" s="4">
        <f t="shared" si="1"/>
        <v>0</v>
      </c>
      <c r="AA91" s="36">
        <f t="shared" si="2"/>
        <v>0</v>
      </c>
      <c r="AB91" s="37" t="str">
        <f>IF(OR(typeProduction="2x250g",typeProduction="500g"),"gauche","")</f>
        <v/>
      </c>
      <c r="AC91" s="4" t="str">
        <f>IF(AI91&lt;&gt;0,SUM(AA$50:AA91),"")</f>
        <v/>
      </c>
      <c r="AD91" s="26"/>
      <c r="AE91" s="6"/>
      <c r="AF91" s="6"/>
      <c r="AG91" s="5"/>
      <c r="AI91" s="22">
        <f t="shared" si="9"/>
        <v>0</v>
      </c>
      <c r="AJ91" s="22">
        <f t="shared" si="10"/>
        <v>0</v>
      </c>
      <c r="BB91" s="4" t="str">
        <f t="shared" si="5"/>
        <v>23_45032_Matin_Nicolas B._80g/m2_</v>
      </c>
      <c r="BC91" s="4" t="str">
        <f t="shared" si="6"/>
        <v/>
      </c>
      <c r="BD91" s="4">
        <f t="shared" si="7"/>
        <v>0</v>
      </c>
      <c r="BE91" s="4">
        <f t="shared" si="8"/>
        <v>0</v>
      </c>
    </row>
    <row r="92" spans="26:57" x14ac:dyDescent="0.25">
      <c r="Z92" s="4">
        <f t="shared" si="1"/>
        <v>0</v>
      </c>
      <c r="AA92" s="36">
        <f t="shared" si="2"/>
        <v>0</v>
      </c>
      <c r="AB92" s="37" t="str">
        <f>IF(OR(typeProduction="2x250g",typeProduction="500g"),"droite","")</f>
        <v/>
      </c>
      <c r="AC92" s="4" t="str">
        <f>IF(AI92&lt;&gt;0,SUM(AA$50:AA92),"")</f>
        <v/>
      </c>
      <c r="AD92" s="26"/>
      <c r="AE92" s="6"/>
      <c r="AF92" s="6"/>
      <c r="AG92" s="5"/>
      <c r="AI92" s="22">
        <f t="shared" si="9"/>
        <v>0</v>
      </c>
      <c r="AJ92" s="22">
        <f t="shared" si="10"/>
        <v>0</v>
      </c>
      <c r="BB92" s="4" t="str">
        <f t="shared" si="5"/>
        <v>23_45032_Matin_Nicolas B._80g/m2_</v>
      </c>
      <c r="BC92" s="4" t="str">
        <f t="shared" si="6"/>
        <v/>
      </c>
      <c r="BD92" s="4">
        <f t="shared" si="7"/>
        <v>0</v>
      </c>
      <c r="BE92" s="4">
        <f t="shared" si="8"/>
        <v>0</v>
      </c>
    </row>
    <row r="93" spans="26:57" x14ac:dyDescent="0.25">
      <c r="Z93" s="4">
        <f t="shared" si="1"/>
        <v>0</v>
      </c>
      <c r="AA93" s="36">
        <f t="shared" si="2"/>
        <v>0</v>
      </c>
      <c r="AB93" s="37" t="str">
        <f>IF(OR(typeProduction="2x250g",typeProduction="500g"),"gauche","")</f>
        <v/>
      </c>
      <c r="AC93" s="4" t="str">
        <f>IF(AI93&lt;&gt;0,SUM(AA$50:AA93),"")</f>
        <v/>
      </c>
      <c r="AD93" s="26"/>
      <c r="AE93" s="6"/>
      <c r="AF93" s="6"/>
      <c r="AG93" s="5"/>
      <c r="AI93" s="22">
        <f t="shared" si="9"/>
        <v>0</v>
      </c>
      <c r="AJ93" s="22">
        <f t="shared" si="10"/>
        <v>0</v>
      </c>
      <c r="BB93" s="4" t="str">
        <f t="shared" si="5"/>
        <v>23_45032_Matin_Nicolas B._80g/m2_</v>
      </c>
      <c r="BC93" s="4" t="str">
        <f t="shared" si="6"/>
        <v/>
      </c>
      <c r="BD93" s="4">
        <f t="shared" si="7"/>
        <v>0</v>
      </c>
      <c r="BE93" s="4">
        <f t="shared" si="8"/>
        <v>0</v>
      </c>
    </row>
    <row r="94" spans="26:57" x14ac:dyDescent="0.25">
      <c r="Z94" s="4">
        <f t="shared" si="1"/>
        <v>0</v>
      </c>
      <c r="AA94" s="36">
        <f t="shared" si="2"/>
        <v>0</v>
      </c>
      <c r="AB94" s="37" t="str">
        <f>IF(OR(typeProduction="2x250g",typeProduction="500g"),"droite","")</f>
        <v/>
      </c>
      <c r="AC94" s="4" t="str">
        <f>IF(AI94&lt;&gt;0,SUM(AA$50:AA94),"")</f>
        <v/>
      </c>
      <c r="AD94" s="26"/>
      <c r="AE94" s="6"/>
      <c r="AF94" s="6"/>
      <c r="AG94" s="5"/>
      <c r="AI94" s="22">
        <f t="shared" si="9"/>
        <v>0</v>
      </c>
      <c r="AJ94" s="22">
        <f t="shared" si="10"/>
        <v>0</v>
      </c>
      <c r="BB94" s="4" t="str">
        <f t="shared" si="5"/>
        <v>23_45032_Matin_Nicolas B._80g/m2_</v>
      </c>
      <c r="BC94" s="4" t="str">
        <f t="shared" si="6"/>
        <v/>
      </c>
      <c r="BD94" s="4">
        <f t="shared" si="7"/>
        <v>0</v>
      </c>
      <c r="BE94" s="4">
        <f t="shared" si="8"/>
        <v>0</v>
      </c>
    </row>
    <row r="95" spans="26:57" x14ac:dyDescent="0.25">
      <c r="Z95" s="4">
        <f t="shared" si="1"/>
        <v>0</v>
      </c>
      <c r="AA95" s="36">
        <f t="shared" si="2"/>
        <v>0</v>
      </c>
      <c r="AB95" s="37" t="str">
        <f>IF(OR(typeProduction="2x250g",typeProduction="500g"),"gauche","")</f>
        <v/>
      </c>
      <c r="AC95" s="4" t="str">
        <f>IF(AI95&lt;&gt;0,SUM(AA$50:AA95),"")</f>
        <v/>
      </c>
      <c r="AD95" s="26"/>
      <c r="AE95" s="6"/>
      <c r="AF95" s="6"/>
      <c r="AG95" s="5"/>
      <c r="AI95" s="22">
        <f t="shared" si="9"/>
        <v>0</v>
      </c>
      <c r="AJ95" s="22">
        <f t="shared" si="10"/>
        <v>0</v>
      </c>
      <c r="BB95" s="4" t="str">
        <f t="shared" si="5"/>
        <v>23_45032_Matin_Nicolas B._80g/m2_</v>
      </c>
      <c r="BC95" s="4" t="str">
        <f t="shared" si="6"/>
        <v/>
      </c>
      <c r="BD95" s="4">
        <f t="shared" si="7"/>
        <v>0</v>
      </c>
      <c r="BE95" s="4">
        <f t="shared" si="8"/>
        <v>0</v>
      </c>
    </row>
    <row r="96" spans="26:57" x14ac:dyDescent="0.25">
      <c r="Z96" s="4">
        <f t="shared" si="1"/>
        <v>0</v>
      </c>
      <c r="AA96" s="36">
        <f t="shared" si="2"/>
        <v>0</v>
      </c>
      <c r="AB96" s="37" t="str">
        <f>IF(OR(typeProduction="2x250g",typeProduction="500g"),"droite","")</f>
        <v/>
      </c>
      <c r="AC96" s="4" t="str">
        <f>IF(AI96&lt;&gt;0,SUM(AA$50:AA96),"")</f>
        <v/>
      </c>
      <c r="AD96" s="26"/>
      <c r="AE96" s="6"/>
      <c r="AF96" s="6"/>
      <c r="AG96" s="5"/>
      <c r="AI96" s="22">
        <f t="shared" si="9"/>
        <v>0</v>
      </c>
      <c r="AJ96" s="22">
        <f t="shared" si="10"/>
        <v>0</v>
      </c>
      <c r="BB96" s="4" t="str">
        <f t="shared" si="5"/>
        <v>23_45032_Matin_Nicolas B._80g/m2_</v>
      </c>
      <c r="BC96" s="4" t="str">
        <f t="shared" si="6"/>
        <v/>
      </c>
      <c r="BD96" s="4">
        <f t="shared" si="7"/>
        <v>0</v>
      </c>
      <c r="BE96" s="4">
        <f t="shared" si="8"/>
        <v>0</v>
      </c>
    </row>
    <row r="97" spans="26:57" x14ac:dyDescent="0.25">
      <c r="Z97" s="4">
        <f t="shared" si="1"/>
        <v>0</v>
      </c>
      <c r="AA97" s="36">
        <f t="shared" si="2"/>
        <v>0</v>
      </c>
      <c r="AB97" s="37" t="str">
        <f>IF(OR(typeProduction="2x250g",typeProduction="500g"),"gauche","")</f>
        <v/>
      </c>
      <c r="AC97" s="4" t="str">
        <f>IF(AI97&lt;&gt;0,SUM(AA$50:AA97),"")</f>
        <v/>
      </c>
      <c r="AD97" s="26"/>
      <c r="AE97" s="6"/>
      <c r="AF97" s="6"/>
      <c r="AG97" s="5"/>
      <c r="AI97" s="22">
        <f t="shared" si="9"/>
        <v>0</v>
      </c>
      <c r="AJ97" s="22">
        <f t="shared" si="10"/>
        <v>0</v>
      </c>
      <c r="BB97" s="4" t="str">
        <f t="shared" si="5"/>
        <v>23_45032_Matin_Nicolas B._80g/m2_</v>
      </c>
      <c r="BC97" s="4" t="str">
        <f t="shared" si="6"/>
        <v/>
      </c>
      <c r="BD97" s="4">
        <f t="shared" si="7"/>
        <v>0</v>
      </c>
      <c r="BE97" s="4">
        <f t="shared" si="8"/>
        <v>0</v>
      </c>
    </row>
    <row r="98" spans="26:57" x14ac:dyDescent="0.25">
      <c r="Z98" s="4">
        <f t="shared" si="1"/>
        <v>0</v>
      </c>
      <c r="AA98" s="36">
        <f t="shared" si="2"/>
        <v>0</v>
      </c>
      <c r="AB98" s="37" t="str">
        <f>IF(OR(typeProduction="2x250g",typeProduction="500g"),"droite","")</f>
        <v/>
      </c>
      <c r="AC98" s="4" t="str">
        <f>IF(AI98&lt;&gt;0,SUM(AA$50:AA98),"")</f>
        <v/>
      </c>
      <c r="AD98" s="26"/>
      <c r="AE98" s="6"/>
      <c r="AF98" s="6"/>
      <c r="AG98" s="5"/>
      <c r="AI98" s="22">
        <f t="shared" si="9"/>
        <v>0</v>
      </c>
      <c r="AJ98" s="22">
        <f t="shared" si="10"/>
        <v>0</v>
      </c>
      <c r="BB98" s="4" t="str">
        <f t="shared" si="5"/>
        <v>23_45032_Matin_Nicolas B._80g/m2_</v>
      </c>
      <c r="BC98" s="4" t="str">
        <f t="shared" si="6"/>
        <v/>
      </c>
      <c r="BD98" s="4">
        <f t="shared" si="7"/>
        <v>0</v>
      </c>
      <c r="BE98" s="4">
        <f t="shared" si="8"/>
        <v>0</v>
      </c>
    </row>
    <row r="99" spans="26:57" x14ac:dyDescent="0.25">
      <c r="Z99" s="4">
        <f t="shared" si="1"/>
        <v>0</v>
      </c>
      <c r="AA99" s="36">
        <f t="shared" si="2"/>
        <v>0</v>
      </c>
      <c r="AB99" s="37" t="str">
        <f>IF(OR(typeProduction="2x250g",typeProduction="500g"),"gauche","")</f>
        <v/>
      </c>
      <c r="AC99" s="4" t="str">
        <f>IF(AI99&lt;&gt;0,SUM(AA$50:AA99),"")</f>
        <v/>
      </c>
      <c r="AD99" s="26"/>
      <c r="AE99" s="6"/>
      <c r="AF99" s="6"/>
      <c r="AG99" s="5"/>
      <c r="AI99" s="22">
        <f t="shared" si="9"/>
        <v>0</v>
      </c>
      <c r="AJ99" s="22">
        <f t="shared" si="10"/>
        <v>0</v>
      </c>
      <c r="BB99" s="4" t="str">
        <f t="shared" si="5"/>
        <v>23_45032_Matin_Nicolas B._80g/m2_</v>
      </c>
      <c r="BC99" s="4" t="str">
        <f t="shared" si="6"/>
        <v/>
      </c>
      <c r="BD99" s="4">
        <f t="shared" si="7"/>
        <v>0</v>
      </c>
      <c r="BE99" s="4">
        <f t="shared" si="8"/>
        <v>0</v>
      </c>
    </row>
    <row r="100" spans="26:57" x14ac:dyDescent="0.25">
      <c r="Z100" s="4">
        <f t="shared" si="1"/>
        <v>0</v>
      </c>
      <c r="AA100" s="36">
        <f t="shared" si="2"/>
        <v>0</v>
      </c>
      <c r="AB100" s="37" t="str">
        <f>IF(OR(typeProduction="2x250g",typeProduction="500g"),"droite","")</f>
        <v/>
      </c>
      <c r="AC100" s="4" t="str">
        <f>IF(AI100&lt;&gt;0,SUM(AA$50:AA100),"")</f>
        <v/>
      </c>
      <c r="AD100" s="26"/>
      <c r="AE100" s="6"/>
      <c r="AF100" s="6"/>
      <c r="AG100" s="5"/>
      <c r="AI100" s="22">
        <f t="shared" si="9"/>
        <v>0</v>
      </c>
      <c r="AJ100" s="22">
        <f t="shared" si="10"/>
        <v>0</v>
      </c>
      <c r="BB100" s="4" t="str">
        <f t="shared" si="5"/>
        <v>23_45032_Matin_Nicolas B._80g/m2_</v>
      </c>
      <c r="BC100" s="4" t="str">
        <f t="shared" si="6"/>
        <v/>
      </c>
      <c r="BD100" s="4">
        <f t="shared" si="7"/>
        <v>0</v>
      </c>
      <c r="BE100" s="4">
        <f t="shared" si="8"/>
        <v>0</v>
      </c>
    </row>
  </sheetData>
  <mergeCells count="17">
    <mergeCell ref="AD28:AQ31"/>
    <mergeCell ref="AF32:AN35"/>
    <mergeCell ref="AL38:AR43"/>
    <mergeCell ref="AP56:AR56"/>
    <mergeCell ref="AP65:AR65"/>
    <mergeCell ref="AP58:AR58"/>
    <mergeCell ref="AP60:AR60"/>
    <mergeCell ref="AP62:AR62"/>
    <mergeCell ref="AL64:AN64"/>
    <mergeCell ref="AP49:AQ54"/>
    <mergeCell ref="AR50:AR54"/>
    <mergeCell ref="AP48:AQ48"/>
    <mergeCell ref="AL56:AN56"/>
    <mergeCell ref="AC37:AJ37"/>
    <mergeCell ref="AL48:AN48"/>
    <mergeCell ref="AL37:AR37"/>
    <mergeCell ref="AC47:AG48"/>
  </mergeCells>
  <conditionalFormatting sqref="AB50:AJ100">
    <cfRule type="expression" dxfId="0" priority="1">
      <formula>$AB50="gauche"</formula>
    </cfRule>
  </conditionalFormatting>
  <dataValidations count="5">
    <dataValidation type="list" allowBlank="1" showInputMessage="1" showErrorMessage="1" sqref="AF40 AG50:AG100" xr:uid="{68137199-09E0-49DF-B611-A47ED31634B5}">
      <formula1>produitsListe</formula1>
    </dataValidation>
    <dataValidation type="list" allowBlank="1" showInputMessage="1" showErrorMessage="1" sqref="AD50:AD100" xr:uid="{D654C9F9-F865-4DDF-92DC-92616D5459CA}">
      <formula1>defautsListe</formula1>
    </dataValidation>
    <dataValidation type="list" allowBlank="1" showInputMessage="1" showErrorMessage="1" sqref="AD40" xr:uid="{E50919BD-57A9-4503-A52C-70717E80E2BC}">
      <formula1>postesListe</formula1>
    </dataValidation>
    <dataValidation type="list" allowBlank="1" showInputMessage="1" showErrorMessage="1" sqref="AD42" xr:uid="{118C71E9-CACA-4CD7-9106-1CFC4119582D}">
      <formula1>durationsListe</formula1>
    </dataValidation>
    <dataValidation type="list" allowBlank="1" showInputMessage="1" showErrorMessage="1" sqref="AD41" xr:uid="{D4A6B255-DD54-4110-83F4-C535ABF7CAE1}">
      <formula1>operateursListe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3798-0B1D-4B9C-A047-D511CF3FD55D}">
  <sheetPr codeName="Feuil3"/>
  <dimension ref="A1:G21"/>
  <sheetViews>
    <sheetView workbookViewId="0">
      <selection activeCell="K16" sqref="K16"/>
    </sheetView>
  </sheetViews>
  <sheetFormatPr baseColWidth="10" defaultRowHeight="15" x14ac:dyDescent="0.25"/>
  <cols>
    <col min="1" max="1" width="13.85546875" bestFit="1" customWidth="1"/>
    <col min="6" max="6" width="11.42578125" style="2"/>
  </cols>
  <sheetData>
    <row r="1" spans="1:7" x14ac:dyDescent="0.25">
      <c r="A1" t="s">
        <v>25</v>
      </c>
      <c r="B1" t="s">
        <v>8</v>
      </c>
      <c r="C1" t="s">
        <v>38</v>
      </c>
      <c r="E1" t="s">
        <v>10</v>
      </c>
      <c r="F1" s="2" t="s">
        <v>35</v>
      </c>
      <c r="G1" t="s">
        <v>10</v>
      </c>
    </row>
    <row r="2" spans="1:7" x14ac:dyDescent="0.25">
      <c r="A2" t="s">
        <v>37</v>
      </c>
      <c r="B2" t="s">
        <v>30</v>
      </c>
      <c r="C2" t="s">
        <v>39</v>
      </c>
      <c r="E2">
        <v>30</v>
      </c>
      <c r="F2" s="2">
        <f>E2/60/24</f>
        <v>2.0833333333333332E-2</v>
      </c>
      <c r="G2">
        <f>E2</f>
        <v>30</v>
      </c>
    </row>
    <row r="3" spans="1:7" x14ac:dyDescent="0.25">
      <c r="A3" t="s">
        <v>26</v>
      </c>
      <c r="B3" t="s">
        <v>31</v>
      </c>
      <c r="C3" t="s">
        <v>40</v>
      </c>
      <c r="E3">
        <v>60</v>
      </c>
      <c r="F3" s="2">
        <f t="shared" ref="F3:F21" si="0">E3/60/24</f>
        <v>4.1666666666666664E-2</v>
      </c>
      <c r="G3">
        <f t="shared" ref="G3:G21" si="1">E3</f>
        <v>60</v>
      </c>
    </row>
    <row r="4" spans="1:7" x14ac:dyDescent="0.25">
      <c r="A4" t="s">
        <v>27</v>
      </c>
      <c r="B4" t="s">
        <v>32</v>
      </c>
      <c r="C4" t="s">
        <v>41</v>
      </c>
      <c r="E4">
        <v>90</v>
      </c>
      <c r="F4" s="2">
        <f t="shared" si="0"/>
        <v>6.25E-2</v>
      </c>
      <c r="G4">
        <f t="shared" si="1"/>
        <v>90</v>
      </c>
    </row>
    <row r="5" spans="1:7" x14ac:dyDescent="0.25">
      <c r="A5" t="s">
        <v>28</v>
      </c>
      <c r="B5" t="s">
        <v>33</v>
      </c>
      <c r="C5" t="s">
        <v>42</v>
      </c>
      <c r="E5">
        <v>120</v>
      </c>
      <c r="F5" s="2">
        <f t="shared" si="0"/>
        <v>8.3333333333333329E-2</v>
      </c>
      <c r="G5">
        <f t="shared" si="1"/>
        <v>120</v>
      </c>
    </row>
    <row r="6" spans="1:7" x14ac:dyDescent="0.25">
      <c r="A6" t="s">
        <v>29</v>
      </c>
      <c r="C6" t="s">
        <v>43</v>
      </c>
      <c r="E6">
        <v>150</v>
      </c>
      <c r="F6" s="2">
        <f t="shared" si="0"/>
        <v>0.10416666666666667</v>
      </c>
      <c r="G6">
        <f t="shared" si="1"/>
        <v>150</v>
      </c>
    </row>
    <row r="7" spans="1:7" x14ac:dyDescent="0.25">
      <c r="A7" t="s">
        <v>34</v>
      </c>
      <c r="E7">
        <v>180</v>
      </c>
      <c r="F7" s="2">
        <f t="shared" si="0"/>
        <v>0.125</v>
      </c>
      <c r="G7">
        <f t="shared" si="1"/>
        <v>180</v>
      </c>
    </row>
    <row r="8" spans="1:7" x14ac:dyDescent="0.25">
      <c r="E8">
        <v>210</v>
      </c>
      <c r="F8" s="2">
        <f t="shared" si="0"/>
        <v>0.14583333333333334</v>
      </c>
      <c r="G8">
        <f t="shared" si="1"/>
        <v>210</v>
      </c>
    </row>
    <row r="9" spans="1:7" x14ac:dyDescent="0.25">
      <c r="E9">
        <v>240</v>
      </c>
      <c r="F9" s="2">
        <f t="shared" si="0"/>
        <v>0.16666666666666666</v>
      </c>
      <c r="G9">
        <f t="shared" si="1"/>
        <v>240</v>
      </c>
    </row>
    <row r="10" spans="1:7" x14ac:dyDescent="0.25">
      <c r="E10">
        <v>270</v>
      </c>
      <c r="F10" s="2">
        <f t="shared" si="0"/>
        <v>0.1875</v>
      </c>
      <c r="G10">
        <f t="shared" si="1"/>
        <v>270</v>
      </c>
    </row>
    <row r="11" spans="1:7" x14ac:dyDescent="0.25">
      <c r="E11">
        <v>300</v>
      </c>
      <c r="F11" s="2">
        <f t="shared" si="0"/>
        <v>0.20833333333333334</v>
      </c>
      <c r="G11">
        <f t="shared" si="1"/>
        <v>300</v>
      </c>
    </row>
    <row r="12" spans="1:7" x14ac:dyDescent="0.25">
      <c r="E12">
        <v>330</v>
      </c>
      <c r="F12" s="2">
        <f t="shared" si="0"/>
        <v>0.22916666666666666</v>
      </c>
      <c r="G12">
        <f t="shared" si="1"/>
        <v>330</v>
      </c>
    </row>
    <row r="13" spans="1:7" x14ac:dyDescent="0.25">
      <c r="E13">
        <v>360</v>
      </c>
      <c r="F13" s="2">
        <f t="shared" si="0"/>
        <v>0.25</v>
      </c>
      <c r="G13">
        <f t="shared" si="1"/>
        <v>360</v>
      </c>
    </row>
    <row r="14" spans="1:7" x14ac:dyDescent="0.25">
      <c r="E14">
        <v>390</v>
      </c>
      <c r="F14" s="2">
        <f t="shared" si="0"/>
        <v>0.27083333333333331</v>
      </c>
      <c r="G14">
        <f t="shared" si="1"/>
        <v>390</v>
      </c>
    </row>
    <row r="15" spans="1:7" x14ac:dyDescent="0.25">
      <c r="E15">
        <v>420</v>
      </c>
      <c r="F15" s="2">
        <f t="shared" si="0"/>
        <v>0.29166666666666669</v>
      </c>
      <c r="G15">
        <f t="shared" si="1"/>
        <v>420</v>
      </c>
    </row>
    <row r="16" spans="1:7" x14ac:dyDescent="0.25">
      <c r="E16">
        <v>450</v>
      </c>
      <c r="F16" s="2">
        <f t="shared" si="0"/>
        <v>0.3125</v>
      </c>
      <c r="G16">
        <f t="shared" si="1"/>
        <v>450</v>
      </c>
    </row>
    <row r="17" spans="5:7" x14ac:dyDescent="0.25">
      <c r="E17">
        <v>480</v>
      </c>
      <c r="F17" s="2">
        <f t="shared" si="0"/>
        <v>0.33333333333333331</v>
      </c>
      <c r="G17">
        <f t="shared" si="1"/>
        <v>480</v>
      </c>
    </row>
    <row r="18" spans="5:7" x14ac:dyDescent="0.25">
      <c r="E18">
        <v>510</v>
      </c>
      <c r="F18" s="2">
        <f t="shared" si="0"/>
        <v>0.35416666666666669</v>
      </c>
      <c r="G18">
        <f t="shared" si="1"/>
        <v>510</v>
      </c>
    </row>
    <row r="19" spans="5:7" x14ac:dyDescent="0.25">
      <c r="E19">
        <v>540</v>
      </c>
      <c r="F19" s="2">
        <f t="shared" si="0"/>
        <v>0.375</v>
      </c>
      <c r="G19">
        <f t="shared" si="1"/>
        <v>540</v>
      </c>
    </row>
    <row r="20" spans="5:7" x14ac:dyDescent="0.25">
      <c r="E20">
        <v>570</v>
      </c>
      <c r="F20" s="2">
        <f t="shared" si="0"/>
        <v>0.39583333333333331</v>
      </c>
      <c r="G20">
        <f t="shared" si="1"/>
        <v>570</v>
      </c>
    </row>
    <row r="21" spans="5:7" x14ac:dyDescent="0.25">
      <c r="E21">
        <v>600</v>
      </c>
      <c r="F21" s="2">
        <f t="shared" si="0"/>
        <v>0.41666666666666669</v>
      </c>
      <c r="G21">
        <f t="shared" si="1"/>
        <v>600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68B5A-0DAA-4401-8AB4-C415C108C605}">
  <sheetPr codeName="Feuil2"/>
  <dimension ref="A1:F14"/>
  <sheetViews>
    <sheetView workbookViewId="0">
      <selection activeCell="E1" sqref="E1:F1"/>
    </sheetView>
  </sheetViews>
  <sheetFormatPr baseColWidth="10" defaultRowHeight="15" x14ac:dyDescent="0.25"/>
  <cols>
    <col min="1" max="1" width="16.85546875" style="1" customWidth="1"/>
  </cols>
  <sheetData>
    <row r="1" spans="1:6" x14ac:dyDescent="0.25">
      <c r="B1" t="s">
        <v>12</v>
      </c>
      <c r="C1" t="s">
        <v>13</v>
      </c>
      <c r="D1" t="s">
        <v>14</v>
      </c>
      <c r="E1" t="s">
        <v>15</v>
      </c>
      <c r="F1" t="s">
        <v>24</v>
      </c>
    </row>
    <row r="2" spans="1:6" x14ac:dyDescent="0.25">
      <c r="A2" s="1" t="s">
        <v>16</v>
      </c>
      <c r="B2">
        <v>250</v>
      </c>
      <c r="C2">
        <v>490</v>
      </c>
      <c r="D2">
        <v>50</v>
      </c>
      <c r="E2">
        <v>380</v>
      </c>
      <c r="F2">
        <v>360</v>
      </c>
    </row>
    <row r="3" spans="1:6" x14ac:dyDescent="0.25">
      <c r="A3" s="1" t="s">
        <v>17</v>
      </c>
      <c r="B3">
        <v>250</v>
      </c>
      <c r="C3">
        <v>500</v>
      </c>
      <c r="D3">
        <v>50</v>
      </c>
      <c r="E3">
        <v>380</v>
      </c>
      <c r="F3">
        <v>360</v>
      </c>
    </row>
    <row r="4" spans="1:6" x14ac:dyDescent="0.25">
      <c r="A4" s="1" t="s">
        <v>18</v>
      </c>
      <c r="B4">
        <v>270</v>
      </c>
      <c r="C4">
        <v>530</v>
      </c>
      <c r="D4">
        <v>53</v>
      </c>
      <c r="E4">
        <v>410</v>
      </c>
      <c r="F4">
        <v>390</v>
      </c>
    </row>
    <row r="6" spans="1:6" x14ac:dyDescent="0.25">
      <c r="A6" s="1" t="s">
        <v>19</v>
      </c>
      <c r="E6">
        <v>252</v>
      </c>
      <c r="F6">
        <v>220</v>
      </c>
    </row>
    <row r="7" spans="1:6" x14ac:dyDescent="0.25">
      <c r="A7" s="1" t="s">
        <v>20</v>
      </c>
      <c r="E7">
        <v>308</v>
      </c>
      <c r="F7">
        <v>270</v>
      </c>
    </row>
    <row r="9" spans="1:6" x14ac:dyDescent="0.25">
      <c r="A9" s="1" t="s">
        <v>21</v>
      </c>
    </row>
    <row r="10" spans="1:6" x14ac:dyDescent="0.25">
      <c r="A10" s="1" t="s">
        <v>22</v>
      </c>
    </row>
    <row r="11" spans="1:6" x14ac:dyDescent="0.25">
      <c r="A11" s="1" t="s">
        <v>23</v>
      </c>
    </row>
    <row r="13" spans="1:6" x14ac:dyDescent="0.25">
      <c r="A13" s="1" t="s">
        <v>80</v>
      </c>
      <c r="E13">
        <v>3.6</v>
      </c>
    </row>
    <row r="14" spans="1:6" x14ac:dyDescent="0.25">
      <c r="A14" s="1" t="s"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84843-2ABA-466A-946C-D0BBE3A2F13A}">
  <sheetPr codeName="Feuil4"/>
  <dimension ref="A1:K41"/>
  <sheetViews>
    <sheetView topLeftCell="A7" workbookViewId="0">
      <selection activeCell="E20" sqref="E20"/>
    </sheetView>
  </sheetViews>
  <sheetFormatPr baseColWidth="10" defaultRowHeight="15" x14ac:dyDescent="0.25"/>
  <sheetData>
    <row r="1" spans="1:11" x14ac:dyDescent="0.25">
      <c r="A1" t="s">
        <v>12</v>
      </c>
      <c r="D1" t="s">
        <v>13</v>
      </c>
      <c r="G1" t="s">
        <v>15</v>
      </c>
      <c r="J1" t="s">
        <v>24</v>
      </c>
    </row>
    <row r="2" spans="1:11" x14ac:dyDescent="0.25">
      <c r="A2">
        <v>24</v>
      </c>
      <c r="B2">
        <v>1</v>
      </c>
      <c r="D2">
        <v>48</v>
      </c>
      <c r="E2">
        <v>1</v>
      </c>
      <c r="G2">
        <v>16</v>
      </c>
      <c r="H2">
        <v>1</v>
      </c>
      <c r="J2">
        <v>14</v>
      </c>
      <c r="K2">
        <v>1</v>
      </c>
    </row>
    <row r="3" spans="1:11" x14ac:dyDescent="0.25">
      <c r="A3">
        <f>B3*$A$2</f>
        <v>48</v>
      </c>
      <c r="B3">
        <v>2</v>
      </c>
      <c r="D3">
        <f>E3*$D$2</f>
        <v>96</v>
      </c>
      <c r="E3">
        <v>2</v>
      </c>
      <c r="G3">
        <f>H3*G$2</f>
        <v>32</v>
      </c>
      <c r="H3">
        <v>2</v>
      </c>
      <c r="J3">
        <f>K3*J$2</f>
        <v>28</v>
      </c>
      <c r="K3">
        <v>2</v>
      </c>
    </row>
    <row r="4" spans="1:11" x14ac:dyDescent="0.25">
      <c r="A4">
        <f t="shared" ref="A4:A41" si="0">B4*$A$2</f>
        <v>72</v>
      </c>
      <c r="B4">
        <v>3</v>
      </c>
      <c r="D4">
        <f t="shared" ref="D4:D41" si="1">E4*$D$2</f>
        <v>144</v>
      </c>
      <c r="E4">
        <v>3</v>
      </c>
      <c r="G4">
        <f t="shared" ref="G4:G41" si="2">H4*G$2</f>
        <v>48</v>
      </c>
      <c r="H4">
        <v>3</v>
      </c>
      <c r="J4">
        <f t="shared" ref="J4:J41" si="3">K4*J$2</f>
        <v>42</v>
      </c>
      <c r="K4">
        <v>3</v>
      </c>
    </row>
    <row r="5" spans="1:11" x14ac:dyDescent="0.25">
      <c r="A5">
        <f t="shared" si="0"/>
        <v>96</v>
      </c>
      <c r="B5">
        <v>4</v>
      </c>
      <c r="D5">
        <f t="shared" si="1"/>
        <v>192</v>
      </c>
      <c r="E5">
        <v>4</v>
      </c>
      <c r="G5">
        <f t="shared" si="2"/>
        <v>64</v>
      </c>
      <c r="H5">
        <v>4</v>
      </c>
      <c r="J5">
        <f t="shared" si="3"/>
        <v>56</v>
      </c>
      <c r="K5">
        <v>4</v>
      </c>
    </row>
    <row r="6" spans="1:11" x14ac:dyDescent="0.25">
      <c r="A6">
        <f t="shared" si="0"/>
        <v>120</v>
      </c>
      <c r="B6">
        <v>5</v>
      </c>
      <c r="D6">
        <f t="shared" si="1"/>
        <v>240</v>
      </c>
      <c r="E6">
        <v>5</v>
      </c>
      <c r="G6">
        <f t="shared" si="2"/>
        <v>80</v>
      </c>
      <c r="H6">
        <v>5</v>
      </c>
      <c r="J6">
        <f t="shared" si="3"/>
        <v>70</v>
      </c>
      <c r="K6">
        <v>5</v>
      </c>
    </row>
    <row r="7" spans="1:11" x14ac:dyDescent="0.25">
      <c r="A7">
        <f t="shared" si="0"/>
        <v>144</v>
      </c>
      <c r="B7">
        <v>6</v>
      </c>
      <c r="D7">
        <f t="shared" si="1"/>
        <v>288</v>
      </c>
      <c r="E7">
        <v>6</v>
      </c>
      <c r="G7">
        <f t="shared" si="2"/>
        <v>96</v>
      </c>
      <c r="H7">
        <v>6</v>
      </c>
      <c r="J7">
        <f t="shared" si="3"/>
        <v>84</v>
      </c>
      <c r="K7">
        <v>6</v>
      </c>
    </row>
    <row r="8" spans="1:11" x14ac:dyDescent="0.25">
      <c r="A8">
        <f t="shared" si="0"/>
        <v>168</v>
      </c>
      <c r="B8">
        <v>7</v>
      </c>
      <c r="D8">
        <f t="shared" si="1"/>
        <v>336</v>
      </c>
      <c r="E8">
        <v>7</v>
      </c>
      <c r="G8">
        <f t="shared" si="2"/>
        <v>112</v>
      </c>
      <c r="H8">
        <v>7</v>
      </c>
      <c r="J8">
        <f t="shared" si="3"/>
        <v>98</v>
      </c>
      <c r="K8">
        <v>7</v>
      </c>
    </row>
    <row r="9" spans="1:11" x14ac:dyDescent="0.25">
      <c r="A9">
        <f t="shared" si="0"/>
        <v>192</v>
      </c>
      <c r="B9">
        <v>8</v>
      </c>
      <c r="D9">
        <f t="shared" si="1"/>
        <v>384</v>
      </c>
      <c r="E9">
        <v>8</v>
      </c>
      <c r="G9">
        <f t="shared" si="2"/>
        <v>128</v>
      </c>
      <c r="H9">
        <v>8</v>
      </c>
      <c r="J9">
        <f t="shared" si="3"/>
        <v>112</v>
      </c>
      <c r="K9">
        <v>8</v>
      </c>
    </row>
    <row r="10" spans="1:11" x14ac:dyDescent="0.25">
      <c r="A10">
        <f t="shared" si="0"/>
        <v>216</v>
      </c>
      <c r="B10">
        <v>9</v>
      </c>
      <c r="D10">
        <f t="shared" si="1"/>
        <v>432</v>
      </c>
      <c r="E10">
        <v>9</v>
      </c>
      <c r="G10">
        <f t="shared" si="2"/>
        <v>144</v>
      </c>
      <c r="H10">
        <v>9</v>
      </c>
      <c r="J10">
        <f t="shared" si="3"/>
        <v>126</v>
      </c>
      <c r="K10">
        <v>9</v>
      </c>
    </row>
    <row r="11" spans="1:11" x14ac:dyDescent="0.25">
      <c r="A11">
        <f t="shared" si="0"/>
        <v>240</v>
      </c>
      <c r="B11">
        <v>10</v>
      </c>
      <c r="D11">
        <f t="shared" si="1"/>
        <v>480</v>
      </c>
      <c r="E11">
        <v>10</v>
      </c>
      <c r="G11">
        <f t="shared" si="2"/>
        <v>160</v>
      </c>
      <c r="H11">
        <v>10</v>
      </c>
      <c r="J11">
        <f t="shared" si="3"/>
        <v>140</v>
      </c>
      <c r="K11">
        <v>10</v>
      </c>
    </row>
    <row r="12" spans="1:11" x14ac:dyDescent="0.25">
      <c r="A12">
        <f t="shared" si="0"/>
        <v>264</v>
      </c>
      <c r="B12">
        <v>11</v>
      </c>
      <c r="D12">
        <f t="shared" si="1"/>
        <v>528</v>
      </c>
      <c r="E12">
        <v>11</v>
      </c>
      <c r="G12">
        <f t="shared" si="2"/>
        <v>176</v>
      </c>
      <c r="H12">
        <v>11</v>
      </c>
      <c r="J12">
        <f t="shared" si="3"/>
        <v>154</v>
      </c>
      <c r="K12">
        <v>11</v>
      </c>
    </row>
    <row r="13" spans="1:11" x14ac:dyDescent="0.25">
      <c r="A13">
        <f t="shared" si="0"/>
        <v>288</v>
      </c>
      <c r="B13">
        <v>12</v>
      </c>
      <c r="D13">
        <f t="shared" si="1"/>
        <v>576</v>
      </c>
      <c r="E13">
        <v>12</v>
      </c>
      <c r="G13">
        <f t="shared" si="2"/>
        <v>192</v>
      </c>
      <c r="H13">
        <v>12</v>
      </c>
      <c r="J13">
        <f t="shared" si="3"/>
        <v>168</v>
      </c>
      <c r="K13">
        <v>12</v>
      </c>
    </row>
    <row r="14" spans="1:11" x14ac:dyDescent="0.25">
      <c r="A14">
        <f t="shared" si="0"/>
        <v>312</v>
      </c>
      <c r="B14">
        <v>13</v>
      </c>
      <c r="D14">
        <f t="shared" si="1"/>
        <v>624</v>
      </c>
      <c r="E14">
        <v>13</v>
      </c>
      <c r="G14">
        <f t="shared" si="2"/>
        <v>208</v>
      </c>
      <c r="H14">
        <v>13</v>
      </c>
      <c r="J14">
        <f t="shared" si="3"/>
        <v>182</v>
      </c>
      <c r="K14">
        <v>13</v>
      </c>
    </row>
    <row r="15" spans="1:11" x14ac:dyDescent="0.25">
      <c r="A15">
        <f t="shared" si="0"/>
        <v>336</v>
      </c>
      <c r="B15">
        <v>14</v>
      </c>
      <c r="D15">
        <f t="shared" si="1"/>
        <v>672</v>
      </c>
      <c r="E15">
        <v>14</v>
      </c>
      <c r="G15">
        <f t="shared" si="2"/>
        <v>224</v>
      </c>
      <c r="H15">
        <v>14</v>
      </c>
      <c r="J15">
        <f t="shared" si="3"/>
        <v>196</v>
      </c>
      <c r="K15">
        <v>14</v>
      </c>
    </row>
    <row r="16" spans="1:11" x14ac:dyDescent="0.25">
      <c r="A16">
        <f t="shared" si="0"/>
        <v>360</v>
      </c>
      <c r="B16">
        <v>15</v>
      </c>
      <c r="D16">
        <f t="shared" si="1"/>
        <v>720</v>
      </c>
      <c r="E16">
        <v>15</v>
      </c>
      <c r="G16">
        <f t="shared" si="2"/>
        <v>240</v>
      </c>
      <c r="H16">
        <v>15</v>
      </c>
      <c r="J16">
        <f t="shared" si="3"/>
        <v>210</v>
      </c>
      <c r="K16">
        <v>15</v>
      </c>
    </row>
    <row r="17" spans="1:11" x14ac:dyDescent="0.25">
      <c r="A17">
        <f t="shared" si="0"/>
        <v>384</v>
      </c>
      <c r="B17">
        <v>16</v>
      </c>
      <c r="D17">
        <f t="shared" si="1"/>
        <v>768</v>
      </c>
      <c r="E17">
        <v>16</v>
      </c>
      <c r="G17">
        <f t="shared" si="2"/>
        <v>256</v>
      </c>
      <c r="H17">
        <v>16</v>
      </c>
      <c r="J17">
        <f t="shared" si="3"/>
        <v>224</v>
      </c>
      <c r="K17">
        <v>16</v>
      </c>
    </row>
    <row r="18" spans="1:11" x14ac:dyDescent="0.25">
      <c r="A18">
        <f t="shared" si="0"/>
        <v>408</v>
      </c>
      <c r="B18">
        <v>17</v>
      </c>
      <c r="D18">
        <f t="shared" si="1"/>
        <v>816</v>
      </c>
      <c r="E18">
        <v>17</v>
      </c>
      <c r="G18">
        <f t="shared" si="2"/>
        <v>272</v>
      </c>
      <c r="H18">
        <v>17</v>
      </c>
      <c r="J18">
        <f t="shared" si="3"/>
        <v>238</v>
      </c>
      <c r="K18">
        <v>17</v>
      </c>
    </row>
    <row r="19" spans="1:11" x14ac:dyDescent="0.25">
      <c r="A19">
        <f t="shared" si="0"/>
        <v>432</v>
      </c>
      <c r="B19">
        <v>18</v>
      </c>
      <c r="D19">
        <f t="shared" si="1"/>
        <v>864</v>
      </c>
      <c r="E19">
        <v>18</v>
      </c>
      <c r="G19">
        <f t="shared" si="2"/>
        <v>288</v>
      </c>
      <c r="H19">
        <v>18</v>
      </c>
      <c r="J19">
        <f t="shared" si="3"/>
        <v>252</v>
      </c>
      <c r="K19">
        <v>18</v>
      </c>
    </row>
    <row r="20" spans="1:11" x14ac:dyDescent="0.25">
      <c r="A20">
        <f t="shared" si="0"/>
        <v>456</v>
      </c>
      <c r="B20">
        <v>19</v>
      </c>
      <c r="D20">
        <f t="shared" si="1"/>
        <v>912</v>
      </c>
      <c r="E20">
        <v>19</v>
      </c>
      <c r="G20">
        <f t="shared" si="2"/>
        <v>304</v>
      </c>
      <c r="H20">
        <v>19</v>
      </c>
      <c r="J20">
        <f t="shared" si="3"/>
        <v>266</v>
      </c>
      <c r="K20">
        <v>19</v>
      </c>
    </row>
    <row r="21" spans="1:11" x14ac:dyDescent="0.25">
      <c r="A21">
        <f t="shared" si="0"/>
        <v>480</v>
      </c>
      <c r="B21">
        <v>20</v>
      </c>
      <c r="D21">
        <f t="shared" si="1"/>
        <v>960</v>
      </c>
      <c r="E21">
        <v>20</v>
      </c>
      <c r="G21">
        <f t="shared" si="2"/>
        <v>320</v>
      </c>
      <c r="H21">
        <v>20</v>
      </c>
      <c r="J21">
        <f t="shared" si="3"/>
        <v>280</v>
      </c>
      <c r="K21">
        <v>20</v>
      </c>
    </row>
    <row r="22" spans="1:11" x14ac:dyDescent="0.25">
      <c r="A22">
        <f t="shared" si="0"/>
        <v>504</v>
      </c>
      <c r="B22">
        <v>21</v>
      </c>
      <c r="D22">
        <f t="shared" si="1"/>
        <v>1008</v>
      </c>
      <c r="E22">
        <v>21</v>
      </c>
      <c r="G22">
        <f t="shared" si="2"/>
        <v>336</v>
      </c>
      <c r="H22">
        <v>21</v>
      </c>
      <c r="J22">
        <f t="shared" si="3"/>
        <v>294</v>
      </c>
      <c r="K22">
        <v>21</v>
      </c>
    </row>
    <row r="23" spans="1:11" x14ac:dyDescent="0.25">
      <c r="A23">
        <f t="shared" si="0"/>
        <v>528</v>
      </c>
      <c r="B23">
        <v>22</v>
      </c>
      <c r="D23">
        <f t="shared" si="1"/>
        <v>1056</v>
      </c>
      <c r="E23">
        <v>22</v>
      </c>
      <c r="G23">
        <f t="shared" si="2"/>
        <v>352</v>
      </c>
      <c r="H23">
        <v>22</v>
      </c>
      <c r="J23">
        <f t="shared" si="3"/>
        <v>308</v>
      </c>
      <c r="K23">
        <v>22</v>
      </c>
    </row>
    <row r="24" spans="1:11" x14ac:dyDescent="0.25">
      <c r="A24">
        <f t="shared" si="0"/>
        <v>552</v>
      </c>
      <c r="B24">
        <v>23</v>
      </c>
      <c r="D24">
        <f t="shared" si="1"/>
        <v>1104</v>
      </c>
      <c r="E24">
        <v>23</v>
      </c>
      <c r="G24">
        <f t="shared" si="2"/>
        <v>368</v>
      </c>
      <c r="H24">
        <v>23</v>
      </c>
      <c r="J24">
        <f t="shared" si="3"/>
        <v>322</v>
      </c>
      <c r="K24">
        <v>23</v>
      </c>
    </row>
    <row r="25" spans="1:11" x14ac:dyDescent="0.25">
      <c r="A25">
        <f t="shared" si="0"/>
        <v>576</v>
      </c>
      <c r="B25">
        <v>24</v>
      </c>
      <c r="D25">
        <f t="shared" si="1"/>
        <v>1152</v>
      </c>
      <c r="E25">
        <v>24</v>
      </c>
      <c r="G25">
        <f t="shared" si="2"/>
        <v>384</v>
      </c>
      <c r="H25">
        <v>24</v>
      </c>
      <c r="J25">
        <f t="shared" si="3"/>
        <v>336</v>
      </c>
      <c r="K25">
        <v>24</v>
      </c>
    </row>
    <row r="26" spans="1:11" x14ac:dyDescent="0.25">
      <c r="A26">
        <f t="shared" si="0"/>
        <v>600</v>
      </c>
      <c r="B26">
        <v>25</v>
      </c>
      <c r="D26">
        <f t="shared" si="1"/>
        <v>1200</v>
      </c>
      <c r="E26">
        <v>25</v>
      </c>
      <c r="G26">
        <f t="shared" si="2"/>
        <v>400</v>
      </c>
      <c r="H26">
        <v>25</v>
      </c>
      <c r="J26">
        <f t="shared" si="3"/>
        <v>350</v>
      </c>
      <c r="K26">
        <v>25</v>
      </c>
    </row>
    <row r="27" spans="1:11" x14ac:dyDescent="0.25">
      <c r="A27">
        <f t="shared" si="0"/>
        <v>624</v>
      </c>
      <c r="B27">
        <v>26</v>
      </c>
      <c r="D27">
        <f t="shared" si="1"/>
        <v>1248</v>
      </c>
      <c r="E27">
        <v>26</v>
      </c>
      <c r="G27">
        <f t="shared" si="2"/>
        <v>416</v>
      </c>
      <c r="H27">
        <v>26</v>
      </c>
      <c r="J27">
        <f t="shared" si="3"/>
        <v>364</v>
      </c>
      <c r="K27">
        <v>26</v>
      </c>
    </row>
    <row r="28" spans="1:11" x14ac:dyDescent="0.25">
      <c r="A28">
        <f t="shared" si="0"/>
        <v>648</v>
      </c>
      <c r="B28">
        <v>27</v>
      </c>
      <c r="D28">
        <f t="shared" si="1"/>
        <v>1296</v>
      </c>
      <c r="E28">
        <v>27</v>
      </c>
      <c r="G28">
        <f t="shared" si="2"/>
        <v>432</v>
      </c>
      <c r="H28">
        <v>27</v>
      </c>
      <c r="J28">
        <f t="shared" si="3"/>
        <v>378</v>
      </c>
      <c r="K28">
        <v>27</v>
      </c>
    </row>
    <row r="29" spans="1:11" x14ac:dyDescent="0.25">
      <c r="A29">
        <f t="shared" si="0"/>
        <v>672</v>
      </c>
      <c r="B29">
        <v>28</v>
      </c>
      <c r="D29">
        <f t="shared" si="1"/>
        <v>1344</v>
      </c>
      <c r="E29">
        <v>28</v>
      </c>
      <c r="G29">
        <f t="shared" si="2"/>
        <v>448</v>
      </c>
      <c r="H29">
        <v>28</v>
      </c>
      <c r="J29">
        <f t="shared" si="3"/>
        <v>392</v>
      </c>
      <c r="K29">
        <v>28</v>
      </c>
    </row>
    <row r="30" spans="1:11" x14ac:dyDescent="0.25">
      <c r="A30">
        <f t="shared" si="0"/>
        <v>696</v>
      </c>
      <c r="B30">
        <v>29</v>
      </c>
      <c r="D30">
        <f t="shared" si="1"/>
        <v>1392</v>
      </c>
      <c r="E30">
        <v>29</v>
      </c>
      <c r="G30">
        <f t="shared" si="2"/>
        <v>464</v>
      </c>
      <c r="H30">
        <v>29</v>
      </c>
      <c r="J30">
        <f t="shared" si="3"/>
        <v>406</v>
      </c>
      <c r="K30">
        <v>29</v>
      </c>
    </row>
    <row r="31" spans="1:11" x14ac:dyDescent="0.25">
      <c r="A31">
        <f t="shared" si="0"/>
        <v>720</v>
      </c>
      <c r="B31">
        <v>30</v>
      </c>
      <c r="D31">
        <f t="shared" si="1"/>
        <v>1440</v>
      </c>
      <c r="E31">
        <v>30</v>
      </c>
      <c r="G31">
        <f t="shared" si="2"/>
        <v>480</v>
      </c>
      <c r="H31">
        <v>30</v>
      </c>
      <c r="J31">
        <f t="shared" si="3"/>
        <v>420</v>
      </c>
      <c r="K31">
        <v>30</v>
      </c>
    </row>
    <row r="32" spans="1:11" x14ac:dyDescent="0.25">
      <c r="A32">
        <f t="shared" si="0"/>
        <v>744</v>
      </c>
      <c r="B32">
        <v>31</v>
      </c>
      <c r="D32">
        <f t="shared" si="1"/>
        <v>1488</v>
      </c>
      <c r="E32">
        <v>31</v>
      </c>
      <c r="G32">
        <f t="shared" si="2"/>
        <v>496</v>
      </c>
      <c r="H32">
        <v>31</v>
      </c>
      <c r="J32">
        <f t="shared" si="3"/>
        <v>434</v>
      </c>
      <c r="K32">
        <v>31</v>
      </c>
    </row>
    <row r="33" spans="1:11" x14ac:dyDescent="0.25">
      <c r="A33">
        <f t="shared" si="0"/>
        <v>768</v>
      </c>
      <c r="B33">
        <v>32</v>
      </c>
      <c r="D33">
        <f t="shared" si="1"/>
        <v>1536</v>
      </c>
      <c r="E33">
        <v>32</v>
      </c>
      <c r="G33">
        <f t="shared" si="2"/>
        <v>512</v>
      </c>
      <c r="H33">
        <v>32</v>
      </c>
      <c r="J33">
        <f t="shared" si="3"/>
        <v>448</v>
      </c>
      <c r="K33">
        <v>32</v>
      </c>
    </row>
    <row r="34" spans="1:11" x14ac:dyDescent="0.25">
      <c r="A34">
        <f t="shared" si="0"/>
        <v>792</v>
      </c>
      <c r="B34">
        <v>33</v>
      </c>
      <c r="D34">
        <f t="shared" si="1"/>
        <v>1584</v>
      </c>
      <c r="E34">
        <v>33</v>
      </c>
      <c r="G34">
        <f t="shared" si="2"/>
        <v>528</v>
      </c>
      <c r="H34">
        <v>33</v>
      </c>
      <c r="J34">
        <f t="shared" si="3"/>
        <v>462</v>
      </c>
      <c r="K34">
        <v>33</v>
      </c>
    </row>
    <row r="35" spans="1:11" x14ac:dyDescent="0.25">
      <c r="A35">
        <f t="shared" si="0"/>
        <v>816</v>
      </c>
      <c r="B35">
        <v>34</v>
      </c>
      <c r="D35">
        <f t="shared" si="1"/>
        <v>1632</v>
      </c>
      <c r="E35">
        <v>34</v>
      </c>
      <c r="G35">
        <f t="shared" si="2"/>
        <v>544</v>
      </c>
      <c r="H35">
        <v>34</v>
      </c>
      <c r="J35">
        <f t="shared" si="3"/>
        <v>476</v>
      </c>
      <c r="K35">
        <v>34</v>
      </c>
    </row>
    <row r="36" spans="1:11" x14ac:dyDescent="0.25">
      <c r="A36">
        <f t="shared" si="0"/>
        <v>840</v>
      </c>
      <c r="B36">
        <v>35</v>
      </c>
      <c r="D36">
        <f t="shared" si="1"/>
        <v>1680</v>
      </c>
      <c r="E36">
        <v>35</v>
      </c>
      <c r="G36">
        <f t="shared" si="2"/>
        <v>560</v>
      </c>
      <c r="H36">
        <v>35</v>
      </c>
      <c r="J36">
        <f t="shared" si="3"/>
        <v>490</v>
      </c>
      <c r="K36">
        <v>35</v>
      </c>
    </row>
    <row r="37" spans="1:11" x14ac:dyDescent="0.25">
      <c r="A37">
        <f t="shared" si="0"/>
        <v>864</v>
      </c>
      <c r="B37">
        <v>36</v>
      </c>
      <c r="D37">
        <f t="shared" si="1"/>
        <v>1728</v>
      </c>
      <c r="E37">
        <v>36</v>
      </c>
      <c r="G37">
        <f t="shared" si="2"/>
        <v>576</v>
      </c>
      <c r="H37">
        <v>36</v>
      </c>
      <c r="J37">
        <f t="shared" si="3"/>
        <v>504</v>
      </c>
      <c r="K37">
        <v>36</v>
      </c>
    </row>
    <row r="38" spans="1:11" x14ac:dyDescent="0.25">
      <c r="A38">
        <f t="shared" si="0"/>
        <v>888</v>
      </c>
      <c r="B38">
        <v>37</v>
      </c>
      <c r="D38">
        <f t="shared" si="1"/>
        <v>1776</v>
      </c>
      <c r="E38">
        <v>37</v>
      </c>
      <c r="G38">
        <f t="shared" si="2"/>
        <v>592</v>
      </c>
      <c r="H38">
        <v>37</v>
      </c>
      <c r="J38">
        <f t="shared" si="3"/>
        <v>518</v>
      </c>
      <c r="K38">
        <v>37</v>
      </c>
    </row>
    <row r="39" spans="1:11" x14ac:dyDescent="0.25">
      <c r="A39">
        <f t="shared" si="0"/>
        <v>912</v>
      </c>
      <c r="B39">
        <v>38</v>
      </c>
      <c r="D39">
        <f t="shared" si="1"/>
        <v>1824</v>
      </c>
      <c r="E39">
        <v>38</v>
      </c>
      <c r="G39">
        <f t="shared" si="2"/>
        <v>608</v>
      </c>
      <c r="H39">
        <v>38</v>
      </c>
      <c r="J39">
        <f t="shared" si="3"/>
        <v>532</v>
      </c>
      <c r="K39">
        <v>38</v>
      </c>
    </row>
    <row r="40" spans="1:11" x14ac:dyDescent="0.25">
      <c r="A40">
        <f t="shared" si="0"/>
        <v>936</v>
      </c>
      <c r="B40">
        <v>39</v>
      </c>
      <c r="D40">
        <f t="shared" si="1"/>
        <v>1872</v>
      </c>
      <c r="E40">
        <v>39</v>
      </c>
      <c r="G40">
        <f t="shared" si="2"/>
        <v>624</v>
      </c>
      <c r="H40">
        <v>39</v>
      </c>
      <c r="J40">
        <f t="shared" si="3"/>
        <v>546</v>
      </c>
      <c r="K40">
        <v>39</v>
      </c>
    </row>
    <row r="41" spans="1:11" x14ac:dyDescent="0.25">
      <c r="A41">
        <f t="shared" si="0"/>
        <v>960</v>
      </c>
      <c r="B41">
        <v>40</v>
      </c>
      <c r="D41">
        <f t="shared" si="1"/>
        <v>1920</v>
      </c>
      <c r="E41">
        <v>40</v>
      </c>
      <c r="G41">
        <f t="shared" si="2"/>
        <v>640</v>
      </c>
      <c r="H41">
        <v>40</v>
      </c>
      <c r="J41">
        <f t="shared" si="3"/>
        <v>560</v>
      </c>
      <c r="K41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01FB0-2B25-428A-952E-3E7FC9215984}">
  <sheetPr codeName="Feuil5"/>
  <dimension ref="A1:D5"/>
  <sheetViews>
    <sheetView workbookViewId="0">
      <selection activeCell="A6" sqref="A6"/>
    </sheetView>
  </sheetViews>
  <sheetFormatPr baseColWidth="10" defaultRowHeight="15" x14ac:dyDescent="0.25"/>
  <sheetData>
    <row r="1" spans="1:4" x14ac:dyDescent="0.25">
      <c r="A1" t="s">
        <v>12</v>
      </c>
      <c r="D1" t="s">
        <v>13</v>
      </c>
    </row>
    <row r="2" spans="1:4" x14ac:dyDescent="0.25">
      <c r="A2">
        <v>60</v>
      </c>
      <c r="B2">
        <v>1250</v>
      </c>
    </row>
    <row r="3" spans="1:4" x14ac:dyDescent="0.25">
      <c r="A3">
        <f>A2*2</f>
        <v>120</v>
      </c>
      <c r="B3">
        <f>B2*2</f>
        <v>2500</v>
      </c>
    </row>
    <row r="4" spans="1:4" x14ac:dyDescent="0.25">
      <c r="A4">
        <f t="shared" ref="A4:A23" si="0">A3*2</f>
        <v>240</v>
      </c>
      <c r="B4">
        <f t="shared" ref="B4:B23" si="1">B3*2</f>
        <v>5000</v>
      </c>
    </row>
    <row r="5" spans="1:4" x14ac:dyDescent="0.25">
      <c r="A5">
        <f t="shared" si="0"/>
        <v>480</v>
      </c>
      <c r="B5">
        <f t="shared" si="1"/>
        <v>10000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20</vt:i4>
      </vt:variant>
    </vt:vector>
  </HeadingPairs>
  <TitlesOfParts>
    <vt:vector size="25" baseType="lpstr">
      <vt:lpstr>PROD</vt:lpstr>
      <vt:lpstr>data</vt:lpstr>
      <vt:lpstr>dataProduits</vt:lpstr>
      <vt:lpstr>matriceTRS</vt:lpstr>
      <vt:lpstr>newTRS</vt:lpstr>
      <vt:lpstr>Commentaires</vt:lpstr>
      <vt:lpstr>Date</vt:lpstr>
      <vt:lpstr>defautsListe</vt:lpstr>
      <vt:lpstr>durationsListe</vt:lpstr>
      <vt:lpstr>Machine</vt:lpstr>
      <vt:lpstr>ncCount</vt:lpstr>
      <vt:lpstr>Of</vt:lpstr>
      <vt:lpstr>okCount</vt:lpstr>
      <vt:lpstr>Operateur</vt:lpstr>
      <vt:lpstr>operateursListe</vt:lpstr>
      <vt:lpstr>Poste</vt:lpstr>
      <vt:lpstr>postesListe</vt:lpstr>
      <vt:lpstr>prodNC</vt:lpstr>
      <vt:lpstr>prodOK</vt:lpstr>
      <vt:lpstr>produitsListe</vt:lpstr>
      <vt:lpstr>prodZone</vt:lpstr>
      <vt:lpstr>Source</vt:lpstr>
      <vt:lpstr>TO</vt:lpstr>
      <vt:lpstr>typeProduction</vt:lpstr>
      <vt:lpstr>valideRow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 ManyO</cp:lastModifiedBy>
  <dcterms:created xsi:type="dcterms:W3CDTF">2023-04-13T15:00:23Z</dcterms:created>
  <dcterms:modified xsi:type="dcterms:W3CDTF">2023-04-16T09:16:10Z</dcterms:modified>
</cp:coreProperties>
</file>