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3C5DC837-C8F7-4774-8093-AC00CD700478}" xr6:coauthVersionLast="47" xr6:coauthVersionMax="47" xr10:uidLastSave="{00000000-0000-0000-0000-000000000000}"/>
  <bookViews>
    <workbookView xWindow="-108" yWindow="-108" windowWidth="23256" windowHeight="12456" xr2:uid="{5E7CB066-9946-43B1-92B7-A0D1A88B5513}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itemsExportZone">PROD!$AU$52:$BI$121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5" i="1" l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52" i="1"/>
  <c r="P53" i="1"/>
  <c r="R53" i="1" s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Q52" i="1"/>
  <c r="P52" i="1"/>
  <c r="AZ45" i="1"/>
  <c r="AY45" i="1"/>
  <c r="AB53" i="1"/>
  <c r="AB52" i="1"/>
  <c r="AA44" i="1" l="1"/>
  <c r="AU79" i="1" l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S51" i="1" a="1"/>
  <c r="S51" i="1" s="1"/>
  <c r="S53" i="1" s="1"/>
  <c r="AO60" i="1" a="1"/>
  <c r="AO60" i="1" s="1"/>
  <c r="AG47" i="1"/>
  <c r="AG46" i="1" s="1"/>
  <c r="AW45" i="1" s="1"/>
  <c r="U110" i="1" l="1"/>
  <c r="U65" i="1"/>
  <c r="T91" i="1"/>
  <c r="AQ60" i="1"/>
  <c r="BH44" i="1" a="1"/>
  <c r="BH44" i="1" s="1"/>
  <c r="AW85" i="1"/>
  <c r="BH85" i="1"/>
  <c r="BI85" i="1" s="1"/>
  <c r="AW118" i="1"/>
  <c r="BH118" i="1"/>
  <c r="BI118" i="1" s="1"/>
  <c r="AW86" i="1"/>
  <c r="BH86" i="1"/>
  <c r="BI86" i="1" s="1"/>
  <c r="AW93" i="1"/>
  <c r="BH93" i="1"/>
  <c r="BI93" i="1" s="1"/>
  <c r="AW84" i="1"/>
  <c r="BH84" i="1"/>
  <c r="BI84" i="1" s="1"/>
  <c r="AW83" i="1"/>
  <c r="BH83" i="1"/>
  <c r="BI83" i="1" s="1"/>
  <c r="AW98" i="1"/>
  <c r="BH98" i="1"/>
  <c r="BI98" i="1" s="1"/>
  <c r="AW105" i="1"/>
  <c r="BH105" i="1"/>
  <c r="BI105" i="1" s="1"/>
  <c r="AW97" i="1"/>
  <c r="BH97" i="1"/>
  <c r="BI97" i="1" s="1"/>
  <c r="AW89" i="1"/>
  <c r="BH89" i="1"/>
  <c r="BI89" i="1" s="1"/>
  <c r="AW81" i="1"/>
  <c r="BH81" i="1"/>
  <c r="BI81" i="1" s="1"/>
  <c r="AW102" i="1"/>
  <c r="BH102" i="1"/>
  <c r="BI102" i="1" s="1"/>
  <c r="AW117" i="1"/>
  <c r="BH117" i="1"/>
  <c r="BI117" i="1" s="1"/>
  <c r="AW109" i="1"/>
  <c r="BH109" i="1"/>
  <c r="BI109" i="1" s="1"/>
  <c r="AW116" i="1"/>
  <c r="BH116" i="1"/>
  <c r="BI116" i="1" s="1"/>
  <c r="AW100" i="1"/>
  <c r="BH100" i="1"/>
  <c r="BI100" i="1" s="1"/>
  <c r="AW115" i="1"/>
  <c r="BH115" i="1"/>
  <c r="BI115" i="1" s="1"/>
  <c r="AW99" i="1"/>
  <c r="BH99" i="1"/>
  <c r="BI99" i="1" s="1"/>
  <c r="AW106" i="1"/>
  <c r="BH106" i="1"/>
  <c r="BI106" i="1" s="1"/>
  <c r="AW82" i="1"/>
  <c r="BH82" i="1"/>
  <c r="BI82" i="1" s="1"/>
  <c r="AW113" i="1"/>
  <c r="BH113" i="1"/>
  <c r="BI113" i="1" s="1"/>
  <c r="AW120" i="1"/>
  <c r="BH120" i="1"/>
  <c r="BI120" i="1" s="1"/>
  <c r="AW112" i="1"/>
  <c r="BH112" i="1"/>
  <c r="BI112" i="1" s="1"/>
  <c r="AW104" i="1"/>
  <c r="BH104" i="1"/>
  <c r="BI104" i="1" s="1"/>
  <c r="AW96" i="1"/>
  <c r="BH96" i="1"/>
  <c r="BI96" i="1" s="1"/>
  <c r="AW88" i="1"/>
  <c r="BH88" i="1"/>
  <c r="BI88" i="1" s="1"/>
  <c r="AW80" i="1"/>
  <c r="BH80" i="1"/>
  <c r="BI80" i="1" s="1"/>
  <c r="AW110" i="1"/>
  <c r="BH110" i="1"/>
  <c r="BI110" i="1" s="1"/>
  <c r="AW94" i="1"/>
  <c r="BH94" i="1"/>
  <c r="BI94" i="1" s="1"/>
  <c r="AW101" i="1"/>
  <c r="BH101" i="1"/>
  <c r="BI101" i="1" s="1"/>
  <c r="AW108" i="1"/>
  <c r="BH108" i="1"/>
  <c r="BI108" i="1" s="1"/>
  <c r="AW92" i="1"/>
  <c r="BH92" i="1"/>
  <c r="BI92" i="1" s="1"/>
  <c r="AW107" i="1"/>
  <c r="BH107" i="1"/>
  <c r="BI107" i="1" s="1"/>
  <c r="AW91" i="1"/>
  <c r="BH91" i="1"/>
  <c r="BI91" i="1" s="1"/>
  <c r="AW114" i="1"/>
  <c r="BH114" i="1"/>
  <c r="BI114" i="1" s="1"/>
  <c r="AW90" i="1"/>
  <c r="BH90" i="1"/>
  <c r="BI90" i="1" s="1"/>
  <c r="AW121" i="1"/>
  <c r="BH121" i="1"/>
  <c r="BI121" i="1" s="1"/>
  <c r="AW119" i="1"/>
  <c r="BH119" i="1"/>
  <c r="BI119" i="1" s="1"/>
  <c r="AW111" i="1"/>
  <c r="BH111" i="1"/>
  <c r="BI111" i="1" s="1"/>
  <c r="AW103" i="1"/>
  <c r="BH103" i="1"/>
  <c r="BI103" i="1" s="1"/>
  <c r="AW95" i="1"/>
  <c r="BH95" i="1"/>
  <c r="BI95" i="1" s="1"/>
  <c r="AW87" i="1"/>
  <c r="BH87" i="1"/>
  <c r="BI87" i="1" s="1"/>
  <c r="AW79" i="1"/>
  <c r="BH79" i="1"/>
  <c r="BI79" i="1" s="1"/>
  <c r="S107" i="1"/>
  <c r="W87" i="1"/>
  <c r="S62" i="1"/>
  <c r="V105" i="1"/>
  <c r="U81" i="1"/>
  <c r="T78" i="1"/>
  <c r="W84" i="1"/>
  <c r="W58" i="1"/>
  <c r="S104" i="1"/>
  <c r="U118" i="1"/>
  <c r="W116" i="1"/>
  <c r="T99" i="1"/>
  <c r="W74" i="1"/>
  <c r="W119" i="1"/>
  <c r="V54" i="1"/>
  <c r="W71" i="1"/>
  <c r="V100" i="1"/>
  <c r="U113" i="1"/>
  <c r="V97" i="1"/>
  <c r="S112" i="1"/>
  <c r="T94" i="1"/>
  <c r="U68" i="1"/>
  <c r="BB82" i="1"/>
  <c r="BA82" i="1"/>
  <c r="BA86" i="1"/>
  <c r="AZ82" i="1"/>
  <c r="AZ86" i="1"/>
  <c r="AY121" i="1"/>
  <c r="AZ114" i="1"/>
  <c r="AY86" i="1"/>
  <c r="AY82" i="1"/>
  <c r="BA89" i="1"/>
  <c r="AY117" i="1"/>
  <c r="BB110" i="1"/>
  <c r="BB118" i="1"/>
  <c r="AX109" i="1"/>
  <c r="AV109" i="1" s="1"/>
  <c r="AY90" i="1"/>
  <c r="AY118" i="1"/>
  <c r="BA121" i="1"/>
  <c r="AZ117" i="1"/>
  <c r="AY94" i="1"/>
  <c r="AZ89" i="1"/>
  <c r="AZ106" i="1"/>
  <c r="AY89" i="1"/>
  <c r="AX81" i="1"/>
  <c r="AV81" i="1" s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X89" i="1"/>
  <c r="AV89" i="1" s="1"/>
  <c r="BA81" i="1"/>
  <c r="AY113" i="1"/>
  <c r="AZ109" i="1"/>
  <c r="BA94" i="1"/>
  <c r="BA90" i="1"/>
  <c r="AZ81" i="1"/>
  <c r="AX113" i="1"/>
  <c r="AV113" i="1" s="1"/>
  <c r="AY109" i="1"/>
  <c r="AX105" i="1"/>
  <c r="AV105" i="1" s="1"/>
  <c r="AZ94" i="1"/>
  <c r="AZ90" i="1"/>
  <c r="AY81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85" i="1"/>
  <c r="BA98" i="1"/>
  <c r="AZ93" i="1"/>
  <c r="AZ85" i="1"/>
  <c r="BB114" i="1"/>
  <c r="BB106" i="1"/>
  <c r="BA101" i="1"/>
  <c r="AZ98" i="1"/>
  <c r="AY93" i="1"/>
  <c r="AY85" i="1"/>
  <c r="BA117" i="1"/>
  <c r="BA114" i="1"/>
  <c r="BA109" i="1"/>
  <c r="BA106" i="1"/>
  <c r="AY101" i="1"/>
  <c r="AY98" i="1"/>
  <c r="BB94" i="1"/>
  <c r="AX93" i="1"/>
  <c r="AV93" i="1" s="1"/>
  <c r="BB86" i="1"/>
  <c r="AX85" i="1"/>
  <c r="AV85" i="1" s="1"/>
  <c r="AY120" i="1"/>
  <c r="AY116" i="1"/>
  <c r="AY112" i="1"/>
  <c r="AY108" i="1"/>
  <c r="AY104" i="1"/>
  <c r="AY100" i="1"/>
  <c r="AY96" i="1"/>
  <c r="AY92" i="1"/>
  <c r="AY88" i="1"/>
  <c r="AY84" i="1"/>
  <c r="AY80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AX88" i="1"/>
  <c r="AV88" i="1" s="1"/>
  <c r="AX84" i="1"/>
  <c r="AV84" i="1" s="1"/>
  <c r="AX80" i="1"/>
  <c r="AV80" i="1" s="1"/>
  <c r="BB111" i="1"/>
  <c r="BB103" i="1"/>
  <c r="BB91" i="1"/>
  <c r="BB83" i="1"/>
  <c r="BA115" i="1"/>
  <c r="BA111" i="1"/>
  <c r="BA107" i="1"/>
  <c r="BA103" i="1"/>
  <c r="BA99" i="1"/>
  <c r="BA95" i="1"/>
  <c r="BA91" i="1"/>
  <c r="BA87" i="1"/>
  <c r="BA83" i="1"/>
  <c r="BA79" i="1"/>
  <c r="BB115" i="1"/>
  <c r="BB79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88" i="1"/>
  <c r="AZ87" i="1"/>
  <c r="AX86" i="1"/>
  <c r="AV86" i="1" s="1"/>
  <c r="BB84" i="1"/>
  <c r="AZ83" i="1"/>
  <c r="AX82" i="1"/>
  <c r="AV82" i="1" s="1"/>
  <c r="BB80" i="1"/>
  <c r="AZ79" i="1"/>
  <c r="BB119" i="1"/>
  <c r="BB107" i="1"/>
  <c r="BB99" i="1"/>
  <c r="BB95" i="1"/>
  <c r="BB87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A88" i="1"/>
  <c r="AY87" i="1"/>
  <c r="BA84" i="1"/>
  <c r="AY83" i="1"/>
  <c r="BA80" i="1"/>
  <c r="AY79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B89" i="1"/>
  <c r="AZ88" i="1"/>
  <c r="AX87" i="1"/>
  <c r="AV87" i="1" s="1"/>
  <c r="BB85" i="1"/>
  <c r="AZ84" i="1"/>
  <c r="AX83" i="1"/>
  <c r="AV83" i="1" s="1"/>
  <c r="BB81" i="1"/>
  <c r="AZ80" i="1"/>
  <c r="AX79" i="1"/>
  <c r="AV79" i="1" s="1"/>
  <c r="BG116" i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BF81" i="1" l="1"/>
  <c r="BF98" i="1"/>
  <c r="BF83" i="1"/>
  <c r="BD103" i="1"/>
  <c r="BF95" i="1"/>
  <c r="BE99" i="1"/>
  <c r="BD84" i="1"/>
  <c r="BE116" i="1"/>
  <c r="BE105" i="1"/>
  <c r="BC117" i="1"/>
  <c r="BF120" i="1"/>
  <c r="BC106" i="1"/>
  <c r="BE119" i="1"/>
  <c r="BD113" i="1"/>
  <c r="BC118" i="1"/>
  <c r="BD110" i="1"/>
  <c r="BE80" i="1"/>
  <c r="BF90" i="1"/>
  <c r="BD91" i="1"/>
  <c r="BC85" i="1"/>
  <c r="BF82" i="1"/>
  <c r="BC121" i="1"/>
  <c r="BD111" i="1"/>
  <c r="BF94" i="1"/>
  <c r="BF101" i="1"/>
  <c r="BD109" i="1"/>
  <c r="BC100" i="1"/>
  <c r="BE89" i="1"/>
  <c r="BD97" i="1"/>
  <c r="BD93" i="1"/>
  <c r="BC92" i="1"/>
  <c r="BE108" i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R54" i="1" s="1"/>
  <c r="AI54" i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T54" i="1" l="1"/>
  <c r="U54" i="1"/>
  <c r="U50" i="1" s="1"/>
  <c r="W52" i="1"/>
  <c r="W50" i="1" s="1"/>
  <c r="T52" i="1"/>
  <c r="T50" i="1" s="1"/>
  <c r="AV45" i="1"/>
  <c r="AM51" i="1"/>
  <c r="BT45" i="1" s="1"/>
  <c r="AC61" i="1"/>
  <c r="AU61" i="1" s="1"/>
  <c r="BH61" i="1" s="1"/>
  <c r="BI61" i="1" s="1"/>
  <c r="AC77" i="1"/>
  <c r="AU77" i="1" s="1"/>
  <c r="BH77" i="1" s="1"/>
  <c r="BI77" i="1" s="1"/>
  <c r="AC69" i="1"/>
  <c r="AU69" i="1" s="1"/>
  <c r="BH69" i="1" s="1"/>
  <c r="BI69" i="1" s="1"/>
  <c r="AU52" i="1"/>
  <c r="BH52" i="1" s="1"/>
  <c r="BI52" i="1" s="1"/>
  <c r="AC75" i="1"/>
  <c r="AU75" i="1" s="1"/>
  <c r="BH75" i="1" s="1"/>
  <c r="BI75" i="1" s="1"/>
  <c r="AC67" i="1"/>
  <c r="AU67" i="1" s="1"/>
  <c r="BH67" i="1" s="1"/>
  <c r="BI67" i="1" s="1"/>
  <c r="AC60" i="1"/>
  <c r="AU60" i="1" s="1"/>
  <c r="BH60" i="1" s="1"/>
  <c r="BI60" i="1" s="1"/>
  <c r="AC74" i="1"/>
  <c r="AU74" i="1" s="1"/>
  <c r="BH74" i="1" s="1"/>
  <c r="BI74" i="1" s="1"/>
  <c r="AC66" i="1"/>
  <c r="AU66" i="1" s="1"/>
  <c r="BH66" i="1" s="1"/>
  <c r="BI66" i="1" s="1"/>
  <c r="AC73" i="1"/>
  <c r="AU73" i="1" s="1"/>
  <c r="BH73" i="1" s="1"/>
  <c r="BI73" i="1" s="1"/>
  <c r="AC65" i="1"/>
  <c r="AU65" i="1" s="1"/>
  <c r="BH65" i="1" s="1"/>
  <c r="BI65" i="1" s="1"/>
  <c r="AC76" i="1"/>
  <c r="AU76" i="1" s="1"/>
  <c r="BH76" i="1" s="1"/>
  <c r="BI76" i="1" s="1"/>
  <c r="AC72" i="1"/>
  <c r="AU72" i="1" s="1"/>
  <c r="BH72" i="1" s="1"/>
  <c r="BI72" i="1" s="1"/>
  <c r="AC64" i="1"/>
  <c r="AU64" i="1" s="1"/>
  <c r="BH64" i="1" s="1"/>
  <c r="BI64" i="1" s="1"/>
  <c r="AC68" i="1"/>
  <c r="AU68" i="1" s="1"/>
  <c r="BH68" i="1" s="1"/>
  <c r="BI68" i="1" s="1"/>
  <c r="AC71" i="1"/>
  <c r="AU71" i="1" s="1"/>
  <c r="BH71" i="1" s="1"/>
  <c r="BI71" i="1" s="1"/>
  <c r="AC63" i="1"/>
  <c r="AU63" i="1" s="1"/>
  <c r="BH63" i="1" s="1"/>
  <c r="BI63" i="1" s="1"/>
  <c r="AC78" i="1"/>
  <c r="AU78" i="1" s="1"/>
  <c r="BH78" i="1" s="1"/>
  <c r="BI78" i="1" s="1"/>
  <c r="AC70" i="1"/>
  <c r="AU70" i="1" s="1"/>
  <c r="BH70" i="1" s="1"/>
  <c r="BI70" i="1" s="1"/>
  <c r="AC62" i="1"/>
  <c r="AU62" i="1" s="1"/>
  <c r="BH62" i="1" s="1"/>
  <c r="BI62" i="1" s="1"/>
  <c r="AU58" i="1"/>
  <c r="BH58" i="1" s="1"/>
  <c r="BI58" i="1" s="1"/>
  <c r="AU56" i="1"/>
  <c r="BH56" i="1" s="1"/>
  <c r="BI56" i="1" s="1"/>
  <c r="AU54" i="1"/>
  <c r="BH54" i="1" s="1"/>
  <c r="BI54" i="1" s="1"/>
  <c r="AU59" i="1"/>
  <c r="BH59" i="1" s="1"/>
  <c r="BI59" i="1" s="1"/>
  <c r="AU57" i="1"/>
  <c r="BH57" i="1" s="1"/>
  <c r="BI57" i="1" s="1"/>
  <c r="AU55" i="1"/>
  <c r="BH55" i="1" s="1"/>
  <c r="BI55" i="1" s="1"/>
  <c r="AQ58" i="1"/>
  <c r="AU53" i="1"/>
  <c r="BH53" i="1" s="1"/>
  <c r="BI53" i="1" s="1"/>
  <c r="AQ59" i="1"/>
  <c r="AP58" i="1"/>
  <c r="AP59" i="1"/>
  <c r="AO54" i="1"/>
  <c r="AO55" i="1"/>
  <c r="AR53" i="1"/>
  <c r="AQ53" i="1"/>
  <c r="AZ61" i="1" l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P60" i="1" a="1"/>
  <c r="AP60" i="1" s="1"/>
  <c r="BA44" i="1" s="1" a="1"/>
  <c r="BA44" i="1" s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S45" i="1" s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P54" i="1"/>
  <c r="BF57" i="1" l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AU50" i="1" s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<sst xmlns="http://schemas.openxmlformats.org/spreadsheetml/2006/main" count="127" uniqueCount="102">
  <si>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</si>
  <si>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</si>
  <si>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</si>
  <si>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</si>
  <si>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</si>
  <si>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</si>
  <si>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</si>
  <si>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</si>
  <si>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</si>
  <si>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</si>
  <si>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</si>
  <si>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poids total</t>
  </si>
  <si>
    <t>autre prod</t>
  </si>
  <si>
    <t>OK</t>
  </si>
  <si>
    <t>NC</t>
  </si>
  <si>
    <t>PRODUCTION</t>
  </si>
  <si>
    <t>totaux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</si>
  <si>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</si>
  <si>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</si>
  <si>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</si>
  <si>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</si>
  <si>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</si>
  <si>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</si>
  <si>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</si>
  <si>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</si>
  <si>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</si>
  <si>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</si>
  <si>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</si>
  <si>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</si>
  <si>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</si>
  <si>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</si>
  <si>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</si>
  <si>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</si>
  <si>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</si>
  <si>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</si>
  <si>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</si>
  <si>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</si>
  <si>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</si>
  <si>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</si>
  <si>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</si>
  <si>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</si>
  <si>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</si>
  <si>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</si>
  <si>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</si>
  <si>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</si>
  <si>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</si>
  <si>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</si>
  <si>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</si>
  <si>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</si>
  <si>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</si>
  <si>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</si>
  <si>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</si>
  <si>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</si>
  <si>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</si>
  <si>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</si>
  <si>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</si>
  <si>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</si>
  <si>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</si>
  <si>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</si>
  <si>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</si>
  <si>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</si>
  <si>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</si>
  <si>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</si>
  <si>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</si>
  <si>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</si>
  <si>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</si>
  <si>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</si>
  <si>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</si>
  <si>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</si>
  <si>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</si>
  <si>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</si>
  <si>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</si>
  <si>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</si>
  <si>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</si>
  <si>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</si>
  <si>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</si>
  <si>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</si>
  <si>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</si>
  <si>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</si>
  <si>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</si>
  <si>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</si>
  <si>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</si>
  <si>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</si>
  <si>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</si>
  <si>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</si>
  <si>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</si>
  <si>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</si>
  <si>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</si>
  <si>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</si>
  <si>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</si>
  <si>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</si>
  <si>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</si>
  <si>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</si>
  <si>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</si>
  <si>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</si>
  <si>
    <t>obj</t>
  </si>
  <si>
    <t>Infos Poste &amp; Production</t>
  </si>
  <si>
    <t>plastique</t>
  </si>
  <si>
    <t>SI(AG52&lt;&gt;"";SI(ET(AH52&gt;=P52;AH52&lt;=Q52);"ok")</t>
  </si>
  <si>
    <t>SI(ET(AH52&gt;=AP53;AH52&lt;=AR53);"ok";"nok")</t>
  </si>
  <si>
    <t>(g)</t>
  </si>
  <si>
    <t>(pièces)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</si>
</sst>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78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3" fillId="7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/>
    <xf numFmtId="0" fontId="0" fillId="2" borderId="0" xfId="0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0" xfId="0" applyNumberFormat="1" applyFont="1" applyFill="1" applyAlignment="1">
      <alignment horizontal="right" vertical="center"/>
    </xf>
    <xf numFmtId="0" fontId="15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7" borderId="0" xfId="0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22" fontId="0" fillId="7" borderId="0" xfId="0" applyNumberFormat="1" applyFill="1" applyAlignment="1">
      <alignment vertical="center"/>
    </xf>
    <xf numFmtId="14" fontId="0" fillId="7" borderId="0" xfId="0" applyNumberForma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8" fillId="9" borderId="0" xfId="0" applyFont="1" applyFill="1" applyAlignment="1" applyProtection="1">
      <alignment horizontal="center" vertical="center"/>
      <protection locked="0"/>
    </xf>
    <xf numFmtId="0" fontId="19" fillId="2" borderId="0" xfId="0" applyFont="1" applyFill="1" applyAlignment="1">
      <alignment horizontal="right" vertical="center"/>
    </xf>
    <xf numFmtId="1" fontId="0" fillId="7" borderId="0" xfId="0" applyNumberFormat="1" applyFill="1" applyAlignment="1">
      <alignment horizontal="left" vertical="center"/>
    </xf>
    <xf numFmtId="0" fontId="0" fillId="8" borderId="0" xfId="0" applyFill="1" applyAlignment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3" fillId="10" borderId="0" xfId="0" applyFont="1" applyFill="1" applyAlignment="1" applyProtection="1">
      <alignment horizontal="center" vertical="center"/>
      <protection locked="0"/>
    </xf>
    <xf numFmtId="0" fontId="20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top"/>
    </xf>
  </cellXfs>
  <cellStyles count="1">
    <cellStyle name="Normal" xfId="0" builtinId="0"/>
  </cellStyles>
  <dxfs count="11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border>
        <bottom style="thin">
          <color rgb="FF0070C0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pixabay.com/en/calendar-monthly-office-schedule-23684/" TargetMode="External"/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6075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142876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34</xdr:col>
      <xdr:colOff>794832</xdr:colOff>
      <xdr:row>40</xdr:row>
      <xdr:rowOff>155377</xdr:rowOff>
    </xdr:from>
    <xdr:to>
      <xdr:col>36</xdr:col>
      <xdr:colOff>63309</xdr:colOff>
      <xdr:row>42</xdr:row>
      <xdr:rowOff>29138</xdr:rowOff>
    </xdr:to>
    <xdr:pic macro="[0]!manyo">
      <xdr:nvPicPr>
        <xdr:cNvPr id="5" name="Image 4">
          <a:extLst>
            <a:ext uri="{FF2B5EF4-FFF2-40B4-BE49-F238E27FC236}">
              <a16:creationId xmlns:a16="http://schemas.microsoft.com/office/drawing/2014/main" id="{2B14624F-4B93-3052-AE91-14D39506B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3771">
          <a:off x="25064888" y="7597340"/>
          <a:ext cx="279730" cy="251201"/>
        </a:xfrm>
        <a:prstGeom prst="rect">
          <a:avLst/>
        </a:prstGeom>
        <a:noFill/>
      </xdr:spPr>
    </xdr:pic>
    <xdr:clientData/>
  </xdr:two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A42" zoomScale="107" zoomScaleNormal="107" workbookViewId="0">
      <selection activeCell="AG45" sqref="AG45"/>
    </sheetView>
  </sheetViews>
  <sheetFormatPr baseColWidth="10" defaultColWidth="11.44140625" defaultRowHeight="14.4" x14ac:dyDescent="0.3"/>
  <cols>
    <col min="1" max="18" width="11.44140625" style="5" hidden="1" customWidth="1"/>
    <col min="19" max="20" width="5" style="5" hidden="1" customWidth="1"/>
    <col min="21" max="21" width="5.88671875" style="5" hidden="1" customWidth="1"/>
    <col min="22" max="22" width="6" style="5" hidden="1" customWidth="1"/>
    <col min="23" max="23" width="10.6640625" style="5" hidden="1" customWidth="1"/>
    <col min="24" max="26" width="11.44140625" style="5" hidden="1" customWidth="1"/>
    <col min="27" max="27" width="2.33203125" style="5" customWidth="1"/>
    <col min="28" max="28" width="11.44140625" style="5"/>
    <col min="29" max="29" width="8.109375" style="5" customWidth="1"/>
    <col min="30" max="30" width="13.88671875" style="5" customWidth="1"/>
    <col min="31" max="34" width="11.44140625" style="5"/>
    <col min="35" max="35" width="12.44140625" style="5" bestFit="1" customWidth="1"/>
    <col min="36" max="36" width="2.33203125" style="5" customWidth="1"/>
    <col min="37" max="38" width="10.33203125" style="5" customWidth="1"/>
    <col min="39" max="39" width="10.6640625" style="5" customWidth="1"/>
    <col min="40" max="40" width="2.33203125" style="5" customWidth="1"/>
    <col min="41" max="41" width="12.88671875" style="5" bestFit="1" customWidth="1"/>
    <col min="42" max="44" width="11.44140625" style="5"/>
    <col min="45" max="45" width="2.33203125" style="5" customWidth="1"/>
    <col min="46" max="46" width="13.5546875" style="3" customWidth="1"/>
    <col min="47" max="47" width="37.5546875" style="47" customWidth="1"/>
    <col min="48" max="48" width="5" style="47" customWidth="1"/>
    <col min="49" max="49" width="8.5546875" style="47" customWidth="1"/>
    <col min="50" max="50" width="7.5546875" style="47" customWidth="1"/>
    <col min="51" max="51" width="14" style="47" bestFit="1" customWidth="1"/>
    <col min="52" max="52" width="12.44140625" style="47" bestFit="1" customWidth="1"/>
    <col min="53" max="53" width="9.88671875" style="47" customWidth="1"/>
    <col min="54" max="54" width="6.88671875" style="47" customWidth="1"/>
    <col min="55" max="56" width="5.88671875" style="47" customWidth="1"/>
    <col min="57" max="57" width="10.33203125" style="47" customWidth="1"/>
    <col min="58" max="58" width="7.6640625" style="47" customWidth="1"/>
    <col min="59" max="59" width="12.33203125" style="47" bestFit="1" customWidth="1"/>
    <col min="60" max="60" width="11" style="47" bestFit="1" customWidth="1"/>
    <col min="61" max="61" width="29.44140625" style="47" bestFit="1" customWidth="1"/>
    <col min="62" max="62" width="9.6640625" style="47" bestFit="1" customWidth="1"/>
    <col min="63" max="63" width="7.88671875" style="47" bestFit="1" customWidth="1"/>
    <col min="64" max="64" width="10.5546875" style="47" bestFit="1" customWidth="1"/>
    <col min="65" max="65" width="10.6640625" style="47" bestFit="1" customWidth="1"/>
    <col min="66" max="66" width="15.44140625" style="47" bestFit="1" customWidth="1"/>
    <col min="67" max="68" width="9.33203125" style="47" customWidth="1"/>
    <col min="69" max="69" width="13.6640625" style="47" customWidth="1"/>
    <col min="70" max="70" width="7.6640625" style="47" customWidth="1"/>
    <col min="71" max="71" width="12.44140625" style="47" customWidth="1"/>
    <col min="72" max="72" width="3.88671875" style="47" bestFit="1" customWidth="1"/>
    <col min="73" max="73" width="5" style="3" bestFit="1" customWidth="1"/>
    <col min="74" max="75" width="11.44140625" style="3" customWidth="1"/>
    <col min="76" max="377" width="11.44140625" style="3"/>
    <col min="378" max="16384" width="11.44140625" style="5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28:44" hidden="1" x14ac:dyDescent="0.3"/>
    <row r="18" spans="28:44" hidden="1" x14ac:dyDescent="0.3"/>
    <row r="19" spans="28:44" hidden="1" x14ac:dyDescent="0.3"/>
    <row r="20" spans="28:44" hidden="1" x14ac:dyDescent="0.3"/>
    <row r="21" spans="28:44" hidden="1" x14ac:dyDescent="0.3"/>
    <row r="22" spans="28:44" hidden="1" x14ac:dyDescent="0.3"/>
    <row r="23" spans="28:44" hidden="1" x14ac:dyDescent="0.3"/>
    <row r="24" spans="28:44" hidden="1" x14ac:dyDescent="0.3"/>
    <row r="25" spans="28:44" hidden="1" x14ac:dyDescent="0.3"/>
    <row r="26" spans="28:44" hidden="1" x14ac:dyDescent="0.3"/>
    <row r="27" spans="28:44" hidden="1" x14ac:dyDescent="0.3"/>
    <row r="28" spans="28:44" hidden="1" x14ac:dyDescent="0.3"/>
    <row r="29" spans="28:44" hidden="1" x14ac:dyDescent="0.3"/>
    <row r="30" spans="28:44" hidden="1" x14ac:dyDescent="0.3"/>
    <row r="32" spans="28:44" x14ac:dyDescent="0.3">
      <c r="AB32" s="6"/>
      <c r="AC32" s="66" t="s">
        <v>33</v>
      </c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"/>
    </row>
    <row r="33" spans="20:74" x14ac:dyDescent="0.3">
      <c r="AB33" s="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"/>
      <c r="AT33" s="7"/>
      <c r="AU33" s="48"/>
      <c r="AV33" s="48"/>
      <c r="AW33" s="48"/>
      <c r="AX33" s="48"/>
    </row>
    <row r="34" spans="20:74" x14ac:dyDescent="0.3">
      <c r="AB34" s="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"/>
    </row>
    <row r="35" spans="20:74" x14ac:dyDescent="0.3">
      <c r="AB35" s="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"/>
    </row>
    <row r="36" spans="20:74" x14ac:dyDescent="0.3">
      <c r="AB36" s="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"/>
    </row>
    <row r="37" spans="20:74" ht="15" thickBot="1" x14ac:dyDescent="0.35">
      <c r="AB37" s="6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"/>
    </row>
    <row r="38" spans="20:74" ht="15" thickTop="1" x14ac:dyDescent="0.3">
      <c r="AB38" s="6"/>
      <c r="AC38" s="71"/>
      <c r="AD38" s="71"/>
      <c r="AE38" s="71"/>
      <c r="AF38" s="6"/>
      <c r="AG38" s="68" t="s">
        <v>34</v>
      </c>
      <c r="AH38" s="68"/>
      <c r="AI38" s="68"/>
      <c r="AJ38" s="68"/>
      <c r="AK38" s="68"/>
      <c r="AL38" s="68"/>
      <c r="AM38" s="6"/>
      <c r="AN38" s="6"/>
      <c r="AO38" s="6"/>
      <c r="AP38" s="6"/>
      <c r="AQ38" s="6"/>
      <c r="AR38" s="6"/>
    </row>
    <row r="39" spans="20:74" ht="15" thickBot="1" x14ac:dyDescent="0.35">
      <c r="AB39" s="6"/>
      <c r="AC39" s="6"/>
      <c r="AD39" s="6"/>
      <c r="AE39" s="6"/>
      <c r="AF39" s="6"/>
      <c r="AG39" s="68"/>
      <c r="AH39" s="68"/>
      <c r="AI39" s="68"/>
      <c r="AJ39" s="68"/>
      <c r="AK39" s="68"/>
      <c r="AL39" s="68"/>
      <c r="AM39" s="6"/>
      <c r="AN39" s="6"/>
      <c r="AO39" s="6"/>
      <c r="AP39" s="6"/>
      <c r="AQ39" s="6"/>
      <c r="AR39" s="6"/>
    </row>
    <row r="40" spans="20:74" ht="15.6" thickTop="1" thickBot="1" x14ac:dyDescent="0.3">
      <c r="T40" s="5" t="s">
        <v>98</v>
      </c>
      <c r="AB40" s="6"/>
      <c r="AC40" s="72" t="s">
        <v>37</v>
      </c>
      <c r="AD40" s="73"/>
      <c r="AE40" s="74"/>
      <c r="AF40" s="6"/>
      <c r="AG40" s="68"/>
      <c r="AH40" s="68"/>
      <c r="AI40" s="68"/>
      <c r="AJ40" s="68"/>
      <c r="AK40" s="68"/>
      <c r="AL40" s="68"/>
      <c r="AM40" s="6"/>
      <c r="AN40" s="6"/>
      <c r="AO40" s="6"/>
      <c r="AP40" s="70" t="s">
        <v>35</v>
      </c>
      <c r="AQ40" s="70"/>
      <c r="AR40" s="6"/>
    </row>
    <row r="41" spans="20:74" ht="15" thickTop="1" x14ac:dyDescent="0.3">
      <c r="T41" s="5" t="s">
        <v>99</v>
      </c>
      <c r="AB41" s="6"/>
      <c r="AC41" s="6"/>
      <c r="AD41" s="6"/>
      <c r="AE41" s="6"/>
      <c r="AF41" s="6"/>
      <c r="AG41" s="68"/>
      <c r="AH41" s="68"/>
      <c r="AI41" s="68"/>
      <c r="AJ41" s="68"/>
      <c r="AK41" s="68"/>
      <c r="AL41" s="68"/>
      <c r="AM41" s="6"/>
      <c r="AN41" s="6"/>
      <c r="AO41" s="6"/>
      <c r="AP41" s="69" t="s">
        <v>36</v>
      </c>
      <c r="AQ41" s="69"/>
      <c r="AR41" s="6"/>
    </row>
    <row r="42" spans="20:74" x14ac:dyDescent="0.3">
      <c r="AB42" s="6"/>
      <c r="AC42" s="6"/>
      <c r="AD42" s="6"/>
      <c r="AE42" s="6"/>
      <c r="AF42" s="6"/>
      <c r="AG42" s="52"/>
      <c r="AH42" s="60" t="s">
        <v>38</v>
      </c>
      <c r="AI42" s="60"/>
      <c r="AJ42" s="60"/>
      <c r="AK42" s="52"/>
      <c r="AL42" s="52"/>
      <c r="AM42" s="6"/>
      <c r="AN42" s="6"/>
      <c r="AO42" s="6"/>
      <c r="AP42" s="9"/>
      <c r="AQ42" s="9"/>
      <c r="AR42" s="6"/>
    </row>
    <row r="43" spans="20:74" x14ac:dyDescent="0.3">
      <c r="AI43" s="16"/>
      <c r="AJ43" s="53"/>
    </row>
    <row r="44" spans="20:74" x14ac:dyDescent="0.3">
      <c r="AA44" s="46" t="str">
        <f>IF(AND(posteDate&lt;&gt;"",postePeriode&lt;&gt;"",posteOperateur&lt;&gt;"",posteDuration&lt;&gt;"",prodType&lt;&gt;""),"ok","nok")</f>
        <v>ok</v>
      </c>
      <c r="AB44" s="62" t="s">
        <v>96</v>
      </c>
      <c r="AC44" s="62"/>
      <c r="AD44" s="62"/>
      <c r="AE44" s="62"/>
      <c r="AF44" s="62"/>
      <c r="AG44" s="62"/>
      <c r="AH44" s="62"/>
      <c r="AI44" s="62"/>
      <c r="AJ44" s="53"/>
      <c r="AK44" s="62" t="s">
        <v>17</v>
      </c>
      <c r="AL44" s="62"/>
      <c r="AM44" s="62"/>
      <c r="AN44" s="62"/>
      <c r="AO44" s="62"/>
      <c r="AP44" s="62"/>
      <c r="AQ44" s="62"/>
      <c r="AR44" s="62"/>
      <c r="AS44" s="46"/>
      <c r="AU44" s="49" t="s">
        <v>76</v>
      </c>
      <c r="AV44" s="49" t="s">
        <v>88</v>
      </c>
      <c r="AW44" s="49" t="s">
        <v>4</v>
      </c>
      <c r="AX44" s="49" t="s">
        <v>78</v>
      </c>
      <c r="AY44" s="49" t="s">
        <v>7</v>
      </c>
      <c r="AZ44" s="49" t="s">
        <v>73</v>
      </c>
      <c r="BA44" s="49" t="str" cm="1">
        <f t="array" ref="BA44:BG45">TRANSPOSE(AO58:AP64)</f>
        <v>OK</v>
      </c>
      <c r="BB44" s="49" t="str">
        <v>NC</v>
      </c>
      <c r="BC44" s="49" t="str">
        <v>Trou</v>
      </c>
      <c r="BD44" s="49" t="str">
        <v>Fil</v>
      </c>
      <c r="BE44" s="49" t="str">
        <v>Poids</v>
      </c>
      <c r="BF44" s="49" t="str">
        <v>Autre</v>
      </c>
      <c r="BG44" s="49" t="str">
        <v>Démarrage</v>
      </c>
      <c r="BH44" s="49" t="str" cm="1">
        <f t="array" ref="BH44:BN44">CONCATENATE(TRANSPOSE(AO58:AO64)," (pcs)")</f>
        <v>OK (pcs)</v>
      </c>
      <c r="BI44" s="49" t="str">
        <v>NC (pcs)</v>
      </c>
      <c r="BJ44" s="49" t="str">
        <v>Trou (pcs)</v>
      </c>
      <c r="BK44" s="49" t="str">
        <v>Fil (pcs)</v>
      </c>
      <c r="BL44" s="49" t="str">
        <v>Poids (pcs)</v>
      </c>
      <c r="BM44" s="49" t="str">
        <v>Autre (pcs)</v>
      </c>
      <c r="BN44" s="49" t="str">
        <v>Démarrage (pcs)</v>
      </c>
      <c r="BO44" s="49" t="s">
        <v>89</v>
      </c>
      <c r="BP44" s="49" t="s">
        <v>90</v>
      </c>
      <c r="BQ44" s="49" t="s">
        <v>91</v>
      </c>
      <c r="BR44" s="49" t="s">
        <v>83</v>
      </c>
      <c r="BS44" s="49" t="s">
        <v>30</v>
      </c>
      <c r="BT44" s="49" t="s">
        <v>95</v>
      </c>
      <c r="BU44" s="11" t="s">
        <v>0</v>
      </c>
      <c r="BV44" s="11"/>
    </row>
    <row r="45" spans="20:74" x14ac:dyDescent="0.3">
      <c r="AB45" s="44">
        <f>IF(posteDate&lt;&gt;"",posteDate,"")</f>
        <v>45033</v>
      </c>
      <c r="AC45" s="12" t="s">
        <v>0</v>
      </c>
      <c r="AD45" s="43">
        <v>45033</v>
      </c>
      <c r="AE45" s="13">
        <f>IF(AD45&lt;&gt;"",AD45-DATE(YEAR(AD45),1,1)+1,"")</f>
        <v>107</v>
      </c>
      <c r="AF45" s="12" t="s">
        <v>94</v>
      </c>
      <c r="AG45" s="40" t="s">
        <v>62</v>
      </c>
      <c r="AH45" s="12" t="s">
        <v>5</v>
      </c>
      <c r="AI45" s="40"/>
      <c r="AK45" s="75"/>
      <c r="AL45" s="75"/>
      <c r="AM45" s="75"/>
      <c r="AN45" s="75"/>
      <c r="AO45" s="75"/>
      <c r="AP45" s="75"/>
      <c r="AQ45" s="75"/>
      <c r="AR45" s="75"/>
      <c r="AU45" s="47" t="str">
        <f>CONCATENATE(23,"_",posteDate,"_",postePeriode,"_",posteOperateur,"_",prodType)</f>
        <v>23_45033_Nuit_Nicolas B._80g/m2</v>
      </c>
      <c r="AV45" s="47">
        <f>AD49</f>
        <v>480</v>
      </c>
      <c r="AW45" s="47" t="str">
        <f>posteMachine</f>
        <v>F</v>
      </c>
      <c r="AX45" s="47" t="str">
        <f>prodType</f>
        <v>80g/m2</v>
      </c>
      <c r="AY45" s="56">
        <f>AG48</f>
        <v>1400000888</v>
      </c>
      <c r="AZ45" s="56">
        <f>AI48</f>
        <v>14000007256</v>
      </c>
      <c r="BA45" s="47">
        <v>784</v>
      </c>
      <c r="BB45" s="47">
        <v>398</v>
      </c>
      <c r="BC45" s="47">
        <v>0</v>
      </c>
      <c r="BD45" s="47">
        <v>398</v>
      </c>
      <c r="BE45" s="47">
        <v>0</v>
      </c>
      <c r="BF45" s="47">
        <v>0</v>
      </c>
      <c r="BG45" s="47">
        <v>0</v>
      </c>
      <c r="BH45" s="47" cm="1">
        <f t="array" ref="BH45:BN45">TRANSPOSE(AQ58:AQ64)</f>
        <v>2</v>
      </c>
      <c r="BI45" s="47">
        <v>1</v>
      </c>
      <c r="BJ45" s="47">
        <v>0</v>
      </c>
      <c r="BK45" s="47">
        <v>1</v>
      </c>
      <c r="BL45" s="47">
        <v>0</v>
      </c>
      <c r="BM45" s="47">
        <v>0</v>
      </c>
      <c r="BN45" s="47">
        <v>0</v>
      </c>
      <c r="BO45" s="47">
        <f>AL65</f>
        <v>32</v>
      </c>
      <c r="BP45" s="47">
        <f>AM65</f>
        <v>32</v>
      </c>
      <c r="BQ45" s="47">
        <f>AL74</f>
        <v>302</v>
      </c>
      <c r="BR45" s="47" t="str">
        <f>AM74</f>
        <v/>
      </c>
      <c r="BS45" s="47">
        <f>AK51</f>
        <v>6.666666666666667</v>
      </c>
      <c r="BT45" s="47">
        <f>AM51</f>
        <v>30</v>
      </c>
      <c r="BU45" s="50"/>
    </row>
    <row r="46" spans="20:74" x14ac:dyDescent="0.3">
      <c r="AC46" s="12" t="s">
        <v>1</v>
      </c>
      <c r="AD46" s="42" t="s">
        <v>50</v>
      </c>
      <c r="AF46" s="12" t="s">
        <v>4</v>
      </c>
      <c r="AG46" s="39" t="str">
        <f>IF(prodType&lt;&gt;"",IF(AG47="nappes","F","E"),"")</f>
        <v>F</v>
      </c>
      <c r="AH46" s="12" t="s">
        <v>6</v>
      </c>
      <c r="AI46" s="39"/>
      <c r="AK46" s="75"/>
      <c r="AL46" s="75"/>
      <c r="AM46" s="75"/>
      <c r="AN46" s="75"/>
      <c r="AO46" s="75"/>
      <c r="AP46" s="75"/>
      <c r="AQ46" s="75"/>
      <c r="AR46" s="75"/>
    </row>
    <row r="47" spans="20:74" x14ac:dyDescent="0.3">
      <c r="AC47" s="12" t="s">
        <v>2</v>
      </c>
      <c r="AD47" s="42" t="s">
        <v>40</v>
      </c>
      <c r="AG47" s="14" t="str">
        <f>IF(prodType&lt;&gt;"",IF(RIGHT(prodType,1)="g","vrac","nappes"),"")</f>
        <v>nappes</v>
      </c>
      <c r="AK47" s="75"/>
      <c r="AL47" s="75"/>
      <c r="AM47" s="75"/>
      <c r="AN47" s="75"/>
      <c r="AO47" s="75"/>
      <c r="AP47" s="75"/>
      <c r="AQ47" s="75"/>
      <c r="AR47" s="75"/>
      <c r="AU47" s="51"/>
    </row>
    <row r="48" spans="20:74" x14ac:dyDescent="0.2">
      <c r="AC48" s="12" t="s">
        <v>3</v>
      </c>
      <c r="AD48" s="41">
        <v>0.33333333333333331</v>
      </c>
      <c r="AE48" s="15" t="s">
        <v>54</v>
      </c>
      <c r="AF48" s="55" t="s">
        <v>7</v>
      </c>
      <c r="AG48" s="54">
        <v>1400000888</v>
      </c>
      <c r="AH48" s="55" t="s">
        <v>73</v>
      </c>
      <c r="AI48" s="54">
        <v>14000007256</v>
      </c>
      <c r="AK48" s="75"/>
      <c r="AL48" s="75"/>
      <c r="AM48" s="75"/>
      <c r="AN48" s="75"/>
      <c r="AO48" s="75"/>
      <c r="AP48" s="75"/>
      <c r="AQ48" s="75"/>
      <c r="AR48" s="75"/>
    </row>
    <row r="49" spans="16:61" x14ac:dyDescent="0.3">
      <c r="AC49" s="17"/>
      <c r="AD49" s="18">
        <f>IF(posteDuration&lt;&gt;"",posteDuration*60*24,"")</f>
        <v>480</v>
      </c>
    </row>
    <row r="50" spans="16:61" x14ac:dyDescent="0.3">
      <c r="S50" s="5">
        <f>SUM(S52:S121)</f>
        <v>0</v>
      </c>
      <c r="T50" s="5">
        <f t="shared" ref="T50:W50" si="0">SUM(T52:T121)</f>
        <v>398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62" t="s">
        <v>15</v>
      </c>
      <c r="AC50" s="62"/>
      <c r="AD50" s="62"/>
      <c r="AE50" s="62"/>
      <c r="AF50" s="62"/>
      <c r="AG50" s="62"/>
      <c r="AH50" s="76" t="s">
        <v>16</v>
      </c>
      <c r="AI50" s="76"/>
      <c r="AK50" s="62" t="s">
        <v>30</v>
      </c>
      <c r="AL50" s="62"/>
      <c r="AM50" s="62"/>
      <c r="AO50" s="62" t="s">
        <v>74</v>
      </c>
      <c r="AP50" s="62"/>
      <c r="AQ50" s="62"/>
      <c r="AR50" s="62"/>
      <c r="AU50" s="47">
        <f>COUNT(AV$52:AV$121)</f>
        <v>2</v>
      </c>
    </row>
    <row r="51" spans="16:61" ht="15" customHeight="1" x14ac:dyDescent="0.3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87</v>
      </c>
      <c r="Y51" s="5" t="s">
        <v>86</v>
      </c>
      <c r="Z51" s="16" t="s">
        <v>75</v>
      </c>
      <c r="AB51" s="19" t="s">
        <v>93</v>
      </c>
      <c r="AC51" s="19" t="s">
        <v>9</v>
      </c>
      <c r="AD51" s="20" t="s">
        <v>10</v>
      </c>
      <c r="AE51" s="19" t="s">
        <v>97</v>
      </c>
      <c r="AF51" s="19" t="s">
        <v>11</v>
      </c>
      <c r="AG51" s="19" t="s">
        <v>12</v>
      </c>
      <c r="AH51" s="21" t="s">
        <v>13</v>
      </c>
      <c r="AI51" s="22" t="s">
        <v>14</v>
      </c>
      <c r="AK51" s="63">
        <f>IF(AM51&lt;&gt;"",AQ58/AM51*100,"")</f>
        <v>6.666666666666667</v>
      </c>
      <c r="AL51" s="63"/>
      <c r="AM51" s="19">
        <f>IF(AND(prodType&lt;&gt;"",AD49&lt;&gt;""),IF(prodType="80g/m2",VLOOKUP(AD49,matriceTRS!E:H,4,TRUE),IF(prodType="65g/m2",VLOOKUP(AD49,matriceTRS!F:H,3,TRUE),IF(AG47="vrac",VLOOKUP(AD49,matriceTRS!K1:M14,3,TRUE)))),"")</f>
        <v>30</v>
      </c>
      <c r="AO51" s="10" t="str">
        <f>IF(prodType&lt;&gt;"",AG45,"")</f>
        <v>80g/m2</v>
      </c>
      <c r="AP51" s="23" t="s">
        <v>26</v>
      </c>
      <c r="AQ51" s="23" t="s">
        <v>27</v>
      </c>
      <c r="AR51" s="23" t="s">
        <v>28</v>
      </c>
      <c r="AU51" s="49" t="s">
        <v>77</v>
      </c>
      <c r="AV51" s="49" t="s">
        <v>79</v>
      </c>
      <c r="AW51" s="49" t="s">
        <v>8</v>
      </c>
      <c r="AX51" s="49" t="s">
        <v>78</v>
      </c>
      <c r="AY51" s="49" t="s">
        <v>24</v>
      </c>
      <c r="AZ51" s="49" t="s">
        <v>4</v>
      </c>
      <c r="BA51" s="49" t="s">
        <v>84</v>
      </c>
      <c r="BB51" s="49" t="s">
        <v>55</v>
      </c>
      <c r="BC51" s="49" t="s">
        <v>80</v>
      </c>
      <c r="BD51" s="49" t="s">
        <v>81</v>
      </c>
      <c r="BE51" s="49" t="s">
        <v>82</v>
      </c>
      <c r="BF51" s="49" t="s">
        <v>83</v>
      </c>
      <c r="BG51" s="49" t="s">
        <v>7</v>
      </c>
      <c r="BH51" s="49" t="s">
        <v>0</v>
      </c>
      <c r="BI51" s="49" t="s">
        <v>76</v>
      </c>
    </row>
    <row r="52" spans="16:61" ht="15" customHeight="1" x14ac:dyDescent="0.3">
      <c r="P52" s="5" t="str">
        <f>IF(AG52&lt;&gt;"",HLOOKUP(AG52,dataProduits!D$1:H$10,2,FALSE),"")</f>
        <v/>
      </c>
      <c r="Q52" s="5" t="str">
        <f>IF(AG52&lt;&gt;"",HLOOKUP(PROD!AG52,dataProduits!D$1:H$10,4,FALSE),"")</f>
        <v/>
      </c>
      <c r="R52" s="5" t="str">
        <f>IF(AF52&lt;&gt;"",IF(AG52="",IF(AND(AH52&gt;=AP$53,AH52&lt;=AR$53),"ok","nok"),IF(AND(AH52&gt;=P52,AH52&lt;=Q52),"ok","nok")),"")</f>
        <v>ok</v>
      </c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 t="shared" ref="Y52:Y83" si="2">IF(AND(AF52&lt;&gt;"",AD52&lt;&gt;""),IF(OR(prodType="2x250g",AG52="2x250g"),0.5,1),"")</f>
        <v/>
      </c>
      <c r="Z52" s="5">
        <f t="shared" ref="Z52:Z83" si="3">IF(AND(AF52&lt;&gt;"",AD52=""),IF(AG52="500g",1,IF(OR(prodType="2x250g",AND(AG52="2x250g")),0.5,1)),"")</f>
        <v>1</v>
      </c>
      <c r="AB52" s="16" t="str">
        <f>IF(OR(RIGHT(prodType,1)="g",RIGHT(AG52,1)="g"),"droite","")</f>
        <v/>
      </c>
      <c r="AC52" s="24">
        <f>IF(Z52&lt;&gt;"",SUM(Z$52:Z52),"")</f>
        <v>1</v>
      </c>
      <c r="AD52" s="37"/>
      <c r="AE52" s="58"/>
      <c r="AF52" s="37">
        <v>387</v>
      </c>
      <c r="AG52" s="37"/>
      <c r="AH52" s="4">
        <f>IF(AF52&lt;&gt;"",IF(AD52="",IF(AE52="",AF52,AF52-AE52),0),0)</f>
        <v>387</v>
      </c>
      <c r="AI52" s="4">
        <f>IF(AF52&lt;&gt;"",IF(AD52&lt;&gt;"",IF(AE52="",AF52,AF52-AE52),0),0)</f>
        <v>0</v>
      </c>
      <c r="AK52" s="63"/>
      <c r="AL52" s="63"/>
      <c r="AM52" s="64" t="s">
        <v>31</v>
      </c>
      <c r="AO52" s="25" t="s">
        <v>71</v>
      </c>
      <c r="AP52" s="26">
        <v>25</v>
      </c>
      <c r="AQ52" s="26">
        <v>35</v>
      </c>
      <c r="AR52" s="26">
        <v>50</v>
      </c>
      <c r="AU52" s="47" t="str">
        <f>IF(AF52&lt;&gt;"",CONCATENATE(AU$45,"_",AC52),"")</f>
        <v>23_45033_Nuit_Nicolas B._80g/m2_1</v>
      </c>
      <c r="AV52" s="47">
        <f>IF(AX52&lt;&gt;"",IF(AD52="",AC52,CONCATENATE("NC_",X52)),"")</f>
        <v>1</v>
      </c>
      <c r="AW52" s="47" t="str">
        <f>IF(AU52&lt;&gt;"",AB52,"")</f>
        <v/>
      </c>
      <c r="AX52" s="47" t="str">
        <f t="shared" ref="AX52:AX83" si="4">IF(AU52&lt;&gt;"",IF(AND(AG52=""),prodType,AG52),"")</f>
        <v>80g/m2</v>
      </c>
      <c r="AY52" s="47">
        <f>IF(AU52&lt;&gt;"",IF(AD52="",AH52,AI52),"")</f>
        <v>387</v>
      </c>
      <c r="AZ52" s="47" t="str">
        <f t="shared" ref="AZ52:AZ83" si="5">IF(AU52&lt;&gt;"",posteMachine,"")</f>
        <v>F</v>
      </c>
      <c r="BA52" s="47" t="str">
        <f t="shared" ref="BA52:BA83" si="6">IF(AU52&lt;&gt;"",posteOperateur,"")</f>
        <v>Nicolas B.</v>
      </c>
      <c r="BB52" s="47">
        <f>IF(AU52&lt;&gt;"",AD52,"")</f>
        <v>0</v>
      </c>
      <c r="BC52" s="47" t="str">
        <f t="shared" ref="BC52:BC83" si="7">IFERROR(VLOOKUP(AV52,micCtl,2,FALSE),"")</f>
        <v/>
      </c>
      <c r="BD52" s="47" t="str">
        <f t="shared" ref="BD52:BD83" si="8">IFERROR(VLOOKUP(AV52,micCtl,3,FALSE),"")</f>
        <v/>
      </c>
      <c r="BE52" s="47" t="str">
        <f t="shared" ref="BE52:BE83" si="9">IFERROR(VLOOKUP(AV52,finalCtl,2,FALSE),"")</f>
        <v/>
      </c>
      <c r="BF52" s="47" t="str">
        <f t="shared" ref="BF52:BF83" si="10">IFERROR(VLOOKUP(AV52,finalCtl,3,FALSE),"")</f>
        <v/>
      </c>
      <c r="BG52" s="56">
        <f>IF(AU52&lt;&gt;"",IF(AG52="",AG$48,AI$48),"")</f>
        <v>1400000888</v>
      </c>
      <c r="BH52" s="51">
        <f t="shared" ref="BH52:BH83" si="11">IF(AU52&lt;&gt;"",posteDate,"")</f>
        <v>45033</v>
      </c>
      <c r="BI52" s="47" t="str">
        <f>IF(BH52&lt;&gt;"",AU$45,"")</f>
        <v>23_45033_Nuit_Nicolas B._80g/m2</v>
      </c>
    </row>
    <row r="53" spans="16:61" ht="15" customHeight="1" x14ac:dyDescent="0.3">
      <c r="P53" s="5" t="str">
        <f>IF(AG53&lt;&gt;"",HLOOKUP(AG53,dataProduits!D$1:H$10,2,FALSE),"")</f>
        <v/>
      </c>
      <c r="Q53" s="5" t="str">
        <f>IF(AG53&lt;&gt;"",HLOOKUP(PROD!AG53,dataProduits!D$1:H$10,4,FALSE),"")</f>
        <v/>
      </c>
      <c r="R53" s="5" t="str">
        <f t="shared" ref="R53:R116" si="12">IF(AF53&lt;&gt;"",IF(AG53="",IF(AND(AH53&gt;=AP$53,AH53&lt;=AR$53),"ok","nok"),IF(AND(AH53&gt;=P53,AH53&lt;=Q53),"ok","nok")),"")</f>
        <v>ok</v>
      </c>
      <c r="S53" s="5" t="str">
        <f t="shared" ref="S53:W84" si="13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 t="shared" si="2"/>
        <v/>
      </c>
      <c r="Z53" s="5">
        <f t="shared" si="3"/>
        <v>1</v>
      </c>
      <c r="AB53" s="16" t="str">
        <f>IF(OR(RIGHT(prodType,1)="g",,RIGHT(AG53,1)="g"),"gauche","")</f>
        <v/>
      </c>
      <c r="AC53" s="24">
        <f>IF(Z53&lt;&gt;"",SUM(Z$52:Z53),"")</f>
        <v>2</v>
      </c>
      <c r="AD53" s="37"/>
      <c r="AE53" s="58"/>
      <c r="AF53" s="37">
        <v>397</v>
      </c>
      <c r="AG53" s="37"/>
      <c r="AH53" s="4">
        <f>IF(AF53&lt;&gt;"",IF(AD53="",IF(AE53="",AF53,AF53-AE53),0),0)</f>
        <v>397</v>
      </c>
      <c r="AI53" s="4">
        <f>IF(AF53&lt;&gt;"",IF(AD53&lt;&gt;"",IF(AE53="",AF53,AF53-AE53),0),0)</f>
        <v>0</v>
      </c>
      <c r="AK53" s="63"/>
      <c r="AL53" s="63"/>
      <c r="AM53" s="64"/>
      <c r="AO53" s="25" t="str">
        <f>IF(AG47&lt;&gt;"","poids fibrage","")</f>
        <v>poids fibrage</v>
      </c>
      <c r="AP53" s="26">
        <f>IF($AO$51&lt;&gt;"",HLOOKUP(prodType,dataProduits!$D$1:$H$10,2,FALSE),"")</f>
        <v>380</v>
      </c>
      <c r="AQ53" s="26">
        <f>IF($AO$51&lt;&gt;"",HLOOKUP(prodType,dataProduits!$D$1:$H$10,3,FALSE),"")</f>
        <v>380</v>
      </c>
      <c r="AR53" s="26">
        <f>IF($AO$51&lt;&gt;"",HLOOKUP(prodType,dataProduits!$D$1:$H$10,4,FALSE),"")</f>
        <v>410</v>
      </c>
      <c r="AU53" s="47" t="str">
        <f t="shared" ref="AU53:AU63" si="14">IF(AF53&lt;&gt;"",CONCATENATE(AU$45,"_",AC53),"")</f>
        <v>23_45033_Nuit_Nicolas B._80g/m2_2</v>
      </c>
      <c r="AV53" s="47">
        <f t="shared" ref="AV53:AV63" si="15">IF(AX53&lt;&gt;"",IF(AD53="",AC53,CONCATENATE("NC_",X53)),"")</f>
        <v>2</v>
      </c>
      <c r="AW53" s="47" t="str">
        <f t="shared" ref="AW53:AW63" si="16">IF(AU53&lt;&gt;"",AB53,"")</f>
        <v/>
      </c>
      <c r="AX53" s="47" t="str">
        <f t="shared" si="4"/>
        <v>80g/m2</v>
      </c>
      <c r="AY53" s="47">
        <f t="shared" ref="AY53:AY63" si="17">IF(AU53&lt;&gt;"",IF(AD53="",AH53,AI53),"")</f>
        <v>397</v>
      </c>
      <c r="AZ53" s="47" t="str">
        <f t="shared" si="5"/>
        <v>F</v>
      </c>
      <c r="BA53" s="47" t="str">
        <f t="shared" si="6"/>
        <v>Nicolas B.</v>
      </c>
      <c r="BB53" s="47">
        <f t="shared" ref="BB53:BB63" si="18">IF(AU53&lt;&gt;"",AD53,"")</f>
        <v>0</v>
      </c>
      <c r="BC53" s="47" t="str">
        <f t="shared" si="7"/>
        <v/>
      </c>
      <c r="BD53" s="47" t="str">
        <f t="shared" si="8"/>
        <v/>
      </c>
      <c r="BE53" s="47" t="str">
        <f t="shared" si="9"/>
        <v/>
      </c>
      <c r="BF53" s="47" t="str">
        <f t="shared" si="10"/>
        <v/>
      </c>
      <c r="BG53" s="56">
        <f t="shared" ref="BG53:BG116" si="19">IF(AU53&lt;&gt;"",IF(AG53="",AG$48,AI$48),"")</f>
        <v>1400000888</v>
      </c>
      <c r="BH53" s="51">
        <f t="shared" si="11"/>
        <v>45033</v>
      </c>
      <c r="BI53" s="47" t="str">
        <f t="shared" ref="BI53:BI116" si="20">IF(BH53&lt;&gt;"",AU$45,"")</f>
        <v>23_45033_Nuit_Nicolas B._80g/m2</v>
      </c>
    </row>
    <row r="54" spans="16:61" ht="15" customHeight="1" x14ac:dyDescent="0.3">
      <c r="P54" s="5" t="str">
        <f>IF(AG54&lt;&gt;"",HLOOKUP(AG54,dataProduits!D$1:H$10,2,FALSE),"")</f>
        <v/>
      </c>
      <c r="Q54" s="5" t="str">
        <f>IF(AG54&lt;&gt;"",HLOOKUP(PROD!AG54,dataProduits!D$1:H$10,4,FALSE),"")</f>
        <v/>
      </c>
      <c r="R54" s="5" t="str">
        <f t="shared" si="12"/>
        <v>nok</v>
      </c>
      <c r="S54" s="5" t="str">
        <f t="shared" si="13"/>
        <v/>
      </c>
      <c r="T54" s="5">
        <f t="shared" si="1"/>
        <v>398</v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>
        <f>IF(Y54&lt;&gt;"",SUM(Y$52:Y54),"")</f>
        <v>1</v>
      </c>
      <c r="Y54" s="5">
        <f t="shared" si="2"/>
        <v>1</v>
      </c>
      <c r="Z54" s="5" t="str">
        <f t="shared" si="3"/>
        <v/>
      </c>
      <c r="AB54" s="16" t="str">
        <f>IF(RIGHT(prodType,1)="g","droite","")</f>
        <v/>
      </c>
      <c r="AC54" s="24" t="str">
        <f>IF(Z54&lt;&gt;"",SUM(Z$52:Z54),"")</f>
        <v/>
      </c>
      <c r="AD54" s="37" t="s">
        <v>57</v>
      </c>
      <c r="AE54" s="58"/>
      <c r="AF54" s="37">
        <v>398</v>
      </c>
      <c r="AG54" s="37"/>
      <c r="AH54" s="4">
        <f t="shared" ref="AH54:AH116" si="21">IF(AF54&lt;&gt;"",IF(AD54="",IF(AE54="",AF54,AF54-AE54),0),0)</f>
        <v>0</v>
      </c>
      <c r="AI54" s="4">
        <f t="shared" ref="AI54:AI116" si="22">IF(AF54&lt;&gt;"",IF(AD54&lt;&gt;"",IF(AE54="",AF54,AF54-AE54),0),0)</f>
        <v>398</v>
      </c>
      <c r="AK54" s="63"/>
      <c r="AL54" s="63"/>
      <c r="AM54" s="64"/>
      <c r="AO54" s="25" t="str">
        <f>IF(AND($AO$51&lt;&gt;"500g",$AO$51&lt;&gt;"2x250g",$AO$51&lt;&gt;"50g",AO51&lt;&gt;""),"pds enssimage","")</f>
        <v>pds enssimage</v>
      </c>
      <c r="AP54" s="26">
        <f>IF($AO$54&lt;&gt;"",HLOOKUP(prodType,dataProduits!$D$1:$H$10,9,FALSE),"")</f>
        <v>252</v>
      </c>
      <c r="AQ54" s="26"/>
      <c r="AR54" s="26">
        <f>IF($AO$54&lt;&gt;"",HLOOKUP(prodType,dataProduits!$D$1:$H$10,10,FALSE),"")</f>
        <v>308</v>
      </c>
      <c r="AU54" s="47" t="str">
        <f t="shared" si="14"/>
        <v>23_45033_Nuit_Nicolas B._80g/m2_</v>
      </c>
      <c r="AV54" s="47" t="str">
        <f t="shared" si="15"/>
        <v>NC_1</v>
      </c>
      <c r="AW54" s="47" t="str">
        <f t="shared" si="16"/>
        <v/>
      </c>
      <c r="AX54" s="47" t="str">
        <f t="shared" si="4"/>
        <v>80g/m2</v>
      </c>
      <c r="AY54" s="47">
        <f t="shared" si="17"/>
        <v>398</v>
      </c>
      <c r="AZ54" s="47" t="str">
        <f t="shared" si="5"/>
        <v>F</v>
      </c>
      <c r="BA54" s="47" t="str">
        <f t="shared" si="6"/>
        <v>Nicolas B.</v>
      </c>
      <c r="BB54" s="47" t="str">
        <f t="shared" si="18"/>
        <v>Fil</v>
      </c>
      <c r="BC54" s="47" t="str">
        <f t="shared" si="7"/>
        <v/>
      </c>
      <c r="BD54" s="47" t="str">
        <f t="shared" si="8"/>
        <v/>
      </c>
      <c r="BE54" s="47" t="str">
        <f t="shared" si="9"/>
        <v/>
      </c>
      <c r="BF54" s="47" t="str">
        <f t="shared" si="10"/>
        <v/>
      </c>
      <c r="BG54" s="56">
        <f t="shared" si="19"/>
        <v>1400000888</v>
      </c>
      <c r="BH54" s="51">
        <f t="shared" si="11"/>
        <v>45033</v>
      </c>
      <c r="BI54" s="47" t="str">
        <f t="shared" si="20"/>
        <v>23_45033_Nuit_Nicolas B._80g/m2</v>
      </c>
    </row>
    <row r="55" spans="16:61" ht="15" customHeight="1" x14ac:dyDescent="0.3">
      <c r="P55" s="5" t="str">
        <f>IF(AG55&lt;&gt;"",HLOOKUP(AG55,dataProduits!D$1:H$10,2,FALSE),"")</f>
        <v/>
      </c>
      <c r="Q55" s="5" t="str">
        <f>IF(AG55&lt;&gt;"",HLOOKUP(PROD!AG55,dataProduits!D$1:H$10,4,FALSE),"")</f>
        <v/>
      </c>
      <c r="R55" s="5" t="str">
        <f t="shared" si="12"/>
        <v/>
      </c>
      <c r="S55" s="5" t="str">
        <f t="shared" si="13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 t="shared" si="2"/>
        <v/>
      </c>
      <c r="Z55" s="5" t="str">
        <f t="shared" si="3"/>
        <v/>
      </c>
      <c r="AB55" s="16" t="str">
        <f>IF(RIGHT(prodType,1)="g","gauche","")</f>
        <v/>
      </c>
      <c r="AC55" s="24" t="str">
        <f>IF(Z55&lt;&gt;"",SUM(Z$52:Z55),"")</f>
        <v/>
      </c>
      <c r="AD55" s="37"/>
      <c r="AE55" s="58"/>
      <c r="AF55" s="37"/>
      <c r="AG55" s="37"/>
      <c r="AH55" s="4">
        <f t="shared" si="21"/>
        <v>0</v>
      </c>
      <c r="AI55" s="4">
        <f t="shared" si="22"/>
        <v>0</v>
      </c>
      <c r="AK55" s="63"/>
      <c r="AL55" s="63"/>
      <c r="AM55" s="64"/>
      <c r="AO55" s="25" t="str">
        <f>IF(AND($AO$51&lt;&gt;"500g",$AO$51&lt;&gt;"2x250g",$AO$51&lt;&gt;"50g",AO51&lt;&gt;""),"ep enssimage","")</f>
        <v>ep enssimage</v>
      </c>
      <c r="AP55" s="26">
        <f>IF($AO$54&lt;&gt;"",HLOOKUP(prodType,dataProduits!$D$1:$H$10,6,FALSE),"")</f>
        <v>3.6</v>
      </c>
      <c r="AQ55" s="26"/>
      <c r="AR55" s="26"/>
      <c r="AU55" s="47" t="str">
        <f t="shared" si="14"/>
        <v/>
      </c>
      <c r="AV55" s="47" t="str">
        <f t="shared" si="15"/>
        <v/>
      </c>
      <c r="AW55" s="47" t="str">
        <f t="shared" si="16"/>
        <v/>
      </c>
      <c r="AX55" s="47" t="str">
        <f t="shared" si="4"/>
        <v/>
      </c>
      <c r="AY55" s="47" t="str">
        <f t="shared" si="17"/>
        <v/>
      </c>
      <c r="AZ55" s="47" t="str">
        <f t="shared" si="5"/>
        <v/>
      </c>
      <c r="BA55" s="47" t="str">
        <f t="shared" si="6"/>
        <v/>
      </c>
      <c r="BB55" s="47" t="str">
        <f t="shared" si="18"/>
        <v/>
      </c>
      <c r="BC55" s="47" t="str">
        <f t="shared" si="7"/>
        <v/>
      </c>
      <c r="BD55" s="47" t="str">
        <f t="shared" si="8"/>
        <v/>
      </c>
      <c r="BE55" s="47" t="str">
        <f t="shared" si="9"/>
        <v/>
      </c>
      <c r="BF55" s="47" t="str">
        <f t="shared" si="10"/>
        <v/>
      </c>
      <c r="BG55" s="56" t="str">
        <f t="shared" si="19"/>
        <v/>
      </c>
      <c r="BH55" s="51" t="str">
        <f t="shared" si="11"/>
        <v/>
      </c>
      <c r="BI55" s="47" t="str">
        <f t="shared" si="20"/>
        <v/>
      </c>
    </row>
    <row r="56" spans="16:61" ht="15" customHeight="1" x14ac:dyDescent="0.3">
      <c r="P56" s="5" t="str">
        <f>IF(AG56&lt;&gt;"",HLOOKUP(AG56,dataProduits!D$1:H$10,2,FALSE),"")</f>
        <v/>
      </c>
      <c r="Q56" s="5" t="str">
        <f>IF(AG56&lt;&gt;"",HLOOKUP(PROD!AG56,dataProduits!D$1:H$10,4,FALSE),"")</f>
        <v/>
      </c>
      <c r="R56" s="5" t="str">
        <f t="shared" si="12"/>
        <v/>
      </c>
      <c r="S56" s="5" t="str">
        <f t="shared" si="13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 t="shared" si="2"/>
        <v/>
      </c>
      <c r="Z56" s="5" t="str">
        <f t="shared" si="3"/>
        <v/>
      </c>
      <c r="AB56" s="16" t="str">
        <f>IF(RIGHT(prodType,1)="g","droite","")</f>
        <v/>
      </c>
      <c r="AC56" s="24" t="str">
        <f>IF(Z56&lt;&gt;"",SUM(Z$52:Z56),"")</f>
        <v/>
      </c>
      <c r="AD56" s="37"/>
      <c r="AE56" s="58"/>
      <c r="AF56" s="37"/>
      <c r="AG56" s="37"/>
      <c r="AH56" s="4">
        <f t="shared" si="21"/>
        <v>0</v>
      </c>
      <c r="AI56" s="4">
        <f t="shared" si="22"/>
        <v>0</v>
      </c>
      <c r="AK56" s="27"/>
      <c r="AL56" s="27"/>
      <c r="AM56" s="27"/>
      <c r="AU56" s="47" t="str">
        <f t="shared" si="14"/>
        <v/>
      </c>
      <c r="AV56" s="47" t="str">
        <f t="shared" si="15"/>
        <v/>
      </c>
      <c r="AW56" s="47" t="str">
        <f t="shared" si="16"/>
        <v/>
      </c>
      <c r="AX56" s="47" t="str">
        <f t="shared" si="4"/>
        <v/>
      </c>
      <c r="AY56" s="47" t="str">
        <f t="shared" si="17"/>
        <v/>
      </c>
      <c r="AZ56" s="47" t="str">
        <f t="shared" si="5"/>
        <v/>
      </c>
      <c r="BA56" s="47" t="str">
        <f t="shared" si="6"/>
        <v/>
      </c>
      <c r="BB56" s="47" t="str">
        <f t="shared" si="18"/>
        <v/>
      </c>
      <c r="BC56" s="47" t="str">
        <f t="shared" si="7"/>
        <v/>
      </c>
      <c r="BD56" s="47" t="str">
        <f t="shared" si="8"/>
        <v/>
      </c>
      <c r="BE56" s="47" t="str">
        <f t="shared" si="9"/>
        <v/>
      </c>
      <c r="BF56" s="47" t="str">
        <f t="shared" si="10"/>
        <v/>
      </c>
      <c r="BG56" s="56" t="str">
        <f t="shared" si="19"/>
        <v/>
      </c>
      <c r="BH56" s="51" t="str">
        <f t="shared" si="11"/>
        <v/>
      </c>
      <c r="BI56" s="47" t="str">
        <f t="shared" si="20"/>
        <v/>
      </c>
    </row>
    <row r="57" spans="16:61" x14ac:dyDescent="0.3">
      <c r="P57" s="5" t="str">
        <f>IF(AG57&lt;&gt;"",HLOOKUP(AG57,dataProduits!D$1:H$10,2,FALSE),"")</f>
        <v/>
      </c>
      <c r="Q57" s="5" t="str">
        <f>IF(AG57&lt;&gt;"",HLOOKUP(PROD!AG57,dataProduits!D$1:H$10,4,FALSE),"")</f>
        <v/>
      </c>
      <c r="R57" s="5" t="str">
        <f t="shared" si="12"/>
        <v/>
      </c>
      <c r="S57" s="5" t="str">
        <f t="shared" si="13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 t="shared" si="2"/>
        <v/>
      </c>
      <c r="Z57" s="5" t="str">
        <f t="shared" si="3"/>
        <v/>
      </c>
      <c r="AB57" s="16" t="str">
        <f>IF(RIGHT(prodType,1)="g","gauche","")</f>
        <v/>
      </c>
      <c r="AC57" s="24" t="str">
        <f>IF(Z57&lt;&gt;"",SUM(Z$52:Z57),"")</f>
        <v/>
      </c>
      <c r="AD57" s="37"/>
      <c r="AE57" s="58"/>
      <c r="AF57" s="37"/>
      <c r="AG57" s="37"/>
      <c r="AH57" s="4">
        <f t="shared" si="21"/>
        <v>0</v>
      </c>
      <c r="AI57" s="4">
        <f t="shared" si="22"/>
        <v>0</v>
      </c>
      <c r="AK57" s="62" t="s">
        <v>18</v>
      </c>
      <c r="AL57" s="62"/>
      <c r="AM57" s="62"/>
      <c r="AO57" s="62" t="s">
        <v>25</v>
      </c>
      <c r="AP57" s="62"/>
      <c r="AQ57" s="62"/>
      <c r="AR57" s="61" t="s">
        <v>85</v>
      </c>
      <c r="AU57" s="47" t="str">
        <f t="shared" si="14"/>
        <v/>
      </c>
      <c r="AV57" s="47" t="str">
        <f t="shared" si="15"/>
        <v/>
      </c>
      <c r="AW57" s="47" t="str">
        <f t="shared" si="16"/>
        <v/>
      </c>
      <c r="AX57" s="47" t="str">
        <f t="shared" si="4"/>
        <v/>
      </c>
      <c r="AY57" s="47" t="str">
        <f t="shared" si="17"/>
        <v/>
      </c>
      <c r="AZ57" s="47" t="str">
        <f t="shared" si="5"/>
        <v/>
      </c>
      <c r="BA57" s="47" t="str">
        <f t="shared" si="6"/>
        <v/>
      </c>
      <c r="BB57" s="47" t="str">
        <f t="shared" si="18"/>
        <v/>
      </c>
      <c r="BC57" s="47" t="str">
        <f t="shared" si="7"/>
        <v/>
      </c>
      <c r="BD57" s="47" t="str">
        <f t="shared" si="8"/>
        <v/>
      </c>
      <c r="BE57" s="47" t="str">
        <f t="shared" si="9"/>
        <v/>
      </c>
      <c r="BF57" s="47" t="str">
        <f t="shared" si="10"/>
        <v/>
      </c>
      <c r="BG57" s="56" t="str">
        <f t="shared" si="19"/>
        <v/>
      </c>
      <c r="BH57" s="51" t="str">
        <f t="shared" si="11"/>
        <v/>
      </c>
      <c r="BI57" s="47" t="str">
        <f t="shared" si="20"/>
        <v/>
      </c>
    </row>
    <row r="58" spans="16:61" x14ac:dyDescent="0.3">
      <c r="P58" s="5" t="str">
        <f>IF(AG58&lt;&gt;"",HLOOKUP(AG58,dataProduits!D$1:H$10,2,FALSE),"")</f>
        <v/>
      </c>
      <c r="Q58" s="5" t="str">
        <f>IF(AG58&lt;&gt;"",HLOOKUP(PROD!AG58,dataProduits!D$1:H$10,4,FALSE),"")</f>
        <v/>
      </c>
      <c r="R58" s="5" t="str">
        <f t="shared" si="12"/>
        <v/>
      </c>
      <c r="S58" s="5" t="str">
        <f t="shared" si="13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 t="shared" si="2"/>
        <v/>
      </c>
      <c r="Z58" s="5" t="str">
        <f t="shared" si="3"/>
        <v/>
      </c>
      <c r="AB58" s="16" t="str">
        <f>IF(RIGHT(prodType,1)="g","droite","")</f>
        <v/>
      </c>
      <c r="AC58" s="24" t="str">
        <f>IF(Z58&lt;&gt;"",SUM(Z$52:Z58),"")</f>
        <v/>
      </c>
      <c r="AD58" s="37"/>
      <c r="AE58" s="58"/>
      <c r="AF58" s="37"/>
      <c r="AG58" s="37"/>
      <c r="AH58" s="4">
        <f t="shared" si="21"/>
        <v>0</v>
      </c>
      <c r="AI58" s="4">
        <f t="shared" si="22"/>
        <v>0</v>
      </c>
      <c r="AK58" s="8"/>
      <c r="AL58" s="23" t="s">
        <v>19</v>
      </c>
      <c r="AM58" s="23" t="s">
        <v>20</v>
      </c>
      <c r="AO58" s="28" t="s">
        <v>13</v>
      </c>
      <c r="AP58" s="21">
        <f>SUM(AH52:AH121)</f>
        <v>784</v>
      </c>
      <c r="AQ58" s="29">
        <f>SUM(Z52:Z121)</f>
        <v>2</v>
      </c>
      <c r="AR58" s="62"/>
      <c r="AU58" s="47" t="str">
        <f t="shared" si="14"/>
        <v/>
      </c>
      <c r="AV58" s="47" t="str">
        <f t="shared" si="15"/>
        <v/>
      </c>
      <c r="AW58" s="47" t="str">
        <f t="shared" si="16"/>
        <v/>
      </c>
      <c r="AX58" s="47" t="str">
        <f t="shared" si="4"/>
        <v/>
      </c>
      <c r="AY58" s="47" t="str">
        <f t="shared" si="17"/>
        <v/>
      </c>
      <c r="AZ58" s="47" t="str">
        <f t="shared" si="5"/>
        <v/>
      </c>
      <c r="BA58" s="47" t="str">
        <f t="shared" si="6"/>
        <v/>
      </c>
      <c r="BB58" s="47" t="str">
        <f t="shared" si="18"/>
        <v/>
      </c>
      <c r="BC58" s="47" t="str">
        <f t="shared" si="7"/>
        <v/>
      </c>
      <c r="BD58" s="47" t="str">
        <f t="shared" si="8"/>
        <v/>
      </c>
      <c r="BE58" s="47" t="str">
        <f t="shared" si="9"/>
        <v/>
      </c>
      <c r="BF58" s="47" t="str">
        <f t="shared" si="10"/>
        <v/>
      </c>
      <c r="BG58" s="56" t="str">
        <f t="shared" si="19"/>
        <v/>
      </c>
      <c r="BH58" s="51" t="str">
        <f t="shared" si="11"/>
        <v/>
      </c>
      <c r="BI58" s="47" t="str">
        <f t="shared" si="20"/>
        <v/>
      </c>
    </row>
    <row r="59" spans="16:61" ht="15" customHeight="1" x14ac:dyDescent="0.3">
      <c r="P59" s="5" t="str">
        <f>IF(AG59&lt;&gt;"",HLOOKUP(AG59,dataProduits!D$1:H$10,2,FALSE),"")</f>
        <v/>
      </c>
      <c r="Q59" s="5" t="str">
        <f>IF(AG59&lt;&gt;"",HLOOKUP(PROD!AG59,dataProduits!D$1:H$10,4,FALSE),"")</f>
        <v/>
      </c>
      <c r="R59" s="5" t="str">
        <f t="shared" si="12"/>
        <v/>
      </c>
      <c r="S59" s="5" t="str">
        <f t="shared" si="13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 t="shared" si="2"/>
        <v/>
      </c>
      <c r="Z59" s="5" t="str">
        <f t="shared" si="3"/>
        <v/>
      </c>
      <c r="AB59" s="16" t="str">
        <f>IF(RIGHT(prodType,1)="g","gauche","")</f>
        <v/>
      </c>
      <c r="AC59" s="24" t="str">
        <f>IF(Z59&lt;&gt;"",SUM(Z$52:Z59),"")</f>
        <v/>
      </c>
      <c r="AD59" s="37"/>
      <c r="AE59" s="58"/>
      <c r="AF59" s="37"/>
      <c r="AG59" s="37"/>
      <c r="AH59" s="4">
        <f t="shared" si="21"/>
        <v>0</v>
      </c>
      <c r="AI59" s="4">
        <f t="shared" si="22"/>
        <v>0</v>
      </c>
      <c r="AK59" s="37">
        <v>3</v>
      </c>
      <c r="AL59" s="38">
        <v>32</v>
      </c>
      <c r="AM59" s="38">
        <v>32</v>
      </c>
      <c r="AO59" s="30" t="s">
        <v>14</v>
      </c>
      <c r="AP59" s="22">
        <f>SUM(AI52:AI121)</f>
        <v>398</v>
      </c>
      <c r="AQ59" s="31">
        <f>COUNTIF(AI52:AI121,"&lt;&gt;0")</f>
        <v>1</v>
      </c>
      <c r="AR59" s="6"/>
      <c r="AU59" s="47" t="str">
        <f t="shared" si="14"/>
        <v/>
      </c>
      <c r="AV59" s="47" t="str">
        <f t="shared" si="15"/>
        <v/>
      </c>
      <c r="AW59" s="47" t="str">
        <f t="shared" si="16"/>
        <v/>
      </c>
      <c r="AX59" s="47" t="str">
        <f t="shared" si="4"/>
        <v/>
      </c>
      <c r="AY59" s="47" t="str">
        <f t="shared" si="17"/>
        <v/>
      </c>
      <c r="AZ59" s="47" t="str">
        <f t="shared" si="5"/>
        <v/>
      </c>
      <c r="BA59" s="47" t="str">
        <f t="shared" si="6"/>
        <v/>
      </c>
      <c r="BB59" s="47" t="str">
        <f t="shared" si="18"/>
        <v/>
      </c>
      <c r="BC59" s="47" t="str">
        <f t="shared" si="7"/>
        <v/>
      </c>
      <c r="BD59" s="47" t="str">
        <f t="shared" si="8"/>
        <v/>
      </c>
      <c r="BE59" s="47" t="str">
        <f t="shared" si="9"/>
        <v/>
      </c>
      <c r="BF59" s="47" t="str">
        <f t="shared" si="10"/>
        <v/>
      </c>
      <c r="BG59" s="56" t="str">
        <f t="shared" si="19"/>
        <v/>
      </c>
      <c r="BH59" s="51" t="str">
        <f t="shared" si="11"/>
        <v/>
      </c>
      <c r="BI59" s="47" t="str">
        <f t="shared" si="20"/>
        <v/>
      </c>
    </row>
    <row r="60" spans="16:61" ht="15" customHeight="1" x14ac:dyDescent="0.3">
      <c r="P60" s="5" t="str">
        <f>IF(AG60&lt;&gt;"",HLOOKUP(AG60,dataProduits!D$1:H$10,2,FALSE),"")</f>
        <v/>
      </c>
      <c r="Q60" s="5" t="str">
        <f>IF(AG60&lt;&gt;"",HLOOKUP(PROD!AG60,dataProduits!D$1:H$10,4,FALSE),"")</f>
        <v/>
      </c>
      <c r="R60" s="5" t="str">
        <f t="shared" si="12"/>
        <v/>
      </c>
      <c r="S60" s="5" t="str">
        <f t="shared" si="13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 t="shared" si="2"/>
        <v/>
      </c>
      <c r="Z60" s="5" t="str">
        <f t="shared" si="3"/>
        <v/>
      </c>
      <c r="AB60" s="16" t="str">
        <f>IF(RIGHT(prodType,1)="g","droite","")</f>
        <v/>
      </c>
      <c r="AC60" s="24" t="str">
        <f>IF(Z60&lt;&gt;"",SUM(Z$52:Z60),"")</f>
        <v/>
      </c>
      <c r="AD60" s="37"/>
      <c r="AE60" s="58"/>
      <c r="AF60" s="37"/>
      <c r="AG60" s="37"/>
      <c r="AH60" s="4">
        <f>IF(AF60&lt;&gt;"",IF(AD60="",IF(AE60="",AF60,AF60-AE60),0),0)</f>
        <v>0</v>
      </c>
      <c r="AI60" s="4">
        <f>IF(AF60&lt;&gt;"",IF(AD60&lt;&gt;"",IF(AE60="",AF60,AF60-AE60),0),0)</f>
        <v>0</v>
      </c>
      <c r="AK60" s="37"/>
      <c r="AL60" s="38"/>
      <c r="AM60" s="38"/>
      <c r="AO60" s="25" t="str" cm="1">
        <f t="array" ref="AO60:AO64">dataProduits!A2:A6</f>
        <v>Trou</v>
      </c>
      <c r="AP60" s="32" cm="1">
        <f t="array" ref="AP60:AP64">TRANSPOSE(S50:W50)</f>
        <v>0</v>
      </c>
      <c r="AQ60" s="32">
        <f>COUNTIF(AD$52:AD$121,AO60)</f>
        <v>0</v>
      </c>
      <c r="AR60" s="6"/>
      <c r="AU60" s="47" t="str">
        <f t="shared" si="14"/>
        <v/>
      </c>
      <c r="AV60" s="47" t="str">
        <f t="shared" si="15"/>
        <v/>
      </c>
      <c r="AW60" s="47" t="str">
        <f t="shared" si="16"/>
        <v/>
      </c>
      <c r="AX60" s="47" t="str">
        <f t="shared" si="4"/>
        <v/>
      </c>
      <c r="AY60" s="47" t="str">
        <f t="shared" si="17"/>
        <v/>
      </c>
      <c r="AZ60" s="47" t="str">
        <f t="shared" si="5"/>
        <v/>
      </c>
      <c r="BA60" s="47" t="str">
        <f t="shared" si="6"/>
        <v/>
      </c>
      <c r="BB60" s="47" t="str">
        <f t="shared" si="18"/>
        <v/>
      </c>
      <c r="BC60" s="47" t="str">
        <f t="shared" si="7"/>
        <v/>
      </c>
      <c r="BD60" s="47" t="str">
        <f t="shared" si="8"/>
        <v/>
      </c>
      <c r="BE60" s="47" t="str">
        <f t="shared" si="9"/>
        <v/>
      </c>
      <c r="BF60" s="47" t="str">
        <f t="shared" si="10"/>
        <v/>
      </c>
      <c r="BG60" s="56" t="str">
        <f t="shared" si="19"/>
        <v/>
      </c>
      <c r="BH60" s="51" t="str">
        <f t="shared" si="11"/>
        <v/>
      </c>
      <c r="BI60" s="47" t="str">
        <f t="shared" si="20"/>
        <v/>
      </c>
    </row>
    <row r="61" spans="16:61" ht="15" customHeight="1" thickBot="1" x14ac:dyDescent="0.35">
      <c r="P61" s="5" t="str">
        <f>IF(AG61&lt;&gt;"",HLOOKUP(AG61,dataProduits!D$1:H$10,2,FALSE),"")</f>
        <v/>
      </c>
      <c r="Q61" s="5" t="str">
        <f>IF(AG61&lt;&gt;"",HLOOKUP(PROD!AG61,dataProduits!D$1:H$10,4,FALSE),"")</f>
        <v/>
      </c>
      <c r="R61" s="5" t="str">
        <f t="shared" si="12"/>
        <v/>
      </c>
      <c r="S61" s="5" t="str">
        <f t="shared" si="13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 t="shared" si="2"/>
        <v/>
      </c>
      <c r="Z61" s="5" t="str">
        <f t="shared" si="3"/>
        <v/>
      </c>
      <c r="AB61" s="16" t="str">
        <f>IF(RIGHT(prodType,1)="g","gauche","")</f>
        <v/>
      </c>
      <c r="AC61" s="24" t="str">
        <f>IF(Z61&lt;&gt;"",SUM(Z$52:Z61),"")</f>
        <v/>
      </c>
      <c r="AD61" s="37"/>
      <c r="AE61" s="58"/>
      <c r="AF61" s="37"/>
      <c r="AG61" s="37"/>
      <c r="AH61" s="4">
        <f>IF(AF61&lt;&gt;"",IF(AD61="",IF(AE61="",AF61,AF61-AE61),0),0)</f>
        <v>0</v>
      </c>
      <c r="AI61" s="4">
        <f>IF(AF61&lt;&gt;"",IF(AD61&lt;&gt;"",IF(AE61="",AF61,AF61-AE61),0),0)</f>
        <v>0</v>
      </c>
      <c r="AK61" s="37"/>
      <c r="AL61" s="38"/>
      <c r="AM61" s="38"/>
      <c r="AO61" s="25" t="str">
        <v>Fil</v>
      </c>
      <c r="AP61" s="32">
        <v>398</v>
      </c>
      <c r="AQ61" s="32">
        <f t="shared" ref="AQ61:AQ64" si="23">COUNTIF(AD$52:AD$121,AO61)</f>
        <v>1</v>
      </c>
      <c r="AR61" s="33"/>
      <c r="AU61" s="47" t="str">
        <f t="shared" si="14"/>
        <v/>
      </c>
      <c r="AV61" s="47" t="str">
        <f t="shared" si="15"/>
        <v/>
      </c>
      <c r="AW61" s="47" t="str">
        <f t="shared" si="16"/>
        <v/>
      </c>
      <c r="AX61" s="47" t="str">
        <f t="shared" si="4"/>
        <v/>
      </c>
      <c r="AY61" s="47" t="str">
        <f t="shared" si="17"/>
        <v/>
      </c>
      <c r="AZ61" s="47" t="str">
        <f t="shared" si="5"/>
        <v/>
      </c>
      <c r="BA61" s="47" t="str">
        <f t="shared" si="6"/>
        <v/>
      </c>
      <c r="BB61" s="47" t="str">
        <f t="shared" si="18"/>
        <v/>
      </c>
      <c r="BC61" s="47" t="str">
        <f t="shared" si="7"/>
        <v/>
      </c>
      <c r="BD61" s="47" t="str">
        <f t="shared" si="8"/>
        <v/>
      </c>
      <c r="BE61" s="47" t="str">
        <f t="shared" si="9"/>
        <v/>
      </c>
      <c r="BF61" s="47" t="str">
        <f t="shared" si="10"/>
        <v/>
      </c>
      <c r="BG61" s="56" t="str">
        <f t="shared" si="19"/>
        <v/>
      </c>
      <c r="BH61" s="51" t="str">
        <f t="shared" si="11"/>
        <v/>
      </c>
      <c r="BI61" s="47" t="str">
        <f t="shared" si="20"/>
        <v/>
      </c>
    </row>
    <row r="62" spans="16:61" ht="15" customHeight="1" thickTop="1" x14ac:dyDescent="0.3">
      <c r="P62" s="5" t="str">
        <f>IF(AG62&lt;&gt;"",HLOOKUP(AG62,dataProduits!D$1:H$10,2,FALSE),"")</f>
        <v/>
      </c>
      <c r="Q62" s="5" t="str">
        <f>IF(AG62&lt;&gt;"",HLOOKUP(PROD!AG62,dataProduits!D$1:H$10,4,FALSE),"")</f>
        <v/>
      </c>
      <c r="R62" s="5" t="str">
        <f t="shared" si="12"/>
        <v/>
      </c>
      <c r="S62" s="5" t="str">
        <f t="shared" si="13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 t="shared" si="2"/>
        <v/>
      </c>
      <c r="Z62" s="5" t="str">
        <f t="shared" si="3"/>
        <v/>
      </c>
      <c r="AB62" s="16" t="str">
        <f>IF(RIGHT(prodType,1)="g","droite","")</f>
        <v/>
      </c>
      <c r="AC62" s="24" t="str">
        <f>IF(Z62&lt;&gt;"",SUM(Z$52:Z62),"")</f>
        <v/>
      </c>
      <c r="AD62" s="37"/>
      <c r="AE62" s="58"/>
      <c r="AF62" s="37"/>
      <c r="AG62" s="37"/>
      <c r="AH62" s="4">
        <f>IF(AF62&lt;&gt;"",IF(AD62="",IF(AE62="",AF62,AF62-AE62),0),0)</f>
        <v>0</v>
      </c>
      <c r="AI62" s="4">
        <f>IF(AF62&lt;&gt;"",IF(AD62&lt;&gt;"",IF(AE62="",AF62,AF62-AE62),0),0)</f>
        <v>0</v>
      </c>
      <c r="AK62" s="37"/>
      <c r="AL62" s="38"/>
      <c r="AM62" s="38"/>
      <c r="AO62" s="25" t="str">
        <v>Poids</v>
      </c>
      <c r="AP62" s="32">
        <v>0</v>
      </c>
      <c r="AQ62" s="32">
        <f t="shared" si="23"/>
        <v>0</v>
      </c>
      <c r="AR62" s="20" t="s">
        <v>32</v>
      </c>
      <c r="AU62" s="47" t="str">
        <f t="shared" si="14"/>
        <v/>
      </c>
      <c r="AV62" s="47" t="str">
        <f t="shared" si="15"/>
        <v/>
      </c>
      <c r="AW62" s="47" t="str">
        <f t="shared" si="16"/>
        <v/>
      </c>
      <c r="AX62" s="47" t="str">
        <f t="shared" si="4"/>
        <v/>
      </c>
      <c r="AY62" s="47" t="str">
        <f t="shared" si="17"/>
        <v/>
      </c>
      <c r="AZ62" s="47" t="str">
        <f t="shared" si="5"/>
        <v/>
      </c>
      <c r="BA62" s="47" t="str">
        <f t="shared" si="6"/>
        <v/>
      </c>
      <c r="BB62" s="47" t="str">
        <f t="shared" si="18"/>
        <v/>
      </c>
      <c r="BC62" s="47" t="str">
        <f t="shared" si="7"/>
        <v/>
      </c>
      <c r="BD62" s="47" t="str">
        <f t="shared" si="8"/>
        <v/>
      </c>
      <c r="BE62" s="47" t="str">
        <f t="shared" si="9"/>
        <v/>
      </c>
      <c r="BF62" s="47" t="str">
        <f t="shared" si="10"/>
        <v/>
      </c>
      <c r="BG62" s="56" t="str">
        <f t="shared" si="19"/>
        <v/>
      </c>
      <c r="BH62" s="51" t="str">
        <f t="shared" si="11"/>
        <v/>
      </c>
      <c r="BI62" s="47" t="str">
        <f t="shared" si="20"/>
        <v/>
      </c>
    </row>
    <row r="63" spans="16:61" x14ac:dyDescent="0.3">
      <c r="P63" s="5" t="str">
        <f>IF(AG63&lt;&gt;"",HLOOKUP(AG63,dataProduits!D$1:H$10,2,FALSE),"")</f>
        <v/>
      </c>
      <c r="Q63" s="5" t="str">
        <f>IF(AG63&lt;&gt;"",HLOOKUP(PROD!AG63,dataProduits!D$1:H$10,4,FALSE),"")</f>
        <v/>
      </c>
      <c r="R63" s="5" t="str">
        <f t="shared" si="12"/>
        <v/>
      </c>
      <c r="S63" s="5" t="str">
        <f t="shared" si="13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 t="shared" si="2"/>
        <v/>
      </c>
      <c r="Z63" s="5" t="str">
        <f t="shared" si="3"/>
        <v/>
      </c>
      <c r="AB63" s="16" t="str">
        <f>IF(RIGHT(prodType,1)="g","gauche","")</f>
        <v/>
      </c>
      <c r="AC63" s="24" t="str">
        <f>IF(Z63&lt;&gt;"",SUM(Z$52:Z63),"")</f>
        <v/>
      </c>
      <c r="AD63" s="37"/>
      <c r="AE63" s="58"/>
      <c r="AF63" s="37"/>
      <c r="AG63" s="37"/>
      <c r="AH63" s="4">
        <f t="shared" si="21"/>
        <v>0</v>
      </c>
      <c r="AI63" s="4">
        <f t="shared" si="22"/>
        <v>0</v>
      </c>
      <c r="AK63" s="37"/>
      <c r="AL63" s="38"/>
      <c r="AM63" s="38"/>
      <c r="AO63" s="25" t="str">
        <v>Autre</v>
      </c>
      <c r="AP63" s="32">
        <v>0</v>
      </c>
      <c r="AQ63" s="32">
        <f t="shared" si="23"/>
        <v>0</v>
      </c>
      <c r="AR63" s="6"/>
      <c r="AU63" s="47" t="str">
        <f t="shared" si="14"/>
        <v/>
      </c>
      <c r="AV63" s="47" t="str">
        <f t="shared" si="15"/>
        <v/>
      </c>
      <c r="AW63" s="47" t="str">
        <f t="shared" si="16"/>
        <v/>
      </c>
      <c r="AX63" s="47" t="str">
        <f t="shared" si="4"/>
        <v/>
      </c>
      <c r="AY63" s="47" t="str">
        <f t="shared" si="17"/>
        <v/>
      </c>
      <c r="AZ63" s="47" t="str">
        <f t="shared" si="5"/>
        <v/>
      </c>
      <c r="BA63" s="47" t="str">
        <f t="shared" si="6"/>
        <v/>
      </c>
      <c r="BB63" s="47" t="str">
        <f t="shared" si="18"/>
        <v/>
      </c>
      <c r="BC63" s="47" t="str">
        <f t="shared" si="7"/>
        <v/>
      </c>
      <c r="BD63" s="47" t="str">
        <f t="shared" si="8"/>
        <v/>
      </c>
      <c r="BE63" s="47" t="str">
        <f t="shared" si="9"/>
        <v/>
      </c>
      <c r="BF63" s="47" t="str">
        <f t="shared" si="10"/>
        <v/>
      </c>
      <c r="BG63" s="56" t="str">
        <f t="shared" si="19"/>
        <v/>
      </c>
      <c r="BH63" s="51" t="str">
        <f t="shared" si="11"/>
        <v/>
      </c>
      <c r="BI63" s="47" t="str">
        <f t="shared" si="20"/>
        <v/>
      </c>
    </row>
    <row r="64" spans="16:61" x14ac:dyDescent="0.3">
      <c r="P64" s="5" t="str">
        <f>IF(AG64&lt;&gt;"",HLOOKUP(AG64,dataProduits!D$1:H$10,2,FALSE),"")</f>
        <v/>
      </c>
      <c r="Q64" s="5" t="str">
        <f>IF(AG64&lt;&gt;"",HLOOKUP(PROD!AG64,dataProduits!D$1:H$10,4,FALSE),"")</f>
        <v/>
      </c>
      <c r="R64" s="5" t="str">
        <f t="shared" si="12"/>
        <v/>
      </c>
      <c r="S64" s="5" t="str">
        <f t="shared" si="13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 t="shared" si="2"/>
        <v/>
      </c>
      <c r="Z64" s="5" t="str">
        <f t="shared" si="3"/>
        <v/>
      </c>
      <c r="AB64" s="16" t="str">
        <f>IF(RIGHT(prodType,1)="g","droite","")</f>
        <v/>
      </c>
      <c r="AC64" s="24" t="str">
        <f>IF(Z64&lt;&gt;"",SUM(Z$52:Z64),"")</f>
        <v/>
      </c>
      <c r="AD64" s="37"/>
      <c r="AE64" s="58"/>
      <c r="AF64" s="37"/>
      <c r="AG64" s="37"/>
      <c r="AH64" s="4">
        <f t="shared" si="21"/>
        <v>0</v>
      </c>
      <c r="AI64" s="4">
        <f t="shared" si="22"/>
        <v>0</v>
      </c>
      <c r="AK64" s="37"/>
      <c r="AL64" s="38"/>
      <c r="AM64" s="38"/>
      <c r="AO64" s="25" t="str">
        <v>Démarrage</v>
      </c>
      <c r="AP64" s="32">
        <v>0</v>
      </c>
      <c r="AQ64" s="32">
        <f t="shared" si="23"/>
        <v>0</v>
      </c>
      <c r="AR64" s="6"/>
      <c r="AU64" s="47" t="str">
        <f t="shared" ref="AU64:AU121" si="24">IF(AF64&lt;&gt;"",CONCATENATE(AU$45,"_",AC64),"")</f>
        <v/>
      </c>
      <c r="AV64" s="47" t="str">
        <f t="shared" ref="AV64:AV121" si="25">IF(AX64&lt;&gt;"",IF(AD64="",AC64,CONCATENATE("NC_",X64)),"")</f>
        <v/>
      </c>
      <c r="AW64" s="47" t="str">
        <f t="shared" ref="AW64:AW121" si="26">IF(AU64&lt;&gt;"",AB64,"")</f>
        <v/>
      </c>
      <c r="AX64" s="47" t="str">
        <f t="shared" si="4"/>
        <v/>
      </c>
      <c r="AY64" s="47" t="str">
        <f t="shared" ref="AY64:AY121" si="27">IF(AU64&lt;&gt;"",IF(AD64="",AH64,AI64),"")</f>
        <v/>
      </c>
      <c r="AZ64" s="47" t="str">
        <f t="shared" si="5"/>
        <v/>
      </c>
      <c r="BA64" s="47" t="str">
        <f t="shared" si="6"/>
        <v/>
      </c>
      <c r="BB64" s="47" t="str">
        <f t="shared" ref="BB64:BB121" si="28">IF(AU64&lt;&gt;"",AD64,"")</f>
        <v/>
      </c>
      <c r="BC64" s="47" t="str">
        <f t="shared" si="7"/>
        <v/>
      </c>
      <c r="BD64" s="47" t="str">
        <f t="shared" si="8"/>
        <v/>
      </c>
      <c r="BE64" s="47" t="str">
        <f t="shared" si="9"/>
        <v/>
      </c>
      <c r="BF64" s="47" t="str">
        <f t="shared" si="10"/>
        <v/>
      </c>
      <c r="BG64" s="56" t="str">
        <f t="shared" si="19"/>
        <v/>
      </c>
      <c r="BH64" s="51" t="str">
        <f t="shared" si="11"/>
        <v/>
      </c>
      <c r="BI64" s="47" t="str">
        <f t="shared" si="20"/>
        <v/>
      </c>
    </row>
    <row r="65" spans="16:61" ht="15" customHeight="1" x14ac:dyDescent="0.3">
      <c r="P65" s="5" t="str">
        <f>IF(AG65&lt;&gt;"",HLOOKUP(AG65,dataProduits!D$1:H$10,2,FALSE),"")</f>
        <v/>
      </c>
      <c r="Q65" s="5" t="str">
        <f>IF(AG65&lt;&gt;"",HLOOKUP(PROD!AG65,dataProduits!D$1:H$10,4,FALSE),"")</f>
        <v/>
      </c>
      <c r="R65" s="5" t="str">
        <f t="shared" si="12"/>
        <v/>
      </c>
      <c r="S65" s="5" t="str">
        <f t="shared" si="13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 t="shared" si="2"/>
        <v/>
      </c>
      <c r="Z65" s="5" t="str">
        <f t="shared" si="3"/>
        <v/>
      </c>
      <c r="AB65" s="16" t="str">
        <f>IF(RIGHT(prodType,1)="g","gauche","")</f>
        <v/>
      </c>
      <c r="AC65" s="24" t="str">
        <f>IF(Z65&lt;&gt;"",SUM(Z$52:Z65),"")</f>
        <v/>
      </c>
      <c r="AD65" s="37"/>
      <c r="AE65" s="58"/>
      <c r="AF65" s="37"/>
      <c r="AG65" s="37"/>
      <c r="AH65" s="4">
        <f t="shared" si="21"/>
        <v>0</v>
      </c>
      <c r="AI65" s="4">
        <f t="shared" si="22"/>
        <v>0</v>
      </c>
      <c r="AL65" s="34">
        <f>IFERROR(AVERAGE(AL59:AL64),"")</f>
        <v>32</v>
      </c>
      <c r="AM65" s="34">
        <f>IFERROR(AVERAGE(AM59:AM64),"")</f>
        <v>32</v>
      </c>
      <c r="AP65" s="77" t="s">
        <v>100</v>
      </c>
      <c r="AQ65" s="77" t="s">
        <v>101</v>
      </c>
      <c r="AR65" s="27"/>
      <c r="AU65" s="47" t="str">
        <f t="shared" si="24"/>
        <v/>
      </c>
      <c r="AV65" s="47" t="str">
        <f t="shared" si="25"/>
        <v/>
      </c>
      <c r="AW65" s="47" t="str">
        <f t="shared" si="26"/>
        <v/>
      </c>
      <c r="AX65" s="47" t="str">
        <f t="shared" si="4"/>
        <v/>
      </c>
      <c r="AY65" s="47" t="str">
        <f t="shared" si="27"/>
        <v/>
      </c>
      <c r="AZ65" s="47" t="str">
        <f t="shared" si="5"/>
        <v/>
      </c>
      <c r="BA65" s="47" t="str">
        <f t="shared" si="6"/>
        <v/>
      </c>
      <c r="BB65" s="47" t="str">
        <f t="shared" si="28"/>
        <v/>
      </c>
      <c r="BC65" s="47" t="str">
        <f t="shared" si="7"/>
        <v/>
      </c>
      <c r="BD65" s="47" t="str">
        <f t="shared" si="8"/>
        <v/>
      </c>
      <c r="BE65" s="47" t="str">
        <f t="shared" si="9"/>
        <v/>
      </c>
      <c r="BF65" s="47" t="str">
        <f t="shared" si="10"/>
        <v/>
      </c>
      <c r="BG65" s="56" t="str">
        <f t="shared" si="19"/>
        <v/>
      </c>
      <c r="BH65" s="51" t="str">
        <f t="shared" si="11"/>
        <v/>
      </c>
      <c r="BI65" s="47" t="str">
        <f t="shared" si="20"/>
        <v/>
      </c>
    </row>
    <row r="66" spans="16:61" ht="15" customHeight="1" x14ac:dyDescent="0.3">
      <c r="P66" s="5" t="str">
        <f>IF(AG66&lt;&gt;"",HLOOKUP(AG66,dataProduits!D$1:H$10,2,FALSE),"")</f>
        <v/>
      </c>
      <c r="Q66" s="5" t="str">
        <f>IF(AG66&lt;&gt;"",HLOOKUP(PROD!AG66,dataProduits!D$1:H$10,4,FALSE),"")</f>
        <v/>
      </c>
      <c r="R66" s="5" t="str">
        <f t="shared" si="12"/>
        <v/>
      </c>
      <c r="S66" s="5" t="str">
        <f t="shared" si="13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 t="shared" si="2"/>
        <v/>
      </c>
      <c r="Z66" s="5" t="str">
        <f t="shared" si="3"/>
        <v/>
      </c>
      <c r="AB66" s="16" t="str">
        <f>IF(RIGHT(prodType,1)="g","droite","")</f>
        <v/>
      </c>
      <c r="AC66" s="24" t="str">
        <f>IF(Z66&lt;&gt;"",SUM(Z$52:Z66),"")</f>
        <v/>
      </c>
      <c r="AD66" s="37"/>
      <c r="AE66" s="58"/>
      <c r="AF66" s="37"/>
      <c r="AG66" s="37"/>
      <c r="AH66" s="4">
        <f t="shared" si="21"/>
        <v>0</v>
      </c>
      <c r="AI66" s="4">
        <f t="shared" si="22"/>
        <v>0</v>
      </c>
      <c r="AK66" s="62" t="s">
        <v>21</v>
      </c>
      <c r="AL66" s="62"/>
      <c r="AM66" s="62"/>
      <c r="AU66" s="47" t="str">
        <f t="shared" si="24"/>
        <v/>
      </c>
      <c r="AV66" s="47" t="str">
        <f t="shared" si="25"/>
        <v/>
      </c>
      <c r="AW66" s="47" t="str">
        <f t="shared" si="26"/>
        <v/>
      </c>
      <c r="AX66" s="47" t="str">
        <f t="shared" si="4"/>
        <v/>
      </c>
      <c r="AY66" s="47" t="str">
        <f t="shared" si="27"/>
        <v/>
      </c>
      <c r="AZ66" s="47" t="str">
        <f t="shared" si="5"/>
        <v/>
      </c>
      <c r="BA66" s="47" t="str">
        <f t="shared" si="6"/>
        <v/>
      </c>
      <c r="BB66" s="47" t="str">
        <f t="shared" si="28"/>
        <v/>
      </c>
      <c r="BC66" s="47" t="str">
        <f t="shared" si="7"/>
        <v/>
      </c>
      <c r="BD66" s="47" t="str">
        <f t="shared" si="8"/>
        <v/>
      </c>
      <c r="BE66" s="47" t="str">
        <f t="shared" si="9"/>
        <v/>
      </c>
      <c r="BF66" s="47" t="str">
        <f t="shared" si="10"/>
        <v/>
      </c>
      <c r="BG66" s="56" t="str">
        <f t="shared" si="19"/>
        <v/>
      </c>
      <c r="BH66" s="51" t="str">
        <f t="shared" si="11"/>
        <v/>
      </c>
      <c r="BI66" s="47" t="str">
        <f t="shared" si="20"/>
        <v/>
      </c>
    </row>
    <row r="67" spans="16:61" ht="15" customHeight="1" x14ac:dyDescent="0.3">
      <c r="P67" s="5" t="str">
        <f>IF(AG67&lt;&gt;"",HLOOKUP(AG67,dataProduits!D$1:H$10,2,FALSE),"")</f>
        <v/>
      </c>
      <c r="Q67" s="5" t="str">
        <f>IF(AG67&lt;&gt;"",HLOOKUP(PROD!AG67,dataProduits!D$1:H$10,4,FALSE),"")</f>
        <v/>
      </c>
      <c r="R67" s="5" t="str">
        <f t="shared" si="12"/>
        <v/>
      </c>
      <c r="S67" s="5" t="str">
        <f t="shared" si="13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 t="shared" si="2"/>
        <v/>
      </c>
      <c r="Z67" s="5" t="str">
        <f t="shared" si="3"/>
        <v/>
      </c>
      <c r="AB67" s="16" t="str">
        <f>IF(RIGHT(prodType,1)="g","gauche","")</f>
        <v/>
      </c>
      <c r="AC67" s="24" t="str">
        <f>IF(Z67&lt;&gt;"",SUM(Z$52:Z67),"")</f>
        <v/>
      </c>
      <c r="AD67" s="37"/>
      <c r="AE67" s="58"/>
      <c r="AF67" s="37"/>
      <c r="AG67" s="37"/>
      <c r="AH67" s="4">
        <f t="shared" si="21"/>
        <v>0</v>
      </c>
      <c r="AI67" s="4">
        <f t="shared" si="22"/>
        <v>0</v>
      </c>
      <c r="AK67" s="45"/>
      <c r="AL67" s="23" t="s">
        <v>24</v>
      </c>
      <c r="AM67" s="23" t="s">
        <v>23</v>
      </c>
      <c r="AO67" s="27"/>
      <c r="AP67" s="27"/>
      <c r="AQ67" s="27"/>
      <c r="AR67" s="27"/>
      <c r="AU67" s="47" t="str">
        <f t="shared" si="24"/>
        <v/>
      </c>
      <c r="AV67" s="47" t="str">
        <f t="shared" si="25"/>
        <v/>
      </c>
      <c r="AW67" s="47" t="str">
        <f t="shared" si="26"/>
        <v/>
      </c>
      <c r="AX67" s="47" t="str">
        <f t="shared" si="4"/>
        <v/>
      </c>
      <c r="AY67" s="47" t="str">
        <f t="shared" si="27"/>
        <v/>
      </c>
      <c r="AZ67" s="47" t="str">
        <f t="shared" si="5"/>
        <v/>
      </c>
      <c r="BA67" s="47" t="str">
        <f t="shared" si="6"/>
        <v/>
      </c>
      <c r="BB67" s="47" t="str">
        <f t="shared" si="28"/>
        <v/>
      </c>
      <c r="BC67" s="47" t="str">
        <f t="shared" si="7"/>
        <v/>
      </c>
      <c r="BD67" s="47" t="str">
        <f t="shared" si="8"/>
        <v/>
      </c>
      <c r="BE67" s="47" t="str">
        <f t="shared" si="9"/>
        <v/>
      </c>
      <c r="BF67" s="47" t="str">
        <f t="shared" si="10"/>
        <v/>
      </c>
      <c r="BG67" s="56" t="str">
        <f t="shared" si="19"/>
        <v/>
      </c>
      <c r="BH67" s="51" t="str">
        <f t="shared" si="11"/>
        <v/>
      </c>
      <c r="BI67" s="47" t="str">
        <f t="shared" si="20"/>
        <v/>
      </c>
    </row>
    <row r="68" spans="16:61" ht="15" customHeight="1" x14ac:dyDescent="0.3">
      <c r="P68" s="5" t="str">
        <f>IF(AG68&lt;&gt;"",HLOOKUP(AG68,dataProduits!D$1:H$10,2,FALSE),"")</f>
        <v/>
      </c>
      <c r="Q68" s="5" t="str">
        <f>IF(AG68&lt;&gt;"",HLOOKUP(PROD!AG68,dataProduits!D$1:H$10,4,FALSE),"")</f>
        <v/>
      </c>
      <c r="R68" s="5" t="str">
        <f t="shared" si="12"/>
        <v/>
      </c>
      <c r="S68" s="5" t="str">
        <f t="shared" si="13"/>
        <v/>
      </c>
      <c r="T68" s="5" t="str">
        <f t="shared" si="13"/>
        <v/>
      </c>
      <c r="U68" s="5" t="str">
        <f t="shared" si="13"/>
        <v/>
      </c>
      <c r="V68" s="5" t="str">
        <f t="shared" si="13"/>
        <v/>
      </c>
      <c r="W68" s="5" t="str">
        <f t="shared" si="13"/>
        <v/>
      </c>
      <c r="X68" s="5" t="str">
        <f>IF(Y68&lt;&gt;"",SUM(Y$52:Y68),"")</f>
        <v/>
      </c>
      <c r="Y68" s="5" t="str">
        <f t="shared" si="2"/>
        <v/>
      </c>
      <c r="Z68" s="5" t="str">
        <f t="shared" si="3"/>
        <v/>
      </c>
      <c r="AB68" s="16" t="str">
        <f>IF(RIGHT(prodType,1)="g","droite","")</f>
        <v/>
      </c>
      <c r="AC68" s="24" t="str">
        <f>IF(Z68&lt;&gt;"",SUM(Z$52:Z68),"")</f>
        <v/>
      </c>
      <c r="AD68" s="37"/>
      <c r="AE68" s="58"/>
      <c r="AF68" s="37"/>
      <c r="AG68" s="37"/>
      <c r="AH68" s="4">
        <f t="shared" si="21"/>
        <v>0</v>
      </c>
      <c r="AI68" s="4">
        <f t="shared" si="22"/>
        <v>0</v>
      </c>
      <c r="AK68" s="58">
        <v>4</v>
      </c>
      <c r="AL68" s="59">
        <v>302</v>
      </c>
      <c r="AM68" s="59"/>
      <c r="AO68" s="27"/>
      <c r="AP68" s="27"/>
      <c r="AQ68" s="27"/>
      <c r="AR68" s="27"/>
      <c r="AU68" s="47" t="str">
        <f t="shared" si="24"/>
        <v/>
      </c>
      <c r="AV68" s="47" t="str">
        <f t="shared" si="25"/>
        <v/>
      </c>
      <c r="AW68" s="47" t="str">
        <f t="shared" si="26"/>
        <v/>
      </c>
      <c r="AX68" s="47" t="str">
        <f t="shared" si="4"/>
        <v/>
      </c>
      <c r="AY68" s="47" t="str">
        <f t="shared" si="27"/>
        <v/>
      </c>
      <c r="AZ68" s="47" t="str">
        <f t="shared" si="5"/>
        <v/>
      </c>
      <c r="BA68" s="47" t="str">
        <f t="shared" si="6"/>
        <v/>
      </c>
      <c r="BB68" s="47" t="str">
        <f t="shared" si="28"/>
        <v/>
      </c>
      <c r="BC68" s="47" t="str">
        <f t="shared" si="7"/>
        <v/>
      </c>
      <c r="BD68" s="47" t="str">
        <f t="shared" si="8"/>
        <v/>
      </c>
      <c r="BE68" s="47" t="str">
        <f t="shared" si="9"/>
        <v/>
      </c>
      <c r="BF68" s="47" t="str">
        <f t="shared" si="10"/>
        <v/>
      </c>
      <c r="BG68" s="56" t="str">
        <f t="shared" si="19"/>
        <v/>
      </c>
      <c r="BH68" s="51" t="str">
        <f t="shared" si="11"/>
        <v/>
      </c>
      <c r="BI68" s="47" t="str">
        <f t="shared" si="20"/>
        <v/>
      </c>
    </row>
    <row r="69" spans="16:61" ht="15" customHeight="1" x14ac:dyDescent="0.3">
      <c r="P69" s="5" t="str">
        <f>IF(AG69&lt;&gt;"",HLOOKUP(AG69,dataProduits!D$1:H$10,2,FALSE),"")</f>
        <v/>
      </c>
      <c r="Q69" s="5" t="str">
        <f>IF(AG69&lt;&gt;"",HLOOKUP(PROD!AG69,dataProduits!D$1:H$10,4,FALSE),"")</f>
        <v/>
      </c>
      <c r="R69" s="5" t="str">
        <f t="shared" si="12"/>
        <v/>
      </c>
      <c r="S69" s="5" t="str">
        <f t="shared" si="13"/>
        <v/>
      </c>
      <c r="T69" s="5" t="str">
        <f t="shared" si="13"/>
        <v/>
      </c>
      <c r="U69" s="5" t="str">
        <f t="shared" si="13"/>
        <v/>
      </c>
      <c r="V69" s="5" t="str">
        <f t="shared" si="13"/>
        <v/>
      </c>
      <c r="W69" s="5" t="str">
        <f t="shared" si="13"/>
        <v/>
      </c>
      <c r="X69" s="5" t="str">
        <f>IF(Y69&lt;&gt;"",SUM(Y$52:Y69),"")</f>
        <v/>
      </c>
      <c r="Y69" s="5" t="str">
        <f t="shared" si="2"/>
        <v/>
      </c>
      <c r="Z69" s="5" t="str">
        <f t="shared" si="3"/>
        <v/>
      </c>
      <c r="AB69" s="16" t="str">
        <f>IF(RIGHT(prodType,1)="g","gauche","")</f>
        <v/>
      </c>
      <c r="AC69" s="24" t="str">
        <f>IF(Z69&lt;&gt;"",SUM(Z$52:Z69),"")</f>
        <v/>
      </c>
      <c r="AD69" s="37"/>
      <c r="AE69" s="58"/>
      <c r="AF69" s="37"/>
      <c r="AG69" s="37"/>
      <c r="AH69" s="4">
        <f t="shared" si="21"/>
        <v>0</v>
      </c>
      <c r="AI69" s="4">
        <f t="shared" si="22"/>
        <v>0</v>
      </c>
      <c r="AK69" s="58"/>
      <c r="AL69" s="59"/>
      <c r="AM69" s="59"/>
      <c r="AO69" s="27"/>
      <c r="AP69" s="27"/>
      <c r="AQ69" s="27"/>
      <c r="AR69" s="27"/>
      <c r="AU69" s="47" t="str">
        <f t="shared" si="24"/>
        <v/>
      </c>
      <c r="AV69" s="47" t="str">
        <f t="shared" si="25"/>
        <v/>
      </c>
      <c r="AW69" s="47" t="str">
        <f t="shared" si="26"/>
        <v/>
      </c>
      <c r="AX69" s="47" t="str">
        <f t="shared" si="4"/>
        <v/>
      </c>
      <c r="AY69" s="47" t="str">
        <f t="shared" si="27"/>
        <v/>
      </c>
      <c r="AZ69" s="47" t="str">
        <f t="shared" si="5"/>
        <v/>
      </c>
      <c r="BA69" s="47" t="str">
        <f t="shared" si="6"/>
        <v/>
      </c>
      <c r="BB69" s="47" t="str">
        <f t="shared" si="28"/>
        <v/>
      </c>
      <c r="BC69" s="47" t="str">
        <f t="shared" si="7"/>
        <v/>
      </c>
      <c r="BD69" s="47" t="str">
        <f t="shared" si="8"/>
        <v/>
      </c>
      <c r="BE69" s="47" t="str">
        <f t="shared" si="9"/>
        <v/>
      </c>
      <c r="BF69" s="47" t="str">
        <f t="shared" si="10"/>
        <v/>
      </c>
      <c r="BG69" s="56" t="str">
        <f t="shared" si="19"/>
        <v/>
      </c>
      <c r="BH69" s="51" t="str">
        <f t="shared" si="11"/>
        <v/>
      </c>
      <c r="BI69" s="47" t="str">
        <f t="shared" si="20"/>
        <v/>
      </c>
    </row>
    <row r="70" spans="16:61" ht="15" customHeight="1" x14ac:dyDescent="0.3">
      <c r="P70" s="5" t="str">
        <f>IF(AG70&lt;&gt;"",HLOOKUP(AG70,dataProduits!D$1:H$10,2,FALSE),"")</f>
        <v/>
      </c>
      <c r="Q70" s="5" t="str">
        <f>IF(AG70&lt;&gt;"",HLOOKUP(PROD!AG70,dataProduits!D$1:H$10,4,FALSE),"")</f>
        <v/>
      </c>
      <c r="R70" s="5" t="str">
        <f t="shared" si="12"/>
        <v/>
      </c>
      <c r="S70" s="5" t="str">
        <f t="shared" si="13"/>
        <v/>
      </c>
      <c r="T70" s="5" t="str">
        <f t="shared" si="13"/>
        <v/>
      </c>
      <c r="U70" s="5" t="str">
        <f t="shared" si="13"/>
        <v/>
      </c>
      <c r="V70" s="5" t="str">
        <f t="shared" si="13"/>
        <v/>
      </c>
      <c r="W70" s="5" t="str">
        <f t="shared" si="13"/>
        <v/>
      </c>
      <c r="X70" s="5" t="str">
        <f>IF(Y70&lt;&gt;"",SUM(Y$52:Y70),"")</f>
        <v/>
      </c>
      <c r="Y70" s="5" t="str">
        <f t="shared" si="2"/>
        <v/>
      </c>
      <c r="Z70" s="5" t="str">
        <f t="shared" si="3"/>
        <v/>
      </c>
      <c r="AB70" s="16" t="str">
        <f>IF(RIGHT(prodType,1)="g","droite","")</f>
        <v/>
      </c>
      <c r="AC70" s="24" t="str">
        <f>IF(Z70&lt;&gt;"",SUM(Z$52:Z70),"")</f>
        <v/>
      </c>
      <c r="AD70" s="37"/>
      <c r="AE70" s="58"/>
      <c r="AF70" s="37"/>
      <c r="AG70" s="37"/>
      <c r="AH70" s="4">
        <f t="shared" si="21"/>
        <v>0</v>
      </c>
      <c r="AI70" s="4">
        <f t="shared" si="22"/>
        <v>0</v>
      </c>
      <c r="AK70" s="58"/>
      <c r="AL70" s="59"/>
      <c r="AM70" s="59"/>
      <c r="AO70" s="27"/>
      <c r="AP70" s="27"/>
      <c r="AQ70" s="27"/>
      <c r="AR70" s="27"/>
      <c r="AU70" s="47" t="str">
        <f t="shared" si="24"/>
        <v/>
      </c>
      <c r="AV70" s="47" t="str">
        <f t="shared" si="25"/>
        <v/>
      </c>
      <c r="AW70" s="47" t="str">
        <f t="shared" si="26"/>
        <v/>
      </c>
      <c r="AX70" s="47" t="str">
        <f t="shared" si="4"/>
        <v/>
      </c>
      <c r="AY70" s="47" t="str">
        <f t="shared" si="27"/>
        <v/>
      </c>
      <c r="AZ70" s="47" t="str">
        <f t="shared" si="5"/>
        <v/>
      </c>
      <c r="BA70" s="47" t="str">
        <f t="shared" si="6"/>
        <v/>
      </c>
      <c r="BB70" s="47" t="str">
        <f t="shared" si="28"/>
        <v/>
      </c>
      <c r="BC70" s="47" t="str">
        <f t="shared" si="7"/>
        <v/>
      </c>
      <c r="BD70" s="47" t="str">
        <f t="shared" si="8"/>
        <v/>
      </c>
      <c r="BE70" s="47" t="str">
        <f t="shared" si="9"/>
        <v/>
      </c>
      <c r="BF70" s="47" t="str">
        <f t="shared" si="10"/>
        <v/>
      </c>
      <c r="BG70" s="56" t="str">
        <f t="shared" si="19"/>
        <v/>
      </c>
      <c r="BH70" s="51" t="str">
        <f t="shared" si="11"/>
        <v/>
      </c>
      <c r="BI70" s="47" t="str">
        <f t="shared" si="20"/>
        <v/>
      </c>
    </row>
    <row r="71" spans="16:61" ht="15" customHeight="1" x14ac:dyDescent="0.3">
      <c r="P71" s="5" t="str">
        <f>IF(AG71&lt;&gt;"",HLOOKUP(AG71,dataProduits!D$1:H$10,2,FALSE),"")</f>
        <v/>
      </c>
      <c r="Q71" s="5" t="str">
        <f>IF(AG71&lt;&gt;"",HLOOKUP(PROD!AG71,dataProduits!D$1:H$10,4,FALSE),"")</f>
        <v/>
      </c>
      <c r="R71" s="5" t="str">
        <f t="shared" si="12"/>
        <v/>
      </c>
      <c r="S71" s="5" t="str">
        <f t="shared" si="13"/>
        <v/>
      </c>
      <c r="T71" s="5" t="str">
        <f t="shared" si="13"/>
        <v/>
      </c>
      <c r="U71" s="5" t="str">
        <f t="shared" si="13"/>
        <v/>
      </c>
      <c r="V71" s="5" t="str">
        <f t="shared" si="13"/>
        <v/>
      </c>
      <c r="W71" s="5" t="str">
        <f t="shared" si="13"/>
        <v/>
      </c>
      <c r="X71" s="5" t="str">
        <f>IF(Y71&lt;&gt;"",SUM(Y$52:Y71),"")</f>
        <v/>
      </c>
      <c r="Y71" s="5" t="str">
        <f t="shared" si="2"/>
        <v/>
      </c>
      <c r="Z71" s="5" t="str">
        <f t="shared" si="3"/>
        <v/>
      </c>
      <c r="AB71" s="16" t="str">
        <f>IF(RIGHT(prodType,1)="g","gauche","")</f>
        <v/>
      </c>
      <c r="AC71" s="24" t="str">
        <f>IF(Z71&lt;&gt;"",SUM(Z$52:Z71),"")</f>
        <v/>
      </c>
      <c r="AD71" s="37"/>
      <c r="AE71" s="58"/>
      <c r="AF71" s="37"/>
      <c r="AG71" s="37"/>
      <c r="AH71" s="4">
        <f t="shared" si="21"/>
        <v>0</v>
      </c>
      <c r="AI71" s="4">
        <f t="shared" si="22"/>
        <v>0</v>
      </c>
      <c r="AK71" s="58"/>
      <c r="AL71" s="59"/>
      <c r="AM71" s="59"/>
      <c r="AO71" s="27"/>
      <c r="AP71" s="27"/>
      <c r="AQ71" s="27"/>
      <c r="AR71" s="27"/>
      <c r="AU71" s="47" t="str">
        <f t="shared" si="24"/>
        <v/>
      </c>
      <c r="AV71" s="47" t="str">
        <f t="shared" si="25"/>
        <v/>
      </c>
      <c r="AW71" s="47" t="str">
        <f t="shared" si="26"/>
        <v/>
      </c>
      <c r="AX71" s="47" t="str">
        <f t="shared" si="4"/>
        <v/>
      </c>
      <c r="AY71" s="47" t="str">
        <f t="shared" si="27"/>
        <v/>
      </c>
      <c r="AZ71" s="47" t="str">
        <f t="shared" si="5"/>
        <v/>
      </c>
      <c r="BA71" s="47" t="str">
        <f t="shared" si="6"/>
        <v/>
      </c>
      <c r="BB71" s="47" t="str">
        <f t="shared" si="28"/>
        <v/>
      </c>
      <c r="BC71" s="47" t="str">
        <f t="shared" si="7"/>
        <v/>
      </c>
      <c r="BD71" s="47" t="str">
        <f t="shared" si="8"/>
        <v/>
      </c>
      <c r="BE71" s="47" t="str">
        <f t="shared" si="9"/>
        <v/>
      </c>
      <c r="BF71" s="47" t="str">
        <f t="shared" si="10"/>
        <v/>
      </c>
      <c r="BG71" s="56" t="str">
        <f t="shared" si="19"/>
        <v/>
      </c>
      <c r="BH71" s="51" t="str">
        <f t="shared" si="11"/>
        <v/>
      </c>
      <c r="BI71" s="47" t="str">
        <f t="shared" si="20"/>
        <v/>
      </c>
    </row>
    <row r="72" spans="16:61" ht="15" customHeight="1" x14ac:dyDescent="0.3">
      <c r="P72" s="5" t="str">
        <f>IF(AG72&lt;&gt;"",HLOOKUP(AG72,dataProduits!D$1:H$10,2,FALSE),"")</f>
        <v/>
      </c>
      <c r="Q72" s="5" t="str">
        <f>IF(AG72&lt;&gt;"",HLOOKUP(PROD!AG72,dataProduits!D$1:H$10,4,FALSE),"")</f>
        <v/>
      </c>
      <c r="R72" s="5" t="str">
        <f t="shared" si="12"/>
        <v/>
      </c>
      <c r="S72" s="5" t="str">
        <f t="shared" si="13"/>
        <v/>
      </c>
      <c r="T72" s="5" t="str">
        <f t="shared" si="13"/>
        <v/>
      </c>
      <c r="U72" s="5" t="str">
        <f t="shared" si="13"/>
        <v/>
      </c>
      <c r="V72" s="5" t="str">
        <f t="shared" si="13"/>
        <v/>
      </c>
      <c r="W72" s="5" t="str">
        <f t="shared" si="13"/>
        <v/>
      </c>
      <c r="X72" s="5" t="str">
        <f>IF(Y72&lt;&gt;"",SUM(Y$52:Y72),"")</f>
        <v/>
      </c>
      <c r="Y72" s="5" t="str">
        <f t="shared" si="2"/>
        <v/>
      </c>
      <c r="Z72" s="5" t="str">
        <f t="shared" si="3"/>
        <v/>
      </c>
      <c r="AB72" s="16" t="str">
        <f>IF(RIGHT(prodType,1)="g","droite","")</f>
        <v/>
      </c>
      <c r="AC72" s="24" t="str">
        <f>IF(Z72&lt;&gt;"",SUM(Z$52:Z72),"")</f>
        <v/>
      </c>
      <c r="AD72" s="37"/>
      <c r="AE72" s="58"/>
      <c r="AF72" s="37"/>
      <c r="AG72" s="37"/>
      <c r="AH72" s="4">
        <f t="shared" si="21"/>
        <v>0</v>
      </c>
      <c r="AI72" s="4">
        <f t="shared" si="22"/>
        <v>0</v>
      </c>
      <c r="AK72" s="58"/>
      <c r="AL72" s="59"/>
      <c r="AM72" s="59"/>
      <c r="AO72" s="27"/>
      <c r="AP72" s="27"/>
      <c r="AQ72" s="27"/>
      <c r="AR72" s="27"/>
      <c r="AU72" s="47" t="str">
        <f t="shared" si="24"/>
        <v/>
      </c>
      <c r="AV72" s="47" t="str">
        <f t="shared" si="25"/>
        <v/>
      </c>
      <c r="AW72" s="47" t="str">
        <f t="shared" si="26"/>
        <v/>
      </c>
      <c r="AX72" s="47" t="str">
        <f t="shared" si="4"/>
        <v/>
      </c>
      <c r="AY72" s="47" t="str">
        <f t="shared" si="27"/>
        <v/>
      </c>
      <c r="AZ72" s="47" t="str">
        <f t="shared" si="5"/>
        <v/>
      </c>
      <c r="BA72" s="47" t="str">
        <f t="shared" si="6"/>
        <v/>
      </c>
      <c r="BB72" s="47" t="str">
        <f t="shared" si="28"/>
        <v/>
      </c>
      <c r="BC72" s="47" t="str">
        <f t="shared" si="7"/>
        <v/>
      </c>
      <c r="BD72" s="47" t="str">
        <f t="shared" si="8"/>
        <v/>
      </c>
      <c r="BE72" s="47" t="str">
        <f t="shared" si="9"/>
        <v/>
      </c>
      <c r="BF72" s="47" t="str">
        <f t="shared" si="10"/>
        <v/>
      </c>
      <c r="BG72" s="56" t="str">
        <f t="shared" si="19"/>
        <v/>
      </c>
      <c r="BH72" s="51" t="str">
        <f t="shared" si="11"/>
        <v/>
      </c>
      <c r="BI72" s="47" t="str">
        <f t="shared" si="20"/>
        <v/>
      </c>
    </row>
    <row r="73" spans="16:61" ht="15" customHeight="1" x14ac:dyDescent="0.3">
      <c r="P73" s="5" t="str">
        <f>IF(AG73&lt;&gt;"",HLOOKUP(AG73,dataProduits!D$1:H$10,2,FALSE),"")</f>
        <v/>
      </c>
      <c r="Q73" s="5" t="str">
        <f>IF(AG73&lt;&gt;"",HLOOKUP(PROD!AG73,dataProduits!D$1:H$10,4,FALSE),"")</f>
        <v/>
      </c>
      <c r="R73" s="5" t="str">
        <f t="shared" si="12"/>
        <v/>
      </c>
      <c r="S73" s="5" t="str">
        <f t="shared" si="13"/>
        <v/>
      </c>
      <c r="T73" s="5" t="str">
        <f t="shared" si="13"/>
        <v/>
      </c>
      <c r="U73" s="5" t="str">
        <f t="shared" si="13"/>
        <v/>
      </c>
      <c r="V73" s="5" t="str">
        <f t="shared" si="13"/>
        <v/>
      </c>
      <c r="W73" s="5" t="str">
        <f t="shared" si="13"/>
        <v/>
      </c>
      <c r="X73" s="5" t="str">
        <f>IF(Y73&lt;&gt;"",SUM(Y$52:Y73),"")</f>
        <v/>
      </c>
      <c r="Y73" s="5" t="str">
        <f t="shared" si="2"/>
        <v/>
      </c>
      <c r="Z73" s="5" t="str">
        <f t="shared" si="3"/>
        <v/>
      </c>
      <c r="AB73" s="16" t="str">
        <f>IF(RIGHT(prodType,1)="g","gauche","")</f>
        <v/>
      </c>
      <c r="AC73" s="24" t="str">
        <f>IF(Z73&lt;&gt;"",SUM(Z$52:Z73),"")</f>
        <v/>
      </c>
      <c r="AD73" s="37"/>
      <c r="AE73" s="58"/>
      <c r="AF73" s="37"/>
      <c r="AG73" s="37"/>
      <c r="AH73" s="4">
        <f t="shared" si="21"/>
        <v>0</v>
      </c>
      <c r="AI73" s="4">
        <f t="shared" si="22"/>
        <v>0</v>
      </c>
      <c r="AK73" s="58"/>
      <c r="AL73" s="59"/>
      <c r="AM73" s="59"/>
      <c r="AU73" s="47" t="str">
        <f t="shared" si="24"/>
        <v/>
      </c>
      <c r="AV73" s="47" t="str">
        <f t="shared" si="25"/>
        <v/>
      </c>
      <c r="AW73" s="47" t="str">
        <f t="shared" si="26"/>
        <v/>
      </c>
      <c r="AX73" s="47" t="str">
        <f t="shared" si="4"/>
        <v/>
      </c>
      <c r="AY73" s="47" t="str">
        <f t="shared" si="27"/>
        <v/>
      </c>
      <c r="AZ73" s="47" t="str">
        <f t="shared" si="5"/>
        <v/>
      </c>
      <c r="BA73" s="47" t="str">
        <f t="shared" si="6"/>
        <v/>
      </c>
      <c r="BB73" s="47" t="str">
        <f t="shared" si="28"/>
        <v/>
      </c>
      <c r="BC73" s="47" t="str">
        <f t="shared" si="7"/>
        <v/>
      </c>
      <c r="BD73" s="47" t="str">
        <f t="shared" si="8"/>
        <v/>
      </c>
      <c r="BE73" s="47" t="str">
        <f t="shared" si="9"/>
        <v/>
      </c>
      <c r="BF73" s="47" t="str">
        <f t="shared" si="10"/>
        <v/>
      </c>
      <c r="BG73" s="56" t="str">
        <f t="shared" si="19"/>
        <v/>
      </c>
      <c r="BH73" s="51" t="str">
        <f t="shared" si="11"/>
        <v/>
      </c>
      <c r="BI73" s="47" t="str">
        <f t="shared" si="20"/>
        <v/>
      </c>
    </row>
    <row r="74" spans="16:61" ht="15" customHeight="1" x14ac:dyDescent="0.3">
      <c r="P74" s="5" t="str">
        <f>IF(AG74&lt;&gt;"",HLOOKUP(AG74,dataProduits!D$1:H$10,2,FALSE),"")</f>
        <v/>
      </c>
      <c r="Q74" s="5" t="str">
        <f>IF(AG74&lt;&gt;"",HLOOKUP(PROD!AG74,dataProduits!D$1:H$10,4,FALSE),"")</f>
        <v/>
      </c>
      <c r="R74" s="5" t="str">
        <f t="shared" si="12"/>
        <v/>
      </c>
      <c r="S74" s="5" t="str">
        <f t="shared" si="13"/>
        <v/>
      </c>
      <c r="T74" s="5" t="str">
        <f t="shared" si="13"/>
        <v/>
      </c>
      <c r="U74" s="5" t="str">
        <f t="shared" si="13"/>
        <v/>
      </c>
      <c r="V74" s="5" t="str">
        <f t="shared" si="13"/>
        <v/>
      </c>
      <c r="W74" s="5" t="str">
        <f t="shared" si="13"/>
        <v/>
      </c>
      <c r="X74" s="5" t="str">
        <f>IF(Y74&lt;&gt;"",SUM(Y$52:Y74),"")</f>
        <v/>
      </c>
      <c r="Y74" s="5" t="str">
        <f t="shared" si="2"/>
        <v/>
      </c>
      <c r="Z74" s="5" t="str">
        <f t="shared" si="3"/>
        <v/>
      </c>
      <c r="AB74" s="16" t="str">
        <f>IF(RIGHT(prodType,1)="g","droite","")</f>
        <v/>
      </c>
      <c r="AC74" s="24" t="str">
        <f>IF(Z74&lt;&gt;"",SUM(Z$52:Z74),"")</f>
        <v/>
      </c>
      <c r="AD74" s="37"/>
      <c r="AE74" s="58"/>
      <c r="AF74" s="37"/>
      <c r="AG74" s="37"/>
      <c r="AH74" s="4">
        <f t="shared" si="21"/>
        <v>0</v>
      </c>
      <c r="AI74" s="4">
        <f t="shared" si="22"/>
        <v>0</v>
      </c>
      <c r="AK74" s="35"/>
      <c r="AL74" s="36">
        <f>IFERROR(AVERAGE(AL68:AL73),"")</f>
        <v>302</v>
      </c>
      <c r="AM74" s="36" t="str">
        <f>IF(COUNTIF(AM68:AM73,"OK"),"ok","")</f>
        <v/>
      </c>
      <c r="AO74" s="65"/>
      <c r="AP74" s="65"/>
      <c r="AQ74" s="65"/>
      <c r="AU74" s="47" t="str">
        <f t="shared" si="24"/>
        <v/>
      </c>
      <c r="AV74" s="47" t="str">
        <f t="shared" si="25"/>
        <v/>
      </c>
      <c r="AW74" s="47" t="str">
        <f t="shared" si="26"/>
        <v/>
      </c>
      <c r="AX74" s="47" t="str">
        <f t="shared" si="4"/>
        <v/>
      </c>
      <c r="AY74" s="47" t="str">
        <f t="shared" si="27"/>
        <v/>
      </c>
      <c r="AZ74" s="47" t="str">
        <f t="shared" si="5"/>
        <v/>
      </c>
      <c r="BA74" s="47" t="str">
        <f t="shared" si="6"/>
        <v/>
      </c>
      <c r="BB74" s="47" t="str">
        <f t="shared" si="28"/>
        <v/>
      </c>
      <c r="BC74" s="47" t="str">
        <f t="shared" si="7"/>
        <v/>
      </c>
      <c r="BD74" s="47" t="str">
        <f t="shared" si="8"/>
        <v/>
      </c>
      <c r="BE74" s="47" t="str">
        <f t="shared" si="9"/>
        <v/>
      </c>
      <c r="BF74" s="47" t="str">
        <f t="shared" si="10"/>
        <v/>
      </c>
      <c r="BG74" s="56" t="str">
        <f t="shared" si="19"/>
        <v/>
      </c>
      <c r="BH74" s="51" t="str">
        <f t="shared" si="11"/>
        <v/>
      </c>
      <c r="BI74" s="47" t="str">
        <f t="shared" si="20"/>
        <v/>
      </c>
    </row>
    <row r="75" spans="16:61" ht="15" customHeight="1" x14ac:dyDescent="0.3">
      <c r="P75" s="5" t="str">
        <f>IF(AG75&lt;&gt;"",HLOOKUP(AG75,dataProduits!D$1:H$10,2,FALSE),"")</f>
        <v/>
      </c>
      <c r="Q75" s="5" t="str">
        <f>IF(AG75&lt;&gt;"",HLOOKUP(PROD!AG75,dataProduits!D$1:H$10,4,FALSE),"")</f>
        <v/>
      </c>
      <c r="R75" s="5" t="str">
        <f t="shared" si="12"/>
        <v/>
      </c>
      <c r="S75" s="5" t="str">
        <f t="shared" si="13"/>
        <v/>
      </c>
      <c r="T75" s="5" t="str">
        <f t="shared" si="13"/>
        <v/>
      </c>
      <c r="U75" s="5" t="str">
        <f t="shared" si="13"/>
        <v/>
      </c>
      <c r="V75" s="5" t="str">
        <f t="shared" si="13"/>
        <v/>
      </c>
      <c r="W75" s="5" t="str">
        <f t="shared" si="13"/>
        <v/>
      </c>
      <c r="X75" s="5" t="str">
        <f>IF(Y75&lt;&gt;"",SUM(Y$52:Y75),"")</f>
        <v/>
      </c>
      <c r="Y75" s="5" t="str">
        <f t="shared" si="2"/>
        <v/>
      </c>
      <c r="Z75" s="5" t="str">
        <f t="shared" si="3"/>
        <v/>
      </c>
      <c r="AB75" s="16" t="str">
        <f>IF(RIGHT(prodType,1)="g","gauche","")</f>
        <v/>
      </c>
      <c r="AC75" s="24" t="str">
        <f>IF(Z75&lt;&gt;"",SUM(Z$52:Z75),"")</f>
        <v/>
      </c>
      <c r="AD75" s="37"/>
      <c r="AE75" s="58"/>
      <c r="AF75" s="37"/>
      <c r="AG75" s="37"/>
      <c r="AH75" s="4">
        <f t="shared" si="21"/>
        <v>0</v>
      </c>
      <c r="AI75" s="4">
        <f t="shared" si="22"/>
        <v>0</v>
      </c>
      <c r="AL75" s="5" t="s">
        <v>72</v>
      </c>
      <c r="AO75" s="65"/>
      <c r="AP75" s="65"/>
      <c r="AQ75" s="65"/>
      <c r="AU75" s="47" t="str">
        <f t="shared" si="24"/>
        <v/>
      </c>
      <c r="AV75" s="47" t="str">
        <f t="shared" si="25"/>
        <v/>
      </c>
      <c r="AW75" s="47" t="str">
        <f t="shared" si="26"/>
        <v/>
      </c>
      <c r="AX75" s="47" t="str">
        <f t="shared" si="4"/>
        <v/>
      </c>
      <c r="AY75" s="47" t="str">
        <f t="shared" si="27"/>
        <v/>
      </c>
      <c r="AZ75" s="47" t="str">
        <f t="shared" si="5"/>
        <v/>
      </c>
      <c r="BA75" s="47" t="str">
        <f t="shared" si="6"/>
        <v/>
      </c>
      <c r="BB75" s="47" t="str">
        <f t="shared" si="28"/>
        <v/>
      </c>
      <c r="BC75" s="47" t="str">
        <f t="shared" si="7"/>
        <v/>
      </c>
      <c r="BD75" s="47" t="str">
        <f t="shared" si="8"/>
        <v/>
      </c>
      <c r="BE75" s="47" t="str">
        <f t="shared" si="9"/>
        <v/>
      </c>
      <c r="BF75" s="47" t="str">
        <f t="shared" si="10"/>
        <v/>
      </c>
      <c r="BG75" s="56" t="str">
        <f t="shared" si="19"/>
        <v/>
      </c>
      <c r="BH75" s="51" t="str">
        <f t="shared" si="11"/>
        <v/>
      </c>
      <c r="BI75" s="47" t="str">
        <f t="shared" si="20"/>
        <v/>
      </c>
    </row>
    <row r="76" spans="16:61" ht="15" customHeight="1" x14ac:dyDescent="0.3">
      <c r="P76" s="5" t="str">
        <f>IF(AG76&lt;&gt;"",HLOOKUP(AG76,dataProduits!D$1:H$10,2,FALSE),"")</f>
        <v/>
      </c>
      <c r="Q76" s="5" t="str">
        <f>IF(AG76&lt;&gt;"",HLOOKUP(PROD!AG76,dataProduits!D$1:H$10,4,FALSE),"")</f>
        <v/>
      </c>
      <c r="R76" s="5" t="str">
        <f t="shared" si="12"/>
        <v/>
      </c>
      <c r="S76" s="5" t="str">
        <f t="shared" si="13"/>
        <v/>
      </c>
      <c r="T76" s="5" t="str">
        <f t="shared" si="13"/>
        <v/>
      </c>
      <c r="U76" s="5" t="str">
        <f t="shared" si="13"/>
        <v/>
      </c>
      <c r="V76" s="5" t="str">
        <f t="shared" si="13"/>
        <v/>
      </c>
      <c r="W76" s="5" t="str">
        <f t="shared" si="13"/>
        <v/>
      </c>
      <c r="X76" s="5" t="str">
        <f>IF(Y76&lt;&gt;"",SUM(Y$52:Y76),"")</f>
        <v/>
      </c>
      <c r="Y76" s="5" t="str">
        <f t="shared" si="2"/>
        <v/>
      </c>
      <c r="Z76" s="5" t="str">
        <f t="shared" si="3"/>
        <v/>
      </c>
      <c r="AB76" s="16" t="str">
        <f>IF(RIGHT(prodType,1)="g","droite","")</f>
        <v/>
      </c>
      <c r="AC76" s="24" t="str">
        <f>IF(Z76&lt;&gt;"",SUM(Z$52:Z76),"")</f>
        <v/>
      </c>
      <c r="AD76" s="37"/>
      <c r="AE76" s="58"/>
      <c r="AF76" s="37"/>
      <c r="AG76" s="37"/>
      <c r="AH76" s="4">
        <f t="shared" si="21"/>
        <v>0</v>
      </c>
      <c r="AI76" s="4">
        <f t="shared" si="22"/>
        <v>0</v>
      </c>
      <c r="AO76" s="65"/>
      <c r="AP76" s="65"/>
      <c r="AQ76" s="65"/>
      <c r="AU76" s="47" t="str">
        <f t="shared" si="24"/>
        <v/>
      </c>
      <c r="AV76" s="47" t="str">
        <f t="shared" si="25"/>
        <v/>
      </c>
      <c r="AW76" s="47" t="str">
        <f t="shared" si="26"/>
        <v/>
      </c>
      <c r="AX76" s="47" t="str">
        <f t="shared" si="4"/>
        <v/>
      </c>
      <c r="AY76" s="47" t="str">
        <f t="shared" si="27"/>
        <v/>
      </c>
      <c r="AZ76" s="47" t="str">
        <f t="shared" si="5"/>
        <v/>
      </c>
      <c r="BA76" s="47" t="str">
        <f t="shared" si="6"/>
        <v/>
      </c>
      <c r="BB76" s="47" t="str">
        <f t="shared" si="28"/>
        <v/>
      </c>
      <c r="BC76" s="47" t="str">
        <f t="shared" si="7"/>
        <v/>
      </c>
      <c r="BD76" s="47" t="str">
        <f t="shared" si="8"/>
        <v/>
      </c>
      <c r="BE76" s="47" t="str">
        <f t="shared" si="9"/>
        <v/>
      </c>
      <c r="BF76" s="47" t="str">
        <f t="shared" si="10"/>
        <v/>
      </c>
      <c r="BG76" s="56" t="str">
        <f t="shared" si="19"/>
        <v/>
      </c>
      <c r="BH76" s="51" t="str">
        <f t="shared" si="11"/>
        <v/>
      </c>
      <c r="BI76" s="47" t="str">
        <f t="shared" si="20"/>
        <v/>
      </c>
    </row>
    <row r="77" spans="16:61" ht="14.25" customHeight="1" x14ac:dyDescent="0.3">
      <c r="P77" s="5" t="str">
        <f>IF(AG77&lt;&gt;"",HLOOKUP(AG77,dataProduits!D$1:H$10,2,FALSE),"")</f>
        <v/>
      </c>
      <c r="Q77" s="5" t="str">
        <f>IF(AG77&lt;&gt;"",HLOOKUP(PROD!AG77,dataProduits!D$1:H$10,4,FALSE),"")</f>
        <v/>
      </c>
      <c r="R77" s="5" t="str">
        <f t="shared" si="12"/>
        <v/>
      </c>
      <c r="S77" s="5" t="str">
        <f t="shared" si="13"/>
        <v/>
      </c>
      <c r="T77" s="5" t="str">
        <f t="shared" si="13"/>
        <v/>
      </c>
      <c r="U77" s="5" t="str">
        <f t="shared" si="13"/>
        <v/>
      </c>
      <c r="V77" s="5" t="str">
        <f t="shared" si="13"/>
        <v/>
      </c>
      <c r="W77" s="5" t="str">
        <f t="shared" si="13"/>
        <v/>
      </c>
      <c r="X77" s="5" t="str">
        <f>IF(Y77&lt;&gt;"",SUM(Y$52:Y77),"")</f>
        <v/>
      </c>
      <c r="Y77" s="5" t="str">
        <f t="shared" si="2"/>
        <v/>
      </c>
      <c r="Z77" s="5" t="str">
        <f t="shared" si="3"/>
        <v/>
      </c>
      <c r="AB77" s="16" t="str">
        <f>IF(RIGHT(prodType,1)="g","gauche","")</f>
        <v/>
      </c>
      <c r="AC77" s="24" t="str">
        <f>IF(Z77&lt;&gt;"",SUM(Z$52:Z77),"")</f>
        <v/>
      </c>
      <c r="AD77" s="37"/>
      <c r="AE77" s="58"/>
      <c r="AF77" s="37"/>
      <c r="AG77" s="37"/>
      <c r="AH77" s="4">
        <f t="shared" si="21"/>
        <v>0</v>
      </c>
      <c r="AI77" s="4">
        <f t="shared" si="22"/>
        <v>0</v>
      </c>
      <c r="AO77" s="65"/>
      <c r="AP77" s="65"/>
      <c r="AQ77" s="65"/>
      <c r="AU77" s="47" t="str">
        <f t="shared" si="24"/>
        <v/>
      </c>
      <c r="AV77" s="47" t="str">
        <f t="shared" si="25"/>
        <v/>
      </c>
      <c r="AW77" s="47" t="str">
        <f t="shared" si="26"/>
        <v/>
      </c>
      <c r="AX77" s="47" t="str">
        <f t="shared" si="4"/>
        <v/>
      </c>
      <c r="AY77" s="47" t="str">
        <f t="shared" si="27"/>
        <v/>
      </c>
      <c r="AZ77" s="47" t="str">
        <f t="shared" si="5"/>
        <v/>
      </c>
      <c r="BA77" s="47" t="str">
        <f t="shared" si="6"/>
        <v/>
      </c>
      <c r="BB77" s="47" t="str">
        <f t="shared" si="28"/>
        <v/>
      </c>
      <c r="BC77" s="47" t="str">
        <f t="shared" si="7"/>
        <v/>
      </c>
      <c r="BD77" s="47" t="str">
        <f t="shared" si="8"/>
        <v/>
      </c>
      <c r="BE77" s="47" t="str">
        <f t="shared" si="9"/>
        <v/>
      </c>
      <c r="BF77" s="47" t="str">
        <f t="shared" si="10"/>
        <v/>
      </c>
      <c r="BG77" s="56" t="str">
        <f t="shared" si="19"/>
        <v/>
      </c>
      <c r="BH77" s="51" t="str">
        <f t="shared" si="11"/>
        <v/>
      </c>
      <c r="BI77" s="47" t="str">
        <f t="shared" si="20"/>
        <v/>
      </c>
    </row>
    <row r="78" spans="16:61" ht="14.25" customHeight="1" x14ac:dyDescent="0.3">
      <c r="P78" s="5" t="str">
        <f>IF(AG78&lt;&gt;"",HLOOKUP(AG78,dataProduits!D$1:H$10,2,FALSE),"")</f>
        <v/>
      </c>
      <c r="Q78" s="5" t="str">
        <f>IF(AG78&lt;&gt;"",HLOOKUP(PROD!AG78,dataProduits!D$1:H$10,4,FALSE),"")</f>
        <v/>
      </c>
      <c r="R78" s="5" t="str">
        <f t="shared" si="12"/>
        <v/>
      </c>
      <c r="S78" s="5" t="str">
        <f t="shared" si="13"/>
        <v/>
      </c>
      <c r="T78" s="5" t="str">
        <f t="shared" si="13"/>
        <v/>
      </c>
      <c r="U78" s="5" t="str">
        <f t="shared" si="13"/>
        <v/>
      </c>
      <c r="V78" s="5" t="str">
        <f t="shared" si="13"/>
        <v/>
      </c>
      <c r="W78" s="5" t="str">
        <f t="shared" si="13"/>
        <v/>
      </c>
      <c r="X78" s="5" t="str">
        <f>IF(Y78&lt;&gt;"",SUM(Y$52:Y78),"")</f>
        <v/>
      </c>
      <c r="Y78" s="5" t="str">
        <f t="shared" si="2"/>
        <v/>
      </c>
      <c r="Z78" s="5" t="str">
        <f t="shared" si="3"/>
        <v/>
      </c>
      <c r="AB78" s="16" t="str">
        <f>IF(RIGHT(prodType,1)="g","droite","")</f>
        <v/>
      </c>
      <c r="AC78" s="24" t="str">
        <f>IF(Z78&lt;&gt;"",SUM(Z$52:Z78),"")</f>
        <v/>
      </c>
      <c r="AD78" s="37"/>
      <c r="AE78" s="58"/>
      <c r="AF78" s="37"/>
      <c r="AG78" s="37"/>
      <c r="AH78" s="4">
        <f t="shared" si="21"/>
        <v>0</v>
      </c>
      <c r="AI78" s="4">
        <f t="shared" si="22"/>
        <v>0</v>
      </c>
      <c r="AO78" s="65"/>
      <c r="AP78" s="65"/>
      <c r="AQ78" s="65"/>
      <c r="AU78" s="47" t="str">
        <f t="shared" si="24"/>
        <v/>
      </c>
      <c r="AV78" s="47" t="str">
        <f t="shared" si="25"/>
        <v/>
      </c>
      <c r="AW78" s="47" t="str">
        <f t="shared" si="26"/>
        <v/>
      </c>
      <c r="AX78" s="47" t="str">
        <f t="shared" si="4"/>
        <v/>
      </c>
      <c r="AY78" s="47" t="str">
        <f t="shared" si="27"/>
        <v/>
      </c>
      <c r="AZ78" s="47" t="str">
        <f t="shared" si="5"/>
        <v/>
      </c>
      <c r="BA78" s="47" t="str">
        <f t="shared" si="6"/>
        <v/>
      </c>
      <c r="BB78" s="47" t="str">
        <f t="shared" si="28"/>
        <v/>
      </c>
      <c r="BC78" s="47" t="str">
        <f t="shared" si="7"/>
        <v/>
      </c>
      <c r="BD78" s="47" t="str">
        <f t="shared" si="8"/>
        <v/>
      </c>
      <c r="BE78" s="47" t="str">
        <f t="shared" si="9"/>
        <v/>
      </c>
      <c r="BF78" s="47" t="str">
        <f t="shared" si="10"/>
        <v/>
      </c>
      <c r="BG78" s="56" t="str">
        <f t="shared" si="19"/>
        <v/>
      </c>
      <c r="BH78" s="51" t="str">
        <f t="shared" si="11"/>
        <v/>
      </c>
      <c r="BI78" s="47" t="str">
        <f t="shared" si="20"/>
        <v/>
      </c>
    </row>
    <row r="79" spans="16:61" ht="14.25" customHeight="1" x14ac:dyDescent="0.3">
      <c r="P79" s="5" t="str">
        <f>IF(AG79&lt;&gt;"",HLOOKUP(AG79,dataProduits!D$1:H$10,2,FALSE),"")</f>
        <v/>
      </c>
      <c r="Q79" s="5" t="str">
        <f>IF(AG79&lt;&gt;"",HLOOKUP(PROD!AG79,dataProduits!D$1:H$10,4,FALSE),"")</f>
        <v/>
      </c>
      <c r="R79" s="5" t="str">
        <f t="shared" si="12"/>
        <v/>
      </c>
      <c r="S79" s="5" t="str">
        <f t="shared" si="13"/>
        <v/>
      </c>
      <c r="T79" s="5" t="str">
        <f t="shared" si="13"/>
        <v/>
      </c>
      <c r="U79" s="5" t="str">
        <f t="shared" si="13"/>
        <v/>
      </c>
      <c r="V79" s="5" t="str">
        <f t="shared" si="13"/>
        <v/>
      </c>
      <c r="W79" s="5" t="str">
        <f t="shared" si="13"/>
        <v/>
      </c>
      <c r="X79" s="5" t="str">
        <f>IF(Y79&lt;&gt;"",SUM(Y$52:Y79),"")</f>
        <v/>
      </c>
      <c r="Y79" s="5" t="str">
        <f t="shared" si="2"/>
        <v/>
      </c>
      <c r="Z79" s="5" t="str">
        <f t="shared" si="3"/>
        <v/>
      </c>
      <c r="AB79" s="16" t="str">
        <f>IF(RIGHT(prodType,1)="g","gauche","")</f>
        <v/>
      </c>
      <c r="AC79" s="24" t="str">
        <f>IF(Z79&lt;&gt;"",SUM(Z$52:Z79),"")</f>
        <v/>
      </c>
      <c r="AD79" s="37"/>
      <c r="AE79" s="58"/>
      <c r="AF79" s="37"/>
      <c r="AG79" s="37"/>
      <c r="AH79" s="4">
        <f t="shared" si="21"/>
        <v>0</v>
      </c>
      <c r="AI79" s="4">
        <f t="shared" si="22"/>
        <v>0</v>
      </c>
      <c r="AO79" s="65"/>
      <c r="AP79" s="65"/>
      <c r="AQ79" s="65"/>
      <c r="AU79" s="47" t="str">
        <f t="shared" si="24"/>
        <v/>
      </c>
      <c r="AV79" s="47" t="str">
        <f t="shared" si="25"/>
        <v/>
      </c>
      <c r="AW79" s="47" t="str">
        <f t="shared" si="26"/>
        <v/>
      </c>
      <c r="AX79" s="47" t="str">
        <f t="shared" si="4"/>
        <v/>
      </c>
      <c r="AY79" s="47" t="str">
        <f t="shared" si="27"/>
        <v/>
      </c>
      <c r="AZ79" s="47" t="str">
        <f t="shared" si="5"/>
        <v/>
      </c>
      <c r="BA79" s="47" t="str">
        <f t="shared" si="6"/>
        <v/>
      </c>
      <c r="BB79" s="47" t="str">
        <f t="shared" si="28"/>
        <v/>
      </c>
      <c r="BC79" s="47" t="str">
        <f t="shared" si="7"/>
        <v/>
      </c>
      <c r="BD79" s="47" t="str">
        <f t="shared" si="8"/>
        <v/>
      </c>
      <c r="BE79" s="47" t="str">
        <f t="shared" si="9"/>
        <v/>
      </c>
      <c r="BF79" s="47" t="str">
        <f t="shared" si="10"/>
        <v/>
      </c>
      <c r="BG79" s="56" t="str">
        <f t="shared" si="19"/>
        <v/>
      </c>
      <c r="BH79" s="51" t="str">
        <f t="shared" si="11"/>
        <v/>
      </c>
      <c r="BI79" s="47" t="str">
        <f t="shared" si="20"/>
        <v/>
      </c>
    </row>
    <row r="80" spans="16:61" ht="14.25" customHeight="1" x14ac:dyDescent="0.3">
      <c r="P80" s="5" t="str">
        <f>IF(AG80&lt;&gt;"",HLOOKUP(AG80,dataProduits!D$1:H$10,2,FALSE),"")</f>
        <v/>
      </c>
      <c r="Q80" s="5" t="str">
        <f>IF(AG80&lt;&gt;"",HLOOKUP(PROD!AG80,dataProduits!D$1:H$10,4,FALSE),"")</f>
        <v/>
      </c>
      <c r="R80" s="5" t="str">
        <f t="shared" si="12"/>
        <v/>
      </c>
      <c r="S80" s="5" t="str">
        <f t="shared" si="13"/>
        <v/>
      </c>
      <c r="T80" s="5" t="str">
        <f t="shared" si="13"/>
        <v/>
      </c>
      <c r="U80" s="5" t="str">
        <f t="shared" si="13"/>
        <v/>
      </c>
      <c r="V80" s="5" t="str">
        <f t="shared" si="13"/>
        <v/>
      </c>
      <c r="W80" s="5" t="str">
        <f t="shared" si="13"/>
        <v/>
      </c>
      <c r="X80" s="5" t="str">
        <f>IF(Y80&lt;&gt;"",SUM(Y$52:Y80),"")</f>
        <v/>
      </c>
      <c r="Y80" s="5" t="str">
        <f t="shared" si="2"/>
        <v/>
      </c>
      <c r="Z80" s="5" t="str">
        <f t="shared" si="3"/>
        <v/>
      </c>
      <c r="AB80" s="16" t="str">
        <f>IF(RIGHT(prodType,1)="g","droite","")</f>
        <v/>
      </c>
      <c r="AC80" s="24" t="str">
        <f>IF(Z80&lt;&gt;"",SUM(Z$52:Z80),"")</f>
        <v/>
      </c>
      <c r="AD80" s="37"/>
      <c r="AE80" s="58"/>
      <c r="AF80" s="37"/>
      <c r="AG80" s="37"/>
      <c r="AH80" s="4">
        <f t="shared" si="21"/>
        <v>0</v>
      </c>
      <c r="AI80" s="4">
        <f t="shared" si="22"/>
        <v>0</v>
      </c>
      <c r="AU80" s="47" t="str">
        <f t="shared" si="24"/>
        <v/>
      </c>
      <c r="AV80" s="47" t="str">
        <f t="shared" si="25"/>
        <v/>
      </c>
      <c r="AW80" s="47" t="str">
        <f t="shared" si="26"/>
        <v/>
      </c>
      <c r="AX80" s="47" t="str">
        <f t="shared" si="4"/>
        <v/>
      </c>
      <c r="AY80" s="47" t="str">
        <f t="shared" si="27"/>
        <v/>
      </c>
      <c r="AZ80" s="47" t="str">
        <f t="shared" si="5"/>
        <v/>
      </c>
      <c r="BA80" s="47" t="str">
        <f t="shared" si="6"/>
        <v/>
      </c>
      <c r="BB80" s="47" t="str">
        <f t="shared" si="28"/>
        <v/>
      </c>
      <c r="BC80" s="47" t="str">
        <f t="shared" si="7"/>
        <v/>
      </c>
      <c r="BD80" s="47" t="str">
        <f t="shared" si="8"/>
        <v/>
      </c>
      <c r="BE80" s="47" t="str">
        <f t="shared" si="9"/>
        <v/>
      </c>
      <c r="BF80" s="47" t="str">
        <f t="shared" si="10"/>
        <v/>
      </c>
      <c r="BG80" s="56" t="str">
        <f t="shared" si="19"/>
        <v/>
      </c>
      <c r="BH80" s="51" t="str">
        <f t="shared" si="11"/>
        <v/>
      </c>
      <c r="BI80" s="47" t="str">
        <f t="shared" si="20"/>
        <v/>
      </c>
    </row>
    <row r="81" spans="16:61" ht="14.25" customHeight="1" x14ac:dyDescent="0.3">
      <c r="P81" s="5" t="str">
        <f>IF(AG81&lt;&gt;"",HLOOKUP(AG81,dataProduits!D$1:H$10,2,FALSE),"")</f>
        <v/>
      </c>
      <c r="Q81" s="5" t="str">
        <f>IF(AG81&lt;&gt;"",HLOOKUP(PROD!AG81,dataProduits!D$1:H$10,4,FALSE),"")</f>
        <v/>
      </c>
      <c r="R81" s="5" t="str">
        <f t="shared" si="12"/>
        <v/>
      </c>
      <c r="S81" s="5" t="str">
        <f t="shared" si="13"/>
        <v/>
      </c>
      <c r="T81" s="5" t="str">
        <f t="shared" si="13"/>
        <v/>
      </c>
      <c r="U81" s="5" t="str">
        <f t="shared" si="13"/>
        <v/>
      </c>
      <c r="V81" s="5" t="str">
        <f t="shared" si="13"/>
        <v/>
      </c>
      <c r="W81" s="5" t="str">
        <f t="shared" si="13"/>
        <v/>
      </c>
      <c r="X81" s="5" t="str">
        <f>IF(Y81&lt;&gt;"",SUM(Y$52:Y81),"")</f>
        <v/>
      </c>
      <c r="Y81" s="5" t="str">
        <f t="shared" si="2"/>
        <v/>
      </c>
      <c r="Z81" s="5" t="str">
        <f t="shared" si="3"/>
        <v/>
      </c>
      <c r="AB81" s="16" t="str">
        <f>IF(RIGHT(prodType,1)="g","gauche","")</f>
        <v/>
      </c>
      <c r="AC81" s="24" t="str">
        <f>IF(Z81&lt;&gt;"",SUM(Z$52:Z81),"")</f>
        <v/>
      </c>
      <c r="AD81" s="37"/>
      <c r="AE81" s="58"/>
      <c r="AF81" s="37"/>
      <c r="AG81" s="37"/>
      <c r="AH81" s="4">
        <f t="shared" si="21"/>
        <v>0</v>
      </c>
      <c r="AI81" s="4">
        <f t="shared" si="22"/>
        <v>0</v>
      </c>
      <c r="AU81" s="47" t="str">
        <f t="shared" si="24"/>
        <v/>
      </c>
      <c r="AV81" s="47" t="str">
        <f t="shared" si="25"/>
        <v/>
      </c>
      <c r="AW81" s="47" t="str">
        <f t="shared" si="26"/>
        <v/>
      </c>
      <c r="AX81" s="47" t="str">
        <f t="shared" si="4"/>
        <v/>
      </c>
      <c r="AY81" s="47" t="str">
        <f t="shared" si="27"/>
        <v/>
      </c>
      <c r="AZ81" s="47" t="str">
        <f t="shared" si="5"/>
        <v/>
      </c>
      <c r="BA81" s="47" t="str">
        <f t="shared" si="6"/>
        <v/>
      </c>
      <c r="BB81" s="47" t="str">
        <f t="shared" si="28"/>
        <v/>
      </c>
      <c r="BC81" s="47" t="str">
        <f t="shared" si="7"/>
        <v/>
      </c>
      <c r="BD81" s="47" t="str">
        <f t="shared" si="8"/>
        <v/>
      </c>
      <c r="BE81" s="47" t="str">
        <f t="shared" si="9"/>
        <v/>
      </c>
      <c r="BF81" s="47" t="str">
        <f t="shared" si="10"/>
        <v/>
      </c>
      <c r="BG81" s="56" t="str">
        <f t="shared" si="19"/>
        <v/>
      </c>
      <c r="BH81" s="51" t="str">
        <f t="shared" si="11"/>
        <v/>
      </c>
      <c r="BI81" s="47" t="str">
        <f t="shared" si="20"/>
        <v/>
      </c>
    </row>
    <row r="82" spans="16:61" ht="15" customHeight="1" x14ac:dyDescent="0.3">
      <c r="P82" s="5" t="str">
        <f>IF(AG82&lt;&gt;"",HLOOKUP(AG82,dataProduits!D$1:H$10,2,FALSE),"")</f>
        <v/>
      </c>
      <c r="Q82" s="5" t="str">
        <f>IF(AG82&lt;&gt;"",HLOOKUP(PROD!AG82,dataProduits!D$1:H$10,4,FALSE),"")</f>
        <v/>
      </c>
      <c r="R82" s="5" t="str">
        <f t="shared" si="12"/>
        <v/>
      </c>
      <c r="S82" s="5" t="str">
        <f t="shared" si="13"/>
        <v/>
      </c>
      <c r="T82" s="5" t="str">
        <f t="shared" si="13"/>
        <v/>
      </c>
      <c r="U82" s="5" t="str">
        <f t="shared" si="13"/>
        <v/>
      </c>
      <c r="V82" s="5" t="str">
        <f t="shared" si="13"/>
        <v/>
      </c>
      <c r="W82" s="5" t="str">
        <f t="shared" si="13"/>
        <v/>
      </c>
      <c r="X82" s="5" t="str">
        <f>IF(Y82&lt;&gt;"",SUM(Y$52:Y82),"")</f>
        <v/>
      </c>
      <c r="Y82" s="5" t="str">
        <f t="shared" si="2"/>
        <v/>
      </c>
      <c r="Z82" s="5" t="str">
        <f t="shared" si="3"/>
        <v/>
      </c>
      <c r="AB82" s="16" t="str">
        <f>IF(RIGHT(prodType,1)="g","droite","")</f>
        <v/>
      </c>
      <c r="AC82" s="24" t="str">
        <f>IF(Z82&lt;&gt;"",SUM(Z$52:Z82),"")</f>
        <v/>
      </c>
      <c r="AD82" s="37"/>
      <c r="AE82" s="58"/>
      <c r="AF82" s="37"/>
      <c r="AG82" s="37"/>
      <c r="AH82" s="4">
        <f t="shared" si="21"/>
        <v>0</v>
      </c>
      <c r="AI82" s="4">
        <f t="shared" si="22"/>
        <v>0</v>
      </c>
      <c r="AU82" s="47" t="str">
        <f t="shared" si="24"/>
        <v/>
      </c>
      <c r="AV82" s="47" t="str">
        <f t="shared" si="25"/>
        <v/>
      </c>
      <c r="AW82" s="47" t="str">
        <f t="shared" si="26"/>
        <v/>
      </c>
      <c r="AX82" s="47" t="str">
        <f t="shared" si="4"/>
        <v/>
      </c>
      <c r="AY82" s="47" t="str">
        <f t="shared" si="27"/>
        <v/>
      </c>
      <c r="AZ82" s="47" t="str">
        <f t="shared" si="5"/>
        <v/>
      </c>
      <c r="BA82" s="47" t="str">
        <f t="shared" si="6"/>
        <v/>
      </c>
      <c r="BB82" s="47" t="str">
        <f t="shared" si="28"/>
        <v/>
      </c>
      <c r="BC82" s="47" t="str">
        <f t="shared" si="7"/>
        <v/>
      </c>
      <c r="BD82" s="47" t="str">
        <f t="shared" si="8"/>
        <v/>
      </c>
      <c r="BE82" s="47" t="str">
        <f t="shared" si="9"/>
        <v/>
      </c>
      <c r="BF82" s="47" t="str">
        <f t="shared" si="10"/>
        <v/>
      </c>
      <c r="BG82" s="56" t="str">
        <f t="shared" si="19"/>
        <v/>
      </c>
      <c r="BH82" s="51" t="str">
        <f t="shared" si="11"/>
        <v/>
      </c>
      <c r="BI82" s="47" t="str">
        <f t="shared" si="20"/>
        <v/>
      </c>
    </row>
    <row r="83" spans="16:61" ht="15" customHeight="1" x14ac:dyDescent="0.3">
      <c r="P83" s="5" t="str">
        <f>IF(AG83&lt;&gt;"",HLOOKUP(AG83,dataProduits!D$1:H$10,2,FALSE),"")</f>
        <v/>
      </c>
      <c r="Q83" s="5" t="str">
        <f>IF(AG83&lt;&gt;"",HLOOKUP(PROD!AG83,dataProduits!D$1:H$10,4,FALSE),"")</f>
        <v/>
      </c>
      <c r="R83" s="5" t="str">
        <f t="shared" si="12"/>
        <v/>
      </c>
      <c r="S83" s="5" t="str">
        <f t="shared" si="13"/>
        <v/>
      </c>
      <c r="T83" s="5" t="str">
        <f t="shared" si="13"/>
        <v/>
      </c>
      <c r="U83" s="5" t="str">
        <f t="shared" si="13"/>
        <v/>
      </c>
      <c r="V83" s="5" t="str">
        <f t="shared" si="13"/>
        <v/>
      </c>
      <c r="W83" s="5" t="str">
        <f t="shared" si="13"/>
        <v/>
      </c>
      <c r="X83" s="5" t="str">
        <f>IF(Y83&lt;&gt;"",SUM(Y$52:Y83),"")</f>
        <v/>
      </c>
      <c r="Y83" s="5" t="str">
        <f t="shared" si="2"/>
        <v/>
      </c>
      <c r="Z83" s="5" t="str">
        <f t="shared" si="3"/>
        <v/>
      </c>
      <c r="AB83" s="16" t="str">
        <f>IF(RIGHT(prodType,1)="g","gauche","")</f>
        <v/>
      </c>
      <c r="AC83" s="24" t="str">
        <f>IF(Z83&lt;&gt;"",SUM(Z$52:Z83),"")</f>
        <v/>
      </c>
      <c r="AD83" s="37"/>
      <c r="AE83" s="58"/>
      <c r="AF83" s="37"/>
      <c r="AG83" s="37"/>
      <c r="AH83" s="4">
        <f t="shared" si="21"/>
        <v>0</v>
      </c>
      <c r="AI83" s="4">
        <f t="shared" si="22"/>
        <v>0</v>
      </c>
      <c r="AU83" s="47" t="str">
        <f t="shared" si="24"/>
        <v/>
      </c>
      <c r="AV83" s="47" t="str">
        <f t="shared" si="25"/>
        <v/>
      </c>
      <c r="AW83" s="47" t="str">
        <f t="shared" si="26"/>
        <v/>
      </c>
      <c r="AX83" s="47" t="str">
        <f t="shared" si="4"/>
        <v/>
      </c>
      <c r="AY83" s="47" t="str">
        <f t="shared" si="27"/>
        <v/>
      </c>
      <c r="AZ83" s="47" t="str">
        <f t="shared" si="5"/>
        <v/>
      </c>
      <c r="BA83" s="47" t="str">
        <f t="shared" si="6"/>
        <v/>
      </c>
      <c r="BB83" s="47" t="str">
        <f t="shared" si="28"/>
        <v/>
      </c>
      <c r="BC83" s="47" t="str">
        <f t="shared" si="7"/>
        <v/>
      </c>
      <c r="BD83" s="47" t="str">
        <f t="shared" si="8"/>
        <v/>
      </c>
      <c r="BE83" s="47" t="str">
        <f t="shared" si="9"/>
        <v/>
      </c>
      <c r="BF83" s="47" t="str">
        <f t="shared" si="10"/>
        <v/>
      </c>
      <c r="BG83" s="56" t="str">
        <f t="shared" si="19"/>
        <v/>
      </c>
      <c r="BH83" s="51" t="str">
        <f t="shared" si="11"/>
        <v/>
      </c>
      <c r="BI83" s="47" t="str">
        <f t="shared" si="20"/>
        <v/>
      </c>
    </row>
    <row r="84" spans="16:61" ht="15" customHeight="1" x14ac:dyDescent="0.3">
      <c r="P84" s="5" t="str">
        <f>IF(AG84&lt;&gt;"",HLOOKUP(AG84,dataProduits!D$1:H$10,2,FALSE),"")</f>
        <v/>
      </c>
      <c r="Q84" s="5" t="str">
        <f>IF(AG84&lt;&gt;"",HLOOKUP(PROD!AG84,dataProduits!D$1:H$10,4,FALSE),"")</f>
        <v/>
      </c>
      <c r="R84" s="5" t="str">
        <f t="shared" si="12"/>
        <v/>
      </c>
      <c r="S84" s="5" t="str">
        <f t="shared" si="13"/>
        <v/>
      </c>
      <c r="T84" s="5" t="str">
        <f t="shared" si="13"/>
        <v/>
      </c>
      <c r="U84" s="5" t="str">
        <f t="shared" si="13"/>
        <v/>
      </c>
      <c r="V84" s="5" t="str">
        <f t="shared" si="13"/>
        <v/>
      </c>
      <c r="W84" s="5" t="str">
        <f t="shared" si="13"/>
        <v/>
      </c>
      <c r="X84" s="5" t="str">
        <f>IF(Y84&lt;&gt;"",SUM(Y$52:Y84),"")</f>
        <v/>
      </c>
      <c r="Y84" s="5" t="str">
        <f t="shared" ref="Y84:Y115" si="29">IF(AND(AF84&lt;&gt;"",AD84&lt;&gt;""),IF(OR(prodType="2x250g",AG84="2x250g"),0.5,1),"")</f>
        <v/>
      </c>
      <c r="Z84" s="5" t="str">
        <f t="shared" ref="Z84:Z115" si="30">IF(AND(AF84&lt;&gt;"",AD84=""),IF(AG84="500g",1,IF(OR(prodType="2x250g",AND(AG84="2x250g")),0.5,1)),"")</f>
        <v/>
      </c>
      <c r="AB84" s="16" t="str">
        <f>IF(RIGHT(prodType,1)="g","droite","")</f>
        <v/>
      </c>
      <c r="AC84" s="24" t="str">
        <f>IF(Z84&lt;&gt;"",SUM(Z$52:Z84),"")</f>
        <v/>
      </c>
      <c r="AD84" s="37"/>
      <c r="AE84" s="58"/>
      <c r="AF84" s="37"/>
      <c r="AG84" s="37"/>
      <c r="AH84" s="4">
        <f t="shared" si="21"/>
        <v>0</v>
      </c>
      <c r="AI84" s="4">
        <f t="shared" si="22"/>
        <v>0</v>
      </c>
      <c r="AU84" s="47" t="str">
        <f t="shared" si="24"/>
        <v/>
      </c>
      <c r="AV84" s="47" t="str">
        <f t="shared" si="25"/>
        <v/>
      </c>
      <c r="AW84" s="47" t="str">
        <f t="shared" si="26"/>
        <v/>
      </c>
      <c r="AX84" s="47" t="str">
        <f t="shared" ref="AX84:AX115" si="31">IF(AU84&lt;&gt;"",IF(AND(AG84=""),prodType,AG84),"")</f>
        <v/>
      </c>
      <c r="AY84" s="47" t="str">
        <f t="shared" si="27"/>
        <v/>
      </c>
      <c r="AZ84" s="47" t="str">
        <f t="shared" ref="AZ84:AZ115" si="32">IF(AU84&lt;&gt;"",posteMachine,"")</f>
        <v/>
      </c>
      <c r="BA84" s="47" t="str">
        <f t="shared" ref="BA84:BA115" si="33">IF(AU84&lt;&gt;"",posteOperateur,"")</f>
        <v/>
      </c>
      <c r="BB84" s="47" t="str">
        <f t="shared" si="28"/>
        <v/>
      </c>
      <c r="BC84" s="47" t="str">
        <f t="shared" ref="BC84:BC115" si="34">IFERROR(VLOOKUP(AV84,micCtl,2,FALSE),"")</f>
        <v/>
      </c>
      <c r="BD84" s="47" t="str">
        <f t="shared" ref="BD84:BD115" si="35">IFERROR(VLOOKUP(AV84,micCtl,3,FALSE),"")</f>
        <v/>
      </c>
      <c r="BE84" s="47" t="str">
        <f t="shared" ref="BE84:BE115" si="36">IFERROR(VLOOKUP(AV84,finalCtl,2,FALSE),"")</f>
        <v/>
      </c>
      <c r="BF84" s="47" t="str">
        <f t="shared" ref="BF84:BF115" si="37">IFERROR(VLOOKUP(AV84,finalCtl,3,FALSE),"")</f>
        <v/>
      </c>
      <c r="BG84" s="56" t="str">
        <f t="shared" si="19"/>
        <v/>
      </c>
      <c r="BH84" s="51" t="str">
        <f t="shared" ref="BH84:BH115" si="38">IF(AU84&lt;&gt;"",posteDate,"")</f>
        <v/>
      </c>
      <c r="BI84" s="47" t="str">
        <f t="shared" si="20"/>
        <v/>
      </c>
    </row>
    <row r="85" spans="16:61" ht="15" customHeight="1" x14ac:dyDescent="0.3">
      <c r="P85" s="5" t="str">
        <f>IF(AG85&lt;&gt;"",HLOOKUP(AG85,dataProduits!D$1:H$10,2,FALSE),"")</f>
        <v/>
      </c>
      <c r="Q85" s="5" t="str">
        <f>IF(AG85&lt;&gt;"",HLOOKUP(PROD!AG85,dataProduits!D$1:H$10,4,FALSE),"")</f>
        <v/>
      </c>
      <c r="R85" s="5" t="str">
        <f t="shared" si="12"/>
        <v/>
      </c>
      <c r="S85" s="5" t="str">
        <f t="shared" ref="S85:W121" si="39">IF($AD85=S$51,$AI85,"")</f>
        <v/>
      </c>
      <c r="T85" s="5" t="str">
        <f t="shared" si="39"/>
        <v/>
      </c>
      <c r="U85" s="5" t="str">
        <f t="shared" si="39"/>
        <v/>
      </c>
      <c r="V85" s="5" t="str">
        <f t="shared" si="39"/>
        <v/>
      </c>
      <c r="W85" s="5" t="str">
        <f t="shared" si="39"/>
        <v/>
      </c>
      <c r="X85" s="5" t="str">
        <f>IF(Y85&lt;&gt;"",SUM(Y$52:Y85),"")</f>
        <v/>
      </c>
      <c r="Y85" s="5" t="str">
        <f t="shared" si="29"/>
        <v/>
      </c>
      <c r="Z85" s="5" t="str">
        <f t="shared" si="30"/>
        <v/>
      </c>
      <c r="AB85" s="16" t="str">
        <f>IF(RIGHT(prodType,1)="g","gauche","")</f>
        <v/>
      </c>
      <c r="AC85" s="24" t="str">
        <f>IF(Z85&lt;&gt;"",SUM(Z$52:Z85),"")</f>
        <v/>
      </c>
      <c r="AD85" s="37"/>
      <c r="AE85" s="58"/>
      <c r="AF85" s="37"/>
      <c r="AG85" s="37"/>
      <c r="AH85" s="4">
        <f t="shared" si="21"/>
        <v>0</v>
      </c>
      <c r="AI85" s="4">
        <f t="shared" si="22"/>
        <v>0</v>
      </c>
      <c r="AU85" s="47" t="str">
        <f t="shared" si="24"/>
        <v/>
      </c>
      <c r="AV85" s="47" t="str">
        <f t="shared" si="25"/>
        <v/>
      </c>
      <c r="AW85" s="47" t="str">
        <f t="shared" si="26"/>
        <v/>
      </c>
      <c r="AX85" s="47" t="str">
        <f t="shared" si="31"/>
        <v/>
      </c>
      <c r="AY85" s="47" t="str">
        <f t="shared" si="27"/>
        <v/>
      </c>
      <c r="AZ85" s="47" t="str">
        <f t="shared" si="32"/>
        <v/>
      </c>
      <c r="BA85" s="47" t="str">
        <f t="shared" si="33"/>
        <v/>
      </c>
      <c r="BB85" s="47" t="str">
        <f t="shared" si="28"/>
        <v/>
      </c>
      <c r="BC85" s="47" t="str">
        <f t="shared" si="34"/>
        <v/>
      </c>
      <c r="BD85" s="47" t="str">
        <f t="shared" si="35"/>
        <v/>
      </c>
      <c r="BE85" s="47" t="str">
        <f t="shared" si="36"/>
        <v/>
      </c>
      <c r="BF85" s="47" t="str">
        <f t="shared" si="37"/>
        <v/>
      </c>
      <c r="BG85" s="56" t="str">
        <f t="shared" si="19"/>
        <v/>
      </c>
      <c r="BH85" s="51" t="str">
        <f t="shared" si="38"/>
        <v/>
      </c>
      <c r="BI85" s="47" t="str">
        <f t="shared" si="20"/>
        <v/>
      </c>
    </row>
    <row r="86" spans="16:61" ht="15" customHeight="1" x14ac:dyDescent="0.3">
      <c r="P86" s="5" t="str">
        <f>IF(AG86&lt;&gt;"",HLOOKUP(AG86,dataProduits!D$1:H$10,2,FALSE),"")</f>
        <v/>
      </c>
      <c r="Q86" s="5" t="str">
        <f>IF(AG86&lt;&gt;"",HLOOKUP(PROD!AG86,dataProduits!D$1:H$10,4,FALSE),"")</f>
        <v/>
      </c>
      <c r="R86" s="5" t="str">
        <f t="shared" si="12"/>
        <v/>
      </c>
      <c r="S86" s="5" t="str">
        <f t="shared" si="39"/>
        <v/>
      </c>
      <c r="T86" s="5" t="str">
        <f t="shared" si="39"/>
        <v/>
      </c>
      <c r="U86" s="5" t="str">
        <f t="shared" si="39"/>
        <v/>
      </c>
      <c r="V86" s="5" t="str">
        <f t="shared" si="39"/>
        <v/>
      </c>
      <c r="W86" s="5" t="str">
        <f t="shared" si="39"/>
        <v/>
      </c>
      <c r="X86" s="5" t="str">
        <f>IF(Y86&lt;&gt;"",SUM(Y$52:Y86),"")</f>
        <v/>
      </c>
      <c r="Y86" s="5" t="str">
        <f t="shared" si="29"/>
        <v/>
      </c>
      <c r="Z86" s="5" t="str">
        <f t="shared" si="30"/>
        <v/>
      </c>
      <c r="AB86" s="16" t="str">
        <f>IF(RIGHT(prodType,1)="g","droite","")</f>
        <v/>
      </c>
      <c r="AC86" s="24" t="str">
        <f>IF(Z86&lt;&gt;"",SUM(Z$52:Z86),"")</f>
        <v/>
      </c>
      <c r="AD86" s="37"/>
      <c r="AE86" s="58"/>
      <c r="AF86" s="37"/>
      <c r="AG86" s="37"/>
      <c r="AH86" s="4">
        <f t="shared" si="21"/>
        <v>0</v>
      </c>
      <c r="AI86" s="4">
        <f t="shared" si="22"/>
        <v>0</v>
      </c>
      <c r="AU86" s="47" t="str">
        <f t="shared" si="24"/>
        <v/>
      </c>
      <c r="AV86" s="47" t="str">
        <f t="shared" si="25"/>
        <v/>
      </c>
      <c r="AW86" s="47" t="str">
        <f t="shared" si="26"/>
        <v/>
      </c>
      <c r="AX86" s="47" t="str">
        <f t="shared" si="31"/>
        <v/>
      </c>
      <c r="AY86" s="47" t="str">
        <f t="shared" si="27"/>
        <v/>
      </c>
      <c r="AZ86" s="47" t="str">
        <f t="shared" si="32"/>
        <v/>
      </c>
      <c r="BA86" s="47" t="str">
        <f t="shared" si="33"/>
        <v/>
      </c>
      <c r="BB86" s="47" t="str">
        <f t="shared" si="28"/>
        <v/>
      </c>
      <c r="BC86" s="47" t="str">
        <f t="shared" si="34"/>
        <v/>
      </c>
      <c r="BD86" s="47" t="str">
        <f t="shared" si="35"/>
        <v/>
      </c>
      <c r="BE86" s="47" t="str">
        <f t="shared" si="36"/>
        <v/>
      </c>
      <c r="BF86" s="47" t="str">
        <f t="shared" si="37"/>
        <v/>
      </c>
      <c r="BG86" s="56" t="str">
        <f t="shared" si="19"/>
        <v/>
      </c>
      <c r="BH86" s="51" t="str">
        <f t="shared" si="38"/>
        <v/>
      </c>
      <c r="BI86" s="47" t="str">
        <f t="shared" si="20"/>
        <v/>
      </c>
    </row>
    <row r="87" spans="16:61" ht="15" customHeight="1" x14ac:dyDescent="0.3">
      <c r="P87" s="5" t="str">
        <f>IF(AG87&lt;&gt;"",HLOOKUP(AG87,dataProduits!D$1:H$10,2,FALSE),"")</f>
        <v/>
      </c>
      <c r="Q87" s="5" t="str">
        <f>IF(AG87&lt;&gt;"",HLOOKUP(PROD!AG87,dataProduits!D$1:H$10,4,FALSE),"")</f>
        <v/>
      </c>
      <c r="R87" s="5" t="str">
        <f t="shared" si="12"/>
        <v/>
      </c>
      <c r="S87" s="5" t="str">
        <f t="shared" si="39"/>
        <v/>
      </c>
      <c r="T87" s="5" t="str">
        <f t="shared" si="39"/>
        <v/>
      </c>
      <c r="U87" s="5" t="str">
        <f t="shared" si="39"/>
        <v/>
      </c>
      <c r="V87" s="5" t="str">
        <f t="shared" si="39"/>
        <v/>
      </c>
      <c r="W87" s="5" t="str">
        <f t="shared" si="39"/>
        <v/>
      </c>
      <c r="X87" s="5" t="str">
        <f>IF(Y87&lt;&gt;"",SUM(Y$52:Y87),"")</f>
        <v/>
      </c>
      <c r="Y87" s="5" t="str">
        <f t="shared" si="29"/>
        <v/>
      </c>
      <c r="Z87" s="5" t="str">
        <f t="shared" si="30"/>
        <v/>
      </c>
      <c r="AB87" s="16" t="str">
        <f>IF(RIGHT(prodType,1)="g","gauche","")</f>
        <v/>
      </c>
      <c r="AC87" s="24" t="str">
        <f>IF(Z87&lt;&gt;"",SUM(Z$52:Z87),"")</f>
        <v/>
      </c>
      <c r="AD87" s="37"/>
      <c r="AE87" s="58"/>
      <c r="AF87" s="37"/>
      <c r="AG87" s="37"/>
      <c r="AH87" s="4">
        <f t="shared" si="21"/>
        <v>0</v>
      </c>
      <c r="AI87" s="4">
        <f t="shared" si="22"/>
        <v>0</v>
      </c>
      <c r="AU87" s="47" t="str">
        <f t="shared" si="24"/>
        <v/>
      </c>
      <c r="AV87" s="47" t="str">
        <f t="shared" si="25"/>
        <v/>
      </c>
      <c r="AW87" s="47" t="str">
        <f t="shared" si="26"/>
        <v/>
      </c>
      <c r="AX87" s="47" t="str">
        <f t="shared" si="31"/>
        <v/>
      </c>
      <c r="AY87" s="47" t="str">
        <f t="shared" si="27"/>
        <v/>
      </c>
      <c r="AZ87" s="47" t="str">
        <f t="shared" si="32"/>
        <v/>
      </c>
      <c r="BA87" s="47" t="str">
        <f t="shared" si="33"/>
        <v/>
      </c>
      <c r="BB87" s="47" t="str">
        <f t="shared" si="28"/>
        <v/>
      </c>
      <c r="BC87" s="47" t="str">
        <f t="shared" si="34"/>
        <v/>
      </c>
      <c r="BD87" s="47" t="str">
        <f t="shared" si="35"/>
        <v/>
      </c>
      <c r="BE87" s="47" t="str">
        <f t="shared" si="36"/>
        <v/>
      </c>
      <c r="BF87" s="47" t="str">
        <f t="shared" si="37"/>
        <v/>
      </c>
      <c r="BG87" s="56" t="str">
        <f t="shared" si="19"/>
        <v/>
      </c>
      <c r="BH87" s="51" t="str">
        <f t="shared" si="38"/>
        <v/>
      </c>
      <c r="BI87" s="47" t="str">
        <f t="shared" si="20"/>
        <v/>
      </c>
    </row>
    <row r="88" spans="16:61" x14ac:dyDescent="0.3">
      <c r="P88" s="5" t="str">
        <f>IF(AG88&lt;&gt;"",HLOOKUP(AG88,dataProduits!D$1:H$10,2,FALSE),"")</f>
        <v/>
      </c>
      <c r="Q88" s="5" t="str">
        <f>IF(AG88&lt;&gt;"",HLOOKUP(PROD!AG88,dataProduits!D$1:H$10,4,FALSE),"")</f>
        <v/>
      </c>
      <c r="R88" s="5" t="str">
        <f t="shared" si="12"/>
        <v/>
      </c>
      <c r="S88" s="5" t="str">
        <f t="shared" si="39"/>
        <v/>
      </c>
      <c r="T88" s="5" t="str">
        <f t="shared" si="39"/>
        <v/>
      </c>
      <c r="U88" s="5" t="str">
        <f t="shared" si="39"/>
        <v/>
      </c>
      <c r="V88" s="5" t="str">
        <f t="shared" si="39"/>
        <v/>
      </c>
      <c r="W88" s="5" t="str">
        <f t="shared" si="39"/>
        <v/>
      </c>
      <c r="X88" s="5" t="str">
        <f>IF(Y88&lt;&gt;"",SUM(Y$52:Y88),"")</f>
        <v/>
      </c>
      <c r="Y88" s="5" t="str">
        <f t="shared" si="29"/>
        <v/>
      </c>
      <c r="Z88" s="5" t="str">
        <f t="shared" si="30"/>
        <v/>
      </c>
      <c r="AB88" s="16" t="str">
        <f>IF(RIGHT(prodType,1)="g","droite","")</f>
        <v/>
      </c>
      <c r="AC88" s="24" t="str">
        <f>IF(Z88&lt;&gt;"",SUM(Z$52:Z88),"")</f>
        <v/>
      </c>
      <c r="AD88" s="37"/>
      <c r="AE88" s="58"/>
      <c r="AF88" s="37"/>
      <c r="AG88" s="37"/>
      <c r="AH88" s="4">
        <f t="shared" si="21"/>
        <v>0</v>
      </c>
      <c r="AI88" s="4">
        <f t="shared" si="22"/>
        <v>0</v>
      </c>
      <c r="AU88" s="47" t="str">
        <f t="shared" si="24"/>
        <v/>
      </c>
      <c r="AV88" s="47" t="str">
        <f t="shared" si="25"/>
        <v/>
      </c>
      <c r="AW88" s="47" t="str">
        <f t="shared" si="26"/>
        <v/>
      </c>
      <c r="AX88" s="47" t="str">
        <f t="shared" si="31"/>
        <v/>
      </c>
      <c r="AY88" s="47" t="str">
        <f t="shared" si="27"/>
        <v/>
      </c>
      <c r="AZ88" s="47" t="str">
        <f t="shared" si="32"/>
        <v/>
      </c>
      <c r="BA88" s="47" t="str">
        <f t="shared" si="33"/>
        <v/>
      </c>
      <c r="BB88" s="47" t="str">
        <f t="shared" si="28"/>
        <v/>
      </c>
      <c r="BC88" s="47" t="str">
        <f t="shared" si="34"/>
        <v/>
      </c>
      <c r="BD88" s="47" t="str">
        <f t="shared" si="35"/>
        <v/>
      </c>
      <c r="BE88" s="47" t="str">
        <f t="shared" si="36"/>
        <v/>
      </c>
      <c r="BF88" s="47" t="str">
        <f t="shared" si="37"/>
        <v/>
      </c>
      <c r="BG88" s="56" t="str">
        <f t="shared" si="19"/>
        <v/>
      </c>
      <c r="BH88" s="51" t="str">
        <f t="shared" si="38"/>
        <v/>
      </c>
      <c r="BI88" s="47" t="str">
        <f t="shared" si="20"/>
        <v/>
      </c>
    </row>
    <row r="89" spans="16:61" x14ac:dyDescent="0.3">
      <c r="P89" s="5" t="str">
        <f>IF(AG89&lt;&gt;"",HLOOKUP(AG89,dataProduits!D$1:H$10,2,FALSE),"")</f>
        <v/>
      </c>
      <c r="Q89" s="5" t="str">
        <f>IF(AG89&lt;&gt;"",HLOOKUP(PROD!AG89,dataProduits!D$1:H$10,4,FALSE),"")</f>
        <v/>
      </c>
      <c r="R89" s="5" t="str">
        <f t="shared" si="12"/>
        <v/>
      </c>
      <c r="S89" s="5" t="str">
        <f t="shared" si="39"/>
        <v/>
      </c>
      <c r="T89" s="5" t="str">
        <f t="shared" si="39"/>
        <v/>
      </c>
      <c r="U89" s="5" t="str">
        <f t="shared" si="39"/>
        <v/>
      </c>
      <c r="V89" s="5" t="str">
        <f t="shared" si="39"/>
        <v/>
      </c>
      <c r="W89" s="5" t="str">
        <f t="shared" si="39"/>
        <v/>
      </c>
      <c r="X89" s="5" t="str">
        <f>IF(Y89&lt;&gt;"",SUM(Y$52:Y89),"")</f>
        <v/>
      </c>
      <c r="Y89" s="5" t="str">
        <f t="shared" si="29"/>
        <v/>
      </c>
      <c r="Z89" s="5" t="str">
        <f t="shared" si="30"/>
        <v/>
      </c>
      <c r="AB89" s="16" t="str">
        <f>IF(RIGHT(prodType,1)="g","gauche","")</f>
        <v/>
      </c>
      <c r="AC89" s="24" t="str">
        <f>IF(Z89&lt;&gt;"",SUM(Z$52:Z89),"")</f>
        <v/>
      </c>
      <c r="AD89" s="37"/>
      <c r="AE89" s="58"/>
      <c r="AF89" s="37"/>
      <c r="AG89" s="37"/>
      <c r="AH89" s="4">
        <f t="shared" si="21"/>
        <v>0</v>
      </c>
      <c r="AI89" s="4">
        <f t="shared" si="22"/>
        <v>0</v>
      </c>
      <c r="AU89" s="47" t="str">
        <f t="shared" si="24"/>
        <v/>
      </c>
      <c r="AV89" s="47" t="str">
        <f t="shared" si="25"/>
        <v/>
      </c>
      <c r="AW89" s="47" t="str">
        <f t="shared" si="26"/>
        <v/>
      </c>
      <c r="AX89" s="47" t="str">
        <f t="shared" si="31"/>
        <v/>
      </c>
      <c r="AY89" s="47" t="str">
        <f t="shared" si="27"/>
        <v/>
      </c>
      <c r="AZ89" s="47" t="str">
        <f t="shared" si="32"/>
        <v/>
      </c>
      <c r="BA89" s="47" t="str">
        <f t="shared" si="33"/>
        <v/>
      </c>
      <c r="BB89" s="47" t="str">
        <f t="shared" si="28"/>
        <v/>
      </c>
      <c r="BC89" s="47" t="str">
        <f t="shared" si="34"/>
        <v/>
      </c>
      <c r="BD89" s="47" t="str">
        <f t="shared" si="35"/>
        <v/>
      </c>
      <c r="BE89" s="47" t="str">
        <f t="shared" si="36"/>
        <v/>
      </c>
      <c r="BF89" s="47" t="str">
        <f t="shared" si="37"/>
        <v/>
      </c>
      <c r="BG89" s="56" t="str">
        <f t="shared" si="19"/>
        <v/>
      </c>
      <c r="BH89" s="51" t="str">
        <f t="shared" si="38"/>
        <v/>
      </c>
      <c r="BI89" s="47" t="str">
        <f t="shared" si="20"/>
        <v/>
      </c>
    </row>
    <row r="90" spans="16:61" x14ac:dyDescent="0.3">
      <c r="P90" s="5" t="str">
        <f>IF(AG90&lt;&gt;"",HLOOKUP(AG90,dataProduits!D$1:H$10,2,FALSE),"")</f>
        <v/>
      </c>
      <c r="Q90" s="5" t="str">
        <f>IF(AG90&lt;&gt;"",HLOOKUP(PROD!AG90,dataProduits!D$1:H$10,4,FALSE),"")</f>
        <v/>
      </c>
      <c r="R90" s="5" t="str">
        <f t="shared" si="12"/>
        <v/>
      </c>
      <c r="S90" s="5" t="str">
        <f t="shared" si="39"/>
        <v/>
      </c>
      <c r="T90" s="5" t="str">
        <f t="shared" si="39"/>
        <v/>
      </c>
      <c r="U90" s="5" t="str">
        <f t="shared" si="39"/>
        <v/>
      </c>
      <c r="V90" s="5" t="str">
        <f t="shared" si="39"/>
        <v/>
      </c>
      <c r="W90" s="5" t="str">
        <f t="shared" si="39"/>
        <v/>
      </c>
      <c r="X90" s="5" t="str">
        <f>IF(Y90&lt;&gt;"",SUM(Y$52:Y90),"")</f>
        <v/>
      </c>
      <c r="Y90" s="5" t="str">
        <f t="shared" si="29"/>
        <v/>
      </c>
      <c r="Z90" s="5" t="str">
        <f t="shared" si="30"/>
        <v/>
      </c>
      <c r="AB90" s="16" t="str">
        <f>IF(RIGHT(prodType,1)="g","droite","")</f>
        <v/>
      </c>
      <c r="AC90" s="24" t="str">
        <f>IF(Z90&lt;&gt;"",SUM(Z$52:Z90),"")</f>
        <v/>
      </c>
      <c r="AD90" s="37"/>
      <c r="AE90" s="58"/>
      <c r="AF90" s="37"/>
      <c r="AG90" s="37"/>
      <c r="AH90" s="4">
        <f t="shared" si="21"/>
        <v>0</v>
      </c>
      <c r="AI90" s="4">
        <f t="shared" si="22"/>
        <v>0</v>
      </c>
      <c r="AU90" s="47" t="str">
        <f t="shared" si="24"/>
        <v/>
      </c>
      <c r="AV90" s="47" t="str">
        <f t="shared" si="25"/>
        <v/>
      </c>
      <c r="AW90" s="47" t="str">
        <f t="shared" si="26"/>
        <v/>
      </c>
      <c r="AX90" s="47" t="str">
        <f t="shared" si="31"/>
        <v/>
      </c>
      <c r="AY90" s="47" t="str">
        <f t="shared" si="27"/>
        <v/>
      </c>
      <c r="AZ90" s="47" t="str">
        <f t="shared" si="32"/>
        <v/>
      </c>
      <c r="BA90" s="47" t="str">
        <f t="shared" si="33"/>
        <v/>
      </c>
      <c r="BB90" s="47" t="str">
        <f t="shared" si="28"/>
        <v/>
      </c>
      <c r="BC90" s="47" t="str">
        <f t="shared" si="34"/>
        <v/>
      </c>
      <c r="BD90" s="47" t="str">
        <f t="shared" si="35"/>
        <v/>
      </c>
      <c r="BE90" s="47" t="str">
        <f t="shared" si="36"/>
        <v/>
      </c>
      <c r="BF90" s="47" t="str">
        <f t="shared" si="37"/>
        <v/>
      </c>
      <c r="BG90" s="56" t="str">
        <f t="shared" si="19"/>
        <v/>
      </c>
      <c r="BH90" s="51" t="str">
        <f t="shared" si="38"/>
        <v/>
      </c>
      <c r="BI90" s="47" t="str">
        <f t="shared" si="20"/>
        <v/>
      </c>
    </row>
    <row r="91" spans="16:61" x14ac:dyDescent="0.3">
      <c r="P91" s="5" t="str">
        <f>IF(AG91&lt;&gt;"",HLOOKUP(AG91,dataProduits!D$1:H$10,2,FALSE),"")</f>
        <v/>
      </c>
      <c r="Q91" s="5" t="str">
        <f>IF(AG91&lt;&gt;"",HLOOKUP(PROD!AG91,dataProduits!D$1:H$10,4,FALSE),"")</f>
        <v/>
      </c>
      <c r="R91" s="5" t="str">
        <f t="shared" si="12"/>
        <v/>
      </c>
      <c r="S91" s="5" t="str">
        <f t="shared" si="39"/>
        <v/>
      </c>
      <c r="T91" s="5" t="str">
        <f t="shared" si="39"/>
        <v/>
      </c>
      <c r="U91" s="5" t="str">
        <f t="shared" si="39"/>
        <v/>
      </c>
      <c r="V91" s="5" t="str">
        <f t="shared" si="39"/>
        <v/>
      </c>
      <c r="W91" s="5" t="str">
        <f t="shared" si="39"/>
        <v/>
      </c>
      <c r="X91" s="5" t="str">
        <f>IF(Y91&lt;&gt;"",SUM(Y$52:Y91),"")</f>
        <v/>
      </c>
      <c r="Y91" s="5" t="str">
        <f t="shared" si="29"/>
        <v/>
      </c>
      <c r="Z91" s="5" t="str">
        <f t="shared" si="30"/>
        <v/>
      </c>
      <c r="AB91" s="16" t="str">
        <f>IF(RIGHT(prodType,1)="g","gauche","")</f>
        <v/>
      </c>
      <c r="AC91" s="24" t="str">
        <f>IF(Z91&lt;&gt;"",SUM(Z$52:Z91),"")</f>
        <v/>
      </c>
      <c r="AD91" s="37"/>
      <c r="AE91" s="58"/>
      <c r="AF91" s="37"/>
      <c r="AG91" s="37"/>
      <c r="AH91" s="4">
        <f t="shared" si="21"/>
        <v>0</v>
      </c>
      <c r="AI91" s="4">
        <f t="shared" si="22"/>
        <v>0</v>
      </c>
      <c r="AU91" s="47" t="str">
        <f t="shared" si="24"/>
        <v/>
      </c>
      <c r="AV91" s="47" t="str">
        <f t="shared" si="25"/>
        <v/>
      </c>
      <c r="AW91" s="47" t="str">
        <f t="shared" si="26"/>
        <v/>
      </c>
      <c r="AX91" s="47" t="str">
        <f t="shared" si="31"/>
        <v/>
      </c>
      <c r="AY91" s="47" t="str">
        <f t="shared" si="27"/>
        <v/>
      </c>
      <c r="AZ91" s="47" t="str">
        <f t="shared" si="32"/>
        <v/>
      </c>
      <c r="BA91" s="47" t="str">
        <f t="shared" si="33"/>
        <v/>
      </c>
      <c r="BB91" s="47" t="str">
        <f t="shared" si="28"/>
        <v/>
      </c>
      <c r="BC91" s="47" t="str">
        <f t="shared" si="34"/>
        <v/>
      </c>
      <c r="BD91" s="47" t="str">
        <f t="shared" si="35"/>
        <v/>
      </c>
      <c r="BE91" s="47" t="str">
        <f t="shared" si="36"/>
        <v/>
      </c>
      <c r="BF91" s="47" t="str">
        <f t="shared" si="37"/>
        <v/>
      </c>
      <c r="BG91" s="56" t="str">
        <f t="shared" si="19"/>
        <v/>
      </c>
      <c r="BH91" s="51" t="str">
        <f t="shared" si="38"/>
        <v/>
      </c>
      <c r="BI91" s="47" t="str">
        <f t="shared" si="20"/>
        <v/>
      </c>
    </row>
    <row r="92" spans="16:61" x14ac:dyDescent="0.3">
      <c r="P92" s="5" t="str">
        <f>IF(AG92&lt;&gt;"",HLOOKUP(AG92,dataProduits!D$1:H$10,2,FALSE),"")</f>
        <v/>
      </c>
      <c r="Q92" s="5" t="str">
        <f>IF(AG92&lt;&gt;"",HLOOKUP(PROD!AG92,dataProduits!D$1:H$10,4,FALSE),"")</f>
        <v/>
      </c>
      <c r="R92" s="5" t="str">
        <f t="shared" si="12"/>
        <v/>
      </c>
      <c r="S92" s="5" t="str">
        <f t="shared" si="39"/>
        <v/>
      </c>
      <c r="T92" s="5" t="str">
        <f t="shared" si="39"/>
        <v/>
      </c>
      <c r="U92" s="5" t="str">
        <f t="shared" si="39"/>
        <v/>
      </c>
      <c r="V92" s="5" t="str">
        <f t="shared" si="39"/>
        <v/>
      </c>
      <c r="W92" s="5" t="str">
        <f t="shared" si="39"/>
        <v/>
      </c>
      <c r="X92" s="5" t="str">
        <f>IF(Y92&lt;&gt;"",SUM(Y$52:Y92),"")</f>
        <v/>
      </c>
      <c r="Y92" s="5" t="str">
        <f t="shared" si="29"/>
        <v/>
      </c>
      <c r="Z92" s="5" t="str">
        <f t="shared" si="30"/>
        <v/>
      </c>
      <c r="AB92" s="16" t="str">
        <f>IF(RIGHT(prodType,1)="g","droite","")</f>
        <v/>
      </c>
      <c r="AC92" s="24" t="str">
        <f>IF(Z92&lt;&gt;"",SUM(Z$52:Z92),"")</f>
        <v/>
      </c>
      <c r="AD92" s="37"/>
      <c r="AE92" s="58"/>
      <c r="AF92" s="37"/>
      <c r="AG92" s="37"/>
      <c r="AH92" s="4">
        <f t="shared" si="21"/>
        <v>0</v>
      </c>
      <c r="AI92" s="4">
        <f t="shared" si="22"/>
        <v>0</v>
      </c>
      <c r="AU92" s="47" t="str">
        <f t="shared" si="24"/>
        <v/>
      </c>
      <c r="AV92" s="47" t="str">
        <f t="shared" si="25"/>
        <v/>
      </c>
      <c r="AW92" s="47" t="str">
        <f t="shared" si="26"/>
        <v/>
      </c>
      <c r="AX92" s="47" t="str">
        <f t="shared" si="31"/>
        <v/>
      </c>
      <c r="AY92" s="47" t="str">
        <f t="shared" si="27"/>
        <v/>
      </c>
      <c r="AZ92" s="47" t="str">
        <f t="shared" si="32"/>
        <v/>
      </c>
      <c r="BA92" s="47" t="str">
        <f t="shared" si="33"/>
        <v/>
      </c>
      <c r="BB92" s="47" t="str">
        <f t="shared" si="28"/>
        <v/>
      </c>
      <c r="BC92" s="47" t="str">
        <f t="shared" si="34"/>
        <v/>
      </c>
      <c r="BD92" s="47" t="str">
        <f t="shared" si="35"/>
        <v/>
      </c>
      <c r="BE92" s="47" t="str">
        <f t="shared" si="36"/>
        <v/>
      </c>
      <c r="BF92" s="47" t="str">
        <f t="shared" si="37"/>
        <v/>
      </c>
      <c r="BG92" s="56" t="str">
        <f t="shared" si="19"/>
        <v/>
      </c>
      <c r="BH92" s="51" t="str">
        <f t="shared" si="38"/>
        <v/>
      </c>
      <c r="BI92" s="47" t="str">
        <f t="shared" si="20"/>
        <v/>
      </c>
    </row>
    <row r="93" spans="16:61" x14ac:dyDescent="0.3">
      <c r="P93" s="5" t="str">
        <f>IF(AG93&lt;&gt;"",HLOOKUP(AG93,dataProduits!D$1:H$10,2,FALSE),"")</f>
        <v/>
      </c>
      <c r="Q93" s="5" t="str">
        <f>IF(AG93&lt;&gt;"",HLOOKUP(PROD!AG93,dataProduits!D$1:H$10,4,FALSE),"")</f>
        <v/>
      </c>
      <c r="R93" s="5" t="str">
        <f t="shared" si="12"/>
        <v/>
      </c>
      <c r="S93" s="5" t="str">
        <f t="shared" si="39"/>
        <v/>
      </c>
      <c r="T93" s="5" t="str">
        <f t="shared" si="39"/>
        <v/>
      </c>
      <c r="U93" s="5" t="str">
        <f t="shared" si="39"/>
        <v/>
      </c>
      <c r="V93" s="5" t="str">
        <f t="shared" si="39"/>
        <v/>
      </c>
      <c r="W93" s="5" t="str">
        <f t="shared" si="39"/>
        <v/>
      </c>
      <c r="X93" s="5" t="str">
        <f>IF(Y93&lt;&gt;"",SUM(Y$52:Y93),"")</f>
        <v/>
      </c>
      <c r="Y93" s="5" t="str">
        <f t="shared" si="29"/>
        <v/>
      </c>
      <c r="Z93" s="5" t="str">
        <f t="shared" si="30"/>
        <v/>
      </c>
      <c r="AB93" s="16" t="str">
        <f>IF(RIGHT(prodType,1)="g","gauche","")</f>
        <v/>
      </c>
      <c r="AC93" s="24" t="str">
        <f>IF(Z93&lt;&gt;"",SUM(Z$52:Z93),"")</f>
        <v/>
      </c>
      <c r="AD93" s="37"/>
      <c r="AE93" s="58"/>
      <c r="AF93" s="37"/>
      <c r="AG93" s="37"/>
      <c r="AH93" s="4">
        <f t="shared" si="21"/>
        <v>0</v>
      </c>
      <c r="AI93" s="4">
        <f t="shared" si="22"/>
        <v>0</v>
      </c>
      <c r="AU93" s="47" t="str">
        <f t="shared" si="24"/>
        <v/>
      </c>
      <c r="AV93" s="47" t="str">
        <f t="shared" si="25"/>
        <v/>
      </c>
      <c r="AW93" s="47" t="str">
        <f t="shared" si="26"/>
        <v/>
      </c>
      <c r="AX93" s="47" t="str">
        <f t="shared" si="31"/>
        <v/>
      </c>
      <c r="AY93" s="47" t="str">
        <f t="shared" si="27"/>
        <v/>
      </c>
      <c r="AZ93" s="47" t="str">
        <f t="shared" si="32"/>
        <v/>
      </c>
      <c r="BA93" s="47" t="str">
        <f t="shared" si="33"/>
        <v/>
      </c>
      <c r="BB93" s="47" t="str">
        <f t="shared" si="28"/>
        <v/>
      </c>
      <c r="BC93" s="47" t="str">
        <f t="shared" si="34"/>
        <v/>
      </c>
      <c r="BD93" s="47" t="str">
        <f t="shared" si="35"/>
        <v/>
      </c>
      <c r="BE93" s="47" t="str">
        <f t="shared" si="36"/>
        <v/>
      </c>
      <c r="BF93" s="47" t="str">
        <f t="shared" si="37"/>
        <v/>
      </c>
      <c r="BG93" s="56" t="str">
        <f t="shared" si="19"/>
        <v/>
      </c>
      <c r="BH93" s="51" t="str">
        <f t="shared" si="38"/>
        <v/>
      </c>
      <c r="BI93" s="47" t="str">
        <f t="shared" si="20"/>
        <v/>
      </c>
    </row>
    <row r="94" spans="16:61" x14ac:dyDescent="0.3">
      <c r="P94" s="5" t="str">
        <f>IF(AG94&lt;&gt;"",HLOOKUP(AG94,dataProduits!D$1:H$10,2,FALSE),"")</f>
        <v/>
      </c>
      <c r="Q94" s="5" t="str">
        <f>IF(AG94&lt;&gt;"",HLOOKUP(PROD!AG94,dataProduits!D$1:H$10,4,FALSE),"")</f>
        <v/>
      </c>
      <c r="R94" s="5" t="str">
        <f t="shared" si="12"/>
        <v/>
      </c>
      <c r="S94" s="5" t="str">
        <f t="shared" si="39"/>
        <v/>
      </c>
      <c r="T94" s="5" t="str">
        <f t="shared" si="39"/>
        <v/>
      </c>
      <c r="U94" s="5" t="str">
        <f t="shared" si="39"/>
        <v/>
      </c>
      <c r="V94" s="5" t="str">
        <f t="shared" si="39"/>
        <v/>
      </c>
      <c r="W94" s="5" t="str">
        <f t="shared" si="39"/>
        <v/>
      </c>
      <c r="X94" s="5" t="str">
        <f>IF(Y94&lt;&gt;"",SUM(Y$52:Y94),"")</f>
        <v/>
      </c>
      <c r="Y94" s="5" t="str">
        <f t="shared" si="29"/>
        <v/>
      </c>
      <c r="Z94" s="5" t="str">
        <f t="shared" si="30"/>
        <v/>
      </c>
      <c r="AB94" s="16" t="str">
        <f>IF(RIGHT(prodType,1)="g","droite","")</f>
        <v/>
      </c>
      <c r="AC94" s="24" t="str">
        <f>IF(Z94&lt;&gt;"",SUM(Z$52:Z94),"")</f>
        <v/>
      </c>
      <c r="AD94" s="37"/>
      <c r="AE94" s="58"/>
      <c r="AF94" s="37"/>
      <c r="AG94" s="37"/>
      <c r="AH94" s="4">
        <f t="shared" si="21"/>
        <v>0</v>
      </c>
      <c r="AI94" s="4">
        <f t="shared" si="22"/>
        <v>0</v>
      </c>
      <c r="AU94" s="47" t="str">
        <f t="shared" si="24"/>
        <v/>
      </c>
      <c r="AV94" s="47" t="str">
        <f t="shared" si="25"/>
        <v/>
      </c>
      <c r="AW94" s="47" t="str">
        <f t="shared" si="26"/>
        <v/>
      </c>
      <c r="AX94" s="47" t="str">
        <f t="shared" si="31"/>
        <v/>
      </c>
      <c r="AY94" s="47" t="str">
        <f t="shared" si="27"/>
        <v/>
      </c>
      <c r="AZ94" s="47" t="str">
        <f t="shared" si="32"/>
        <v/>
      </c>
      <c r="BA94" s="47" t="str">
        <f t="shared" si="33"/>
        <v/>
      </c>
      <c r="BB94" s="47" t="str">
        <f t="shared" si="28"/>
        <v/>
      </c>
      <c r="BC94" s="47" t="str">
        <f t="shared" si="34"/>
        <v/>
      </c>
      <c r="BD94" s="47" t="str">
        <f t="shared" si="35"/>
        <v/>
      </c>
      <c r="BE94" s="47" t="str">
        <f t="shared" si="36"/>
        <v/>
      </c>
      <c r="BF94" s="47" t="str">
        <f t="shared" si="37"/>
        <v/>
      </c>
      <c r="BG94" s="56" t="str">
        <f t="shared" si="19"/>
        <v/>
      </c>
      <c r="BH94" s="51" t="str">
        <f t="shared" si="38"/>
        <v/>
      </c>
      <c r="BI94" s="47" t="str">
        <f t="shared" si="20"/>
        <v/>
      </c>
    </row>
    <row r="95" spans="16:61" x14ac:dyDescent="0.3">
      <c r="P95" s="5" t="str">
        <f>IF(AG95&lt;&gt;"",HLOOKUP(AG95,dataProduits!D$1:H$10,2,FALSE),"")</f>
        <v/>
      </c>
      <c r="Q95" s="5" t="str">
        <f>IF(AG95&lt;&gt;"",HLOOKUP(PROD!AG95,dataProduits!D$1:H$10,4,FALSE),"")</f>
        <v/>
      </c>
      <c r="R95" s="5" t="str">
        <f t="shared" si="12"/>
        <v/>
      </c>
      <c r="S95" s="5" t="str">
        <f t="shared" si="39"/>
        <v/>
      </c>
      <c r="T95" s="5" t="str">
        <f t="shared" si="39"/>
        <v/>
      </c>
      <c r="U95" s="5" t="str">
        <f t="shared" si="39"/>
        <v/>
      </c>
      <c r="V95" s="5" t="str">
        <f t="shared" si="39"/>
        <v/>
      </c>
      <c r="W95" s="5" t="str">
        <f t="shared" si="39"/>
        <v/>
      </c>
      <c r="X95" s="5" t="str">
        <f>IF(Y95&lt;&gt;"",SUM(Y$52:Y95),"")</f>
        <v/>
      </c>
      <c r="Y95" s="5" t="str">
        <f t="shared" si="29"/>
        <v/>
      </c>
      <c r="Z95" s="5" t="str">
        <f t="shared" si="30"/>
        <v/>
      </c>
      <c r="AB95" s="16" t="str">
        <f>IF(RIGHT(prodType,1)="g","gauche","")</f>
        <v/>
      </c>
      <c r="AC95" s="24" t="str">
        <f>IF(Z95&lt;&gt;"",SUM(Z$52:Z95),"")</f>
        <v/>
      </c>
      <c r="AD95" s="37"/>
      <c r="AE95" s="58"/>
      <c r="AF95" s="37"/>
      <c r="AG95" s="37"/>
      <c r="AH95" s="4">
        <f t="shared" si="21"/>
        <v>0</v>
      </c>
      <c r="AI95" s="4">
        <f t="shared" si="22"/>
        <v>0</v>
      </c>
      <c r="AU95" s="47" t="str">
        <f t="shared" si="24"/>
        <v/>
      </c>
      <c r="AV95" s="47" t="str">
        <f t="shared" si="25"/>
        <v/>
      </c>
      <c r="AW95" s="47" t="str">
        <f t="shared" si="26"/>
        <v/>
      </c>
      <c r="AX95" s="47" t="str">
        <f t="shared" si="31"/>
        <v/>
      </c>
      <c r="AY95" s="47" t="str">
        <f t="shared" si="27"/>
        <v/>
      </c>
      <c r="AZ95" s="47" t="str">
        <f t="shared" si="32"/>
        <v/>
      </c>
      <c r="BA95" s="47" t="str">
        <f t="shared" si="33"/>
        <v/>
      </c>
      <c r="BB95" s="47" t="str">
        <f t="shared" si="28"/>
        <v/>
      </c>
      <c r="BC95" s="47" t="str">
        <f t="shared" si="34"/>
        <v/>
      </c>
      <c r="BD95" s="47" t="str">
        <f t="shared" si="35"/>
        <v/>
      </c>
      <c r="BE95" s="47" t="str">
        <f t="shared" si="36"/>
        <v/>
      </c>
      <c r="BF95" s="47" t="str">
        <f t="shared" si="37"/>
        <v/>
      </c>
      <c r="BG95" s="56" t="str">
        <f t="shared" si="19"/>
        <v/>
      </c>
      <c r="BH95" s="51" t="str">
        <f t="shared" si="38"/>
        <v/>
      </c>
      <c r="BI95" s="47" t="str">
        <f t="shared" si="20"/>
        <v/>
      </c>
    </row>
    <row r="96" spans="16:61" x14ac:dyDescent="0.3">
      <c r="P96" s="5" t="str">
        <f>IF(AG96&lt;&gt;"",HLOOKUP(AG96,dataProduits!D$1:H$10,2,FALSE),"")</f>
        <v/>
      </c>
      <c r="Q96" s="5" t="str">
        <f>IF(AG96&lt;&gt;"",HLOOKUP(PROD!AG96,dataProduits!D$1:H$10,4,FALSE),"")</f>
        <v/>
      </c>
      <c r="R96" s="5" t="str">
        <f t="shared" si="12"/>
        <v/>
      </c>
      <c r="S96" s="5" t="str">
        <f t="shared" si="39"/>
        <v/>
      </c>
      <c r="T96" s="5" t="str">
        <f t="shared" si="39"/>
        <v/>
      </c>
      <c r="U96" s="5" t="str">
        <f t="shared" si="39"/>
        <v/>
      </c>
      <c r="V96" s="5" t="str">
        <f t="shared" si="39"/>
        <v/>
      </c>
      <c r="W96" s="5" t="str">
        <f t="shared" si="39"/>
        <v/>
      </c>
      <c r="X96" s="5" t="str">
        <f>IF(Y96&lt;&gt;"",SUM(Y$52:Y96),"")</f>
        <v/>
      </c>
      <c r="Y96" s="5" t="str">
        <f t="shared" si="29"/>
        <v/>
      </c>
      <c r="Z96" s="5" t="str">
        <f t="shared" si="30"/>
        <v/>
      </c>
      <c r="AB96" s="16" t="str">
        <f>IF(RIGHT(prodType,1)="g","droite","")</f>
        <v/>
      </c>
      <c r="AC96" s="24" t="str">
        <f>IF(Z96&lt;&gt;"",SUM(Z$52:Z96),"")</f>
        <v/>
      </c>
      <c r="AD96" s="37"/>
      <c r="AE96" s="58"/>
      <c r="AF96" s="37"/>
      <c r="AG96" s="37"/>
      <c r="AH96" s="4">
        <f t="shared" si="21"/>
        <v>0</v>
      </c>
      <c r="AI96" s="4">
        <f t="shared" si="22"/>
        <v>0</v>
      </c>
      <c r="AU96" s="47" t="str">
        <f t="shared" si="24"/>
        <v/>
      </c>
      <c r="AV96" s="47" t="str">
        <f t="shared" si="25"/>
        <v/>
      </c>
      <c r="AW96" s="47" t="str">
        <f t="shared" si="26"/>
        <v/>
      </c>
      <c r="AX96" s="47" t="str">
        <f t="shared" si="31"/>
        <v/>
      </c>
      <c r="AY96" s="47" t="str">
        <f t="shared" si="27"/>
        <v/>
      </c>
      <c r="AZ96" s="47" t="str">
        <f t="shared" si="32"/>
        <v/>
      </c>
      <c r="BA96" s="47" t="str">
        <f t="shared" si="33"/>
        <v/>
      </c>
      <c r="BB96" s="47" t="str">
        <f t="shared" si="28"/>
        <v/>
      </c>
      <c r="BC96" s="47" t="str">
        <f t="shared" si="34"/>
        <v/>
      </c>
      <c r="BD96" s="47" t="str">
        <f t="shared" si="35"/>
        <v/>
      </c>
      <c r="BE96" s="47" t="str">
        <f t="shared" si="36"/>
        <v/>
      </c>
      <c r="BF96" s="47" t="str">
        <f t="shared" si="37"/>
        <v/>
      </c>
      <c r="BG96" s="56" t="str">
        <f t="shared" si="19"/>
        <v/>
      </c>
      <c r="BH96" s="51" t="str">
        <f t="shared" si="38"/>
        <v/>
      </c>
      <c r="BI96" s="47" t="str">
        <f t="shared" si="20"/>
        <v/>
      </c>
    </row>
    <row r="97" spans="16:61" x14ac:dyDescent="0.3">
      <c r="P97" s="5" t="str">
        <f>IF(AG97&lt;&gt;"",HLOOKUP(AG97,dataProduits!D$1:H$10,2,FALSE),"")</f>
        <v/>
      </c>
      <c r="Q97" s="5" t="str">
        <f>IF(AG97&lt;&gt;"",HLOOKUP(PROD!AG97,dataProduits!D$1:H$10,4,FALSE),"")</f>
        <v/>
      </c>
      <c r="R97" s="5" t="str">
        <f t="shared" si="12"/>
        <v/>
      </c>
      <c r="S97" s="5" t="str">
        <f t="shared" si="39"/>
        <v/>
      </c>
      <c r="T97" s="5" t="str">
        <f t="shared" si="39"/>
        <v/>
      </c>
      <c r="U97" s="5" t="str">
        <f t="shared" si="39"/>
        <v/>
      </c>
      <c r="V97" s="5" t="str">
        <f t="shared" si="39"/>
        <v/>
      </c>
      <c r="W97" s="5" t="str">
        <f t="shared" si="39"/>
        <v/>
      </c>
      <c r="X97" s="5" t="str">
        <f>IF(Y97&lt;&gt;"",SUM(Y$52:Y97),"")</f>
        <v/>
      </c>
      <c r="Y97" s="5" t="str">
        <f t="shared" si="29"/>
        <v/>
      </c>
      <c r="Z97" s="5" t="str">
        <f t="shared" si="30"/>
        <v/>
      </c>
      <c r="AB97" s="16" t="str">
        <f>IF(RIGHT(prodType,1)="g","gauche","")</f>
        <v/>
      </c>
      <c r="AC97" s="24" t="str">
        <f>IF(Z97&lt;&gt;"",SUM(Z$52:Z97),"")</f>
        <v/>
      </c>
      <c r="AD97" s="37"/>
      <c r="AE97" s="58"/>
      <c r="AF97" s="37"/>
      <c r="AG97" s="37"/>
      <c r="AH97" s="4">
        <f t="shared" si="21"/>
        <v>0</v>
      </c>
      <c r="AI97" s="4">
        <f t="shared" si="22"/>
        <v>0</v>
      </c>
      <c r="AU97" s="47" t="str">
        <f t="shared" si="24"/>
        <v/>
      </c>
      <c r="AV97" s="47" t="str">
        <f t="shared" si="25"/>
        <v/>
      </c>
      <c r="AW97" s="47" t="str">
        <f t="shared" si="26"/>
        <v/>
      </c>
      <c r="AX97" s="47" t="str">
        <f t="shared" si="31"/>
        <v/>
      </c>
      <c r="AY97" s="47" t="str">
        <f t="shared" si="27"/>
        <v/>
      </c>
      <c r="AZ97" s="47" t="str">
        <f t="shared" si="32"/>
        <v/>
      </c>
      <c r="BA97" s="47" t="str">
        <f t="shared" si="33"/>
        <v/>
      </c>
      <c r="BB97" s="47" t="str">
        <f t="shared" si="28"/>
        <v/>
      </c>
      <c r="BC97" s="47" t="str">
        <f t="shared" si="34"/>
        <v/>
      </c>
      <c r="BD97" s="47" t="str">
        <f t="shared" si="35"/>
        <v/>
      </c>
      <c r="BE97" s="47" t="str">
        <f t="shared" si="36"/>
        <v/>
      </c>
      <c r="BF97" s="47" t="str">
        <f t="shared" si="37"/>
        <v/>
      </c>
      <c r="BG97" s="56" t="str">
        <f t="shared" si="19"/>
        <v/>
      </c>
      <c r="BH97" s="51" t="str">
        <f t="shared" si="38"/>
        <v/>
      </c>
      <c r="BI97" s="47" t="str">
        <f t="shared" si="20"/>
        <v/>
      </c>
    </row>
    <row r="98" spans="16:61" x14ac:dyDescent="0.3">
      <c r="P98" s="5" t="str">
        <f>IF(AG98&lt;&gt;"",HLOOKUP(AG98,dataProduits!D$1:H$10,2,FALSE),"")</f>
        <v/>
      </c>
      <c r="Q98" s="5" t="str">
        <f>IF(AG98&lt;&gt;"",HLOOKUP(PROD!AG98,dataProduits!D$1:H$10,4,FALSE),"")</f>
        <v/>
      </c>
      <c r="R98" s="5" t="str">
        <f t="shared" si="12"/>
        <v/>
      </c>
      <c r="S98" s="5" t="str">
        <f t="shared" si="39"/>
        <v/>
      </c>
      <c r="T98" s="5" t="str">
        <f t="shared" si="39"/>
        <v/>
      </c>
      <c r="U98" s="5" t="str">
        <f t="shared" si="39"/>
        <v/>
      </c>
      <c r="V98" s="5" t="str">
        <f t="shared" si="39"/>
        <v/>
      </c>
      <c r="W98" s="5" t="str">
        <f t="shared" si="39"/>
        <v/>
      </c>
      <c r="X98" s="5" t="str">
        <f>IF(Y98&lt;&gt;"",SUM(Y$52:Y98),"")</f>
        <v/>
      </c>
      <c r="Y98" s="5" t="str">
        <f t="shared" si="29"/>
        <v/>
      </c>
      <c r="Z98" s="5" t="str">
        <f t="shared" si="30"/>
        <v/>
      </c>
      <c r="AB98" s="16" t="str">
        <f>IF(RIGHT(prodType,1)="g","droite","")</f>
        <v/>
      </c>
      <c r="AC98" s="24" t="str">
        <f>IF(Z98&lt;&gt;"",SUM(Z$52:Z98),"")</f>
        <v/>
      </c>
      <c r="AD98" s="37"/>
      <c r="AE98" s="58"/>
      <c r="AF98" s="37"/>
      <c r="AG98" s="37"/>
      <c r="AH98" s="4">
        <f t="shared" si="21"/>
        <v>0</v>
      </c>
      <c r="AI98" s="4">
        <f t="shared" si="22"/>
        <v>0</v>
      </c>
      <c r="AU98" s="47" t="str">
        <f t="shared" si="24"/>
        <v/>
      </c>
      <c r="AV98" s="47" t="str">
        <f t="shared" si="25"/>
        <v/>
      </c>
      <c r="AW98" s="47" t="str">
        <f t="shared" si="26"/>
        <v/>
      </c>
      <c r="AX98" s="47" t="str">
        <f t="shared" si="31"/>
        <v/>
      </c>
      <c r="AY98" s="47" t="str">
        <f t="shared" si="27"/>
        <v/>
      </c>
      <c r="AZ98" s="47" t="str">
        <f t="shared" si="32"/>
        <v/>
      </c>
      <c r="BA98" s="47" t="str">
        <f t="shared" si="33"/>
        <v/>
      </c>
      <c r="BB98" s="47" t="str">
        <f t="shared" si="28"/>
        <v/>
      </c>
      <c r="BC98" s="47" t="str">
        <f t="shared" si="34"/>
        <v/>
      </c>
      <c r="BD98" s="47" t="str">
        <f t="shared" si="35"/>
        <v/>
      </c>
      <c r="BE98" s="47" t="str">
        <f t="shared" si="36"/>
        <v/>
      </c>
      <c r="BF98" s="47" t="str">
        <f t="shared" si="37"/>
        <v/>
      </c>
      <c r="BG98" s="56" t="str">
        <f t="shared" si="19"/>
        <v/>
      </c>
      <c r="BH98" s="51" t="str">
        <f t="shared" si="38"/>
        <v/>
      </c>
      <c r="BI98" s="47" t="str">
        <f t="shared" si="20"/>
        <v/>
      </c>
    </row>
    <row r="99" spans="16:61" x14ac:dyDescent="0.3">
      <c r="P99" s="5" t="str">
        <f>IF(AG99&lt;&gt;"",HLOOKUP(AG99,dataProduits!D$1:H$10,2,FALSE),"")</f>
        <v/>
      </c>
      <c r="Q99" s="5" t="str">
        <f>IF(AG99&lt;&gt;"",HLOOKUP(PROD!AG99,dataProduits!D$1:H$10,4,FALSE),"")</f>
        <v/>
      </c>
      <c r="R99" s="5" t="str">
        <f t="shared" si="12"/>
        <v/>
      </c>
      <c r="S99" s="5" t="str">
        <f t="shared" si="39"/>
        <v/>
      </c>
      <c r="T99" s="5" t="str">
        <f t="shared" si="39"/>
        <v/>
      </c>
      <c r="U99" s="5" t="str">
        <f t="shared" si="39"/>
        <v/>
      </c>
      <c r="V99" s="5" t="str">
        <f t="shared" si="39"/>
        <v/>
      </c>
      <c r="W99" s="5" t="str">
        <f t="shared" si="39"/>
        <v/>
      </c>
      <c r="X99" s="5" t="str">
        <f>IF(Y99&lt;&gt;"",SUM(Y$52:Y99),"")</f>
        <v/>
      </c>
      <c r="Y99" s="5" t="str">
        <f t="shared" si="29"/>
        <v/>
      </c>
      <c r="Z99" s="5" t="str">
        <f t="shared" si="30"/>
        <v/>
      </c>
      <c r="AB99" s="16" t="str">
        <f>IF(RIGHT(prodType,1)="g","gauche","")</f>
        <v/>
      </c>
      <c r="AC99" s="24" t="str">
        <f>IF(Z99&lt;&gt;"",SUM(Z$52:Z99),"")</f>
        <v/>
      </c>
      <c r="AD99" s="37"/>
      <c r="AE99" s="58"/>
      <c r="AF99" s="37"/>
      <c r="AG99" s="37"/>
      <c r="AH99" s="4">
        <f t="shared" si="21"/>
        <v>0</v>
      </c>
      <c r="AI99" s="4">
        <f t="shared" si="22"/>
        <v>0</v>
      </c>
      <c r="AU99" s="47" t="str">
        <f t="shared" si="24"/>
        <v/>
      </c>
      <c r="AV99" s="47" t="str">
        <f t="shared" si="25"/>
        <v/>
      </c>
      <c r="AW99" s="47" t="str">
        <f t="shared" si="26"/>
        <v/>
      </c>
      <c r="AX99" s="47" t="str">
        <f t="shared" si="31"/>
        <v/>
      </c>
      <c r="AY99" s="47" t="str">
        <f t="shared" si="27"/>
        <v/>
      </c>
      <c r="AZ99" s="47" t="str">
        <f t="shared" si="32"/>
        <v/>
      </c>
      <c r="BA99" s="47" t="str">
        <f t="shared" si="33"/>
        <v/>
      </c>
      <c r="BB99" s="47" t="str">
        <f t="shared" si="28"/>
        <v/>
      </c>
      <c r="BC99" s="47" t="str">
        <f t="shared" si="34"/>
        <v/>
      </c>
      <c r="BD99" s="47" t="str">
        <f t="shared" si="35"/>
        <v/>
      </c>
      <c r="BE99" s="47" t="str">
        <f t="shared" si="36"/>
        <v/>
      </c>
      <c r="BF99" s="47" t="str">
        <f t="shared" si="37"/>
        <v/>
      </c>
      <c r="BG99" s="56" t="str">
        <f t="shared" si="19"/>
        <v/>
      </c>
      <c r="BH99" s="51" t="str">
        <f t="shared" si="38"/>
        <v/>
      </c>
      <c r="BI99" s="47" t="str">
        <f t="shared" si="20"/>
        <v/>
      </c>
    </row>
    <row r="100" spans="16:61" x14ac:dyDescent="0.3">
      <c r="P100" s="5" t="str">
        <f>IF(AG100&lt;&gt;"",HLOOKUP(AG100,dataProduits!D$1:H$10,2,FALSE),"")</f>
        <v/>
      </c>
      <c r="Q100" s="5" t="str">
        <f>IF(AG100&lt;&gt;"",HLOOKUP(PROD!AG100,dataProduits!D$1:H$10,4,FALSE),"")</f>
        <v/>
      </c>
      <c r="R100" s="5" t="str">
        <f t="shared" si="12"/>
        <v/>
      </c>
      <c r="S100" s="5" t="str">
        <f t="shared" si="39"/>
        <v/>
      </c>
      <c r="T100" s="5" t="str">
        <f t="shared" si="39"/>
        <v/>
      </c>
      <c r="U100" s="5" t="str">
        <f t="shared" si="39"/>
        <v/>
      </c>
      <c r="V100" s="5" t="str">
        <f t="shared" si="39"/>
        <v/>
      </c>
      <c r="W100" s="5" t="str">
        <f t="shared" si="39"/>
        <v/>
      </c>
      <c r="X100" s="5" t="str">
        <f>IF(Y100&lt;&gt;"",SUM(Y$52:Y100),"")</f>
        <v/>
      </c>
      <c r="Y100" s="5" t="str">
        <f t="shared" si="29"/>
        <v/>
      </c>
      <c r="Z100" s="5" t="str">
        <f t="shared" si="30"/>
        <v/>
      </c>
      <c r="AB100" s="16" t="str">
        <f>IF(RIGHT(prodType,1)="g","droite","")</f>
        <v/>
      </c>
      <c r="AC100" s="24" t="str">
        <f>IF(Z100&lt;&gt;"",SUM(Z$52:Z100),"")</f>
        <v/>
      </c>
      <c r="AD100" s="37"/>
      <c r="AE100" s="58"/>
      <c r="AF100" s="37"/>
      <c r="AG100" s="37"/>
      <c r="AH100" s="4">
        <f t="shared" si="21"/>
        <v>0</v>
      </c>
      <c r="AI100" s="4">
        <f t="shared" si="22"/>
        <v>0</v>
      </c>
      <c r="AU100" s="47" t="str">
        <f t="shared" si="24"/>
        <v/>
      </c>
      <c r="AV100" s="47" t="str">
        <f t="shared" si="25"/>
        <v/>
      </c>
      <c r="AW100" s="47" t="str">
        <f t="shared" si="26"/>
        <v/>
      </c>
      <c r="AX100" s="47" t="str">
        <f t="shared" si="31"/>
        <v/>
      </c>
      <c r="AY100" s="47" t="str">
        <f t="shared" si="27"/>
        <v/>
      </c>
      <c r="AZ100" s="47" t="str">
        <f t="shared" si="32"/>
        <v/>
      </c>
      <c r="BA100" s="47" t="str">
        <f t="shared" si="33"/>
        <v/>
      </c>
      <c r="BB100" s="47" t="str">
        <f t="shared" si="28"/>
        <v/>
      </c>
      <c r="BC100" s="47" t="str">
        <f t="shared" si="34"/>
        <v/>
      </c>
      <c r="BD100" s="47" t="str">
        <f t="shared" si="35"/>
        <v/>
      </c>
      <c r="BE100" s="47" t="str">
        <f t="shared" si="36"/>
        <v/>
      </c>
      <c r="BF100" s="47" t="str">
        <f t="shared" si="37"/>
        <v/>
      </c>
      <c r="BG100" s="56" t="str">
        <f t="shared" si="19"/>
        <v/>
      </c>
      <c r="BH100" s="51" t="str">
        <f t="shared" si="38"/>
        <v/>
      </c>
      <c r="BI100" s="47" t="str">
        <f t="shared" si="20"/>
        <v/>
      </c>
    </row>
    <row r="101" spans="16:61" x14ac:dyDescent="0.3">
      <c r="P101" s="5" t="str">
        <f>IF(AG101&lt;&gt;"",HLOOKUP(AG101,dataProduits!D$1:H$10,2,FALSE),"")</f>
        <v/>
      </c>
      <c r="Q101" s="5" t="str">
        <f>IF(AG101&lt;&gt;"",HLOOKUP(PROD!AG101,dataProduits!D$1:H$10,4,FALSE),"")</f>
        <v/>
      </c>
      <c r="R101" s="5" t="str">
        <f t="shared" si="12"/>
        <v/>
      </c>
      <c r="S101" s="5" t="str">
        <f t="shared" si="39"/>
        <v/>
      </c>
      <c r="T101" s="5" t="str">
        <f t="shared" si="39"/>
        <v/>
      </c>
      <c r="U101" s="5" t="str">
        <f t="shared" si="39"/>
        <v/>
      </c>
      <c r="V101" s="5" t="str">
        <f t="shared" si="39"/>
        <v/>
      </c>
      <c r="W101" s="5" t="str">
        <f t="shared" si="39"/>
        <v/>
      </c>
      <c r="X101" s="5" t="str">
        <f>IF(Y101&lt;&gt;"",SUM(Y$52:Y101),"")</f>
        <v/>
      </c>
      <c r="Y101" s="5" t="str">
        <f t="shared" si="29"/>
        <v/>
      </c>
      <c r="Z101" s="5" t="str">
        <f t="shared" si="30"/>
        <v/>
      </c>
      <c r="AB101" s="16" t="str">
        <f>IF(RIGHT(prodType,1)="g","gauche","")</f>
        <v/>
      </c>
      <c r="AC101" s="24" t="str">
        <f>IF(Z101&lt;&gt;"",SUM(Z$52:Z101),"")</f>
        <v/>
      </c>
      <c r="AD101" s="37"/>
      <c r="AE101" s="58"/>
      <c r="AF101" s="37"/>
      <c r="AG101" s="37"/>
      <c r="AH101" s="4">
        <f t="shared" si="21"/>
        <v>0</v>
      </c>
      <c r="AI101" s="4">
        <f t="shared" si="22"/>
        <v>0</v>
      </c>
      <c r="AU101" s="47" t="str">
        <f t="shared" si="24"/>
        <v/>
      </c>
      <c r="AV101" s="47" t="str">
        <f t="shared" si="25"/>
        <v/>
      </c>
      <c r="AW101" s="47" t="str">
        <f t="shared" si="26"/>
        <v/>
      </c>
      <c r="AX101" s="47" t="str">
        <f t="shared" si="31"/>
        <v/>
      </c>
      <c r="AY101" s="47" t="str">
        <f t="shared" si="27"/>
        <v/>
      </c>
      <c r="AZ101" s="47" t="str">
        <f t="shared" si="32"/>
        <v/>
      </c>
      <c r="BA101" s="47" t="str">
        <f t="shared" si="33"/>
        <v/>
      </c>
      <c r="BB101" s="47" t="str">
        <f t="shared" si="28"/>
        <v/>
      </c>
      <c r="BC101" s="47" t="str">
        <f t="shared" si="34"/>
        <v/>
      </c>
      <c r="BD101" s="47" t="str">
        <f t="shared" si="35"/>
        <v/>
      </c>
      <c r="BE101" s="47" t="str">
        <f t="shared" si="36"/>
        <v/>
      </c>
      <c r="BF101" s="47" t="str">
        <f t="shared" si="37"/>
        <v/>
      </c>
      <c r="BG101" s="56" t="str">
        <f t="shared" si="19"/>
        <v/>
      </c>
      <c r="BH101" s="51" t="str">
        <f t="shared" si="38"/>
        <v/>
      </c>
      <c r="BI101" s="47" t="str">
        <f t="shared" si="20"/>
        <v/>
      </c>
    </row>
    <row r="102" spans="16:61" x14ac:dyDescent="0.3">
      <c r="P102" s="5" t="str">
        <f>IF(AG102&lt;&gt;"",HLOOKUP(AG102,dataProduits!D$1:H$10,2,FALSE),"")</f>
        <v/>
      </c>
      <c r="Q102" s="5" t="str">
        <f>IF(AG102&lt;&gt;"",HLOOKUP(PROD!AG102,dataProduits!D$1:H$10,4,FALSE),"")</f>
        <v/>
      </c>
      <c r="R102" s="5" t="str">
        <f t="shared" si="12"/>
        <v/>
      </c>
      <c r="S102" s="5" t="str">
        <f t="shared" si="39"/>
        <v/>
      </c>
      <c r="T102" s="5" t="str">
        <f t="shared" si="39"/>
        <v/>
      </c>
      <c r="U102" s="5" t="str">
        <f t="shared" si="39"/>
        <v/>
      </c>
      <c r="V102" s="5" t="str">
        <f t="shared" si="39"/>
        <v/>
      </c>
      <c r="W102" s="5" t="str">
        <f t="shared" si="39"/>
        <v/>
      </c>
      <c r="X102" s="5" t="str">
        <f>IF(Y102&lt;&gt;"",SUM(Y$52:Y102),"")</f>
        <v/>
      </c>
      <c r="Y102" s="5" t="str">
        <f t="shared" si="29"/>
        <v/>
      </c>
      <c r="Z102" s="5" t="str">
        <f t="shared" si="30"/>
        <v/>
      </c>
      <c r="AB102" s="16" t="str">
        <f>IF(RIGHT(prodType,1)="g","droite","")</f>
        <v/>
      </c>
      <c r="AC102" s="24" t="str">
        <f>IF(Z102&lt;&gt;"",SUM(Z$52:Z102),"")</f>
        <v/>
      </c>
      <c r="AD102" s="37"/>
      <c r="AE102" s="58"/>
      <c r="AF102" s="37"/>
      <c r="AG102" s="37"/>
      <c r="AH102" s="4">
        <f t="shared" si="21"/>
        <v>0</v>
      </c>
      <c r="AI102" s="4">
        <f t="shared" si="22"/>
        <v>0</v>
      </c>
      <c r="AU102" s="47" t="str">
        <f t="shared" si="24"/>
        <v/>
      </c>
      <c r="AV102" s="47" t="str">
        <f t="shared" si="25"/>
        <v/>
      </c>
      <c r="AW102" s="47" t="str">
        <f t="shared" si="26"/>
        <v/>
      </c>
      <c r="AX102" s="47" t="str">
        <f t="shared" si="31"/>
        <v/>
      </c>
      <c r="AY102" s="47" t="str">
        <f t="shared" si="27"/>
        <v/>
      </c>
      <c r="AZ102" s="47" t="str">
        <f t="shared" si="32"/>
        <v/>
      </c>
      <c r="BA102" s="47" t="str">
        <f t="shared" si="33"/>
        <v/>
      </c>
      <c r="BB102" s="47" t="str">
        <f t="shared" si="28"/>
        <v/>
      </c>
      <c r="BC102" s="47" t="str">
        <f t="shared" si="34"/>
        <v/>
      </c>
      <c r="BD102" s="47" t="str">
        <f t="shared" si="35"/>
        <v/>
      </c>
      <c r="BE102" s="47" t="str">
        <f t="shared" si="36"/>
        <v/>
      </c>
      <c r="BF102" s="47" t="str">
        <f t="shared" si="37"/>
        <v/>
      </c>
      <c r="BG102" s="56" t="str">
        <f t="shared" si="19"/>
        <v/>
      </c>
      <c r="BH102" s="51" t="str">
        <f t="shared" si="38"/>
        <v/>
      </c>
      <c r="BI102" s="47" t="str">
        <f t="shared" si="20"/>
        <v/>
      </c>
    </row>
    <row r="103" spans="16:61" x14ac:dyDescent="0.3">
      <c r="P103" s="5" t="str">
        <f>IF(AG103&lt;&gt;"",HLOOKUP(AG103,dataProduits!D$1:H$10,2,FALSE),"")</f>
        <v/>
      </c>
      <c r="Q103" s="5" t="str">
        <f>IF(AG103&lt;&gt;"",HLOOKUP(PROD!AG103,dataProduits!D$1:H$10,4,FALSE),"")</f>
        <v/>
      </c>
      <c r="R103" s="5" t="str">
        <f t="shared" si="12"/>
        <v/>
      </c>
      <c r="S103" s="5" t="str">
        <f t="shared" si="39"/>
        <v/>
      </c>
      <c r="T103" s="5" t="str">
        <f t="shared" si="39"/>
        <v/>
      </c>
      <c r="U103" s="5" t="str">
        <f t="shared" si="39"/>
        <v/>
      </c>
      <c r="V103" s="5" t="str">
        <f t="shared" si="39"/>
        <v/>
      </c>
      <c r="W103" s="5" t="str">
        <f t="shared" si="39"/>
        <v/>
      </c>
      <c r="X103" s="5" t="str">
        <f>IF(Y103&lt;&gt;"",SUM(Y$52:Y103),"")</f>
        <v/>
      </c>
      <c r="Y103" s="5" t="str">
        <f t="shared" si="29"/>
        <v/>
      </c>
      <c r="Z103" s="5" t="str">
        <f t="shared" si="30"/>
        <v/>
      </c>
      <c r="AB103" s="16" t="str">
        <f>IF(RIGHT(prodType,1)="g","gauche","")</f>
        <v/>
      </c>
      <c r="AC103" s="24" t="str">
        <f>IF(Z103&lt;&gt;"",SUM(Z$52:Z103),"")</f>
        <v/>
      </c>
      <c r="AD103" s="37"/>
      <c r="AE103" s="58"/>
      <c r="AF103" s="37"/>
      <c r="AG103" s="37"/>
      <c r="AH103" s="4">
        <f t="shared" si="21"/>
        <v>0</v>
      </c>
      <c r="AI103" s="4">
        <f t="shared" si="22"/>
        <v>0</v>
      </c>
      <c r="AU103" s="47" t="str">
        <f t="shared" si="24"/>
        <v/>
      </c>
      <c r="AV103" s="47" t="str">
        <f t="shared" si="25"/>
        <v/>
      </c>
      <c r="AW103" s="47" t="str">
        <f t="shared" si="26"/>
        <v/>
      </c>
      <c r="AX103" s="47" t="str">
        <f t="shared" si="31"/>
        <v/>
      </c>
      <c r="AY103" s="47" t="str">
        <f t="shared" si="27"/>
        <v/>
      </c>
      <c r="AZ103" s="47" t="str">
        <f t="shared" si="32"/>
        <v/>
      </c>
      <c r="BA103" s="47" t="str">
        <f t="shared" si="33"/>
        <v/>
      </c>
      <c r="BB103" s="47" t="str">
        <f t="shared" si="28"/>
        <v/>
      </c>
      <c r="BC103" s="47" t="str">
        <f t="shared" si="34"/>
        <v/>
      </c>
      <c r="BD103" s="47" t="str">
        <f t="shared" si="35"/>
        <v/>
      </c>
      <c r="BE103" s="47" t="str">
        <f t="shared" si="36"/>
        <v/>
      </c>
      <c r="BF103" s="47" t="str">
        <f t="shared" si="37"/>
        <v/>
      </c>
      <c r="BG103" s="56" t="str">
        <f t="shared" si="19"/>
        <v/>
      </c>
      <c r="BH103" s="51" t="str">
        <f t="shared" si="38"/>
        <v/>
      </c>
      <c r="BI103" s="47" t="str">
        <f t="shared" si="20"/>
        <v/>
      </c>
    </row>
    <row r="104" spans="16:61" x14ac:dyDescent="0.3">
      <c r="P104" s="5" t="str">
        <f>IF(AG104&lt;&gt;"",HLOOKUP(AG104,dataProduits!D$1:H$10,2,FALSE),"")</f>
        <v/>
      </c>
      <c r="Q104" s="5" t="str">
        <f>IF(AG104&lt;&gt;"",HLOOKUP(PROD!AG104,dataProduits!D$1:H$10,4,FALSE),"")</f>
        <v/>
      </c>
      <c r="R104" s="5" t="str">
        <f t="shared" si="12"/>
        <v/>
      </c>
      <c r="S104" s="5" t="str">
        <f t="shared" si="39"/>
        <v/>
      </c>
      <c r="T104" s="5" t="str">
        <f t="shared" si="39"/>
        <v/>
      </c>
      <c r="U104" s="5" t="str">
        <f t="shared" si="39"/>
        <v/>
      </c>
      <c r="V104" s="5" t="str">
        <f t="shared" si="39"/>
        <v/>
      </c>
      <c r="W104" s="5" t="str">
        <f t="shared" si="39"/>
        <v/>
      </c>
      <c r="X104" s="5" t="str">
        <f>IF(Y104&lt;&gt;"",SUM(Y$52:Y104),"")</f>
        <v/>
      </c>
      <c r="Y104" s="5" t="str">
        <f t="shared" si="29"/>
        <v/>
      </c>
      <c r="Z104" s="5" t="str">
        <f t="shared" si="30"/>
        <v/>
      </c>
      <c r="AB104" s="16" t="str">
        <f>IF(RIGHT(prodType,1)="g","droite","")</f>
        <v/>
      </c>
      <c r="AC104" s="24" t="str">
        <f>IF(Z104&lt;&gt;"",SUM(Z$52:Z104),"")</f>
        <v/>
      </c>
      <c r="AD104" s="37"/>
      <c r="AE104" s="58"/>
      <c r="AF104" s="37"/>
      <c r="AG104" s="37"/>
      <c r="AH104" s="4">
        <f t="shared" si="21"/>
        <v>0</v>
      </c>
      <c r="AI104" s="4">
        <f t="shared" si="22"/>
        <v>0</v>
      </c>
      <c r="AU104" s="47" t="str">
        <f t="shared" si="24"/>
        <v/>
      </c>
      <c r="AV104" s="47" t="str">
        <f t="shared" si="25"/>
        <v/>
      </c>
      <c r="AW104" s="47" t="str">
        <f t="shared" si="26"/>
        <v/>
      </c>
      <c r="AX104" s="47" t="str">
        <f t="shared" si="31"/>
        <v/>
      </c>
      <c r="AY104" s="47" t="str">
        <f t="shared" si="27"/>
        <v/>
      </c>
      <c r="AZ104" s="47" t="str">
        <f t="shared" si="32"/>
        <v/>
      </c>
      <c r="BA104" s="47" t="str">
        <f t="shared" si="33"/>
        <v/>
      </c>
      <c r="BB104" s="47" t="str">
        <f t="shared" si="28"/>
        <v/>
      </c>
      <c r="BC104" s="47" t="str">
        <f t="shared" si="34"/>
        <v/>
      </c>
      <c r="BD104" s="47" t="str">
        <f t="shared" si="35"/>
        <v/>
      </c>
      <c r="BE104" s="47" t="str">
        <f t="shared" si="36"/>
        <v/>
      </c>
      <c r="BF104" s="47" t="str">
        <f t="shared" si="37"/>
        <v/>
      </c>
      <c r="BG104" s="56" t="str">
        <f t="shared" si="19"/>
        <v/>
      </c>
      <c r="BH104" s="51" t="str">
        <f t="shared" si="38"/>
        <v/>
      </c>
      <c r="BI104" s="47" t="str">
        <f t="shared" si="20"/>
        <v/>
      </c>
    </row>
    <row r="105" spans="16:61" x14ac:dyDescent="0.3">
      <c r="P105" s="5" t="str">
        <f>IF(AG105&lt;&gt;"",HLOOKUP(AG105,dataProduits!D$1:H$10,2,FALSE),"")</f>
        <v/>
      </c>
      <c r="Q105" s="5" t="str">
        <f>IF(AG105&lt;&gt;"",HLOOKUP(PROD!AG105,dataProduits!D$1:H$10,4,FALSE),"")</f>
        <v/>
      </c>
      <c r="R105" s="5" t="str">
        <f t="shared" si="12"/>
        <v/>
      </c>
      <c r="S105" s="5" t="str">
        <f t="shared" si="39"/>
        <v/>
      </c>
      <c r="T105" s="5" t="str">
        <f t="shared" si="39"/>
        <v/>
      </c>
      <c r="U105" s="5" t="str">
        <f t="shared" si="39"/>
        <v/>
      </c>
      <c r="V105" s="5" t="str">
        <f t="shared" si="39"/>
        <v/>
      </c>
      <c r="W105" s="5" t="str">
        <f t="shared" si="39"/>
        <v/>
      </c>
      <c r="X105" s="5" t="str">
        <f>IF(Y105&lt;&gt;"",SUM(Y$52:Y105),"")</f>
        <v/>
      </c>
      <c r="Y105" s="5" t="str">
        <f t="shared" si="29"/>
        <v/>
      </c>
      <c r="Z105" s="5" t="str">
        <f t="shared" si="30"/>
        <v/>
      </c>
      <c r="AB105" s="16" t="str">
        <f>IF(RIGHT(prodType,1)="g","gauche","")</f>
        <v/>
      </c>
      <c r="AC105" s="24" t="str">
        <f>IF(Z105&lt;&gt;"",SUM(Z$52:Z105),"")</f>
        <v/>
      </c>
      <c r="AD105" s="37"/>
      <c r="AE105" s="58"/>
      <c r="AF105" s="37"/>
      <c r="AG105" s="37"/>
      <c r="AH105" s="4">
        <f t="shared" si="21"/>
        <v>0</v>
      </c>
      <c r="AI105" s="4">
        <f t="shared" si="22"/>
        <v>0</v>
      </c>
      <c r="AU105" s="47" t="str">
        <f t="shared" si="24"/>
        <v/>
      </c>
      <c r="AV105" s="47" t="str">
        <f t="shared" si="25"/>
        <v/>
      </c>
      <c r="AW105" s="47" t="str">
        <f t="shared" si="26"/>
        <v/>
      </c>
      <c r="AX105" s="47" t="str">
        <f t="shared" si="31"/>
        <v/>
      </c>
      <c r="AY105" s="47" t="str">
        <f t="shared" si="27"/>
        <v/>
      </c>
      <c r="AZ105" s="47" t="str">
        <f t="shared" si="32"/>
        <v/>
      </c>
      <c r="BA105" s="47" t="str">
        <f t="shared" si="33"/>
        <v/>
      </c>
      <c r="BB105" s="47" t="str">
        <f t="shared" si="28"/>
        <v/>
      </c>
      <c r="BC105" s="47" t="str">
        <f t="shared" si="34"/>
        <v/>
      </c>
      <c r="BD105" s="47" t="str">
        <f t="shared" si="35"/>
        <v/>
      </c>
      <c r="BE105" s="47" t="str">
        <f t="shared" si="36"/>
        <v/>
      </c>
      <c r="BF105" s="47" t="str">
        <f t="shared" si="37"/>
        <v/>
      </c>
      <c r="BG105" s="56" t="str">
        <f t="shared" si="19"/>
        <v/>
      </c>
      <c r="BH105" s="51" t="str">
        <f t="shared" si="38"/>
        <v/>
      </c>
      <c r="BI105" s="47" t="str">
        <f t="shared" si="20"/>
        <v/>
      </c>
    </row>
    <row r="106" spans="16:61" x14ac:dyDescent="0.3">
      <c r="P106" s="5" t="str">
        <f>IF(AG106&lt;&gt;"",HLOOKUP(AG106,dataProduits!D$1:H$10,2,FALSE),"")</f>
        <v/>
      </c>
      <c r="Q106" s="5" t="str">
        <f>IF(AG106&lt;&gt;"",HLOOKUP(PROD!AG106,dataProduits!D$1:H$10,4,FALSE),"")</f>
        <v/>
      </c>
      <c r="R106" s="5" t="str">
        <f t="shared" si="12"/>
        <v/>
      </c>
      <c r="S106" s="5" t="str">
        <f t="shared" si="39"/>
        <v/>
      </c>
      <c r="T106" s="5" t="str">
        <f t="shared" si="39"/>
        <v/>
      </c>
      <c r="U106" s="5" t="str">
        <f t="shared" si="39"/>
        <v/>
      </c>
      <c r="V106" s="5" t="str">
        <f t="shared" si="39"/>
        <v/>
      </c>
      <c r="W106" s="5" t="str">
        <f t="shared" si="39"/>
        <v/>
      </c>
      <c r="X106" s="5" t="str">
        <f>IF(Y106&lt;&gt;"",SUM(Y$52:Y106),"")</f>
        <v/>
      </c>
      <c r="Y106" s="5" t="str">
        <f t="shared" si="29"/>
        <v/>
      </c>
      <c r="Z106" s="5" t="str">
        <f t="shared" si="30"/>
        <v/>
      </c>
      <c r="AB106" s="16" t="str">
        <f>IF(RIGHT(prodType,1)="g","droite","")</f>
        <v/>
      </c>
      <c r="AC106" s="24" t="str">
        <f>IF(Z106&lt;&gt;"",SUM(Z$52:Z106),"")</f>
        <v/>
      </c>
      <c r="AD106" s="37"/>
      <c r="AE106" s="58"/>
      <c r="AF106" s="37"/>
      <c r="AG106" s="37"/>
      <c r="AH106" s="4">
        <f t="shared" si="21"/>
        <v>0</v>
      </c>
      <c r="AI106" s="4">
        <f t="shared" si="22"/>
        <v>0</v>
      </c>
      <c r="AU106" s="47" t="str">
        <f t="shared" si="24"/>
        <v/>
      </c>
      <c r="AV106" s="47" t="str">
        <f t="shared" si="25"/>
        <v/>
      </c>
      <c r="AW106" s="47" t="str">
        <f t="shared" si="26"/>
        <v/>
      </c>
      <c r="AX106" s="47" t="str">
        <f t="shared" si="31"/>
        <v/>
      </c>
      <c r="AY106" s="47" t="str">
        <f t="shared" si="27"/>
        <v/>
      </c>
      <c r="AZ106" s="47" t="str">
        <f t="shared" si="32"/>
        <v/>
      </c>
      <c r="BA106" s="47" t="str">
        <f t="shared" si="33"/>
        <v/>
      </c>
      <c r="BB106" s="47" t="str">
        <f t="shared" si="28"/>
        <v/>
      </c>
      <c r="BC106" s="47" t="str">
        <f t="shared" si="34"/>
        <v/>
      </c>
      <c r="BD106" s="47" t="str">
        <f t="shared" si="35"/>
        <v/>
      </c>
      <c r="BE106" s="47" t="str">
        <f t="shared" si="36"/>
        <v/>
      </c>
      <c r="BF106" s="47" t="str">
        <f t="shared" si="37"/>
        <v/>
      </c>
      <c r="BG106" s="56" t="str">
        <f t="shared" si="19"/>
        <v/>
      </c>
      <c r="BH106" s="51" t="str">
        <f t="shared" si="38"/>
        <v/>
      </c>
      <c r="BI106" s="47" t="str">
        <f t="shared" si="20"/>
        <v/>
      </c>
    </row>
    <row r="107" spans="16:61" x14ac:dyDescent="0.3">
      <c r="P107" s="5" t="str">
        <f>IF(AG107&lt;&gt;"",HLOOKUP(AG107,dataProduits!D$1:H$10,2,FALSE),"")</f>
        <v/>
      </c>
      <c r="Q107" s="5" t="str">
        <f>IF(AG107&lt;&gt;"",HLOOKUP(PROD!AG107,dataProduits!D$1:H$10,4,FALSE),"")</f>
        <v/>
      </c>
      <c r="R107" s="5" t="str">
        <f t="shared" si="12"/>
        <v/>
      </c>
      <c r="S107" s="5" t="str">
        <f t="shared" si="39"/>
        <v/>
      </c>
      <c r="T107" s="5" t="str">
        <f t="shared" si="39"/>
        <v/>
      </c>
      <c r="U107" s="5" t="str">
        <f t="shared" si="39"/>
        <v/>
      </c>
      <c r="V107" s="5" t="str">
        <f t="shared" si="39"/>
        <v/>
      </c>
      <c r="W107" s="5" t="str">
        <f t="shared" si="39"/>
        <v/>
      </c>
      <c r="X107" s="5" t="str">
        <f>IF(Y107&lt;&gt;"",SUM(Y$52:Y107),"")</f>
        <v/>
      </c>
      <c r="Y107" s="5" t="str">
        <f t="shared" si="29"/>
        <v/>
      </c>
      <c r="Z107" s="5" t="str">
        <f t="shared" si="30"/>
        <v/>
      </c>
      <c r="AB107" s="16" t="str">
        <f>IF(RIGHT(prodType,1)="g","gauche","")</f>
        <v/>
      </c>
      <c r="AC107" s="24" t="str">
        <f>IF(Z107&lt;&gt;"",SUM(Z$52:Z107),"")</f>
        <v/>
      </c>
      <c r="AD107" s="37"/>
      <c r="AE107" s="58"/>
      <c r="AF107" s="37"/>
      <c r="AG107" s="37"/>
      <c r="AH107" s="4">
        <f t="shared" si="21"/>
        <v>0</v>
      </c>
      <c r="AI107" s="4">
        <f t="shared" si="22"/>
        <v>0</v>
      </c>
      <c r="AU107" s="47" t="str">
        <f t="shared" si="24"/>
        <v/>
      </c>
      <c r="AV107" s="47" t="str">
        <f t="shared" si="25"/>
        <v/>
      </c>
      <c r="AW107" s="47" t="str">
        <f t="shared" si="26"/>
        <v/>
      </c>
      <c r="AX107" s="47" t="str">
        <f t="shared" si="31"/>
        <v/>
      </c>
      <c r="AY107" s="47" t="str">
        <f t="shared" si="27"/>
        <v/>
      </c>
      <c r="AZ107" s="47" t="str">
        <f t="shared" si="32"/>
        <v/>
      </c>
      <c r="BA107" s="47" t="str">
        <f t="shared" si="33"/>
        <v/>
      </c>
      <c r="BB107" s="47" t="str">
        <f t="shared" si="28"/>
        <v/>
      </c>
      <c r="BC107" s="47" t="str">
        <f t="shared" si="34"/>
        <v/>
      </c>
      <c r="BD107" s="47" t="str">
        <f t="shared" si="35"/>
        <v/>
      </c>
      <c r="BE107" s="47" t="str">
        <f t="shared" si="36"/>
        <v/>
      </c>
      <c r="BF107" s="47" t="str">
        <f t="shared" si="37"/>
        <v/>
      </c>
      <c r="BG107" s="56" t="str">
        <f t="shared" si="19"/>
        <v/>
      </c>
      <c r="BH107" s="51" t="str">
        <f t="shared" si="38"/>
        <v/>
      </c>
      <c r="BI107" s="47" t="str">
        <f t="shared" si="20"/>
        <v/>
      </c>
    </row>
    <row r="108" spans="16:61" x14ac:dyDescent="0.3">
      <c r="P108" s="5" t="str">
        <f>IF(AG108&lt;&gt;"",HLOOKUP(AG108,dataProduits!D$1:H$10,2,FALSE),"")</f>
        <v/>
      </c>
      <c r="Q108" s="5" t="str">
        <f>IF(AG108&lt;&gt;"",HLOOKUP(PROD!AG108,dataProduits!D$1:H$10,4,FALSE),"")</f>
        <v/>
      </c>
      <c r="R108" s="5" t="str">
        <f t="shared" si="12"/>
        <v/>
      </c>
      <c r="S108" s="5" t="str">
        <f t="shared" si="39"/>
        <v/>
      </c>
      <c r="T108" s="5" t="str">
        <f t="shared" si="39"/>
        <v/>
      </c>
      <c r="U108" s="5" t="str">
        <f t="shared" si="39"/>
        <v/>
      </c>
      <c r="V108" s="5" t="str">
        <f t="shared" si="39"/>
        <v/>
      </c>
      <c r="W108" s="5" t="str">
        <f t="shared" si="39"/>
        <v/>
      </c>
      <c r="X108" s="5" t="str">
        <f>IF(Y108&lt;&gt;"",SUM(Y$52:Y108),"")</f>
        <v/>
      </c>
      <c r="Y108" s="5" t="str">
        <f t="shared" si="29"/>
        <v/>
      </c>
      <c r="Z108" s="5" t="str">
        <f t="shared" si="30"/>
        <v/>
      </c>
      <c r="AB108" s="16" t="str">
        <f>IF(RIGHT(prodType,1)="g","droite","")</f>
        <v/>
      </c>
      <c r="AC108" s="24" t="str">
        <f>IF(Z108&lt;&gt;"",SUM(Z$52:Z108),"")</f>
        <v/>
      </c>
      <c r="AD108" s="37"/>
      <c r="AE108" s="58"/>
      <c r="AF108" s="37"/>
      <c r="AG108" s="37"/>
      <c r="AH108" s="4">
        <f t="shared" si="21"/>
        <v>0</v>
      </c>
      <c r="AI108" s="4">
        <f t="shared" si="22"/>
        <v>0</v>
      </c>
      <c r="AU108" s="47" t="str">
        <f t="shared" si="24"/>
        <v/>
      </c>
      <c r="AV108" s="47" t="str">
        <f t="shared" si="25"/>
        <v/>
      </c>
      <c r="AW108" s="47" t="str">
        <f t="shared" si="26"/>
        <v/>
      </c>
      <c r="AX108" s="47" t="str">
        <f t="shared" si="31"/>
        <v/>
      </c>
      <c r="AY108" s="47" t="str">
        <f t="shared" si="27"/>
        <v/>
      </c>
      <c r="AZ108" s="47" t="str">
        <f t="shared" si="32"/>
        <v/>
      </c>
      <c r="BA108" s="47" t="str">
        <f t="shared" si="33"/>
        <v/>
      </c>
      <c r="BB108" s="47" t="str">
        <f t="shared" si="28"/>
        <v/>
      </c>
      <c r="BC108" s="47" t="str">
        <f t="shared" si="34"/>
        <v/>
      </c>
      <c r="BD108" s="47" t="str">
        <f t="shared" si="35"/>
        <v/>
      </c>
      <c r="BE108" s="47" t="str">
        <f t="shared" si="36"/>
        <v/>
      </c>
      <c r="BF108" s="47" t="str">
        <f t="shared" si="37"/>
        <v/>
      </c>
      <c r="BG108" s="56" t="str">
        <f t="shared" si="19"/>
        <v/>
      </c>
      <c r="BH108" s="51" t="str">
        <f t="shared" si="38"/>
        <v/>
      </c>
      <c r="BI108" s="47" t="str">
        <f t="shared" si="20"/>
        <v/>
      </c>
    </row>
    <row r="109" spans="16:61" x14ac:dyDescent="0.3">
      <c r="P109" s="5" t="str">
        <f>IF(AG109&lt;&gt;"",HLOOKUP(AG109,dataProduits!D$1:H$10,2,FALSE),"")</f>
        <v/>
      </c>
      <c r="Q109" s="5" t="str">
        <f>IF(AG109&lt;&gt;"",HLOOKUP(PROD!AG109,dataProduits!D$1:H$10,4,FALSE),"")</f>
        <v/>
      </c>
      <c r="R109" s="5" t="str">
        <f t="shared" si="12"/>
        <v/>
      </c>
      <c r="S109" s="5" t="str">
        <f t="shared" si="39"/>
        <v/>
      </c>
      <c r="T109" s="5" t="str">
        <f t="shared" si="39"/>
        <v/>
      </c>
      <c r="U109" s="5" t="str">
        <f t="shared" si="39"/>
        <v/>
      </c>
      <c r="V109" s="5" t="str">
        <f t="shared" si="39"/>
        <v/>
      </c>
      <c r="W109" s="5" t="str">
        <f t="shared" si="39"/>
        <v/>
      </c>
      <c r="X109" s="5" t="str">
        <f>IF(Y109&lt;&gt;"",SUM(Y$52:Y109),"")</f>
        <v/>
      </c>
      <c r="Y109" s="5" t="str">
        <f t="shared" si="29"/>
        <v/>
      </c>
      <c r="Z109" s="5" t="str">
        <f t="shared" si="30"/>
        <v/>
      </c>
      <c r="AB109" s="16" t="str">
        <f>IF(RIGHT(prodType,1)="g","gauche","")</f>
        <v/>
      </c>
      <c r="AC109" s="24" t="str">
        <f>IF(Z109&lt;&gt;"",SUM(Z$52:Z109),"")</f>
        <v/>
      </c>
      <c r="AD109" s="37"/>
      <c r="AE109" s="58"/>
      <c r="AF109" s="37"/>
      <c r="AG109" s="37"/>
      <c r="AH109" s="4">
        <f t="shared" si="21"/>
        <v>0</v>
      </c>
      <c r="AI109" s="4">
        <f t="shared" si="22"/>
        <v>0</v>
      </c>
      <c r="AU109" s="47" t="str">
        <f t="shared" si="24"/>
        <v/>
      </c>
      <c r="AV109" s="47" t="str">
        <f t="shared" si="25"/>
        <v/>
      </c>
      <c r="AW109" s="47" t="str">
        <f t="shared" si="26"/>
        <v/>
      </c>
      <c r="AX109" s="47" t="str">
        <f t="shared" si="31"/>
        <v/>
      </c>
      <c r="AY109" s="47" t="str">
        <f t="shared" si="27"/>
        <v/>
      </c>
      <c r="AZ109" s="47" t="str">
        <f t="shared" si="32"/>
        <v/>
      </c>
      <c r="BA109" s="47" t="str">
        <f t="shared" si="33"/>
        <v/>
      </c>
      <c r="BB109" s="47" t="str">
        <f t="shared" si="28"/>
        <v/>
      </c>
      <c r="BC109" s="47" t="str">
        <f t="shared" si="34"/>
        <v/>
      </c>
      <c r="BD109" s="47" t="str">
        <f t="shared" si="35"/>
        <v/>
      </c>
      <c r="BE109" s="47" t="str">
        <f t="shared" si="36"/>
        <v/>
      </c>
      <c r="BF109" s="47" t="str">
        <f t="shared" si="37"/>
        <v/>
      </c>
      <c r="BG109" s="56" t="str">
        <f t="shared" si="19"/>
        <v/>
      </c>
      <c r="BH109" s="51" t="str">
        <f t="shared" si="38"/>
        <v/>
      </c>
      <c r="BI109" s="47" t="str">
        <f t="shared" si="20"/>
        <v/>
      </c>
    </row>
    <row r="110" spans="16:61" x14ac:dyDescent="0.3">
      <c r="P110" s="5" t="str">
        <f>IF(AG110&lt;&gt;"",HLOOKUP(AG110,dataProduits!D$1:H$10,2,FALSE),"")</f>
        <v/>
      </c>
      <c r="Q110" s="5" t="str">
        <f>IF(AG110&lt;&gt;"",HLOOKUP(PROD!AG110,dataProduits!D$1:H$10,4,FALSE),"")</f>
        <v/>
      </c>
      <c r="R110" s="5" t="str">
        <f t="shared" si="12"/>
        <v/>
      </c>
      <c r="S110" s="5" t="str">
        <f t="shared" si="39"/>
        <v/>
      </c>
      <c r="T110" s="5" t="str">
        <f t="shared" si="39"/>
        <v/>
      </c>
      <c r="U110" s="5" t="str">
        <f t="shared" si="39"/>
        <v/>
      </c>
      <c r="V110" s="5" t="str">
        <f t="shared" si="39"/>
        <v/>
      </c>
      <c r="W110" s="5" t="str">
        <f t="shared" si="39"/>
        <v/>
      </c>
      <c r="X110" s="5" t="str">
        <f>IF(Y110&lt;&gt;"",SUM(Y$52:Y110),"")</f>
        <v/>
      </c>
      <c r="Y110" s="5" t="str">
        <f t="shared" si="29"/>
        <v/>
      </c>
      <c r="Z110" s="5" t="str">
        <f t="shared" si="30"/>
        <v/>
      </c>
      <c r="AB110" s="16" t="str">
        <f>IF(RIGHT(prodType,1)="g","droite","")</f>
        <v/>
      </c>
      <c r="AC110" s="24" t="str">
        <f>IF(Z110&lt;&gt;"",SUM(Z$52:Z110),"")</f>
        <v/>
      </c>
      <c r="AD110" s="37"/>
      <c r="AE110" s="58"/>
      <c r="AF110" s="37"/>
      <c r="AG110" s="37"/>
      <c r="AH110" s="4">
        <f t="shared" si="21"/>
        <v>0</v>
      </c>
      <c r="AI110" s="4">
        <f t="shared" si="22"/>
        <v>0</v>
      </c>
      <c r="AU110" s="47" t="str">
        <f t="shared" si="24"/>
        <v/>
      </c>
      <c r="AV110" s="47" t="str">
        <f t="shared" si="25"/>
        <v/>
      </c>
      <c r="AW110" s="47" t="str">
        <f t="shared" si="26"/>
        <v/>
      </c>
      <c r="AX110" s="47" t="str">
        <f t="shared" si="31"/>
        <v/>
      </c>
      <c r="AY110" s="47" t="str">
        <f t="shared" si="27"/>
        <v/>
      </c>
      <c r="AZ110" s="47" t="str">
        <f t="shared" si="32"/>
        <v/>
      </c>
      <c r="BA110" s="47" t="str">
        <f t="shared" si="33"/>
        <v/>
      </c>
      <c r="BB110" s="47" t="str">
        <f t="shared" si="28"/>
        <v/>
      </c>
      <c r="BC110" s="47" t="str">
        <f t="shared" si="34"/>
        <v/>
      </c>
      <c r="BD110" s="47" t="str">
        <f t="shared" si="35"/>
        <v/>
      </c>
      <c r="BE110" s="47" t="str">
        <f t="shared" si="36"/>
        <v/>
      </c>
      <c r="BF110" s="47" t="str">
        <f t="shared" si="37"/>
        <v/>
      </c>
      <c r="BG110" s="56" t="str">
        <f t="shared" si="19"/>
        <v/>
      </c>
      <c r="BH110" s="51" t="str">
        <f t="shared" si="38"/>
        <v/>
      </c>
      <c r="BI110" s="47" t="str">
        <f t="shared" si="20"/>
        <v/>
      </c>
    </row>
    <row r="111" spans="16:61" x14ac:dyDescent="0.3">
      <c r="P111" s="5" t="str">
        <f>IF(AG111&lt;&gt;"",HLOOKUP(AG111,dataProduits!D$1:H$10,2,FALSE),"")</f>
        <v/>
      </c>
      <c r="Q111" s="5" t="str">
        <f>IF(AG111&lt;&gt;"",HLOOKUP(PROD!AG111,dataProduits!D$1:H$10,4,FALSE),"")</f>
        <v/>
      </c>
      <c r="R111" s="5" t="str">
        <f t="shared" si="12"/>
        <v/>
      </c>
      <c r="S111" s="5" t="str">
        <f t="shared" si="39"/>
        <v/>
      </c>
      <c r="T111" s="5" t="str">
        <f t="shared" si="39"/>
        <v/>
      </c>
      <c r="U111" s="5" t="str">
        <f t="shared" si="39"/>
        <v/>
      </c>
      <c r="V111" s="5" t="str">
        <f t="shared" si="39"/>
        <v/>
      </c>
      <c r="W111" s="5" t="str">
        <f t="shared" si="39"/>
        <v/>
      </c>
      <c r="X111" s="5" t="str">
        <f>IF(Y111&lt;&gt;"",SUM(Y$52:Y111),"")</f>
        <v/>
      </c>
      <c r="Y111" s="5" t="str">
        <f t="shared" si="29"/>
        <v/>
      </c>
      <c r="Z111" s="5" t="str">
        <f t="shared" si="30"/>
        <v/>
      </c>
      <c r="AB111" s="16" t="str">
        <f>IF(RIGHT(prodType,1)="g","gauche","")</f>
        <v/>
      </c>
      <c r="AC111" s="24" t="str">
        <f>IF(Z111&lt;&gt;"",SUM(Z$52:Z111),"")</f>
        <v/>
      </c>
      <c r="AD111" s="37"/>
      <c r="AE111" s="58"/>
      <c r="AF111" s="37"/>
      <c r="AG111" s="37"/>
      <c r="AH111" s="4">
        <f t="shared" si="21"/>
        <v>0</v>
      </c>
      <c r="AI111" s="4">
        <f t="shared" si="22"/>
        <v>0</v>
      </c>
      <c r="AU111" s="47" t="str">
        <f t="shared" si="24"/>
        <v/>
      </c>
      <c r="AV111" s="47" t="str">
        <f t="shared" si="25"/>
        <v/>
      </c>
      <c r="AW111" s="47" t="str">
        <f t="shared" si="26"/>
        <v/>
      </c>
      <c r="AX111" s="47" t="str">
        <f t="shared" si="31"/>
        <v/>
      </c>
      <c r="AY111" s="47" t="str">
        <f t="shared" si="27"/>
        <v/>
      </c>
      <c r="AZ111" s="47" t="str">
        <f t="shared" si="32"/>
        <v/>
      </c>
      <c r="BA111" s="47" t="str">
        <f t="shared" si="33"/>
        <v/>
      </c>
      <c r="BB111" s="47" t="str">
        <f t="shared" si="28"/>
        <v/>
      </c>
      <c r="BC111" s="47" t="str">
        <f t="shared" si="34"/>
        <v/>
      </c>
      <c r="BD111" s="47" t="str">
        <f t="shared" si="35"/>
        <v/>
      </c>
      <c r="BE111" s="47" t="str">
        <f t="shared" si="36"/>
        <v/>
      </c>
      <c r="BF111" s="47" t="str">
        <f t="shared" si="37"/>
        <v/>
      </c>
      <c r="BG111" s="56" t="str">
        <f t="shared" si="19"/>
        <v/>
      </c>
      <c r="BH111" s="51" t="str">
        <f t="shared" si="38"/>
        <v/>
      </c>
      <c r="BI111" s="47" t="str">
        <f t="shared" si="20"/>
        <v/>
      </c>
    </row>
    <row r="112" spans="16:61" x14ac:dyDescent="0.3">
      <c r="P112" s="5" t="str">
        <f>IF(AG112&lt;&gt;"",HLOOKUP(AG112,dataProduits!D$1:H$10,2,FALSE),"")</f>
        <v/>
      </c>
      <c r="Q112" s="5" t="str">
        <f>IF(AG112&lt;&gt;"",HLOOKUP(PROD!AG112,dataProduits!D$1:H$10,4,FALSE),"")</f>
        <v/>
      </c>
      <c r="R112" s="5" t="str">
        <f t="shared" si="12"/>
        <v/>
      </c>
      <c r="S112" s="5" t="str">
        <f t="shared" si="39"/>
        <v/>
      </c>
      <c r="T112" s="5" t="str">
        <f t="shared" si="39"/>
        <v/>
      </c>
      <c r="U112" s="5" t="str">
        <f t="shared" si="39"/>
        <v/>
      </c>
      <c r="V112" s="5" t="str">
        <f t="shared" si="39"/>
        <v/>
      </c>
      <c r="W112" s="5" t="str">
        <f t="shared" si="39"/>
        <v/>
      </c>
      <c r="X112" s="5" t="str">
        <f>IF(Y112&lt;&gt;"",SUM(Y$52:Y112),"")</f>
        <v/>
      </c>
      <c r="Y112" s="5" t="str">
        <f t="shared" si="29"/>
        <v/>
      </c>
      <c r="Z112" s="5" t="str">
        <f t="shared" si="30"/>
        <v/>
      </c>
      <c r="AB112" s="16" t="str">
        <f>IF(RIGHT(prodType,1)="g","droite","")</f>
        <v/>
      </c>
      <c r="AC112" s="24" t="str">
        <f>IF(Z112&lt;&gt;"",SUM(Z$52:Z112),"")</f>
        <v/>
      </c>
      <c r="AD112" s="37"/>
      <c r="AE112" s="58"/>
      <c r="AF112" s="37"/>
      <c r="AG112" s="37"/>
      <c r="AH112" s="4">
        <f t="shared" si="21"/>
        <v>0</v>
      </c>
      <c r="AI112" s="4">
        <f t="shared" si="22"/>
        <v>0</v>
      </c>
      <c r="AU112" s="47" t="str">
        <f t="shared" si="24"/>
        <v/>
      </c>
      <c r="AV112" s="47" t="str">
        <f t="shared" si="25"/>
        <v/>
      </c>
      <c r="AW112" s="47" t="str">
        <f t="shared" si="26"/>
        <v/>
      </c>
      <c r="AX112" s="47" t="str">
        <f t="shared" si="31"/>
        <v/>
      </c>
      <c r="AY112" s="47" t="str">
        <f t="shared" si="27"/>
        <v/>
      </c>
      <c r="AZ112" s="47" t="str">
        <f t="shared" si="32"/>
        <v/>
      </c>
      <c r="BA112" s="47" t="str">
        <f t="shared" si="33"/>
        <v/>
      </c>
      <c r="BB112" s="47" t="str">
        <f t="shared" si="28"/>
        <v/>
      </c>
      <c r="BC112" s="47" t="str">
        <f t="shared" si="34"/>
        <v/>
      </c>
      <c r="BD112" s="47" t="str">
        <f t="shared" si="35"/>
        <v/>
      </c>
      <c r="BE112" s="47" t="str">
        <f t="shared" si="36"/>
        <v/>
      </c>
      <c r="BF112" s="47" t="str">
        <f t="shared" si="37"/>
        <v/>
      </c>
      <c r="BG112" s="56" t="str">
        <f t="shared" si="19"/>
        <v/>
      </c>
      <c r="BH112" s="51" t="str">
        <f t="shared" si="38"/>
        <v/>
      </c>
      <c r="BI112" s="47" t="str">
        <f t="shared" si="20"/>
        <v/>
      </c>
    </row>
    <row r="113" spans="16:61" x14ac:dyDescent="0.3">
      <c r="P113" s="5" t="str">
        <f>IF(AG113&lt;&gt;"",HLOOKUP(AG113,dataProduits!D$1:H$10,2,FALSE),"")</f>
        <v/>
      </c>
      <c r="Q113" s="5" t="str">
        <f>IF(AG113&lt;&gt;"",HLOOKUP(PROD!AG113,dataProduits!D$1:H$10,4,FALSE),"")</f>
        <v/>
      </c>
      <c r="R113" s="5" t="str">
        <f t="shared" si="12"/>
        <v/>
      </c>
      <c r="S113" s="5" t="str">
        <f t="shared" si="39"/>
        <v/>
      </c>
      <c r="T113" s="5" t="str">
        <f t="shared" si="39"/>
        <v/>
      </c>
      <c r="U113" s="5" t="str">
        <f t="shared" si="39"/>
        <v/>
      </c>
      <c r="V113" s="5" t="str">
        <f t="shared" si="39"/>
        <v/>
      </c>
      <c r="W113" s="5" t="str">
        <f t="shared" si="39"/>
        <v/>
      </c>
      <c r="X113" s="5" t="str">
        <f>IF(Y113&lt;&gt;"",SUM(Y$52:Y113),"")</f>
        <v/>
      </c>
      <c r="Y113" s="5" t="str">
        <f t="shared" si="29"/>
        <v/>
      </c>
      <c r="Z113" s="5" t="str">
        <f t="shared" si="30"/>
        <v/>
      </c>
      <c r="AB113" s="16" t="str">
        <f>IF(RIGHT(prodType,1)="g","gauche","")</f>
        <v/>
      </c>
      <c r="AC113" s="24" t="str">
        <f>IF(Z113&lt;&gt;"",SUM(Z$52:Z113),"")</f>
        <v/>
      </c>
      <c r="AD113" s="37"/>
      <c r="AE113" s="58"/>
      <c r="AF113" s="37"/>
      <c r="AG113" s="37"/>
      <c r="AH113" s="4">
        <f t="shared" si="21"/>
        <v>0</v>
      </c>
      <c r="AI113" s="4">
        <f t="shared" si="22"/>
        <v>0</v>
      </c>
      <c r="AU113" s="47" t="str">
        <f t="shared" si="24"/>
        <v/>
      </c>
      <c r="AV113" s="47" t="str">
        <f t="shared" si="25"/>
        <v/>
      </c>
      <c r="AW113" s="47" t="str">
        <f t="shared" si="26"/>
        <v/>
      </c>
      <c r="AX113" s="47" t="str">
        <f t="shared" si="31"/>
        <v/>
      </c>
      <c r="AY113" s="47" t="str">
        <f t="shared" si="27"/>
        <v/>
      </c>
      <c r="AZ113" s="47" t="str">
        <f t="shared" si="32"/>
        <v/>
      </c>
      <c r="BA113" s="47" t="str">
        <f t="shared" si="33"/>
        <v/>
      </c>
      <c r="BB113" s="47" t="str">
        <f t="shared" si="28"/>
        <v/>
      </c>
      <c r="BC113" s="47" t="str">
        <f t="shared" si="34"/>
        <v/>
      </c>
      <c r="BD113" s="47" t="str">
        <f t="shared" si="35"/>
        <v/>
      </c>
      <c r="BE113" s="47" t="str">
        <f t="shared" si="36"/>
        <v/>
      </c>
      <c r="BF113" s="47" t="str">
        <f t="shared" si="37"/>
        <v/>
      </c>
      <c r="BG113" s="56" t="str">
        <f t="shared" si="19"/>
        <v/>
      </c>
      <c r="BH113" s="51" t="str">
        <f t="shared" si="38"/>
        <v/>
      </c>
      <c r="BI113" s="47" t="str">
        <f t="shared" si="20"/>
        <v/>
      </c>
    </row>
    <row r="114" spans="16:61" x14ac:dyDescent="0.3">
      <c r="P114" s="5" t="str">
        <f>IF(AG114&lt;&gt;"",HLOOKUP(AG114,dataProduits!D$1:H$10,2,FALSE),"")</f>
        <v/>
      </c>
      <c r="Q114" s="5" t="str">
        <f>IF(AG114&lt;&gt;"",HLOOKUP(PROD!AG114,dataProduits!D$1:H$10,4,FALSE),"")</f>
        <v/>
      </c>
      <c r="R114" s="5" t="str">
        <f t="shared" si="12"/>
        <v/>
      </c>
      <c r="S114" s="5" t="str">
        <f t="shared" si="39"/>
        <v/>
      </c>
      <c r="T114" s="5" t="str">
        <f t="shared" si="39"/>
        <v/>
      </c>
      <c r="U114" s="5" t="str">
        <f t="shared" si="39"/>
        <v/>
      </c>
      <c r="V114" s="5" t="str">
        <f t="shared" si="39"/>
        <v/>
      </c>
      <c r="W114" s="5" t="str">
        <f t="shared" si="39"/>
        <v/>
      </c>
      <c r="X114" s="5" t="str">
        <f>IF(Y114&lt;&gt;"",SUM(Y$52:Y114),"")</f>
        <v/>
      </c>
      <c r="Y114" s="5" t="str">
        <f t="shared" si="29"/>
        <v/>
      </c>
      <c r="Z114" s="5" t="str">
        <f t="shared" si="30"/>
        <v/>
      </c>
      <c r="AB114" s="16" t="str">
        <f>IF(RIGHT(prodType,1)="g","droite","")</f>
        <v/>
      </c>
      <c r="AC114" s="24" t="str">
        <f>IF(Z114&lt;&gt;"",SUM(Z$52:Z114),"")</f>
        <v/>
      </c>
      <c r="AD114" s="37"/>
      <c r="AE114" s="58"/>
      <c r="AF114" s="37"/>
      <c r="AG114" s="37"/>
      <c r="AH114" s="4">
        <f t="shared" si="21"/>
        <v>0</v>
      </c>
      <c r="AI114" s="4">
        <f t="shared" si="22"/>
        <v>0</v>
      </c>
      <c r="AU114" s="47" t="str">
        <f t="shared" si="24"/>
        <v/>
      </c>
      <c r="AV114" s="47" t="str">
        <f t="shared" si="25"/>
        <v/>
      </c>
      <c r="AW114" s="47" t="str">
        <f t="shared" si="26"/>
        <v/>
      </c>
      <c r="AX114" s="47" t="str">
        <f t="shared" si="31"/>
        <v/>
      </c>
      <c r="AY114" s="47" t="str">
        <f t="shared" si="27"/>
        <v/>
      </c>
      <c r="AZ114" s="47" t="str">
        <f t="shared" si="32"/>
        <v/>
      </c>
      <c r="BA114" s="47" t="str">
        <f t="shared" si="33"/>
        <v/>
      </c>
      <c r="BB114" s="47" t="str">
        <f t="shared" si="28"/>
        <v/>
      </c>
      <c r="BC114" s="47" t="str">
        <f t="shared" si="34"/>
        <v/>
      </c>
      <c r="BD114" s="47" t="str">
        <f t="shared" si="35"/>
        <v/>
      </c>
      <c r="BE114" s="47" t="str">
        <f t="shared" si="36"/>
        <v/>
      </c>
      <c r="BF114" s="47" t="str">
        <f t="shared" si="37"/>
        <v/>
      </c>
      <c r="BG114" s="56" t="str">
        <f t="shared" si="19"/>
        <v/>
      </c>
      <c r="BH114" s="51" t="str">
        <f t="shared" si="38"/>
        <v/>
      </c>
      <c r="BI114" s="47" t="str">
        <f t="shared" si="20"/>
        <v/>
      </c>
    </row>
    <row r="115" spans="16:61" x14ac:dyDescent="0.3">
      <c r="P115" s="5" t="str">
        <f>IF(AG115&lt;&gt;"",HLOOKUP(AG115,dataProduits!D$1:H$10,2,FALSE),"")</f>
        <v/>
      </c>
      <c r="Q115" s="5" t="str">
        <f>IF(AG115&lt;&gt;"",HLOOKUP(PROD!AG115,dataProduits!D$1:H$10,4,FALSE),"")</f>
        <v/>
      </c>
      <c r="R115" s="5" t="str">
        <f t="shared" si="12"/>
        <v/>
      </c>
      <c r="S115" s="5" t="str">
        <f t="shared" si="39"/>
        <v/>
      </c>
      <c r="T115" s="5" t="str">
        <f t="shared" si="39"/>
        <v/>
      </c>
      <c r="U115" s="5" t="str">
        <f t="shared" si="39"/>
        <v/>
      </c>
      <c r="V115" s="5" t="str">
        <f t="shared" si="39"/>
        <v/>
      </c>
      <c r="W115" s="5" t="str">
        <f t="shared" si="39"/>
        <v/>
      </c>
      <c r="X115" s="5" t="str">
        <f>IF(Y115&lt;&gt;"",SUM(Y$52:Y115),"")</f>
        <v/>
      </c>
      <c r="Y115" s="5" t="str">
        <f t="shared" si="29"/>
        <v/>
      </c>
      <c r="Z115" s="5" t="str">
        <f t="shared" si="30"/>
        <v/>
      </c>
      <c r="AB115" s="16" t="str">
        <f>IF(RIGHT(prodType,1)="g","gauche","")</f>
        <v/>
      </c>
      <c r="AC115" s="24" t="str">
        <f>IF(Z115&lt;&gt;"",SUM(Z$52:Z115),"")</f>
        <v/>
      </c>
      <c r="AD115" s="37"/>
      <c r="AE115" s="58"/>
      <c r="AF115" s="37"/>
      <c r="AG115" s="37"/>
      <c r="AH115" s="4">
        <f t="shared" si="21"/>
        <v>0</v>
      </c>
      <c r="AI115" s="4">
        <f t="shared" si="22"/>
        <v>0</v>
      </c>
      <c r="AU115" s="47" t="str">
        <f t="shared" si="24"/>
        <v/>
      </c>
      <c r="AV115" s="47" t="str">
        <f t="shared" si="25"/>
        <v/>
      </c>
      <c r="AW115" s="47" t="str">
        <f t="shared" si="26"/>
        <v/>
      </c>
      <c r="AX115" s="47" t="str">
        <f t="shared" si="31"/>
        <v/>
      </c>
      <c r="AY115" s="47" t="str">
        <f t="shared" si="27"/>
        <v/>
      </c>
      <c r="AZ115" s="47" t="str">
        <f t="shared" si="32"/>
        <v/>
      </c>
      <c r="BA115" s="47" t="str">
        <f t="shared" si="33"/>
        <v/>
      </c>
      <c r="BB115" s="47" t="str">
        <f t="shared" si="28"/>
        <v/>
      </c>
      <c r="BC115" s="47" t="str">
        <f t="shared" si="34"/>
        <v/>
      </c>
      <c r="BD115" s="47" t="str">
        <f t="shared" si="35"/>
        <v/>
      </c>
      <c r="BE115" s="47" t="str">
        <f t="shared" si="36"/>
        <v/>
      </c>
      <c r="BF115" s="47" t="str">
        <f t="shared" si="37"/>
        <v/>
      </c>
      <c r="BG115" s="56" t="str">
        <f t="shared" si="19"/>
        <v/>
      </c>
      <c r="BH115" s="51" t="str">
        <f t="shared" si="38"/>
        <v/>
      </c>
      <c r="BI115" s="47" t="str">
        <f t="shared" si="20"/>
        <v/>
      </c>
    </row>
    <row r="116" spans="16:61" x14ac:dyDescent="0.3">
      <c r="P116" s="5" t="str">
        <f>IF(AG116&lt;&gt;"",HLOOKUP(AG116,dataProduits!D$1:H$10,2,FALSE),"")</f>
        <v/>
      </c>
      <c r="Q116" s="5" t="str">
        <f>IF(AG116&lt;&gt;"",HLOOKUP(PROD!AG116,dataProduits!D$1:H$10,4,FALSE),"")</f>
        <v/>
      </c>
      <c r="R116" s="5" t="str">
        <f t="shared" si="12"/>
        <v/>
      </c>
      <c r="S116" s="5" t="str">
        <f t="shared" si="39"/>
        <v/>
      </c>
      <c r="T116" s="5" t="str">
        <f t="shared" si="39"/>
        <v/>
      </c>
      <c r="U116" s="5" t="str">
        <f t="shared" si="39"/>
        <v/>
      </c>
      <c r="V116" s="5" t="str">
        <f t="shared" si="39"/>
        <v/>
      </c>
      <c r="W116" s="5" t="str">
        <f t="shared" si="39"/>
        <v/>
      </c>
      <c r="X116" s="5" t="str">
        <f>IF(Y116&lt;&gt;"",SUM(Y$52:Y116),"")</f>
        <v/>
      </c>
      <c r="Y116" s="5" t="str">
        <f t="shared" ref="Y116:Y121" si="40">IF(AND(AF116&lt;&gt;"",AD116&lt;&gt;""),IF(OR(prodType="2x250g",AG116="2x250g"),0.5,1),"")</f>
        <v/>
      </c>
      <c r="Z116" s="5" t="str">
        <f t="shared" ref="Z116:Z121" si="41">IF(AND(AF116&lt;&gt;"",AD116=""),IF(AG116="500g",1,IF(OR(prodType="2x250g",AND(AG116="2x250g")),0.5,1)),"")</f>
        <v/>
      </c>
      <c r="AB116" s="16" t="str">
        <f>IF(RIGHT(prodType,1)="g","droite","")</f>
        <v/>
      </c>
      <c r="AC116" s="24" t="str">
        <f>IF(Z116&lt;&gt;"",SUM(Z$52:Z116),"")</f>
        <v/>
      </c>
      <c r="AD116" s="37"/>
      <c r="AE116" s="58"/>
      <c r="AF116" s="37"/>
      <c r="AG116" s="37"/>
      <c r="AH116" s="4">
        <f t="shared" si="21"/>
        <v>0</v>
      </c>
      <c r="AI116" s="4">
        <f t="shared" si="22"/>
        <v>0</v>
      </c>
      <c r="AU116" s="47" t="str">
        <f t="shared" si="24"/>
        <v/>
      </c>
      <c r="AV116" s="47" t="str">
        <f t="shared" si="25"/>
        <v/>
      </c>
      <c r="AW116" s="47" t="str">
        <f t="shared" si="26"/>
        <v/>
      </c>
      <c r="AX116" s="47" t="str">
        <f t="shared" ref="AX116:AX121" si="42">IF(AU116&lt;&gt;"",IF(AND(AG116=""),prodType,AG116),"")</f>
        <v/>
      </c>
      <c r="AY116" s="47" t="str">
        <f t="shared" si="27"/>
        <v/>
      </c>
      <c r="AZ116" s="47" t="str">
        <f t="shared" ref="AZ116:AZ121" si="43">IF(AU116&lt;&gt;"",posteMachine,"")</f>
        <v/>
      </c>
      <c r="BA116" s="47" t="str">
        <f t="shared" ref="BA116:BA121" si="44">IF(AU116&lt;&gt;"",posteOperateur,"")</f>
        <v/>
      </c>
      <c r="BB116" s="47" t="str">
        <f t="shared" si="28"/>
        <v/>
      </c>
      <c r="BC116" s="47" t="str">
        <f t="shared" ref="BC116:BC121" si="45">IFERROR(VLOOKUP(AV116,micCtl,2,FALSE),"")</f>
        <v/>
      </c>
      <c r="BD116" s="47" t="str">
        <f t="shared" ref="BD116:BD121" si="46">IFERROR(VLOOKUP(AV116,micCtl,3,FALSE),"")</f>
        <v/>
      </c>
      <c r="BE116" s="47" t="str">
        <f t="shared" ref="BE116:BE121" si="47">IFERROR(VLOOKUP(AV116,finalCtl,2,FALSE),"")</f>
        <v/>
      </c>
      <c r="BF116" s="47" t="str">
        <f t="shared" ref="BF116:BF121" si="48">IFERROR(VLOOKUP(AV116,finalCtl,3,FALSE),"")</f>
        <v/>
      </c>
      <c r="BG116" s="56" t="str">
        <f t="shared" si="19"/>
        <v/>
      </c>
      <c r="BH116" s="51" t="str">
        <f t="shared" ref="BH116:BH121" si="49">IF(AU116&lt;&gt;"",posteDate,"")</f>
        <v/>
      </c>
      <c r="BI116" s="47" t="str">
        <f t="shared" si="20"/>
        <v/>
      </c>
    </row>
    <row r="117" spans="16:61" x14ac:dyDescent="0.3">
      <c r="P117" s="5" t="str">
        <f>IF(AG117&lt;&gt;"",HLOOKUP(AG117,dataProduits!D$1:H$10,2,FALSE),"")</f>
        <v/>
      </c>
      <c r="Q117" s="5" t="str">
        <f>IF(AG117&lt;&gt;"",HLOOKUP(PROD!AG117,dataProduits!D$1:H$10,4,FALSE),"")</f>
        <v/>
      </c>
      <c r="R117" s="5" t="str">
        <f t="shared" ref="R117:R121" si="50">IF(AF117&lt;&gt;"",IF(AG117="",IF(AND(AH117&gt;=AP$53,AH117&lt;=AR$53),"ok","nok"),IF(AND(AH117&gt;=P117,AH117&lt;=Q117),"ok","nok")),"")</f>
        <v/>
      </c>
      <c r="S117" s="5" t="str">
        <f t="shared" si="39"/>
        <v/>
      </c>
      <c r="T117" s="5" t="str">
        <f t="shared" si="39"/>
        <v/>
      </c>
      <c r="U117" s="5" t="str">
        <f t="shared" si="39"/>
        <v/>
      </c>
      <c r="V117" s="5" t="str">
        <f t="shared" si="39"/>
        <v/>
      </c>
      <c r="W117" s="5" t="str">
        <f t="shared" si="39"/>
        <v/>
      </c>
      <c r="X117" s="5" t="str">
        <f>IF(Y117&lt;&gt;"",SUM(Y$52:Y117),"")</f>
        <v/>
      </c>
      <c r="Y117" s="5" t="str">
        <f t="shared" si="40"/>
        <v/>
      </c>
      <c r="Z117" s="5" t="str">
        <f t="shared" si="41"/>
        <v/>
      </c>
      <c r="AB117" s="16" t="str">
        <f>IF(RIGHT(prodType,1)="g","gauche","")</f>
        <v/>
      </c>
      <c r="AC117" s="24" t="str">
        <f>IF(Z117&lt;&gt;"",SUM(Z$52:Z117),"")</f>
        <v/>
      </c>
      <c r="AD117" s="37"/>
      <c r="AE117" s="58"/>
      <c r="AF117" s="37"/>
      <c r="AG117" s="37"/>
      <c r="AH117" s="4">
        <f t="shared" ref="AH117:AH121" si="51">IF(AF117&lt;&gt;"",IF(AD117="",IF(AE117="",AF117,AF117-AE117),0),0)</f>
        <v>0</v>
      </c>
      <c r="AI117" s="4">
        <f t="shared" ref="AI117:AI121" si="52">IF(AF117&lt;&gt;"",IF(AD117&lt;&gt;"",IF(AE117="",AF117,AF117-AE117),0),0)</f>
        <v>0</v>
      </c>
      <c r="AU117" s="47" t="str">
        <f t="shared" si="24"/>
        <v/>
      </c>
      <c r="AV117" s="47" t="str">
        <f t="shared" si="25"/>
        <v/>
      </c>
      <c r="AW117" s="47" t="str">
        <f t="shared" si="26"/>
        <v/>
      </c>
      <c r="AX117" s="47" t="str">
        <f t="shared" si="42"/>
        <v/>
      </c>
      <c r="AY117" s="47" t="str">
        <f t="shared" si="27"/>
        <v/>
      </c>
      <c r="AZ117" s="47" t="str">
        <f t="shared" si="43"/>
        <v/>
      </c>
      <c r="BA117" s="47" t="str">
        <f t="shared" si="44"/>
        <v/>
      </c>
      <c r="BB117" s="47" t="str">
        <f t="shared" si="28"/>
        <v/>
      </c>
      <c r="BC117" s="47" t="str">
        <f t="shared" si="45"/>
        <v/>
      </c>
      <c r="BD117" s="47" t="str">
        <f t="shared" si="46"/>
        <v/>
      </c>
      <c r="BE117" s="47" t="str">
        <f t="shared" si="47"/>
        <v/>
      </c>
      <c r="BF117" s="47" t="str">
        <f t="shared" si="48"/>
        <v/>
      </c>
      <c r="BG117" s="56" t="str">
        <f t="shared" ref="BG117:BG121" si="53">IF(AU117&lt;&gt;"",IF(AG117="",AG$48,AI$48),"")</f>
        <v/>
      </c>
      <c r="BH117" s="51" t="str">
        <f t="shared" si="49"/>
        <v/>
      </c>
      <c r="BI117" s="47" t="str">
        <f t="shared" ref="BI117:BI121" si="54">IF(BH117&lt;&gt;"",AU$45,"")</f>
        <v/>
      </c>
    </row>
    <row r="118" spans="16:61" x14ac:dyDescent="0.3">
      <c r="P118" s="5" t="str">
        <f>IF(AG118&lt;&gt;"",HLOOKUP(AG118,dataProduits!D$1:H$10,2,FALSE),"")</f>
        <v/>
      </c>
      <c r="Q118" s="5" t="str">
        <f>IF(AG118&lt;&gt;"",HLOOKUP(PROD!AG118,dataProduits!D$1:H$10,4,FALSE),"")</f>
        <v/>
      </c>
      <c r="R118" s="5" t="str">
        <f t="shared" si="50"/>
        <v/>
      </c>
      <c r="S118" s="5" t="str">
        <f t="shared" si="39"/>
        <v/>
      </c>
      <c r="T118" s="5" t="str">
        <f t="shared" si="39"/>
        <v/>
      </c>
      <c r="U118" s="5" t="str">
        <f t="shared" si="39"/>
        <v/>
      </c>
      <c r="V118" s="5" t="str">
        <f t="shared" si="39"/>
        <v/>
      </c>
      <c r="W118" s="5" t="str">
        <f t="shared" si="39"/>
        <v/>
      </c>
      <c r="X118" s="5" t="str">
        <f>IF(Y118&lt;&gt;"",SUM(Y$52:Y118),"")</f>
        <v/>
      </c>
      <c r="Y118" s="5" t="str">
        <f t="shared" si="40"/>
        <v/>
      </c>
      <c r="Z118" s="5" t="str">
        <f t="shared" si="41"/>
        <v/>
      </c>
      <c r="AB118" s="16" t="str">
        <f>IF(RIGHT(prodType,1)="g","droite","")</f>
        <v/>
      </c>
      <c r="AC118" s="24" t="str">
        <f>IF(Z118&lt;&gt;"",SUM(Z$52:Z118),"")</f>
        <v/>
      </c>
      <c r="AD118" s="37"/>
      <c r="AE118" s="58"/>
      <c r="AF118" s="37"/>
      <c r="AG118" s="37"/>
      <c r="AH118" s="4">
        <f t="shared" si="51"/>
        <v>0</v>
      </c>
      <c r="AI118" s="4">
        <f t="shared" si="52"/>
        <v>0</v>
      </c>
      <c r="AU118" s="47" t="str">
        <f t="shared" si="24"/>
        <v/>
      </c>
      <c r="AV118" s="47" t="str">
        <f t="shared" si="25"/>
        <v/>
      </c>
      <c r="AW118" s="47" t="str">
        <f t="shared" si="26"/>
        <v/>
      </c>
      <c r="AX118" s="47" t="str">
        <f t="shared" si="42"/>
        <v/>
      </c>
      <c r="AY118" s="47" t="str">
        <f t="shared" si="27"/>
        <v/>
      </c>
      <c r="AZ118" s="47" t="str">
        <f t="shared" si="43"/>
        <v/>
      </c>
      <c r="BA118" s="47" t="str">
        <f t="shared" si="44"/>
        <v/>
      </c>
      <c r="BB118" s="47" t="str">
        <f t="shared" si="28"/>
        <v/>
      </c>
      <c r="BC118" s="47" t="str">
        <f t="shared" si="45"/>
        <v/>
      </c>
      <c r="BD118" s="47" t="str">
        <f t="shared" si="46"/>
        <v/>
      </c>
      <c r="BE118" s="47" t="str">
        <f t="shared" si="47"/>
        <v/>
      </c>
      <c r="BF118" s="47" t="str">
        <f t="shared" si="48"/>
        <v/>
      </c>
      <c r="BG118" s="56" t="str">
        <f t="shared" si="53"/>
        <v/>
      </c>
      <c r="BH118" s="51" t="str">
        <f t="shared" si="49"/>
        <v/>
      </c>
      <c r="BI118" s="47" t="str">
        <f t="shared" si="54"/>
        <v/>
      </c>
    </row>
    <row r="119" spans="16:61" x14ac:dyDescent="0.3">
      <c r="P119" s="5" t="str">
        <f>IF(AG119&lt;&gt;"",HLOOKUP(AG119,dataProduits!D$1:H$10,2,FALSE),"")</f>
        <v/>
      </c>
      <c r="Q119" s="5" t="str">
        <f>IF(AG119&lt;&gt;"",HLOOKUP(PROD!AG119,dataProduits!D$1:H$10,4,FALSE),"")</f>
        <v/>
      </c>
      <c r="R119" s="5" t="str">
        <f t="shared" si="50"/>
        <v/>
      </c>
      <c r="S119" s="5" t="str">
        <f t="shared" si="39"/>
        <v/>
      </c>
      <c r="T119" s="5" t="str">
        <f t="shared" si="39"/>
        <v/>
      </c>
      <c r="U119" s="5" t="str">
        <f t="shared" si="39"/>
        <v/>
      </c>
      <c r="V119" s="5" t="str">
        <f t="shared" si="39"/>
        <v/>
      </c>
      <c r="W119" s="5" t="str">
        <f t="shared" si="39"/>
        <v/>
      </c>
      <c r="X119" s="5" t="str">
        <f>IF(Y119&lt;&gt;"",SUM(Y$52:Y119),"")</f>
        <v/>
      </c>
      <c r="Y119" s="5" t="str">
        <f t="shared" si="40"/>
        <v/>
      </c>
      <c r="Z119" s="5" t="str">
        <f t="shared" si="41"/>
        <v/>
      </c>
      <c r="AB119" s="16" t="str">
        <f>IF(RIGHT(prodType,1)="g","gauche","")</f>
        <v/>
      </c>
      <c r="AC119" s="24" t="str">
        <f>IF(Z119&lt;&gt;"",SUM(Z$52:Z119),"")</f>
        <v/>
      </c>
      <c r="AD119" s="37"/>
      <c r="AE119" s="58"/>
      <c r="AF119" s="37"/>
      <c r="AG119" s="37"/>
      <c r="AH119" s="4">
        <f t="shared" si="51"/>
        <v>0</v>
      </c>
      <c r="AI119" s="4">
        <f t="shared" si="52"/>
        <v>0</v>
      </c>
      <c r="AU119" s="47" t="str">
        <f t="shared" si="24"/>
        <v/>
      </c>
      <c r="AV119" s="47" t="str">
        <f t="shared" si="25"/>
        <v/>
      </c>
      <c r="AW119" s="47" t="str">
        <f t="shared" si="26"/>
        <v/>
      </c>
      <c r="AX119" s="47" t="str">
        <f t="shared" si="42"/>
        <v/>
      </c>
      <c r="AY119" s="47" t="str">
        <f t="shared" si="27"/>
        <v/>
      </c>
      <c r="AZ119" s="47" t="str">
        <f t="shared" si="43"/>
        <v/>
      </c>
      <c r="BA119" s="47" t="str">
        <f t="shared" si="44"/>
        <v/>
      </c>
      <c r="BB119" s="47" t="str">
        <f t="shared" si="28"/>
        <v/>
      </c>
      <c r="BC119" s="47" t="str">
        <f t="shared" si="45"/>
        <v/>
      </c>
      <c r="BD119" s="47" t="str">
        <f t="shared" si="46"/>
        <v/>
      </c>
      <c r="BE119" s="47" t="str">
        <f t="shared" si="47"/>
        <v/>
      </c>
      <c r="BF119" s="47" t="str">
        <f t="shared" si="48"/>
        <v/>
      </c>
      <c r="BG119" s="56" t="str">
        <f t="shared" si="53"/>
        <v/>
      </c>
      <c r="BH119" s="51" t="str">
        <f t="shared" si="49"/>
        <v/>
      </c>
      <c r="BI119" s="47" t="str">
        <f t="shared" si="54"/>
        <v/>
      </c>
    </row>
    <row r="120" spans="16:61" x14ac:dyDescent="0.3">
      <c r="P120" s="5" t="str">
        <f>IF(AG120&lt;&gt;"",HLOOKUP(AG120,dataProduits!D$1:H$10,2,FALSE),"")</f>
        <v/>
      </c>
      <c r="Q120" s="5" t="str">
        <f>IF(AG120&lt;&gt;"",HLOOKUP(PROD!AG120,dataProduits!D$1:H$10,4,FALSE),"")</f>
        <v/>
      </c>
      <c r="R120" s="5" t="str">
        <f t="shared" si="50"/>
        <v/>
      </c>
      <c r="S120" s="5" t="str">
        <f t="shared" si="39"/>
        <v/>
      </c>
      <c r="T120" s="5" t="str">
        <f t="shared" si="39"/>
        <v/>
      </c>
      <c r="U120" s="5" t="str">
        <f t="shared" si="39"/>
        <v/>
      </c>
      <c r="V120" s="5" t="str">
        <f t="shared" si="39"/>
        <v/>
      </c>
      <c r="W120" s="5" t="str">
        <f t="shared" si="39"/>
        <v/>
      </c>
      <c r="X120" s="5" t="str">
        <f>IF(Y120&lt;&gt;"",SUM(Y$52:Y120),"")</f>
        <v/>
      </c>
      <c r="Y120" s="5" t="str">
        <f t="shared" si="40"/>
        <v/>
      </c>
      <c r="Z120" s="5" t="str">
        <f t="shared" si="41"/>
        <v/>
      </c>
      <c r="AB120" s="16" t="str">
        <f>IF(RIGHT(prodType,1)="g","droite","")</f>
        <v/>
      </c>
      <c r="AC120" s="24" t="str">
        <f>IF(Z120&lt;&gt;"",SUM(Z$52:Z120),"")</f>
        <v/>
      </c>
      <c r="AD120" s="37"/>
      <c r="AE120" s="58"/>
      <c r="AF120" s="37"/>
      <c r="AG120" s="37"/>
      <c r="AH120" s="4">
        <f t="shared" si="51"/>
        <v>0</v>
      </c>
      <c r="AI120" s="4">
        <f t="shared" si="52"/>
        <v>0</v>
      </c>
      <c r="AU120" s="47" t="str">
        <f t="shared" si="24"/>
        <v/>
      </c>
      <c r="AV120" s="47" t="str">
        <f t="shared" si="25"/>
        <v/>
      </c>
      <c r="AW120" s="47" t="str">
        <f t="shared" si="26"/>
        <v/>
      </c>
      <c r="AX120" s="47" t="str">
        <f t="shared" si="42"/>
        <v/>
      </c>
      <c r="AY120" s="47" t="str">
        <f t="shared" si="27"/>
        <v/>
      </c>
      <c r="AZ120" s="47" t="str">
        <f t="shared" si="43"/>
        <v/>
      </c>
      <c r="BA120" s="47" t="str">
        <f t="shared" si="44"/>
        <v/>
      </c>
      <c r="BB120" s="47" t="str">
        <f t="shared" si="28"/>
        <v/>
      </c>
      <c r="BC120" s="47" t="str">
        <f t="shared" si="45"/>
        <v/>
      </c>
      <c r="BD120" s="47" t="str">
        <f t="shared" si="46"/>
        <v/>
      </c>
      <c r="BE120" s="47" t="str">
        <f t="shared" si="47"/>
        <v/>
      </c>
      <c r="BF120" s="47" t="str">
        <f t="shared" si="48"/>
        <v/>
      </c>
      <c r="BG120" s="56" t="str">
        <f t="shared" si="53"/>
        <v/>
      </c>
      <c r="BH120" s="51" t="str">
        <f t="shared" si="49"/>
        <v/>
      </c>
      <c r="BI120" s="47" t="str">
        <f t="shared" si="54"/>
        <v/>
      </c>
    </row>
    <row r="121" spans="16:61" x14ac:dyDescent="0.3">
      <c r="P121" s="5" t="str">
        <f>IF(AG121&lt;&gt;"",HLOOKUP(AG121,dataProduits!D$1:H$10,2,FALSE),"")</f>
        <v/>
      </c>
      <c r="Q121" s="5" t="str">
        <f>IF(AG121&lt;&gt;"",HLOOKUP(PROD!AG121,dataProduits!D$1:H$10,4,FALSE),"")</f>
        <v/>
      </c>
      <c r="R121" s="5" t="str">
        <f t="shared" si="50"/>
        <v/>
      </c>
      <c r="S121" s="5" t="str">
        <f t="shared" si="39"/>
        <v/>
      </c>
      <c r="T121" s="5" t="str">
        <f t="shared" si="39"/>
        <v/>
      </c>
      <c r="U121" s="5" t="str">
        <f t="shared" si="39"/>
        <v/>
      </c>
      <c r="V121" s="5" t="str">
        <f t="shared" si="39"/>
        <v/>
      </c>
      <c r="W121" s="5" t="str">
        <f t="shared" si="39"/>
        <v/>
      </c>
      <c r="X121" s="5" t="str">
        <f>IF(Y121&lt;&gt;"",SUM(Y$52:Y121),"")</f>
        <v/>
      </c>
      <c r="Y121" s="5" t="str">
        <f t="shared" si="40"/>
        <v/>
      </c>
      <c r="Z121" s="5" t="str">
        <f t="shared" si="41"/>
        <v/>
      </c>
      <c r="AB121" s="16" t="str">
        <f>IF(RIGHT(prodType,1)="g","gauche","")</f>
        <v/>
      </c>
      <c r="AC121" s="24" t="str">
        <f>IF(Z121&lt;&gt;"",SUM(Z$52:Z121),"")</f>
        <v/>
      </c>
      <c r="AD121" s="37"/>
      <c r="AE121" s="58"/>
      <c r="AF121" s="37"/>
      <c r="AG121" s="37"/>
      <c r="AH121" s="4">
        <f t="shared" si="51"/>
        <v>0</v>
      </c>
      <c r="AI121" s="4">
        <f t="shared" si="52"/>
        <v>0</v>
      </c>
      <c r="AU121" s="47" t="str">
        <f t="shared" si="24"/>
        <v/>
      </c>
      <c r="AV121" s="47" t="str">
        <f t="shared" si="25"/>
        <v/>
      </c>
      <c r="AW121" s="47" t="str">
        <f t="shared" si="26"/>
        <v/>
      </c>
      <c r="AX121" s="47" t="str">
        <f t="shared" si="42"/>
        <v/>
      </c>
      <c r="AY121" s="47" t="str">
        <f t="shared" si="27"/>
        <v/>
      </c>
      <c r="AZ121" s="47" t="str">
        <f t="shared" si="43"/>
        <v/>
      </c>
      <c r="BA121" s="47" t="str">
        <f t="shared" si="44"/>
        <v/>
      </c>
      <c r="BB121" s="47" t="str">
        <f t="shared" si="28"/>
        <v/>
      </c>
      <c r="BC121" s="47" t="str">
        <f t="shared" si="45"/>
        <v/>
      </c>
      <c r="BD121" s="47" t="str">
        <f t="shared" si="46"/>
        <v/>
      </c>
      <c r="BE121" s="47" t="str">
        <f t="shared" si="47"/>
        <v/>
      </c>
      <c r="BF121" s="47" t="str">
        <f t="shared" si="48"/>
        <v/>
      </c>
      <c r="BG121" s="56" t="str">
        <f t="shared" si="53"/>
        <v/>
      </c>
      <c r="BH121" s="51" t="str">
        <f t="shared" si="49"/>
        <v/>
      </c>
      <c r="BI121" s="47" t="str">
        <f t="shared" si="54"/>
        <v/>
      </c>
    </row>
    <row r="122" spans="16:61" x14ac:dyDescent="0.3">
      <c r="AE122" s="57"/>
      <c r="BG122" s="56"/>
    </row>
  </sheetData>
  <sheetProtection sheet="1" objects="1" scenarios="1" selectLockedCells="1"/>
  <mergeCells count="21">
    <mergeCell ref="AK66:AM66"/>
    <mergeCell ref="AO57:AQ57"/>
    <mergeCell ref="AO74:AQ79"/>
    <mergeCell ref="AC32:AQ37"/>
    <mergeCell ref="AG38:AL41"/>
    <mergeCell ref="AP41:AQ41"/>
    <mergeCell ref="AP40:AQ40"/>
    <mergeCell ref="AC38:AE38"/>
    <mergeCell ref="AC40:AE40"/>
    <mergeCell ref="AK44:AR44"/>
    <mergeCell ref="AK45:AR48"/>
    <mergeCell ref="AO50:AR50"/>
    <mergeCell ref="AB50:AG50"/>
    <mergeCell ref="AH50:AI50"/>
    <mergeCell ref="AB44:AI44"/>
    <mergeCell ref="AK50:AM50"/>
    <mergeCell ref="AH42:AJ42"/>
    <mergeCell ref="AR57:AR58"/>
    <mergeCell ref="AK51:AL55"/>
    <mergeCell ref="AM52:AM55"/>
    <mergeCell ref="AK57:AM57"/>
  </mergeCells>
  <conditionalFormatting sqref="AK51:AL55">
    <cfRule type="cellIs" dxfId="10" priority="22" operator="between">
      <formula>80</formula>
      <formula>100</formula>
    </cfRule>
  </conditionalFormatting>
  <conditionalFormatting sqref="AO52:AR55">
    <cfRule type="containsBlanks" dxfId="9" priority="21">
      <formula>LEN(TRIM(AO52))=0</formula>
    </cfRule>
  </conditionalFormatting>
  <conditionalFormatting sqref="AQ60:AQ64">
    <cfRule type="expression" dxfId="8" priority="18">
      <formula>$AQ60&gt;0</formula>
    </cfRule>
  </conditionalFormatting>
  <conditionalFormatting sqref="AP60:AP64">
    <cfRule type="expression" dxfId="7" priority="17">
      <formula>$AQ60&gt;0</formula>
    </cfRule>
  </conditionalFormatting>
  <conditionalFormatting sqref="AL59:AM64">
    <cfRule type="containsBlanks" dxfId="6" priority="13">
      <formula>LEN(TRIM(AL59))=0</formula>
    </cfRule>
    <cfRule type="cellIs" dxfId="5" priority="14" operator="notBetween">
      <formula>$AP$52</formula>
      <formula>$AR$52</formula>
    </cfRule>
    <cfRule type="cellIs" dxfId="4" priority="16" operator="between">
      <formula>$AP$52</formula>
      <formula>$AR$52</formula>
    </cfRule>
  </conditionalFormatting>
  <conditionalFormatting sqref="AB52:AI121">
    <cfRule type="expression" dxfId="3" priority="5">
      <formula>$AB52="gauche"</formula>
    </cfRule>
  </conditionalFormatting>
  <conditionalFormatting sqref="AH52:AH121">
    <cfRule type="expression" dxfId="2" priority="4">
      <formula>$R52="nok"</formula>
    </cfRule>
  </conditionalFormatting>
  <conditionalFormatting sqref="AL68:AL73">
    <cfRule type="containsBlanks" priority="2" stopIfTrue="1">
      <formula>LEN(TRIM(AL68))=0</formula>
    </cfRule>
    <cfRule type="cellIs" dxfId="1" priority="3" operator="notBetween">
      <formula>$AP$54</formula>
      <formula>$AR$54</formula>
    </cfRule>
    <cfRule type="cellIs" dxfId="0" priority="1" operator="between">
      <formula>$AP$54</formula>
      <formula>$AR$54</formula>
    </cfRule>
  </conditionalFormatting>
  <dataValidations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4.4" x14ac:dyDescent="0.3"/>
  <cols>
    <col min="1" max="1" width="13.88671875" bestFit="1" customWidth="1"/>
    <col min="3" max="3" width="1.6640625" customWidth="1"/>
    <col min="7" max="7" width="1.44140625" customWidth="1"/>
  </cols>
  <sheetData>
    <row r="1" spans="1:6" x14ac:dyDescent="0.3">
      <c r="A1" t="s">
        <v>39</v>
      </c>
      <c r="B1" t="s">
        <v>47</v>
      </c>
      <c r="D1" t="s">
        <v>52</v>
      </c>
      <c r="E1" s="1" t="s">
        <v>53</v>
      </c>
      <c r="F1" t="s">
        <v>52</v>
      </c>
    </row>
    <row r="2" spans="1:6" x14ac:dyDescent="0.3">
      <c r="A2" t="s">
        <v>40</v>
      </c>
      <c r="B2" t="s">
        <v>48</v>
      </c>
      <c r="D2">
        <v>30</v>
      </c>
      <c r="E2" s="1">
        <f>D2/60/24</f>
        <v>2.0833333333333332E-2</v>
      </c>
      <c r="F2">
        <f>D2</f>
        <v>30</v>
      </c>
    </row>
    <row r="3" spans="1:6" x14ac:dyDescent="0.3">
      <c r="A3" t="s">
        <v>41</v>
      </c>
      <c r="B3" t="s">
        <v>49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3">
      <c r="A4" t="s">
        <v>42</v>
      </c>
      <c r="B4" t="s">
        <v>50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3">
      <c r="A5" t="s">
        <v>43</v>
      </c>
      <c r="B5" t="s">
        <v>51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3">
      <c r="A6" t="s">
        <v>44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3">
      <c r="A7" t="s">
        <v>45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3">
      <c r="A8" t="s">
        <v>46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3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3">
      <c r="D10">
        <v>270</v>
      </c>
      <c r="E10" s="1">
        <f t="shared" si="0"/>
        <v>0.1875</v>
      </c>
      <c r="F10">
        <f t="shared" si="1"/>
        <v>270</v>
      </c>
    </row>
    <row r="11" spans="1:6" x14ac:dyDescent="0.3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3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3">
      <c r="D13">
        <v>360</v>
      </c>
      <c r="E13" s="1">
        <f t="shared" si="0"/>
        <v>0.25</v>
      </c>
      <c r="F13">
        <f t="shared" si="1"/>
        <v>360</v>
      </c>
    </row>
    <row r="14" spans="1:6" x14ac:dyDescent="0.3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3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3">
      <c r="D16">
        <v>450</v>
      </c>
      <c r="E16" s="1">
        <f t="shared" si="0"/>
        <v>0.3125</v>
      </c>
      <c r="F16">
        <f t="shared" si="1"/>
        <v>450</v>
      </c>
    </row>
    <row r="17" spans="4:6" x14ac:dyDescent="0.3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3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3">
      <c r="D19">
        <v>540</v>
      </c>
      <c r="E19" s="1">
        <f t="shared" si="0"/>
        <v>0.375</v>
      </c>
      <c r="F19">
        <f t="shared" si="1"/>
        <v>540</v>
      </c>
    </row>
    <row r="20" spans="4:6" x14ac:dyDescent="0.3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3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5" sqref="H15"/>
    </sheetView>
  </sheetViews>
  <sheetFormatPr baseColWidth="10" defaultRowHeight="14.4" x14ac:dyDescent="0.3"/>
  <sheetData>
    <row r="1" spans="1:8" x14ac:dyDescent="0.3">
      <c r="A1" t="s">
        <v>55</v>
      </c>
      <c r="C1" s="2"/>
      <c r="D1" t="s">
        <v>29</v>
      </c>
      <c r="E1" t="s">
        <v>60</v>
      </c>
      <c r="F1" t="s">
        <v>61</v>
      </c>
      <c r="G1" t="s">
        <v>62</v>
      </c>
      <c r="H1" t="s">
        <v>63</v>
      </c>
    </row>
    <row r="2" spans="1:8" x14ac:dyDescent="0.3">
      <c r="A2" t="s">
        <v>56</v>
      </c>
      <c r="C2" s="2" t="s">
        <v>64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3">
      <c r="A3" t="s">
        <v>57</v>
      </c>
      <c r="C3" s="2" t="s">
        <v>65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3">
      <c r="A4" t="s">
        <v>22</v>
      </c>
      <c r="C4" s="2" t="s">
        <v>66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3">
      <c r="A5" t="s">
        <v>58</v>
      </c>
    </row>
    <row r="6" spans="1:8" x14ac:dyDescent="0.3">
      <c r="A6" t="s">
        <v>59</v>
      </c>
      <c r="C6" s="2" t="s">
        <v>67</v>
      </c>
      <c r="G6">
        <v>3.6</v>
      </c>
      <c r="H6">
        <v>3.6</v>
      </c>
    </row>
    <row r="7" spans="1:8" x14ac:dyDescent="0.3">
      <c r="C7" s="2" t="s">
        <v>68</v>
      </c>
    </row>
    <row r="9" spans="1:8" x14ac:dyDescent="0.3">
      <c r="C9" s="2" t="s">
        <v>69</v>
      </c>
      <c r="G9">
        <v>252</v>
      </c>
      <c r="H9">
        <v>220</v>
      </c>
    </row>
    <row r="10" spans="1:8" x14ac:dyDescent="0.3">
      <c r="C10" s="2" t="s">
        <v>70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18" sqref="M18"/>
    </sheetView>
  </sheetViews>
  <sheetFormatPr baseColWidth="10" defaultRowHeight="14.4" x14ac:dyDescent="0.3"/>
  <sheetData>
    <row r="1" spans="1:13" x14ac:dyDescent="0.3">
      <c r="A1" t="s">
        <v>29</v>
      </c>
      <c r="C1" t="s">
        <v>60</v>
      </c>
      <c r="D1" t="s">
        <v>61</v>
      </c>
      <c r="E1" t="s">
        <v>62</v>
      </c>
      <c r="F1" t="s">
        <v>63</v>
      </c>
      <c r="K1" t="s">
        <v>92</v>
      </c>
    </row>
    <row r="2" spans="1:13" x14ac:dyDescent="0.3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3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3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14" si="3">H4*K$2</f>
        <v>144</v>
      </c>
      <c r="L4">
        <f t="shared" ref="L4:L14" si="4">L$2*H4</f>
        <v>3000</v>
      </c>
      <c r="M4">
        <v>6</v>
      </c>
    </row>
    <row r="5" spans="1:13" x14ac:dyDescent="0.3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3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3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3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3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3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3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3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3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3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3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3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3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3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3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3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3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3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3">
      <c r="E23">
        <f t="shared" si="6"/>
        <v>352</v>
      </c>
      <c r="F23">
        <f t="shared" si="7"/>
        <v>286</v>
      </c>
      <c r="H23">
        <v>22</v>
      </c>
    </row>
    <row r="24" spans="1:8" x14ac:dyDescent="0.3">
      <c r="E24">
        <f t="shared" si="6"/>
        <v>368</v>
      </c>
      <c r="F24">
        <f t="shared" si="7"/>
        <v>299</v>
      </c>
      <c r="H24">
        <v>23</v>
      </c>
    </row>
    <row r="25" spans="1:8" x14ac:dyDescent="0.3">
      <c r="E25">
        <f t="shared" si="6"/>
        <v>384</v>
      </c>
      <c r="F25">
        <f t="shared" si="7"/>
        <v>312</v>
      </c>
      <c r="H25">
        <v>24</v>
      </c>
    </row>
    <row r="26" spans="1:8" x14ac:dyDescent="0.3">
      <c r="E26">
        <f t="shared" si="6"/>
        <v>400</v>
      </c>
      <c r="F26">
        <f t="shared" si="7"/>
        <v>325</v>
      </c>
      <c r="H26">
        <v>25</v>
      </c>
    </row>
    <row r="27" spans="1:8" x14ac:dyDescent="0.3">
      <c r="E27">
        <f t="shared" si="6"/>
        <v>416</v>
      </c>
      <c r="F27">
        <f t="shared" si="7"/>
        <v>338</v>
      </c>
      <c r="H27">
        <v>26</v>
      </c>
    </row>
    <row r="28" spans="1:8" x14ac:dyDescent="0.3">
      <c r="E28">
        <f t="shared" si="6"/>
        <v>432</v>
      </c>
      <c r="F28">
        <f t="shared" si="7"/>
        <v>351</v>
      </c>
      <c r="H28">
        <v>27</v>
      </c>
    </row>
    <row r="29" spans="1:8" x14ac:dyDescent="0.3">
      <c r="E29">
        <f t="shared" si="6"/>
        <v>448</v>
      </c>
      <c r="F29">
        <f t="shared" si="7"/>
        <v>364</v>
      </c>
      <c r="H29">
        <v>28</v>
      </c>
    </row>
    <row r="30" spans="1:8" x14ac:dyDescent="0.3">
      <c r="E30">
        <f t="shared" si="6"/>
        <v>464</v>
      </c>
      <c r="F30">
        <f t="shared" si="7"/>
        <v>377</v>
      </c>
      <c r="H30">
        <v>29</v>
      </c>
    </row>
    <row r="31" spans="1:8" x14ac:dyDescent="0.3">
      <c r="E31">
        <f t="shared" si="6"/>
        <v>480</v>
      </c>
      <c r="F31">
        <f t="shared" si="7"/>
        <v>390</v>
      </c>
      <c r="H31">
        <v>30</v>
      </c>
    </row>
    <row r="32" spans="1:8" x14ac:dyDescent="0.3">
      <c r="E32">
        <f t="shared" si="6"/>
        <v>496</v>
      </c>
      <c r="F32">
        <f t="shared" si="7"/>
        <v>403</v>
      </c>
      <c r="H32">
        <v>31</v>
      </c>
    </row>
    <row r="33" spans="5:8" x14ac:dyDescent="0.3">
      <c r="E33">
        <f t="shared" si="6"/>
        <v>512</v>
      </c>
      <c r="F33">
        <f t="shared" si="7"/>
        <v>416</v>
      </c>
      <c r="H33">
        <v>32</v>
      </c>
    </row>
    <row r="34" spans="5:8" x14ac:dyDescent="0.3">
      <c r="E34">
        <f t="shared" si="6"/>
        <v>528</v>
      </c>
      <c r="F34">
        <f t="shared" si="7"/>
        <v>429</v>
      </c>
      <c r="H34">
        <v>33</v>
      </c>
    </row>
    <row r="35" spans="5:8" x14ac:dyDescent="0.3">
      <c r="E35">
        <f t="shared" si="6"/>
        <v>544</v>
      </c>
      <c r="F35">
        <f t="shared" si="7"/>
        <v>442</v>
      </c>
      <c r="H35">
        <v>34</v>
      </c>
    </row>
    <row r="36" spans="5:8" x14ac:dyDescent="0.3">
      <c r="E36">
        <f t="shared" si="6"/>
        <v>560</v>
      </c>
      <c r="F36">
        <f t="shared" si="7"/>
        <v>455</v>
      </c>
      <c r="H36">
        <v>35</v>
      </c>
    </row>
    <row r="37" spans="5:8" x14ac:dyDescent="0.3">
      <c r="E37">
        <f t="shared" si="6"/>
        <v>576</v>
      </c>
      <c r="F37">
        <f t="shared" si="7"/>
        <v>468</v>
      </c>
      <c r="H37">
        <v>36</v>
      </c>
    </row>
    <row r="38" spans="5:8" x14ac:dyDescent="0.3">
      <c r="E38">
        <f t="shared" si="6"/>
        <v>592</v>
      </c>
      <c r="F38">
        <f t="shared" si="7"/>
        <v>481</v>
      </c>
      <c r="H38">
        <v>37</v>
      </c>
    </row>
    <row r="39" spans="5:8" x14ac:dyDescent="0.3">
      <c r="E39">
        <f t="shared" si="6"/>
        <v>608</v>
      </c>
      <c r="F39">
        <f t="shared" si="7"/>
        <v>494</v>
      </c>
      <c r="H39">
        <v>38</v>
      </c>
    </row>
    <row r="40" spans="5:8" x14ac:dyDescent="0.3">
      <c r="E40">
        <f t="shared" si="6"/>
        <v>624</v>
      </c>
      <c r="F40">
        <f t="shared" si="7"/>
        <v>507</v>
      </c>
      <c r="H40">
        <v>39</v>
      </c>
    </row>
    <row r="41" spans="5:8" x14ac:dyDescent="0.3">
      <c r="E41">
        <f t="shared" si="6"/>
        <v>640</v>
      </c>
      <c r="F41">
        <f t="shared" si="7"/>
        <v>520</v>
      </c>
      <c r="H41">
        <v>40</v>
      </c>
    </row>
    <row r="42" spans="5:8" x14ac:dyDescent="0.3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19</vt:i4>
      </vt:variant>
    </vt:vector>
  </HeadingPairs>
  <TitlesOfParts>
    <vt:vector size="23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itemsExportZone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2023-04-18T03:28:20Z</dcterms:modified>
</cp:coreProperties>
</file>