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D62BC285-3721-4202-AD04-814F7DEB3477}" xr6:coauthVersionLast="47" xr6:coauthVersionMax="47" xr10:uidLastSave="{00000000-0000-0000-0000-000000000000}"/>
  <bookViews>
    <workbookView xWindow="-120" yWindow="-120" windowWidth="29040" windowHeight="15720" xr2:uid="{5E7CB066-9946-43B1-92B7-A0D1A88B5513}"/>
  </bookViews>
  <sheets>
    <sheet name="PROD" sheetId="1" r:id="rId1"/>
    <sheet name="data" sheetId="3" state="hidden" r:id="rId2"/>
    <sheet name="dataProduits" sheetId="4" state="hidden" r:id="rId3"/>
    <sheet name="matriceTRS" sheetId="5" state="hidden" r:id="rId4"/>
  </sheets>
  <definedNames>
    <definedName name="Date">PROD!$AD$39</definedName>
    <definedName name="defautsListe">dataProduits!$A$2:$A$100</definedName>
    <definedName name="durationsListe">data!$E$2:$E$100</definedName>
    <definedName name="finalCtl">PROD!$AK$68:$AM$73</definedName>
    <definedName name="micCtl">PROD!$AK$59:$AM$64</definedName>
    <definedName name="operateursListe">data!$A$2:$A$100</definedName>
    <definedName name="posteCmt">PROD!$AK$45:$AR$48</definedName>
    <definedName name="posteDate">PROD!$AD$45</definedName>
    <definedName name="posteDuration">PROD!$AD$48</definedName>
    <definedName name="posteMachine">PROD!$AG$46</definedName>
    <definedName name="posteOF">PROD!$AG$48:$AG$49</definedName>
    <definedName name="posteOperateur">PROD!$AD$47</definedName>
    <definedName name="postePeriode">PROD!$AD$46</definedName>
    <definedName name="postesListe">data!$B$2:$B$100</definedName>
    <definedName name="prodType">PROD!$AG$45</definedName>
    <definedName name="produitsListe">dataProduits!$C$1:$H$1</definedName>
    <definedName name="prodZone">PROD!$AB$52:$AI$122</definedName>
    <definedName name="TO">PROD!$AD$42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3" i="1" l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52" i="1"/>
  <c r="L4" i="5"/>
  <c r="L5" i="5"/>
  <c r="L6" i="5"/>
  <c r="L7" i="5"/>
  <c r="L8" i="5"/>
  <c r="L9" i="5"/>
  <c r="L10" i="5"/>
  <c r="L11" i="5"/>
  <c r="L12" i="5"/>
  <c r="L13" i="5"/>
  <c r="L14" i="5"/>
  <c r="L3" i="5"/>
  <c r="K4" i="5"/>
  <c r="K5" i="5"/>
  <c r="K6" i="5"/>
  <c r="K7" i="5"/>
  <c r="K8" i="5"/>
  <c r="K9" i="5"/>
  <c r="K10" i="5"/>
  <c r="K11" i="5"/>
  <c r="K12" i="5"/>
  <c r="K13" i="5"/>
  <c r="K14" i="5"/>
  <c r="K3" i="5"/>
  <c r="AM74" i="1"/>
  <c r="BR45" i="1" s="1"/>
  <c r="AL74" i="1"/>
  <c r="BQ45" i="1" s="1"/>
  <c r="AM65" i="1"/>
  <c r="BP45" i="1" s="1"/>
  <c r="AL65" i="1"/>
  <c r="BO45" i="1" s="1"/>
  <c r="AX45" i="1"/>
  <c r="Y53" i="1"/>
  <c r="Y54" i="1"/>
  <c r="Y55" i="1"/>
  <c r="Y56" i="1"/>
  <c r="Y57" i="1"/>
  <c r="Y58" i="1"/>
  <c r="Y59" i="1"/>
  <c r="Y60" i="1"/>
  <c r="X60" i="1" s="1"/>
  <c r="Y61" i="1"/>
  <c r="X61" i="1" s="1"/>
  <c r="Y62" i="1"/>
  <c r="X62" i="1" s="1"/>
  <c r="Y63" i="1"/>
  <c r="X63" i="1" s="1"/>
  <c r="Y64" i="1"/>
  <c r="X64" i="1" s="1"/>
  <c r="Y65" i="1"/>
  <c r="X65" i="1" s="1"/>
  <c r="Y66" i="1"/>
  <c r="X66" i="1" s="1"/>
  <c r="Y67" i="1"/>
  <c r="X67" i="1" s="1"/>
  <c r="Y68" i="1"/>
  <c r="X68" i="1" s="1"/>
  <c r="Y69" i="1"/>
  <c r="X69" i="1" s="1"/>
  <c r="Y70" i="1"/>
  <c r="X70" i="1" s="1"/>
  <c r="Y71" i="1"/>
  <c r="X71" i="1" s="1"/>
  <c r="Y72" i="1"/>
  <c r="X72" i="1" s="1"/>
  <c r="Y73" i="1"/>
  <c r="X73" i="1" s="1"/>
  <c r="Y74" i="1"/>
  <c r="X74" i="1" s="1"/>
  <c r="Y75" i="1"/>
  <c r="X75" i="1" s="1"/>
  <c r="Y76" i="1"/>
  <c r="X76" i="1" s="1"/>
  <c r="Y77" i="1"/>
  <c r="X77" i="1" s="1"/>
  <c r="Y78" i="1"/>
  <c r="X78" i="1" s="1"/>
  <c r="Y79" i="1"/>
  <c r="Y80" i="1"/>
  <c r="X80" i="1" s="1"/>
  <c r="Y81" i="1"/>
  <c r="X81" i="1" s="1"/>
  <c r="Y82" i="1"/>
  <c r="X82" i="1" s="1"/>
  <c r="Y83" i="1"/>
  <c r="X83" i="1" s="1"/>
  <c r="Y84" i="1"/>
  <c r="X84" i="1" s="1"/>
  <c r="Y85" i="1"/>
  <c r="X85" i="1" s="1"/>
  <c r="Y86" i="1"/>
  <c r="X86" i="1" s="1"/>
  <c r="Y87" i="1"/>
  <c r="X87" i="1" s="1"/>
  <c r="Y88" i="1"/>
  <c r="X88" i="1" s="1"/>
  <c r="Y89" i="1"/>
  <c r="X89" i="1" s="1"/>
  <c r="Y90" i="1"/>
  <c r="X90" i="1" s="1"/>
  <c r="Y91" i="1"/>
  <c r="X91" i="1" s="1"/>
  <c r="Y92" i="1"/>
  <c r="X92" i="1" s="1"/>
  <c r="Y93" i="1"/>
  <c r="X93" i="1" s="1"/>
  <c r="Y94" i="1"/>
  <c r="X94" i="1" s="1"/>
  <c r="Y95" i="1"/>
  <c r="X95" i="1" s="1"/>
  <c r="Y96" i="1"/>
  <c r="X96" i="1" s="1"/>
  <c r="Y97" i="1"/>
  <c r="X97" i="1" s="1"/>
  <c r="Y98" i="1"/>
  <c r="X98" i="1" s="1"/>
  <c r="Y99" i="1"/>
  <c r="X99" i="1" s="1"/>
  <c r="Y100" i="1"/>
  <c r="X100" i="1" s="1"/>
  <c r="Y101" i="1"/>
  <c r="X101" i="1" s="1"/>
  <c r="Y102" i="1"/>
  <c r="X102" i="1" s="1"/>
  <c r="Y103" i="1"/>
  <c r="X103" i="1" s="1"/>
  <c r="Y104" i="1"/>
  <c r="X104" i="1" s="1"/>
  <c r="Y105" i="1"/>
  <c r="X105" i="1" s="1"/>
  <c r="Y106" i="1"/>
  <c r="X106" i="1" s="1"/>
  <c r="Y107" i="1"/>
  <c r="X107" i="1" s="1"/>
  <c r="Y108" i="1"/>
  <c r="X108" i="1" s="1"/>
  <c r="Y109" i="1"/>
  <c r="X109" i="1" s="1"/>
  <c r="Y110" i="1"/>
  <c r="X110" i="1" s="1"/>
  <c r="Y111" i="1"/>
  <c r="X111" i="1" s="1"/>
  <c r="Y112" i="1"/>
  <c r="X112" i="1" s="1"/>
  <c r="Y113" i="1"/>
  <c r="X113" i="1" s="1"/>
  <c r="Y114" i="1"/>
  <c r="X114" i="1" s="1"/>
  <c r="Y115" i="1"/>
  <c r="X115" i="1" s="1"/>
  <c r="Y116" i="1"/>
  <c r="X116" i="1" s="1"/>
  <c r="Y117" i="1"/>
  <c r="X117" i="1" s="1"/>
  <c r="Y118" i="1"/>
  <c r="X118" i="1" s="1"/>
  <c r="Y119" i="1"/>
  <c r="X119" i="1" s="1"/>
  <c r="Y120" i="1"/>
  <c r="X120" i="1" s="1"/>
  <c r="Y121" i="1"/>
  <c r="X121" i="1" s="1"/>
  <c r="Y52" i="1"/>
  <c r="X52" i="1" s="1"/>
  <c r="V54" i="1"/>
  <c r="W58" i="1"/>
  <c r="S62" i="1"/>
  <c r="U65" i="1"/>
  <c r="U68" i="1"/>
  <c r="W71" i="1"/>
  <c r="W74" i="1"/>
  <c r="T78" i="1"/>
  <c r="U81" i="1"/>
  <c r="W84" i="1"/>
  <c r="W87" i="1"/>
  <c r="T91" i="1"/>
  <c r="T94" i="1"/>
  <c r="V97" i="1"/>
  <c r="T99" i="1"/>
  <c r="V100" i="1"/>
  <c r="S104" i="1"/>
  <c r="V105" i="1"/>
  <c r="S107" i="1"/>
  <c r="U110" i="1"/>
  <c r="S112" i="1"/>
  <c r="U113" i="1"/>
  <c r="W116" i="1"/>
  <c r="U118" i="1"/>
  <c r="W119" i="1"/>
  <c r="S51" i="1" a="1"/>
  <c r="S51" i="1" s="1"/>
  <c r="S53" i="1" s="1"/>
  <c r="AO60" i="1" a="1"/>
  <c r="AO60" i="1" s="1"/>
  <c r="AQ60" i="1" s="1"/>
  <c r="AG47" i="1"/>
  <c r="AG46" i="1" s="1"/>
  <c r="AW45" i="1" s="1"/>
  <c r="AU80" i="1"/>
  <c r="AY80" i="1" s="1"/>
  <c r="AU81" i="1"/>
  <c r="AW81" i="1" s="1"/>
  <c r="AU82" i="1"/>
  <c r="BA82" i="1" s="1"/>
  <c r="AU83" i="1"/>
  <c r="AY83" i="1" s="1"/>
  <c r="AU84" i="1"/>
  <c r="AY84" i="1" s="1"/>
  <c r="AU85" i="1"/>
  <c r="AW85" i="1" s="1"/>
  <c r="AU86" i="1"/>
  <c r="BA86" i="1" s="1"/>
  <c r="AU87" i="1"/>
  <c r="AZ87" i="1" s="1"/>
  <c r="AU88" i="1"/>
  <c r="AY88" i="1" s="1"/>
  <c r="AU89" i="1"/>
  <c r="AW89" i="1" s="1"/>
  <c r="AU90" i="1"/>
  <c r="BA90" i="1" s="1"/>
  <c r="AU91" i="1"/>
  <c r="AW91" i="1" s="1"/>
  <c r="AU92" i="1"/>
  <c r="AY92" i="1" s="1"/>
  <c r="AU93" i="1"/>
  <c r="AW93" i="1" s="1"/>
  <c r="AU94" i="1"/>
  <c r="AW94" i="1" s="1"/>
  <c r="AU95" i="1"/>
  <c r="BB95" i="1" s="1"/>
  <c r="AU96" i="1"/>
  <c r="AY96" i="1" s="1"/>
  <c r="AU97" i="1"/>
  <c r="AW97" i="1" s="1"/>
  <c r="AU98" i="1"/>
  <c r="AY98" i="1" s="1"/>
  <c r="AU99" i="1"/>
  <c r="BB99" i="1" s="1"/>
  <c r="AU100" i="1"/>
  <c r="AY100" i="1" s="1"/>
  <c r="AU101" i="1"/>
  <c r="AW101" i="1" s="1"/>
  <c r="AU102" i="1"/>
  <c r="AY102" i="1" s="1"/>
  <c r="AU103" i="1"/>
  <c r="BB103" i="1" s="1"/>
  <c r="AU104" i="1"/>
  <c r="AY104" i="1" s="1"/>
  <c r="AU105" i="1"/>
  <c r="AW105" i="1" s="1"/>
  <c r="AU106" i="1"/>
  <c r="AY106" i="1" s="1"/>
  <c r="AU107" i="1"/>
  <c r="BB107" i="1" s="1"/>
  <c r="AU108" i="1"/>
  <c r="AY108" i="1" s="1"/>
  <c r="AU109" i="1"/>
  <c r="AW109" i="1" s="1"/>
  <c r="AU110" i="1"/>
  <c r="BB110" i="1" s="1"/>
  <c r="AU111" i="1"/>
  <c r="BB111" i="1" s="1"/>
  <c r="AU112" i="1"/>
  <c r="AY112" i="1" s="1"/>
  <c r="AU113" i="1"/>
  <c r="AW113" i="1" s="1"/>
  <c r="AU114" i="1"/>
  <c r="AX114" i="1" s="1"/>
  <c r="AV114" i="1" s="1"/>
  <c r="AU115" i="1"/>
  <c r="BB115" i="1" s="1"/>
  <c r="AU116" i="1"/>
  <c r="AY116" i="1" s="1"/>
  <c r="AU117" i="1"/>
  <c r="AW117" i="1" s="1"/>
  <c r="AU118" i="1"/>
  <c r="AW118" i="1" s="1"/>
  <c r="AU119" i="1"/>
  <c r="BB119" i="1" s="1"/>
  <c r="AU120" i="1"/>
  <c r="AY120" i="1" s="1"/>
  <c r="AU121" i="1"/>
  <c r="BA121" i="1" s="1"/>
  <c r="BG116" i="1" l="1"/>
  <c r="BG108" i="1"/>
  <c r="BG100" i="1"/>
  <c r="BG92" i="1"/>
  <c r="BG84" i="1"/>
  <c r="BG107" i="1"/>
  <c r="BG91" i="1"/>
  <c r="BG83" i="1"/>
  <c r="BG114" i="1"/>
  <c r="BG106" i="1"/>
  <c r="BG98" i="1"/>
  <c r="BG90" i="1"/>
  <c r="BG82" i="1"/>
  <c r="BG121" i="1"/>
  <c r="BG113" i="1"/>
  <c r="BG105" i="1"/>
  <c r="BG97" i="1"/>
  <c r="BG89" i="1"/>
  <c r="BG81" i="1"/>
  <c r="BG120" i="1"/>
  <c r="BG112" i="1"/>
  <c r="BG104" i="1"/>
  <c r="BG96" i="1"/>
  <c r="BG88" i="1"/>
  <c r="BG80" i="1"/>
  <c r="BG99" i="1"/>
  <c r="BG119" i="1"/>
  <c r="BG111" i="1"/>
  <c r="BG103" i="1"/>
  <c r="BG95" i="1"/>
  <c r="BG87" i="1"/>
  <c r="BG115" i="1"/>
  <c r="BG118" i="1"/>
  <c r="BG110" i="1"/>
  <c r="BG102" i="1"/>
  <c r="BG94" i="1"/>
  <c r="BG86" i="1"/>
  <c r="BG117" i="1"/>
  <c r="BG109" i="1"/>
  <c r="BG101" i="1"/>
  <c r="BG93" i="1"/>
  <c r="BG85" i="1"/>
  <c r="AO53" i="1"/>
  <c r="W92" i="1"/>
  <c r="U86" i="1"/>
  <c r="S80" i="1"/>
  <c r="U73" i="1"/>
  <c r="S67" i="1"/>
  <c r="V60" i="1"/>
  <c r="BH44" i="1" a="1"/>
  <c r="BH44" i="1" s="1"/>
  <c r="AQ62" i="1"/>
  <c r="T118" i="1"/>
  <c r="W111" i="1"/>
  <c r="U105" i="1"/>
  <c r="S99" i="1"/>
  <c r="V92" i="1"/>
  <c r="T86" i="1"/>
  <c r="W79" i="1"/>
  <c r="T73" i="1"/>
  <c r="W66" i="1"/>
  <c r="U60" i="1"/>
  <c r="U102" i="1"/>
  <c r="T83" i="1"/>
  <c r="W63" i="1"/>
  <c r="T110" i="1"/>
  <c r="S91" i="1"/>
  <c r="S78" i="1"/>
  <c r="V71" i="1"/>
  <c r="V58" i="1"/>
  <c r="T115" i="1"/>
  <c r="S96" i="1"/>
  <c r="V76" i="1"/>
  <c r="W56" i="1"/>
  <c r="U121" i="1"/>
  <c r="S115" i="1"/>
  <c r="V108" i="1"/>
  <c r="T102" i="1"/>
  <c r="W95" i="1"/>
  <c r="U89" i="1"/>
  <c r="S83" i="1"/>
  <c r="U76" i="1"/>
  <c r="S70" i="1"/>
  <c r="V63" i="1"/>
  <c r="V56" i="1"/>
  <c r="AQ61" i="1"/>
  <c r="V116" i="1"/>
  <c r="W103" i="1"/>
  <c r="U97" i="1"/>
  <c r="V84" i="1"/>
  <c r="T65" i="1"/>
  <c r="V121" i="1"/>
  <c r="W108" i="1"/>
  <c r="V89" i="1"/>
  <c r="T70" i="1"/>
  <c r="S120" i="1"/>
  <c r="V113" i="1"/>
  <c r="T107" i="1"/>
  <c r="W100" i="1"/>
  <c r="U94" i="1"/>
  <c r="S88" i="1"/>
  <c r="V81" i="1"/>
  <c r="S75" i="1"/>
  <c r="V68" i="1"/>
  <c r="T62" i="1"/>
  <c r="W54" i="1"/>
  <c r="X55" i="1"/>
  <c r="AW116" i="1"/>
  <c r="AW108" i="1"/>
  <c r="AW100" i="1"/>
  <c r="AW92" i="1"/>
  <c r="AW84" i="1"/>
  <c r="X59" i="1"/>
  <c r="AW115" i="1"/>
  <c r="AW107" i="1"/>
  <c r="AW99" i="1"/>
  <c r="AW83" i="1"/>
  <c r="X58" i="1"/>
  <c r="AW114" i="1"/>
  <c r="AW106" i="1"/>
  <c r="AW98" i="1"/>
  <c r="AW90" i="1"/>
  <c r="AW82" i="1"/>
  <c r="X57" i="1"/>
  <c r="AW121" i="1"/>
  <c r="X56" i="1"/>
  <c r="AW120" i="1"/>
  <c r="AW112" i="1"/>
  <c r="AW104" i="1"/>
  <c r="AW96" i="1"/>
  <c r="AW88" i="1"/>
  <c r="AW80" i="1"/>
  <c r="AW119" i="1"/>
  <c r="AW111" i="1"/>
  <c r="AW103" i="1"/>
  <c r="AW95" i="1"/>
  <c r="AW87" i="1"/>
  <c r="X54" i="1"/>
  <c r="AW110" i="1"/>
  <c r="AW102" i="1"/>
  <c r="AW86" i="1"/>
  <c r="X53" i="1"/>
  <c r="X79" i="1"/>
  <c r="T121" i="1"/>
  <c r="V119" i="1"/>
  <c r="S118" i="1"/>
  <c r="U116" i="1"/>
  <c r="W114" i="1"/>
  <c r="T113" i="1"/>
  <c r="V111" i="1"/>
  <c r="S110" i="1"/>
  <c r="U108" i="1"/>
  <c r="W106" i="1"/>
  <c r="T105" i="1"/>
  <c r="V103" i="1"/>
  <c r="S102" i="1"/>
  <c r="U100" i="1"/>
  <c r="W98" i="1"/>
  <c r="T97" i="1"/>
  <c r="V95" i="1"/>
  <c r="S94" i="1"/>
  <c r="U92" i="1"/>
  <c r="W90" i="1"/>
  <c r="T89" i="1"/>
  <c r="V87" i="1"/>
  <c r="S86" i="1"/>
  <c r="U84" i="1"/>
  <c r="W82" i="1"/>
  <c r="T81" i="1"/>
  <c r="U79" i="1"/>
  <c r="W77" i="1"/>
  <c r="T76" i="1"/>
  <c r="V74" i="1"/>
  <c r="S73" i="1"/>
  <c r="U71" i="1"/>
  <c r="W69" i="1"/>
  <c r="T68" i="1"/>
  <c r="V66" i="1"/>
  <c r="S65" i="1"/>
  <c r="U63" i="1"/>
  <c r="W61" i="1"/>
  <c r="T60" i="1"/>
  <c r="U58" i="1"/>
  <c r="U56" i="1"/>
  <c r="U54" i="1"/>
  <c r="S52" i="1"/>
  <c r="S121" i="1"/>
  <c r="U119" i="1"/>
  <c r="W117" i="1"/>
  <c r="T116" i="1"/>
  <c r="V114" i="1"/>
  <c r="S113" i="1"/>
  <c r="U111" i="1"/>
  <c r="W109" i="1"/>
  <c r="T108" i="1"/>
  <c r="V106" i="1"/>
  <c r="S105" i="1"/>
  <c r="U103" i="1"/>
  <c r="W101" i="1"/>
  <c r="T100" i="1"/>
  <c r="V98" i="1"/>
  <c r="S97" i="1"/>
  <c r="U95" i="1"/>
  <c r="W93" i="1"/>
  <c r="T92" i="1"/>
  <c r="V90" i="1"/>
  <c r="S89" i="1"/>
  <c r="U87" i="1"/>
  <c r="W85" i="1"/>
  <c r="T84" i="1"/>
  <c r="V82" i="1"/>
  <c r="S81" i="1"/>
  <c r="T79" i="1"/>
  <c r="V77" i="1"/>
  <c r="S76" i="1"/>
  <c r="U74" i="1"/>
  <c r="W72" i="1"/>
  <c r="T71" i="1"/>
  <c r="V69" i="1"/>
  <c r="S68" i="1"/>
  <c r="U66" i="1"/>
  <c r="W64" i="1"/>
  <c r="T63" i="1"/>
  <c r="V61" i="1"/>
  <c r="S60" i="1"/>
  <c r="S58" i="1"/>
  <c r="T56" i="1"/>
  <c r="S54" i="1"/>
  <c r="V52" i="1"/>
  <c r="W120" i="1"/>
  <c r="T119" i="1"/>
  <c r="V117" i="1"/>
  <c r="S116" i="1"/>
  <c r="U114" i="1"/>
  <c r="W112" i="1"/>
  <c r="T111" i="1"/>
  <c r="V109" i="1"/>
  <c r="S108" i="1"/>
  <c r="U106" i="1"/>
  <c r="W104" i="1"/>
  <c r="T103" i="1"/>
  <c r="V101" i="1"/>
  <c r="S100" i="1"/>
  <c r="U98" i="1"/>
  <c r="W96" i="1"/>
  <c r="T95" i="1"/>
  <c r="V93" i="1"/>
  <c r="S92" i="1"/>
  <c r="U90" i="1"/>
  <c r="W88" i="1"/>
  <c r="T87" i="1"/>
  <c r="V85" i="1"/>
  <c r="S84" i="1"/>
  <c r="U82" i="1"/>
  <c r="W80" i="1"/>
  <c r="S79" i="1"/>
  <c r="U77" i="1"/>
  <c r="W75" i="1"/>
  <c r="T74" i="1"/>
  <c r="V72" i="1"/>
  <c r="S71" i="1"/>
  <c r="U69" i="1"/>
  <c r="W67" i="1"/>
  <c r="T66" i="1"/>
  <c r="V64" i="1"/>
  <c r="S63" i="1"/>
  <c r="U61" i="1"/>
  <c r="W59" i="1"/>
  <c r="W57" i="1"/>
  <c r="W55" i="1"/>
  <c r="W53" i="1"/>
  <c r="U52" i="1"/>
  <c r="V120" i="1"/>
  <c r="S119" i="1"/>
  <c r="U117" i="1"/>
  <c r="W115" i="1"/>
  <c r="T114" i="1"/>
  <c r="V112" i="1"/>
  <c r="S111" i="1"/>
  <c r="U109" i="1"/>
  <c r="W107" i="1"/>
  <c r="T106" i="1"/>
  <c r="V104" i="1"/>
  <c r="S103" i="1"/>
  <c r="U101" i="1"/>
  <c r="W99" i="1"/>
  <c r="T98" i="1"/>
  <c r="V96" i="1"/>
  <c r="S95" i="1"/>
  <c r="U93" i="1"/>
  <c r="W91" i="1"/>
  <c r="T90" i="1"/>
  <c r="V88" i="1"/>
  <c r="S87" i="1"/>
  <c r="U85" i="1"/>
  <c r="W83" i="1"/>
  <c r="T82" i="1"/>
  <c r="V80" i="1"/>
  <c r="W78" i="1"/>
  <c r="T77" i="1"/>
  <c r="V75" i="1"/>
  <c r="S74" i="1"/>
  <c r="U72" i="1"/>
  <c r="W70" i="1"/>
  <c r="T69" i="1"/>
  <c r="V67" i="1"/>
  <c r="S66" i="1"/>
  <c r="U64" i="1"/>
  <c r="W62" i="1"/>
  <c r="T61" i="1"/>
  <c r="V59" i="1"/>
  <c r="V57" i="1"/>
  <c r="V55" i="1"/>
  <c r="V53" i="1"/>
  <c r="AQ64" i="1"/>
  <c r="U120" i="1"/>
  <c r="W118" i="1"/>
  <c r="T117" i="1"/>
  <c r="V115" i="1"/>
  <c r="S114" i="1"/>
  <c r="U112" i="1"/>
  <c r="W110" i="1"/>
  <c r="T109" i="1"/>
  <c r="V107" i="1"/>
  <c r="S106" i="1"/>
  <c r="U104" i="1"/>
  <c r="W102" i="1"/>
  <c r="T101" i="1"/>
  <c r="V99" i="1"/>
  <c r="S98" i="1"/>
  <c r="U96" i="1"/>
  <c r="W94" i="1"/>
  <c r="T93" i="1"/>
  <c r="V91" i="1"/>
  <c r="S90" i="1"/>
  <c r="U88" i="1"/>
  <c r="W86" i="1"/>
  <c r="T85" i="1"/>
  <c r="V83" i="1"/>
  <c r="S82" i="1"/>
  <c r="U80" i="1"/>
  <c r="V78" i="1"/>
  <c r="S77" i="1"/>
  <c r="U75" i="1"/>
  <c r="W73" i="1"/>
  <c r="T72" i="1"/>
  <c r="V70" i="1"/>
  <c r="S69" i="1"/>
  <c r="U67" i="1"/>
  <c r="W65" i="1"/>
  <c r="T64" i="1"/>
  <c r="V62" i="1"/>
  <c r="S61" i="1"/>
  <c r="U59" i="1"/>
  <c r="U57" i="1"/>
  <c r="U55" i="1"/>
  <c r="U53" i="1"/>
  <c r="AQ63" i="1"/>
  <c r="W121" i="1"/>
  <c r="T120" i="1"/>
  <c r="V118" i="1"/>
  <c r="S117" i="1"/>
  <c r="U115" i="1"/>
  <c r="W113" i="1"/>
  <c r="T112" i="1"/>
  <c r="V110" i="1"/>
  <c r="S109" i="1"/>
  <c r="U107" i="1"/>
  <c r="W105" i="1"/>
  <c r="T104" i="1"/>
  <c r="V102" i="1"/>
  <c r="S101" i="1"/>
  <c r="U99" i="1"/>
  <c r="W97" i="1"/>
  <c r="T96" i="1"/>
  <c r="V94" i="1"/>
  <c r="S93" i="1"/>
  <c r="U91" i="1"/>
  <c r="W89" i="1"/>
  <c r="T88" i="1"/>
  <c r="V86" i="1"/>
  <c r="S85" i="1"/>
  <c r="U83" i="1"/>
  <c r="W81" i="1"/>
  <c r="T80" i="1"/>
  <c r="U78" i="1"/>
  <c r="W76" i="1"/>
  <c r="T75" i="1"/>
  <c r="V73" i="1"/>
  <c r="S72" i="1"/>
  <c r="U70" i="1"/>
  <c r="W68" i="1"/>
  <c r="T67" i="1"/>
  <c r="V65" i="1"/>
  <c r="S64" i="1"/>
  <c r="U62" i="1"/>
  <c r="W60" i="1"/>
  <c r="S59" i="1"/>
  <c r="S57" i="1"/>
  <c r="S55" i="1"/>
  <c r="BD114" i="1"/>
  <c r="AZ120" i="1"/>
  <c r="AZ90" i="1"/>
  <c r="AZ105" i="1"/>
  <c r="AZ116" i="1"/>
  <c r="AZ104" i="1"/>
  <c r="AZ89" i="1"/>
  <c r="AZ115" i="1"/>
  <c r="AZ100" i="1"/>
  <c r="AZ84" i="1"/>
  <c r="AX121" i="1"/>
  <c r="AZ113" i="1"/>
  <c r="AZ99" i="1"/>
  <c r="AZ83" i="1"/>
  <c r="AZ112" i="1"/>
  <c r="AZ98" i="1"/>
  <c r="AZ82" i="1"/>
  <c r="AZ108" i="1"/>
  <c r="AZ97" i="1"/>
  <c r="AZ81" i="1"/>
  <c r="AZ107" i="1"/>
  <c r="AZ92" i="1"/>
  <c r="AZ106" i="1"/>
  <c r="AZ91" i="1"/>
  <c r="AZ114" i="1"/>
  <c r="AY107" i="1"/>
  <c r="AZ121" i="1"/>
  <c r="AZ119" i="1"/>
  <c r="AZ111" i="1"/>
  <c r="AZ103" i="1"/>
  <c r="AZ95" i="1"/>
  <c r="AZ118" i="1"/>
  <c r="AZ110" i="1"/>
  <c r="AZ102" i="1"/>
  <c r="AZ94" i="1"/>
  <c r="AZ86" i="1"/>
  <c r="AZ96" i="1"/>
  <c r="AZ88" i="1"/>
  <c r="AZ80" i="1"/>
  <c r="AZ117" i="1"/>
  <c r="AZ109" i="1"/>
  <c r="AZ101" i="1"/>
  <c r="AZ93" i="1"/>
  <c r="AZ85" i="1"/>
  <c r="AY111" i="1"/>
  <c r="AX116" i="1"/>
  <c r="BA108" i="1"/>
  <c r="AY118" i="1"/>
  <c r="AX112" i="1"/>
  <c r="AV112" i="1" s="1"/>
  <c r="BB97" i="1"/>
  <c r="AY121" i="1"/>
  <c r="AY117" i="1"/>
  <c r="AX119" i="1"/>
  <c r="BA80" i="1"/>
  <c r="AX98" i="1"/>
  <c r="BB118" i="1"/>
  <c r="BB84" i="1"/>
  <c r="BB106" i="1"/>
  <c r="BA84" i="1"/>
  <c r="BB108" i="1"/>
  <c r="AX106" i="1"/>
  <c r="AX84" i="1"/>
  <c r="BB80" i="1"/>
  <c r="AX111" i="1"/>
  <c r="AX108" i="1"/>
  <c r="BA100" i="1"/>
  <c r="BA83" i="1"/>
  <c r="AX80" i="1"/>
  <c r="AY105" i="1"/>
  <c r="BB85" i="1"/>
  <c r="BA118" i="1"/>
  <c r="AX105" i="1"/>
  <c r="BA85" i="1"/>
  <c r="BB88" i="1"/>
  <c r="AX82" i="1"/>
  <c r="AX107" i="1"/>
  <c r="AV107" i="1" s="1"/>
  <c r="AX88" i="1"/>
  <c r="AV88" i="1" s="1"/>
  <c r="AY85" i="1"/>
  <c r="BB81" i="1"/>
  <c r="AX118" i="1"/>
  <c r="BB98" i="1"/>
  <c r="AY97" i="1"/>
  <c r="AX85" i="1"/>
  <c r="BA81" i="1"/>
  <c r="AY110" i="1"/>
  <c r="BA98" i="1"/>
  <c r="BB82" i="1"/>
  <c r="AY81" i="1"/>
  <c r="BA119" i="1"/>
  <c r="AY119" i="1"/>
  <c r="BA117" i="1"/>
  <c r="AX110" i="1"/>
  <c r="AY101" i="1"/>
  <c r="AX96" i="1"/>
  <c r="AV96" i="1" s="1"/>
  <c r="AY82" i="1"/>
  <c r="AX81" i="1"/>
  <c r="BA97" i="1"/>
  <c r="BA88" i="1"/>
  <c r="BB109" i="1"/>
  <c r="AX97" i="1"/>
  <c r="BB92" i="1"/>
  <c r="BA109" i="1"/>
  <c r="BA99" i="1"/>
  <c r="BA120" i="1"/>
  <c r="BB116" i="1"/>
  <c r="AY109" i="1"/>
  <c r="BA106" i="1"/>
  <c r="BB105" i="1"/>
  <c r="AX102" i="1"/>
  <c r="AV102" i="1" s="1"/>
  <c r="AX99" i="1"/>
  <c r="BB96" i="1"/>
  <c r="AY95" i="1"/>
  <c r="AX92" i="1"/>
  <c r="BB120" i="1"/>
  <c r="BA95" i="1"/>
  <c r="BA92" i="1"/>
  <c r="AX120" i="1"/>
  <c r="BB117" i="1"/>
  <c r="BA116" i="1"/>
  <c r="AX113" i="1"/>
  <c r="BA110" i="1"/>
  <c r="AX109" i="1"/>
  <c r="BA107" i="1"/>
  <c r="BA105" i="1"/>
  <c r="BA96" i="1"/>
  <c r="AX95" i="1"/>
  <c r="AX101" i="1"/>
  <c r="AX100" i="1"/>
  <c r="AY99" i="1"/>
  <c r="BB91" i="1"/>
  <c r="AX91" i="1"/>
  <c r="BB94" i="1"/>
  <c r="BB87" i="1"/>
  <c r="AX87" i="1"/>
  <c r="AV87" i="1" s="1"/>
  <c r="BB89" i="1"/>
  <c r="BB114" i="1"/>
  <c r="BB104" i="1"/>
  <c r="BA94" i="1"/>
  <c r="BB93" i="1"/>
  <c r="BB86" i="1"/>
  <c r="AX117" i="1"/>
  <c r="AY115" i="1"/>
  <c r="BA114" i="1"/>
  <c r="BB113" i="1"/>
  <c r="BA104" i="1"/>
  <c r="BA103" i="1"/>
  <c r="BB102" i="1"/>
  <c r="AY94" i="1"/>
  <c r="BA93" i="1"/>
  <c r="BB90" i="1"/>
  <c r="BA89" i="1"/>
  <c r="BA87" i="1"/>
  <c r="AY86" i="1"/>
  <c r="BB121" i="1"/>
  <c r="BA113" i="1"/>
  <c r="AX104" i="1"/>
  <c r="AV104" i="1" s="1"/>
  <c r="BA102" i="1"/>
  <c r="BB101" i="1"/>
  <c r="AX94" i="1"/>
  <c r="AY93" i="1"/>
  <c r="BA91" i="1"/>
  <c r="AY90" i="1"/>
  <c r="AY89" i="1"/>
  <c r="AY87" i="1"/>
  <c r="AX86" i="1"/>
  <c r="AV86" i="1" s="1"/>
  <c r="BA115" i="1"/>
  <c r="AX115" i="1"/>
  <c r="AV115" i="1" s="1"/>
  <c r="AY114" i="1"/>
  <c r="BB112" i="1"/>
  <c r="AY103" i="1"/>
  <c r="AY113" i="1"/>
  <c r="BA112" i="1"/>
  <c r="BA111" i="1"/>
  <c r="AX103" i="1"/>
  <c r="BA101" i="1"/>
  <c r="BB100" i="1"/>
  <c r="AX93" i="1"/>
  <c r="AY91" i="1"/>
  <c r="AX90" i="1"/>
  <c r="AX89" i="1"/>
  <c r="BB83" i="1"/>
  <c r="AX83" i="1"/>
  <c r="U50" i="1" l="1"/>
  <c r="AV81" i="1"/>
  <c r="BF81" i="1" s="1"/>
  <c r="AV98" i="1"/>
  <c r="BF98" i="1" s="1"/>
  <c r="AV83" i="1"/>
  <c r="BF83" i="1" s="1"/>
  <c r="AV103" i="1"/>
  <c r="BD103" i="1" s="1"/>
  <c r="AV95" i="1"/>
  <c r="BF95" i="1" s="1"/>
  <c r="AV99" i="1"/>
  <c r="BE99" i="1" s="1"/>
  <c r="AV84" i="1"/>
  <c r="BD84" i="1" s="1"/>
  <c r="AV116" i="1"/>
  <c r="BE116" i="1" s="1"/>
  <c r="AV105" i="1"/>
  <c r="BE105" i="1" s="1"/>
  <c r="AV117" i="1"/>
  <c r="BC117" i="1" s="1"/>
  <c r="AV120" i="1"/>
  <c r="BF120" i="1" s="1"/>
  <c r="AV106" i="1"/>
  <c r="BC106" i="1" s="1"/>
  <c r="AV119" i="1"/>
  <c r="BE119" i="1" s="1"/>
  <c r="AV113" i="1"/>
  <c r="BD113" i="1" s="1"/>
  <c r="AV118" i="1"/>
  <c r="BC118" i="1" s="1"/>
  <c r="AV110" i="1"/>
  <c r="BD110" i="1" s="1"/>
  <c r="AV80" i="1"/>
  <c r="BE80" i="1" s="1"/>
  <c r="AV90" i="1"/>
  <c r="BF90" i="1" s="1"/>
  <c r="AV91" i="1"/>
  <c r="BD91" i="1" s="1"/>
  <c r="AV85" i="1"/>
  <c r="BC85" i="1" s="1"/>
  <c r="AV82" i="1"/>
  <c r="BF82" i="1" s="1"/>
  <c r="AV121" i="1"/>
  <c r="BC121" i="1" s="1"/>
  <c r="AV111" i="1"/>
  <c r="BD111" i="1" s="1"/>
  <c r="AV94" i="1"/>
  <c r="BF94" i="1" s="1"/>
  <c r="AV101" i="1"/>
  <c r="BF101" i="1" s="1"/>
  <c r="AV109" i="1"/>
  <c r="BD109" i="1" s="1"/>
  <c r="AV100" i="1"/>
  <c r="BC100" i="1" s="1"/>
  <c r="AV89" i="1"/>
  <c r="BE89" i="1" s="1"/>
  <c r="AV97" i="1"/>
  <c r="BD97" i="1" s="1"/>
  <c r="AV93" i="1"/>
  <c r="BD93" i="1" s="1"/>
  <c r="AV92" i="1"/>
  <c r="BC92" i="1" s="1"/>
  <c r="AV108" i="1"/>
  <c r="BE108" i="1" s="1"/>
  <c r="BF114" i="1"/>
  <c r="BC114" i="1"/>
  <c r="BE114" i="1"/>
  <c r="BE88" i="1"/>
  <c r="BD88" i="1"/>
  <c r="BF88" i="1"/>
  <c r="BC88" i="1"/>
  <c r="BE96" i="1"/>
  <c r="BF96" i="1"/>
  <c r="BD96" i="1"/>
  <c r="BC96" i="1"/>
  <c r="BE107" i="1"/>
  <c r="BF107" i="1"/>
  <c r="BC107" i="1"/>
  <c r="BD107" i="1"/>
  <c r="BC87" i="1"/>
  <c r="BE87" i="1"/>
  <c r="BD87" i="1"/>
  <c r="BF87" i="1"/>
  <c r="BD102" i="1"/>
  <c r="BC102" i="1"/>
  <c r="BF102" i="1"/>
  <c r="BE102" i="1"/>
  <c r="BD104" i="1"/>
  <c r="BC104" i="1"/>
  <c r="BF104" i="1"/>
  <c r="BE104" i="1"/>
  <c r="BE112" i="1"/>
  <c r="BC112" i="1"/>
  <c r="BD112" i="1"/>
  <c r="BF112" i="1"/>
  <c r="BC115" i="1"/>
  <c r="BF115" i="1"/>
  <c r="BD115" i="1"/>
  <c r="BE115" i="1"/>
  <c r="BD86" i="1"/>
  <c r="BC86" i="1"/>
  <c r="BE86" i="1"/>
  <c r="BF86" i="1"/>
  <c r="BD101" i="1" l="1"/>
  <c r="BD105" i="1"/>
  <c r="BD116" i="1"/>
  <c r="BE94" i="1"/>
  <c r="BC105" i="1"/>
  <c r="BD80" i="1"/>
  <c r="BE98" i="1"/>
  <c r="BC80" i="1"/>
  <c r="BE101" i="1"/>
  <c r="BD81" i="1"/>
  <c r="BE81" i="1"/>
  <c r="BC101" i="1"/>
  <c r="BF80" i="1"/>
  <c r="BC81" i="1"/>
  <c r="BE91" i="1"/>
  <c r="BF119" i="1"/>
  <c r="BD100" i="1"/>
  <c r="BF111" i="1"/>
  <c r="BD83" i="1"/>
  <c r="BE90" i="1"/>
  <c r="BC109" i="1"/>
  <c r="BC98" i="1"/>
  <c r="BE93" i="1"/>
  <c r="BC119" i="1"/>
  <c r="BD95" i="1"/>
  <c r="BC83" i="1"/>
  <c r="BE92" i="1"/>
  <c r="BE97" i="1"/>
  <c r="BE82" i="1"/>
  <c r="BD118" i="1"/>
  <c r="BF89" i="1"/>
  <c r="BE95" i="1"/>
  <c r="BC82" i="1"/>
  <c r="BF97" i="1"/>
  <c r="BD119" i="1"/>
  <c r="BF118" i="1"/>
  <c r="BD82" i="1"/>
  <c r="BE111" i="1"/>
  <c r="BF93" i="1"/>
  <c r="BD92" i="1"/>
  <c r="BE84" i="1"/>
  <c r="BC95" i="1"/>
  <c r="BF92" i="1"/>
  <c r="BD117" i="1"/>
  <c r="BC97" i="1"/>
  <c r="BC108" i="1"/>
  <c r="BC89" i="1"/>
  <c r="BD89" i="1"/>
  <c r="BE85" i="1"/>
  <c r="BD106" i="1"/>
  <c r="BC103" i="1"/>
  <c r="BF99" i="1"/>
  <c r="BD99" i="1"/>
  <c r="BC110" i="1"/>
  <c r="BF110" i="1"/>
  <c r="BF121" i="1"/>
  <c r="BF109" i="1"/>
  <c r="BF117" i="1"/>
  <c r="BD85" i="1"/>
  <c r="BE103" i="1"/>
  <c r="BE110" i="1"/>
  <c r="BD108" i="1"/>
  <c r="BC94" i="1"/>
  <c r="BF116" i="1"/>
  <c r="BF106" i="1"/>
  <c r="BC90" i="1"/>
  <c r="BE83" i="1"/>
  <c r="BE100" i="1"/>
  <c r="BE118" i="1"/>
  <c r="BE109" i="1"/>
  <c r="BF113" i="1"/>
  <c r="BF85" i="1"/>
  <c r="BF100" i="1"/>
  <c r="BC111" i="1"/>
  <c r="BC91" i="1"/>
  <c r="BC120" i="1"/>
  <c r="BF84" i="1"/>
  <c r="BF103" i="1"/>
  <c r="BF108" i="1"/>
  <c r="BE106" i="1"/>
  <c r="BD94" i="1"/>
  <c r="BC113" i="1"/>
  <c r="BC93" i="1"/>
  <c r="BE121" i="1"/>
  <c r="BD90" i="1"/>
  <c r="BE113" i="1"/>
  <c r="BE117" i="1"/>
  <c r="BC99" i="1"/>
  <c r="BD98" i="1"/>
  <c r="BE120" i="1"/>
  <c r="BD120" i="1"/>
  <c r="BC84" i="1"/>
  <c r="BC116" i="1"/>
  <c r="BD121" i="1"/>
  <c r="BF91" i="1"/>
  <c r="BF105" i="1"/>
  <c r="AU45" i="1" l="1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E3" i="5"/>
  <c r="F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4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3" i="5"/>
  <c r="AC53" i="1"/>
  <c r="AC54" i="1"/>
  <c r="AC55" i="1"/>
  <c r="AC56" i="1"/>
  <c r="AC57" i="1"/>
  <c r="AC58" i="1"/>
  <c r="AC59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52" i="1"/>
  <c r="AH52" i="1"/>
  <c r="AH53" i="1"/>
  <c r="AI53" i="1"/>
  <c r="T53" i="1" s="1"/>
  <c r="AH54" i="1"/>
  <c r="AI54" i="1"/>
  <c r="T54" i="1" s="1"/>
  <c r="AH55" i="1"/>
  <c r="AI55" i="1"/>
  <c r="T55" i="1" s="1"/>
  <c r="AH56" i="1"/>
  <c r="AI56" i="1"/>
  <c r="S56" i="1" s="1"/>
  <c r="S50" i="1" s="1"/>
  <c r="AH57" i="1"/>
  <c r="AI57" i="1"/>
  <c r="T57" i="1" s="1"/>
  <c r="AH58" i="1"/>
  <c r="AI58" i="1"/>
  <c r="T58" i="1" s="1"/>
  <c r="AH59" i="1"/>
  <c r="AI59" i="1"/>
  <c r="T59" i="1" s="1"/>
  <c r="AH60" i="1"/>
  <c r="AI60" i="1"/>
  <c r="AH61" i="1"/>
  <c r="AI61" i="1"/>
  <c r="AH62" i="1"/>
  <c r="AI62" i="1"/>
  <c r="AH63" i="1"/>
  <c r="AI63" i="1"/>
  <c r="AH64" i="1"/>
  <c r="AI64" i="1"/>
  <c r="AH65" i="1"/>
  <c r="AI65" i="1"/>
  <c r="AH66" i="1"/>
  <c r="AI66" i="1"/>
  <c r="AH67" i="1"/>
  <c r="AI67" i="1"/>
  <c r="AH68" i="1"/>
  <c r="AI68" i="1"/>
  <c r="AH69" i="1"/>
  <c r="AI69" i="1"/>
  <c r="AH70" i="1"/>
  <c r="AI70" i="1"/>
  <c r="AH71" i="1"/>
  <c r="AI71" i="1"/>
  <c r="AH72" i="1"/>
  <c r="AI72" i="1"/>
  <c r="AH73" i="1"/>
  <c r="AI73" i="1"/>
  <c r="AH74" i="1"/>
  <c r="AI74" i="1"/>
  <c r="AH75" i="1"/>
  <c r="AI75" i="1"/>
  <c r="AH76" i="1"/>
  <c r="AI76" i="1"/>
  <c r="AH77" i="1"/>
  <c r="AI77" i="1"/>
  <c r="AH78" i="1"/>
  <c r="AI78" i="1"/>
  <c r="AH79" i="1"/>
  <c r="AI79" i="1"/>
  <c r="V79" i="1" s="1"/>
  <c r="V50" i="1" s="1"/>
  <c r="AH80" i="1"/>
  <c r="AI80" i="1"/>
  <c r="AH81" i="1"/>
  <c r="AI81" i="1"/>
  <c r="AH82" i="1"/>
  <c r="AI82" i="1"/>
  <c r="AH83" i="1"/>
  <c r="AI83" i="1"/>
  <c r="AH84" i="1"/>
  <c r="AI84" i="1"/>
  <c r="AH85" i="1"/>
  <c r="AI85" i="1"/>
  <c r="AH86" i="1"/>
  <c r="AI86" i="1"/>
  <c r="AH87" i="1"/>
  <c r="AI87" i="1"/>
  <c r="AH88" i="1"/>
  <c r="AI88" i="1"/>
  <c r="AH89" i="1"/>
  <c r="AI89" i="1"/>
  <c r="AH90" i="1"/>
  <c r="AI90" i="1"/>
  <c r="AH91" i="1"/>
  <c r="AI91" i="1"/>
  <c r="AH92" i="1"/>
  <c r="AI92" i="1"/>
  <c r="AH93" i="1"/>
  <c r="AI93" i="1"/>
  <c r="AH94" i="1"/>
  <c r="AI94" i="1"/>
  <c r="AH95" i="1"/>
  <c r="AI95" i="1"/>
  <c r="AH96" i="1"/>
  <c r="AI96" i="1"/>
  <c r="AH97" i="1"/>
  <c r="AI97" i="1"/>
  <c r="AH98" i="1"/>
  <c r="AI98" i="1"/>
  <c r="AH99" i="1"/>
  <c r="AI99" i="1"/>
  <c r="AH100" i="1"/>
  <c r="AI100" i="1"/>
  <c r="AH101" i="1"/>
  <c r="AI101" i="1"/>
  <c r="AH102" i="1"/>
  <c r="AI102" i="1"/>
  <c r="AH103" i="1"/>
  <c r="AI103" i="1"/>
  <c r="AH104" i="1"/>
  <c r="AI104" i="1"/>
  <c r="AH105" i="1"/>
  <c r="AI105" i="1"/>
  <c r="AH106" i="1"/>
  <c r="AI106" i="1"/>
  <c r="AH107" i="1"/>
  <c r="AI107" i="1"/>
  <c r="AH108" i="1"/>
  <c r="AI108" i="1"/>
  <c r="AH109" i="1"/>
  <c r="AI109" i="1"/>
  <c r="AH110" i="1"/>
  <c r="AI110" i="1"/>
  <c r="AH111" i="1"/>
  <c r="AI111" i="1"/>
  <c r="AH112" i="1"/>
  <c r="AI112" i="1"/>
  <c r="AH113" i="1"/>
  <c r="AI113" i="1"/>
  <c r="AH114" i="1"/>
  <c r="AI114" i="1"/>
  <c r="AH115" i="1"/>
  <c r="AI115" i="1"/>
  <c r="AH116" i="1"/>
  <c r="AI116" i="1"/>
  <c r="AH117" i="1"/>
  <c r="AI117" i="1"/>
  <c r="AH118" i="1"/>
  <c r="AI118" i="1"/>
  <c r="AH119" i="1"/>
  <c r="AI119" i="1"/>
  <c r="AH120" i="1"/>
  <c r="AI120" i="1"/>
  <c r="AH121" i="1"/>
  <c r="AI121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53" i="1"/>
  <c r="AB52" i="1"/>
  <c r="AI52" i="1"/>
  <c r="AO51" i="1"/>
  <c r="AP53" i="1" s="1"/>
  <c r="AB45" i="1"/>
  <c r="AE45" i="1"/>
  <c r="AD49" i="1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F2" i="3"/>
  <c r="E2" i="3"/>
  <c r="W52" i="1" l="1"/>
  <c r="W50" i="1" s="1"/>
  <c r="T52" i="1"/>
  <c r="AV45" i="1"/>
  <c r="AM51" i="1"/>
  <c r="AC61" i="1"/>
  <c r="AC77" i="1"/>
  <c r="AU77" i="1" s="1"/>
  <c r="AC69" i="1"/>
  <c r="AU69" i="1" s="1"/>
  <c r="AU52" i="1"/>
  <c r="AC75" i="1"/>
  <c r="AU75" i="1" s="1"/>
  <c r="AC67" i="1"/>
  <c r="AU67" i="1" s="1"/>
  <c r="AC60" i="1"/>
  <c r="AU60" i="1" s="1"/>
  <c r="AC74" i="1"/>
  <c r="AU74" i="1" s="1"/>
  <c r="AC66" i="1"/>
  <c r="AU66" i="1" s="1"/>
  <c r="AC73" i="1"/>
  <c r="AU73" i="1" s="1"/>
  <c r="AC65" i="1"/>
  <c r="AU65" i="1" s="1"/>
  <c r="AC76" i="1"/>
  <c r="AU76" i="1" s="1"/>
  <c r="AC72" i="1"/>
  <c r="AU72" i="1" s="1"/>
  <c r="AC64" i="1"/>
  <c r="AU64" i="1" s="1"/>
  <c r="AC68" i="1"/>
  <c r="AU68" i="1" s="1"/>
  <c r="AC71" i="1"/>
  <c r="AU71" i="1" s="1"/>
  <c r="AC63" i="1"/>
  <c r="AU63" i="1" s="1"/>
  <c r="AC78" i="1"/>
  <c r="AU78" i="1" s="1"/>
  <c r="AC70" i="1"/>
  <c r="AU70" i="1" s="1"/>
  <c r="AC62" i="1"/>
  <c r="AU62" i="1" s="1"/>
  <c r="T50" i="1"/>
  <c r="AP60" i="1" s="1" a="1"/>
  <c r="AP60" i="1" s="1"/>
  <c r="AU79" i="1"/>
  <c r="AU58" i="1"/>
  <c r="AU56" i="1"/>
  <c r="AU54" i="1"/>
  <c r="AU61" i="1"/>
  <c r="AU59" i="1"/>
  <c r="AU57" i="1"/>
  <c r="AU55" i="1"/>
  <c r="AQ58" i="1"/>
  <c r="AU53" i="1"/>
  <c r="AQ59" i="1"/>
  <c r="AP58" i="1"/>
  <c r="AP59" i="1"/>
  <c r="AO54" i="1"/>
  <c r="AO55" i="1"/>
  <c r="AR53" i="1"/>
  <c r="AQ53" i="1"/>
  <c r="AK51" i="1" l="1"/>
  <c r="AW79" i="1"/>
  <c r="BG79" i="1"/>
  <c r="AW67" i="1"/>
  <c r="BG67" i="1"/>
  <c r="AW55" i="1"/>
  <c r="BG55" i="1"/>
  <c r="AW76" i="1"/>
  <c r="BG76" i="1"/>
  <c r="AW64" i="1"/>
  <c r="BG64" i="1"/>
  <c r="AW72" i="1"/>
  <c r="BG72" i="1"/>
  <c r="AW75" i="1"/>
  <c r="BG75" i="1"/>
  <c r="AW57" i="1"/>
  <c r="BG57" i="1"/>
  <c r="AW62" i="1"/>
  <c r="BG62" i="1"/>
  <c r="AW52" i="1"/>
  <c r="BA52" i="1"/>
  <c r="BB52" i="1"/>
  <c r="BG52" i="1"/>
  <c r="AY52" i="1"/>
  <c r="AZ52" i="1"/>
  <c r="AW59" i="1"/>
  <c r="BG59" i="1"/>
  <c r="AW70" i="1"/>
  <c r="BG70" i="1"/>
  <c r="AW65" i="1"/>
  <c r="BG65" i="1"/>
  <c r="AW69" i="1"/>
  <c r="BG69" i="1"/>
  <c r="AW61" i="1"/>
  <c r="BG61" i="1"/>
  <c r="AW78" i="1"/>
  <c r="BG78" i="1"/>
  <c r="AW73" i="1"/>
  <c r="BG73" i="1"/>
  <c r="AW77" i="1"/>
  <c r="BG77" i="1"/>
  <c r="AW54" i="1"/>
  <c r="BG54" i="1"/>
  <c r="AW63" i="1"/>
  <c r="BG63" i="1"/>
  <c r="AW66" i="1"/>
  <c r="BG66" i="1"/>
  <c r="AW56" i="1"/>
  <c r="BG56" i="1"/>
  <c r="AW71" i="1"/>
  <c r="BG71" i="1"/>
  <c r="AW74" i="1"/>
  <c r="BG74" i="1"/>
  <c r="AW53" i="1"/>
  <c r="BG53" i="1"/>
  <c r="BA53" i="1"/>
  <c r="AY53" i="1"/>
  <c r="BB53" i="1"/>
  <c r="AZ53" i="1"/>
  <c r="AW58" i="1"/>
  <c r="BG58" i="1"/>
  <c r="AW68" i="1"/>
  <c r="BG68" i="1"/>
  <c r="AW60" i="1"/>
  <c r="BG60" i="1"/>
  <c r="BA44" i="1" a="1"/>
  <c r="BA44" i="1" s="1"/>
  <c r="BH45" i="1" a="1"/>
  <c r="BH45" i="1" s="1"/>
  <c r="AZ69" i="1"/>
  <c r="AZ56" i="1"/>
  <c r="AZ55" i="1"/>
  <c r="AZ66" i="1"/>
  <c r="AZ77" i="1"/>
  <c r="AZ71" i="1"/>
  <c r="AZ64" i="1"/>
  <c r="AZ75" i="1"/>
  <c r="AZ72" i="1"/>
  <c r="AZ54" i="1"/>
  <c r="AZ73" i="1"/>
  <c r="AZ79" i="1"/>
  <c r="AZ74" i="1"/>
  <c r="AZ57" i="1"/>
  <c r="AZ68" i="1"/>
  <c r="AZ65" i="1"/>
  <c r="AZ78" i="1"/>
  <c r="AZ67" i="1"/>
  <c r="AZ70" i="1"/>
  <c r="AZ76" i="1"/>
  <c r="BA70" i="1"/>
  <c r="BB70" i="1"/>
  <c r="AY70" i="1"/>
  <c r="AX70" i="1"/>
  <c r="AV70" i="1" s="1"/>
  <c r="BA54" i="1"/>
  <c r="AY54" i="1"/>
  <c r="BB54" i="1"/>
  <c r="AX54" i="1"/>
  <c r="AV54" i="1" s="1"/>
  <c r="AX73" i="1"/>
  <c r="AV73" i="1" s="1"/>
  <c r="AY73" i="1"/>
  <c r="BB73" i="1"/>
  <c r="BA73" i="1"/>
  <c r="AY65" i="1"/>
  <c r="AX65" i="1"/>
  <c r="AV65" i="1" s="1"/>
  <c r="BA65" i="1"/>
  <c r="BB65" i="1"/>
  <c r="AX53" i="1"/>
  <c r="AV53" i="1" s="1"/>
  <c r="AY76" i="1"/>
  <c r="AX76" i="1"/>
  <c r="AV76" i="1" s="1"/>
  <c r="BA76" i="1"/>
  <c r="BB76" i="1"/>
  <c r="AY56" i="1"/>
  <c r="AX56" i="1"/>
  <c r="AV56" i="1" s="1"/>
  <c r="BA56" i="1"/>
  <c r="BB56" i="1"/>
  <c r="BA74" i="1"/>
  <c r="AX74" i="1"/>
  <c r="AV74" i="1" s="1"/>
  <c r="AY74" i="1"/>
  <c r="BB74" i="1"/>
  <c r="AY55" i="1"/>
  <c r="BB55" i="1"/>
  <c r="BA55" i="1"/>
  <c r="AX55" i="1"/>
  <c r="AV55" i="1" s="1"/>
  <c r="AX58" i="1"/>
  <c r="AV58" i="1" s="1"/>
  <c r="AX63" i="1"/>
  <c r="AV63" i="1" s="1"/>
  <c r="AY79" i="1"/>
  <c r="BA79" i="1"/>
  <c r="AX79" i="1"/>
  <c r="AV79" i="1" s="1"/>
  <c r="BB79" i="1"/>
  <c r="AX62" i="1"/>
  <c r="AV62" i="1" s="1"/>
  <c r="AY67" i="1"/>
  <c r="BA67" i="1"/>
  <c r="AX67" i="1"/>
  <c r="AV67" i="1" s="1"/>
  <c r="BB67" i="1"/>
  <c r="AX69" i="1"/>
  <c r="AV69" i="1" s="1"/>
  <c r="BA69" i="1"/>
  <c r="AY69" i="1"/>
  <c r="BB69" i="1"/>
  <c r="AX77" i="1"/>
  <c r="AV77" i="1" s="1"/>
  <c r="AY77" i="1"/>
  <c r="BA77" i="1"/>
  <c r="BB77" i="1"/>
  <c r="AY68" i="1"/>
  <c r="BB68" i="1"/>
  <c r="AX68" i="1"/>
  <c r="AV68" i="1" s="1"/>
  <c r="BA68" i="1"/>
  <c r="BA66" i="1"/>
  <c r="AX66" i="1"/>
  <c r="AV66" i="1" s="1"/>
  <c r="AY66" i="1"/>
  <c r="BB66" i="1"/>
  <c r="AX61" i="1"/>
  <c r="AV61" i="1" s="1"/>
  <c r="BA71" i="1"/>
  <c r="AY71" i="1"/>
  <c r="AX71" i="1"/>
  <c r="AV71" i="1" s="1"/>
  <c r="BB71" i="1"/>
  <c r="AX60" i="1"/>
  <c r="AV60" i="1" s="1"/>
  <c r="AY57" i="1"/>
  <c r="BA57" i="1"/>
  <c r="BB57" i="1"/>
  <c r="AX57" i="1"/>
  <c r="AV57" i="1" s="1"/>
  <c r="BA78" i="1"/>
  <c r="AY78" i="1"/>
  <c r="BB78" i="1"/>
  <c r="AX78" i="1"/>
  <c r="AV78" i="1" s="1"/>
  <c r="AY72" i="1"/>
  <c r="BA72" i="1"/>
  <c r="BB72" i="1"/>
  <c r="AX72" i="1"/>
  <c r="AV72" i="1" s="1"/>
  <c r="AY64" i="1"/>
  <c r="BA64" i="1"/>
  <c r="BB64" i="1"/>
  <c r="AX64" i="1"/>
  <c r="AV64" i="1" s="1"/>
  <c r="AX59" i="1"/>
  <c r="AV59" i="1" s="1"/>
  <c r="AY75" i="1"/>
  <c r="BA75" i="1"/>
  <c r="BB75" i="1"/>
  <c r="AX75" i="1"/>
  <c r="AV75" i="1" s="1"/>
  <c r="AR54" i="1"/>
  <c r="AP55" i="1"/>
  <c r="AP54" i="1"/>
  <c r="BC53" i="1" l="1"/>
  <c r="BD53" i="1"/>
  <c r="BE53" i="1"/>
  <c r="BF53" i="1"/>
  <c r="BE56" i="1"/>
  <c r="BF56" i="1"/>
  <c r="BC56" i="1"/>
  <c r="BD56" i="1"/>
  <c r="BE68" i="1"/>
  <c r="BF68" i="1"/>
  <c r="BD68" i="1"/>
  <c r="BC68" i="1"/>
  <c r="BD77" i="1"/>
  <c r="BF77" i="1"/>
  <c r="BE77" i="1"/>
  <c r="BC77" i="1"/>
  <c r="BD70" i="1"/>
  <c r="BE70" i="1"/>
  <c r="BF70" i="1"/>
  <c r="BC70" i="1"/>
  <c r="BE75" i="1"/>
  <c r="BD75" i="1"/>
  <c r="BC75" i="1"/>
  <c r="BF75" i="1"/>
  <c r="BD65" i="1"/>
  <c r="BF65" i="1"/>
  <c r="BC65" i="1"/>
  <c r="BE65" i="1"/>
  <c r="BE69" i="1"/>
  <c r="BD69" i="1"/>
  <c r="BF69" i="1"/>
  <c r="BC69" i="1"/>
  <c r="BE76" i="1"/>
  <c r="BC76" i="1"/>
  <c r="BF76" i="1"/>
  <c r="BD76" i="1"/>
  <c r="BE72" i="1"/>
  <c r="BF72" i="1"/>
  <c r="BC72" i="1"/>
  <c r="BD72" i="1"/>
  <c r="BD66" i="1"/>
  <c r="BE66" i="1"/>
  <c r="BF66" i="1"/>
  <c r="BC66" i="1"/>
  <c r="BD74" i="1"/>
  <c r="BC74" i="1"/>
  <c r="BE74" i="1"/>
  <c r="BF74" i="1"/>
  <c r="BE64" i="1"/>
  <c r="BF64" i="1"/>
  <c r="BC64" i="1"/>
  <c r="BD64" i="1"/>
  <c r="BD78" i="1"/>
  <c r="BC78" i="1"/>
  <c r="BE78" i="1"/>
  <c r="BF78" i="1"/>
  <c r="BD73" i="1"/>
  <c r="BF73" i="1"/>
  <c r="BC73" i="1"/>
  <c r="BE73" i="1"/>
  <c r="BD57" i="1"/>
  <c r="BC57" i="1"/>
  <c r="BE57" i="1"/>
  <c r="BF57" i="1"/>
  <c r="BC67" i="1"/>
  <c r="BD67" i="1"/>
  <c r="BF67" i="1"/>
  <c r="BE67" i="1"/>
  <c r="BF79" i="1"/>
  <c r="BC79" i="1"/>
  <c r="BD79" i="1"/>
  <c r="BE79" i="1"/>
  <c r="BD71" i="1"/>
  <c r="BC71" i="1"/>
  <c r="BE71" i="1"/>
  <c r="BF71" i="1"/>
  <c r="BC55" i="1"/>
  <c r="BF55" i="1"/>
  <c r="BD55" i="1"/>
  <c r="BE55" i="1"/>
  <c r="BC54" i="1"/>
  <c r="BF54" i="1"/>
  <c r="BE54" i="1"/>
  <c r="BD54" i="1"/>
  <c r="AX52" i="1"/>
  <c r="AV52" i="1" l="1"/>
  <c r="BC52" i="1" l="1"/>
  <c r="BD52" i="1"/>
  <c r="BE52" i="1"/>
  <c r="BF5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C32" authorId="0" shapeId="0" xr:uid="{27411D48-5F6B-4B78-ACD9-560075157FBE}">
      <text>
        <r>
          <rPr>
            <sz val="9"/>
            <color indexed="81"/>
            <rFont val="Tahoma"/>
            <family val="2"/>
          </rPr>
          <t>Quartzel : Numéro 1 sur la culture sécurité !</t>
        </r>
      </text>
    </comment>
    <comment ref="AI48" authorId="0" shapeId="0" xr:uid="{6CDCF716-F57C-40EA-8DB4-3644C9D7B42D}">
      <text>
        <r>
          <rPr>
            <sz val="9"/>
            <color indexed="81"/>
            <rFont val="Tahoma"/>
            <family val="2"/>
          </rPr>
          <t>Indiquer l'OF de production différente de celle en cours</t>
        </r>
      </text>
    </comment>
    <comment ref="AG51" authorId="0" shapeId="0" xr:uid="{14DC3D69-81A2-4958-83AB-2DBA21E5D9A6}">
      <text>
        <r>
          <rPr>
            <sz val="9"/>
            <color indexed="81"/>
            <rFont val="Tahoma"/>
            <family val="2"/>
          </rPr>
          <t>Utiliser si vous produisez autre chose que la production en cours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<sst xmlns="http://schemas.openxmlformats.org/spreadsheetml/2006/main" count="117" uniqueCount="97">
  <si>
    <t>date</t>
  </si>
  <si>
    <t>poste</t>
  </si>
  <si>
    <t>opérateur</t>
  </si>
  <si>
    <t>durée du poste</t>
  </si>
  <si>
    <t>machine</t>
  </si>
  <si>
    <t>impulsions</t>
  </si>
  <si>
    <t>vit. Primaire</t>
  </si>
  <si>
    <t>OF</t>
  </si>
  <si>
    <t>coté</t>
  </si>
  <si>
    <t>count</t>
  </si>
  <si>
    <t>si défaut</t>
  </si>
  <si>
    <t>plastique</t>
  </si>
  <si>
    <t>poids total</t>
  </si>
  <si>
    <t>autre prod</t>
  </si>
  <si>
    <t>OK</t>
  </si>
  <si>
    <t>NC</t>
  </si>
  <si>
    <t>PRODUCTION</t>
  </si>
  <si>
    <t>totaux</t>
  </si>
  <si>
    <t>Informations Poste &amp; Production</t>
  </si>
  <si>
    <t>Commentaires Opérateur</t>
  </si>
  <si>
    <t>Contrôles Micronnaires</t>
  </si>
  <si>
    <t>droite</t>
  </si>
  <si>
    <t>gauche</t>
  </si>
  <si>
    <t>Contrôles Finals</t>
  </si>
  <si>
    <t>Poids</t>
  </si>
  <si>
    <t>épaisseur</t>
  </si>
  <si>
    <t>poids</t>
  </si>
  <si>
    <t>Recap' Production</t>
  </si>
  <si>
    <t>min.</t>
  </si>
  <si>
    <t>nomi.</t>
  </si>
  <si>
    <t>max.</t>
  </si>
  <si>
    <t>2x250g</t>
  </si>
  <si>
    <t>TRS</t>
  </si>
  <si>
    <t>%</t>
  </si>
  <si>
    <t>Reset</t>
  </si>
  <si>
    <t>ATELIER QUARTZEL</t>
  </si>
  <si>
    <t>Fibrage Laine</t>
  </si>
  <si>
    <t>Saint-Gobain-Quartz</t>
  </si>
  <si>
    <t>Saint-Pierre-lès-Nemours</t>
  </si>
  <si>
    <t>SD QU 08 14 rev. 2</t>
  </si>
  <si>
    <t>ManyOProdSystem - manyO.dev</t>
  </si>
  <si>
    <t>opérateurs</t>
  </si>
  <si>
    <t>Nicolas B.</t>
  </si>
  <si>
    <t>ThomasNau N.</t>
  </si>
  <si>
    <t>Stéphane M.</t>
  </si>
  <si>
    <t>Morgan H?.</t>
  </si>
  <si>
    <t>Morgan H.</t>
  </si>
  <si>
    <t>David H.</t>
  </si>
  <si>
    <t>Jerry B.</t>
  </si>
  <si>
    <t>postes</t>
  </si>
  <si>
    <t>Matin</t>
  </si>
  <si>
    <t>Après-midi</t>
  </si>
  <si>
    <t>Nuit</t>
  </si>
  <si>
    <t>Journée</t>
  </si>
  <si>
    <t>TO</t>
  </si>
  <si>
    <t>horaires</t>
  </si>
  <si>
    <t>heures</t>
  </si>
  <si>
    <t>défaut</t>
  </si>
  <si>
    <t>Trou</t>
  </si>
  <si>
    <t>Fil</t>
  </si>
  <si>
    <t>Autre</t>
  </si>
  <si>
    <t>Démarrage</t>
  </si>
  <si>
    <t>500g</t>
  </si>
  <si>
    <t>50g</t>
  </si>
  <si>
    <t>80g/m2</t>
  </si>
  <si>
    <t>65g/m2</t>
  </si>
  <si>
    <t>poids mini</t>
  </si>
  <si>
    <t>poids nominal</t>
  </si>
  <si>
    <t>poids max</t>
  </si>
  <si>
    <t>ep min</t>
  </si>
  <si>
    <t>ep max</t>
  </si>
  <si>
    <t>poids final min</t>
  </si>
  <si>
    <t>poids final max</t>
  </si>
  <si>
    <t>micronnaires</t>
  </si>
  <si>
    <t xml:space="preserve"> </t>
  </si>
  <si>
    <t>autre OF</t>
  </si>
  <si>
    <t>Rappels Qualité</t>
  </si>
  <si>
    <t>valeur</t>
  </si>
  <si>
    <t>poste_id</t>
  </si>
  <si>
    <t>item_id</t>
  </si>
  <si>
    <t>prod</t>
  </si>
  <si>
    <t>num</t>
  </si>
  <si>
    <t>mic D</t>
  </si>
  <si>
    <t>mic G</t>
  </si>
  <si>
    <t>poids final</t>
  </si>
  <si>
    <t>ep final</t>
  </si>
  <si>
    <t>operateur</t>
  </si>
  <si>
    <t>Valider
le poste</t>
  </si>
  <si>
    <t>valeur NC</t>
  </si>
  <si>
    <t>count NC</t>
  </si>
  <si>
    <t>to</t>
  </si>
  <si>
    <t>mic avg D</t>
  </si>
  <si>
    <t>mic avg G</t>
  </si>
  <si>
    <t>poids final avg</t>
  </si>
  <si>
    <t>vrac</t>
  </si>
  <si>
    <t>n/a</t>
  </si>
  <si>
    <t>prod. en cours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</si>
</sst>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54"/>
      <color theme="0"/>
      <name val="Calibri"/>
      <family val="2"/>
      <scheme val="minor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ashed">
        <color rgb="FF0070C0"/>
      </bottom>
      <diagonal/>
    </border>
    <border>
      <left/>
      <right/>
      <top style="dashed">
        <color rgb="FF0070C0"/>
      </top>
      <bottom style="dashed">
        <color rgb="FF0070C0"/>
      </bottom>
      <diagonal/>
    </border>
    <border>
      <left/>
      <right/>
      <top style="dashed">
        <color rgb="FF0070C0"/>
      </top>
      <bottom/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 tint="-0.499984740745262"/>
      </top>
      <bottom/>
      <diagonal/>
    </border>
  </borders>
  <cellStyleXfs count="1">
    <xf numFmtId="0" fontId="0" fillId="0" borderId="0"/>
  </cellStyleXfs>
  <cellXfs count="69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9" fillId="3" borderId="0" xfId="0" applyFont="1" applyFill="1" applyAlignment="1" applyProtection="1">
      <alignment horizontal="center" vertical="center"/>
    </xf>
    <xf numFmtId="0" fontId="3" fillId="7" borderId="0" xfId="0" applyFont="1" applyFill="1" applyAlignment="1" applyProtection="1">
      <alignment vertical="center"/>
    </xf>
    <xf numFmtId="0" fontId="3" fillId="7" borderId="0" xfId="0" applyFont="1" applyFill="1" applyAlignment="1" applyProtection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 vertical="top"/>
    </xf>
    <xf numFmtId="0" fontId="3" fillId="2" borderId="6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6" fillId="3" borderId="5" xfId="0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center" vertical="center"/>
    </xf>
    <xf numFmtId="0" fontId="12" fillId="3" borderId="0" xfId="0" applyFont="1" applyFill="1" applyAlignment="1" applyProtection="1">
      <alignment horizontal="center" vertical="center"/>
    </xf>
    <xf numFmtId="0" fontId="6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 vertical="center"/>
    </xf>
    <xf numFmtId="0" fontId="4" fillId="7" borderId="0" xfId="0" applyFont="1" applyFill="1" applyAlignment="1" applyProtection="1">
      <alignment vertical="center"/>
    </xf>
    <xf numFmtId="0" fontId="5" fillId="2" borderId="0" xfId="0" applyFont="1" applyFill="1" applyAlignment="1" applyProtection="1">
      <alignment horizontal="right" vertical="center"/>
    </xf>
    <xf numFmtId="0" fontId="10" fillId="2" borderId="0" xfId="0" applyFont="1" applyFill="1" applyAlignment="1" applyProtection="1">
      <alignment horizontal="left" vertical="center"/>
    </xf>
    <xf numFmtId="0" fontId="10" fillId="2" borderId="0" xfId="0" applyFont="1" applyFill="1" applyAlignment="1" applyProtection="1">
      <alignment horizontal="center" vertical="top"/>
    </xf>
    <xf numFmtId="0" fontId="10" fillId="2" borderId="0" xfId="0" applyFont="1" applyFill="1" applyProtection="1"/>
    <xf numFmtId="0" fontId="0" fillId="2" borderId="0" xfId="0" applyFill="1" applyAlignment="1" applyProtection="1">
      <alignment horizontal="right" vertical="center"/>
    </xf>
    <xf numFmtId="0" fontId="6" fillId="2" borderId="0" xfId="0" applyFont="1" applyFill="1" applyAlignment="1" applyProtection="1">
      <alignment horizontal="right" vertical="center"/>
    </xf>
    <xf numFmtId="0" fontId="10" fillId="2" borderId="0" xfId="0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/>
    </xf>
    <xf numFmtId="0" fontId="4" fillId="5" borderId="0" xfId="0" applyFont="1" applyFill="1" applyAlignment="1" applyProtection="1">
      <alignment horizontal="center" vertical="center"/>
    </xf>
    <xf numFmtId="0" fontId="4" fillId="6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11" fillId="3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 vertical="center"/>
    </xf>
    <xf numFmtId="0" fontId="5" fillId="7" borderId="0" xfId="0" applyFont="1" applyFill="1" applyAlignment="1" applyProtection="1">
      <alignment horizontal="right" vertical="center"/>
    </xf>
    <xf numFmtId="0" fontId="1" fillId="7" borderId="0" xfId="0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center" vertical="center" wrapText="1"/>
    </xf>
    <xf numFmtId="0" fontId="6" fillId="3" borderId="0" xfId="0" applyFont="1" applyFill="1" applyAlignment="1" applyProtection="1">
      <alignment horizontal="center" vertical="center"/>
    </xf>
    <xf numFmtId="0" fontId="4" fillId="5" borderId="0" xfId="0" applyFont="1" applyFill="1" applyAlignment="1" applyProtection="1">
      <alignment horizontal="right" vertical="center"/>
    </xf>
    <xf numFmtId="0" fontId="1" fillId="5" borderId="0" xfId="0" applyFont="1" applyFill="1" applyAlignment="1" applyProtection="1">
      <alignment horizontal="center" vertical="center"/>
    </xf>
    <xf numFmtId="0" fontId="4" fillId="6" borderId="0" xfId="0" applyFont="1" applyFill="1" applyAlignment="1" applyProtection="1">
      <alignment horizontal="right" vertical="center"/>
    </xf>
    <xf numFmtId="0" fontId="1" fillId="6" borderId="0" xfId="0" applyFont="1" applyFill="1" applyAlignment="1" applyProtection="1">
      <alignment horizontal="center" vertical="center"/>
    </xf>
    <xf numFmtId="0" fontId="5" fillId="7" borderId="0" xfId="0" applyFont="1" applyFill="1" applyAlignment="1" applyProtection="1">
      <alignment horizontal="center" vertical="center"/>
    </xf>
    <xf numFmtId="0" fontId="0" fillId="3" borderId="4" xfId="0" applyFill="1" applyBorder="1" applyAlignment="1" applyProtection="1">
      <alignment vertical="center"/>
    </xf>
    <xf numFmtId="0" fontId="6" fillId="2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vertical="center"/>
    </xf>
    <xf numFmtId="0" fontId="14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7" fillId="4" borderId="3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64" fontId="7" fillId="4" borderId="3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7" fillId="4" borderId="1" xfId="0" applyNumberFormat="1" applyFont="1" applyFill="1" applyBorder="1" applyAlignment="1" applyProtection="1">
      <alignment horizontal="center" vertical="center"/>
      <protection locked="0"/>
    </xf>
    <xf numFmtId="0" fontId="16" fillId="7" borderId="0" xfId="0" applyFont="1" applyFill="1" applyAlignment="1" applyProtection="1">
      <alignment horizontal="center" vertical="center"/>
    </xf>
    <xf numFmtId="165" fontId="6" fillId="2" borderId="0" xfId="0" applyNumberFormat="1" applyFont="1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  <protection locked="0"/>
    </xf>
    <xf numFmtId="0" fontId="3" fillId="8" borderId="0" xfId="0" applyFont="1" applyFill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0" tint="-0.499984740745262"/>
        </patternFill>
      </fill>
    </dxf>
    <dxf>
      <font>
        <color rgb="FF00B050"/>
      </font>
    </dxf>
    <dxf>
      <border>
        <bottom style="thin">
          <color rgb="FF0070C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s/de-verificaci%C3%B3n-tick-aprobado-vale-153363/" TargetMode="External"/><Relationship Id="rId7" Type="http://schemas.openxmlformats.org/officeDocument/2006/relationships/hyperlink" Target="https://pixabay.com/en/calendar-monthly-office-schedule-23684/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https://pixabay.com/en/button-reset-sign-symbol-icon-31199/" TargetMode="Externa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304800</xdr:colOff>
      <xdr:row>37</xdr:row>
      <xdr:rowOff>0</xdr:rowOff>
    </xdr:from>
    <xdr:to>
      <xdr:col>42</xdr:col>
      <xdr:colOff>463301</xdr:colOff>
      <xdr:row>39</xdr:row>
      <xdr:rowOff>6074</xdr:rowOff>
    </xdr:to>
    <xdr:pic macro="[0]!egg">
      <xdr:nvPicPr>
        <xdr:cNvPr id="10" name="Image 9" descr="Saint-Gobain - Wikipedia">
          <a:extLst>
            <a:ext uri="{FF2B5EF4-FFF2-40B4-BE49-F238E27FC236}">
              <a16:creationId xmlns:a16="http://schemas.microsoft.com/office/drawing/2014/main" id="{85C1979C-C361-49EB-8E4C-F99B6DAAE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1343025"/>
          <a:ext cx="920501" cy="406124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43</xdr:col>
      <xdr:colOff>123824</xdr:colOff>
      <xdr:row>58</xdr:row>
      <xdr:rowOff>9524</xdr:rowOff>
    </xdr:from>
    <xdr:to>
      <xdr:col>43</xdr:col>
      <xdr:colOff>638175</xdr:colOff>
      <xdr:row>60</xdr:row>
      <xdr:rowOff>142875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4D46824D-6A01-57E5-09B6-187E422DC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144249" y="5210174"/>
          <a:ext cx="514351" cy="514351"/>
        </a:xfrm>
        <a:prstGeom prst="rect">
          <a:avLst/>
        </a:prstGeom>
      </xdr:spPr>
    </xdr:pic>
    <xdr:clientData/>
  </xdr:twoCellAnchor>
  <xdr:oneCellAnchor>
    <xdr:from>
      <xdr:col>43</xdr:col>
      <xdr:colOff>183964</xdr:colOff>
      <xdr:row>61</xdr:row>
      <xdr:rowOff>180975</xdr:rowOff>
    </xdr:from>
    <xdr:ext cx="417645" cy="333375"/>
    <xdr:pic>
      <xdr:nvPicPr>
        <xdr:cNvPr id="8" name="Image 7">
          <a:extLst>
            <a:ext uri="{FF2B5EF4-FFF2-40B4-BE49-F238E27FC236}">
              <a16:creationId xmlns:a16="http://schemas.microsoft.com/office/drawing/2014/main" id="{2E2DBFCB-13E1-4B21-ADCC-3DB69E00F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31016389" y="6334125"/>
          <a:ext cx="417645" cy="333375"/>
        </a:xfrm>
        <a:prstGeom prst="rect">
          <a:avLst/>
        </a:prstGeom>
      </xdr:spPr>
    </xdr:pic>
    <xdr:clientData/>
  </xdr:oneCellAnchor>
  <xdr:twoCellAnchor editAs="oneCell">
    <xdr:from>
      <xdr:col>28</xdr:col>
      <xdr:colOff>9525</xdr:colOff>
      <xdr:row>43</xdr:row>
      <xdr:rowOff>171450</xdr:rowOff>
    </xdr:from>
    <xdr:to>
      <xdr:col>28</xdr:col>
      <xdr:colOff>266700</xdr:colOff>
      <xdr:row>45</xdr:row>
      <xdr:rowOff>47625</xdr:rowOff>
    </xdr:to>
    <xdr:pic macro="[0]!addDate">
      <xdr:nvPicPr>
        <xdr:cNvPr id="13" name="Image 12">
          <a:extLst>
            <a:ext uri="{FF2B5EF4-FFF2-40B4-BE49-F238E27FC236}">
              <a16:creationId xmlns:a16="http://schemas.microsoft.com/office/drawing/2014/main" id="{168AC830-021D-7C1C-D809-8298B09E0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19097625" y="2705100"/>
          <a:ext cx="257175" cy="25717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43183-0645-4315-BABD-8B8B2E98B59E}">
  <sheetPr codeName="Feuil1"/>
  <dimension ref="A1:NM122"/>
  <sheetViews>
    <sheetView tabSelected="1" topLeftCell="AA31" zoomScale="150" zoomScaleNormal="150" workbookViewId="0">
      <selection activeCell="AR38" sqref="AR38"/>
    </sheetView>
  </sheetViews>
  <sheetFormatPr baseColWidth="10" defaultRowHeight="15" x14ac:dyDescent="0.25"/>
  <cols>
    <col min="1" max="18" width="11.42578125" style="5" hidden="1" customWidth="1"/>
    <col min="19" max="20" width="5" style="5" hidden="1" customWidth="1"/>
    <col min="21" max="21" width="5.85546875" style="5" hidden="1" customWidth="1"/>
    <col min="22" max="22" width="6" style="5" hidden="1" customWidth="1"/>
    <col min="23" max="23" width="10.7109375" style="5" hidden="1" customWidth="1"/>
    <col min="24" max="26" width="11.42578125" style="5" hidden="1" customWidth="1"/>
    <col min="27" max="27" width="2.28515625" style="5" customWidth="1"/>
    <col min="28" max="28" width="11.42578125" style="5"/>
    <col min="29" max="29" width="8.140625" style="5" customWidth="1"/>
    <col min="30" max="30" width="13.85546875" style="5" customWidth="1"/>
    <col min="31" max="35" width="11.42578125" style="5"/>
    <col min="36" max="36" width="2.28515625" style="5" customWidth="1"/>
    <col min="37" max="38" width="10.28515625" style="5" customWidth="1"/>
    <col min="39" max="39" width="10.7109375" style="5" customWidth="1"/>
    <col min="40" max="40" width="2.28515625" style="5" customWidth="1"/>
    <col min="41" max="41" width="12.85546875" style="5" bestFit="1" customWidth="1"/>
    <col min="42" max="44" width="11.42578125" style="5"/>
    <col min="45" max="45" width="2.28515625" style="5" customWidth="1"/>
    <col min="46" max="46" width="11.42578125" style="3" customWidth="1"/>
    <col min="47" max="47" width="38.5703125" style="4" customWidth="1"/>
    <col min="48" max="49" width="9.7109375" style="4" customWidth="1"/>
    <col min="50" max="58" width="11.42578125" style="4" customWidth="1"/>
    <col min="59" max="65" width="11.42578125" style="3" customWidth="1"/>
    <col min="66" max="66" width="13.5703125" style="3" customWidth="1"/>
    <col min="67" max="75" width="11.42578125" style="3" customWidth="1"/>
    <col min="76" max="377" width="11.42578125" style="3"/>
    <col min="378" max="16384" width="11.42578125" style="5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28:44" hidden="1" x14ac:dyDescent="0.25"/>
    <row r="18" spans="28:44" hidden="1" x14ac:dyDescent="0.25"/>
    <row r="19" spans="28:44" hidden="1" x14ac:dyDescent="0.25"/>
    <row r="20" spans="28:44" hidden="1" x14ac:dyDescent="0.25"/>
    <row r="21" spans="28:44" hidden="1" x14ac:dyDescent="0.25"/>
    <row r="22" spans="28:44" hidden="1" x14ac:dyDescent="0.25"/>
    <row r="23" spans="28:44" hidden="1" x14ac:dyDescent="0.25"/>
    <row r="24" spans="28:44" hidden="1" x14ac:dyDescent="0.25"/>
    <row r="25" spans="28:44" hidden="1" x14ac:dyDescent="0.25"/>
    <row r="26" spans="28:44" hidden="1" x14ac:dyDescent="0.25"/>
    <row r="27" spans="28:44" hidden="1" x14ac:dyDescent="0.25"/>
    <row r="28" spans="28:44" hidden="1" x14ac:dyDescent="0.25"/>
    <row r="29" spans="28:44" hidden="1" x14ac:dyDescent="0.25"/>
    <row r="30" spans="28:44" hidden="1" x14ac:dyDescent="0.25"/>
    <row r="32" spans="28:44" x14ac:dyDescent="0.25">
      <c r="AB32" s="6"/>
      <c r="AC32" s="7" t="s">
        <v>35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6"/>
    </row>
    <row r="33" spans="28:70" x14ac:dyDescent="0.25">
      <c r="AB33" s="6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6"/>
      <c r="AT33" s="8"/>
      <c r="AU33" s="9"/>
      <c r="AV33" s="9"/>
      <c r="AW33" s="9"/>
      <c r="AX33" s="9"/>
    </row>
    <row r="34" spans="28:70" x14ac:dyDescent="0.25">
      <c r="AB34" s="6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6"/>
    </row>
    <row r="35" spans="28:70" x14ac:dyDescent="0.25">
      <c r="AB35" s="6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6"/>
    </row>
    <row r="36" spans="28:70" x14ac:dyDescent="0.25">
      <c r="AB36" s="6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6"/>
    </row>
    <row r="37" spans="28:70" ht="15.75" thickBot="1" x14ac:dyDescent="0.3">
      <c r="AB37" s="6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6"/>
    </row>
    <row r="38" spans="28:70" ht="15.75" thickTop="1" x14ac:dyDescent="0.25">
      <c r="AB38" s="6"/>
      <c r="AC38" s="11"/>
      <c r="AD38" s="11"/>
      <c r="AE38" s="11"/>
      <c r="AF38" s="6"/>
      <c r="AG38" s="12" t="s">
        <v>36</v>
      </c>
      <c r="AH38" s="12"/>
      <c r="AI38" s="12"/>
      <c r="AJ38" s="12"/>
      <c r="AK38" s="12"/>
      <c r="AL38" s="12"/>
      <c r="AM38" s="6"/>
      <c r="AN38" s="6"/>
      <c r="AO38" s="6"/>
      <c r="AP38" s="6"/>
      <c r="AQ38" s="6"/>
      <c r="AR38" s="6"/>
    </row>
    <row r="39" spans="28:70" ht="15.75" thickBot="1" x14ac:dyDescent="0.3">
      <c r="AB39" s="6"/>
      <c r="AC39" s="6"/>
      <c r="AD39" s="6"/>
      <c r="AE39" s="6"/>
      <c r="AF39" s="6"/>
      <c r="AG39" s="12"/>
      <c r="AH39" s="12"/>
      <c r="AI39" s="12"/>
      <c r="AJ39" s="12"/>
      <c r="AK39" s="12"/>
      <c r="AL39" s="12"/>
      <c r="AM39" s="6"/>
      <c r="AN39" s="6"/>
      <c r="AO39" s="6"/>
      <c r="AP39" s="6"/>
      <c r="AQ39" s="6"/>
      <c r="AR39" s="6"/>
    </row>
    <row r="40" spans="28:70" ht="16.5" thickTop="1" thickBot="1" x14ac:dyDescent="0.25">
      <c r="AB40" s="6"/>
      <c r="AC40" s="13" t="s">
        <v>39</v>
      </c>
      <c r="AD40" s="14"/>
      <c r="AE40" s="15"/>
      <c r="AF40" s="6"/>
      <c r="AG40" s="12"/>
      <c r="AH40" s="12"/>
      <c r="AI40" s="12"/>
      <c r="AJ40" s="12"/>
      <c r="AK40" s="12"/>
      <c r="AL40" s="12"/>
      <c r="AM40" s="6"/>
      <c r="AN40" s="6"/>
      <c r="AO40" s="6"/>
      <c r="AP40" s="16" t="s">
        <v>37</v>
      </c>
      <c r="AQ40" s="16"/>
      <c r="AR40" s="6"/>
    </row>
    <row r="41" spans="28:70" ht="15.75" thickTop="1" x14ac:dyDescent="0.25">
      <c r="AB41" s="6"/>
      <c r="AC41" s="6"/>
      <c r="AD41" s="6"/>
      <c r="AE41" s="6"/>
      <c r="AF41" s="6"/>
      <c r="AG41" s="12"/>
      <c r="AH41" s="12"/>
      <c r="AI41" s="12"/>
      <c r="AJ41" s="12"/>
      <c r="AK41" s="12"/>
      <c r="AL41" s="12"/>
      <c r="AM41" s="6"/>
      <c r="AN41" s="6"/>
      <c r="AO41" s="6"/>
      <c r="AP41" s="17" t="s">
        <v>38</v>
      </c>
      <c r="AQ41" s="17"/>
      <c r="AR41" s="6"/>
    </row>
    <row r="42" spans="28:70" x14ac:dyDescent="0.25">
      <c r="AB42" s="6"/>
      <c r="AC42" s="6"/>
      <c r="AD42" s="6"/>
      <c r="AE42" s="6"/>
      <c r="AF42" s="6"/>
      <c r="AG42" s="18" t="s">
        <v>40</v>
      </c>
      <c r="AH42" s="18"/>
      <c r="AI42" s="18"/>
      <c r="AJ42" s="18"/>
      <c r="AK42" s="18"/>
      <c r="AL42" s="18"/>
      <c r="AM42" s="6"/>
      <c r="AN42" s="6"/>
      <c r="AO42" s="6"/>
      <c r="AP42" s="19"/>
      <c r="AQ42" s="19"/>
      <c r="AR42" s="6"/>
    </row>
    <row r="44" spans="28:70" x14ac:dyDescent="0.25">
      <c r="AB44" s="20" t="s">
        <v>18</v>
      </c>
      <c r="AC44" s="20"/>
      <c r="AD44" s="20"/>
      <c r="AE44" s="20"/>
      <c r="AF44" s="20"/>
      <c r="AG44" s="20"/>
      <c r="AH44" s="20"/>
      <c r="AI44" s="20"/>
      <c r="AK44" s="20" t="s">
        <v>19</v>
      </c>
      <c r="AL44" s="20"/>
      <c r="AM44" s="20"/>
      <c r="AN44" s="20"/>
      <c r="AO44" s="20"/>
      <c r="AP44" s="20"/>
      <c r="AQ44" s="20"/>
      <c r="AR44" s="20"/>
      <c r="AU44" s="21" t="s">
        <v>78</v>
      </c>
      <c r="AV44" s="21" t="s">
        <v>90</v>
      </c>
      <c r="AW44" s="21" t="s">
        <v>4</v>
      </c>
      <c r="AX44" s="21" t="s">
        <v>80</v>
      </c>
      <c r="AY44" s="21" t="s">
        <v>7</v>
      </c>
      <c r="AZ44" s="21" t="s">
        <v>75</v>
      </c>
      <c r="BA44" s="21" t="str" cm="1">
        <f t="array" ref="BA44:BG45">TRANSPOSE(AO58:AP64)</f>
        <v>OK</v>
      </c>
      <c r="BB44" s="21" t="str">
        <v>NC</v>
      </c>
      <c r="BC44" s="21" t="str">
        <v>Trou</v>
      </c>
      <c r="BD44" s="21" t="str">
        <v>Fil</v>
      </c>
      <c r="BE44" s="21" t="str">
        <v>Poids</v>
      </c>
      <c r="BF44" s="21" t="str">
        <v>Autre</v>
      </c>
      <c r="BG44" s="22" t="str">
        <v>Démarrage</v>
      </c>
      <c r="BH44" s="21" t="str" cm="1">
        <f t="array" ref="BH44:BN44">CONCATENATE(TRANSPOSE(AO58:AO64)," (g)")</f>
        <v>OK (g)</v>
      </c>
      <c r="BI44" s="21" t="str">
        <v>NC (g)</v>
      </c>
      <c r="BJ44" s="21" t="str">
        <v>Trou (g)</v>
      </c>
      <c r="BK44" s="21" t="str">
        <v>Fil (g)</v>
      </c>
      <c r="BL44" s="21" t="str">
        <v>Poids (g)</v>
      </c>
      <c r="BM44" s="21" t="str">
        <v>Autre (g)</v>
      </c>
      <c r="BN44" s="22" t="str">
        <v>Démarrage (g)</v>
      </c>
      <c r="BO44" s="22" t="s">
        <v>91</v>
      </c>
      <c r="BP44" s="22" t="s">
        <v>92</v>
      </c>
      <c r="BQ44" s="22" t="s">
        <v>93</v>
      </c>
      <c r="BR44" s="22" t="s">
        <v>85</v>
      </c>
    </row>
    <row r="45" spans="28:70" x14ac:dyDescent="0.25">
      <c r="AB45" s="63">
        <f>IF(posteDate&lt;&gt;"",posteDate,"")</f>
        <v>45033</v>
      </c>
      <c r="AC45" s="23" t="s">
        <v>0</v>
      </c>
      <c r="AD45" s="61">
        <v>45033</v>
      </c>
      <c r="AE45" s="24">
        <f>IF(AD45&lt;&gt;"",AD45-DATE(YEAR(AD45),1,1)+1,"")</f>
        <v>107</v>
      </c>
      <c r="AF45" s="23" t="s">
        <v>96</v>
      </c>
      <c r="AG45" s="58" t="s">
        <v>64</v>
      </c>
      <c r="AH45" s="23" t="s">
        <v>5</v>
      </c>
      <c r="AI45" s="58"/>
      <c r="AK45" s="56"/>
      <c r="AL45" s="56"/>
      <c r="AM45" s="56"/>
      <c r="AN45" s="56"/>
      <c r="AO45" s="56"/>
      <c r="AP45" s="56"/>
      <c r="AQ45" s="56"/>
      <c r="AR45" s="56"/>
      <c r="AU45" s="4" t="str">
        <f>CONCATENATE(23,"_",posteDate,"_",postePeriode,"_",posteOperateur,"_",prodType)</f>
        <v>23_45033_Après-midi_Jerry B._80g/m2</v>
      </c>
      <c r="AV45" s="4">
        <f>AD49</f>
        <v>480</v>
      </c>
      <c r="AW45" s="4" t="str">
        <f>posteMachine</f>
        <v>F</v>
      </c>
      <c r="AX45" s="4" t="str">
        <f>prodType</f>
        <v>80g/m2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3">
        <v>0</v>
      </c>
      <c r="BH45" s="3" cm="1">
        <f t="array" ref="BH45:BN45">TRANSPOSE(AQ58:AQ64)</f>
        <v>0</v>
      </c>
      <c r="BI45" s="3">
        <v>0</v>
      </c>
      <c r="BJ45" s="3">
        <v>0</v>
      </c>
      <c r="BK45" s="3">
        <v>0</v>
      </c>
      <c r="BL45" s="3">
        <v>0</v>
      </c>
      <c r="BM45" s="3">
        <v>0</v>
      </c>
      <c r="BN45" s="3">
        <v>0</v>
      </c>
      <c r="BO45" s="3" t="str">
        <f>AL65</f>
        <v/>
      </c>
      <c r="BP45" s="3" t="str">
        <f>AM65</f>
        <v/>
      </c>
      <c r="BQ45" s="3" t="str">
        <f>AL74</f>
        <v/>
      </c>
      <c r="BR45" s="3" t="str">
        <f>AM74</f>
        <v/>
      </c>
    </row>
    <row r="46" spans="28:70" x14ac:dyDescent="0.25">
      <c r="AC46" s="23" t="s">
        <v>1</v>
      </c>
      <c r="AD46" s="60" t="s">
        <v>51</v>
      </c>
      <c r="AF46" s="23" t="s">
        <v>4</v>
      </c>
      <c r="AG46" s="57" t="str">
        <f>IF(prodType&lt;&gt;"",IF(AG47="nappes","F","E"),"")</f>
        <v>F</v>
      </c>
      <c r="AH46" s="23" t="s">
        <v>6</v>
      </c>
      <c r="AI46" s="57"/>
      <c r="AK46" s="56"/>
      <c r="AL46" s="56"/>
      <c r="AM46" s="56"/>
      <c r="AN46" s="56"/>
      <c r="AO46" s="56"/>
      <c r="AP46" s="56"/>
      <c r="AQ46" s="56"/>
      <c r="AR46" s="56"/>
    </row>
    <row r="47" spans="28:70" x14ac:dyDescent="0.25">
      <c r="AC47" s="23" t="s">
        <v>2</v>
      </c>
      <c r="AD47" s="60" t="s">
        <v>48</v>
      </c>
      <c r="AG47" s="25" t="str">
        <f>IF(prodType&lt;&gt;"",IF(RIGHT(prodType,1)="g","vrac","nappes"),"")</f>
        <v>nappes</v>
      </c>
      <c r="AK47" s="56"/>
      <c r="AL47" s="56"/>
      <c r="AM47" s="56"/>
      <c r="AN47" s="56"/>
      <c r="AO47" s="56"/>
      <c r="AP47" s="56"/>
      <c r="AQ47" s="56"/>
      <c r="AR47" s="56"/>
    </row>
    <row r="48" spans="28:70" x14ac:dyDescent="0.2">
      <c r="AC48" s="23" t="s">
        <v>3</v>
      </c>
      <c r="AD48" s="59">
        <v>0.33333333333333331</v>
      </c>
      <c r="AE48" s="26" t="s">
        <v>56</v>
      </c>
      <c r="AF48" s="27" t="s">
        <v>7</v>
      </c>
      <c r="AG48" s="68">
        <v>1</v>
      </c>
      <c r="AH48" s="23" t="s">
        <v>75</v>
      </c>
      <c r="AI48" s="68">
        <v>2</v>
      </c>
      <c r="AK48" s="56"/>
      <c r="AL48" s="56"/>
      <c r="AM48" s="56"/>
      <c r="AN48" s="56"/>
      <c r="AO48" s="56"/>
      <c r="AP48" s="56"/>
      <c r="AQ48" s="56"/>
      <c r="AR48" s="56"/>
    </row>
    <row r="49" spans="19:60" x14ac:dyDescent="0.25">
      <c r="AC49" s="28"/>
      <c r="AD49" s="29">
        <f>IF(posteDuration&lt;&gt;"",posteDuration*60*24,"")</f>
        <v>480</v>
      </c>
    </row>
    <row r="50" spans="19:60" x14ac:dyDescent="0.25">
      <c r="S50" s="5">
        <f>SUM(S52:S121)</f>
        <v>0</v>
      </c>
      <c r="T50" s="5">
        <f t="shared" ref="T50:W50" si="0">SUM(T52:T121)</f>
        <v>0</v>
      </c>
      <c r="U50" s="5">
        <f t="shared" si="0"/>
        <v>0</v>
      </c>
      <c r="V50" s="5">
        <f t="shared" si="0"/>
        <v>0</v>
      </c>
      <c r="W50" s="5">
        <f t="shared" si="0"/>
        <v>0</v>
      </c>
      <c r="AB50" s="20" t="s">
        <v>16</v>
      </c>
      <c r="AC50" s="20"/>
      <c r="AD50" s="20"/>
      <c r="AE50" s="20"/>
      <c r="AF50" s="20"/>
      <c r="AG50" s="20"/>
      <c r="AH50" s="30" t="s">
        <v>17</v>
      </c>
      <c r="AI50" s="30"/>
      <c r="AK50" s="20" t="s">
        <v>32</v>
      </c>
      <c r="AL50" s="20"/>
      <c r="AM50" s="20"/>
      <c r="AO50" s="20" t="s">
        <v>76</v>
      </c>
      <c r="AP50" s="20"/>
      <c r="AQ50" s="20"/>
      <c r="AR50" s="20"/>
    </row>
    <row r="51" spans="19:60" ht="15" customHeight="1" x14ac:dyDescent="0.25">
      <c r="S51" s="5" t="str" cm="1">
        <f t="array" ref="S51:W51">TRANSPOSE(dataProduits!A2:A6)</f>
        <v>Trou</v>
      </c>
      <c r="T51" s="5" t="str">
        <v>Fil</v>
      </c>
      <c r="U51" s="5" t="str">
        <v>Poids</v>
      </c>
      <c r="V51" s="5" t="str">
        <v>Autre</v>
      </c>
      <c r="W51" s="5" t="str">
        <v>Démarrage</v>
      </c>
      <c r="X51" s="5" t="s">
        <v>89</v>
      </c>
      <c r="Y51" s="5" t="s">
        <v>88</v>
      </c>
      <c r="Z51" s="27" t="s">
        <v>77</v>
      </c>
      <c r="AB51" s="31" t="s">
        <v>95</v>
      </c>
      <c r="AC51" s="31" t="s">
        <v>9</v>
      </c>
      <c r="AD51" s="32" t="s">
        <v>10</v>
      </c>
      <c r="AE51" s="31" t="s">
        <v>11</v>
      </c>
      <c r="AF51" s="31" t="s">
        <v>12</v>
      </c>
      <c r="AG51" s="31" t="s">
        <v>13</v>
      </c>
      <c r="AH51" s="33" t="s">
        <v>14</v>
      </c>
      <c r="AI51" s="34" t="s">
        <v>15</v>
      </c>
      <c r="AK51" s="62">
        <f>IF(AM51&lt;&gt;"",AQ58/AM51*100,"")</f>
        <v>0</v>
      </c>
      <c r="AL51" s="62"/>
      <c r="AM51" s="31">
        <f>IF(AND(prodType&lt;&gt;"",AD49&lt;&gt;""),IF(prodType="80g/m2",VLOOKUP(AD49,matriceTRS!E:H,4,TRUE),IF(prodType="65g/m2",VLOOKUP(AD49,matriceTRS!F:H,3,TRUE),IF(AG47="vrac",VLOOKUP(AD49,matriceTRS!K1:M14,3,TRUE)))),"")</f>
        <v>30</v>
      </c>
      <c r="AO51" s="35" t="str">
        <f>IF(prodType&lt;&gt;"",AG45,"")</f>
        <v>80g/m2</v>
      </c>
      <c r="AP51" s="36" t="s">
        <v>28</v>
      </c>
      <c r="AQ51" s="36" t="s">
        <v>29</v>
      </c>
      <c r="AR51" s="36" t="s">
        <v>30</v>
      </c>
      <c r="AU51" s="21" t="s">
        <v>79</v>
      </c>
      <c r="AV51" s="21" t="s">
        <v>81</v>
      </c>
      <c r="AW51" s="21" t="s">
        <v>8</v>
      </c>
      <c r="AX51" s="21" t="s">
        <v>80</v>
      </c>
      <c r="AY51" s="21" t="s">
        <v>26</v>
      </c>
      <c r="AZ51" s="21" t="s">
        <v>4</v>
      </c>
      <c r="BA51" s="21" t="s">
        <v>86</v>
      </c>
      <c r="BB51" s="21" t="s">
        <v>57</v>
      </c>
      <c r="BC51" s="21" t="s">
        <v>82</v>
      </c>
      <c r="BD51" s="21" t="s">
        <v>83</v>
      </c>
      <c r="BE51" s="21" t="s">
        <v>84</v>
      </c>
      <c r="BF51" s="21" t="s">
        <v>85</v>
      </c>
      <c r="BG51" s="21" t="s">
        <v>7</v>
      </c>
      <c r="BH51" s="21"/>
    </row>
    <row r="52" spans="19:60" ht="15" customHeight="1" x14ac:dyDescent="0.25">
      <c r="S52" s="5" t="str">
        <f>IF($AD52=S$51,$AI52,"")</f>
        <v/>
      </c>
      <c r="T52" s="5" t="str">
        <f t="shared" ref="T52:W67" si="1">IF($AD52=T$51,$AI52,"")</f>
        <v/>
      </c>
      <c r="U52" s="5" t="str">
        <f t="shared" si="1"/>
        <v/>
      </c>
      <c r="V52" s="5" t="str">
        <f t="shared" si="1"/>
        <v/>
      </c>
      <c r="W52" s="5" t="str">
        <f t="shared" si="1"/>
        <v/>
      </c>
      <c r="X52" s="5" t="str">
        <f>IF(Y52&lt;&gt;"",SUM(Y$52:Y52),"")</f>
        <v/>
      </c>
      <c r="Y52" s="5" t="str">
        <f>IF(AND(AF52&lt;&gt;"",AD52&lt;&gt;""),IF(OR(prodType="2x250g",AG52="2x250g"),0.5,1),"")</f>
        <v/>
      </c>
      <c r="Z52" s="5" t="str">
        <f>IF(AND(AF52&lt;&gt;"",AD52=""),IF(AG52="500g",1,IF(OR(prodType="2x250g",AND(AG52="2x250g")),0.5,1)),"")</f>
        <v/>
      </c>
      <c r="AB52" s="27" t="str">
        <f>IF(RIGHT(prodType,1)="g","droite","")</f>
        <v/>
      </c>
      <c r="AC52" s="37" t="str">
        <f>IF(Z52&lt;&gt;"",SUM(Z$52:Z52),"")</f>
        <v/>
      </c>
      <c r="AD52" s="54"/>
      <c r="AE52" s="64"/>
      <c r="AF52" s="54"/>
      <c r="AG52" s="54"/>
      <c r="AH52" s="4">
        <f>IF(AF52&lt;&gt;"",IF(AD52="",IF(AE52="",AF52,AF52-AE52),0),0)</f>
        <v>0</v>
      </c>
      <c r="AI52" s="4">
        <f>IF(AF52&lt;&gt;"",IF(AD52&lt;&gt;"",IF(AE52="",AF52,AF52-AE52),0),0)</f>
        <v>0</v>
      </c>
      <c r="AK52" s="62"/>
      <c r="AL52" s="62"/>
      <c r="AM52" s="38" t="s">
        <v>33</v>
      </c>
      <c r="AO52" s="39" t="s">
        <v>73</v>
      </c>
      <c r="AP52" s="40">
        <v>25</v>
      </c>
      <c r="AQ52" s="40">
        <v>35</v>
      </c>
      <c r="AR52" s="40">
        <v>50</v>
      </c>
      <c r="AU52" s="4" t="str">
        <f>IF(AF52&lt;&gt;"",CONCATENATE(AU$45,"_",AC52),"")</f>
        <v/>
      </c>
      <c r="AV52" s="4" t="str">
        <f>IF(AX52&lt;&gt;"",IF(AD52="",AC52,CONCATENATE("NC_",X52)),"")</f>
        <v/>
      </c>
      <c r="AW52" s="4" t="str">
        <f>IF(AU52&lt;&gt;"",AB52,"")</f>
        <v/>
      </c>
      <c r="AX52" s="4" t="str">
        <f>IF(AU52&lt;&gt;"",IF(AND(AG52=""),prodType,AG52),"")</f>
        <v/>
      </c>
      <c r="AY52" s="4" t="str">
        <f>IF(AU52&lt;&gt;"",IF(AD52="",AH52,AI52),"")</f>
        <v/>
      </c>
      <c r="AZ52" s="4" t="str">
        <f>IF(AU52&lt;&gt;"",posteMachine,"")</f>
        <v/>
      </c>
      <c r="BA52" s="4" t="str">
        <f>IF(AU52&lt;&gt;"",posteOperateur,"")</f>
        <v/>
      </c>
      <c r="BB52" s="4" t="str">
        <f>IF(AU52&lt;&gt;"",AD52,"")</f>
        <v/>
      </c>
      <c r="BC52" s="4" t="str">
        <f>IFERROR(VLOOKUP(AV52,micCtl,2,FALSE),"")</f>
        <v/>
      </c>
      <c r="BD52" s="4" t="str">
        <f>IFERROR(VLOOKUP(AV52,micCtl,3,FALSE),"")</f>
        <v/>
      </c>
      <c r="BE52" s="4" t="str">
        <f>IFERROR(VLOOKUP(AV52,finalCtl,2,FALSE),"")</f>
        <v/>
      </c>
      <c r="BF52" s="4" t="str">
        <f>IFERROR(VLOOKUP(AV52,finalCtl,3,FALSE),"")</f>
        <v/>
      </c>
      <c r="BG52" s="3" t="str">
        <f>IF(AU52&lt;&gt;"",IF(AG52="",AG$48,AI$48),"")</f>
        <v/>
      </c>
    </row>
    <row r="53" spans="19:60" ht="15" customHeight="1" x14ac:dyDescent="0.25">
      <c r="S53" s="5" t="str">
        <f t="shared" ref="S53:W84" si="2">IF($AD53=S$51,$AI53,"")</f>
        <v/>
      </c>
      <c r="T53" s="5" t="str">
        <f t="shared" si="1"/>
        <v/>
      </c>
      <c r="U53" s="5" t="str">
        <f t="shared" si="1"/>
        <v/>
      </c>
      <c r="V53" s="5" t="str">
        <f t="shared" si="1"/>
        <v/>
      </c>
      <c r="W53" s="5" t="str">
        <f t="shared" si="1"/>
        <v/>
      </c>
      <c r="X53" s="5" t="str">
        <f>IF(Y53&lt;&gt;"",SUM(Y$52:Y53),"")</f>
        <v/>
      </c>
      <c r="Y53" s="5" t="str">
        <f>IF(AND(AF53&lt;&gt;"",AD53&lt;&gt;""),IF(OR(prodType="2x250g",AG53="2x250g"),0.5,1),"")</f>
        <v/>
      </c>
      <c r="Z53" s="5" t="str">
        <f>IF(AND(AF53&lt;&gt;"",AD53=""),IF(AG53="500g",1,IF(OR(prodType="2x250g",AND(AG53="2x250g")),0.5,1)),"")</f>
        <v/>
      </c>
      <c r="AB53" s="27" t="str">
        <f>IF(RIGHT(prodType,1)="g","gauche","")</f>
        <v/>
      </c>
      <c r="AC53" s="37" t="str">
        <f>IF(Z53&lt;&gt;"",SUM(Z$52:Z53),"")</f>
        <v/>
      </c>
      <c r="AD53" s="54"/>
      <c r="AE53" s="64"/>
      <c r="AF53" s="54"/>
      <c r="AG53" s="54"/>
      <c r="AH53" s="4">
        <f>IF(AF53&lt;&gt;"",IF(AD53="",IF(AE53="",AF53,AF53-AE53),0),0)</f>
        <v>0</v>
      </c>
      <c r="AI53" s="4">
        <f>IF(AF53&lt;&gt;"",IF(AD53&lt;&gt;"",IF(AE53="",AF53,AF53-AE53),0),0)</f>
        <v>0</v>
      </c>
      <c r="AK53" s="62"/>
      <c r="AL53" s="62"/>
      <c r="AM53" s="38"/>
      <c r="AO53" s="39" t="str">
        <f>IF(AG47&lt;&gt;"","poids fibrage","")</f>
        <v>poids fibrage</v>
      </c>
      <c r="AP53" s="40">
        <f>IF($AO$51&lt;&gt;"",HLOOKUP(prodType,dataProduits!$D$1:$H$10,2,FALSE),"")</f>
        <v>380</v>
      </c>
      <c r="AQ53" s="40">
        <f>IF($AO$51&lt;&gt;"",HLOOKUP(prodType,dataProduits!$D$1:$H$10,3,FALSE),"")</f>
        <v>380</v>
      </c>
      <c r="AR53" s="40">
        <f>IF($AO$51&lt;&gt;"",HLOOKUP(prodType,dataProduits!$D$1:$H$10,4,FALSE),"")</f>
        <v>410</v>
      </c>
      <c r="AU53" s="4" t="str">
        <f t="shared" ref="AU53:AU116" si="3">IF(AF53&lt;&gt;"",CONCATENATE(AU$45,"_",AC53),"")</f>
        <v/>
      </c>
      <c r="AV53" s="4" t="str">
        <f t="shared" ref="AV53:AV116" si="4">IF(AX53&lt;&gt;"",IF(AD53="",AC53,CONCATENATE("NC_",X53)),"")</f>
        <v/>
      </c>
      <c r="AW53" s="4" t="str">
        <f t="shared" ref="AW53:AW116" si="5">IF(AU53&lt;&gt;"",AB53,"")</f>
        <v/>
      </c>
      <c r="AX53" s="4" t="str">
        <f>IF(AU53&lt;&gt;"",IF(AND(AG53=""),prodType,AG53),"")</f>
        <v/>
      </c>
      <c r="AY53" s="4" t="str">
        <f t="shared" ref="AY53:AY116" si="6">IF(AU53&lt;&gt;"",IF(AD53="",AH53,AI53),"")</f>
        <v/>
      </c>
      <c r="AZ53" s="4" t="str">
        <f>IF(AU53&lt;&gt;"",posteMachine,"")</f>
        <v/>
      </c>
      <c r="BA53" s="4" t="str">
        <f>IF(AU53&lt;&gt;"",posteOperateur,"")</f>
        <v/>
      </c>
      <c r="BB53" s="4" t="str">
        <f t="shared" ref="BB53:BB116" si="7">IF(AU53&lt;&gt;"",AD53,"")</f>
        <v/>
      </c>
      <c r="BC53" s="4" t="str">
        <f>IFERROR(VLOOKUP(AV53,micCtl,2,FALSE),"")</f>
        <v/>
      </c>
      <c r="BD53" s="4" t="str">
        <f>IFERROR(VLOOKUP(AV53,micCtl,3,FALSE),"")</f>
        <v/>
      </c>
      <c r="BE53" s="4" t="str">
        <f>IFERROR(VLOOKUP(AV53,finalCtl,2,FALSE),"")</f>
        <v/>
      </c>
      <c r="BF53" s="4" t="str">
        <f>IFERROR(VLOOKUP(AV53,finalCtl,3,FALSE),"")</f>
        <v/>
      </c>
      <c r="BG53" s="3" t="str">
        <f t="shared" ref="BG53:BG116" si="8">IF(AU53&lt;&gt;"",IF(AG53="",AG$48,AI$48),"")</f>
        <v/>
      </c>
    </row>
    <row r="54" spans="19:60" ht="15" customHeight="1" x14ac:dyDescent="0.25">
      <c r="S54" s="5" t="str">
        <f t="shared" si="2"/>
        <v/>
      </c>
      <c r="T54" s="5" t="str">
        <f t="shared" si="1"/>
        <v/>
      </c>
      <c r="U54" s="5" t="str">
        <f t="shared" si="1"/>
        <v/>
      </c>
      <c r="V54" s="5" t="str">
        <f t="shared" si="1"/>
        <v/>
      </c>
      <c r="W54" s="5" t="str">
        <f t="shared" si="1"/>
        <v/>
      </c>
      <c r="X54" s="5" t="str">
        <f>IF(Y54&lt;&gt;"",SUM(Y$52:Y54),"")</f>
        <v/>
      </c>
      <c r="Y54" s="5" t="str">
        <f>IF(AND(AF54&lt;&gt;"",AD54&lt;&gt;""),IF(OR(prodType="2x250g",AG54="2x250g"),0.5,1),"")</f>
        <v/>
      </c>
      <c r="Z54" s="5" t="str">
        <f>IF(AND(AF54&lt;&gt;"",AD54=""),IF(AG54="500g",1,IF(OR(prodType="2x250g",AND(AG54="2x250g")),0.5,1)),"")</f>
        <v/>
      </c>
      <c r="AB54" s="27" t="str">
        <f>IF(RIGHT(prodType,1)="g","droite","")</f>
        <v/>
      </c>
      <c r="AC54" s="37" t="str">
        <f>IF(Z54&lt;&gt;"",SUM(Z$52:Z54),"")</f>
        <v/>
      </c>
      <c r="AD54" s="54"/>
      <c r="AE54" s="64"/>
      <c r="AF54" s="54"/>
      <c r="AG54" s="54"/>
      <c r="AH54" s="4">
        <f t="shared" ref="AH54:AH116" si="9">IF(AF54&lt;&gt;"",IF(AD54="",IF(AE54="",AF54,AF54-AE54),0),0)</f>
        <v>0</v>
      </c>
      <c r="AI54" s="4">
        <f t="shared" ref="AI54:AI116" si="10">IF(AF54&lt;&gt;"",IF(AD54&lt;&gt;"",IF(AE54="",AF54,AF54-AE54),0),0)</f>
        <v>0</v>
      </c>
      <c r="AK54" s="62"/>
      <c r="AL54" s="62"/>
      <c r="AM54" s="38"/>
      <c r="AO54" s="39" t="str">
        <f>IF(AND($AO$51&lt;&gt;"500g",$AO$51&lt;&gt;"2x250g",$AO$51&lt;&gt;"50g",AO51&lt;&gt;""),"pds enssimage","")</f>
        <v>pds enssimage</v>
      </c>
      <c r="AP54" s="40">
        <f>IF($AO$54&lt;&gt;"",HLOOKUP(prodType,dataProduits!$D$1:$H$10,9,FALSE),"")</f>
        <v>252</v>
      </c>
      <c r="AQ54" s="40"/>
      <c r="AR54" s="40">
        <f>IF($AO$54&lt;&gt;"",HLOOKUP(prodType,dataProduits!$D$1:$H$10,10,FALSE),"")</f>
        <v>308</v>
      </c>
      <c r="AU54" s="4" t="str">
        <f t="shared" si="3"/>
        <v/>
      </c>
      <c r="AV54" s="4" t="str">
        <f t="shared" si="4"/>
        <v/>
      </c>
      <c r="AW54" s="4" t="str">
        <f t="shared" si="5"/>
        <v/>
      </c>
      <c r="AX54" s="4" t="str">
        <f>IF(AU54&lt;&gt;"",IF(AND(AG54=""),prodType,AG54),"")</f>
        <v/>
      </c>
      <c r="AY54" s="4" t="str">
        <f t="shared" si="6"/>
        <v/>
      </c>
      <c r="AZ54" s="4" t="str">
        <f>IF(AU54&lt;&gt;"",posteMachine,"")</f>
        <v/>
      </c>
      <c r="BA54" s="4" t="str">
        <f>IF(AU54&lt;&gt;"",posteOperateur,"")</f>
        <v/>
      </c>
      <c r="BB54" s="4" t="str">
        <f t="shared" si="7"/>
        <v/>
      </c>
      <c r="BC54" s="4" t="str">
        <f>IFERROR(VLOOKUP(AV54,micCtl,2,FALSE),"")</f>
        <v/>
      </c>
      <c r="BD54" s="4" t="str">
        <f>IFERROR(VLOOKUP(AV54,micCtl,3,FALSE),"")</f>
        <v/>
      </c>
      <c r="BE54" s="4" t="str">
        <f>IFERROR(VLOOKUP(AV54,finalCtl,2,FALSE),"")</f>
        <v/>
      </c>
      <c r="BF54" s="4" t="str">
        <f>IFERROR(VLOOKUP(AV54,finalCtl,3,FALSE),"")</f>
        <v/>
      </c>
      <c r="BG54" s="3" t="str">
        <f t="shared" si="8"/>
        <v/>
      </c>
    </row>
    <row r="55" spans="19:60" ht="15" customHeight="1" x14ac:dyDescent="0.25">
      <c r="S55" s="5" t="str">
        <f t="shared" si="2"/>
        <v/>
      </c>
      <c r="T55" s="5" t="str">
        <f t="shared" si="1"/>
        <v/>
      </c>
      <c r="U55" s="5" t="str">
        <f t="shared" si="1"/>
        <v/>
      </c>
      <c r="V55" s="5" t="str">
        <f t="shared" si="1"/>
        <v/>
      </c>
      <c r="W55" s="5" t="str">
        <f t="shared" si="1"/>
        <v/>
      </c>
      <c r="X55" s="5" t="str">
        <f>IF(Y55&lt;&gt;"",SUM(Y$52:Y55),"")</f>
        <v/>
      </c>
      <c r="Y55" s="5" t="str">
        <f>IF(AND(AF55&lt;&gt;"",AD55&lt;&gt;""),IF(OR(prodType="2x250g",AG55="2x250g"),0.5,1),"")</f>
        <v/>
      </c>
      <c r="Z55" s="5" t="str">
        <f>IF(AND(AF55&lt;&gt;"",AD55=""),IF(AG55="500g",1,IF(OR(prodType="2x250g",AND(AG55="2x250g")),0.5,1)),"")</f>
        <v/>
      </c>
      <c r="AB55" s="27" t="str">
        <f>IF(RIGHT(prodType,1)="g","gauche","")</f>
        <v/>
      </c>
      <c r="AC55" s="37" t="str">
        <f>IF(Z55&lt;&gt;"",SUM(Z$52:Z55),"")</f>
        <v/>
      </c>
      <c r="AD55" s="54"/>
      <c r="AE55" s="64"/>
      <c r="AF55" s="54"/>
      <c r="AG55" s="54"/>
      <c r="AH55" s="4">
        <f t="shared" si="9"/>
        <v>0</v>
      </c>
      <c r="AI55" s="4">
        <f t="shared" si="10"/>
        <v>0</v>
      </c>
      <c r="AK55" s="62"/>
      <c r="AL55" s="62"/>
      <c r="AM55" s="38"/>
      <c r="AO55" s="39" t="str">
        <f>IF(AND($AO$51&lt;&gt;"500g",$AO$51&lt;&gt;"2x250g",$AO$51&lt;&gt;"50g",AO51&lt;&gt;""),"ep enssimage","")</f>
        <v>ep enssimage</v>
      </c>
      <c r="AP55" s="40">
        <f>IF($AO$54&lt;&gt;"",HLOOKUP(prodType,dataProduits!$D$1:$H$10,6,FALSE),"")</f>
        <v>3.6</v>
      </c>
      <c r="AQ55" s="40"/>
      <c r="AR55" s="40"/>
      <c r="AU55" s="4" t="str">
        <f t="shared" si="3"/>
        <v/>
      </c>
      <c r="AV55" s="4" t="str">
        <f t="shared" si="4"/>
        <v/>
      </c>
      <c r="AW55" s="4" t="str">
        <f t="shared" si="5"/>
        <v/>
      </c>
      <c r="AX55" s="4" t="str">
        <f>IF(AU55&lt;&gt;"",IF(AND(AG55=""),prodType,AG55),"")</f>
        <v/>
      </c>
      <c r="AY55" s="4" t="str">
        <f t="shared" si="6"/>
        <v/>
      </c>
      <c r="AZ55" s="4" t="str">
        <f>IF(AU55&lt;&gt;"",posteMachine,"")</f>
        <v/>
      </c>
      <c r="BA55" s="4" t="str">
        <f>IF(AU55&lt;&gt;"",posteOperateur,"")</f>
        <v/>
      </c>
      <c r="BB55" s="4" t="str">
        <f t="shared" si="7"/>
        <v/>
      </c>
      <c r="BC55" s="4" t="str">
        <f>IFERROR(VLOOKUP(AV55,micCtl,2,FALSE),"")</f>
        <v/>
      </c>
      <c r="BD55" s="4" t="str">
        <f>IFERROR(VLOOKUP(AV55,micCtl,3,FALSE),"")</f>
        <v/>
      </c>
      <c r="BE55" s="4" t="str">
        <f>IFERROR(VLOOKUP(AV55,finalCtl,2,FALSE),"")</f>
        <v/>
      </c>
      <c r="BF55" s="4" t="str">
        <f>IFERROR(VLOOKUP(AV55,finalCtl,3,FALSE),"")</f>
        <v/>
      </c>
      <c r="BG55" s="3" t="str">
        <f t="shared" si="8"/>
        <v/>
      </c>
    </row>
    <row r="56" spans="19:60" ht="15" customHeight="1" x14ac:dyDescent="0.25">
      <c r="S56" s="5" t="str">
        <f t="shared" si="2"/>
        <v/>
      </c>
      <c r="T56" s="5" t="str">
        <f t="shared" si="1"/>
        <v/>
      </c>
      <c r="U56" s="5" t="str">
        <f t="shared" si="1"/>
        <v/>
      </c>
      <c r="V56" s="5" t="str">
        <f t="shared" si="1"/>
        <v/>
      </c>
      <c r="W56" s="5" t="str">
        <f t="shared" si="1"/>
        <v/>
      </c>
      <c r="X56" s="5" t="str">
        <f>IF(Y56&lt;&gt;"",SUM(Y$52:Y56),"")</f>
        <v/>
      </c>
      <c r="Y56" s="5" t="str">
        <f>IF(AND(AF56&lt;&gt;"",AD56&lt;&gt;""),IF(OR(prodType="2x250g",AG56="2x250g"),0.5,1),"")</f>
        <v/>
      </c>
      <c r="Z56" s="5" t="str">
        <f>IF(AND(AF56&lt;&gt;"",AD56=""),IF(AG56="500g",1,IF(OR(prodType="2x250g",AND(AG56="2x250g")),0.5,1)),"")</f>
        <v/>
      </c>
      <c r="AB56" s="27" t="str">
        <f>IF(RIGHT(prodType,1)="g","droite","")</f>
        <v/>
      </c>
      <c r="AC56" s="37" t="str">
        <f>IF(Z56&lt;&gt;"",SUM(Z$52:Z56),"")</f>
        <v/>
      </c>
      <c r="AD56" s="54"/>
      <c r="AE56" s="64"/>
      <c r="AF56" s="54"/>
      <c r="AG56" s="54"/>
      <c r="AH56" s="4">
        <f t="shared" si="9"/>
        <v>0</v>
      </c>
      <c r="AI56" s="4">
        <f t="shared" si="10"/>
        <v>0</v>
      </c>
      <c r="AK56" s="41"/>
      <c r="AL56" s="41"/>
      <c r="AM56" s="41"/>
      <c r="AU56" s="4" t="str">
        <f t="shared" si="3"/>
        <v/>
      </c>
      <c r="AV56" s="4" t="str">
        <f t="shared" si="4"/>
        <v/>
      </c>
      <c r="AW56" s="4" t="str">
        <f t="shared" si="5"/>
        <v/>
      </c>
      <c r="AX56" s="4" t="str">
        <f>IF(AU56&lt;&gt;"",IF(AND(AG56=""),prodType,AG56),"")</f>
        <v/>
      </c>
      <c r="AY56" s="4" t="str">
        <f t="shared" si="6"/>
        <v/>
      </c>
      <c r="AZ56" s="4" t="str">
        <f>IF(AU56&lt;&gt;"",posteMachine,"")</f>
        <v/>
      </c>
      <c r="BA56" s="4" t="str">
        <f>IF(AU56&lt;&gt;"",posteOperateur,"")</f>
        <v/>
      </c>
      <c r="BB56" s="4" t="str">
        <f t="shared" si="7"/>
        <v/>
      </c>
      <c r="BC56" s="4" t="str">
        <f>IFERROR(VLOOKUP(AV56,micCtl,2,FALSE),"")</f>
        <v/>
      </c>
      <c r="BD56" s="4" t="str">
        <f>IFERROR(VLOOKUP(AV56,micCtl,3,FALSE),"")</f>
        <v/>
      </c>
      <c r="BE56" s="4" t="str">
        <f>IFERROR(VLOOKUP(AV56,finalCtl,2,FALSE),"")</f>
        <v/>
      </c>
      <c r="BF56" s="4" t="str">
        <f>IFERROR(VLOOKUP(AV56,finalCtl,3,FALSE),"")</f>
        <v/>
      </c>
      <c r="BG56" s="3" t="str">
        <f t="shared" si="8"/>
        <v/>
      </c>
    </row>
    <row r="57" spans="19:60" x14ac:dyDescent="0.25">
      <c r="S57" s="5" t="str">
        <f t="shared" si="2"/>
        <v/>
      </c>
      <c r="T57" s="5" t="str">
        <f t="shared" si="1"/>
        <v/>
      </c>
      <c r="U57" s="5" t="str">
        <f t="shared" si="1"/>
        <v/>
      </c>
      <c r="V57" s="5" t="str">
        <f t="shared" si="1"/>
        <v/>
      </c>
      <c r="W57" s="5" t="str">
        <f t="shared" si="1"/>
        <v/>
      </c>
      <c r="X57" s="5" t="str">
        <f>IF(Y57&lt;&gt;"",SUM(Y$52:Y57),"")</f>
        <v/>
      </c>
      <c r="Y57" s="5" t="str">
        <f>IF(AND(AF57&lt;&gt;"",AD57&lt;&gt;""),IF(OR(prodType="2x250g",AG57="2x250g"),0.5,1),"")</f>
        <v/>
      </c>
      <c r="Z57" s="5" t="str">
        <f>IF(AND(AF57&lt;&gt;"",AD57=""),IF(AG57="500g",1,IF(OR(prodType="2x250g",AND(AG57="2x250g")),0.5,1)),"")</f>
        <v/>
      </c>
      <c r="AB57" s="27" t="str">
        <f>IF(RIGHT(prodType,1)="g","gauche","")</f>
        <v/>
      </c>
      <c r="AC57" s="37" t="str">
        <f>IF(Z57&lt;&gt;"",SUM(Z$52:Z57),"")</f>
        <v/>
      </c>
      <c r="AD57" s="54"/>
      <c r="AE57" s="64"/>
      <c r="AF57" s="54"/>
      <c r="AG57" s="54"/>
      <c r="AH57" s="4">
        <f t="shared" si="9"/>
        <v>0</v>
      </c>
      <c r="AI57" s="4">
        <f t="shared" si="10"/>
        <v>0</v>
      </c>
      <c r="AK57" s="20" t="s">
        <v>20</v>
      </c>
      <c r="AL57" s="20"/>
      <c r="AM57" s="20"/>
      <c r="AO57" s="20" t="s">
        <v>27</v>
      </c>
      <c r="AP57" s="20"/>
      <c r="AQ57" s="20"/>
      <c r="AR57" s="42" t="s">
        <v>87</v>
      </c>
      <c r="AU57" s="4" t="str">
        <f t="shared" si="3"/>
        <v/>
      </c>
      <c r="AV57" s="4" t="str">
        <f t="shared" si="4"/>
        <v/>
      </c>
      <c r="AW57" s="4" t="str">
        <f t="shared" si="5"/>
        <v/>
      </c>
      <c r="AX57" s="4" t="str">
        <f>IF(AU57&lt;&gt;"",IF(AND(AG57=""),prodType,AG57),"")</f>
        <v/>
      </c>
      <c r="AY57" s="4" t="str">
        <f t="shared" si="6"/>
        <v/>
      </c>
      <c r="AZ57" s="4" t="str">
        <f>IF(AU57&lt;&gt;"",posteMachine,"")</f>
        <v/>
      </c>
      <c r="BA57" s="4" t="str">
        <f>IF(AU57&lt;&gt;"",posteOperateur,"")</f>
        <v/>
      </c>
      <c r="BB57" s="4" t="str">
        <f t="shared" si="7"/>
        <v/>
      </c>
      <c r="BC57" s="4" t="str">
        <f>IFERROR(VLOOKUP(AV57,micCtl,2,FALSE),"")</f>
        <v/>
      </c>
      <c r="BD57" s="4" t="str">
        <f>IFERROR(VLOOKUP(AV57,micCtl,3,FALSE),"")</f>
        <v/>
      </c>
      <c r="BE57" s="4" t="str">
        <f>IFERROR(VLOOKUP(AV57,finalCtl,2,FALSE),"")</f>
        <v/>
      </c>
      <c r="BF57" s="4" t="str">
        <f>IFERROR(VLOOKUP(AV57,finalCtl,3,FALSE),"")</f>
        <v/>
      </c>
      <c r="BG57" s="3" t="str">
        <f t="shared" si="8"/>
        <v/>
      </c>
    </row>
    <row r="58" spans="19:60" x14ac:dyDescent="0.25">
      <c r="S58" s="5" t="str">
        <f t="shared" si="2"/>
        <v/>
      </c>
      <c r="T58" s="5" t="str">
        <f t="shared" si="1"/>
        <v/>
      </c>
      <c r="U58" s="5" t="str">
        <f t="shared" si="1"/>
        <v/>
      </c>
      <c r="V58" s="5" t="str">
        <f t="shared" si="1"/>
        <v/>
      </c>
      <c r="W58" s="5" t="str">
        <f t="shared" si="1"/>
        <v/>
      </c>
      <c r="X58" s="5" t="str">
        <f>IF(Y58&lt;&gt;"",SUM(Y$52:Y58),"")</f>
        <v/>
      </c>
      <c r="Y58" s="5" t="str">
        <f>IF(AND(AF58&lt;&gt;"",AD58&lt;&gt;""),IF(OR(prodType="2x250g",AG58="2x250g"),0.5,1),"")</f>
        <v/>
      </c>
      <c r="Z58" s="5" t="str">
        <f>IF(AND(AF58&lt;&gt;"",AD58=""),IF(AG58="500g",1,IF(OR(prodType="2x250g",AND(AG58="2x250g")),0.5,1)),"")</f>
        <v/>
      </c>
      <c r="AB58" s="27" t="str">
        <f>IF(RIGHT(prodType,1)="g","droite","")</f>
        <v/>
      </c>
      <c r="AC58" s="37" t="str">
        <f>IF(Z58&lt;&gt;"",SUM(Z$52:Z58),"")</f>
        <v/>
      </c>
      <c r="AD58" s="54"/>
      <c r="AE58" s="64"/>
      <c r="AF58" s="54"/>
      <c r="AG58" s="54"/>
      <c r="AH58" s="4">
        <f t="shared" si="9"/>
        <v>0</v>
      </c>
      <c r="AI58" s="4">
        <f t="shared" si="10"/>
        <v>0</v>
      </c>
      <c r="AK58" s="43"/>
      <c r="AL58" s="36" t="s">
        <v>21</v>
      </c>
      <c r="AM58" s="36" t="s">
        <v>22</v>
      </c>
      <c r="AO58" s="44" t="s">
        <v>14</v>
      </c>
      <c r="AP58" s="33">
        <f>SUM(AH52:AH121)</f>
        <v>0</v>
      </c>
      <c r="AQ58" s="45">
        <f>SUM(Z52:Z121)</f>
        <v>0</v>
      </c>
      <c r="AR58" s="20"/>
      <c r="AU58" s="4" t="str">
        <f t="shared" si="3"/>
        <v/>
      </c>
      <c r="AV58" s="4" t="str">
        <f t="shared" si="4"/>
        <v/>
      </c>
      <c r="AW58" s="4" t="str">
        <f t="shared" si="5"/>
        <v/>
      </c>
      <c r="AX58" s="4" t="str">
        <f>IF(AU58&lt;&gt;"",IF(AND(AG58=""),prodType,AG58),"")</f>
        <v/>
      </c>
      <c r="AY58" s="21"/>
      <c r="AZ58" s="21"/>
      <c r="BA58" s="21"/>
      <c r="BB58" s="21"/>
      <c r="BC58" s="21"/>
      <c r="BD58" s="21"/>
      <c r="BE58" s="21"/>
      <c r="BF58" s="21"/>
      <c r="BG58" s="3" t="str">
        <f t="shared" si="8"/>
        <v/>
      </c>
    </row>
    <row r="59" spans="19:60" ht="15" customHeight="1" x14ac:dyDescent="0.25">
      <c r="S59" s="5" t="str">
        <f t="shared" si="2"/>
        <v/>
      </c>
      <c r="T59" s="5" t="str">
        <f t="shared" si="1"/>
        <v/>
      </c>
      <c r="U59" s="5" t="str">
        <f t="shared" si="1"/>
        <v/>
      </c>
      <c r="V59" s="5" t="str">
        <f t="shared" si="1"/>
        <v/>
      </c>
      <c r="W59" s="5" t="str">
        <f t="shared" si="1"/>
        <v/>
      </c>
      <c r="X59" s="5" t="str">
        <f>IF(Y59&lt;&gt;"",SUM(Y$52:Y59),"")</f>
        <v/>
      </c>
      <c r="Y59" s="5" t="str">
        <f>IF(AND(AF59&lt;&gt;"",AD59&lt;&gt;""),IF(OR(prodType="2x250g",AG59="2x250g"),0.5,1),"")</f>
        <v/>
      </c>
      <c r="Z59" s="5" t="str">
        <f>IF(AND(AF59&lt;&gt;"",AD59=""),IF(AG59="500g",1,IF(OR(prodType="2x250g",AND(AG59="2x250g")),0.5,1)),"")</f>
        <v/>
      </c>
      <c r="AB59" s="27" t="str">
        <f>IF(RIGHT(prodType,1)="g","gauche","")</f>
        <v/>
      </c>
      <c r="AC59" s="37" t="str">
        <f>IF(Z59&lt;&gt;"",SUM(Z$52:Z59),"")</f>
        <v/>
      </c>
      <c r="AD59" s="54"/>
      <c r="AE59" s="64"/>
      <c r="AF59" s="54"/>
      <c r="AG59" s="54"/>
      <c r="AH59" s="4">
        <f t="shared" si="9"/>
        <v>0</v>
      </c>
      <c r="AI59" s="4">
        <f t="shared" si="10"/>
        <v>0</v>
      </c>
      <c r="AK59" s="54"/>
      <c r="AL59" s="55"/>
      <c r="AM59" s="55"/>
      <c r="AO59" s="46" t="s">
        <v>15</v>
      </c>
      <c r="AP59" s="34">
        <f>SUM(AI52:AI121)</f>
        <v>0</v>
      </c>
      <c r="AQ59" s="47">
        <f>COUNTIF(AI52:AI121,"&lt;&gt;0")</f>
        <v>0</v>
      </c>
      <c r="AR59" s="6"/>
      <c r="AU59" s="4" t="str">
        <f t="shared" si="3"/>
        <v/>
      </c>
      <c r="AV59" s="4" t="str">
        <f t="shared" si="4"/>
        <v/>
      </c>
      <c r="AW59" s="4" t="str">
        <f t="shared" si="5"/>
        <v/>
      </c>
      <c r="AX59" s="4" t="str">
        <f>IF(AU59&lt;&gt;"",IF(AND(AG59=""),prodType,AG59),"")</f>
        <v/>
      </c>
      <c r="BG59" s="3" t="str">
        <f t="shared" si="8"/>
        <v/>
      </c>
    </row>
    <row r="60" spans="19:60" ht="15" customHeight="1" x14ac:dyDescent="0.25">
      <c r="S60" s="5" t="str">
        <f t="shared" si="2"/>
        <v/>
      </c>
      <c r="T60" s="5" t="str">
        <f t="shared" si="1"/>
        <v/>
      </c>
      <c r="U60" s="5" t="str">
        <f t="shared" si="1"/>
        <v/>
      </c>
      <c r="V60" s="5" t="str">
        <f t="shared" si="1"/>
        <v/>
      </c>
      <c r="W60" s="5" t="str">
        <f t="shared" si="1"/>
        <v/>
      </c>
      <c r="X60" s="5" t="str">
        <f>IF(Y60&lt;&gt;"",SUM(Y$52:Y60),"")</f>
        <v/>
      </c>
      <c r="Y60" s="5" t="str">
        <f>IF(AND(AF60&lt;&gt;"",AD60&lt;&gt;""),IF(OR(prodType="2x250g",AG60="2x250g"),0.5,1),"")</f>
        <v/>
      </c>
      <c r="Z60" s="5" t="str">
        <f>IF(AND(AF60&lt;&gt;"",AD60=""),IF(AG60="500g",1,IF(OR(prodType="2x250g",AND(AG60="2x250g")),0.5,1)),"")</f>
        <v/>
      </c>
      <c r="AB60" s="27" t="str">
        <f>IF(RIGHT(prodType,1)="g","droite","")</f>
        <v/>
      </c>
      <c r="AC60" s="37" t="str">
        <f>IF(Z60&lt;&gt;"",SUM(Z$52:Z60),"")</f>
        <v/>
      </c>
      <c r="AD60" s="54"/>
      <c r="AE60" s="64"/>
      <c r="AF60" s="54"/>
      <c r="AG60" s="54"/>
      <c r="AH60" s="4">
        <f>IF(AF60&lt;&gt;"",IF(AD60="",IF(AE60="",AF60,AF60-AE60),0),0)</f>
        <v>0</v>
      </c>
      <c r="AI60" s="4">
        <f>IF(AF60&lt;&gt;"",IF(AD60&lt;&gt;"",IF(AE60="",AF60,AF60-AE60),0),0)</f>
        <v>0</v>
      </c>
      <c r="AK60" s="54"/>
      <c r="AL60" s="55"/>
      <c r="AM60" s="55"/>
      <c r="AO60" s="39" t="str" cm="1">
        <f t="array" ref="AO60:AO64">dataProduits!A2:A6</f>
        <v>Trou</v>
      </c>
      <c r="AP60" s="48" cm="1">
        <f t="array" ref="AP60:AP64">TRANSPOSE(S50:W50)</f>
        <v>0</v>
      </c>
      <c r="AQ60" s="48">
        <f>COUNTIF(AD$52:AD$121,AO60)</f>
        <v>0</v>
      </c>
      <c r="AR60" s="6"/>
      <c r="AU60" s="4" t="str">
        <f t="shared" si="3"/>
        <v/>
      </c>
      <c r="AV60" s="4" t="str">
        <f t="shared" si="4"/>
        <v/>
      </c>
      <c r="AW60" s="4" t="str">
        <f t="shared" si="5"/>
        <v/>
      </c>
      <c r="AX60" s="4" t="str">
        <f>IF(AU60&lt;&gt;"",IF(AND(AG60=""),prodType,AG60),"")</f>
        <v/>
      </c>
      <c r="BG60" s="3" t="str">
        <f t="shared" si="8"/>
        <v/>
      </c>
    </row>
    <row r="61" spans="19:60" ht="15" customHeight="1" thickBot="1" x14ac:dyDescent="0.3">
      <c r="S61" s="5" t="str">
        <f t="shared" si="2"/>
        <v/>
      </c>
      <c r="T61" s="5" t="str">
        <f t="shared" si="1"/>
        <v/>
      </c>
      <c r="U61" s="5" t="str">
        <f t="shared" si="1"/>
        <v/>
      </c>
      <c r="V61" s="5" t="str">
        <f t="shared" si="1"/>
        <v/>
      </c>
      <c r="W61" s="5" t="str">
        <f t="shared" si="1"/>
        <v/>
      </c>
      <c r="X61" s="5" t="str">
        <f>IF(Y61&lt;&gt;"",SUM(Y$52:Y61),"")</f>
        <v/>
      </c>
      <c r="Y61" s="5" t="str">
        <f>IF(AND(AF61&lt;&gt;"",AD61&lt;&gt;""),IF(OR(prodType="2x250g",AG61="2x250g"),0.5,1),"")</f>
        <v/>
      </c>
      <c r="Z61" s="5" t="str">
        <f>IF(AND(AF61&lt;&gt;"",AD61=""),IF(AG61="500g",1,IF(OR(prodType="2x250g",AND(AG61="2x250g")),0.5,1)),"")</f>
        <v/>
      </c>
      <c r="AB61" s="27" t="str">
        <f>IF(RIGHT(prodType,1)="g","gauche","")</f>
        <v/>
      </c>
      <c r="AC61" s="37" t="str">
        <f>IF(Z61&lt;&gt;"",SUM(Z$52:Z61),"")</f>
        <v/>
      </c>
      <c r="AD61" s="54"/>
      <c r="AE61" s="64"/>
      <c r="AF61" s="54"/>
      <c r="AG61" s="54"/>
      <c r="AH61" s="4">
        <f>IF(AF61&lt;&gt;"",IF(AD61="",IF(AE61="",AF61,AF61-AE61),0),0)</f>
        <v>0</v>
      </c>
      <c r="AI61" s="4">
        <f>IF(AF61&lt;&gt;"",IF(AD61&lt;&gt;"",IF(AE61="",AF61,AF61-AE61),0),0)</f>
        <v>0</v>
      </c>
      <c r="AK61" s="54"/>
      <c r="AL61" s="55"/>
      <c r="AM61" s="55"/>
      <c r="AO61" s="39" t="str">
        <v>Fil</v>
      </c>
      <c r="AP61" s="48">
        <v>0</v>
      </c>
      <c r="AQ61" s="48">
        <f t="shared" ref="AQ61:AQ64" si="11">COUNTIF(AD$52:AD$121,AO61)</f>
        <v>0</v>
      </c>
      <c r="AR61" s="49"/>
      <c r="AU61" s="4" t="str">
        <f t="shared" si="3"/>
        <v/>
      </c>
      <c r="AV61" s="4" t="str">
        <f t="shared" si="4"/>
        <v/>
      </c>
      <c r="AW61" s="4" t="str">
        <f t="shared" si="5"/>
        <v/>
      </c>
      <c r="AX61" s="4" t="str">
        <f>IF(AU61&lt;&gt;"",IF(AND(AG61=""),prodType,AG61),"")</f>
        <v/>
      </c>
      <c r="BG61" s="3" t="str">
        <f t="shared" si="8"/>
        <v/>
      </c>
    </row>
    <row r="62" spans="19:60" ht="15" customHeight="1" thickTop="1" x14ac:dyDescent="0.25">
      <c r="S62" s="5" t="str">
        <f t="shared" si="2"/>
        <v/>
      </c>
      <c r="T62" s="5" t="str">
        <f t="shared" si="1"/>
        <v/>
      </c>
      <c r="U62" s="5" t="str">
        <f t="shared" si="1"/>
        <v/>
      </c>
      <c r="V62" s="5" t="str">
        <f t="shared" si="1"/>
        <v/>
      </c>
      <c r="W62" s="5" t="str">
        <f t="shared" si="1"/>
        <v/>
      </c>
      <c r="X62" s="5" t="str">
        <f>IF(Y62&lt;&gt;"",SUM(Y$52:Y62),"")</f>
        <v/>
      </c>
      <c r="Y62" s="5" t="str">
        <f>IF(AND(AF62&lt;&gt;"",AD62&lt;&gt;""),IF(OR(prodType="2x250g",AG62="2x250g"),0.5,1),"")</f>
        <v/>
      </c>
      <c r="Z62" s="5" t="str">
        <f>IF(AND(AF62&lt;&gt;"",AD62=""),IF(AG62="500g",1,IF(OR(prodType="2x250g",AND(AG62="2x250g")),0.5,1)),"")</f>
        <v/>
      </c>
      <c r="AB62" s="27" t="str">
        <f>IF(RIGHT(prodType,1)="g","droite","")</f>
        <v/>
      </c>
      <c r="AC62" s="37" t="str">
        <f>IF(Z62&lt;&gt;"",SUM(Z$52:Z62),"")</f>
        <v/>
      </c>
      <c r="AD62" s="54"/>
      <c r="AE62" s="64"/>
      <c r="AF62" s="54"/>
      <c r="AG62" s="54"/>
      <c r="AH62" s="4">
        <f>IF(AF62&lt;&gt;"",IF(AD62="",IF(AE62="",AF62,AF62-AE62),0),0)</f>
        <v>0</v>
      </c>
      <c r="AI62" s="4">
        <f>IF(AF62&lt;&gt;"",IF(AD62&lt;&gt;"",IF(AE62="",AF62,AF62-AE62),0),0)</f>
        <v>0</v>
      </c>
      <c r="AK62" s="54"/>
      <c r="AL62" s="55"/>
      <c r="AM62" s="55"/>
      <c r="AO62" s="39" t="str">
        <v>Poids</v>
      </c>
      <c r="AP62" s="48">
        <v>0</v>
      </c>
      <c r="AQ62" s="48">
        <f t="shared" si="11"/>
        <v>0</v>
      </c>
      <c r="AR62" s="32" t="s">
        <v>34</v>
      </c>
      <c r="AU62" s="4" t="str">
        <f t="shared" si="3"/>
        <v/>
      </c>
      <c r="AV62" s="4" t="str">
        <f t="shared" si="4"/>
        <v/>
      </c>
      <c r="AW62" s="4" t="str">
        <f t="shared" si="5"/>
        <v/>
      </c>
      <c r="AX62" s="4" t="str">
        <f>IF(AU62&lt;&gt;"",IF(AND(AG62=""),prodType,AG62),"")</f>
        <v/>
      </c>
      <c r="BG62" s="3" t="str">
        <f t="shared" si="8"/>
        <v/>
      </c>
    </row>
    <row r="63" spans="19:60" x14ac:dyDescent="0.25">
      <c r="S63" s="5" t="str">
        <f t="shared" si="2"/>
        <v/>
      </c>
      <c r="T63" s="5" t="str">
        <f t="shared" si="1"/>
        <v/>
      </c>
      <c r="U63" s="5" t="str">
        <f t="shared" si="1"/>
        <v/>
      </c>
      <c r="V63" s="5" t="str">
        <f t="shared" si="1"/>
        <v/>
      </c>
      <c r="W63" s="5" t="str">
        <f t="shared" si="1"/>
        <v/>
      </c>
      <c r="X63" s="5" t="str">
        <f>IF(Y63&lt;&gt;"",SUM(Y$52:Y63),"")</f>
        <v/>
      </c>
      <c r="Y63" s="5" t="str">
        <f>IF(AND(AF63&lt;&gt;"",AD63&lt;&gt;""),IF(OR(prodType="2x250g",AG63="2x250g"),0.5,1),"")</f>
        <v/>
      </c>
      <c r="Z63" s="5" t="str">
        <f>IF(AND(AF63&lt;&gt;"",AD63=""),IF(AG63="500g",1,IF(OR(prodType="2x250g",AND(AG63="2x250g")),0.5,1)),"")</f>
        <v/>
      </c>
      <c r="AB63" s="27" t="str">
        <f>IF(RIGHT(prodType,1)="g","gauche","")</f>
        <v/>
      </c>
      <c r="AC63" s="37" t="str">
        <f>IF(Z63&lt;&gt;"",SUM(Z$52:Z63),"")</f>
        <v/>
      </c>
      <c r="AD63" s="54"/>
      <c r="AE63" s="64"/>
      <c r="AF63" s="54"/>
      <c r="AG63" s="54"/>
      <c r="AH63" s="4">
        <f t="shared" si="9"/>
        <v>0</v>
      </c>
      <c r="AI63" s="4">
        <f t="shared" si="10"/>
        <v>0</v>
      </c>
      <c r="AK63" s="54"/>
      <c r="AL63" s="55"/>
      <c r="AM63" s="55"/>
      <c r="AO63" s="39" t="str">
        <v>Autre</v>
      </c>
      <c r="AP63" s="48">
        <v>0</v>
      </c>
      <c r="AQ63" s="48">
        <f t="shared" si="11"/>
        <v>0</v>
      </c>
      <c r="AR63" s="6"/>
      <c r="AU63" s="4" t="str">
        <f t="shared" si="3"/>
        <v/>
      </c>
      <c r="AV63" s="4" t="str">
        <f t="shared" si="4"/>
        <v/>
      </c>
      <c r="AW63" s="4" t="str">
        <f t="shared" si="5"/>
        <v/>
      </c>
      <c r="AX63" s="4" t="str">
        <f>IF(AU63&lt;&gt;"",IF(AND(AG63=""),prodType,AG63),"")</f>
        <v/>
      </c>
      <c r="BG63" s="3" t="str">
        <f t="shared" si="8"/>
        <v/>
      </c>
    </row>
    <row r="64" spans="19:60" x14ac:dyDescent="0.25">
      <c r="S64" s="5" t="str">
        <f t="shared" si="2"/>
        <v/>
      </c>
      <c r="T64" s="5" t="str">
        <f t="shared" si="1"/>
        <v/>
      </c>
      <c r="U64" s="5" t="str">
        <f t="shared" si="1"/>
        <v/>
      </c>
      <c r="V64" s="5" t="str">
        <f t="shared" si="1"/>
        <v/>
      </c>
      <c r="W64" s="5" t="str">
        <f t="shared" si="1"/>
        <v/>
      </c>
      <c r="X64" s="5" t="str">
        <f>IF(Y64&lt;&gt;"",SUM(Y$52:Y64),"")</f>
        <v/>
      </c>
      <c r="Y64" s="5" t="str">
        <f>IF(AND(AF64&lt;&gt;"",AD64&lt;&gt;""),IF(OR(prodType="2x250g",AG64="2x250g"),0.5,1),"")</f>
        <v/>
      </c>
      <c r="Z64" s="5" t="str">
        <f>IF(AND(AF64&lt;&gt;"",AD64=""),IF(AG64="500g",1,IF(OR(prodType="2x250g",AND(AG64="2x250g")),0.5,1)),"")</f>
        <v/>
      </c>
      <c r="AB64" s="27" t="str">
        <f>IF(RIGHT(prodType,1)="g","droite","")</f>
        <v/>
      </c>
      <c r="AC64" s="37" t="str">
        <f>IF(Z64&lt;&gt;"",SUM(Z$52:Z64),"")</f>
        <v/>
      </c>
      <c r="AD64" s="54"/>
      <c r="AE64" s="64"/>
      <c r="AF64" s="54"/>
      <c r="AG64" s="54"/>
      <c r="AH64" s="4">
        <f t="shared" si="9"/>
        <v>0</v>
      </c>
      <c r="AI64" s="4">
        <f t="shared" si="10"/>
        <v>0</v>
      </c>
      <c r="AK64" s="54"/>
      <c r="AL64" s="55"/>
      <c r="AM64" s="55"/>
      <c r="AO64" s="39" t="str">
        <v>Démarrage</v>
      </c>
      <c r="AP64" s="48">
        <v>0</v>
      </c>
      <c r="AQ64" s="48">
        <f t="shared" si="11"/>
        <v>0</v>
      </c>
      <c r="AR64" s="6"/>
      <c r="AU64" s="4" t="str">
        <f t="shared" si="3"/>
        <v/>
      </c>
      <c r="AV64" s="4" t="str">
        <f t="shared" si="4"/>
        <v/>
      </c>
      <c r="AW64" s="4" t="str">
        <f t="shared" si="5"/>
        <v/>
      </c>
      <c r="AX64" s="4" t="str">
        <f>IF(AU64&lt;&gt;"",IF(AND(AG64=""),prodType,AG64),"")</f>
        <v/>
      </c>
      <c r="AY64" s="4" t="str">
        <f t="shared" si="6"/>
        <v/>
      </c>
      <c r="AZ64" s="4" t="str">
        <f>IF(AU64&lt;&gt;"",posteMachine,"")</f>
        <v/>
      </c>
      <c r="BA64" s="4" t="str">
        <f>IF(AU64&lt;&gt;"",posteOperateur,"")</f>
        <v/>
      </c>
      <c r="BB64" s="4" t="str">
        <f t="shared" si="7"/>
        <v/>
      </c>
      <c r="BC64" s="4" t="str">
        <f>IFERROR(VLOOKUP(AV64,micCtl,2,FALSE),"")</f>
        <v/>
      </c>
      <c r="BD64" s="4" t="str">
        <f>IFERROR(VLOOKUP(AV64,micCtl,3,FALSE),"")</f>
        <v/>
      </c>
      <c r="BE64" s="4" t="str">
        <f>IFERROR(VLOOKUP(AV64,finalCtl,2,FALSE),"")</f>
        <v/>
      </c>
      <c r="BF64" s="4" t="str">
        <f>IFERROR(VLOOKUP(AV64,finalCtl,3,FALSE),"")</f>
        <v/>
      </c>
      <c r="BG64" s="3" t="str">
        <f t="shared" si="8"/>
        <v/>
      </c>
    </row>
    <row r="65" spans="19:59" ht="15" customHeight="1" x14ac:dyDescent="0.25">
      <c r="S65" s="5" t="str">
        <f t="shared" si="2"/>
        <v/>
      </c>
      <c r="T65" s="5" t="str">
        <f t="shared" si="1"/>
        <v/>
      </c>
      <c r="U65" s="5" t="str">
        <f t="shared" si="1"/>
        <v/>
      </c>
      <c r="V65" s="5" t="str">
        <f t="shared" si="1"/>
        <v/>
      </c>
      <c r="W65" s="5" t="str">
        <f t="shared" si="1"/>
        <v/>
      </c>
      <c r="X65" s="5" t="str">
        <f>IF(Y65&lt;&gt;"",SUM(Y$52:Y65),"")</f>
        <v/>
      </c>
      <c r="Y65" s="5" t="str">
        <f>IF(AND(AF65&lt;&gt;"",AD65&lt;&gt;""),IF(OR(prodType="2x250g",AG65="2x250g"),0.5,1),"")</f>
        <v/>
      </c>
      <c r="Z65" s="5" t="str">
        <f>IF(AND(AF65&lt;&gt;"",AD65=""),IF(AG65="500g",1,IF(OR(prodType="2x250g",AND(AG65="2x250g")),0.5,1)),"")</f>
        <v/>
      </c>
      <c r="AB65" s="27" t="str">
        <f>IF(RIGHT(prodType,1)="g","gauche","")</f>
        <v/>
      </c>
      <c r="AC65" s="37" t="str">
        <f>IF(Z65&lt;&gt;"",SUM(Z$52:Z65),"")</f>
        <v/>
      </c>
      <c r="AD65" s="54"/>
      <c r="AE65" s="64"/>
      <c r="AF65" s="54"/>
      <c r="AG65" s="54"/>
      <c r="AH65" s="4">
        <f t="shared" si="9"/>
        <v>0</v>
      </c>
      <c r="AI65" s="4">
        <f t="shared" si="10"/>
        <v>0</v>
      </c>
      <c r="AL65" s="50" t="str">
        <f>IFERROR(AVERAGE(AL59:AL64),"")</f>
        <v/>
      </c>
      <c r="AM65" s="50" t="str">
        <f>IFERROR(AVERAGE(AM59:AM64),"")</f>
        <v/>
      </c>
      <c r="AR65" s="41"/>
      <c r="AU65" s="4" t="str">
        <f t="shared" si="3"/>
        <v/>
      </c>
      <c r="AV65" s="4" t="str">
        <f t="shared" si="4"/>
        <v/>
      </c>
      <c r="AW65" s="4" t="str">
        <f t="shared" si="5"/>
        <v/>
      </c>
      <c r="AX65" s="4" t="str">
        <f>IF(AU65&lt;&gt;"",IF(AND(AG65=""),prodType,AG65),"")</f>
        <v/>
      </c>
      <c r="AY65" s="4" t="str">
        <f t="shared" si="6"/>
        <v/>
      </c>
      <c r="AZ65" s="4" t="str">
        <f>IF(AU65&lt;&gt;"",posteMachine,"")</f>
        <v/>
      </c>
      <c r="BA65" s="4" t="str">
        <f>IF(AU65&lt;&gt;"",posteOperateur,"")</f>
        <v/>
      </c>
      <c r="BB65" s="4" t="str">
        <f t="shared" si="7"/>
        <v/>
      </c>
      <c r="BC65" s="4" t="str">
        <f>IFERROR(VLOOKUP(AV65,micCtl,2,FALSE),"")</f>
        <v/>
      </c>
      <c r="BD65" s="4" t="str">
        <f>IFERROR(VLOOKUP(AV65,micCtl,3,FALSE),"")</f>
        <v/>
      </c>
      <c r="BE65" s="4" t="str">
        <f>IFERROR(VLOOKUP(AV65,finalCtl,2,FALSE),"")</f>
        <v/>
      </c>
      <c r="BF65" s="4" t="str">
        <f>IFERROR(VLOOKUP(AV65,finalCtl,3,FALSE),"")</f>
        <v/>
      </c>
      <c r="BG65" s="3" t="str">
        <f t="shared" si="8"/>
        <v/>
      </c>
    </row>
    <row r="66" spans="19:59" ht="15" customHeight="1" x14ac:dyDescent="0.25">
      <c r="S66" s="5" t="str">
        <f t="shared" si="2"/>
        <v/>
      </c>
      <c r="T66" s="5" t="str">
        <f t="shared" si="1"/>
        <v/>
      </c>
      <c r="U66" s="5" t="str">
        <f t="shared" si="1"/>
        <v/>
      </c>
      <c r="V66" s="5" t="str">
        <f t="shared" si="1"/>
        <v/>
      </c>
      <c r="W66" s="5" t="str">
        <f t="shared" si="1"/>
        <v/>
      </c>
      <c r="X66" s="5" t="str">
        <f>IF(Y66&lt;&gt;"",SUM(Y$52:Y66),"")</f>
        <v/>
      </c>
      <c r="Y66" s="5" t="str">
        <f>IF(AND(AF66&lt;&gt;"",AD66&lt;&gt;""),IF(OR(prodType="2x250g",AG66="2x250g"),0.5,1),"")</f>
        <v/>
      </c>
      <c r="Z66" s="5" t="str">
        <f>IF(AND(AF66&lt;&gt;"",AD66=""),IF(AG66="500g",1,IF(OR(prodType="2x250g",AND(AG66="2x250g")),0.5,1)),"")</f>
        <v/>
      </c>
      <c r="AB66" s="27" t="str">
        <f>IF(RIGHT(prodType,1)="g","droite","")</f>
        <v/>
      </c>
      <c r="AC66" s="37" t="str">
        <f>IF(Z66&lt;&gt;"",SUM(Z$52:Z66),"")</f>
        <v/>
      </c>
      <c r="AD66" s="54"/>
      <c r="AE66" s="64"/>
      <c r="AF66" s="54"/>
      <c r="AG66" s="54"/>
      <c r="AH66" s="4">
        <f t="shared" si="9"/>
        <v>0</v>
      </c>
      <c r="AI66" s="4">
        <f t="shared" si="10"/>
        <v>0</v>
      </c>
      <c r="AK66" s="20" t="s">
        <v>23</v>
      </c>
      <c r="AL66" s="20"/>
      <c r="AM66" s="20"/>
      <c r="AU66" s="4" t="str">
        <f t="shared" si="3"/>
        <v/>
      </c>
      <c r="AV66" s="4" t="str">
        <f t="shared" si="4"/>
        <v/>
      </c>
      <c r="AW66" s="4" t="str">
        <f t="shared" si="5"/>
        <v/>
      </c>
      <c r="AX66" s="4" t="str">
        <f>IF(AU66&lt;&gt;"",IF(AND(AG66=""),prodType,AG66),"")</f>
        <v/>
      </c>
      <c r="AY66" s="4" t="str">
        <f t="shared" si="6"/>
        <v/>
      </c>
      <c r="AZ66" s="4" t="str">
        <f>IF(AU66&lt;&gt;"",posteMachine,"")</f>
        <v/>
      </c>
      <c r="BA66" s="4" t="str">
        <f>IF(AU66&lt;&gt;"",posteOperateur,"")</f>
        <v/>
      </c>
      <c r="BB66" s="4" t="str">
        <f t="shared" si="7"/>
        <v/>
      </c>
      <c r="BC66" s="4" t="str">
        <f>IFERROR(VLOOKUP(AV66,micCtl,2,FALSE),"")</f>
        <v/>
      </c>
      <c r="BD66" s="4" t="str">
        <f>IFERROR(VLOOKUP(AV66,micCtl,3,FALSE),"")</f>
        <v/>
      </c>
      <c r="BE66" s="4" t="str">
        <f>IFERROR(VLOOKUP(AV66,finalCtl,2,FALSE),"")</f>
        <v/>
      </c>
      <c r="BF66" s="4" t="str">
        <f>IFERROR(VLOOKUP(AV66,finalCtl,3,FALSE),"")</f>
        <v/>
      </c>
      <c r="BG66" s="3" t="str">
        <f t="shared" si="8"/>
        <v/>
      </c>
    </row>
    <row r="67" spans="19:59" ht="15" customHeight="1" x14ac:dyDescent="0.25">
      <c r="S67" s="5" t="str">
        <f t="shared" si="2"/>
        <v/>
      </c>
      <c r="T67" s="5" t="str">
        <f t="shared" si="1"/>
        <v/>
      </c>
      <c r="U67" s="5" t="str">
        <f t="shared" si="1"/>
        <v/>
      </c>
      <c r="V67" s="5" t="str">
        <f t="shared" si="1"/>
        <v/>
      </c>
      <c r="W67" s="5" t="str">
        <f t="shared" si="1"/>
        <v/>
      </c>
      <c r="X67" s="5" t="str">
        <f>IF(Y67&lt;&gt;"",SUM(Y$52:Y67),"")</f>
        <v/>
      </c>
      <c r="Y67" s="5" t="str">
        <f>IF(AND(AF67&lt;&gt;"",AD67&lt;&gt;""),IF(OR(prodType="2x250g",AG67="2x250g"),0.5,1),"")</f>
        <v/>
      </c>
      <c r="Z67" s="5" t="str">
        <f>IF(AND(AF67&lt;&gt;"",AD67=""),IF(AG67="500g",1,IF(OR(prodType="2x250g",AND(AG67="2x250g")),0.5,1)),"")</f>
        <v/>
      </c>
      <c r="AB67" s="27" t="str">
        <f>IF(RIGHT(prodType,1)="g","gauche","")</f>
        <v/>
      </c>
      <c r="AC67" s="37" t="str">
        <f>IF(Z67&lt;&gt;"",SUM(Z$52:Z67),"")</f>
        <v/>
      </c>
      <c r="AD67" s="54"/>
      <c r="AE67" s="64"/>
      <c r="AF67" s="54"/>
      <c r="AG67" s="54"/>
      <c r="AH67" s="4">
        <f t="shared" si="9"/>
        <v>0</v>
      </c>
      <c r="AI67" s="4">
        <f t="shared" si="10"/>
        <v>0</v>
      </c>
      <c r="AK67" s="67"/>
      <c r="AL67" s="36" t="s">
        <v>26</v>
      </c>
      <c r="AM67" s="36" t="s">
        <v>25</v>
      </c>
      <c r="AO67" s="41"/>
      <c r="AP67" s="41"/>
      <c r="AQ67" s="41"/>
      <c r="AR67" s="41"/>
      <c r="AU67" s="4" t="str">
        <f t="shared" si="3"/>
        <v/>
      </c>
      <c r="AV67" s="4" t="str">
        <f t="shared" si="4"/>
        <v/>
      </c>
      <c r="AW67" s="4" t="str">
        <f t="shared" si="5"/>
        <v/>
      </c>
      <c r="AX67" s="4" t="str">
        <f>IF(AU67&lt;&gt;"",IF(AND(AG67=""),prodType,AG67),"")</f>
        <v/>
      </c>
      <c r="AY67" s="4" t="str">
        <f t="shared" si="6"/>
        <v/>
      </c>
      <c r="AZ67" s="4" t="str">
        <f>IF(AU67&lt;&gt;"",posteMachine,"")</f>
        <v/>
      </c>
      <c r="BA67" s="4" t="str">
        <f>IF(AU67&lt;&gt;"",posteOperateur,"")</f>
        <v/>
      </c>
      <c r="BB67" s="4" t="str">
        <f t="shared" si="7"/>
        <v/>
      </c>
      <c r="BC67" s="4" t="str">
        <f>IFERROR(VLOOKUP(AV67,micCtl,2,FALSE),"")</f>
        <v/>
      </c>
      <c r="BD67" s="4" t="str">
        <f>IFERROR(VLOOKUP(AV67,micCtl,3,FALSE),"")</f>
        <v/>
      </c>
      <c r="BE67" s="4" t="str">
        <f>IFERROR(VLOOKUP(AV67,finalCtl,2,FALSE),"")</f>
        <v/>
      </c>
      <c r="BF67" s="4" t="str">
        <f>IFERROR(VLOOKUP(AV67,finalCtl,3,FALSE),"")</f>
        <v/>
      </c>
      <c r="BG67" s="3" t="str">
        <f t="shared" si="8"/>
        <v/>
      </c>
    </row>
    <row r="68" spans="19:59" ht="15" customHeight="1" x14ac:dyDescent="0.25">
      <c r="S68" s="5" t="str">
        <f t="shared" si="2"/>
        <v/>
      </c>
      <c r="T68" s="5" t="str">
        <f t="shared" si="2"/>
        <v/>
      </c>
      <c r="U68" s="5" t="str">
        <f t="shared" si="2"/>
        <v/>
      </c>
      <c r="V68" s="5" t="str">
        <f t="shared" si="2"/>
        <v/>
      </c>
      <c r="W68" s="5" t="str">
        <f t="shared" si="2"/>
        <v/>
      </c>
      <c r="X68" s="5" t="str">
        <f>IF(Y68&lt;&gt;"",SUM(Y$52:Y68),"")</f>
        <v/>
      </c>
      <c r="Y68" s="5" t="str">
        <f>IF(AND(AF68&lt;&gt;"",AD68&lt;&gt;""),IF(OR(prodType="2x250g",AG68="2x250g"),0.5,1),"")</f>
        <v/>
      </c>
      <c r="Z68" s="5" t="str">
        <f>IF(AND(AF68&lt;&gt;"",AD68=""),IF(AG68="500g",1,IF(OR(prodType="2x250g",AND(AG68="2x250g")),0.5,1)),"")</f>
        <v/>
      </c>
      <c r="AB68" s="27" t="str">
        <f>IF(RIGHT(prodType,1)="g","droite","")</f>
        <v/>
      </c>
      <c r="AC68" s="37" t="str">
        <f>IF(Z68&lt;&gt;"",SUM(Z$52:Z68),"")</f>
        <v/>
      </c>
      <c r="AD68" s="54"/>
      <c r="AE68" s="64"/>
      <c r="AF68" s="54"/>
      <c r="AG68" s="54"/>
      <c r="AH68" s="4">
        <f t="shared" si="9"/>
        <v>0</v>
      </c>
      <c r="AI68" s="4">
        <f t="shared" si="10"/>
        <v>0</v>
      </c>
      <c r="AK68" s="64"/>
      <c r="AL68" s="66"/>
      <c r="AM68" s="66"/>
      <c r="AO68" s="41"/>
      <c r="AP68" s="41"/>
      <c r="AQ68" s="41"/>
      <c r="AR68" s="41"/>
      <c r="AU68" s="4" t="str">
        <f t="shared" si="3"/>
        <v/>
      </c>
      <c r="AV68" s="4" t="str">
        <f t="shared" si="4"/>
        <v/>
      </c>
      <c r="AW68" s="4" t="str">
        <f t="shared" si="5"/>
        <v/>
      </c>
      <c r="AX68" s="4" t="str">
        <f>IF(AU68&lt;&gt;"",IF(AND(AG68=""),prodType,AG68),"")</f>
        <v/>
      </c>
      <c r="AY68" s="4" t="str">
        <f t="shared" si="6"/>
        <v/>
      </c>
      <c r="AZ68" s="4" t="str">
        <f>IF(AU68&lt;&gt;"",posteMachine,"")</f>
        <v/>
      </c>
      <c r="BA68" s="4" t="str">
        <f>IF(AU68&lt;&gt;"",posteOperateur,"")</f>
        <v/>
      </c>
      <c r="BB68" s="4" t="str">
        <f t="shared" si="7"/>
        <v/>
      </c>
      <c r="BC68" s="4" t="str">
        <f>IFERROR(VLOOKUP(AV68,micCtl,2,FALSE),"")</f>
        <v/>
      </c>
      <c r="BD68" s="4" t="str">
        <f>IFERROR(VLOOKUP(AV68,micCtl,3,FALSE),"")</f>
        <v/>
      </c>
      <c r="BE68" s="4" t="str">
        <f>IFERROR(VLOOKUP(AV68,finalCtl,2,FALSE),"")</f>
        <v/>
      </c>
      <c r="BF68" s="4" t="str">
        <f>IFERROR(VLOOKUP(AV68,finalCtl,3,FALSE),"")</f>
        <v/>
      </c>
      <c r="BG68" s="3" t="str">
        <f t="shared" si="8"/>
        <v/>
      </c>
    </row>
    <row r="69" spans="19:59" ht="15" customHeight="1" x14ac:dyDescent="0.25">
      <c r="S69" s="5" t="str">
        <f t="shared" si="2"/>
        <v/>
      </c>
      <c r="T69" s="5" t="str">
        <f t="shared" si="2"/>
        <v/>
      </c>
      <c r="U69" s="5" t="str">
        <f t="shared" si="2"/>
        <v/>
      </c>
      <c r="V69" s="5" t="str">
        <f t="shared" si="2"/>
        <v/>
      </c>
      <c r="W69" s="5" t="str">
        <f t="shared" si="2"/>
        <v/>
      </c>
      <c r="X69" s="5" t="str">
        <f>IF(Y69&lt;&gt;"",SUM(Y$52:Y69),"")</f>
        <v/>
      </c>
      <c r="Y69" s="5" t="str">
        <f>IF(AND(AF69&lt;&gt;"",AD69&lt;&gt;""),IF(OR(prodType="2x250g",AG69="2x250g"),0.5,1),"")</f>
        <v/>
      </c>
      <c r="Z69" s="5" t="str">
        <f>IF(AND(AF69&lt;&gt;"",AD69=""),IF(AG69="500g",1,IF(OR(prodType="2x250g",AND(AG69="2x250g")),0.5,1)),"")</f>
        <v/>
      </c>
      <c r="AB69" s="27" t="str">
        <f>IF(RIGHT(prodType,1)="g","gauche","")</f>
        <v/>
      </c>
      <c r="AC69" s="37" t="str">
        <f>IF(Z69&lt;&gt;"",SUM(Z$52:Z69),"")</f>
        <v/>
      </c>
      <c r="AD69" s="54"/>
      <c r="AE69" s="64"/>
      <c r="AF69" s="54"/>
      <c r="AG69" s="54"/>
      <c r="AH69" s="4">
        <f t="shared" si="9"/>
        <v>0</v>
      </c>
      <c r="AI69" s="4">
        <f t="shared" si="10"/>
        <v>0</v>
      </c>
      <c r="AK69" s="64"/>
      <c r="AL69" s="66"/>
      <c r="AM69" s="66"/>
      <c r="AO69" s="41"/>
      <c r="AP69" s="41"/>
      <c r="AQ69" s="41"/>
      <c r="AR69" s="41"/>
      <c r="AU69" s="4" t="str">
        <f t="shared" si="3"/>
        <v/>
      </c>
      <c r="AV69" s="4" t="str">
        <f t="shared" si="4"/>
        <v/>
      </c>
      <c r="AW69" s="4" t="str">
        <f t="shared" si="5"/>
        <v/>
      </c>
      <c r="AX69" s="4" t="str">
        <f>IF(AU69&lt;&gt;"",IF(AND(AG69=""),prodType,AG69),"")</f>
        <v/>
      </c>
      <c r="AY69" s="4" t="str">
        <f t="shared" si="6"/>
        <v/>
      </c>
      <c r="AZ69" s="4" t="str">
        <f>IF(AU69&lt;&gt;"",posteMachine,"")</f>
        <v/>
      </c>
      <c r="BA69" s="4" t="str">
        <f>IF(AU69&lt;&gt;"",posteOperateur,"")</f>
        <v/>
      </c>
      <c r="BB69" s="4" t="str">
        <f t="shared" si="7"/>
        <v/>
      </c>
      <c r="BC69" s="4" t="str">
        <f>IFERROR(VLOOKUP(AV69,micCtl,2,FALSE),"")</f>
        <v/>
      </c>
      <c r="BD69" s="4" t="str">
        <f>IFERROR(VLOOKUP(AV69,micCtl,3,FALSE),"")</f>
        <v/>
      </c>
      <c r="BE69" s="4" t="str">
        <f>IFERROR(VLOOKUP(AV69,finalCtl,2,FALSE),"")</f>
        <v/>
      </c>
      <c r="BF69" s="4" t="str">
        <f>IFERROR(VLOOKUP(AV69,finalCtl,3,FALSE),"")</f>
        <v/>
      </c>
      <c r="BG69" s="3" t="str">
        <f t="shared" si="8"/>
        <v/>
      </c>
    </row>
    <row r="70" spans="19:59" ht="15" customHeight="1" x14ac:dyDescent="0.25">
      <c r="S70" s="5" t="str">
        <f t="shared" si="2"/>
        <v/>
      </c>
      <c r="T70" s="5" t="str">
        <f t="shared" si="2"/>
        <v/>
      </c>
      <c r="U70" s="5" t="str">
        <f t="shared" si="2"/>
        <v/>
      </c>
      <c r="V70" s="5" t="str">
        <f t="shared" si="2"/>
        <v/>
      </c>
      <c r="W70" s="5" t="str">
        <f t="shared" si="2"/>
        <v/>
      </c>
      <c r="X70" s="5" t="str">
        <f>IF(Y70&lt;&gt;"",SUM(Y$52:Y70),"")</f>
        <v/>
      </c>
      <c r="Y70" s="5" t="str">
        <f>IF(AND(AF70&lt;&gt;"",AD70&lt;&gt;""),IF(OR(prodType="2x250g",AG70="2x250g"),0.5,1),"")</f>
        <v/>
      </c>
      <c r="Z70" s="5" t="str">
        <f>IF(AND(AF70&lt;&gt;"",AD70=""),IF(AG70="500g",1,IF(OR(prodType="2x250g",AND(AG70="2x250g")),0.5,1)),"")</f>
        <v/>
      </c>
      <c r="AB70" s="27" t="str">
        <f>IF(RIGHT(prodType,1)="g","droite","")</f>
        <v/>
      </c>
      <c r="AC70" s="37" t="str">
        <f>IF(Z70&lt;&gt;"",SUM(Z$52:Z70),"")</f>
        <v/>
      </c>
      <c r="AD70" s="54"/>
      <c r="AE70" s="64"/>
      <c r="AF70" s="54"/>
      <c r="AG70" s="54"/>
      <c r="AH70" s="4">
        <f t="shared" si="9"/>
        <v>0</v>
      </c>
      <c r="AI70" s="4">
        <f t="shared" si="10"/>
        <v>0</v>
      </c>
      <c r="AK70" s="64"/>
      <c r="AL70" s="66"/>
      <c r="AM70" s="66"/>
      <c r="AO70" s="41"/>
      <c r="AP70" s="41"/>
      <c r="AQ70" s="41"/>
      <c r="AR70" s="41"/>
      <c r="AU70" s="4" t="str">
        <f t="shared" si="3"/>
        <v/>
      </c>
      <c r="AV70" s="4" t="str">
        <f t="shared" si="4"/>
        <v/>
      </c>
      <c r="AW70" s="4" t="str">
        <f t="shared" si="5"/>
        <v/>
      </c>
      <c r="AX70" s="4" t="str">
        <f>IF(AU70&lt;&gt;"",IF(AND(AG70=""),prodType,AG70),"")</f>
        <v/>
      </c>
      <c r="AY70" s="4" t="str">
        <f t="shared" si="6"/>
        <v/>
      </c>
      <c r="AZ70" s="4" t="str">
        <f>IF(AU70&lt;&gt;"",posteMachine,"")</f>
        <v/>
      </c>
      <c r="BA70" s="4" t="str">
        <f>IF(AU70&lt;&gt;"",posteOperateur,"")</f>
        <v/>
      </c>
      <c r="BB70" s="4" t="str">
        <f t="shared" si="7"/>
        <v/>
      </c>
      <c r="BC70" s="4" t="str">
        <f>IFERROR(VLOOKUP(AV70,micCtl,2,FALSE),"")</f>
        <v/>
      </c>
      <c r="BD70" s="4" t="str">
        <f>IFERROR(VLOOKUP(AV70,micCtl,3,FALSE),"")</f>
        <v/>
      </c>
      <c r="BE70" s="4" t="str">
        <f>IFERROR(VLOOKUP(AV70,finalCtl,2,FALSE),"")</f>
        <v/>
      </c>
      <c r="BF70" s="4" t="str">
        <f>IFERROR(VLOOKUP(AV70,finalCtl,3,FALSE),"")</f>
        <v/>
      </c>
      <c r="BG70" s="3" t="str">
        <f t="shared" si="8"/>
        <v/>
      </c>
    </row>
    <row r="71" spans="19:59" ht="15" customHeight="1" x14ac:dyDescent="0.25">
      <c r="S71" s="5" t="str">
        <f t="shared" si="2"/>
        <v/>
      </c>
      <c r="T71" s="5" t="str">
        <f t="shared" si="2"/>
        <v/>
      </c>
      <c r="U71" s="5" t="str">
        <f t="shared" si="2"/>
        <v/>
      </c>
      <c r="V71" s="5" t="str">
        <f t="shared" si="2"/>
        <v/>
      </c>
      <c r="W71" s="5" t="str">
        <f t="shared" si="2"/>
        <v/>
      </c>
      <c r="X71" s="5" t="str">
        <f>IF(Y71&lt;&gt;"",SUM(Y$52:Y71),"")</f>
        <v/>
      </c>
      <c r="Y71" s="5" t="str">
        <f>IF(AND(AF71&lt;&gt;"",AD71&lt;&gt;""),IF(OR(prodType="2x250g",AG71="2x250g"),0.5,1),"")</f>
        <v/>
      </c>
      <c r="Z71" s="5" t="str">
        <f>IF(AND(AF71&lt;&gt;"",AD71=""),IF(AG71="500g",1,IF(OR(prodType="2x250g",AND(AG71="2x250g")),0.5,1)),"")</f>
        <v/>
      </c>
      <c r="AB71" s="27" t="str">
        <f>IF(RIGHT(prodType,1)="g","gauche","")</f>
        <v/>
      </c>
      <c r="AC71" s="37" t="str">
        <f>IF(Z71&lt;&gt;"",SUM(Z$52:Z71),"")</f>
        <v/>
      </c>
      <c r="AD71" s="54"/>
      <c r="AE71" s="64"/>
      <c r="AF71" s="54"/>
      <c r="AG71" s="54"/>
      <c r="AH71" s="4">
        <f t="shared" si="9"/>
        <v>0</v>
      </c>
      <c r="AI71" s="4">
        <f t="shared" si="10"/>
        <v>0</v>
      </c>
      <c r="AK71" s="64"/>
      <c r="AL71" s="66"/>
      <c r="AM71" s="66"/>
      <c r="AO71" s="41"/>
      <c r="AP71" s="41"/>
      <c r="AQ71" s="41"/>
      <c r="AR71" s="41"/>
      <c r="AU71" s="4" t="str">
        <f t="shared" si="3"/>
        <v/>
      </c>
      <c r="AV71" s="4" t="str">
        <f t="shared" si="4"/>
        <v/>
      </c>
      <c r="AW71" s="4" t="str">
        <f t="shared" si="5"/>
        <v/>
      </c>
      <c r="AX71" s="4" t="str">
        <f>IF(AU71&lt;&gt;"",IF(AND(AG71=""),prodType,AG71),"")</f>
        <v/>
      </c>
      <c r="AY71" s="4" t="str">
        <f t="shared" si="6"/>
        <v/>
      </c>
      <c r="AZ71" s="4" t="str">
        <f>IF(AU71&lt;&gt;"",posteMachine,"")</f>
        <v/>
      </c>
      <c r="BA71" s="4" t="str">
        <f>IF(AU71&lt;&gt;"",posteOperateur,"")</f>
        <v/>
      </c>
      <c r="BB71" s="4" t="str">
        <f t="shared" si="7"/>
        <v/>
      </c>
      <c r="BC71" s="4" t="str">
        <f>IFERROR(VLOOKUP(AV71,micCtl,2,FALSE),"")</f>
        <v/>
      </c>
      <c r="BD71" s="4" t="str">
        <f>IFERROR(VLOOKUP(AV71,micCtl,3,FALSE),"")</f>
        <v/>
      </c>
      <c r="BE71" s="4" t="str">
        <f>IFERROR(VLOOKUP(AV71,finalCtl,2,FALSE),"")</f>
        <v/>
      </c>
      <c r="BF71" s="4" t="str">
        <f>IFERROR(VLOOKUP(AV71,finalCtl,3,FALSE),"")</f>
        <v/>
      </c>
      <c r="BG71" s="3" t="str">
        <f t="shared" si="8"/>
        <v/>
      </c>
    </row>
    <row r="72" spans="19:59" ht="15" customHeight="1" x14ac:dyDescent="0.25">
      <c r="S72" s="5" t="str">
        <f t="shared" si="2"/>
        <v/>
      </c>
      <c r="T72" s="5" t="str">
        <f t="shared" si="2"/>
        <v/>
      </c>
      <c r="U72" s="5" t="str">
        <f t="shared" si="2"/>
        <v/>
      </c>
      <c r="V72" s="5" t="str">
        <f t="shared" si="2"/>
        <v/>
      </c>
      <c r="W72" s="5" t="str">
        <f t="shared" si="2"/>
        <v/>
      </c>
      <c r="X72" s="5" t="str">
        <f>IF(Y72&lt;&gt;"",SUM(Y$52:Y72),"")</f>
        <v/>
      </c>
      <c r="Y72" s="5" t="str">
        <f>IF(AND(AF72&lt;&gt;"",AD72&lt;&gt;""),IF(OR(prodType="2x250g",AG72="2x250g"),0.5,1),"")</f>
        <v/>
      </c>
      <c r="Z72" s="5" t="str">
        <f>IF(AND(AF72&lt;&gt;"",AD72=""),IF(AG72="500g",1,IF(OR(prodType="2x250g",AND(AG72="2x250g")),0.5,1)),"")</f>
        <v/>
      </c>
      <c r="AB72" s="27" t="str">
        <f>IF(RIGHT(prodType,1)="g","droite","")</f>
        <v/>
      </c>
      <c r="AC72" s="37" t="str">
        <f>IF(Z72&lt;&gt;"",SUM(Z$52:Z72),"")</f>
        <v/>
      </c>
      <c r="AD72" s="54"/>
      <c r="AE72" s="64"/>
      <c r="AF72" s="54"/>
      <c r="AG72" s="54"/>
      <c r="AH72" s="4">
        <f t="shared" si="9"/>
        <v>0</v>
      </c>
      <c r="AI72" s="4">
        <f t="shared" si="10"/>
        <v>0</v>
      </c>
      <c r="AK72" s="64"/>
      <c r="AL72" s="66"/>
      <c r="AM72" s="66"/>
      <c r="AO72" s="41"/>
      <c r="AP72" s="41"/>
      <c r="AQ72" s="41"/>
      <c r="AR72" s="41"/>
      <c r="AU72" s="4" t="str">
        <f t="shared" si="3"/>
        <v/>
      </c>
      <c r="AV72" s="4" t="str">
        <f t="shared" si="4"/>
        <v/>
      </c>
      <c r="AW72" s="4" t="str">
        <f t="shared" si="5"/>
        <v/>
      </c>
      <c r="AX72" s="4" t="str">
        <f>IF(AU72&lt;&gt;"",IF(AND(AG72=""),prodType,AG72),"")</f>
        <v/>
      </c>
      <c r="AY72" s="4" t="str">
        <f t="shared" si="6"/>
        <v/>
      </c>
      <c r="AZ72" s="4" t="str">
        <f>IF(AU72&lt;&gt;"",posteMachine,"")</f>
        <v/>
      </c>
      <c r="BA72" s="4" t="str">
        <f>IF(AU72&lt;&gt;"",posteOperateur,"")</f>
        <v/>
      </c>
      <c r="BB72" s="4" t="str">
        <f t="shared" si="7"/>
        <v/>
      </c>
      <c r="BC72" s="4" t="str">
        <f>IFERROR(VLOOKUP(AV72,micCtl,2,FALSE),"")</f>
        <v/>
      </c>
      <c r="BD72" s="4" t="str">
        <f>IFERROR(VLOOKUP(AV72,micCtl,3,FALSE),"")</f>
        <v/>
      </c>
      <c r="BE72" s="4" t="str">
        <f>IFERROR(VLOOKUP(AV72,finalCtl,2,FALSE),"")</f>
        <v/>
      </c>
      <c r="BF72" s="4" t="str">
        <f>IFERROR(VLOOKUP(AV72,finalCtl,3,FALSE),"")</f>
        <v/>
      </c>
      <c r="BG72" s="3" t="str">
        <f t="shared" si="8"/>
        <v/>
      </c>
    </row>
    <row r="73" spans="19:59" ht="15" customHeight="1" x14ac:dyDescent="0.25">
      <c r="S73" s="5" t="str">
        <f t="shared" si="2"/>
        <v/>
      </c>
      <c r="T73" s="5" t="str">
        <f t="shared" si="2"/>
        <v/>
      </c>
      <c r="U73" s="5" t="str">
        <f t="shared" si="2"/>
        <v/>
      </c>
      <c r="V73" s="5" t="str">
        <f t="shared" si="2"/>
        <v/>
      </c>
      <c r="W73" s="5" t="str">
        <f t="shared" si="2"/>
        <v/>
      </c>
      <c r="X73" s="5" t="str">
        <f>IF(Y73&lt;&gt;"",SUM(Y$52:Y73),"")</f>
        <v/>
      </c>
      <c r="Y73" s="5" t="str">
        <f>IF(AND(AF73&lt;&gt;"",AD73&lt;&gt;""),IF(OR(prodType="2x250g",AG73="2x250g"),0.5,1),"")</f>
        <v/>
      </c>
      <c r="Z73" s="5" t="str">
        <f>IF(AND(AF73&lt;&gt;"",AD73=""),IF(AG73="500g",1,IF(OR(prodType="2x250g",AND(AG73="2x250g")),0.5,1)),"")</f>
        <v/>
      </c>
      <c r="AB73" s="27" t="str">
        <f>IF(RIGHT(prodType,1)="g","gauche","")</f>
        <v/>
      </c>
      <c r="AC73" s="37" t="str">
        <f>IF(Z73&lt;&gt;"",SUM(Z$52:Z73),"")</f>
        <v/>
      </c>
      <c r="AD73" s="54"/>
      <c r="AE73" s="64"/>
      <c r="AF73" s="54"/>
      <c r="AG73" s="54"/>
      <c r="AH73" s="4">
        <f t="shared" si="9"/>
        <v>0</v>
      </c>
      <c r="AI73" s="4">
        <f t="shared" si="10"/>
        <v>0</v>
      </c>
      <c r="AK73" s="64"/>
      <c r="AL73" s="66"/>
      <c r="AM73" s="66"/>
      <c r="AU73" s="4" t="str">
        <f t="shared" si="3"/>
        <v/>
      </c>
      <c r="AV73" s="4" t="str">
        <f t="shared" si="4"/>
        <v/>
      </c>
      <c r="AW73" s="4" t="str">
        <f t="shared" si="5"/>
        <v/>
      </c>
      <c r="AX73" s="4" t="str">
        <f>IF(AU73&lt;&gt;"",IF(AND(AG73=""),prodType,AG73),"")</f>
        <v/>
      </c>
      <c r="AY73" s="4" t="str">
        <f t="shared" si="6"/>
        <v/>
      </c>
      <c r="AZ73" s="4" t="str">
        <f>IF(AU73&lt;&gt;"",posteMachine,"")</f>
        <v/>
      </c>
      <c r="BA73" s="4" t="str">
        <f>IF(AU73&lt;&gt;"",posteOperateur,"")</f>
        <v/>
      </c>
      <c r="BB73" s="4" t="str">
        <f t="shared" si="7"/>
        <v/>
      </c>
      <c r="BC73" s="4" t="str">
        <f>IFERROR(VLOOKUP(AV73,micCtl,2,FALSE),"")</f>
        <v/>
      </c>
      <c r="BD73" s="4" t="str">
        <f>IFERROR(VLOOKUP(AV73,micCtl,3,FALSE),"")</f>
        <v/>
      </c>
      <c r="BE73" s="4" t="str">
        <f>IFERROR(VLOOKUP(AV73,finalCtl,2,FALSE),"")</f>
        <v/>
      </c>
      <c r="BF73" s="4" t="str">
        <f>IFERROR(VLOOKUP(AV73,finalCtl,3,FALSE),"")</f>
        <v/>
      </c>
      <c r="BG73" s="3" t="str">
        <f t="shared" si="8"/>
        <v/>
      </c>
    </row>
    <row r="74" spans="19:59" ht="15" customHeight="1" x14ac:dyDescent="0.25">
      <c r="S74" s="5" t="str">
        <f t="shared" si="2"/>
        <v/>
      </c>
      <c r="T74" s="5" t="str">
        <f t="shared" si="2"/>
        <v/>
      </c>
      <c r="U74" s="5" t="str">
        <f t="shared" si="2"/>
        <v/>
      </c>
      <c r="V74" s="5" t="str">
        <f t="shared" si="2"/>
        <v/>
      </c>
      <c r="W74" s="5" t="str">
        <f t="shared" si="2"/>
        <v/>
      </c>
      <c r="X74" s="5" t="str">
        <f>IF(Y74&lt;&gt;"",SUM(Y$52:Y74),"")</f>
        <v/>
      </c>
      <c r="Y74" s="5" t="str">
        <f>IF(AND(AF74&lt;&gt;"",AD74&lt;&gt;""),IF(OR(prodType="2x250g",AG74="2x250g"),0.5,1),"")</f>
        <v/>
      </c>
      <c r="Z74" s="5" t="str">
        <f>IF(AND(AF74&lt;&gt;"",AD74=""),IF(AG74="500g",1,IF(OR(prodType="2x250g",AND(AG74="2x250g")),0.5,1)),"")</f>
        <v/>
      </c>
      <c r="AB74" s="27" t="str">
        <f>IF(RIGHT(prodType,1)="g","droite","")</f>
        <v/>
      </c>
      <c r="AC74" s="37" t="str">
        <f>IF(Z74&lt;&gt;"",SUM(Z$52:Z74),"")</f>
        <v/>
      </c>
      <c r="AD74" s="54"/>
      <c r="AE74" s="64"/>
      <c r="AF74" s="54"/>
      <c r="AG74" s="54"/>
      <c r="AH74" s="4">
        <f t="shared" si="9"/>
        <v>0</v>
      </c>
      <c r="AI74" s="4">
        <f t="shared" si="10"/>
        <v>0</v>
      </c>
      <c r="AK74" s="51"/>
      <c r="AL74" s="52" t="str">
        <f>IFERROR(AVERAGE(AL68:AL73),"")</f>
        <v/>
      </c>
      <c r="AM74" s="52" t="str">
        <f>IF(COUNTIF(AM68:AM73,"OK"),"ok","")</f>
        <v/>
      </c>
      <c r="AO74" s="53"/>
      <c r="AP74" s="53"/>
      <c r="AQ74" s="53"/>
      <c r="AU74" s="4" t="str">
        <f t="shared" si="3"/>
        <v/>
      </c>
      <c r="AV74" s="4" t="str">
        <f t="shared" si="4"/>
        <v/>
      </c>
      <c r="AW74" s="4" t="str">
        <f t="shared" si="5"/>
        <v/>
      </c>
      <c r="AX74" s="4" t="str">
        <f>IF(AU74&lt;&gt;"",IF(AND(AG74=""),prodType,AG74),"")</f>
        <v/>
      </c>
      <c r="AY74" s="4" t="str">
        <f t="shared" si="6"/>
        <v/>
      </c>
      <c r="AZ74" s="4" t="str">
        <f>IF(AU74&lt;&gt;"",posteMachine,"")</f>
        <v/>
      </c>
      <c r="BA74" s="4" t="str">
        <f>IF(AU74&lt;&gt;"",posteOperateur,"")</f>
        <v/>
      </c>
      <c r="BB74" s="4" t="str">
        <f t="shared" si="7"/>
        <v/>
      </c>
      <c r="BC74" s="4" t="str">
        <f>IFERROR(VLOOKUP(AV74,micCtl,2,FALSE),"")</f>
        <v/>
      </c>
      <c r="BD74" s="4" t="str">
        <f>IFERROR(VLOOKUP(AV74,micCtl,3,FALSE),"")</f>
        <v/>
      </c>
      <c r="BE74" s="4" t="str">
        <f>IFERROR(VLOOKUP(AV74,finalCtl,2,FALSE),"")</f>
        <v/>
      </c>
      <c r="BF74" s="4" t="str">
        <f>IFERROR(VLOOKUP(AV74,finalCtl,3,FALSE),"")</f>
        <v/>
      </c>
      <c r="BG74" s="3" t="str">
        <f t="shared" si="8"/>
        <v/>
      </c>
    </row>
    <row r="75" spans="19:59" ht="15" customHeight="1" x14ac:dyDescent="0.25">
      <c r="S75" s="5" t="str">
        <f t="shared" si="2"/>
        <v/>
      </c>
      <c r="T75" s="5" t="str">
        <f t="shared" si="2"/>
        <v/>
      </c>
      <c r="U75" s="5" t="str">
        <f t="shared" si="2"/>
        <v/>
      </c>
      <c r="V75" s="5" t="str">
        <f t="shared" si="2"/>
        <v/>
      </c>
      <c r="W75" s="5" t="str">
        <f t="shared" si="2"/>
        <v/>
      </c>
      <c r="X75" s="5" t="str">
        <f>IF(Y75&lt;&gt;"",SUM(Y$52:Y75),"")</f>
        <v/>
      </c>
      <c r="Y75" s="5" t="str">
        <f>IF(AND(AF75&lt;&gt;"",AD75&lt;&gt;""),IF(OR(prodType="2x250g",AG75="2x250g"),0.5,1),"")</f>
        <v/>
      </c>
      <c r="Z75" s="5" t="str">
        <f>IF(AND(AF75&lt;&gt;"",AD75=""),IF(AG75="500g",1,IF(OR(prodType="2x250g",AND(AG75="2x250g")),0.5,1)),"")</f>
        <v/>
      </c>
      <c r="AB75" s="27" t="str">
        <f>IF(RIGHT(prodType,1)="g","gauche","")</f>
        <v/>
      </c>
      <c r="AC75" s="37" t="str">
        <f>IF(Z75&lt;&gt;"",SUM(Z$52:Z75),"")</f>
        <v/>
      </c>
      <c r="AD75" s="54"/>
      <c r="AE75" s="64"/>
      <c r="AF75" s="54"/>
      <c r="AG75" s="54"/>
      <c r="AH75" s="4">
        <f t="shared" si="9"/>
        <v>0</v>
      </c>
      <c r="AI75" s="4">
        <f t="shared" si="10"/>
        <v>0</v>
      </c>
      <c r="AL75" s="5" t="s">
        <v>74</v>
      </c>
      <c r="AO75" s="53"/>
      <c r="AP75" s="53"/>
      <c r="AQ75" s="53"/>
      <c r="AU75" s="4" t="str">
        <f t="shared" si="3"/>
        <v/>
      </c>
      <c r="AV75" s="4" t="str">
        <f t="shared" si="4"/>
        <v/>
      </c>
      <c r="AW75" s="4" t="str">
        <f t="shared" si="5"/>
        <v/>
      </c>
      <c r="AX75" s="4" t="str">
        <f>IF(AU75&lt;&gt;"",IF(AND(AG75=""),prodType,AG75),"")</f>
        <v/>
      </c>
      <c r="AY75" s="4" t="str">
        <f t="shared" si="6"/>
        <v/>
      </c>
      <c r="AZ75" s="4" t="str">
        <f>IF(AU75&lt;&gt;"",posteMachine,"")</f>
        <v/>
      </c>
      <c r="BA75" s="4" t="str">
        <f>IF(AU75&lt;&gt;"",posteOperateur,"")</f>
        <v/>
      </c>
      <c r="BB75" s="4" t="str">
        <f t="shared" si="7"/>
        <v/>
      </c>
      <c r="BC75" s="4" t="str">
        <f>IFERROR(VLOOKUP(AV75,micCtl,2,FALSE),"")</f>
        <v/>
      </c>
      <c r="BD75" s="4" t="str">
        <f>IFERROR(VLOOKUP(AV75,micCtl,3,FALSE),"")</f>
        <v/>
      </c>
      <c r="BE75" s="4" t="str">
        <f>IFERROR(VLOOKUP(AV75,finalCtl,2,FALSE),"")</f>
        <v/>
      </c>
      <c r="BF75" s="4" t="str">
        <f>IFERROR(VLOOKUP(AV75,finalCtl,3,FALSE),"")</f>
        <v/>
      </c>
      <c r="BG75" s="3" t="str">
        <f t="shared" si="8"/>
        <v/>
      </c>
    </row>
    <row r="76" spans="19:59" ht="15" customHeight="1" x14ac:dyDescent="0.25">
      <c r="S76" s="5" t="str">
        <f t="shared" si="2"/>
        <v/>
      </c>
      <c r="T76" s="5" t="str">
        <f t="shared" si="2"/>
        <v/>
      </c>
      <c r="U76" s="5" t="str">
        <f t="shared" si="2"/>
        <v/>
      </c>
      <c r="V76" s="5" t="str">
        <f t="shared" si="2"/>
        <v/>
      </c>
      <c r="W76" s="5" t="str">
        <f t="shared" si="2"/>
        <v/>
      </c>
      <c r="X76" s="5" t="str">
        <f>IF(Y76&lt;&gt;"",SUM(Y$52:Y76),"")</f>
        <v/>
      </c>
      <c r="Y76" s="5" t="str">
        <f>IF(AND(AF76&lt;&gt;"",AD76&lt;&gt;""),IF(OR(prodType="2x250g",AG76="2x250g"),0.5,1),"")</f>
        <v/>
      </c>
      <c r="Z76" s="5" t="str">
        <f>IF(AND(AF76&lt;&gt;"",AD76=""),IF(AG76="500g",1,IF(OR(prodType="2x250g",AND(AG76="2x250g")),0.5,1)),"")</f>
        <v/>
      </c>
      <c r="AB76" s="27" t="str">
        <f>IF(RIGHT(prodType,1)="g","droite","")</f>
        <v/>
      </c>
      <c r="AC76" s="37" t="str">
        <f>IF(Z76&lt;&gt;"",SUM(Z$52:Z76),"")</f>
        <v/>
      </c>
      <c r="AD76" s="54"/>
      <c r="AE76" s="64"/>
      <c r="AF76" s="54"/>
      <c r="AG76" s="54"/>
      <c r="AH76" s="4">
        <f t="shared" si="9"/>
        <v>0</v>
      </c>
      <c r="AI76" s="4">
        <f t="shared" si="10"/>
        <v>0</v>
      </c>
      <c r="AO76" s="53"/>
      <c r="AP76" s="53"/>
      <c r="AQ76" s="53"/>
      <c r="AU76" s="4" t="str">
        <f t="shared" si="3"/>
        <v/>
      </c>
      <c r="AV76" s="4" t="str">
        <f t="shared" si="4"/>
        <v/>
      </c>
      <c r="AW76" s="4" t="str">
        <f t="shared" si="5"/>
        <v/>
      </c>
      <c r="AX76" s="4" t="str">
        <f>IF(AU76&lt;&gt;"",IF(AND(AG76=""),prodType,AG76),"")</f>
        <v/>
      </c>
      <c r="AY76" s="4" t="str">
        <f t="shared" si="6"/>
        <v/>
      </c>
      <c r="AZ76" s="4" t="str">
        <f>IF(AU76&lt;&gt;"",posteMachine,"")</f>
        <v/>
      </c>
      <c r="BA76" s="4" t="str">
        <f>IF(AU76&lt;&gt;"",posteOperateur,"")</f>
        <v/>
      </c>
      <c r="BB76" s="4" t="str">
        <f t="shared" si="7"/>
        <v/>
      </c>
      <c r="BC76" s="4" t="str">
        <f>IFERROR(VLOOKUP(AV76,micCtl,2,FALSE),"")</f>
        <v/>
      </c>
      <c r="BD76" s="4" t="str">
        <f>IFERROR(VLOOKUP(AV76,micCtl,3,FALSE),"")</f>
        <v/>
      </c>
      <c r="BE76" s="4" t="str">
        <f>IFERROR(VLOOKUP(AV76,finalCtl,2,FALSE),"")</f>
        <v/>
      </c>
      <c r="BF76" s="4" t="str">
        <f>IFERROR(VLOOKUP(AV76,finalCtl,3,FALSE),"")</f>
        <v/>
      </c>
      <c r="BG76" s="3" t="str">
        <f t="shared" si="8"/>
        <v/>
      </c>
    </row>
    <row r="77" spans="19:59" ht="14.25" customHeight="1" x14ac:dyDescent="0.25">
      <c r="S77" s="5" t="str">
        <f t="shared" si="2"/>
        <v/>
      </c>
      <c r="T77" s="5" t="str">
        <f t="shared" si="2"/>
        <v/>
      </c>
      <c r="U77" s="5" t="str">
        <f t="shared" si="2"/>
        <v/>
      </c>
      <c r="V77" s="5" t="str">
        <f t="shared" si="2"/>
        <v/>
      </c>
      <c r="W77" s="5" t="str">
        <f t="shared" si="2"/>
        <v/>
      </c>
      <c r="X77" s="5" t="str">
        <f>IF(Y77&lt;&gt;"",SUM(Y$52:Y77),"")</f>
        <v/>
      </c>
      <c r="Y77" s="5" t="str">
        <f>IF(AND(AF77&lt;&gt;"",AD77&lt;&gt;""),IF(OR(prodType="2x250g",AG77="2x250g"),0.5,1),"")</f>
        <v/>
      </c>
      <c r="Z77" s="5" t="str">
        <f>IF(AND(AF77&lt;&gt;"",AD77=""),IF(AG77="500g",1,IF(OR(prodType="2x250g",AND(AG77="2x250g")),0.5,1)),"")</f>
        <v/>
      </c>
      <c r="AB77" s="27" t="str">
        <f>IF(RIGHT(prodType,1)="g","gauche","")</f>
        <v/>
      </c>
      <c r="AC77" s="37" t="str">
        <f>IF(Z77&lt;&gt;"",SUM(Z$52:Z77),"")</f>
        <v/>
      </c>
      <c r="AD77" s="54"/>
      <c r="AE77" s="64"/>
      <c r="AF77" s="54"/>
      <c r="AG77" s="54"/>
      <c r="AH77" s="4">
        <f t="shared" si="9"/>
        <v>0</v>
      </c>
      <c r="AI77" s="4">
        <f t="shared" si="10"/>
        <v>0</v>
      </c>
      <c r="AO77" s="53"/>
      <c r="AP77" s="53"/>
      <c r="AQ77" s="53"/>
      <c r="AU77" s="4" t="str">
        <f t="shared" si="3"/>
        <v/>
      </c>
      <c r="AV77" s="4" t="str">
        <f t="shared" si="4"/>
        <v/>
      </c>
      <c r="AW77" s="4" t="str">
        <f t="shared" si="5"/>
        <v/>
      </c>
      <c r="AX77" s="4" t="str">
        <f>IF(AU77&lt;&gt;"",IF(AND(AG77=""),prodType,AG77),"")</f>
        <v/>
      </c>
      <c r="AY77" s="4" t="str">
        <f t="shared" si="6"/>
        <v/>
      </c>
      <c r="AZ77" s="4" t="str">
        <f>IF(AU77&lt;&gt;"",posteMachine,"")</f>
        <v/>
      </c>
      <c r="BA77" s="4" t="str">
        <f>IF(AU77&lt;&gt;"",posteOperateur,"")</f>
        <v/>
      </c>
      <c r="BB77" s="4" t="str">
        <f t="shared" si="7"/>
        <v/>
      </c>
      <c r="BC77" s="4" t="str">
        <f>IFERROR(VLOOKUP(AV77,micCtl,2,FALSE),"")</f>
        <v/>
      </c>
      <c r="BD77" s="4" t="str">
        <f>IFERROR(VLOOKUP(AV77,micCtl,3,FALSE),"")</f>
        <v/>
      </c>
      <c r="BE77" s="4" t="str">
        <f>IFERROR(VLOOKUP(AV77,finalCtl,2,FALSE),"")</f>
        <v/>
      </c>
      <c r="BF77" s="4" t="str">
        <f>IFERROR(VLOOKUP(AV77,finalCtl,3,FALSE),"")</f>
        <v/>
      </c>
      <c r="BG77" s="3" t="str">
        <f t="shared" si="8"/>
        <v/>
      </c>
    </row>
    <row r="78" spans="19:59" ht="14.25" customHeight="1" x14ac:dyDescent="0.25">
      <c r="S78" s="5" t="str">
        <f t="shared" si="2"/>
        <v/>
      </c>
      <c r="T78" s="5" t="str">
        <f t="shared" si="2"/>
        <v/>
      </c>
      <c r="U78" s="5" t="str">
        <f t="shared" si="2"/>
        <v/>
      </c>
      <c r="V78" s="5" t="str">
        <f t="shared" si="2"/>
        <v/>
      </c>
      <c r="W78" s="5" t="str">
        <f t="shared" si="2"/>
        <v/>
      </c>
      <c r="X78" s="5" t="str">
        <f>IF(Y78&lt;&gt;"",SUM(Y$52:Y78),"")</f>
        <v/>
      </c>
      <c r="Y78" s="5" t="str">
        <f>IF(AND(AF78&lt;&gt;"",AD78&lt;&gt;""),IF(OR(prodType="2x250g",AG78="2x250g"),0.5,1),"")</f>
        <v/>
      </c>
      <c r="Z78" s="5" t="str">
        <f>IF(AND(AF78&lt;&gt;"",AD78=""),IF(AG78="500g",1,IF(OR(prodType="2x250g",AND(AG78="2x250g")),0.5,1)),"")</f>
        <v/>
      </c>
      <c r="AB78" s="27" t="str">
        <f>IF(RIGHT(prodType,1)="g","droite","")</f>
        <v/>
      </c>
      <c r="AC78" s="37" t="str">
        <f>IF(Z78&lt;&gt;"",SUM(Z$52:Z78),"")</f>
        <v/>
      </c>
      <c r="AD78" s="54"/>
      <c r="AE78" s="64"/>
      <c r="AF78" s="54"/>
      <c r="AG78" s="54"/>
      <c r="AH78" s="4">
        <f t="shared" si="9"/>
        <v>0</v>
      </c>
      <c r="AI78" s="4">
        <f t="shared" si="10"/>
        <v>0</v>
      </c>
      <c r="AO78" s="53"/>
      <c r="AP78" s="53"/>
      <c r="AQ78" s="53"/>
      <c r="AU78" s="4" t="str">
        <f t="shared" si="3"/>
        <v/>
      </c>
      <c r="AV78" s="4" t="str">
        <f t="shared" si="4"/>
        <v/>
      </c>
      <c r="AW78" s="4" t="str">
        <f t="shared" si="5"/>
        <v/>
      </c>
      <c r="AX78" s="4" t="str">
        <f>IF(AU78&lt;&gt;"",IF(AND(AG78=""),prodType,AG78),"")</f>
        <v/>
      </c>
      <c r="AY78" s="4" t="str">
        <f t="shared" si="6"/>
        <v/>
      </c>
      <c r="AZ78" s="4" t="str">
        <f>IF(AU78&lt;&gt;"",posteMachine,"")</f>
        <v/>
      </c>
      <c r="BA78" s="4" t="str">
        <f>IF(AU78&lt;&gt;"",posteOperateur,"")</f>
        <v/>
      </c>
      <c r="BB78" s="4" t="str">
        <f t="shared" si="7"/>
        <v/>
      </c>
      <c r="BC78" s="4" t="str">
        <f>IFERROR(VLOOKUP(AV78,micCtl,2,FALSE),"")</f>
        <v/>
      </c>
      <c r="BD78" s="4" t="str">
        <f>IFERROR(VLOOKUP(AV78,micCtl,3,FALSE),"")</f>
        <v/>
      </c>
      <c r="BE78" s="4" t="str">
        <f>IFERROR(VLOOKUP(AV78,finalCtl,2,FALSE),"")</f>
        <v/>
      </c>
      <c r="BF78" s="4" t="str">
        <f>IFERROR(VLOOKUP(AV78,finalCtl,3,FALSE),"")</f>
        <v/>
      </c>
      <c r="BG78" s="3" t="str">
        <f t="shared" si="8"/>
        <v/>
      </c>
    </row>
    <row r="79" spans="19:59" ht="14.25" customHeight="1" x14ac:dyDescent="0.25">
      <c r="S79" s="5" t="str">
        <f t="shared" si="2"/>
        <v/>
      </c>
      <c r="T79" s="5" t="str">
        <f t="shared" si="2"/>
        <v/>
      </c>
      <c r="U79" s="5" t="str">
        <f t="shared" si="2"/>
        <v/>
      </c>
      <c r="V79" s="5" t="str">
        <f t="shared" si="2"/>
        <v/>
      </c>
      <c r="W79" s="5" t="str">
        <f t="shared" si="2"/>
        <v/>
      </c>
      <c r="X79" s="5" t="str">
        <f>IF(Y79&lt;&gt;"",SUM(Y$52:Y79),"")</f>
        <v/>
      </c>
      <c r="Y79" s="5" t="str">
        <f>IF(AND(AF79&lt;&gt;"",AD79&lt;&gt;""),IF(OR(prodType="2x250g",AG79="2x250g"),0.5,1),"")</f>
        <v/>
      </c>
      <c r="Z79" s="5" t="str">
        <f>IF(AND(AF79&lt;&gt;"",AD79=""),IF(AG79="500g",1,IF(OR(prodType="2x250g",AND(AG79="2x250g")),0.5,1)),"")</f>
        <v/>
      </c>
      <c r="AB79" s="27" t="str">
        <f>IF(RIGHT(prodType,1)="g","gauche","")</f>
        <v/>
      </c>
      <c r="AC79" s="37" t="str">
        <f>IF(Z79&lt;&gt;"",SUM(Z$52:Z79),"")</f>
        <v/>
      </c>
      <c r="AD79" s="54"/>
      <c r="AE79" s="64"/>
      <c r="AF79" s="54"/>
      <c r="AG79" s="54"/>
      <c r="AH79" s="4">
        <f t="shared" si="9"/>
        <v>0</v>
      </c>
      <c r="AI79" s="4">
        <f t="shared" si="10"/>
        <v>0</v>
      </c>
      <c r="AO79" s="53"/>
      <c r="AP79" s="53"/>
      <c r="AQ79" s="53"/>
      <c r="AU79" s="4" t="str">
        <f t="shared" si="3"/>
        <v/>
      </c>
      <c r="AV79" s="4" t="str">
        <f t="shared" si="4"/>
        <v/>
      </c>
      <c r="AW79" s="4" t="str">
        <f t="shared" si="5"/>
        <v/>
      </c>
      <c r="AX79" s="4" t="str">
        <f>IF(AU79&lt;&gt;"",IF(AND(AG79=""),prodType,AG79),"")</f>
        <v/>
      </c>
      <c r="AY79" s="4" t="str">
        <f t="shared" si="6"/>
        <v/>
      </c>
      <c r="AZ79" s="4" t="str">
        <f>IF(AU79&lt;&gt;"",posteMachine,"")</f>
        <v/>
      </c>
      <c r="BA79" s="4" t="str">
        <f>IF(AU79&lt;&gt;"",posteOperateur,"")</f>
        <v/>
      </c>
      <c r="BB79" s="4" t="str">
        <f t="shared" si="7"/>
        <v/>
      </c>
      <c r="BC79" s="4" t="str">
        <f>IFERROR(VLOOKUP(AV79,micCtl,2,FALSE),"")</f>
        <v/>
      </c>
      <c r="BD79" s="4" t="str">
        <f>IFERROR(VLOOKUP(AV79,micCtl,3,FALSE),"")</f>
        <v/>
      </c>
      <c r="BE79" s="4" t="str">
        <f>IFERROR(VLOOKUP(AV79,finalCtl,2,FALSE),"")</f>
        <v/>
      </c>
      <c r="BF79" s="4" t="str">
        <f>IFERROR(VLOOKUP(AV79,finalCtl,3,FALSE),"")</f>
        <v/>
      </c>
      <c r="BG79" s="3" t="str">
        <f t="shared" si="8"/>
        <v/>
      </c>
    </row>
    <row r="80" spans="19:59" ht="14.25" customHeight="1" x14ac:dyDescent="0.25">
      <c r="S80" s="5" t="str">
        <f t="shared" si="2"/>
        <v/>
      </c>
      <c r="T80" s="5" t="str">
        <f t="shared" si="2"/>
        <v/>
      </c>
      <c r="U80" s="5" t="str">
        <f t="shared" si="2"/>
        <v/>
      </c>
      <c r="V80" s="5" t="str">
        <f t="shared" si="2"/>
        <v/>
      </c>
      <c r="W80" s="5" t="str">
        <f t="shared" si="2"/>
        <v/>
      </c>
      <c r="X80" s="5" t="str">
        <f>IF(Y80&lt;&gt;"",SUM(Y$52:Y80),"")</f>
        <v/>
      </c>
      <c r="Y80" s="5" t="str">
        <f>IF(AND(AF80&lt;&gt;"",AD80&lt;&gt;""),IF(OR(prodType="2x250g",AG80="2x250g"),0.5,1),"")</f>
        <v/>
      </c>
      <c r="Z80" s="5" t="str">
        <f>IF(AND(AF80&lt;&gt;"",AD80=""),IF(AG80="500g",1,IF(OR(prodType="2x250g",AND(AG80="2x250g")),0.5,1)),"")</f>
        <v/>
      </c>
      <c r="AB80" s="27" t="str">
        <f>IF(RIGHT(prodType,1)="g","droite","")</f>
        <v/>
      </c>
      <c r="AC80" s="37" t="str">
        <f>IF(Z80&lt;&gt;"",SUM(Z$52:Z80),"")</f>
        <v/>
      </c>
      <c r="AD80" s="54"/>
      <c r="AE80" s="64"/>
      <c r="AF80" s="54"/>
      <c r="AG80" s="54"/>
      <c r="AH80" s="4">
        <f t="shared" si="9"/>
        <v>0</v>
      </c>
      <c r="AI80" s="4">
        <f t="shared" si="10"/>
        <v>0</v>
      </c>
      <c r="AU80" s="4" t="str">
        <f t="shared" si="3"/>
        <v/>
      </c>
      <c r="AV80" s="4" t="str">
        <f t="shared" si="4"/>
        <v/>
      </c>
      <c r="AW80" s="4" t="str">
        <f t="shared" si="5"/>
        <v/>
      </c>
      <c r="AX80" s="4" t="str">
        <f>IF(AU80&lt;&gt;"",IF(AND(AG80=""),prodType,AG80),"")</f>
        <v/>
      </c>
      <c r="AY80" s="4" t="str">
        <f t="shared" si="6"/>
        <v/>
      </c>
      <c r="AZ80" s="4" t="str">
        <f>IF(AU80&lt;&gt;"",posteMachine,"")</f>
        <v/>
      </c>
      <c r="BA80" s="4" t="str">
        <f>IF(AU80&lt;&gt;"",posteOperateur,"")</f>
        <v/>
      </c>
      <c r="BB80" s="4" t="str">
        <f t="shared" si="7"/>
        <v/>
      </c>
      <c r="BC80" s="4" t="str">
        <f>IFERROR(VLOOKUP(AV80,micCtl,2,FALSE),"")</f>
        <v/>
      </c>
      <c r="BD80" s="4" t="str">
        <f>IFERROR(VLOOKUP(AV80,micCtl,3,FALSE),"")</f>
        <v/>
      </c>
      <c r="BE80" s="4" t="str">
        <f>IFERROR(VLOOKUP(AV80,finalCtl,2,FALSE),"")</f>
        <v/>
      </c>
      <c r="BF80" s="4" t="str">
        <f>IFERROR(VLOOKUP(AV80,finalCtl,3,FALSE),"")</f>
        <v/>
      </c>
      <c r="BG80" s="3" t="str">
        <f t="shared" si="8"/>
        <v/>
      </c>
    </row>
    <row r="81" spans="19:59" ht="14.25" customHeight="1" x14ac:dyDescent="0.25">
      <c r="S81" s="5" t="str">
        <f t="shared" si="2"/>
        <v/>
      </c>
      <c r="T81" s="5" t="str">
        <f t="shared" si="2"/>
        <v/>
      </c>
      <c r="U81" s="5" t="str">
        <f t="shared" si="2"/>
        <v/>
      </c>
      <c r="V81" s="5" t="str">
        <f t="shared" si="2"/>
        <v/>
      </c>
      <c r="W81" s="5" t="str">
        <f t="shared" si="2"/>
        <v/>
      </c>
      <c r="X81" s="5" t="str">
        <f>IF(Y81&lt;&gt;"",SUM(Y$52:Y81),"")</f>
        <v/>
      </c>
      <c r="Y81" s="5" t="str">
        <f>IF(AND(AF81&lt;&gt;"",AD81&lt;&gt;""),IF(OR(prodType="2x250g",AG81="2x250g"),0.5,1),"")</f>
        <v/>
      </c>
      <c r="Z81" s="5" t="str">
        <f>IF(AND(AF81&lt;&gt;"",AD81=""),IF(AG81="500g",1,IF(OR(prodType="2x250g",AND(AG81="2x250g")),0.5,1)),"")</f>
        <v/>
      </c>
      <c r="AB81" s="27" t="str">
        <f>IF(RIGHT(prodType,1)="g","gauche","")</f>
        <v/>
      </c>
      <c r="AC81" s="37" t="str">
        <f>IF(Z81&lt;&gt;"",SUM(Z$52:Z81),"")</f>
        <v/>
      </c>
      <c r="AD81" s="54"/>
      <c r="AE81" s="64"/>
      <c r="AF81" s="54"/>
      <c r="AG81" s="54"/>
      <c r="AH81" s="4">
        <f t="shared" si="9"/>
        <v>0</v>
      </c>
      <c r="AI81" s="4">
        <f t="shared" si="10"/>
        <v>0</v>
      </c>
      <c r="AU81" s="4" t="str">
        <f t="shared" si="3"/>
        <v/>
      </c>
      <c r="AV81" s="4" t="str">
        <f t="shared" si="4"/>
        <v/>
      </c>
      <c r="AW81" s="4" t="str">
        <f t="shared" si="5"/>
        <v/>
      </c>
      <c r="AX81" s="4" t="str">
        <f>IF(AU81&lt;&gt;"",IF(AND(AG81=""),prodType,AG81),"")</f>
        <v/>
      </c>
      <c r="AY81" s="4" t="str">
        <f t="shared" si="6"/>
        <v/>
      </c>
      <c r="AZ81" s="4" t="str">
        <f>IF(AU81&lt;&gt;"",posteMachine,"")</f>
        <v/>
      </c>
      <c r="BA81" s="4" t="str">
        <f>IF(AU81&lt;&gt;"",posteOperateur,"")</f>
        <v/>
      </c>
      <c r="BB81" s="4" t="str">
        <f t="shared" si="7"/>
        <v/>
      </c>
      <c r="BC81" s="4" t="str">
        <f>IFERROR(VLOOKUP(AV81,micCtl,2,FALSE),"")</f>
        <v/>
      </c>
      <c r="BD81" s="4" t="str">
        <f>IFERROR(VLOOKUP(AV81,micCtl,3,FALSE),"")</f>
        <v/>
      </c>
      <c r="BE81" s="4" t="str">
        <f>IFERROR(VLOOKUP(AV81,finalCtl,2,FALSE),"")</f>
        <v/>
      </c>
      <c r="BF81" s="4" t="str">
        <f>IFERROR(VLOOKUP(AV81,finalCtl,3,FALSE),"")</f>
        <v/>
      </c>
      <c r="BG81" s="3" t="str">
        <f t="shared" si="8"/>
        <v/>
      </c>
    </row>
    <row r="82" spans="19:59" ht="15" customHeight="1" x14ac:dyDescent="0.25">
      <c r="S82" s="5" t="str">
        <f t="shared" si="2"/>
        <v/>
      </c>
      <c r="T82" s="5" t="str">
        <f t="shared" si="2"/>
        <v/>
      </c>
      <c r="U82" s="5" t="str">
        <f t="shared" si="2"/>
        <v/>
      </c>
      <c r="V82" s="5" t="str">
        <f t="shared" si="2"/>
        <v/>
      </c>
      <c r="W82" s="5" t="str">
        <f t="shared" si="2"/>
        <v/>
      </c>
      <c r="X82" s="5" t="str">
        <f>IF(Y82&lt;&gt;"",SUM(Y$52:Y82),"")</f>
        <v/>
      </c>
      <c r="Y82" s="5" t="str">
        <f>IF(AND(AF82&lt;&gt;"",AD82&lt;&gt;""),IF(OR(prodType="2x250g",AG82="2x250g"),0.5,1),"")</f>
        <v/>
      </c>
      <c r="Z82" s="5" t="str">
        <f>IF(AND(AF82&lt;&gt;"",AD82=""),IF(AG82="500g",1,IF(OR(prodType="2x250g",AND(AG82="2x250g")),0.5,1)),"")</f>
        <v/>
      </c>
      <c r="AB82" s="27" t="str">
        <f>IF(RIGHT(prodType,1)="g","droite","")</f>
        <v/>
      </c>
      <c r="AC82" s="37" t="str">
        <f>IF(Z82&lt;&gt;"",SUM(Z$52:Z82),"")</f>
        <v/>
      </c>
      <c r="AD82" s="54"/>
      <c r="AE82" s="64"/>
      <c r="AF82" s="54"/>
      <c r="AG82" s="54"/>
      <c r="AH82" s="4">
        <f t="shared" si="9"/>
        <v>0</v>
      </c>
      <c r="AI82" s="4">
        <f t="shared" si="10"/>
        <v>0</v>
      </c>
      <c r="AU82" s="4" t="str">
        <f t="shared" si="3"/>
        <v/>
      </c>
      <c r="AV82" s="4" t="str">
        <f t="shared" si="4"/>
        <v/>
      </c>
      <c r="AW82" s="4" t="str">
        <f t="shared" si="5"/>
        <v/>
      </c>
      <c r="AX82" s="4" t="str">
        <f>IF(AU82&lt;&gt;"",IF(AND(AG82=""),prodType,AG82),"")</f>
        <v/>
      </c>
      <c r="AY82" s="4" t="str">
        <f t="shared" si="6"/>
        <v/>
      </c>
      <c r="AZ82" s="4" t="str">
        <f>IF(AU82&lt;&gt;"",posteMachine,"")</f>
        <v/>
      </c>
      <c r="BA82" s="4" t="str">
        <f>IF(AU82&lt;&gt;"",posteOperateur,"")</f>
        <v/>
      </c>
      <c r="BB82" s="4" t="str">
        <f t="shared" si="7"/>
        <v/>
      </c>
      <c r="BC82" s="4" t="str">
        <f>IFERROR(VLOOKUP(AV82,micCtl,2,FALSE),"")</f>
        <v/>
      </c>
      <c r="BD82" s="4" t="str">
        <f>IFERROR(VLOOKUP(AV82,micCtl,3,FALSE),"")</f>
        <v/>
      </c>
      <c r="BE82" s="4" t="str">
        <f>IFERROR(VLOOKUP(AV82,finalCtl,2,FALSE),"")</f>
        <v/>
      </c>
      <c r="BF82" s="4" t="str">
        <f>IFERROR(VLOOKUP(AV82,finalCtl,3,FALSE),"")</f>
        <v/>
      </c>
      <c r="BG82" s="3" t="str">
        <f t="shared" si="8"/>
        <v/>
      </c>
    </row>
    <row r="83" spans="19:59" ht="15" customHeight="1" x14ac:dyDescent="0.25">
      <c r="S83" s="5" t="str">
        <f t="shared" si="2"/>
        <v/>
      </c>
      <c r="T83" s="5" t="str">
        <f t="shared" si="2"/>
        <v/>
      </c>
      <c r="U83" s="5" t="str">
        <f t="shared" si="2"/>
        <v/>
      </c>
      <c r="V83" s="5" t="str">
        <f t="shared" si="2"/>
        <v/>
      </c>
      <c r="W83" s="5" t="str">
        <f t="shared" si="2"/>
        <v/>
      </c>
      <c r="X83" s="5" t="str">
        <f>IF(Y83&lt;&gt;"",SUM(Y$52:Y83),"")</f>
        <v/>
      </c>
      <c r="Y83" s="5" t="str">
        <f>IF(AND(AF83&lt;&gt;"",AD83&lt;&gt;""),IF(OR(prodType="2x250g",AG83="2x250g"),0.5,1),"")</f>
        <v/>
      </c>
      <c r="Z83" s="5" t="str">
        <f>IF(AND(AF83&lt;&gt;"",AD83=""),IF(AG83="500g",1,IF(OR(prodType="2x250g",AND(AG83="2x250g")),0.5,1)),"")</f>
        <v/>
      </c>
      <c r="AB83" s="27" t="str">
        <f>IF(RIGHT(prodType,1)="g","gauche","")</f>
        <v/>
      </c>
      <c r="AC83" s="37" t="str">
        <f>IF(Z83&lt;&gt;"",SUM(Z$52:Z83),"")</f>
        <v/>
      </c>
      <c r="AD83" s="54"/>
      <c r="AE83" s="64"/>
      <c r="AF83" s="54"/>
      <c r="AG83" s="54"/>
      <c r="AH83" s="4">
        <f t="shared" si="9"/>
        <v>0</v>
      </c>
      <c r="AI83" s="4">
        <f t="shared" si="10"/>
        <v>0</v>
      </c>
      <c r="AU83" s="4" t="str">
        <f t="shared" si="3"/>
        <v/>
      </c>
      <c r="AV83" s="4" t="str">
        <f t="shared" si="4"/>
        <v/>
      </c>
      <c r="AW83" s="4" t="str">
        <f t="shared" si="5"/>
        <v/>
      </c>
      <c r="AX83" s="4" t="str">
        <f>IF(AU83&lt;&gt;"",IF(AND(AG83=""),prodType,AG83),"")</f>
        <v/>
      </c>
      <c r="AY83" s="4" t="str">
        <f t="shared" si="6"/>
        <v/>
      </c>
      <c r="AZ83" s="4" t="str">
        <f>IF(AU83&lt;&gt;"",posteMachine,"")</f>
        <v/>
      </c>
      <c r="BA83" s="4" t="str">
        <f>IF(AU83&lt;&gt;"",posteOperateur,"")</f>
        <v/>
      </c>
      <c r="BB83" s="4" t="str">
        <f t="shared" si="7"/>
        <v/>
      </c>
      <c r="BC83" s="4" t="str">
        <f>IFERROR(VLOOKUP(AV83,micCtl,2,FALSE),"")</f>
        <v/>
      </c>
      <c r="BD83" s="4" t="str">
        <f>IFERROR(VLOOKUP(AV83,micCtl,3,FALSE),"")</f>
        <v/>
      </c>
      <c r="BE83" s="4" t="str">
        <f>IFERROR(VLOOKUP(AV83,finalCtl,2,FALSE),"")</f>
        <v/>
      </c>
      <c r="BF83" s="4" t="str">
        <f>IFERROR(VLOOKUP(AV83,finalCtl,3,FALSE),"")</f>
        <v/>
      </c>
      <c r="BG83" s="3" t="str">
        <f t="shared" si="8"/>
        <v/>
      </c>
    </row>
    <row r="84" spans="19:59" ht="15" customHeight="1" x14ac:dyDescent="0.25">
      <c r="S84" s="5" t="str">
        <f t="shared" si="2"/>
        <v/>
      </c>
      <c r="T84" s="5" t="str">
        <f t="shared" si="2"/>
        <v/>
      </c>
      <c r="U84" s="5" t="str">
        <f t="shared" si="2"/>
        <v/>
      </c>
      <c r="V84" s="5" t="str">
        <f t="shared" si="2"/>
        <v/>
      </c>
      <c r="W84" s="5" t="str">
        <f t="shared" si="2"/>
        <v/>
      </c>
      <c r="X84" s="5" t="str">
        <f>IF(Y84&lt;&gt;"",SUM(Y$52:Y84),"")</f>
        <v/>
      </c>
      <c r="Y84" s="5" t="str">
        <f>IF(AND(AF84&lt;&gt;"",AD84&lt;&gt;""),IF(OR(prodType="2x250g",AG84="2x250g"),0.5,1),"")</f>
        <v/>
      </c>
      <c r="Z84" s="5" t="str">
        <f>IF(AND(AF84&lt;&gt;"",AD84=""),IF(AG84="500g",1,IF(OR(prodType="2x250g",AND(AG84="2x250g")),0.5,1)),"")</f>
        <v/>
      </c>
      <c r="AB84" s="27" t="str">
        <f>IF(RIGHT(prodType,1)="g","droite","")</f>
        <v/>
      </c>
      <c r="AC84" s="37" t="str">
        <f>IF(Z84&lt;&gt;"",SUM(Z$52:Z84),"")</f>
        <v/>
      </c>
      <c r="AD84" s="54"/>
      <c r="AE84" s="64"/>
      <c r="AF84" s="54"/>
      <c r="AG84" s="54"/>
      <c r="AH84" s="4">
        <f t="shared" si="9"/>
        <v>0</v>
      </c>
      <c r="AI84" s="4">
        <f t="shared" si="10"/>
        <v>0</v>
      </c>
      <c r="AU84" s="4" t="str">
        <f t="shared" si="3"/>
        <v/>
      </c>
      <c r="AV84" s="4" t="str">
        <f t="shared" si="4"/>
        <v/>
      </c>
      <c r="AW84" s="4" t="str">
        <f t="shared" si="5"/>
        <v/>
      </c>
      <c r="AX84" s="4" t="str">
        <f>IF(AU84&lt;&gt;"",IF(AND(AG84=""),prodType,AG84),"")</f>
        <v/>
      </c>
      <c r="AY84" s="4" t="str">
        <f t="shared" si="6"/>
        <v/>
      </c>
      <c r="AZ84" s="4" t="str">
        <f>IF(AU84&lt;&gt;"",posteMachine,"")</f>
        <v/>
      </c>
      <c r="BA84" s="4" t="str">
        <f>IF(AU84&lt;&gt;"",posteOperateur,"")</f>
        <v/>
      </c>
      <c r="BB84" s="4" t="str">
        <f t="shared" si="7"/>
        <v/>
      </c>
      <c r="BC84" s="4" t="str">
        <f>IFERROR(VLOOKUP(AV84,micCtl,2,FALSE),"")</f>
        <v/>
      </c>
      <c r="BD84" s="4" t="str">
        <f>IFERROR(VLOOKUP(AV84,micCtl,3,FALSE),"")</f>
        <v/>
      </c>
      <c r="BE84" s="4" t="str">
        <f>IFERROR(VLOOKUP(AV84,finalCtl,2,FALSE),"")</f>
        <v/>
      </c>
      <c r="BF84" s="4" t="str">
        <f>IFERROR(VLOOKUP(AV84,finalCtl,3,FALSE),"")</f>
        <v/>
      </c>
      <c r="BG84" s="3" t="str">
        <f t="shared" si="8"/>
        <v/>
      </c>
    </row>
    <row r="85" spans="19:59" ht="15" customHeight="1" x14ac:dyDescent="0.25">
      <c r="S85" s="5" t="str">
        <f t="shared" ref="S85:W121" si="12">IF($AD85=S$51,$AI85,"")</f>
        <v/>
      </c>
      <c r="T85" s="5" t="str">
        <f t="shared" si="12"/>
        <v/>
      </c>
      <c r="U85" s="5" t="str">
        <f t="shared" si="12"/>
        <v/>
      </c>
      <c r="V85" s="5" t="str">
        <f t="shared" si="12"/>
        <v/>
      </c>
      <c r="W85" s="5" t="str">
        <f t="shared" si="12"/>
        <v/>
      </c>
      <c r="X85" s="5" t="str">
        <f>IF(Y85&lt;&gt;"",SUM(Y$52:Y85),"")</f>
        <v/>
      </c>
      <c r="Y85" s="5" t="str">
        <f>IF(AND(AF85&lt;&gt;"",AD85&lt;&gt;""),IF(OR(prodType="2x250g",AG85="2x250g"),0.5,1),"")</f>
        <v/>
      </c>
      <c r="Z85" s="5" t="str">
        <f>IF(AND(AF85&lt;&gt;"",AD85=""),IF(AG85="500g",1,IF(OR(prodType="2x250g",AND(AG85="2x250g")),0.5,1)),"")</f>
        <v/>
      </c>
      <c r="AB85" s="27" t="str">
        <f>IF(RIGHT(prodType,1)="g","gauche","")</f>
        <v/>
      </c>
      <c r="AC85" s="37" t="str">
        <f>IF(Z85&lt;&gt;"",SUM(Z$52:Z85),"")</f>
        <v/>
      </c>
      <c r="AD85" s="54"/>
      <c r="AE85" s="64"/>
      <c r="AF85" s="54"/>
      <c r="AG85" s="54"/>
      <c r="AH85" s="4">
        <f t="shared" si="9"/>
        <v>0</v>
      </c>
      <c r="AI85" s="4">
        <f t="shared" si="10"/>
        <v>0</v>
      </c>
      <c r="AU85" s="4" t="str">
        <f t="shared" si="3"/>
        <v/>
      </c>
      <c r="AV85" s="4" t="str">
        <f t="shared" si="4"/>
        <v/>
      </c>
      <c r="AW85" s="4" t="str">
        <f t="shared" si="5"/>
        <v/>
      </c>
      <c r="AX85" s="4" t="str">
        <f>IF(AU85&lt;&gt;"",IF(AND(AG85=""),prodType,AG85),"")</f>
        <v/>
      </c>
      <c r="AY85" s="4" t="str">
        <f t="shared" si="6"/>
        <v/>
      </c>
      <c r="AZ85" s="4" t="str">
        <f>IF(AU85&lt;&gt;"",posteMachine,"")</f>
        <v/>
      </c>
      <c r="BA85" s="4" t="str">
        <f>IF(AU85&lt;&gt;"",posteOperateur,"")</f>
        <v/>
      </c>
      <c r="BB85" s="4" t="str">
        <f t="shared" si="7"/>
        <v/>
      </c>
      <c r="BC85" s="4" t="str">
        <f>IFERROR(VLOOKUP(AV85,micCtl,2,FALSE),"")</f>
        <v/>
      </c>
      <c r="BD85" s="4" t="str">
        <f>IFERROR(VLOOKUP(AV85,micCtl,3,FALSE),"")</f>
        <v/>
      </c>
      <c r="BE85" s="4" t="str">
        <f>IFERROR(VLOOKUP(AV85,finalCtl,2,FALSE),"")</f>
        <v/>
      </c>
      <c r="BF85" s="4" t="str">
        <f>IFERROR(VLOOKUP(AV85,finalCtl,3,FALSE),"")</f>
        <v/>
      </c>
      <c r="BG85" s="3" t="str">
        <f t="shared" si="8"/>
        <v/>
      </c>
    </row>
    <row r="86" spans="19:59" ht="15" customHeight="1" x14ac:dyDescent="0.25">
      <c r="S86" s="5" t="str">
        <f t="shared" si="12"/>
        <v/>
      </c>
      <c r="T86" s="5" t="str">
        <f t="shared" si="12"/>
        <v/>
      </c>
      <c r="U86" s="5" t="str">
        <f t="shared" si="12"/>
        <v/>
      </c>
      <c r="V86" s="5" t="str">
        <f t="shared" si="12"/>
        <v/>
      </c>
      <c r="W86" s="5" t="str">
        <f t="shared" si="12"/>
        <v/>
      </c>
      <c r="X86" s="5" t="str">
        <f>IF(Y86&lt;&gt;"",SUM(Y$52:Y86),"")</f>
        <v/>
      </c>
      <c r="Y86" s="5" t="str">
        <f>IF(AND(AF86&lt;&gt;"",AD86&lt;&gt;""),IF(OR(prodType="2x250g",AG86="2x250g"),0.5,1),"")</f>
        <v/>
      </c>
      <c r="Z86" s="5" t="str">
        <f>IF(AND(AF86&lt;&gt;"",AD86=""),IF(AG86="500g",1,IF(OR(prodType="2x250g",AND(AG86="2x250g")),0.5,1)),"")</f>
        <v/>
      </c>
      <c r="AB86" s="27" t="str">
        <f>IF(RIGHT(prodType,1)="g","droite","")</f>
        <v/>
      </c>
      <c r="AC86" s="37" t="str">
        <f>IF(Z86&lt;&gt;"",SUM(Z$52:Z86),"")</f>
        <v/>
      </c>
      <c r="AD86" s="54"/>
      <c r="AE86" s="64"/>
      <c r="AF86" s="54"/>
      <c r="AG86" s="54"/>
      <c r="AH86" s="4">
        <f t="shared" si="9"/>
        <v>0</v>
      </c>
      <c r="AI86" s="4">
        <f t="shared" si="10"/>
        <v>0</v>
      </c>
      <c r="AU86" s="4" t="str">
        <f t="shared" si="3"/>
        <v/>
      </c>
      <c r="AV86" s="4" t="str">
        <f t="shared" si="4"/>
        <v/>
      </c>
      <c r="AW86" s="4" t="str">
        <f t="shared" si="5"/>
        <v/>
      </c>
      <c r="AX86" s="4" t="str">
        <f>IF(AU86&lt;&gt;"",IF(AND(AG86=""),prodType,AG86),"")</f>
        <v/>
      </c>
      <c r="AY86" s="4" t="str">
        <f t="shared" si="6"/>
        <v/>
      </c>
      <c r="AZ86" s="4" t="str">
        <f>IF(AU86&lt;&gt;"",posteMachine,"")</f>
        <v/>
      </c>
      <c r="BA86" s="4" t="str">
        <f>IF(AU86&lt;&gt;"",posteOperateur,"")</f>
        <v/>
      </c>
      <c r="BB86" s="4" t="str">
        <f t="shared" si="7"/>
        <v/>
      </c>
      <c r="BC86" s="4" t="str">
        <f>IFERROR(VLOOKUP(AV86,micCtl,2,FALSE),"")</f>
        <v/>
      </c>
      <c r="BD86" s="4" t="str">
        <f>IFERROR(VLOOKUP(AV86,micCtl,3,FALSE),"")</f>
        <v/>
      </c>
      <c r="BE86" s="4" t="str">
        <f>IFERROR(VLOOKUP(AV86,finalCtl,2,FALSE),"")</f>
        <v/>
      </c>
      <c r="BF86" s="4" t="str">
        <f>IFERROR(VLOOKUP(AV86,finalCtl,3,FALSE),"")</f>
        <v/>
      </c>
      <c r="BG86" s="3" t="str">
        <f t="shared" si="8"/>
        <v/>
      </c>
    </row>
    <row r="87" spans="19:59" ht="15" customHeight="1" x14ac:dyDescent="0.25">
      <c r="S87" s="5" t="str">
        <f t="shared" si="12"/>
        <v/>
      </c>
      <c r="T87" s="5" t="str">
        <f t="shared" si="12"/>
        <v/>
      </c>
      <c r="U87" s="5" t="str">
        <f t="shared" si="12"/>
        <v/>
      </c>
      <c r="V87" s="5" t="str">
        <f t="shared" si="12"/>
        <v/>
      </c>
      <c r="W87" s="5" t="str">
        <f t="shared" si="12"/>
        <v/>
      </c>
      <c r="X87" s="5" t="str">
        <f>IF(Y87&lt;&gt;"",SUM(Y$52:Y87),"")</f>
        <v/>
      </c>
      <c r="Y87" s="5" t="str">
        <f>IF(AND(AF87&lt;&gt;"",AD87&lt;&gt;""),IF(OR(prodType="2x250g",AG87="2x250g"),0.5,1),"")</f>
        <v/>
      </c>
      <c r="Z87" s="5" t="str">
        <f>IF(AND(AF87&lt;&gt;"",AD87=""),IF(AG87="500g",1,IF(OR(prodType="2x250g",AND(AG87="2x250g")),0.5,1)),"")</f>
        <v/>
      </c>
      <c r="AB87" s="27" t="str">
        <f>IF(RIGHT(prodType,1)="g","gauche","")</f>
        <v/>
      </c>
      <c r="AC87" s="37" t="str">
        <f>IF(Z87&lt;&gt;"",SUM(Z$52:Z87),"")</f>
        <v/>
      </c>
      <c r="AD87" s="54"/>
      <c r="AE87" s="64"/>
      <c r="AF87" s="54"/>
      <c r="AG87" s="54"/>
      <c r="AH87" s="4">
        <f t="shared" si="9"/>
        <v>0</v>
      </c>
      <c r="AI87" s="4">
        <f t="shared" si="10"/>
        <v>0</v>
      </c>
      <c r="AU87" s="4" t="str">
        <f t="shared" si="3"/>
        <v/>
      </c>
      <c r="AV87" s="4" t="str">
        <f t="shared" si="4"/>
        <v/>
      </c>
      <c r="AW87" s="4" t="str">
        <f t="shared" si="5"/>
        <v/>
      </c>
      <c r="AX87" s="4" t="str">
        <f>IF(AU87&lt;&gt;"",IF(AND(AG87=""),prodType,AG87),"")</f>
        <v/>
      </c>
      <c r="AY87" s="4" t="str">
        <f t="shared" si="6"/>
        <v/>
      </c>
      <c r="AZ87" s="4" t="str">
        <f>IF(AU87&lt;&gt;"",posteMachine,"")</f>
        <v/>
      </c>
      <c r="BA87" s="4" t="str">
        <f>IF(AU87&lt;&gt;"",posteOperateur,"")</f>
        <v/>
      </c>
      <c r="BB87" s="4" t="str">
        <f t="shared" si="7"/>
        <v/>
      </c>
      <c r="BC87" s="4" t="str">
        <f>IFERROR(VLOOKUP(AV87,micCtl,2,FALSE),"")</f>
        <v/>
      </c>
      <c r="BD87" s="4" t="str">
        <f>IFERROR(VLOOKUP(AV87,micCtl,3,FALSE),"")</f>
        <v/>
      </c>
      <c r="BE87" s="4" t="str">
        <f>IFERROR(VLOOKUP(AV87,finalCtl,2,FALSE),"")</f>
        <v/>
      </c>
      <c r="BF87" s="4" t="str">
        <f>IFERROR(VLOOKUP(AV87,finalCtl,3,FALSE),"")</f>
        <v/>
      </c>
      <c r="BG87" s="3" t="str">
        <f t="shared" si="8"/>
        <v/>
      </c>
    </row>
    <row r="88" spans="19:59" x14ac:dyDescent="0.25">
      <c r="S88" s="5" t="str">
        <f t="shared" si="12"/>
        <v/>
      </c>
      <c r="T88" s="5" t="str">
        <f t="shared" si="12"/>
        <v/>
      </c>
      <c r="U88" s="5" t="str">
        <f t="shared" si="12"/>
        <v/>
      </c>
      <c r="V88" s="5" t="str">
        <f t="shared" si="12"/>
        <v/>
      </c>
      <c r="W88" s="5" t="str">
        <f t="shared" si="12"/>
        <v/>
      </c>
      <c r="X88" s="5" t="str">
        <f>IF(Y88&lt;&gt;"",SUM(Y$52:Y88),"")</f>
        <v/>
      </c>
      <c r="Y88" s="5" t="str">
        <f>IF(AND(AF88&lt;&gt;"",AD88&lt;&gt;""),IF(OR(prodType="2x250g",AG88="2x250g"),0.5,1),"")</f>
        <v/>
      </c>
      <c r="Z88" s="5" t="str">
        <f>IF(AND(AF88&lt;&gt;"",AD88=""),IF(AG88="500g",1,IF(OR(prodType="2x250g",AND(AG88="2x250g")),0.5,1)),"")</f>
        <v/>
      </c>
      <c r="AB88" s="27" t="str">
        <f>IF(RIGHT(prodType,1)="g","droite","")</f>
        <v/>
      </c>
      <c r="AC88" s="37" t="str">
        <f>IF(Z88&lt;&gt;"",SUM(Z$52:Z88),"")</f>
        <v/>
      </c>
      <c r="AD88" s="54"/>
      <c r="AE88" s="64"/>
      <c r="AF88" s="54"/>
      <c r="AG88" s="54"/>
      <c r="AH88" s="4">
        <f t="shared" si="9"/>
        <v>0</v>
      </c>
      <c r="AI88" s="4">
        <f t="shared" si="10"/>
        <v>0</v>
      </c>
      <c r="AU88" s="4" t="str">
        <f t="shared" si="3"/>
        <v/>
      </c>
      <c r="AV88" s="4" t="str">
        <f t="shared" si="4"/>
        <v/>
      </c>
      <c r="AW88" s="4" t="str">
        <f t="shared" si="5"/>
        <v/>
      </c>
      <c r="AX88" s="4" t="str">
        <f>IF(AU88&lt;&gt;"",IF(AND(AG88=""),prodType,AG88),"")</f>
        <v/>
      </c>
      <c r="AY88" s="4" t="str">
        <f t="shared" si="6"/>
        <v/>
      </c>
      <c r="AZ88" s="4" t="str">
        <f>IF(AU88&lt;&gt;"",posteMachine,"")</f>
        <v/>
      </c>
      <c r="BA88" s="4" t="str">
        <f>IF(AU88&lt;&gt;"",posteOperateur,"")</f>
        <v/>
      </c>
      <c r="BB88" s="4" t="str">
        <f t="shared" si="7"/>
        <v/>
      </c>
      <c r="BC88" s="4" t="str">
        <f>IFERROR(VLOOKUP(AV88,micCtl,2,FALSE),"")</f>
        <v/>
      </c>
      <c r="BD88" s="4" t="str">
        <f>IFERROR(VLOOKUP(AV88,micCtl,3,FALSE),"")</f>
        <v/>
      </c>
      <c r="BE88" s="4" t="str">
        <f>IFERROR(VLOOKUP(AV88,finalCtl,2,FALSE),"")</f>
        <v/>
      </c>
      <c r="BF88" s="4" t="str">
        <f>IFERROR(VLOOKUP(AV88,finalCtl,3,FALSE),"")</f>
        <v/>
      </c>
      <c r="BG88" s="3" t="str">
        <f t="shared" si="8"/>
        <v/>
      </c>
    </row>
    <row r="89" spans="19:59" x14ac:dyDescent="0.25">
      <c r="S89" s="5" t="str">
        <f t="shared" si="12"/>
        <v/>
      </c>
      <c r="T89" s="5" t="str">
        <f t="shared" si="12"/>
        <v/>
      </c>
      <c r="U89" s="5" t="str">
        <f t="shared" si="12"/>
        <v/>
      </c>
      <c r="V89" s="5" t="str">
        <f t="shared" si="12"/>
        <v/>
      </c>
      <c r="W89" s="5" t="str">
        <f t="shared" si="12"/>
        <v/>
      </c>
      <c r="X89" s="5" t="str">
        <f>IF(Y89&lt;&gt;"",SUM(Y$52:Y89),"")</f>
        <v/>
      </c>
      <c r="Y89" s="5" t="str">
        <f>IF(AND(AF89&lt;&gt;"",AD89&lt;&gt;""),IF(OR(prodType="2x250g",AG89="2x250g"),0.5,1),"")</f>
        <v/>
      </c>
      <c r="Z89" s="5" t="str">
        <f>IF(AND(AF89&lt;&gt;"",AD89=""),IF(AG89="500g",1,IF(OR(prodType="2x250g",AND(AG89="2x250g")),0.5,1)),"")</f>
        <v/>
      </c>
      <c r="AB89" s="27" t="str">
        <f>IF(RIGHT(prodType,1)="g","gauche","")</f>
        <v/>
      </c>
      <c r="AC89" s="37" t="str">
        <f>IF(Z89&lt;&gt;"",SUM(Z$52:Z89),"")</f>
        <v/>
      </c>
      <c r="AD89" s="54"/>
      <c r="AE89" s="64"/>
      <c r="AF89" s="54"/>
      <c r="AG89" s="54"/>
      <c r="AH89" s="4">
        <f t="shared" si="9"/>
        <v>0</v>
      </c>
      <c r="AI89" s="4">
        <f t="shared" si="10"/>
        <v>0</v>
      </c>
      <c r="AU89" s="4" t="str">
        <f t="shared" si="3"/>
        <v/>
      </c>
      <c r="AV89" s="4" t="str">
        <f t="shared" si="4"/>
        <v/>
      </c>
      <c r="AW89" s="4" t="str">
        <f t="shared" si="5"/>
        <v/>
      </c>
      <c r="AX89" s="4" t="str">
        <f>IF(AU89&lt;&gt;"",IF(AND(AG89=""),prodType,AG89),"")</f>
        <v/>
      </c>
      <c r="AY89" s="4" t="str">
        <f t="shared" si="6"/>
        <v/>
      </c>
      <c r="AZ89" s="4" t="str">
        <f>IF(AU89&lt;&gt;"",posteMachine,"")</f>
        <v/>
      </c>
      <c r="BA89" s="4" t="str">
        <f>IF(AU89&lt;&gt;"",posteOperateur,"")</f>
        <v/>
      </c>
      <c r="BB89" s="4" t="str">
        <f t="shared" si="7"/>
        <v/>
      </c>
      <c r="BC89" s="4" t="str">
        <f>IFERROR(VLOOKUP(AV89,micCtl,2,FALSE),"")</f>
        <v/>
      </c>
      <c r="BD89" s="4" t="str">
        <f>IFERROR(VLOOKUP(AV89,micCtl,3,FALSE),"")</f>
        <v/>
      </c>
      <c r="BE89" s="4" t="str">
        <f>IFERROR(VLOOKUP(AV89,finalCtl,2,FALSE),"")</f>
        <v/>
      </c>
      <c r="BF89" s="4" t="str">
        <f>IFERROR(VLOOKUP(AV89,finalCtl,3,FALSE),"")</f>
        <v/>
      </c>
      <c r="BG89" s="3" t="str">
        <f t="shared" si="8"/>
        <v/>
      </c>
    </row>
    <row r="90" spans="19:59" x14ac:dyDescent="0.25">
      <c r="S90" s="5" t="str">
        <f t="shared" si="12"/>
        <v/>
      </c>
      <c r="T90" s="5" t="str">
        <f t="shared" si="12"/>
        <v/>
      </c>
      <c r="U90" s="5" t="str">
        <f t="shared" si="12"/>
        <v/>
      </c>
      <c r="V90" s="5" t="str">
        <f t="shared" si="12"/>
        <v/>
      </c>
      <c r="W90" s="5" t="str">
        <f t="shared" si="12"/>
        <v/>
      </c>
      <c r="X90" s="5" t="str">
        <f>IF(Y90&lt;&gt;"",SUM(Y$52:Y90),"")</f>
        <v/>
      </c>
      <c r="Y90" s="5" t="str">
        <f>IF(AND(AF90&lt;&gt;"",AD90&lt;&gt;""),IF(OR(prodType="2x250g",AG90="2x250g"),0.5,1),"")</f>
        <v/>
      </c>
      <c r="Z90" s="5" t="str">
        <f>IF(AND(AF90&lt;&gt;"",AD90=""),IF(AG90="500g",1,IF(OR(prodType="2x250g",AND(AG90="2x250g")),0.5,1)),"")</f>
        <v/>
      </c>
      <c r="AB90" s="27" t="str">
        <f>IF(RIGHT(prodType,1)="g","droite","")</f>
        <v/>
      </c>
      <c r="AC90" s="37" t="str">
        <f>IF(Z90&lt;&gt;"",SUM(Z$52:Z90),"")</f>
        <v/>
      </c>
      <c r="AD90" s="54"/>
      <c r="AE90" s="64"/>
      <c r="AF90" s="54"/>
      <c r="AG90" s="54"/>
      <c r="AH90" s="4">
        <f t="shared" si="9"/>
        <v>0</v>
      </c>
      <c r="AI90" s="4">
        <f t="shared" si="10"/>
        <v>0</v>
      </c>
      <c r="AU90" s="4" t="str">
        <f t="shared" si="3"/>
        <v/>
      </c>
      <c r="AV90" s="4" t="str">
        <f t="shared" si="4"/>
        <v/>
      </c>
      <c r="AW90" s="4" t="str">
        <f t="shared" si="5"/>
        <v/>
      </c>
      <c r="AX90" s="4" t="str">
        <f>IF(AU90&lt;&gt;"",IF(AND(AG90=""),prodType,AG90),"")</f>
        <v/>
      </c>
      <c r="AY90" s="4" t="str">
        <f t="shared" si="6"/>
        <v/>
      </c>
      <c r="AZ90" s="4" t="str">
        <f>IF(AU90&lt;&gt;"",posteMachine,"")</f>
        <v/>
      </c>
      <c r="BA90" s="4" t="str">
        <f>IF(AU90&lt;&gt;"",posteOperateur,"")</f>
        <v/>
      </c>
      <c r="BB90" s="4" t="str">
        <f t="shared" si="7"/>
        <v/>
      </c>
      <c r="BC90" s="4" t="str">
        <f>IFERROR(VLOOKUP(AV90,micCtl,2,FALSE),"")</f>
        <v/>
      </c>
      <c r="BD90" s="4" t="str">
        <f>IFERROR(VLOOKUP(AV90,micCtl,3,FALSE),"")</f>
        <v/>
      </c>
      <c r="BE90" s="4" t="str">
        <f>IFERROR(VLOOKUP(AV90,finalCtl,2,FALSE),"")</f>
        <v/>
      </c>
      <c r="BF90" s="4" t="str">
        <f>IFERROR(VLOOKUP(AV90,finalCtl,3,FALSE),"")</f>
        <v/>
      </c>
      <c r="BG90" s="3" t="str">
        <f t="shared" si="8"/>
        <v/>
      </c>
    </row>
    <row r="91" spans="19:59" x14ac:dyDescent="0.25">
      <c r="S91" s="5" t="str">
        <f t="shared" si="12"/>
        <v/>
      </c>
      <c r="T91" s="5" t="str">
        <f t="shared" si="12"/>
        <v/>
      </c>
      <c r="U91" s="5" t="str">
        <f t="shared" si="12"/>
        <v/>
      </c>
      <c r="V91" s="5" t="str">
        <f t="shared" si="12"/>
        <v/>
      </c>
      <c r="W91" s="5" t="str">
        <f t="shared" si="12"/>
        <v/>
      </c>
      <c r="X91" s="5" t="str">
        <f>IF(Y91&lt;&gt;"",SUM(Y$52:Y91),"")</f>
        <v/>
      </c>
      <c r="Y91" s="5" t="str">
        <f>IF(AND(AF91&lt;&gt;"",AD91&lt;&gt;""),IF(OR(prodType="2x250g",AG91="2x250g"),0.5,1),"")</f>
        <v/>
      </c>
      <c r="Z91" s="5" t="str">
        <f>IF(AND(AF91&lt;&gt;"",AD91=""),IF(AG91="500g",1,IF(OR(prodType="2x250g",AND(AG91="2x250g")),0.5,1)),"")</f>
        <v/>
      </c>
      <c r="AB91" s="27" t="str">
        <f>IF(RIGHT(prodType,1)="g","gauche","")</f>
        <v/>
      </c>
      <c r="AC91" s="37" t="str">
        <f>IF(Z91&lt;&gt;"",SUM(Z$52:Z91),"")</f>
        <v/>
      </c>
      <c r="AD91" s="54"/>
      <c r="AE91" s="64"/>
      <c r="AF91" s="54"/>
      <c r="AG91" s="54"/>
      <c r="AH91" s="4">
        <f t="shared" si="9"/>
        <v>0</v>
      </c>
      <c r="AI91" s="4">
        <f t="shared" si="10"/>
        <v>0</v>
      </c>
      <c r="AU91" s="4" t="str">
        <f t="shared" si="3"/>
        <v/>
      </c>
      <c r="AV91" s="4" t="str">
        <f t="shared" si="4"/>
        <v/>
      </c>
      <c r="AW91" s="4" t="str">
        <f t="shared" si="5"/>
        <v/>
      </c>
      <c r="AX91" s="4" t="str">
        <f>IF(AU91&lt;&gt;"",IF(AND(AG91=""),prodType,AG91),"")</f>
        <v/>
      </c>
      <c r="AY91" s="4" t="str">
        <f t="shared" si="6"/>
        <v/>
      </c>
      <c r="AZ91" s="4" t="str">
        <f>IF(AU91&lt;&gt;"",posteMachine,"")</f>
        <v/>
      </c>
      <c r="BA91" s="4" t="str">
        <f>IF(AU91&lt;&gt;"",posteOperateur,"")</f>
        <v/>
      </c>
      <c r="BB91" s="4" t="str">
        <f t="shared" si="7"/>
        <v/>
      </c>
      <c r="BC91" s="4" t="str">
        <f>IFERROR(VLOOKUP(AV91,micCtl,2,FALSE),"")</f>
        <v/>
      </c>
      <c r="BD91" s="4" t="str">
        <f>IFERROR(VLOOKUP(AV91,micCtl,3,FALSE),"")</f>
        <v/>
      </c>
      <c r="BE91" s="4" t="str">
        <f>IFERROR(VLOOKUP(AV91,finalCtl,2,FALSE),"")</f>
        <v/>
      </c>
      <c r="BF91" s="4" t="str">
        <f>IFERROR(VLOOKUP(AV91,finalCtl,3,FALSE),"")</f>
        <v/>
      </c>
      <c r="BG91" s="3" t="str">
        <f t="shared" si="8"/>
        <v/>
      </c>
    </row>
    <row r="92" spans="19:59" x14ac:dyDescent="0.25">
      <c r="S92" s="5" t="str">
        <f t="shared" si="12"/>
        <v/>
      </c>
      <c r="T92" s="5" t="str">
        <f t="shared" si="12"/>
        <v/>
      </c>
      <c r="U92" s="5" t="str">
        <f t="shared" si="12"/>
        <v/>
      </c>
      <c r="V92" s="5" t="str">
        <f t="shared" si="12"/>
        <v/>
      </c>
      <c r="W92" s="5" t="str">
        <f t="shared" si="12"/>
        <v/>
      </c>
      <c r="X92" s="5" t="str">
        <f>IF(Y92&lt;&gt;"",SUM(Y$52:Y92),"")</f>
        <v/>
      </c>
      <c r="Y92" s="5" t="str">
        <f>IF(AND(AF92&lt;&gt;"",AD92&lt;&gt;""),IF(OR(prodType="2x250g",AG92="2x250g"),0.5,1),"")</f>
        <v/>
      </c>
      <c r="Z92" s="5" t="str">
        <f>IF(AND(AF92&lt;&gt;"",AD92=""),IF(AG92="500g",1,IF(OR(prodType="2x250g",AND(AG92="2x250g")),0.5,1)),"")</f>
        <v/>
      </c>
      <c r="AB92" s="27" t="str">
        <f>IF(RIGHT(prodType,1)="g","droite","")</f>
        <v/>
      </c>
      <c r="AC92" s="37" t="str">
        <f>IF(Z92&lt;&gt;"",SUM(Z$52:Z92),"")</f>
        <v/>
      </c>
      <c r="AD92" s="54"/>
      <c r="AE92" s="64"/>
      <c r="AF92" s="54"/>
      <c r="AG92" s="54"/>
      <c r="AH92" s="4">
        <f t="shared" si="9"/>
        <v>0</v>
      </c>
      <c r="AI92" s="4">
        <f t="shared" si="10"/>
        <v>0</v>
      </c>
      <c r="AU92" s="4" t="str">
        <f t="shared" si="3"/>
        <v/>
      </c>
      <c r="AV92" s="4" t="str">
        <f t="shared" si="4"/>
        <v/>
      </c>
      <c r="AW92" s="4" t="str">
        <f t="shared" si="5"/>
        <v/>
      </c>
      <c r="AX92" s="4" t="str">
        <f>IF(AU92&lt;&gt;"",IF(AND(AG92=""),prodType,AG92),"")</f>
        <v/>
      </c>
      <c r="AY92" s="4" t="str">
        <f t="shared" si="6"/>
        <v/>
      </c>
      <c r="AZ92" s="4" t="str">
        <f>IF(AU92&lt;&gt;"",posteMachine,"")</f>
        <v/>
      </c>
      <c r="BA92" s="4" t="str">
        <f>IF(AU92&lt;&gt;"",posteOperateur,"")</f>
        <v/>
      </c>
      <c r="BB92" s="4" t="str">
        <f t="shared" si="7"/>
        <v/>
      </c>
      <c r="BC92" s="4" t="str">
        <f>IFERROR(VLOOKUP(AV92,micCtl,2,FALSE),"")</f>
        <v/>
      </c>
      <c r="BD92" s="4" t="str">
        <f>IFERROR(VLOOKUP(AV92,micCtl,3,FALSE),"")</f>
        <v/>
      </c>
      <c r="BE92" s="4" t="str">
        <f>IFERROR(VLOOKUP(AV92,finalCtl,2,FALSE),"")</f>
        <v/>
      </c>
      <c r="BF92" s="4" t="str">
        <f>IFERROR(VLOOKUP(AV92,finalCtl,3,FALSE),"")</f>
        <v/>
      </c>
      <c r="BG92" s="3" t="str">
        <f t="shared" si="8"/>
        <v/>
      </c>
    </row>
    <row r="93" spans="19:59" x14ac:dyDescent="0.25">
      <c r="S93" s="5" t="str">
        <f t="shared" si="12"/>
        <v/>
      </c>
      <c r="T93" s="5" t="str">
        <f t="shared" si="12"/>
        <v/>
      </c>
      <c r="U93" s="5" t="str">
        <f t="shared" si="12"/>
        <v/>
      </c>
      <c r="V93" s="5" t="str">
        <f t="shared" si="12"/>
        <v/>
      </c>
      <c r="W93" s="5" t="str">
        <f t="shared" si="12"/>
        <v/>
      </c>
      <c r="X93" s="5" t="str">
        <f>IF(Y93&lt;&gt;"",SUM(Y$52:Y93),"")</f>
        <v/>
      </c>
      <c r="Y93" s="5" t="str">
        <f>IF(AND(AF93&lt;&gt;"",AD93&lt;&gt;""),IF(OR(prodType="2x250g",AG93="2x250g"),0.5,1),"")</f>
        <v/>
      </c>
      <c r="Z93" s="5" t="str">
        <f>IF(AND(AF93&lt;&gt;"",AD93=""),IF(AG93="500g",1,IF(OR(prodType="2x250g",AND(AG93="2x250g")),0.5,1)),"")</f>
        <v/>
      </c>
      <c r="AB93" s="27" t="str">
        <f>IF(RIGHT(prodType,1)="g","gauche","")</f>
        <v/>
      </c>
      <c r="AC93" s="37" t="str">
        <f>IF(Z93&lt;&gt;"",SUM(Z$52:Z93),"")</f>
        <v/>
      </c>
      <c r="AD93" s="54"/>
      <c r="AE93" s="64"/>
      <c r="AF93" s="54"/>
      <c r="AG93" s="54"/>
      <c r="AH93" s="4">
        <f t="shared" si="9"/>
        <v>0</v>
      </c>
      <c r="AI93" s="4">
        <f t="shared" si="10"/>
        <v>0</v>
      </c>
      <c r="AU93" s="4" t="str">
        <f t="shared" si="3"/>
        <v/>
      </c>
      <c r="AV93" s="4" t="str">
        <f t="shared" si="4"/>
        <v/>
      </c>
      <c r="AW93" s="4" t="str">
        <f t="shared" si="5"/>
        <v/>
      </c>
      <c r="AX93" s="4" t="str">
        <f>IF(AU93&lt;&gt;"",IF(AND(AG93=""),prodType,AG93),"")</f>
        <v/>
      </c>
      <c r="AY93" s="4" t="str">
        <f t="shared" si="6"/>
        <v/>
      </c>
      <c r="AZ93" s="4" t="str">
        <f>IF(AU93&lt;&gt;"",posteMachine,"")</f>
        <v/>
      </c>
      <c r="BA93" s="4" t="str">
        <f>IF(AU93&lt;&gt;"",posteOperateur,"")</f>
        <v/>
      </c>
      <c r="BB93" s="4" t="str">
        <f t="shared" si="7"/>
        <v/>
      </c>
      <c r="BC93" s="4" t="str">
        <f>IFERROR(VLOOKUP(AV93,micCtl,2,FALSE),"")</f>
        <v/>
      </c>
      <c r="BD93" s="4" t="str">
        <f>IFERROR(VLOOKUP(AV93,micCtl,3,FALSE),"")</f>
        <v/>
      </c>
      <c r="BE93" s="4" t="str">
        <f>IFERROR(VLOOKUP(AV93,finalCtl,2,FALSE),"")</f>
        <v/>
      </c>
      <c r="BF93" s="4" t="str">
        <f>IFERROR(VLOOKUP(AV93,finalCtl,3,FALSE),"")</f>
        <v/>
      </c>
      <c r="BG93" s="3" t="str">
        <f t="shared" si="8"/>
        <v/>
      </c>
    </row>
    <row r="94" spans="19:59" x14ac:dyDescent="0.25">
      <c r="S94" s="5" t="str">
        <f t="shared" si="12"/>
        <v/>
      </c>
      <c r="T94" s="5" t="str">
        <f t="shared" si="12"/>
        <v/>
      </c>
      <c r="U94" s="5" t="str">
        <f t="shared" si="12"/>
        <v/>
      </c>
      <c r="V94" s="5" t="str">
        <f t="shared" si="12"/>
        <v/>
      </c>
      <c r="W94" s="5" t="str">
        <f t="shared" si="12"/>
        <v/>
      </c>
      <c r="X94" s="5" t="str">
        <f>IF(Y94&lt;&gt;"",SUM(Y$52:Y94),"")</f>
        <v/>
      </c>
      <c r="Y94" s="5" t="str">
        <f>IF(AND(AF94&lt;&gt;"",AD94&lt;&gt;""),IF(OR(prodType="2x250g",AG94="2x250g"),0.5,1),"")</f>
        <v/>
      </c>
      <c r="Z94" s="5" t="str">
        <f>IF(AND(AF94&lt;&gt;"",AD94=""),IF(AG94="500g",1,IF(OR(prodType="2x250g",AND(AG94="2x250g")),0.5,1)),"")</f>
        <v/>
      </c>
      <c r="AB94" s="27" t="str">
        <f>IF(RIGHT(prodType,1)="g","droite","")</f>
        <v/>
      </c>
      <c r="AC94" s="37" t="str">
        <f>IF(Z94&lt;&gt;"",SUM(Z$52:Z94),"")</f>
        <v/>
      </c>
      <c r="AD94" s="54"/>
      <c r="AE94" s="64"/>
      <c r="AF94" s="54"/>
      <c r="AG94" s="54"/>
      <c r="AH94" s="4">
        <f t="shared" si="9"/>
        <v>0</v>
      </c>
      <c r="AI94" s="4">
        <f t="shared" si="10"/>
        <v>0</v>
      </c>
      <c r="AU94" s="4" t="str">
        <f t="shared" si="3"/>
        <v/>
      </c>
      <c r="AV94" s="4" t="str">
        <f t="shared" si="4"/>
        <v/>
      </c>
      <c r="AW94" s="4" t="str">
        <f t="shared" si="5"/>
        <v/>
      </c>
      <c r="AX94" s="4" t="str">
        <f>IF(AU94&lt;&gt;"",IF(AND(AG94=""),prodType,AG94),"")</f>
        <v/>
      </c>
      <c r="AY94" s="4" t="str">
        <f t="shared" si="6"/>
        <v/>
      </c>
      <c r="AZ94" s="4" t="str">
        <f>IF(AU94&lt;&gt;"",posteMachine,"")</f>
        <v/>
      </c>
      <c r="BA94" s="4" t="str">
        <f>IF(AU94&lt;&gt;"",posteOperateur,"")</f>
        <v/>
      </c>
      <c r="BB94" s="4" t="str">
        <f t="shared" si="7"/>
        <v/>
      </c>
      <c r="BC94" s="4" t="str">
        <f>IFERROR(VLOOKUP(AV94,micCtl,2,FALSE),"")</f>
        <v/>
      </c>
      <c r="BD94" s="4" t="str">
        <f>IFERROR(VLOOKUP(AV94,micCtl,3,FALSE),"")</f>
        <v/>
      </c>
      <c r="BE94" s="4" t="str">
        <f>IFERROR(VLOOKUP(AV94,finalCtl,2,FALSE),"")</f>
        <v/>
      </c>
      <c r="BF94" s="4" t="str">
        <f>IFERROR(VLOOKUP(AV94,finalCtl,3,FALSE),"")</f>
        <v/>
      </c>
      <c r="BG94" s="3" t="str">
        <f t="shared" si="8"/>
        <v/>
      </c>
    </row>
    <row r="95" spans="19:59" x14ac:dyDescent="0.25">
      <c r="S95" s="5" t="str">
        <f t="shared" si="12"/>
        <v/>
      </c>
      <c r="T95" s="5" t="str">
        <f t="shared" si="12"/>
        <v/>
      </c>
      <c r="U95" s="5" t="str">
        <f t="shared" si="12"/>
        <v/>
      </c>
      <c r="V95" s="5" t="str">
        <f t="shared" si="12"/>
        <v/>
      </c>
      <c r="W95" s="5" t="str">
        <f t="shared" si="12"/>
        <v/>
      </c>
      <c r="X95" s="5" t="str">
        <f>IF(Y95&lt;&gt;"",SUM(Y$52:Y95),"")</f>
        <v/>
      </c>
      <c r="Y95" s="5" t="str">
        <f>IF(AND(AF95&lt;&gt;"",AD95&lt;&gt;""),IF(OR(prodType="2x250g",AG95="2x250g"),0.5,1),"")</f>
        <v/>
      </c>
      <c r="Z95" s="5" t="str">
        <f>IF(AND(AF95&lt;&gt;"",AD95=""),IF(AG95="500g",1,IF(OR(prodType="2x250g",AND(AG95="2x250g")),0.5,1)),"")</f>
        <v/>
      </c>
      <c r="AB95" s="27" t="str">
        <f>IF(RIGHT(prodType,1)="g","gauche","")</f>
        <v/>
      </c>
      <c r="AC95" s="37" t="str">
        <f>IF(Z95&lt;&gt;"",SUM(Z$52:Z95),"")</f>
        <v/>
      </c>
      <c r="AD95" s="54"/>
      <c r="AE95" s="64"/>
      <c r="AF95" s="54"/>
      <c r="AG95" s="54"/>
      <c r="AH95" s="4">
        <f t="shared" si="9"/>
        <v>0</v>
      </c>
      <c r="AI95" s="4">
        <f t="shared" si="10"/>
        <v>0</v>
      </c>
      <c r="AU95" s="4" t="str">
        <f t="shared" si="3"/>
        <v/>
      </c>
      <c r="AV95" s="4" t="str">
        <f t="shared" si="4"/>
        <v/>
      </c>
      <c r="AW95" s="4" t="str">
        <f t="shared" si="5"/>
        <v/>
      </c>
      <c r="AX95" s="4" t="str">
        <f>IF(AU95&lt;&gt;"",IF(AND(AG95=""),prodType,AG95),"")</f>
        <v/>
      </c>
      <c r="AY95" s="4" t="str">
        <f t="shared" si="6"/>
        <v/>
      </c>
      <c r="AZ95" s="4" t="str">
        <f>IF(AU95&lt;&gt;"",posteMachine,"")</f>
        <v/>
      </c>
      <c r="BA95" s="4" t="str">
        <f>IF(AU95&lt;&gt;"",posteOperateur,"")</f>
        <v/>
      </c>
      <c r="BB95" s="4" t="str">
        <f t="shared" si="7"/>
        <v/>
      </c>
      <c r="BC95" s="4" t="str">
        <f>IFERROR(VLOOKUP(AV95,micCtl,2,FALSE),"")</f>
        <v/>
      </c>
      <c r="BD95" s="4" t="str">
        <f>IFERROR(VLOOKUP(AV95,micCtl,3,FALSE),"")</f>
        <v/>
      </c>
      <c r="BE95" s="4" t="str">
        <f>IFERROR(VLOOKUP(AV95,finalCtl,2,FALSE),"")</f>
        <v/>
      </c>
      <c r="BF95" s="4" t="str">
        <f>IFERROR(VLOOKUP(AV95,finalCtl,3,FALSE),"")</f>
        <v/>
      </c>
      <c r="BG95" s="3" t="str">
        <f t="shared" si="8"/>
        <v/>
      </c>
    </row>
    <row r="96" spans="19:59" x14ac:dyDescent="0.25">
      <c r="S96" s="5" t="str">
        <f t="shared" si="12"/>
        <v/>
      </c>
      <c r="T96" s="5" t="str">
        <f t="shared" si="12"/>
        <v/>
      </c>
      <c r="U96" s="5" t="str">
        <f t="shared" si="12"/>
        <v/>
      </c>
      <c r="V96" s="5" t="str">
        <f t="shared" si="12"/>
        <v/>
      </c>
      <c r="W96" s="5" t="str">
        <f t="shared" si="12"/>
        <v/>
      </c>
      <c r="X96" s="5" t="str">
        <f>IF(Y96&lt;&gt;"",SUM(Y$52:Y96),"")</f>
        <v/>
      </c>
      <c r="Y96" s="5" t="str">
        <f>IF(AND(AF96&lt;&gt;"",AD96&lt;&gt;""),IF(OR(prodType="2x250g",AG96="2x250g"),0.5,1),"")</f>
        <v/>
      </c>
      <c r="Z96" s="5" t="str">
        <f>IF(AND(AF96&lt;&gt;"",AD96=""),IF(AG96="500g",1,IF(OR(prodType="2x250g",AND(AG96="2x250g")),0.5,1)),"")</f>
        <v/>
      </c>
      <c r="AB96" s="27" t="str">
        <f>IF(RIGHT(prodType,1)="g","droite","")</f>
        <v/>
      </c>
      <c r="AC96" s="37" t="str">
        <f>IF(Z96&lt;&gt;"",SUM(Z$52:Z96),"")</f>
        <v/>
      </c>
      <c r="AD96" s="54"/>
      <c r="AE96" s="64"/>
      <c r="AF96" s="54"/>
      <c r="AG96" s="54"/>
      <c r="AH96" s="4">
        <f t="shared" si="9"/>
        <v>0</v>
      </c>
      <c r="AI96" s="4">
        <f t="shared" si="10"/>
        <v>0</v>
      </c>
      <c r="AU96" s="4" t="str">
        <f t="shared" si="3"/>
        <v/>
      </c>
      <c r="AV96" s="4" t="str">
        <f t="shared" si="4"/>
        <v/>
      </c>
      <c r="AW96" s="4" t="str">
        <f t="shared" si="5"/>
        <v/>
      </c>
      <c r="AX96" s="4" t="str">
        <f>IF(AU96&lt;&gt;"",IF(AND(AG96=""),prodType,AG96),"")</f>
        <v/>
      </c>
      <c r="AY96" s="4" t="str">
        <f t="shared" si="6"/>
        <v/>
      </c>
      <c r="AZ96" s="4" t="str">
        <f>IF(AU96&lt;&gt;"",posteMachine,"")</f>
        <v/>
      </c>
      <c r="BA96" s="4" t="str">
        <f>IF(AU96&lt;&gt;"",posteOperateur,"")</f>
        <v/>
      </c>
      <c r="BB96" s="4" t="str">
        <f t="shared" si="7"/>
        <v/>
      </c>
      <c r="BC96" s="4" t="str">
        <f>IFERROR(VLOOKUP(AV96,micCtl,2,FALSE),"")</f>
        <v/>
      </c>
      <c r="BD96" s="4" t="str">
        <f>IFERROR(VLOOKUP(AV96,micCtl,3,FALSE),"")</f>
        <v/>
      </c>
      <c r="BE96" s="4" t="str">
        <f>IFERROR(VLOOKUP(AV96,finalCtl,2,FALSE),"")</f>
        <v/>
      </c>
      <c r="BF96" s="4" t="str">
        <f>IFERROR(VLOOKUP(AV96,finalCtl,3,FALSE),"")</f>
        <v/>
      </c>
      <c r="BG96" s="3" t="str">
        <f t="shared" si="8"/>
        <v/>
      </c>
    </row>
    <row r="97" spans="19:59" x14ac:dyDescent="0.25">
      <c r="S97" s="5" t="str">
        <f t="shared" si="12"/>
        <v/>
      </c>
      <c r="T97" s="5" t="str">
        <f t="shared" si="12"/>
        <v/>
      </c>
      <c r="U97" s="5" t="str">
        <f t="shared" si="12"/>
        <v/>
      </c>
      <c r="V97" s="5" t="str">
        <f t="shared" si="12"/>
        <v/>
      </c>
      <c r="W97" s="5" t="str">
        <f t="shared" si="12"/>
        <v/>
      </c>
      <c r="X97" s="5" t="str">
        <f>IF(Y97&lt;&gt;"",SUM(Y$52:Y97),"")</f>
        <v/>
      </c>
      <c r="Y97" s="5" t="str">
        <f>IF(AND(AF97&lt;&gt;"",AD97&lt;&gt;""),IF(OR(prodType="2x250g",AG97="2x250g"),0.5,1),"")</f>
        <v/>
      </c>
      <c r="Z97" s="5" t="str">
        <f>IF(AND(AF97&lt;&gt;"",AD97=""),IF(AG97="500g",1,IF(OR(prodType="2x250g",AND(AG97="2x250g")),0.5,1)),"")</f>
        <v/>
      </c>
      <c r="AB97" s="27" t="str">
        <f>IF(RIGHT(prodType,1)="g","gauche","")</f>
        <v/>
      </c>
      <c r="AC97" s="37" t="str">
        <f>IF(Z97&lt;&gt;"",SUM(Z$52:Z97),"")</f>
        <v/>
      </c>
      <c r="AD97" s="54"/>
      <c r="AE97" s="64"/>
      <c r="AF97" s="54"/>
      <c r="AG97" s="54"/>
      <c r="AH97" s="4">
        <f t="shared" si="9"/>
        <v>0</v>
      </c>
      <c r="AI97" s="4">
        <f t="shared" si="10"/>
        <v>0</v>
      </c>
      <c r="AU97" s="4" t="str">
        <f t="shared" si="3"/>
        <v/>
      </c>
      <c r="AV97" s="4" t="str">
        <f t="shared" si="4"/>
        <v/>
      </c>
      <c r="AW97" s="4" t="str">
        <f t="shared" si="5"/>
        <v/>
      </c>
      <c r="AX97" s="4" t="str">
        <f>IF(AU97&lt;&gt;"",IF(AND(AG97=""),prodType,AG97),"")</f>
        <v/>
      </c>
      <c r="AY97" s="4" t="str">
        <f t="shared" si="6"/>
        <v/>
      </c>
      <c r="AZ97" s="4" t="str">
        <f>IF(AU97&lt;&gt;"",posteMachine,"")</f>
        <v/>
      </c>
      <c r="BA97" s="4" t="str">
        <f>IF(AU97&lt;&gt;"",posteOperateur,"")</f>
        <v/>
      </c>
      <c r="BB97" s="4" t="str">
        <f t="shared" si="7"/>
        <v/>
      </c>
      <c r="BC97" s="4" t="str">
        <f>IFERROR(VLOOKUP(AV97,micCtl,2,FALSE),"")</f>
        <v/>
      </c>
      <c r="BD97" s="4" t="str">
        <f>IFERROR(VLOOKUP(AV97,micCtl,3,FALSE),"")</f>
        <v/>
      </c>
      <c r="BE97" s="4" t="str">
        <f>IFERROR(VLOOKUP(AV97,finalCtl,2,FALSE),"")</f>
        <v/>
      </c>
      <c r="BF97" s="4" t="str">
        <f>IFERROR(VLOOKUP(AV97,finalCtl,3,FALSE),"")</f>
        <v/>
      </c>
      <c r="BG97" s="3" t="str">
        <f t="shared" si="8"/>
        <v/>
      </c>
    </row>
    <row r="98" spans="19:59" x14ac:dyDescent="0.25">
      <c r="S98" s="5" t="str">
        <f t="shared" si="12"/>
        <v/>
      </c>
      <c r="T98" s="5" t="str">
        <f t="shared" si="12"/>
        <v/>
      </c>
      <c r="U98" s="5" t="str">
        <f t="shared" si="12"/>
        <v/>
      </c>
      <c r="V98" s="5" t="str">
        <f t="shared" si="12"/>
        <v/>
      </c>
      <c r="W98" s="5" t="str">
        <f t="shared" si="12"/>
        <v/>
      </c>
      <c r="X98" s="5" t="str">
        <f>IF(Y98&lt;&gt;"",SUM(Y$52:Y98),"")</f>
        <v/>
      </c>
      <c r="Y98" s="5" t="str">
        <f>IF(AND(AF98&lt;&gt;"",AD98&lt;&gt;""),IF(OR(prodType="2x250g",AG98="2x250g"),0.5,1),"")</f>
        <v/>
      </c>
      <c r="Z98" s="5" t="str">
        <f>IF(AND(AF98&lt;&gt;"",AD98=""),IF(AG98="500g",1,IF(OR(prodType="2x250g",AND(AG98="2x250g")),0.5,1)),"")</f>
        <v/>
      </c>
      <c r="AB98" s="27" t="str">
        <f>IF(RIGHT(prodType,1)="g","droite","")</f>
        <v/>
      </c>
      <c r="AC98" s="37" t="str">
        <f>IF(Z98&lt;&gt;"",SUM(Z$52:Z98),"")</f>
        <v/>
      </c>
      <c r="AD98" s="54"/>
      <c r="AE98" s="64"/>
      <c r="AF98" s="54"/>
      <c r="AG98" s="54"/>
      <c r="AH98" s="4">
        <f t="shared" si="9"/>
        <v>0</v>
      </c>
      <c r="AI98" s="4">
        <f t="shared" si="10"/>
        <v>0</v>
      </c>
      <c r="AU98" s="4" t="str">
        <f t="shared" si="3"/>
        <v/>
      </c>
      <c r="AV98" s="4" t="str">
        <f t="shared" si="4"/>
        <v/>
      </c>
      <c r="AW98" s="4" t="str">
        <f t="shared" si="5"/>
        <v/>
      </c>
      <c r="AX98" s="4" t="str">
        <f>IF(AU98&lt;&gt;"",IF(AND(AG98=""),prodType,AG98),"")</f>
        <v/>
      </c>
      <c r="AY98" s="4" t="str">
        <f t="shared" si="6"/>
        <v/>
      </c>
      <c r="AZ98" s="4" t="str">
        <f>IF(AU98&lt;&gt;"",posteMachine,"")</f>
        <v/>
      </c>
      <c r="BA98" s="4" t="str">
        <f>IF(AU98&lt;&gt;"",posteOperateur,"")</f>
        <v/>
      </c>
      <c r="BB98" s="4" t="str">
        <f t="shared" si="7"/>
        <v/>
      </c>
      <c r="BC98" s="4" t="str">
        <f>IFERROR(VLOOKUP(AV98,micCtl,2,FALSE),"")</f>
        <v/>
      </c>
      <c r="BD98" s="4" t="str">
        <f>IFERROR(VLOOKUP(AV98,micCtl,3,FALSE),"")</f>
        <v/>
      </c>
      <c r="BE98" s="4" t="str">
        <f>IFERROR(VLOOKUP(AV98,finalCtl,2,FALSE),"")</f>
        <v/>
      </c>
      <c r="BF98" s="4" t="str">
        <f>IFERROR(VLOOKUP(AV98,finalCtl,3,FALSE),"")</f>
        <v/>
      </c>
      <c r="BG98" s="3" t="str">
        <f t="shared" si="8"/>
        <v/>
      </c>
    </row>
    <row r="99" spans="19:59" x14ac:dyDescent="0.25">
      <c r="S99" s="5" t="str">
        <f t="shared" si="12"/>
        <v/>
      </c>
      <c r="T99" s="5" t="str">
        <f t="shared" si="12"/>
        <v/>
      </c>
      <c r="U99" s="5" t="str">
        <f t="shared" si="12"/>
        <v/>
      </c>
      <c r="V99" s="5" t="str">
        <f t="shared" si="12"/>
        <v/>
      </c>
      <c r="W99" s="5" t="str">
        <f t="shared" si="12"/>
        <v/>
      </c>
      <c r="X99" s="5" t="str">
        <f>IF(Y99&lt;&gt;"",SUM(Y$52:Y99),"")</f>
        <v/>
      </c>
      <c r="Y99" s="5" t="str">
        <f>IF(AND(AF99&lt;&gt;"",AD99&lt;&gt;""),IF(OR(prodType="2x250g",AG99="2x250g"),0.5,1),"")</f>
        <v/>
      </c>
      <c r="Z99" s="5" t="str">
        <f>IF(AND(AF99&lt;&gt;"",AD99=""),IF(AG99="500g",1,IF(OR(prodType="2x250g",AND(AG99="2x250g")),0.5,1)),"")</f>
        <v/>
      </c>
      <c r="AB99" s="27" t="str">
        <f>IF(RIGHT(prodType,1)="g","gauche","")</f>
        <v/>
      </c>
      <c r="AC99" s="37" t="str">
        <f>IF(Z99&lt;&gt;"",SUM(Z$52:Z99),"")</f>
        <v/>
      </c>
      <c r="AD99" s="54"/>
      <c r="AE99" s="64"/>
      <c r="AF99" s="54"/>
      <c r="AG99" s="54"/>
      <c r="AH99" s="4">
        <f t="shared" si="9"/>
        <v>0</v>
      </c>
      <c r="AI99" s="4">
        <f t="shared" si="10"/>
        <v>0</v>
      </c>
      <c r="AU99" s="4" t="str">
        <f t="shared" si="3"/>
        <v/>
      </c>
      <c r="AV99" s="4" t="str">
        <f t="shared" si="4"/>
        <v/>
      </c>
      <c r="AW99" s="4" t="str">
        <f t="shared" si="5"/>
        <v/>
      </c>
      <c r="AX99" s="4" t="str">
        <f>IF(AU99&lt;&gt;"",IF(AND(AG99=""),prodType,AG99),"")</f>
        <v/>
      </c>
      <c r="AY99" s="4" t="str">
        <f t="shared" si="6"/>
        <v/>
      </c>
      <c r="AZ99" s="4" t="str">
        <f>IF(AU99&lt;&gt;"",posteMachine,"")</f>
        <v/>
      </c>
      <c r="BA99" s="4" t="str">
        <f>IF(AU99&lt;&gt;"",posteOperateur,"")</f>
        <v/>
      </c>
      <c r="BB99" s="4" t="str">
        <f t="shared" si="7"/>
        <v/>
      </c>
      <c r="BC99" s="4" t="str">
        <f>IFERROR(VLOOKUP(AV99,micCtl,2,FALSE),"")</f>
        <v/>
      </c>
      <c r="BD99" s="4" t="str">
        <f>IFERROR(VLOOKUP(AV99,micCtl,3,FALSE),"")</f>
        <v/>
      </c>
      <c r="BE99" s="4" t="str">
        <f>IFERROR(VLOOKUP(AV99,finalCtl,2,FALSE),"")</f>
        <v/>
      </c>
      <c r="BF99" s="4" t="str">
        <f>IFERROR(VLOOKUP(AV99,finalCtl,3,FALSE),"")</f>
        <v/>
      </c>
      <c r="BG99" s="3" t="str">
        <f t="shared" si="8"/>
        <v/>
      </c>
    </row>
    <row r="100" spans="19:59" x14ac:dyDescent="0.25">
      <c r="S100" s="5" t="str">
        <f t="shared" si="12"/>
        <v/>
      </c>
      <c r="T100" s="5" t="str">
        <f t="shared" si="12"/>
        <v/>
      </c>
      <c r="U100" s="5" t="str">
        <f t="shared" si="12"/>
        <v/>
      </c>
      <c r="V100" s="5" t="str">
        <f t="shared" si="12"/>
        <v/>
      </c>
      <c r="W100" s="5" t="str">
        <f t="shared" si="12"/>
        <v/>
      </c>
      <c r="X100" s="5" t="str">
        <f>IF(Y100&lt;&gt;"",SUM(Y$52:Y100),"")</f>
        <v/>
      </c>
      <c r="Y100" s="5" t="str">
        <f>IF(AND(AF100&lt;&gt;"",AD100&lt;&gt;""),IF(OR(prodType="2x250g",AG100="2x250g"),0.5,1),"")</f>
        <v/>
      </c>
      <c r="Z100" s="5" t="str">
        <f>IF(AND(AF100&lt;&gt;"",AD100=""),IF(AG100="500g",1,IF(OR(prodType="2x250g",AND(AG100="2x250g")),0.5,1)),"")</f>
        <v/>
      </c>
      <c r="AB100" s="27" t="str">
        <f>IF(RIGHT(prodType,1)="g","droite","")</f>
        <v/>
      </c>
      <c r="AC100" s="37" t="str">
        <f>IF(Z100&lt;&gt;"",SUM(Z$52:Z100),"")</f>
        <v/>
      </c>
      <c r="AD100" s="54"/>
      <c r="AE100" s="64"/>
      <c r="AF100" s="54"/>
      <c r="AG100" s="54"/>
      <c r="AH100" s="4">
        <f t="shared" si="9"/>
        <v>0</v>
      </c>
      <c r="AI100" s="4">
        <f t="shared" si="10"/>
        <v>0</v>
      </c>
      <c r="AU100" s="4" t="str">
        <f t="shared" si="3"/>
        <v/>
      </c>
      <c r="AV100" s="4" t="str">
        <f t="shared" si="4"/>
        <v/>
      </c>
      <c r="AW100" s="4" t="str">
        <f t="shared" si="5"/>
        <v/>
      </c>
      <c r="AX100" s="4" t="str">
        <f>IF(AU100&lt;&gt;"",IF(AND(AG100=""),prodType,AG100),"")</f>
        <v/>
      </c>
      <c r="AY100" s="4" t="str">
        <f t="shared" si="6"/>
        <v/>
      </c>
      <c r="AZ100" s="4" t="str">
        <f>IF(AU100&lt;&gt;"",posteMachine,"")</f>
        <v/>
      </c>
      <c r="BA100" s="4" t="str">
        <f>IF(AU100&lt;&gt;"",posteOperateur,"")</f>
        <v/>
      </c>
      <c r="BB100" s="4" t="str">
        <f t="shared" si="7"/>
        <v/>
      </c>
      <c r="BC100" s="4" t="str">
        <f>IFERROR(VLOOKUP(AV100,micCtl,2,FALSE),"")</f>
        <v/>
      </c>
      <c r="BD100" s="4" t="str">
        <f>IFERROR(VLOOKUP(AV100,micCtl,3,FALSE),"")</f>
        <v/>
      </c>
      <c r="BE100" s="4" t="str">
        <f>IFERROR(VLOOKUP(AV100,finalCtl,2,FALSE),"")</f>
        <v/>
      </c>
      <c r="BF100" s="4" t="str">
        <f>IFERROR(VLOOKUP(AV100,finalCtl,3,FALSE),"")</f>
        <v/>
      </c>
      <c r="BG100" s="3" t="str">
        <f t="shared" si="8"/>
        <v/>
      </c>
    </row>
    <row r="101" spans="19:59" x14ac:dyDescent="0.25">
      <c r="S101" s="5" t="str">
        <f t="shared" si="12"/>
        <v/>
      </c>
      <c r="T101" s="5" t="str">
        <f t="shared" si="12"/>
        <v/>
      </c>
      <c r="U101" s="5" t="str">
        <f t="shared" si="12"/>
        <v/>
      </c>
      <c r="V101" s="5" t="str">
        <f t="shared" si="12"/>
        <v/>
      </c>
      <c r="W101" s="5" t="str">
        <f t="shared" si="12"/>
        <v/>
      </c>
      <c r="X101" s="5" t="str">
        <f>IF(Y101&lt;&gt;"",SUM(Y$52:Y101),"")</f>
        <v/>
      </c>
      <c r="Y101" s="5" t="str">
        <f>IF(AND(AF101&lt;&gt;"",AD101&lt;&gt;""),IF(OR(prodType="2x250g",AG101="2x250g"),0.5,1),"")</f>
        <v/>
      </c>
      <c r="Z101" s="5" t="str">
        <f>IF(AND(AF101&lt;&gt;"",AD101=""),IF(AG101="500g",1,IF(OR(prodType="2x250g",AND(AG101="2x250g")),0.5,1)),"")</f>
        <v/>
      </c>
      <c r="AB101" s="27" t="str">
        <f>IF(RIGHT(prodType,1)="g","gauche","")</f>
        <v/>
      </c>
      <c r="AC101" s="37" t="str">
        <f>IF(Z101&lt;&gt;"",SUM(Z$52:Z101),"")</f>
        <v/>
      </c>
      <c r="AD101" s="54"/>
      <c r="AE101" s="64"/>
      <c r="AF101" s="54"/>
      <c r="AG101" s="54"/>
      <c r="AH101" s="4">
        <f t="shared" si="9"/>
        <v>0</v>
      </c>
      <c r="AI101" s="4">
        <f t="shared" si="10"/>
        <v>0</v>
      </c>
      <c r="AU101" s="4" t="str">
        <f t="shared" si="3"/>
        <v/>
      </c>
      <c r="AV101" s="4" t="str">
        <f t="shared" si="4"/>
        <v/>
      </c>
      <c r="AW101" s="4" t="str">
        <f t="shared" si="5"/>
        <v/>
      </c>
      <c r="AX101" s="4" t="str">
        <f>IF(AU101&lt;&gt;"",IF(AND(AG101=""),prodType,AG101),"")</f>
        <v/>
      </c>
      <c r="AY101" s="4" t="str">
        <f t="shared" si="6"/>
        <v/>
      </c>
      <c r="AZ101" s="4" t="str">
        <f>IF(AU101&lt;&gt;"",posteMachine,"")</f>
        <v/>
      </c>
      <c r="BA101" s="4" t="str">
        <f>IF(AU101&lt;&gt;"",posteOperateur,"")</f>
        <v/>
      </c>
      <c r="BB101" s="4" t="str">
        <f t="shared" si="7"/>
        <v/>
      </c>
      <c r="BC101" s="4" t="str">
        <f>IFERROR(VLOOKUP(AV101,micCtl,2,FALSE),"")</f>
        <v/>
      </c>
      <c r="BD101" s="4" t="str">
        <f>IFERROR(VLOOKUP(AV101,micCtl,3,FALSE),"")</f>
        <v/>
      </c>
      <c r="BE101" s="4" t="str">
        <f>IFERROR(VLOOKUP(AV101,finalCtl,2,FALSE),"")</f>
        <v/>
      </c>
      <c r="BF101" s="4" t="str">
        <f>IFERROR(VLOOKUP(AV101,finalCtl,3,FALSE),"")</f>
        <v/>
      </c>
      <c r="BG101" s="3" t="str">
        <f t="shared" si="8"/>
        <v/>
      </c>
    </row>
    <row r="102" spans="19:59" x14ac:dyDescent="0.25">
      <c r="S102" s="5" t="str">
        <f t="shared" si="12"/>
        <v/>
      </c>
      <c r="T102" s="5" t="str">
        <f t="shared" si="12"/>
        <v/>
      </c>
      <c r="U102" s="5" t="str">
        <f t="shared" si="12"/>
        <v/>
      </c>
      <c r="V102" s="5" t="str">
        <f t="shared" si="12"/>
        <v/>
      </c>
      <c r="W102" s="5" t="str">
        <f t="shared" si="12"/>
        <v/>
      </c>
      <c r="X102" s="5" t="str">
        <f>IF(Y102&lt;&gt;"",SUM(Y$52:Y102),"")</f>
        <v/>
      </c>
      <c r="Y102" s="5" t="str">
        <f>IF(AND(AF102&lt;&gt;"",AD102&lt;&gt;""),IF(OR(prodType="2x250g",AG102="2x250g"),0.5,1),"")</f>
        <v/>
      </c>
      <c r="Z102" s="5" t="str">
        <f>IF(AND(AF102&lt;&gt;"",AD102=""),IF(AG102="500g",1,IF(OR(prodType="2x250g",AND(AG102="2x250g")),0.5,1)),"")</f>
        <v/>
      </c>
      <c r="AB102" s="27" t="str">
        <f>IF(RIGHT(prodType,1)="g","droite","")</f>
        <v/>
      </c>
      <c r="AC102" s="37" t="str">
        <f>IF(Z102&lt;&gt;"",SUM(Z$52:Z102),"")</f>
        <v/>
      </c>
      <c r="AD102" s="54"/>
      <c r="AE102" s="64"/>
      <c r="AF102" s="54"/>
      <c r="AG102" s="54"/>
      <c r="AH102" s="4">
        <f t="shared" si="9"/>
        <v>0</v>
      </c>
      <c r="AI102" s="4">
        <f t="shared" si="10"/>
        <v>0</v>
      </c>
      <c r="AU102" s="4" t="str">
        <f t="shared" si="3"/>
        <v/>
      </c>
      <c r="AV102" s="4" t="str">
        <f t="shared" si="4"/>
        <v/>
      </c>
      <c r="AW102" s="4" t="str">
        <f t="shared" si="5"/>
        <v/>
      </c>
      <c r="AX102" s="4" t="str">
        <f>IF(AU102&lt;&gt;"",IF(AND(AG102=""),prodType,AG102),"")</f>
        <v/>
      </c>
      <c r="AY102" s="4" t="str">
        <f t="shared" si="6"/>
        <v/>
      </c>
      <c r="AZ102" s="4" t="str">
        <f>IF(AU102&lt;&gt;"",posteMachine,"")</f>
        <v/>
      </c>
      <c r="BA102" s="4" t="str">
        <f>IF(AU102&lt;&gt;"",posteOperateur,"")</f>
        <v/>
      </c>
      <c r="BB102" s="4" t="str">
        <f t="shared" si="7"/>
        <v/>
      </c>
      <c r="BC102" s="4" t="str">
        <f>IFERROR(VLOOKUP(AV102,micCtl,2,FALSE),"")</f>
        <v/>
      </c>
      <c r="BD102" s="4" t="str">
        <f>IFERROR(VLOOKUP(AV102,micCtl,3,FALSE),"")</f>
        <v/>
      </c>
      <c r="BE102" s="4" t="str">
        <f>IFERROR(VLOOKUP(AV102,finalCtl,2,FALSE),"")</f>
        <v/>
      </c>
      <c r="BF102" s="4" t="str">
        <f>IFERROR(VLOOKUP(AV102,finalCtl,3,FALSE),"")</f>
        <v/>
      </c>
      <c r="BG102" s="3" t="str">
        <f t="shared" si="8"/>
        <v/>
      </c>
    </row>
    <row r="103" spans="19:59" x14ac:dyDescent="0.25">
      <c r="S103" s="5" t="str">
        <f t="shared" si="12"/>
        <v/>
      </c>
      <c r="T103" s="5" t="str">
        <f t="shared" si="12"/>
        <v/>
      </c>
      <c r="U103" s="5" t="str">
        <f t="shared" si="12"/>
        <v/>
      </c>
      <c r="V103" s="5" t="str">
        <f t="shared" si="12"/>
        <v/>
      </c>
      <c r="W103" s="5" t="str">
        <f t="shared" si="12"/>
        <v/>
      </c>
      <c r="X103" s="5" t="str">
        <f>IF(Y103&lt;&gt;"",SUM(Y$52:Y103),"")</f>
        <v/>
      </c>
      <c r="Y103" s="5" t="str">
        <f>IF(AND(AF103&lt;&gt;"",AD103&lt;&gt;""),IF(OR(prodType="2x250g",AG103="2x250g"),0.5,1),"")</f>
        <v/>
      </c>
      <c r="Z103" s="5" t="str">
        <f>IF(AND(AF103&lt;&gt;"",AD103=""),IF(AG103="500g",1,IF(OR(prodType="2x250g",AND(AG103="2x250g")),0.5,1)),"")</f>
        <v/>
      </c>
      <c r="AB103" s="27" t="str">
        <f>IF(RIGHT(prodType,1)="g","gauche","")</f>
        <v/>
      </c>
      <c r="AC103" s="37" t="str">
        <f>IF(Z103&lt;&gt;"",SUM(Z$52:Z103),"")</f>
        <v/>
      </c>
      <c r="AD103" s="54"/>
      <c r="AE103" s="64"/>
      <c r="AF103" s="54"/>
      <c r="AG103" s="54"/>
      <c r="AH103" s="4">
        <f t="shared" si="9"/>
        <v>0</v>
      </c>
      <c r="AI103" s="4">
        <f t="shared" si="10"/>
        <v>0</v>
      </c>
      <c r="AU103" s="4" t="str">
        <f t="shared" si="3"/>
        <v/>
      </c>
      <c r="AV103" s="4" t="str">
        <f t="shared" si="4"/>
        <v/>
      </c>
      <c r="AW103" s="4" t="str">
        <f t="shared" si="5"/>
        <v/>
      </c>
      <c r="AX103" s="4" t="str">
        <f>IF(AU103&lt;&gt;"",IF(AND(AG103=""),prodType,AG103),"")</f>
        <v/>
      </c>
      <c r="AY103" s="4" t="str">
        <f t="shared" si="6"/>
        <v/>
      </c>
      <c r="AZ103" s="4" t="str">
        <f>IF(AU103&lt;&gt;"",posteMachine,"")</f>
        <v/>
      </c>
      <c r="BA103" s="4" t="str">
        <f>IF(AU103&lt;&gt;"",posteOperateur,"")</f>
        <v/>
      </c>
      <c r="BB103" s="4" t="str">
        <f t="shared" si="7"/>
        <v/>
      </c>
      <c r="BC103" s="4" t="str">
        <f>IFERROR(VLOOKUP(AV103,micCtl,2,FALSE),"")</f>
        <v/>
      </c>
      <c r="BD103" s="4" t="str">
        <f>IFERROR(VLOOKUP(AV103,micCtl,3,FALSE),"")</f>
        <v/>
      </c>
      <c r="BE103" s="4" t="str">
        <f>IFERROR(VLOOKUP(AV103,finalCtl,2,FALSE),"")</f>
        <v/>
      </c>
      <c r="BF103" s="4" t="str">
        <f>IFERROR(VLOOKUP(AV103,finalCtl,3,FALSE),"")</f>
        <v/>
      </c>
      <c r="BG103" s="3" t="str">
        <f t="shared" si="8"/>
        <v/>
      </c>
    </row>
    <row r="104" spans="19:59" x14ac:dyDescent="0.25">
      <c r="S104" s="5" t="str">
        <f t="shared" si="12"/>
        <v/>
      </c>
      <c r="T104" s="5" t="str">
        <f t="shared" si="12"/>
        <v/>
      </c>
      <c r="U104" s="5" t="str">
        <f t="shared" si="12"/>
        <v/>
      </c>
      <c r="V104" s="5" t="str">
        <f t="shared" si="12"/>
        <v/>
      </c>
      <c r="W104" s="5" t="str">
        <f t="shared" si="12"/>
        <v/>
      </c>
      <c r="X104" s="5" t="str">
        <f>IF(Y104&lt;&gt;"",SUM(Y$52:Y104),"")</f>
        <v/>
      </c>
      <c r="Y104" s="5" t="str">
        <f>IF(AND(AF104&lt;&gt;"",AD104&lt;&gt;""),IF(OR(prodType="2x250g",AG104="2x250g"),0.5,1),"")</f>
        <v/>
      </c>
      <c r="Z104" s="5" t="str">
        <f>IF(AND(AF104&lt;&gt;"",AD104=""),IF(AG104="500g",1,IF(OR(prodType="2x250g",AND(AG104="2x250g")),0.5,1)),"")</f>
        <v/>
      </c>
      <c r="AB104" s="27" t="str">
        <f>IF(RIGHT(prodType,1)="g","droite","")</f>
        <v/>
      </c>
      <c r="AC104" s="37" t="str">
        <f>IF(Z104&lt;&gt;"",SUM(Z$52:Z104),"")</f>
        <v/>
      </c>
      <c r="AD104" s="54"/>
      <c r="AE104" s="64"/>
      <c r="AF104" s="54"/>
      <c r="AG104" s="54"/>
      <c r="AH104" s="4">
        <f t="shared" si="9"/>
        <v>0</v>
      </c>
      <c r="AI104" s="4">
        <f t="shared" si="10"/>
        <v>0</v>
      </c>
      <c r="AU104" s="4" t="str">
        <f t="shared" si="3"/>
        <v/>
      </c>
      <c r="AV104" s="4" t="str">
        <f t="shared" si="4"/>
        <v/>
      </c>
      <c r="AW104" s="4" t="str">
        <f t="shared" si="5"/>
        <v/>
      </c>
      <c r="AX104" s="4" t="str">
        <f>IF(AU104&lt;&gt;"",IF(AND(AG104=""),prodType,AG104),"")</f>
        <v/>
      </c>
      <c r="AY104" s="4" t="str">
        <f t="shared" si="6"/>
        <v/>
      </c>
      <c r="AZ104" s="4" t="str">
        <f>IF(AU104&lt;&gt;"",posteMachine,"")</f>
        <v/>
      </c>
      <c r="BA104" s="4" t="str">
        <f>IF(AU104&lt;&gt;"",posteOperateur,"")</f>
        <v/>
      </c>
      <c r="BB104" s="4" t="str">
        <f t="shared" si="7"/>
        <v/>
      </c>
      <c r="BC104" s="4" t="str">
        <f>IFERROR(VLOOKUP(AV104,micCtl,2,FALSE),"")</f>
        <v/>
      </c>
      <c r="BD104" s="4" t="str">
        <f>IFERROR(VLOOKUP(AV104,micCtl,3,FALSE),"")</f>
        <v/>
      </c>
      <c r="BE104" s="4" t="str">
        <f>IFERROR(VLOOKUP(AV104,finalCtl,2,FALSE),"")</f>
        <v/>
      </c>
      <c r="BF104" s="4" t="str">
        <f>IFERROR(VLOOKUP(AV104,finalCtl,3,FALSE),"")</f>
        <v/>
      </c>
      <c r="BG104" s="3" t="str">
        <f t="shared" si="8"/>
        <v/>
      </c>
    </row>
    <row r="105" spans="19:59" x14ac:dyDescent="0.25">
      <c r="S105" s="5" t="str">
        <f t="shared" si="12"/>
        <v/>
      </c>
      <c r="T105" s="5" t="str">
        <f t="shared" si="12"/>
        <v/>
      </c>
      <c r="U105" s="5" t="str">
        <f t="shared" si="12"/>
        <v/>
      </c>
      <c r="V105" s="5" t="str">
        <f t="shared" si="12"/>
        <v/>
      </c>
      <c r="W105" s="5" t="str">
        <f t="shared" si="12"/>
        <v/>
      </c>
      <c r="X105" s="5" t="str">
        <f>IF(Y105&lt;&gt;"",SUM(Y$52:Y105),"")</f>
        <v/>
      </c>
      <c r="Y105" s="5" t="str">
        <f>IF(AND(AF105&lt;&gt;"",AD105&lt;&gt;""),IF(OR(prodType="2x250g",AG105="2x250g"),0.5,1),"")</f>
        <v/>
      </c>
      <c r="Z105" s="5" t="str">
        <f>IF(AND(AF105&lt;&gt;"",AD105=""),IF(AG105="500g",1,IF(OR(prodType="2x250g",AND(AG105="2x250g")),0.5,1)),"")</f>
        <v/>
      </c>
      <c r="AB105" s="27" t="str">
        <f>IF(RIGHT(prodType,1)="g","gauche","")</f>
        <v/>
      </c>
      <c r="AC105" s="37" t="str">
        <f>IF(Z105&lt;&gt;"",SUM(Z$52:Z105),"")</f>
        <v/>
      </c>
      <c r="AD105" s="54"/>
      <c r="AE105" s="64"/>
      <c r="AF105" s="54"/>
      <c r="AG105" s="54"/>
      <c r="AH105" s="4">
        <f t="shared" si="9"/>
        <v>0</v>
      </c>
      <c r="AI105" s="4">
        <f t="shared" si="10"/>
        <v>0</v>
      </c>
      <c r="AU105" s="4" t="str">
        <f t="shared" si="3"/>
        <v/>
      </c>
      <c r="AV105" s="4" t="str">
        <f t="shared" si="4"/>
        <v/>
      </c>
      <c r="AW105" s="4" t="str">
        <f t="shared" si="5"/>
        <v/>
      </c>
      <c r="AX105" s="4" t="str">
        <f>IF(AU105&lt;&gt;"",IF(AND(AG105=""),prodType,AG105),"")</f>
        <v/>
      </c>
      <c r="AY105" s="4" t="str">
        <f t="shared" si="6"/>
        <v/>
      </c>
      <c r="AZ105" s="4" t="str">
        <f>IF(AU105&lt;&gt;"",posteMachine,"")</f>
        <v/>
      </c>
      <c r="BA105" s="4" t="str">
        <f>IF(AU105&lt;&gt;"",posteOperateur,"")</f>
        <v/>
      </c>
      <c r="BB105" s="4" t="str">
        <f t="shared" si="7"/>
        <v/>
      </c>
      <c r="BC105" s="4" t="str">
        <f>IFERROR(VLOOKUP(AV105,micCtl,2,FALSE),"")</f>
        <v/>
      </c>
      <c r="BD105" s="4" t="str">
        <f>IFERROR(VLOOKUP(AV105,micCtl,3,FALSE),"")</f>
        <v/>
      </c>
      <c r="BE105" s="4" t="str">
        <f>IFERROR(VLOOKUP(AV105,finalCtl,2,FALSE),"")</f>
        <v/>
      </c>
      <c r="BF105" s="4" t="str">
        <f>IFERROR(VLOOKUP(AV105,finalCtl,3,FALSE),"")</f>
        <v/>
      </c>
      <c r="BG105" s="3" t="str">
        <f t="shared" si="8"/>
        <v/>
      </c>
    </row>
    <row r="106" spans="19:59" x14ac:dyDescent="0.25">
      <c r="S106" s="5" t="str">
        <f t="shared" si="12"/>
        <v/>
      </c>
      <c r="T106" s="5" t="str">
        <f t="shared" si="12"/>
        <v/>
      </c>
      <c r="U106" s="5" t="str">
        <f t="shared" si="12"/>
        <v/>
      </c>
      <c r="V106" s="5" t="str">
        <f t="shared" si="12"/>
        <v/>
      </c>
      <c r="W106" s="5" t="str">
        <f t="shared" si="12"/>
        <v/>
      </c>
      <c r="X106" s="5" t="str">
        <f>IF(Y106&lt;&gt;"",SUM(Y$52:Y106),"")</f>
        <v/>
      </c>
      <c r="Y106" s="5" t="str">
        <f>IF(AND(AF106&lt;&gt;"",AD106&lt;&gt;""),IF(OR(prodType="2x250g",AG106="2x250g"),0.5,1),"")</f>
        <v/>
      </c>
      <c r="Z106" s="5" t="str">
        <f>IF(AND(AF106&lt;&gt;"",AD106=""),IF(AG106="500g",1,IF(OR(prodType="2x250g",AND(AG106="2x250g")),0.5,1)),"")</f>
        <v/>
      </c>
      <c r="AB106" s="27" t="str">
        <f>IF(RIGHT(prodType,1)="g","droite","")</f>
        <v/>
      </c>
      <c r="AC106" s="37" t="str">
        <f>IF(Z106&lt;&gt;"",SUM(Z$52:Z106),"")</f>
        <v/>
      </c>
      <c r="AD106" s="54"/>
      <c r="AE106" s="64"/>
      <c r="AF106" s="54"/>
      <c r="AG106" s="54"/>
      <c r="AH106" s="4">
        <f t="shared" si="9"/>
        <v>0</v>
      </c>
      <c r="AI106" s="4">
        <f t="shared" si="10"/>
        <v>0</v>
      </c>
      <c r="AU106" s="4" t="str">
        <f t="shared" si="3"/>
        <v/>
      </c>
      <c r="AV106" s="4" t="str">
        <f t="shared" si="4"/>
        <v/>
      </c>
      <c r="AW106" s="4" t="str">
        <f t="shared" si="5"/>
        <v/>
      </c>
      <c r="AX106" s="4" t="str">
        <f>IF(AU106&lt;&gt;"",IF(AND(AG106=""),prodType,AG106),"")</f>
        <v/>
      </c>
      <c r="AY106" s="4" t="str">
        <f t="shared" si="6"/>
        <v/>
      </c>
      <c r="AZ106" s="4" t="str">
        <f>IF(AU106&lt;&gt;"",posteMachine,"")</f>
        <v/>
      </c>
      <c r="BA106" s="4" t="str">
        <f>IF(AU106&lt;&gt;"",posteOperateur,"")</f>
        <v/>
      </c>
      <c r="BB106" s="4" t="str">
        <f t="shared" si="7"/>
        <v/>
      </c>
      <c r="BC106" s="4" t="str">
        <f>IFERROR(VLOOKUP(AV106,micCtl,2,FALSE),"")</f>
        <v/>
      </c>
      <c r="BD106" s="4" t="str">
        <f>IFERROR(VLOOKUP(AV106,micCtl,3,FALSE),"")</f>
        <v/>
      </c>
      <c r="BE106" s="4" t="str">
        <f>IFERROR(VLOOKUP(AV106,finalCtl,2,FALSE),"")</f>
        <v/>
      </c>
      <c r="BF106" s="4" t="str">
        <f>IFERROR(VLOOKUP(AV106,finalCtl,3,FALSE),"")</f>
        <v/>
      </c>
      <c r="BG106" s="3" t="str">
        <f t="shared" si="8"/>
        <v/>
      </c>
    </row>
    <row r="107" spans="19:59" x14ac:dyDescent="0.25">
      <c r="S107" s="5" t="str">
        <f t="shared" si="12"/>
        <v/>
      </c>
      <c r="T107" s="5" t="str">
        <f t="shared" si="12"/>
        <v/>
      </c>
      <c r="U107" s="5" t="str">
        <f t="shared" si="12"/>
        <v/>
      </c>
      <c r="V107" s="5" t="str">
        <f t="shared" si="12"/>
        <v/>
      </c>
      <c r="W107" s="5" t="str">
        <f t="shared" si="12"/>
        <v/>
      </c>
      <c r="X107" s="5" t="str">
        <f>IF(Y107&lt;&gt;"",SUM(Y$52:Y107),"")</f>
        <v/>
      </c>
      <c r="Y107" s="5" t="str">
        <f>IF(AND(AF107&lt;&gt;"",AD107&lt;&gt;""),IF(OR(prodType="2x250g",AG107="2x250g"),0.5,1),"")</f>
        <v/>
      </c>
      <c r="Z107" s="5" t="str">
        <f>IF(AND(AF107&lt;&gt;"",AD107=""),IF(AG107="500g",1,IF(OR(prodType="2x250g",AND(AG107="2x250g")),0.5,1)),"")</f>
        <v/>
      </c>
      <c r="AB107" s="27" t="str">
        <f>IF(RIGHT(prodType,1)="g","gauche","")</f>
        <v/>
      </c>
      <c r="AC107" s="37" t="str">
        <f>IF(Z107&lt;&gt;"",SUM(Z$52:Z107),"")</f>
        <v/>
      </c>
      <c r="AD107" s="54"/>
      <c r="AE107" s="64"/>
      <c r="AF107" s="54"/>
      <c r="AG107" s="54"/>
      <c r="AH107" s="4">
        <f t="shared" si="9"/>
        <v>0</v>
      </c>
      <c r="AI107" s="4">
        <f t="shared" si="10"/>
        <v>0</v>
      </c>
      <c r="AU107" s="4" t="str">
        <f t="shared" si="3"/>
        <v/>
      </c>
      <c r="AV107" s="4" t="str">
        <f t="shared" si="4"/>
        <v/>
      </c>
      <c r="AW107" s="4" t="str">
        <f t="shared" si="5"/>
        <v/>
      </c>
      <c r="AX107" s="4" t="str">
        <f>IF(AU107&lt;&gt;"",IF(AND(AG107=""),prodType,AG107),"")</f>
        <v/>
      </c>
      <c r="AY107" s="4" t="str">
        <f t="shared" si="6"/>
        <v/>
      </c>
      <c r="AZ107" s="4" t="str">
        <f>IF(AU107&lt;&gt;"",posteMachine,"")</f>
        <v/>
      </c>
      <c r="BA107" s="4" t="str">
        <f>IF(AU107&lt;&gt;"",posteOperateur,"")</f>
        <v/>
      </c>
      <c r="BB107" s="4" t="str">
        <f t="shared" si="7"/>
        <v/>
      </c>
      <c r="BC107" s="4" t="str">
        <f>IFERROR(VLOOKUP(AV107,micCtl,2,FALSE),"")</f>
        <v/>
      </c>
      <c r="BD107" s="4" t="str">
        <f>IFERROR(VLOOKUP(AV107,micCtl,3,FALSE),"")</f>
        <v/>
      </c>
      <c r="BE107" s="4" t="str">
        <f>IFERROR(VLOOKUP(AV107,finalCtl,2,FALSE),"")</f>
        <v/>
      </c>
      <c r="BF107" s="4" t="str">
        <f>IFERROR(VLOOKUP(AV107,finalCtl,3,FALSE),"")</f>
        <v/>
      </c>
      <c r="BG107" s="3" t="str">
        <f t="shared" si="8"/>
        <v/>
      </c>
    </row>
    <row r="108" spans="19:59" x14ac:dyDescent="0.25">
      <c r="S108" s="5" t="str">
        <f t="shared" si="12"/>
        <v/>
      </c>
      <c r="T108" s="5" t="str">
        <f t="shared" si="12"/>
        <v/>
      </c>
      <c r="U108" s="5" t="str">
        <f t="shared" si="12"/>
        <v/>
      </c>
      <c r="V108" s="5" t="str">
        <f t="shared" si="12"/>
        <v/>
      </c>
      <c r="W108" s="5" t="str">
        <f t="shared" si="12"/>
        <v/>
      </c>
      <c r="X108" s="5" t="str">
        <f>IF(Y108&lt;&gt;"",SUM(Y$52:Y108),"")</f>
        <v/>
      </c>
      <c r="Y108" s="5" t="str">
        <f>IF(AND(AF108&lt;&gt;"",AD108&lt;&gt;""),IF(OR(prodType="2x250g",AG108="2x250g"),0.5,1),"")</f>
        <v/>
      </c>
      <c r="Z108" s="5" t="str">
        <f>IF(AND(AF108&lt;&gt;"",AD108=""),IF(AG108="500g",1,IF(OR(prodType="2x250g",AND(AG108="2x250g")),0.5,1)),"")</f>
        <v/>
      </c>
      <c r="AB108" s="27" t="str">
        <f>IF(RIGHT(prodType,1)="g","droite","")</f>
        <v/>
      </c>
      <c r="AC108" s="37" t="str">
        <f>IF(Z108&lt;&gt;"",SUM(Z$52:Z108),"")</f>
        <v/>
      </c>
      <c r="AD108" s="54"/>
      <c r="AE108" s="64"/>
      <c r="AF108" s="54"/>
      <c r="AG108" s="54"/>
      <c r="AH108" s="4">
        <f t="shared" si="9"/>
        <v>0</v>
      </c>
      <c r="AI108" s="4">
        <f t="shared" si="10"/>
        <v>0</v>
      </c>
      <c r="AU108" s="4" t="str">
        <f t="shared" si="3"/>
        <v/>
      </c>
      <c r="AV108" s="4" t="str">
        <f t="shared" si="4"/>
        <v/>
      </c>
      <c r="AW108" s="4" t="str">
        <f t="shared" si="5"/>
        <v/>
      </c>
      <c r="AX108" s="4" t="str">
        <f>IF(AU108&lt;&gt;"",IF(AND(AG108=""),prodType,AG108),"")</f>
        <v/>
      </c>
      <c r="AY108" s="4" t="str">
        <f t="shared" si="6"/>
        <v/>
      </c>
      <c r="AZ108" s="4" t="str">
        <f>IF(AU108&lt;&gt;"",posteMachine,"")</f>
        <v/>
      </c>
      <c r="BA108" s="4" t="str">
        <f>IF(AU108&lt;&gt;"",posteOperateur,"")</f>
        <v/>
      </c>
      <c r="BB108" s="4" t="str">
        <f t="shared" si="7"/>
        <v/>
      </c>
      <c r="BC108" s="4" t="str">
        <f>IFERROR(VLOOKUP(AV108,micCtl,2,FALSE),"")</f>
        <v/>
      </c>
      <c r="BD108" s="4" t="str">
        <f>IFERROR(VLOOKUP(AV108,micCtl,3,FALSE),"")</f>
        <v/>
      </c>
      <c r="BE108" s="4" t="str">
        <f>IFERROR(VLOOKUP(AV108,finalCtl,2,FALSE),"")</f>
        <v/>
      </c>
      <c r="BF108" s="4" t="str">
        <f>IFERROR(VLOOKUP(AV108,finalCtl,3,FALSE),"")</f>
        <v/>
      </c>
      <c r="BG108" s="3" t="str">
        <f t="shared" si="8"/>
        <v/>
      </c>
    </row>
    <row r="109" spans="19:59" x14ac:dyDescent="0.25">
      <c r="S109" s="5" t="str">
        <f t="shared" si="12"/>
        <v/>
      </c>
      <c r="T109" s="5" t="str">
        <f t="shared" si="12"/>
        <v/>
      </c>
      <c r="U109" s="5" t="str">
        <f t="shared" si="12"/>
        <v/>
      </c>
      <c r="V109" s="5" t="str">
        <f t="shared" si="12"/>
        <v/>
      </c>
      <c r="W109" s="5" t="str">
        <f t="shared" si="12"/>
        <v/>
      </c>
      <c r="X109" s="5" t="str">
        <f>IF(Y109&lt;&gt;"",SUM(Y$52:Y109),"")</f>
        <v/>
      </c>
      <c r="Y109" s="5" t="str">
        <f>IF(AND(AF109&lt;&gt;"",AD109&lt;&gt;""),IF(OR(prodType="2x250g",AG109="2x250g"),0.5,1),"")</f>
        <v/>
      </c>
      <c r="Z109" s="5" t="str">
        <f>IF(AND(AF109&lt;&gt;"",AD109=""),IF(AG109="500g",1,IF(OR(prodType="2x250g",AND(AG109="2x250g")),0.5,1)),"")</f>
        <v/>
      </c>
      <c r="AB109" s="27" t="str">
        <f>IF(RIGHT(prodType,1)="g","gauche","")</f>
        <v/>
      </c>
      <c r="AC109" s="37" t="str">
        <f>IF(Z109&lt;&gt;"",SUM(Z$52:Z109),"")</f>
        <v/>
      </c>
      <c r="AD109" s="54"/>
      <c r="AE109" s="64"/>
      <c r="AF109" s="54"/>
      <c r="AG109" s="54"/>
      <c r="AH109" s="4">
        <f t="shared" si="9"/>
        <v>0</v>
      </c>
      <c r="AI109" s="4">
        <f t="shared" si="10"/>
        <v>0</v>
      </c>
      <c r="AU109" s="4" t="str">
        <f t="shared" si="3"/>
        <v/>
      </c>
      <c r="AV109" s="4" t="str">
        <f t="shared" si="4"/>
        <v/>
      </c>
      <c r="AW109" s="4" t="str">
        <f t="shared" si="5"/>
        <v/>
      </c>
      <c r="AX109" s="4" t="str">
        <f>IF(AU109&lt;&gt;"",IF(AND(AG109=""),prodType,AG109),"")</f>
        <v/>
      </c>
      <c r="AY109" s="4" t="str">
        <f t="shared" si="6"/>
        <v/>
      </c>
      <c r="AZ109" s="4" t="str">
        <f>IF(AU109&lt;&gt;"",posteMachine,"")</f>
        <v/>
      </c>
      <c r="BA109" s="4" t="str">
        <f>IF(AU109&lt;&gt;"",posteOperateur,"")</f>
        <v/>
      </c>
      <c r="BB109" s="4" t="str">
        <f t="shared" si="7"/>
        <v/>
      </c>
      <c r="BC109" s="4" t="str">
        <f>IFERROR(VLOOKUP(AV109,micCtl,2,FALSE),"")</f>
        <v/>
      </c>
      <c r="BD109" s="4" t="str">
        <f>IFERROR(VLOOKUP(AV109,micCtl,3,FALSE),"")</f>
        <v/>
      </c>
      <c r="BE109" s="4" t="str">
        <f>IFERROR(VLOOKUP(AV109,finalCtl,2,FALSE),"")</f>
        <v/>
      </c>
      <c r="BF109" s="4" t="str">
        <f>IFERROR(VLOOKUP(AV109,finalCtl,3,FALSE),"")</f>
        <v/>
      </c>
      <c r="BG109" s="3" t="str">
        <f t="shared" si="8"/>
        <v/>
      </c>
    </row>
    <row r="110" spans="19:59" x14ac:dyDescent="0.25">
      <c r="S110" s="5" t="str">
        <f t="shared" si="12"/>
        <v/>
      </c>
      <c r="T110" s="5" t="str">
        <f t="shared" si="12"/>
        <v/>
      </c>
      <c r="U110" s="5" t="str">
        <f t="shared" si="12"/>
        <v/>
      </c>
      <c r="V110" s="5" t="str">
        <f t="shared" si="12"/>
        <v/>
      </c>
      <c r="W110" s="5" t="str">
        <f t="shared" si="12"/>
        <v/>
      </c>
      <c r="X110" s="5" t="str">
        <f>IF(Y110&lt;&gt;"",SUM(Y$52:Y110),"")</f>
        <v/>
      </c>
      <c r="Y110" s="5" t="str">
        <f>IF(AND(AF110&lt;&gt;"",AD110&lt;&gt;""),IF(OR(prodType="2x250g",AG110="2x250g"),0.5,1),"")</f>
        <v/>
      </c>
      <c r="Z110" s="5" t="str">
        <f>IF(AND(AF110&lt;&gt;"",AD110=""),IF(AG110="500g",1,IF(OR(prodType="2x250g",AND(AG110="2x250g")),0.5,1)),"")</f>
        <v/>
      </c>
      <c r="AB110" s="27" t="str">
        <f>IF(RIGHT(prodType,1)="g","droite","")</f>
        <v/>
      </c>
      <c r="AC110" s="37" t="str">
        <f>IF(Z110&lt;&gt;"",SUM(Z$52:Z110),"")</f>
        <v/>
      </c>
      <c r="AD110" s="54"/>
      <c r="AE110" s="64"/>
      <c r="AF110" s="54"/>
      <c r="AG110" s="54"/>
      <c r="AH110" s="4">
        <f t="shared" si="9"/>
        <v>0</v>
      </c>
      <c r="AI110" s="4">
        <f t="shared" si="10"/>
        <v>0</v>
      </c>
      <c r="AU110" s="4" t="str">
        <f t="shared" si="3"/>
        <v/>
      </c>
      <c r="AV110" s="4" t="str">
        <f t="shared" si="4"/>
        <v/>
      </c>
      <c r="AW110" s="4" t="str">
        <f t="shared" si="5"/>
        <v/>
      </c>
      <c r="AX110" s="4" t="str">
        <f>IF(AU110&lt;&gt;"",IF(AND(AG110=""),prodType,AG110),"")</f>
        <v/>
      </c>
      <c r="AY110" s="4" t="str">
        <f t="shared" si="6"/>
        <v/>
      </c>
      <c r="AZ110" s="4" t="str">
        <f>IF(AU110&lt;&gt;"",posteMachine,"")</f>
        <v/>
      </c>
      <c r="BA110" s="4" t="str">
        <f>IF(AU110&lt;&gt;"",posteOperateur,"")</f>
        <v/>
      </c>
      <c r="BB110" s="4" t="str">
        <f t="shared" si="7"/>
        <v/>
      </c>
      <c r="BC110" s="4" t="str">
        <f>IFERROR(VLOOKUP(AV110,micCtl,2,FALSE),"")</f>
        <v/>
      </c>
      <c r="BD110" s="4" t="str">
        <f>IFERROR(VLOOKUP(AV110,micCtl,3,FALSE),"")</f>
        <v/>
      </c>
      <c r="BE110" s="4" t="str">
        <f>IFERROR(VLOOKUP(AV110,finalCtl,2,FALSE),"")</f>
        <v/>
      </c>
      <c r="BF110" s="4" t="str">
        <f>IFERROR(VLOOKUP(AV110,finalCtl,3,FALSE),"")</f>
        <v/>
      </c>
      <c r="BG110" s="3" t="str">
        <f t="shared" si="8"/>
        <v/>
      </c>
    </row>
    <row r="111" spans="19:59" x14ac:dyDescent="0.25">
      <c r="S111" s="5" t="str">
        <f t="shared" si="12"/>
        <v/>
      </c>
      <c r="T111" s="5" t="str">
        <f t="shared" si="12"/>
        <v/>
      </c>
      <c r="U111" s="5" t="str">
        <f t="shared" si="12"/>
        <v/>
      </c>
      <c r="V111" s="5" t="str">
        <f t="shared" si="12"/>
        <v/>
      </c>
      <c r="W111" s="5" t="str">
        <f t="shared" si="12"/>
        <v/>
      </c>
      <c r="X111" s="5" t="str">
        <f>IF(Y111&lt;&gt;"",SUM(Y$52:Y111),"")</f>
        <v/>
      </c>
      <c r="Y111" s="5" t="str">
        <f>IF(AND(AF111&lt;&gt;"",AD111&lt;&gt;""),IF(OR(prodType="2x250g",AG111="2x250g"),0.5,1),"")</f>
        <v/>
      </c>
      <c r="Z111" s="5" t="str">
        <f>IF(AND(AF111&lt;&gt;"",AD111=""),IF(AG111="500g",1,IF(OR(prodType="2x250g",AND(AG111="2x250g")),0.5,1)),"")</f>
        <v/>
      </c>
      <c r="AB111" s="27" t="str">
        <f>IF(RIGHT(prodType,1)="g","gauche","")</f>
        <v/>
      </c>
      <c r="AC111" s="37" t="str">
        <f>IF(Z111&lt;&gt;"",SUM(Z$52:Z111),"")</f>
        <v/>
      </c>
      <c r="AD111" s="54"/>
      <c r="AE111" s="64"/>
      <c r="AF111" s="54"/>
      <c r="AG111" s="54"/>
      <c r="AH111" s="4">
        <f t="shared" si="9"/>
        <v>0</v>
      </c>
      <c r="AI111" s="4">
        <f t="shared" si="10"/>
        <v>0</v>
      </c>
      <c r="AU111" s="4" t="str">
        <f t="shared" si="3"/>
        <v/>
      </c>
      <c r="AV111" s="4" t="str">
        <f t="shared" si="4"/>
        <v/>
      </c>
      <c r="AW111" s="4" t="str">
        <f t="shared" si="5"/>
        <v/>
      </c>
      <c r="AX111" s="4" t="str">
        <f>IF(AU111&lt;&gt;"",IF(AND(AG111=""),prodType,AG111),"")</f>
        <v/>
      </c>
      <c r="AY111" s="4" t="str">
        <f t="shared" si="6"/>
        <v/>
      </c>
      <c r="AZ111" s="4" t="str">
        <f>IF(AU111&lt;&gt;"",posteMachine,"")</f>
        <v/>
      </c>
      <c r="BA111" s="4" t="str">
        <f>IF(AU111&lt;&gt;"",posteOperateur,"")</f>
        <v/>
      </c>
      <c r="BB111" s="4" t="str">
        <f t="shared" si="7"/>
        <v/>
      </c>
      <c r="BC111" s="4" t="str">
        <f>IFERROR(VLOOKUP(AV111,micCtl,2,FALSE),"")</f>
        <v/>
      </c>
      <c r="BD111" s="4" t="str">
        <f>IFERROR(VLOOKUP(AV111,micCtl,3,FALSE),"")</f>
        <v/>
      </c>
      <c r="BE111" s="4" t="str">
        <f>IFERROR(VLOOKUP(AV111,finalCtl,2,FALSE),"")</f>
        <v/>
      </c>
      <c r="BF111" s="4" t="str">
        <f>IFERROR(VLOOKUP(AV111,finalCtl,3,FALSE),"")</f>
        <v/>
      </c>
      <c r="BG111" s="3" t="str">
        <f t="shared" si="8"/>
        <v/>
      </c>
    </row>
    <row r="112" spans="19:59" x14ac:dyDescent="0.25">
      <c r="S112" s="5" t="str">
        <f t="shared" si="12"/>
        <v/>
      </c>
      <c r="T112" s="5" t="str">
        <f t="shared" si="12"/>
        <v/>
      </c>
      <c r="U112" s="5" t="str">
        <f t="shared" si="12"/>
        <v/>
      </c>
      <c r="V112" s="5" t="str">
        <f t="shared" si="12"/>
        <v/>
      </c>
      <c r="W112" s="5" t="str">
        <f t="shared" si="12"/>
        <v/>
      </c>
      <c r="X112" s="5" t="str">
        <f>IF(Y112&lt;&gt;"",SUM(Y$52:Y112),"")</f>
        <v/>
      </c>
      <c r="Y112" s="5" t="str">
        <f>IF(AND(AF112&lt;&gt;"",AD112&lt;&gt;""),IF(OR(prodType="2x250g",AG112="2x250g"),0.5,1),"")</f>
        <v/>
      </c>
      <c r="Z112" s="5" t="str">
        <f>IF(AND(AF112&lt;&gt;"",AD112=""),IF(AG112="500g",1,IF(OR(prodType="2x250g",AND(AG112="2x250g")),0.5,1)),"")</f>
        <v/>
      </c>
      <c r="AB112" s="27" t="str">
        <f>IF(RIGHT(prodType,1)="g","droite","")</f>
        <v/>
      </c>
      <c r="AC112" s="37" t="str">
        <f>IF(Z112&lt;&gt;"",SUM(Z$52:Z112),"")</f>
        <v/>
      </c>
      <c r="AD112" s="54"/>
      <c r="AE112" s="64"/>
      <c r="AF112" s="54"/>
      <c r="AG112" s="54"/>
      <c r="AH112" s="4">
        <f t="shared" si="9"/>
        <v>0</v>
      </c>
      <c r="AI112" s="4">
        <f t="shared" si="10"/>
        <v>0</v>
      </c>
      <c r="AU112" s="4" t="str">
        <f t="shared" si="3"/>
        <v/>
      </c>
      <c r="AV112" s="4" t="str">
        <f t="shared" si="4"/>
        <v/>
      </c>
      <c r="AW112" s="4" t="str">
        <f t="shared" si="5"/>
        <v/>
      </c>
      <c r="AX112" s="4" t="str">
        <f>IF(AU112&lt;&gt;"",IF(AND(AG112=""),prodType,AG112),"")</f>
        <v/>
      </c>
      <c r="AY112" s="4" t="str">
        <f t="shared" si="6"/>
        <v/>
      </c>
      <c r="AZ112" s="4" t="str">
        <f>IF(AU112&lt;&gt;"",posteMachine,"")</f>
        <v/>
      </c>
      <c r="BA112" s="4" t="str">
        <f>IF(AU112&lt;&gt;"",posteOperateur,"")</f>
        <v/>
      </c>
      <c r="BB112" s="4" t="str">
        <f t="shared" si="7"/>
        <v/>
      </c>
      <c r="BC112" s="4" t="str">
        <f>IFERROR(VLOOKUP(AV112,micCtl,2,FALSE),"")</f>
        <v/>
      </c>
      <c r="BD112" s="4" t="str">
        <f>IFERROR(VLOOKUP(AV112,micCtl,3,FALSE),"")</f>
        <v/>
      </c>
      <c r="BE112" s="4" t="str">
        <f>IFERROR(VLOOKUP(AV112,finalCtl,2,FALSE),"")</f>
        <v/>
      </c>
      <c r="BF112" s="4" t="str">
        <f>IFERROR(VLOOKUP(AV112,finalCtl,3,FALSE),"")</f>
        <v/>
      </c>
      <c r="BG112" s="3" t="str">
        <f t="shared" si="8"/>
        <v/>
      </c>
    </row>
    <row r="113" spans="19:59" x14ac:dyDescent="0.25">
      <c r="S113" s="5" t="str">
        <f t="shared" si="12"/>
        <v/>
      </c>
      <c r="T113" s="5" t="str">
        <f t="shared" si="12"/>
        <v/>
      </c>
      <c r="U113" s="5" t="str">
        <f t="shared" si="12"/>
        <v/>
      </c>
      <c r="V113" s="5" t="str">
        <f t="shared" si="12"/>
        <v/>
      </c>
      <c r="W113" s="5" t="str">
        <f t="shared" si="12"/>
        <v/>
      </c>
      <c r="X113" s="5" t="str">
        <f>IF(Y113&lt;&gt;"",SUM(Y$52:Y113),"")</f>
        <v/>
      </c>
      <c r="Y113" s="5" t="str">
        <f>IF(AND(AF113&lt;&gt;"",AD113&lt;&gt;""),IF(OR(prodType="2x250g",AG113="2x250g"),0.5,1),"")</f>
        <v/>
      </c>
      <c r="Z113" s="5" t="str">
        <f>IF(AND(AF113&lt;&gt;"",AD113=""),IF(AG113="500g",1,IF(OR(prodType="2x250g",AND(AG113="2x250g")),0.5,1)),"")</f>
        <v/>
      </c>
      <c r="AB113" s="27" t="str">
        <f>IF(RIGHT(prodType,1)="g","gauche","")</f>
        <v/>
      </c>
      <c r="AC113" s="37" t="str">
        <f>IF(Z113&lt;&gt;"",SUM(Z$52:Z113),"")</f>
        <v/>
      </c>
      <c r="AD113" s="54"/>
      <c r="AE113" s="64"/>
      <c r="AF113" s="54"/>
      <c r="AG113" s="54"/>
      <c r="AH113" s="4">
        <f t="shared" si="9"/>
        <v>0</v>
      </c>
      <c r="AI113" s="4">
        <f t="shared" si="10"/>
        <v>0</v>
      </c>
      <c r="AU113" s="4" t="str">
        <f t="shared" si="3"/>
        <v/>
      </c>
      <c r="AV113" s="4" t="str">
        <f t="shared" si="4"/>
        <v/>
      </c>
      <c r="AW113" s="4" t="str">
        <f t="shared" si="5"/>
        <v/>
      </c>
      <c r="AX113" s="4" t="str">
        <f>IF(AU113&lt;&gt;"",IF(AND(AG113=""),prodType,AG113),"")</f>
        <v/>
      </c>
      <c r="AY113" s="4" t="str">
        <f t="shared" si="6"/>
        <v/>
      </c>
      <c r="AZ113" s="4" t="str">
        <f>IF(AU113&lt;&gt;"",posteMachine,"")</f>
        <v/>
      </c>
      <c r="BA113" s="4" t="str">
        <f>IF(AU113&lt;&gt;"",posteOperateur,"")</f>
        <v/>
      </c>
      <c r="BB113" s="4" t="str">
        <f t="shared" si="7"/>
        <v/>
      </c>
      <c r="BC113" s="4" t="str">
        <f>IFERROR(VLOOKUP(AV113,micCtl,2,FALSE),"")</f>
        <v/>
      </c>
      <c r="BD113" s="4" t="str">
        <f>IFERROR(VLOOKUP(AV113,micCtl,3,FALSE),"")</f>
        <v/>
      </c>
      <c r="BE113" s="4" t="str">
        <f>IFERROR(VLOOKUP(AV113,finalCtl,2,FALSE),"")</f>
        <v/>
      </c>
      <c r="BF113" s="4" t="str">
        <f>IFERROR(VLOOKUP(AV113,finalCtl,3,FALSE),"")</f>
        <v/>
      </c>
      <c r="BG113" s="3" t="str">
        <f t="shared" si="8"/>
        <v/>
      </c>
    </row>
    <row r="114" spans="19:59" x14ac:dyDescent="0.25">
      <c r="S114" s="5" t="str">
        <f t="shared" si="12"/>
        <v/>
      </c>
      <c r="T114" s="5" t="str">
        <f t="shared" si="12"/>
        <v/>
      </c>
      <c r="U114" s="5" t="str">
        <f t="shared" si="12"/>
        <v/>
      </c>
      <c r="V114" s="5" t="str">
        <f t="shared" si="12"/>
        <v/>
      </c>
      <c r="W114" s="5" t="str">
        <f t="shared" si="12"/>
        <v/>
      </c>
      <c r="X114" s="5" t="str">
        <f>IF(Y114&lt;&gt;"",SUM(Y$52:Y114),"")</f>
        <v/>
      </c>
      <c r="Y114" s="5" t="str">
        <f>IF(AND(AF114&lt;&gt;"",AD114&lt;&gt;""),IF(OR(prodType="2x250g",AG114="2x250g"),0.5,1),"")</f>
        <v/>
      </c>
      <c r="Z114" s="5" t="str">
        <f>IF(AND(AF114&lt;&gt;"",AD114=""),IF(AG114="500g",1,IF(OR(prodType="2x250g",AND(AG114="2x250g")),0.5,1)),"")</f>
        <v/>
      </c>
      <c r="AB114" s="27" t="str">
        <f>IF(RIGHT(prodType,1)="g","droite","")</f>
        <v/>
      </c>
      <c r="AC114" s="37" t="str">
        <f>IF(Z114&lt;&gt;"",SUM(Z$52:Z114),"")</f>
        <v/>
      </c>
      <c r="AD114" s="54"/>
      <c r="AE114" s="64"/>
      <c r="AF114" s="54"/>
      <c r="AG114" s="54"/>
      <c r="AH114" s="4">
        <f t="shared" si="9"/>
        <v>0</v>
      </c>
      <c r="AI114" s="4">
        <f t="shared" si="10"/>
        <v>0</v>
      </c>
      <c r="AU114" s="4" t="str">
        <f t="shared" si="3"/>
        <v/>
      </c>
      <c r="AV114" s="4" t="str">
        <f t="shared" si="4"/>
        <v/>
      </c>
      <c r="AW114" s="4" t="str">
        <f t="shared" si="5"/>
        <v/>
      </c>
      <c r="AX114" s="4" t="str">
        <f>IF(AU114&lt;&gt;"",IF(AND(AG114=""),prodType,AG114),"")</f>
        <v/>
      </c>
      <c r="AY114" s="4" t="str">
        <f t="shared" si="6"/>
        <v/>
      </c>
      <c r="AZ114" s="4" t="str">
        <f>IF(AU114&lt;&gt;"",posteMachine,"")</f>
        <v/>
      </c>
      <c r="BA114" s="4" t="str">
        <f>IF(AU114&lt;&gt;"",posteOperateur,"")</f>
        <v/>
      </c>
      <c r="BB114" s="4" t="str">
        <f t="shared" si="7"/>
        <v/>
      </c>
      <c r="BC114" s="4" t="str">
        <f>IFERROR(VLOOKUP(AV114,micCtl,2,FALSE),"")</f>
        <v/>
      </c>
      <c r="BD114" s="4" t="str">
        <f>IFERROR(VLOOKUP(AV114,micCtl,3,FALSE),"")</f>
        <v/>
      </c>
      <c r="BE114" s="4" t="str">
        <f>IFERROR(VLOOKUP(AV114,finalCtl,2,FALSE),"")</f>
        <v/>
      </c>
      <c r="BF114" s="4" t="str">
        <f>IFERROR(VLOOKUP(AV114,finalCtl,3,FALSE),"")</f>
        <v/>
      </c>
      <c r="BG114" s="3" t="str">
        <f t="shared" si="8"/>
        <v/>
      </c>
    </row>
    <row r="115" spans="19:59" x14ac:dyDescent="0.25">
      <c r="S115" s="5" t="str">
        <f t="shared" si="12"/>
        <v/>
      </c>
      <c r="T115" s="5" t="str">
        <f t="shared" si="12"/>
        <v/>
      </c>
      <c r="U115" s="5" t="str">
        <f t="shared" si="12"/>
        <v/>
      </c>
      <c r="V115" s="5" t="str">
        <f t="shared" si="12"/>
        <v/>
      </c>
      <c r="W115" s="5" t="str">
        <f t="shared" si="12"/>
        <v/>
      </c>
      <c r="X115" s="5" t="str">
        <f>IF(Y115&lt;&gt;"",SUM(Y$52:Y115),"")</f>
        <v/>
      </c>
      <c r="Y115" s="5" t="str">
        <f>IF(AND(AF115&lt;&gt;"",AD115&lt;&gt;""),IF(OR(prodType="2x250g",AG115="2x250g"),0.5,1),"")</f>
        <v/>
      </c>
      <c r="Z115" s="5" t="str">
        <f>IF(AND(AF115&lt;&gt;"",AD115=""),IF(AG115="500g",1,IF(OR(prodType="2x250g",AND(AG115="2x250g")),0.5,1)),"")</f>
        <v/>
      </c>
      <c r="AB115" s="27" t="str">
        <f>IF(RIGHT(prodType,1)="g","gauche","")</f>
        <v/>
      </c>
      <c r="AC115" s="37" t="str">
        <f>IF(Z115&lt;&gt;"",SUM(Z$52:Z115),"")</f>
        <v/>
      </c>
      <c r="AD115" s="54"/>
      <c r="AE115" s="64"/>
      <c r="AF115" s="54"/>
      <c r="AG115" s="54"/>
      <c r="AH115" s="4">
        <f t="shared" si="9"/>
        <v>0</v>
      </c>
      <c r="AI115" s="4">
        <f t="shared" si="10"/>
        <v>0</v>
      </c>
      <c r="AU115" s="4" t="str">
        <f t="shared" si="3"/>
        <v/>
      </c>
      <c r="AV115" s="4" t="str">
        <f t="shared" si="4"/>
        <v/>
      </c>
      <c r="AW115" s="4" t="str">
        <f t="shared" si="5"/>
        <v/>
      </c>
      <c r="AX115" s="4" t="str">
        <f>IF(AU115&lt;&gt;"",IF(AND(AG115=""),prodType,AG115),"")</f>
        <v/>
      </c>
      <c r="AY115" s="4" t="str">
        <f t="shared" si="6"/>
        <v/>
      </c>
      <c r="AZ115" s="4" t="str">
        <f>IF(AU115&lt;&gt;"",posteMachine,"")</f>
        <v/>
      </c>
      <c r="BA115" s="4" t="str">
        <f>IF(AU115&lt;&gt;"",posteOperateur,"")</f>
        <v/>
      </c>
      <c r="BB115" s="4" t="str">
        <f t="shared" si="7"/>
        <v/>
      </c>
      <c r="BC115" s="4" t="str">
        <f>IFERROR(VLOOKUP(AV115,micCtl,2,FALSE),"")</f>
        <v/>
      </c>
      <c r="BD115" s="4" t="str">
        <f>IFERROR(VLOOKUP(AV115,micCtl,3,FALSE),"")</f>
        <v/>
      </c>
      <c r="BE115" s="4" t="str">
        <f>IFERROR(VLOOKUP(AV115,finalCtl,2,FALSE),"")</f>
        <v/>
      </c>
      <c r="BF115" s="4" t="str">
        <f>IFERROR(VLOOKUP(AV115,finalCtl,3,FALSE),"")</f>
        <v/>
      </c>
      <c r="BG115" s="3" t="str">
        <f t="shared" si="8"/>
        <v/>
      </c>
    </row>
    <row r="116" spans="19:59" x14ac:dyDescent="0.25">
      <c r="S116" s="5" t="str">
        <f t="shared" si="12"/>
        <v/>
      </c>
      <c r="T116" s="5" t="str">
        <f t="shared" si="12"/>
        <v/>
      </c>
      <c r="U116" s="5" t="str">
        <f t="shared" si="12"/>
        <v/>
      </c>
      <c r="V116" s="5" t="str">
        <f t="shared" si="12"/>
        <v/>
      </c>
      <c r="W116" s="5" t="str">
        <f t="shared" si="12"/>
        <v/>
      </c>
      <c r="X116" s="5" t="str">
        <f>IF(Y116&lt;&gt;"",SUM(Y$52:Y116),"")</f>
        <v/>
      </c>
      <c r="Y116" s="5" t="str">
        <f>IF(AND(AF116&lt;&gt;"",AD116&lt;&gt;""),IF(OR(prodType="2x250g",AG116="2x250g"),0.5,1),"")</f>
        <v/>
      </c>
      <c r="Z116" s="5" t="str">
        <f>IF(AND(AF116&lt;&gt;"",AD116=""),IF(AG116="500g",1,IF(OR(prodType="2x250g",AND(AG116="2x250g")),0.5,1)),"")</f>
        <v/>
      </c>
      <c r="AB116" s="27" t="str">
        <f>IF(RIGHT(prodType,1)="g","droite","")</f>
        <v/>
      </c>
      <c r="AC116" s="37" t="str">
        <f>IF(Z116&lt;&gt;"",SUM(Z$52:Z116),"")</f>
        <v/>
      </c>
      <c r="AD116" s="54"/>
      <c r="AE116" s="64"/>
      <c r="AF116" s="54"/>
      <c r="AG116" s="54"/>
      <c r="AH116" s="4">
        <f t="shared" si="9"/>
        <v>0</v>
      </c>
      <c r="AI116" s="4">
        <f t="shared" si="10"/>
        <v>0</v>
      </c>
      <c r="AU116" s="4" t="str">
        <f t="shared" si="3"/>
        <v/>
      </c>
      <c r="AV116" s="4" t="str">
        <f t="shared" si="4"/>
        <v/>
      </c>
      <c r="AW116" s="4" t="str">
        <f t="shared" si="5"/>
        <v/>
      </c>
      <c r="AX116" s="4" t="str">
        <f>IF(AU116&lt;&gt;"",IF(AND(AG116=""),prodType,AG116),"")</f>
        <v/>
      </c>
      <c r="AY116" s="4" t="str">
        <f t="shared" si="6"/>
        <v/>
      </c>
      <c r="AZ116" s="4" t="str">
        <f>IF(AU116&lt;&gt;"",posteMachine,"")</f>
        <v/>
      </c>
      <c r="BA116" s="4" t="str">
        <f>IF(AU116&lt;&gt;"",posteOperateur,"")</f>
        <v/>
      </c>
      <c r="BB116" s="4" t="str">
        <f t="shared" si="7"/>
        <v/>
      </c>
      <c r="BC116" s="4" t="str">
        <f>IFERROR(VLOOKUP(AV116,micCtl,2,FALSE),"")</f>
        <v/>
      </c>
      <c r="BD116" s="4" t="str">
        <f>IFERROR(VLOOKUP(AV116,micCtl,3,FALSE),"")</f>
        <v/>
      </c>
      <c r="BE116" s="4" t="str">
        <f>IFERROR(VLOOKUP(AV116,finalCtl,2,FALSE),"")</f>
        <v/>
      </c>
      <c r="BF116" s="4" t="str">
        <f>IFERROR(VLOOKUP(AV116,finalCtl,3,FALSE),"")</f>
        <v/>
      </c>
      <c r="BG116" s="3" t="str">
        <f t="shared" si="8"/>
        <v/>
      </c>
    </row>
    <row r="117" spans="19:59" x14ac:dyDescent="0.25">
      <c r="S117" s="5" t="str">
        <f t="shared" si="12"/>
        <v/>
      </c>
      <c r="T117" s="5" t="str">
        <f t="shared" si="12"/>
        <v/>
      </c>
      <c r="U117" s="5" t="str">
        <f t="shared" si="12"/>
        <v/>
      </c>
      <c r="V117" s="5" t="str">
        <f t="shared" si="12"/>
        <v/>
      </c>
      <c r="W117" s="5" t="str">
        <f t="shared" si="12"/>
        <v/>
      </c>
      <c r="X117" s="5" t="str">
        <f>IF(Y117&lt;&gt;"",SUM(Y$52:Y117),"")</f>
        <v/>
      </c>
      <c r="Y117" s="5" t="str">
        <f>IF(AND(AF117&lt;&gt;"",AD117&lt;&gt;""),IF(OR(prodType="2x250g",AG117="2x250g"),0.5,1),"")</f>
        <v/>
      </c>
      <c r="Z117" s="5" t="str">
        <f>IF(AND(AF117&lt;&gt;"",AD117=""),IF(AG117="500g",1,IF(OR(prodType="2x250g",AND(AG117="2x250g")),0.5,1)),"")</f>
        <v/>
      </c>
      <c r="AB117" s="27" t="str">
        <f>IF(RIGHT(prodType,1)="g","gauche","")</f>
        <v/>
      </c>
      <c r="AC117" s="37" t="str">
        <f>IF(Z117&lt;&gt;"",SUM(Z$52:Z117),"")</f>
        <v/>
      </c>
      <c r="AD117" s="54"/>
      <c r="AE117" s="64"/>
      <c r="AF117" s="54"/>
      <c r="AG117" s="54"/>
      <c r="AH117" s="4">
        <f t="shared" ref="AH117:AH121" si="13">IF(AF117&lt;&gt;"",IF(AD117="",IF(AE117="",AF117,AF117-AE117),0),0)</f>
        <v>0</v>
      </c>
      <c r="AI117" s="4">
        <f t="shared" ref="AI117:AI121" si="14">IF(AF117&lt;&gt;"",IF(AD117&lt;&gt;"",IF(AE117="",AF117,AF117-AE117),0),0)</f>
        <v>0</v>
      </c>
      <c r="AU117" s="4" t="str">
        <f t="shared" ref="AU117:AU121" si="15">IF(AF117&lt;&gt;"",CONCATENATE(AU$45,"_",AC117),"")</f>
        <v/>
      </c>
      <c r="AV117" s="4" t="str">
        <f t="shared" ref="AV117:AV121" si="16">IF(AX117&lt;&gt;"",IF(AD117="",AC117,CONCATENATE("NC_",X117)),"")</f>
        <v/>
      </c>
      <c r="AW117" s="4" t="str">
        <f t="shared" ref="AW117:AW121" si="17">IF(AU117&lt;&gt;"",AB117,"")</f>
        <v/>
      </c>
      <c r="AX117" s="4" t="str">
        <f>IF(AU117&lt;&gt;"",IF(AND(AG117=""),prodType,AG117),"")</f>
        <v/>
      </c>
      <c r="AY117" s="4" t="str">
        <f t="shared" ref="AY117:AY121" si="18">IF(AU117&lt;&gt;"",IF(AD117="",AH117,AI117),"")</f>
        <v/>
      </c>
      <c r="AZ117" s="4" t="str">
        <f>IF(AU117&lt;&gt;"",posteMachine,"")</f>
        <v/>
      </c>
      <c r="BA117" s="4" t="str">
        <f>IF(AU117&lt;&gt;"",posteOperateur,"")</f>
        <v/>
      </c>
      <c r="BB117" s="4" t="str">
        <f t="shared" ref="BB117:BB121" si="19">IF(AU117&lt;&gt;"",AD117,"")</f>
        <v/>
      </c>
      <c r="BC117" s="4" t="str">
        <f>IFERROR(VLOOKUP(AV117,micCtl,2,FALSE),"")</f>
        <v/>
      </c>
      <c r="BD117" s="4" t="str">
        <f>IFERROR(VLOOKUP(AV117,micCtl,3,FALSE),"")</f>
        <v/>
      </c>
      <c r="BE117" s="4" t="str">
        <f>IFERROR(VLOOKUP(AV117,finalCtl,2,FALSE),"")</f>
        <v/>
      </c>
      <c r="BF117" s="4" t="str">
        <f>IFERROR(VLOOKUP(AV117,finalCtl,3,FALSE),"")</f>
        <v/>
      </c>
      <c r="BG117" s="3" t="str">
        <f t="shared" ref="BG117:BG121" si="20">IF(AU117&lt;&gt;"",IF(AG117="",AG$48,AI$48),"")</f>
        <v/>
      </c>
    </row>
    <row r="118" spans="19:59" x14ac:dyDescent="0.25">
      <c r="S118" s="5" t="str">
        <f t="shared" si="12"/>
        <v/>
      </c>
      <c r="T118" s="5" t="str">
        <f t="shared" si="12"/>
        <v/>
      </c>
      <c r="U118" s="5" t="str">
        <f t="shared" si="12"/>
        <v/>
      </c>
      <c r="V118" s="5" t="str">
        <f t="shared" si="12"/>
        <v/>
      </c>
      <c r="W118" s="5" t="str">
        <f t="shared" si="12"/>
        <v/>
      </c>
      <c r="X118" s="5" t="str">
        <f>IF(Y118&lt;&gt;"",SUM(Y$52:Y118),"")</f>
        <v/>
      </c>
      <c r="Y118" s="5" t="str">
        <f>IF(AND(AF118&lt;&gt;"",AD118&lt;&gt;""),IF(OR(prodType="2x250g",AG118="2x250g"),0.5,1),"")</f>
        <v/>
      </c>
      <c r="Z118" s="5" t="str">
        <f>IF(AND(AF118&lt;&gt;"",AD118=""),IF(AG118="500g",1,IF(OR(prodType="2x250g",AND(AG118="2x250g")),0.5,1)),"")</f>
        <v/>
      </c>
      <c r="AB118" s="27" t="str">
        <f>IF(RIGHT(prodType,1)="g","droite","")</f>
        <v/>
      </c>
      <c r="AC118" s="37" t="str">
        <f>IF(Z118&lt;&gt;"",SUM(Z$52:Z118),"")</f>
        <v/>
      </c>
      <c r="AD118" s="54"/>
      <c r="AE118" s="64"/>
      <c r="AF118" s="54"/>
      <c r="AG118" s="54"/>
      <c r="AH118" s="4">
        <f t="shared" si="13"/>
        <v>0</v>
      </c>
      <c r="AI118" s="4">
        <f t="shared" si="14"/>
        <v>0</v>
      </c>
      <c r="AU118" s="4" t="str">
        <f t="shared" si="15"/>
        <v/>
      </c>
      <c r="AV118" s="4" t="str">
        <f t="shared" si="16"/>
        <v/>
      </c>
      <c r="AW118" s="4" t="str">
        <f t="shared" si="17"/>
        <v/>
      </c>
      <c r="AX118" s="4" t="str">
        <f>IF(AU118&lt;&gt;"",IF(AND(AG118=""),prodType,AG118),"")</f>
        <v/>
      </c>
      <c r="AY118" s="4" t="str">
        <f t="shared" si="18"/>
        <v/>
      </c>
      <c r="AZ118" s="4" t="str">
        <f>IF(AU118&lt;&gt;"",posteMachine,"")</f>
        <v/>
      </c>
      <c r="BA118" s="4" t="str">
        <f>IF(AU118&lt;&gt;"",posteOperateur,"")</f>
        <v/>
      </c>
      <c r="BB118" s="4" t="str">
        <f t="shared" si="19"/>
        <v/>
      </c>
      <c r="BC118" s="4" t="str">
        <f>IFERROR(VLOOKUP(AV118,micCtl,2,FALSE),"")</f>
        <v/>
      </c>
      <c r="BD118" s="4" t="str">
        <f>IFERROR(VLOOKUP(AV118,micCtl,3,FALSE),"")</f>
        <v/>
      </c>
      <c r="BE118" s="4" t="str">
        <f>IFERROR(VLOOKUP(AV118,finalCtl,2,FALSE),"")</f>
        <v/>
      </c>
      <c r="BF118" s="4" t="str">
        <f>IFERROR(VLOOKUP(AV118,finalCtl,3,FALSE),"")</f>
        <v/>
      </c>
      <c r="BG118" s="3" t="str">
        <f t="shared" si="20"/>
        <v/>
      </c>
    </row>
    <row r="119" spans="19:59" x14ac:dyDescent="0.25">
      <c r="S119" s="5" t="str">
        <f t="shared" si="12"/>
        <v/>
      </c>
      <c r="T119" s="5" t="str">
        <f t="shared" si="12"/>
        <v/>
      </c>
      <c r="U119" s="5" t="str">
        <f t="shared" si="12"/>
        <v/>
      </c>
      <c r="V119" s="5" t="str">
        <f t="shared" si="12"/>
        <v/>
      </c>
      <c r="W119" s="5" t="str">
        <f t="shared" si="12"/>
        <v/>
      </c>
      <c r="X119" s="5" t="str">
        <f>IF(Y119&lt;&gt;"",SUM(Y$52:Y119),"")</f>
        <v/>
      </c>
      <c r="Y119" s="5" t="str">
        <f>IF(AND(AF119&lt;&gt;"",AD119&lt;&gt;""),IF(OR(prodType="2x250g",AG119="2x250g"),0.5,1),"")</f>
        <v/>
      </c>
      <c r="Z119" s="5" t="str">
        <f>IF(AND(AF119&lt;&gt;"",AD119=""),IF(AG119="500g",1,IF(OR(prodType="2x250g",AND(AG119="2x250g")),0.5,1)),"")</f>
        <v/>
      </c>
      <c r="AB119" s="27" t="str">
        <f>IF(RIGHT(prodType,1)="g","gauche","")</f>
        <v/>
      </c>
      <c r="AC119" s="37" t="str">
        <f>IF(Z119&lt;&gt;"",SUM(Z$52:Z119),"")</f>
        <v/>
      </c>
      <c r="AD119" s="54"/>
      <c r="AE119" s="64"/>
      <c r="AF119" s="54"/>
      <c r="AG119" s="54"/>
      <c r="AH119" s="4">
        <f t="shared" si="13"/>
        <v>0</v>
      </c>
      <c r="AI119" s="4">
        <f t="shared" si="14"/>
        <v>0</v>
      </c>
      <c r="AU119" s="4" t="str">
        <f t="shared" si="15"/>
        <v/>
      </c>
      <c r="AV119" s="4" t="str">
        <f t="shared" si="16"/>
        <v/>
      </c>
      <c r="AW119" s="4" t="str">
        <f t="shared" si="17"/>
        <v/>
      </c>
      <c r="AX119" s="4" t="str">
        <f>IF(AU119&lt;&gt;"",IF(AND(AG119=""),prodType,AG119),"")</f>
        <v/>
      </c>
      <c r="AY119" s="4" t="str">
        <f t="shared" si="18"/>
        <v/>
      </c>
      <c r="AZ119" s="4" t="str">
        <f>IF(AU119&lt;&gt;"",posteMachine,"")</f>
        <v/>
      </c>
      <c r="BA119" s="4" t="str">
        <f>IF(AU119&lt;&gt;"",posteOperateur,"")</f>
        <v/>
      </c>
      <c r="BB119" s="4" t="str">
        <f t="shared" si="19"/>
        <v/>
      </c>
      <c r="BC119" s="4" t="str">
        <f>IFERROR(VLOOKUP(AV119,micCtl,2,FALSE),"")</f>
        <v/>
      </c>
      <c r="BD119" s="4" t="str">
        <f>IFERROR(VLOOKUP(AV119,micCtl,3,FALSE),"")</f>
        <v/>
      </c>
      <c r="BE119" s="4" t="str">
        <f>IFERROR(VLOOKUP(AV119,finalCtl,2,FALSE),"")</f>
        <v/>
      </c>
      <c r="BF119" s="4" t="str">
        <f>IFERROR(VLOOKUP(AV119,finalCtl,3,FALSE),"")</f>
        <v/>
      </c>
      <c r="BG119" s="3" t="str">
        <f t="shared" si="20"/>
        <v/>
      </c>
    </row>
    <row r="120" spans="19:59" x14ac:dyDescent="0.25">
      <c r="S120" s="5" t="str">
        <f t="shared" si="12"/>
        <v/>
      </c>
      <c r="T120" s="5" t="str">
        <f t="shared" si="12"/>
        <v/>
      </c>
      <c r="U120" s="5" t="str">
        <f t="shared" si="12"/>
        <v/>
      </c>
      <c r="V120" s="5" t="str">
        <f t="shared" si="12"/>
        <v/>
      </c>
      <c r="W120" s="5" t="str">
        <f t="shared" si="12"/>
        <v/>
      </c>
      <c r="X120" s="5" t="str">
        <f>IF(Y120&lt;&gt;"",SUM(Y$52:Y120),"")</f>
        <v/>
      </c>
      <c r="Y120" s="5" t="str">
        <f>IF(AND(AF120&lt;&gt;"",AD120&lt;&gt;""),IF(OR(prodType="2x250g",AG120="2x250g"),0.5,1),"")</f>
        <v/>
      </c>
      <c r="Z120" s="5" t="str">
        <f>IF(AND(AF120&lt;&gt;"",AD120=""),IF(AG120="500g",1,IF(OR(prodType="2x250g",AND(AG120="2x250g")),0.5,1)),"")</f>
        <v/>
      </c>
      <c r="AB120" s="27" t="str">
        <f>IF(RIGHT(prodType,1)="g","droite","")</f>
        <v/>
      </c>
      <c r="AC120" s="37" t="str">
        <f>IF(Z120&lt;&gt;"",SUM(Z$52:Z120),"")</f>
        <v/>
      </c>
      <c r="AD120" s="54"/>
      <c r="AE120" s="64"/>
      <c r="AF120" s="54"/>
      <c r="AG120" s="54"/>
      <c r="AH120" s="4">
        <f t="shared" si="13"/>
        <v>0</v>
      </c>
      <c r="AI120" s="4">
        <f t="shared" si="14"/>
        <v>0</v>
      </c>
      <c r="AU120" s="4" t="str">
        <f t="shared" si="15"/>
        <v/>
      </c>
      <c r="AV120" s="4" t="str">
        <f t="shared" si="16"/>
        <v/>
      </c>
      <c r="AW120" s="4" t="str">
        <f t="shared" si="17"/>
        <v/>
      </c>
      <c r="AX120" s="4" t="str">
        <f>IF(AU120&lt;&gt;"",IF(AND(AG120=""),prodType,AG120),"")</f>
        <v/>
      </c>
      <c r="AY120" s="4" t="str">
        <f t="shared" si="18"/>
        <v/>
      </c>
      <c r="AZ120" s="4" t="str">
        <f>IF(AU120&lt;&gt;"",posteMachine,"")</f>
        <v/>
      </c>
      <c r="BA120" s="4" t="str">
        <f>IF(AU120&lt;&gt;"",posteOperateur,"")</f>
        <v/>
      </c>
      <c r="BB120" s="4" t="str">
        <f t="shared" si="19"/>
        <v/>
      </c>
      <c r="BC120" s="4" t="str">
        <f>IFERROR(VLOOKUP(AV120,micCtl,2,FALSE),"")</f>
        <v/>
      </c>
      <c r="BD120" s="4" t="str">
        <f>IFERROR(VLOOKUP(AV120,micCtl,3,FALSE),"")</f>
        <v/>
      </c>
      <c r="BE120" s="4" t="str">
        <f>IFERROR(VLOOKUP(AV120,finalCtl,2,FALSE),"")</f>
        <v/>
      </c>
      <c r="BF120" s="4" t="str">
        <f>IFERROR(VLOOKUP(AV120,finalCtl,3,FALSE),"")</f>
        <v/>
      </c>
      <c r="BG120" s="3" t="str">
        <f t="shared" si="20"/>
        <v/>
      </c>
    </row>
    <row r="121" spans="19:59" x14ac:dyDescent="0.25">
      <c r="S121" s="5" t="str">
        <f t="shared" si="12"/>
        <v/>
      </c>
      <c r="T121" s="5" t="str">
        <f t="shared" si="12"/>
        <v/>
      </c>
      <c r="U121" s="5" t="str">
        <f t="shared" si="12"/>
        <v/>
      </c>
      <c r="V121" s="5" t="str">
        <f t="shared" si="12"/>
        <v/>
      </c>
      <c r="W121" s="5" t="str">
        <f t="shared" si="12"/>
        <v/>
      </c>
      <c r="X121" s="5" t="str">
        <f>IF(Y121&lt;&gt;"",SUM(Y$52:Y121),"")</f>
        <v/>
      </c>
      <c r="Y121" s="5" t="str">
        <f>IF(AND(AF121&lt;&gt;"",AD121&lt;&gt;""),IF(OR(prodType="2x250g",AG121="2x250g"),0.5,1),"")</f>
        <v/>
      </c>
      <c r="Z121" s="5" t="str">
        <f>IF(AND(AF121&lt;&gt;"",AD121=""),IF(AG121="500g",1,IF(OR(prodType="2x250g",AND(AG121="2x250g")),0.5,1)),"")</f>
        <v/>
      </c>
      <c r="AB121" s="27" t="str">
        <f>IF(RIGHT(prodType,1)="g","gauche","")</f>
        <v/>
      </c>
      <c r="AC121" s="37" t="str">
        <f>IF(Z121&lt;&gt;"",SUM(Z$52:Z121),"")</f>
        <v/>
      </c>
      <c r="AD121" s="54"/>
      <c r="AE121" s="64"/>
      <c r="AF121" s="54"/>
      <c r="AG121" s="54"/>
      <c r="AH121" s="4">
        <f t="shared" si="13"/>
        <v>0</v>
      </c>
      <c r="AI121" s="4">
        <f t="shared" si="14"/>
        <v>0</v>
      </c>
      <c r="AU121" s="4" t="str">
        <f t="shared" si="15"/>
        <v/>
      </c>
      <c r="AV121" s="4" t="str">
        <f t="shared" si="16"/>
        <v/>
      </c>
      <c r="AW121" s="4" t="str">
        <f t="shared" si="17"/>
        <v/>
      </c>
      <c r="AX121" s="4" t="str">
        <f>IF(AU121&lt;&gt;"",IF(AND(AG121=""),prodType,AG121),"")</f>
        <v/>
      </c>
      <c r="AY121" s="4" t="str">
        <f t="shared" si="18"/>
        <v/>
      </c>
      <c r="AZ121" s="4" t="str">
        <f>IF(AU121&lt;&gt;"",posteMachine,"")</f>
        <v/>
      </c>
      <c r="BA121" s="4" t="str">
        <f>IF(AU121&lt;&gt;"",posteOperateur,"")</f>
        <v/>
      </c>
      <c r="BB121" s="4" t="str">
        <f t="shared" si="19"/>
        <v/>
      </c>
      <c r="BC121" s="4" t="str">
        <f>IFERROR(VLOOKUP(AV121,micCtl,2,FALSE),"")</f>
        <v/>
      </c>
      <c r="BD121" s="4" t="str">
        <f>IFERROR(VLOOKUP(AV121,micCtl,3,FALSE),"")</f>
        <v/>
      </c>
      <c r="BE121" s="4" t="str">
        <f>IFERROR(VLOOKUP(AV121,finalCtl,2,FALSE),"")</f>
        <v/>
      </c>
      <c r="BF121" s="4" t="str">
        <f>IFERROR(VLOOKUP(AV121,finalCtl,3,FALSE),"")</f>
        <v/>
      </c>
      <c r="BG121" s="3" t="str">
        <f t="shared" si="20"/>
        <v/>
      </c>
    </row>
    <row r="122" spans="19:59" x14ac:dyDescent="0.25">
      <c r="AE122" s="65"/>
    </row>
  </sheetData>
  <sheetProtection selectLockedCells="1"/>
  <mergeCells count="21">
    <mergeCell ref="AO74:AQ79"/>
    <mergeCell ref="AC32:AQ37"/>
    <mergeCell ref="AG38:AL41"/>
    <mergeCell ref="AP41:AQ41"/>
    <mergeCell ref="AP40:AQ40"/>
    <mergeCell ref="AC38:AE38"/>
    <mergeCell ref="AC40:AE40"/>
    <mergeCell ref="AG42:AL42"/>
    <mergeCell ref="AK44:AR44"/>
    <mergeCell ref="AK45:AR48"/>
    <mergeCell ref="AO50:AR50"/>
    <mergeCell ref="AB50:AG50"/>
    <mergeCell ref="AH50:AI50"/>
    <mergeCell ref="AB44:AI44"/>
    <mergeCell ref="AK50:AM50"/>
    <mergeCell ref="AR57:AR58"/>
    <mergeCell ref="AK51:AL55"/>
    <mergeCell ref="AM52:AM55"/>
    <mergeCell ref="AK57:AM57"/>
    <mergeCell ref="AK66:AM66"/>
    <mergeCell ref="AO57:AQ57"/>
  </mergeCells>
  <conditionalFormatting sqref="AB52:AI121">
    <cfRule type="expression" dxfId="7" priority="13">
      <formula>$AB52="gauche"</formula>
    </cfRule>
  </conditionalFormatting>
  <conditionalFormatting sqref="AK51:AL55">
    <cfRule type="cellIs" dxfId="6" priority="12" operator="between">
      <formula>80</formula>
      <formula>100</formula>
    </cfRule>
  </conditionalFormatting>
  <conditionalFormatting sqref="AO52:AR55">
    <cfRule type="containsBlanks" dxfId="5" priority="11">
      <formula>LEN(TRIM(AO52))=0</formula>
    </cfRule>
  </conditionalFormatting>
  <conditionalFormatting sqref="AQ60:AQ64">
    <cfRule type="expression" dxfId="4" priority="8">
      <formula>$AQ60&gt;0</formula>
    </cfRule>
  </conditionalFormatting>
  <conditionalFormatting sqref="AP60:AP64">
    <cfRule type="expression" dxfId="3" priority="7">
      <formula>$AQ60&gt;0</formula>
    </cfRule>
  </conditionalFormatting>
  <conditionalFormatting sqref="AL59:AM64">
    <cfRule type="containsBlanks" dxfId="2" priority="3">
      <formula>LEN(TRIM(AL59))=0</formula>
    </cfRule>
    <cfRule type="cellIs" dxfId="1" priority="4" operator="notBetween">
      <formula>$AP$52</formula>
      <formula>$AR$52</formula>
    </cfRule>
    <cfRule type="cellIs" dxfId="0" priority="6" operator="between">
      <formula>$AP$52</formula>
      <formula>$AR$52</formula>
    </cfRule>
  </conditionalFormatting>
  <dataValidations disablePrompts="1" count="6">
    <dataValidation type="list" allowBlank="1" showInputMessage="1" showErrorMessage="1" sqref="AD47" xr:uid="{A88E462A-5E8F-4633-9E15-80B47C9B584E}">
      <formula1>operateursListe</formula1>
    </dataValidation>
    <dataValidation type="list" allowBlank="1" showInputMessage="1" showErrorMessage="1" sqref="AD46" xr:uid="{77AEE433-33ED-485C-ABD8-86B2B7938AD2}">
      <formula1>postesListe</formula1>
    </dataValidation>
    <dataValidation type="list" allowBlank="1" showInputMessage="1" showErrorMessage="1" sqref="AD48" xr:uid="{EEDB9D2A-D073-476A-9E70-82010ADE3B97}">
      <formula1>durationsListe</formula1>
    </dataValidation>
    <dataValidation type="list" allowBlank="1" showInputMessage="1" showErrorMessage="1" sqref="AD52:AD122" xr:uid="{32853B70-82EE-4EFD-B60D-F80DF447071F}">
      <formula1>defautsListe</formula1>
    </dataValidation>
    <dataValidation type="list" allowBlank="1" showInputMessage="1" showErrorMessage="1" sqref="AG52:AG122" xr:uid="{D1B97389-07FF-45C9-99D7-17AD251A9386}">
      <formula1>produitsListe</formula1>
    </dataValidation>
    <dataValidation type="list" allowBlank="1" showErrorMessage="1" error="NO" sqref="AG45" xr:uid="{1C2679A4-9C7D-4C32-A83A-3B42ED5C2F7F}">
      <formula1>produitsListe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5266B-BBE8-4BD7-A6B6-721C9D57AA9E}">
  <sheetPr codeName="Feuil3"/>
  <dimension ref="A1:F21"/>
  <sheetViews>
    <sheetView workbookViewId="0">
      <selection activeCell="E2" sqref="E2"/>
    </sheetView>
  </sheetViews>
  <sheetFormatPr baseColWidth="10" defaultRowHeight="15" x14ac:dyDescent="0.25"/>
  <cols>
    <col min="1" max="1" width="13.85546875" bestFit="1" customWidth="1"/>
    <col min="3" max="3" width="1.7109375" customWidth="1"/>
    <col min="7" max="7" width="1.42578125" customWidth="1"/>
  </cols>
  <sheetData>
    <row r="1" spans="1:6" x14ac:dyDescent="0.25">
      <c r="A1" t="s">
        <v>41</v>
      </c>
      <c r="B1" t="s">
        <v>49</v>
      </c>
      <c r="D1" t="s">
        <v>54</v>
      </c>
      <c r="E1" s="1" t="s">
        <v>55</v>
      </c>
      <c r="F1" t="s">
        <v>54</v>
      </c>
    </row>
    <row r="2" spans="1:6" x14ac:dyDescent="0.25">
      <c r="A2" t="s">
        <v>42</v>
      </c>
      <c r="B2" t="s">
        <v>50</v>
      </c>
      <c r="D2">
        <v>30</v>
      </c>
      <c r="E2" s="1">
        <f>D2/60/24</f>
        <v>2.0833333333333332E-2</v>
      </c>
      <c r="F2">
        <f>D2</f>
        <v>30</v>
      </c>
    </row>
    <row r="3" spans="1:6" x14ac:dyDescent="0.25">
      <c r="A3" t="s">
        <v>43</v>
      </c>
      <c r="B3" t="s">
        <v>51</v>
      </c>
      <c r="D3">
        <v>60</v>
      </c>
      <c r="E3" s="1">
        <f t="shared" ref="E3:E21" si="0">D3/60/24</f>
        <v>4.1666666666666664E-2</v>
      </c>
      <c r="F3">
        <f t="shared" ref="F3:F21" si="1">D3</f>
        <v>60</v>
      </c>
    </row>
    <row r="4" spans="1:6" x14ac:dyDescent="0.25">
      <c r="A4" t="s">
        <v>44</v>
      </c>
      <c r="B4" t="s">
        <v>52</v>
      </c>
      <c r="D4">
        <v>90</v>
      </c>
      <c r="E4" s="1">
        <f t="shared" si="0"/>
        <v>6.25E-2</v>
      </c>
      <c r="F4">
        <f t="shared" si="1"/>
        <v>90</v>
      </c>
    </row>
    <row r="5" spans="1:6" x14ac:dyDescent="0.25">
      <c r="A5" t="s">
        <v>45</v>
      </c>
      <c r="B5" t="s">
        <v>53</v>
      </c>
      <c r="D5">
        <v>120</v>
      </c>
      <c r="E5" s="1">
        <f t="shared" si="0"/>
        <v>8.3333333333333329E-2</v>
      </c>
      <c r="F5">
        <f t="shared" si="1"/>
        <v>120</v>
      </c>
    </row>
    <row r="6" spans="1:6" x14ac:dyDescent="0.25">
      <c r="A6" t="s">
        <v>46</v>
      </c>
      <c r="D6">
        <v>150</v>
      </c>
      <c r="E6" s="1">
        <f t="shared" si="0"/>
        <v>0.10416666666666667</v>
      </c>
      <c r="F6">
        <f t="shared" si="1"/>
        <v>150</v>
      </c>
    </row>
    <row r="7" spans="1:6" x14ac:dyDescent="0.25">
      <c r="A7" t="s">
        <v>47</v>
      </c>
      <c r="D7">
        <v>180</v>
      </c>
      <c r="E7" s="1">
        <f t="shared" si="0"/>
        <v>0.125</v>
      </c>
      <c r="F7">
        <f t="shared" si="1"/>
        <v>180</v>
      </c>
    </row>
    <row r="8" spans="1:6" x14ac:dyDescent="0.25">
      <c r="A8" t="s">
        <v>48</v>
      </c>
      <c r="D8">
        <v>210</v>
      </c>
      <c r="E8" s="1">
        <f t="shared" si="0"/>
        <v>0.14583333333333334</v>
      </c>
      <c r="F8">
        <f t="shared" si="1"/>
        <v>210</v>
      </c>
    </row>
    <row r="9" spans="1:6" x14ac:dyDescent="0.25">
      <c r="D9">
        <v>240</v>
      </c>
      <c r="E9" s="1">
        <f t="shared" si="0"/>
        <v>0.16666666666666666</v>
      </c>
      <c r="F9">
        <f t="shared" si="1"/>
        <v>240</v>
      </c>
    </row>
    <row r="10" spans="1:6" x14ac:dyDescent="0.25">
      <c r="D10">
        <v>270</v>
      </c>
      <c r="E10" s="1">
        <f t="shared" si="0"/>
        <v>0.1875</v>
      </c>
      <c r="F10">
        <f t="shared" si="1"/>
        <v>270</v>
      </c>
    </row>
    <row r="11" spans="1:6" x14ac:dyDescent="0.25">
      <c r="D11">
        <v>300</v>
      </c>
      <c r="E11" s="1">
        <f t="shared" si="0"/>
        <v>0.20833333333333334</v>
      </c>
      <c r="F11">
        <f t="shared" si="1"/>
        <v>300</v>
      </c>
    </row>
    <row r="12" spans="1:6" x14ac:dyDescent="0.25">
      <c r="D12">
        <v>330</v>
      </c>
      <c r="E12" s="1">
        <f t="shared" si="0"/>
        <v>0.22916666666666666</v>
      </c>
      <c r="F12">
        <f t="shared" si="1"/>
        <v>330</v>
      </c>
    </row>
    <row r="13" spans="1:6" x14ac:dyDescent="0.25">
      <c r="D13">
        <v>360</v>
      </c>
      <c r="E13" s="1">
        <f t="shared" si="0"/>
        <v>0.25</v>
      </c>
      <c r="F13">
        <f t="shared" si="1"/>
        <v>360</v>
      </c>
    </row>
    <row r="14" spans="1:6" x14ac:dyDescent="0.25">
      <c r="D14">
        <v>390</v>
      </c>
      <c r="E14" s="1">
        <f t="shared" si="0"/>
        <v>0.27083333333333331</v>
      </c>
      <c r="F14">
        <f t="shared" si="1"/>
        <v>390</v>
      </c>
    </row>
    <row r="15" spans="1:6" x14ac:dyDescent="0.25">
      <c r="D15">
        <v>420</v>
      </c>
      <c r="E15" s="1">
        <f t="shared" si="0"/>
        <v>0.29166666666666669</v>
      </c>
      <c r="F15">
        <f t="shared" si="1"/>
        <v>420</v>
      </c>
    </row>
    <row r="16" spans="1:6" x14ac:dyDescent="0.25">
      <c r="D16">
        <v>450</v>
      </c>
      <c r="E16" s="1">
        <f t="shared" si="0"/>
        <v>0.3125</v>
      </c>
      <c r="F16">
        <f t="shared" si="1"/>
        <v>450</v>
      </c>
    </row>
    <row r="17" spans="4:6" x14ac:dyDescent="0.25">
      <c r="D17">
        <v>480</v>
      </c>
      <c r="E17" s="1">
        <f t="shared" si="0"/>
        <v>0.33333333333333331</v>
      </c>
      <c r="F17">
        <f t="shared" si="1"/>
        <v>480</v>
      </c>
    </row>
    <row r="18" spans="4:6" x14ac:dyDescent="0.25">
      <c r="D18">
        <v>510</v>
      </c>
      <c r="E18" s="1">
        <f t="shared" si="0"/>
        <v>0.35416666666666669</v>
      </c>
      <c r="F18">
        <f t="shared" si="1"/>
        <v>510</v>
      </c>
    </row>
    <row r="19" spans="4:6" x14ac:dyDescent="0.25">
      <c r="D19">
        <v>540</v>
      </c>
      <c r="E19" s="1">
        <f t="shared" si="0"/>
        <v>0.375</v>
      </c>
      <c r="F19">
        <f t="shared" si="1"/>
        <v>540</v>
      </c>
    </row>
    <row r="20" spans="4:6" x14ac:dyDescent="0.25">
      <c r="D20">
        <v>570</v>
      </c>
      <c r="E20" s="1">
        <f t="shared" si="0"/>
        <v>0.39583333333333331</v>
      </c>
      <c r="F20">
        <f t="shared" si="1"/>
        <v>570</v>
      </c>
    </row>
    <row r="21" spans="4:6" x14ac:dyDescent="0.25">
      <c r="D21">
        <v>600</v>
      </c>
      <c r="E21" s="1">
        <f t="shared" si="0"/>
        <v>0.41666666666666669</v>
      </c>
      <c r="F21">
        <f t="shared" si="1"/>
        <v>600</v>
      </c>
    </row>
  </sheetData>
  <dataValidations count="2">
    <dataValidation type="list" allowBlank="1" showInputMessage="1" showErrorMessage="1" sqref="AD42" xr:uid="{CD30A99B-4885-49B1-8B00-15961FEC8685}">
      <formula1>durationsListe</formula1>
    </dataValidation>
    <dataValidation type="list" allowBlank="1" showInputMessage="1" showErrorMessage="1" sqref="AD47" xr:uid="{2BAEBB1C-5F00-4A7D-94FD-0AD5B1F9C6BC}">
      <formula1>operateursListe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24E6-3DC2-4773-A5BE-83AEE17A41AF}">
  <sheetPr codeName="Feuil4"/>
  <dimension ref="A1:H10"/>
  <sheetViews>
    <sheetView workbookViewId="0">
      <selection activeCell="H1" sqref="D1:H1"/>
    </sheetView>
  </sheetViews>
  <sheetFormatPr baseColWidth="10" defaultRowHeight="15" x14ac:dyDescent="0.25"/>
  <sheetData>
    <row r="1" spans="1:8" x14ac:dyDescent="0.25">
      <c r="A1" t="s">
        <v>57</v>
      </c>
      <c r="C1" s="2"/>
      <c r="D1" t="s">
        <v>31</v>
      </c>
      <c r="E1" t="s">
        <v>62</v>
      </c>
      <c r="F1" t="s">
        <v>63</v>
      </c>
      <c r="G1" t="s">
        <v>64</v>
      </c>
      <c r="H1" t="s">
        <v>65</v>
      </c>
    </row>
    <row r="2" spans="1:8" x14ac:dyDescent="0.25">
      <c r="A2" t="s">
        <v>58</v>
      </c>
      <c r="C2" s="2" t="s">
        <v>66</v>
      </c>
      <c r="D2">
        <v>250</v>
      </c>
      <c r="E2">
        <v>490</v>
      </c>
      <c r="F2">
        <v>50</v>
      </c>
      <c r="G2">
        <v>380</v>
      </c>
      <c r="H2">
        <v>360</v>
      </c>
    </row>
    <row r="3" spans="1:8" x14ac:dyDescent="0.25">
      <c r="A3" t="s">
        <v>59</v>
      </c>
      <c r="C3" s="2" t="s">
        <v>67</v>
      </c>
      <c r="D3">
        <v>250</v>
      </c>
      <c r="E3">
        <v>500</v>
      </c>
      <c r="F3">
        <v>50</v>
      </c>
      <c r="G3">
        <v>380</v>
      </c>
      <c r="H3">
        <v>360</v>
      </c>
    </row>
    <row r="4" spans="1:8" x14ac:dyDescent="0.25">
      <c r="A4" t="s">
        <v>24</v>
      </c>
      <c r="C4" s="2" t="s">
        <v>68</v>
      </c>
      <c r="D4">
        <v>270</v>
      </c>
      <c r="E4">
        <v>530</v>
      </c>
      <c r="F4">
        <v>53</v>
      </c>
      <c r="G4">
        <v>410</v>
      </c>
      <c r="H4">
        <v>390</v>
      </c>
    </row>
    <row r="5" spans="1:8" x14ac:dyDescent="0.25">
      <c r="A5" t="s">
        <v>60</v>
      </c>
    </row>
    <row r="6" spans="1:8" x14ac:dyDescent="0.25">
      <c r="A6" t="s">
        <v>61</v>
      </c>
      <c r="C6" s="2" t="s">
        <v>69</v>
      </c>
      <c r="G6">
        <v>3.6</v>
      </c>
      <c r="H6">
        <v>3.6</v>
      </c>
    </row>
    <row r="7" spans="1:8" x14ac:dyDescent="0.25">
      <c r="C7" s="2" t="s">
        <v>70</v>
      </c>
    </row>
    <row r="9" spans="1:8" x14ac:dyDescent="0.25">
      <c r="C9" s="2" t="s">
        <v>71</v>
      </c>
      <c r="G9">
        <v>252</v>
      </c>
      <c r="H9">
        <v>220</v>
      </c>
    </row>
    <row r="10" spans="1:8" x14ac:dyDescent="0.25">
      <c r="C10" s="2" t="s">
        <v>72</v>
      </c>
      <c r="G10">
        <v>308</v>
      </c>
      <c r="H10">
        <v>270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EF67C-23F8-4C4A-A018-BCC13828C787}">
  <sheetPr codeName="Feuil5"/>
  <dimension ref="A1:M42"/>
  <sheetViews>
    <sheetView workbookViewId="0">
      <selection activeCell="M2" sqref="M2:M14"/>
    </sheetView>
  </sheetViews>
  <sheetFormatPr baseColWidth="10" defaultRowHeight="15" x14ac:dyDescent="0.25"/>
  <sheetData>
    <row r="1" spans="1:13" x14ac:dyDescent="0.25">
      <c r="A1" t="s">
        <v>31</v>
      </c>
      <c r="C1" t="s">
        <v>62</v>
      </c>
      <c r="D1" t="s">
        <v>63</v>
      </c>
      <c r="E1" t="s">
        <v>64</v>
      </c>
      <c r="F1" t="s">
        <v>65</v>
      </c>
      <c r="K1" t="s">
        <v>94</v>
      </c>
    </row>
    <row r="2" spans="1:13" x14ac:dyDescent="0.25">
      <c r="A2">
        <v>24</v>
      </c>
      <c r="C2">
        <v>24</v>
      </c>
      <c r="E2">
        <v>16</v>
      </c>
      <c r="F2">
        <v>13</v>
      </c>
      <c r="H2">
        <v>1</v>
      </c>
      <c r="K2">
        <v>48</v>
      </c>
      <c r="L2">
        <v>1000</v>
      </c>
      <c r="M2">
        <v>2</v>
      </c>
    </row>
    <row r="3" spans="1:13" x14ac:dyDescent="0.25">
      <c r="A3">
        <f t="shared" ref="A3:A21" si="0">$A$2*H3</f>
        <v>48</v>
      </c>
      <c r="C3">
        <v>48</v>
      </c>
      <c r="E3">
        <f t="shared" ref="E3:E21" si="1">$E$2*H3</f>
        <v>32</v>
      </c>
      <c r="F3">
        <f>$F$2*H3</f>
        <v>26</v>
      </c>
      <c r="H3">
        <v>2</v>
      </c>
      <c r="K3">
        <f>H3*K$2</f>
        <v>96</v>
      </c>
      <c r="L3">
        <f>L$2*H3</f>
        <v>2000</v>
      </c>
      <c r="M3">
        <v>4</v>
      </c>
    </row>
    <row r="4" spans="1:13" x14ac:dyDescent="0.25">
      <c r="A4">
        <f t="shared" si="0"/>
        <v>72</v>
      </c>
      <c r="C4">
        <f>$C$3*H4</f>
        <v>144</v>
      </c>
      <c r="E4">
        <f t="shared" si="1"/>
        <v>48</v>
      </c>
      <c r="F4">
        <f t="shared" ref="F4:F21" si="2">$F$2*H4</f>
        <v>39</v>
      </c>
      <c r="H4">
        <v>3</v>
      </c>
      <c r="K4">
        <f t="shared" ref="K4:K31" si="3">H4*K$2</f>
        <v>144</v>
      </c>
      <c r="L4">
        <f t="shared" ref="L4:L31" si="4">L$2*H4</f>
        <v>3000</v>
      </c>
      <c r="M4">
        <v>6</v>
      </c>
    </row>
    <row r="5" spans="1:13" x14ac:dyDescent="0.25">
      <c r="A5">
        <f t="shared" si="0"/>
        <v>96</v>
      </c>
      <c r="C5">
        <f t="shared" ref="C5:C21" si="5">$C$3*H5</f>
        <v>192</v>
      </c>
      <c r="E5">
        <f t="shared" si="1"/>
        <v>64</v>
      </c>
      <c r="F5">
        <f t="shared" si="2"/>
        <v>52</v>
      </c>
      <c r="H5">
        <v>4</v>
      </c>
      <c r="K5">
        <f t="shared" si="3"/>
        <v>192</v>
      </c>
      <c r="L5">
        <f t="shared" si="4"/>
        <v>4000</v>
      </c>
      <c r="M5">
        <v>8</v>
      </c>
    </row>
    <row r="6" spans="1:13" x14ac:dyDescent="0.25">
      <c r="A6">
        <f t="shared" si="0"/>
        <v>120</v>
      </c>
      <c r="C6">
        <f t="shared" si="5"/>
        <v>240</v>
      </c>
      <c r="E6">
        <f t="shared" si="1"/>
        <v>80</v>
      </c>
      <c r="F6">
        <f t="shared" si="2"/>
        <v>65</v>
      </c>
      <c r="H6">
        <v>5</v>
      </c>
      <c r="K6">
        <f t="shared" si="3"/>
        <v>240</v>
      </c>
      <c r="L6">
        <f t="shared" si="4"/>
        <v>5000</v>
      </c>
      <c r="M6">
        <v>10</v>
      </c>
    </row>
    <row r="7" spans="1:13" x14ac:dyDescent="0.25">
      <c r="A7">
        <f t="shared" si="0"/>
        <v>144</v>
      </c>
      <c r="C7">
        <f t="shared" si="5"/>
        <v>288</v>
      </c>
      <c r="E7">
        <f t="shared" si="1"/>
        <v>96</v>
      </c>
      <c r="F7">
        <f t="shared" si="2"/>
        <v>78</v>
      </c>
      <c r="H7">
        <v>6</v>
      </c>
      <c r="K7">
        <f t="shared" si="3"/>
        <v>288</v>
      </c>
      <c r="L7">
        <f t="shared" si="4"/>
        <v>6000</v>
      </c>
      <c r="M7">
        <v>12</v>
      </c>
    </row>
    <row r="8" spans="1:13" x14ac:dyDescent="0.25">
      <c r="A8">
        <f t="shared" si="0"/>
        <v>168</v>
      </c>
      <c r="C8">
        <f t="shared" si="5"/>
        <v>336</v>
      </c>
      <c r="E8">
        <f t="shared" si="1"/>
        <v>112</v>
      </c>
      <c r="F8">
        <f t="shared" si="2"/>
        <v>91</v>
      </c>
      <c r="H8">
        <v>7</v>
      </c>
      <c r="K8">
        <f t="shared" si="3"/>
        <v>336</v>
      </c>
      <c r="L8">
        <f t="shared" si="4"/>
        <v>7000</v>
      </c>
      <c r="M8">
        <v>14</v>
      </c>
    </row>
    <row r="9" spans="1:13" x14ac:dyDescent="0.25">
      <c r="A9">
        <f t="shared" si="0"/>
        <v>192</v>
      </c>
      <c r="C9">
        <f t="shared" si="5"/>
        <v>384</v>
      </c>
      <c r="E9">
        <f t="shared" si="1"/>
        <v>128</v>
      </c>
      <c r="F9">
        <f t="shared" si="2"/>
        <v>104</v>
      </c>
      <c r="H9">
        <v>8</v>
      </c>
      <c r="K9">
        <f t="shared" si="3"/>
        <v>384</v>
      </c>
      <c r="L9">
        <f t="shared" si="4"/>
        <v>8000</v>
      </c>
      <c r="M9">
        <v>16</v>
      </c>
    </row>
    <row r="10" spans="1:13" x14ac:dyDescent="0.25">
      <c r="A10">
        <f t="shared" si="0"/>
        <v>216</v>
      </c>
      <c r="C10">
        <f t="shared" si="5"/>
        <v>432</v>
      </c>
      <c r="E10">
        <f t="shared" si="1"/>
        <v>144</v>
      </c>
      <c r="F10">
        <f t="shared" si="2"/>
        <v>117</v>
      </c>
      <c r="H10">
        <v>9</v>
      </c>
      <c r="K10">
        <f t="shared" si="3"/>
        <v>432</v>
      </c>
      <c r="L10">
        <f t="shared" si="4"/>
        <v>9000</v>
      </c>
      <c r="M10">
        <v>18</v>
      </c>
    </row>
    <row r="11" spans="1:13" x14ac:dyDescent="0.25">
      <c r="A11">
        <f t="shared" si="0"/>
        <v>240</v>
      </c>
      <c r="C11">
        <f t="shared" si="5"/>
        <v>480</v>
      </c>
      <c r="E11">
        <f t="shared" si="1"/>
        <v>160</v>
      </c>
      <c r="F11">
        <f t="shared" si="2"/>
        <v>130</v>
      </c>
      <c r="H11">
        <v>10</v>
      </c>
      <c r="K11">
        <f t="shared" si="3"/>
        <v>480</v>
      </c>
      <c r="L11">
        <f t="shared" si="4"/>
        <v>10000</v>
      </c>
      <c r="M11">
        <v>20</v>
      </c>
    </row>
    <row r="12" spans="1:13" x14ac:dyDescent="0.25">
      <c r="A12">
        <f t="shared" si="0"/>
        <v>264</v>
      </c>
      <c r="C12">
        <f t="shared" si="5"/>
        <v>528</v>
      </c>
      <c r="E12">
        <f t="shared" si="1"/>
        <v>176</v>
      </c>
      <c r="F12">
        <f t="shared" si="2"/>
        <v>143</v>
      </c>
      <c r="H12">
        <v>11</v>
      </c>
      <c r="K12">
        <f t="shared" si="3"/>
        <v>528</v>
      </c>
      <c r="L12">
        <f t="shared" si="4"/>
        <v>11000</v>
      </c>
      <c r="M12">
        <v>22</v>
      </c>
    </row>
    <row r="13" spans="1:13" x14ac:dyDescent="0.25">
      <c r="A13">
        <f t="shared" si="0"/>
        <v>288</v>
      </c>
      <c r="C13">
        <f t="shared" si="5"/>
        <v>576</v>
      </c>
      <c r="E13">
        <f t="shared" si="1"/>
        <v>192</v>
      </c>
      <c r="F13">
        <f t="shared" si="2"/>
        <v>156</v>
      </c>
      <c r="H13">
        <v>12</v>
      </c>
      <c r="K13">
        <f t="shared" si="3"/>
        <v>576</v>
      </c>
      <c r="L13">
        <f t="shared" si="4"/>
        <v>12000</v>
      </c>
      <c r="M13">
        <v>24</v>
      </c>
    </row>
    <row r="14" spans="1:13" x14ac:dyDescent="0.25">
      <c r="A14">
        <f t="shared" si="0"/>
        <v>312</v>
      </c>
      <c r="C14">
        <f t="shared" si="5"/>
        <v>624</v>
      </c>
      <c r="E14">
        <f t="shared" si="1"/>
        <v>208</v>
      </c>
      <c r="F14">
        <f t="shared" si="2"/>
        <v>169</v>
      </c>
      <c r="H14">
        <v>13</v>
      </c>
      <c r="K14">
        <f t="shared" si="3"/>
        <v>624</v>
      </c>
      <c r="L14">
        <f t="shared" si="4"/>
        <v>13000</v>
      </c>
      <c r="M14">
        <v>26</v>
      </c>
    </row>
    <row r="15" spans="1:13" x14ac:dyDescent="0.25">
      <c r="A15">
        <f t="shared" si="0"/>
        <v>336</v>
      </c>
      <c r="C15">
        <f t="shared" si="5"/>
        <v>672</v>
      </c>
      <c r="E15">
        <f t="shared" si="1"/>
        <v>224</v>
      </c>
      <c r="F15">
        <f t="shared" si="2"/>
        <v>182</v>
      </c>
      <c r="H15">
        <v>14</v>
      </c>
    </row>
    <row r="16" spans="1:13" x14ac:dyDescent="0.25">
      <c r="A16">
        <f t="shared" si="0"/>
        <v>360</v>
      </c>
      <c r="C16">
        <f t="shared" si="5"/>
        <v>720</v>
      </c>
      <c r="E16">
        <f t="shared" si="1"/>
        <v>240</v>
      </c>
      <c r="F16">
        <f t="shared" si="2"/>
        <v>195</v>
      </c>
      <c r="H16">
        <v>15</v>
      </c>
    </row>
    <row r="17" spans="1:8" x14ac:dyDescent="0.25">
      <c r="A17">
        <f t="shared" si="0"/>
        <v>384</v>
      </c>
      <c r="C17">
        <f t="shared" si="5"/>
        <v>768</v>
      </c>
      <c r="E17">
        <f t="shared" si="1"/>
        <v>256</v>
      </c>
      <c r="F17">
        <f t="shared" si="2"/>
        <v>208</v>
      </c>
      <c r="H17">
        <v>16</v>
      </c>
    </row>
    <row r="18" spans="1:8" x14ac:dyDescent="0.25">
      <c r="A18">
        <f t="shared" si="0"/>
        <v>408</v>
      </c>
      <c r="C18">
        <f t="shared" si="5"/>
        <v>816</v>
      </c>
      <c r="E18">
        <f t="shared" si="1"/>
        <v>272</v>
      </c>
      <c r="F18">
        <f t="shared" si="2"/>
        <v>221</v>
      </c>
      <c r="H18">
        <v>17</v>
      </c>
    </row>
    <row r="19" spans="1:8" x14ac:dyDescent="0.25">
      <c r="A19">
        <f t="shared" si="0"/>
        <v>432</v>
      </c>
      <c r="C19">
        <f t="shared" si="5"/>
        <v>864</v>
      </c>
      <c r="E19">
        <f t="shared" si="1"/>
        <v>288</v>
      </c>
      <c r="F19">
        <f t="shared" si="2"/>
        <v>234</v>
      </c>
      <c r="H19">
        <v>18</v>
      </c>
    </row>
    <row r="20" spans="1:8" x14ac:dyDescent="0.25">
      <c r="A20">
        <f t="shared" si="0"/>
        <v>456</v>
      </c>
      <c r="C20">
        <f t="shared" si="5"/>
        <v>912</v>
      </c>
      <c r="E20">
        <f t="shared" si="1"/>
        <v>304</v>
      </c>
      <c r="F20">
        <f t="shared" si="2"/>
        <v>247</v>
      </c>
      <c r="H20">
        <v>19</v>
      </c>
    </row>
    <row r="21" spans="1:8" x14ac:dyDescent="0.25">
      <c r="A21">
        <f t="shared" si="0"/>
        <v>480</v>
      </c>
      <c r="C21">
        <f t="shared" si="5"/>
        <v>960</v>
      </c>
      <c r="E21">
        <f t="shared" si="1"/>
        <v>320</v>
      </c>
      <c r="F21">
        <f t="shared" si="2"/>
        <v>260</v>
      </c>
      <c r="H21">
        <v>20</v>
      </c>
    </row>
    <row r="22" spans="1:8" x14ac:dyDescent="0.25">
      <c r="E22">
        <f t="shared" ref="E22:E42" si="6">$E$2*H22</f>
        <v>336</v>
      </c>
      <c r="F22">
        <f t="shared" ref="F22:F42" si="7">$F$2*H22</f>
        <v>273</v>
      </c>
      <c r="H22">
        <v>21</v>
      </c>
    </row>
    <row r="23" spans="1:8" x14ac:dyDescent="0.25">
      <c r="E23">
        <f t="shared" si="6"/>
        <v>352</v>
      </c>
      <c r="F23">
        <f t="shared" si="7"/>
        <v>286</v>
      </c>
      <c r="H23">
        <v>22</v>
      </c>
    </row>
    <row r="24" spans="1:8" x14ac:dyDescent="0.25">
      <c r="E24">
        <f t="shared" si="6"/>
        <v>368</v>
      </c>
      <c r="F24">
        <f t="shared" si="7"/>
        <v>299</v>
      </c>
      <c r="H24">
        <v>23</v>
      </c>
    </row>
    <row r="25" spans="1:8" x14ac:dyDescent="0.25">
      <c r="E25">
        <f t="shared" si="6"/>
        <v>384</v>
      </c>
      <c r="F25">
        <f t="shared" si="7"/>
        <v>312</v>
      </c>
      <c r="H25">
        <v>24</v>
      </c>
    </row>
    <row r="26" spans="1:8" x14ac:dyDescent="0.25">
      <c r="E26">
        <f t="shared" si="6"/>
        <v>400</v>
      </c>
      <c r="F26">
        <f t="shared" si="7"/>
        <v>325</v>
      </c>
      <c r="H26">
        <v>25</v>
      </c>
    </row>
    <row r="27" spans="1:8" x14ac:dyDescent="0.25">
      <c r="E27">
        <f t="shared" si="6"/>
        <v>416</v>
      </c>
      <c r="F27">
        <f t="shared" si="7"/>
        <v>338</v>
      </c>
      <c r="H27">
        <v>26</v>
      </c>
    </row>
    <row r="28" spans="1:8" x14ac:dyDescent="0.25">
      <c r="E28">
        <f t="shared" si="6"/>
        <v>432</v>
      </c>
      <c r="F28">
        <f t="shared" si="7"/>
        <v>351</v>
      </c>
      <c r="H28">
        <v>27</v>
      </c>
    </row>
    <row r="29" spans="1:8" x14ac:dyDescent="0.25">
      <c r="E29">
        <f t="shared" si="6"/>
        <v>448</v>
      </c>
      <c r="F29">
        <f t="shared" si="7"/>
        <v>364</v>
      </c>
      <c r="H29">
        <v>28</v>
      </c>
    </row>
    <row r="30" spans="1:8" x14ac:dyDescent="0.25">
      <c r="E30">
        <f t="shared" si="6"/>
        <v>464</v>
      </c>
      <c r="F30">
        <f t="shared" si="7"/>
        <v>377</v>
      </c>
      <c r="H30">
        <v>29</v>
      </c>
    </row>
    <row r="31" spans="1:8" x14ac:dyDescent="0.25">
      <c r="E31">
        <f t="shared" si="6"/>
        <v>480</v>
      </c>
      <c r="F31">
        <f t="shared" si="7"/>
        <v>390</v>
      </c>
      <c r="H31">
        <v>30</v>
      </c>
    </row>
    <row r="32" spans="1:8" x14ac:dyDescent="0.25">
      <c r="E32">
        <f t="shared" si="6"/>
        <v>496</v>
      </c>
      <c r="F32">
        <f t="shared" si="7"/>
        <v>403</v>
      </c>
      <c r="H32">
        <v>31</v>
      </c>
    </row>
    <row r="33" spans="5:8" x14ac:dyDescent="0.25">
      <c r="E33">
        <f t="shared" si="6"/>
        <v>512</v>
      </c>
      <c r="F33">
        <f t="shared" si="7"/>
        <v>416</v>
      </c>
      <c r="H33">
        <v>32</v>
      </c>
    </row>
    <row r="34" spans="5:8" x14ac:dyDescent="0.25">
      <c r="E34">
        <f t="shared" si="6"/>
        <v>528</v>
      </c>
      <c r="F34">
        <f t="shared" si="7"/>
        <v>429</v>
      </c>
      <c r="H34">
        <v>33</v>
      </c>
    </row>
    <row r="35" spans="5:8" x14ac:dyDescent="0.25">
      <c r="E35">
        <f t="shared" si="6"/>
        <v>544</v>
      </c>
      <c r="F35">
        <f t="shared" si="7"/>
        <v>442</v>
      </c>
      <c r="H35">
        <v>34</v>
      </c>
    </row>
    <row r="36" spans="5:8" x14ac:dyDescent="0.25">
      <c r="E36">
        <f t="shared" si="6"/>
        <v>560</v>
      </c>
      <c r="F36">
        <f t="shared" si="7"/>
        <v>455</v>
      </c>
      <c r="H36">
        <v>35</v>
      </c>
    </row>
    <row r="37" spans="5:8" x14ac:dyDescent="0.25">
      <c r="E37">
        <f t="shared" si="6"/>
        <v>576</v>
      </c>
      <c r="F37">
        <f t="shared" si="7"/>
        <v>468</v>
      </c>
      <c r="H37">
        <v>36</v>
      </c>
    </row>
    <row r="38" spans="5:8" x14ac:dyDescent="0.25">
      <c r="E38">
        <f t="shared" si="6"/>
        <v>592</v>
      </c>
      <c r="F38">
        <f t="shared" si="7"/>
        <v>481</v>
      </c>
      <c r="H38">
        <v>37</v>
      </c>
    </row>
    <row r="39" spans="5:8" x14ac:dyDescent="0.25">
      <c r="E39">
        <f t="shared" si="6"/>
        <v>608</v>
      </c>
      <c r="F39">
        <f t="shared" si="7"/>
        <v>494</v>
      </c>
      <c r="H39">
        <v>38</v>
      </c>
    </row>
    <row r="40" spans="5:8" x14ac:dyDescent="0.25">
      <c r="E40">
        <f t="shared" si="6"/>
        <v>624</v>
      </c>
      <c r="F40">
        <f t="shared" si="7"/>
        <v>507</v>
      </c>
      <c r="H40">
        <v>39</v>
      </c>
    </row>
    <row r="41" spans="5:8" x14ac:dyDescent="0.25">
      <c r="E41">
        <f t="shared" si="6"/>
        <v>640</v>
      </c>
      <c r="F41">
        <f t="shared" si="7"/>
        <v>520</v>
      </c>
      <c r="H41">
        <v>40</v>
      </c>
    </row>
    <row r="42" spans="5:8" x14ac:dyDescent="0.25">
      <c r="E42">
        <f t="shared" si="6"/>
        <v>656</v>
      </c>
      <c r="F42">
        <f t="shared" si="7"/>
        <v>533</v>
      </c>
      <c r="H42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18</vt:i4>
      </vt:variant>
    </vt:vector>
  </HeadingPairs>
  <TitlesOfParts>
    <vt:vector size="22" baseType="lpstr">
      <vt:lpstr>PROD</vt:lpstr>
      <vt:lpstr>data</vt:lpstr>
      <vt:lpstr>dataProduits</vt:lpstr>
      <vt:lpstr>matriceTRS</vt:lpstr>
      <vt:lpstr>Date</vt:lpstr>
      <vt:lpstr>defautsListe</vt:lpstr>
      <vt:lpstr>durationsListe</vt:lpstr>
      <vt:lpstr>finalCtl</vt:lpstr>
      <vt:lpstr>micCtl</vt:lpstr>
      <vt:lpstr>operateursListe</vt:lpstr>
      <vt:lpstr>posteCmt</vt:lpstr>
      <vt:lpstr>posteDate</vt:lpstr>
      <vt:lpstr>posteDuration</vt:lpstr>
      <vt:lpstr>posteMachine</vt:lpstr>
      <vt:lpstr>posteOF</vt:lpstr>
      <vt:lpstr>posteOperateur</vt:lpstr>
      <vt:lpstr>postePeriode</vt:lpstr>
      <vt:lpstr>postesListe</vt:lpstr>
      <vt:lpstr>prodType</vt:lpstr>
      <vt:lpstr>produitsListe</vt:lpstr>
      <vt:lpstr>prodZone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ManyO</dc:creator>
  <cp:lastModifiedBy>Nicolas ManyO</cp:lastModifiedBy>
  <dcterms:created xsi:type="dcterms:W3CDTF">2023-04-16T10:26:45Z</dcterms:created>
  <dcterms:modified xsi:type="dcterms:W3CDTF">2023-04-17T10:33:47Z</dcterms:modified>
</cp:coreProperties>
</file>