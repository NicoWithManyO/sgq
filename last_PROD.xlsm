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E3C9AE0A-6BB9-4A11-BFC2-7A6DB6A860A4}" xr6:coauthVersionLast="47" xr6:coauthVersionMax="47" xr10:uidLastSave="{00000000-0000-0000-0000-000000000000}"/>
  <bookViews>
    <workbookView xWindow="1185" yWindow="840" windowWidth="27090" windowHeight="14565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4" i="1" l="1"/>
  <c r="AJ38" i="1" s="1"/>
  <c r="AW70" i="1"/>
  <c r="AV70" i="1"/>
  <c r="AW69" i="1"/>
  <c r="AU69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</commentList>
</comments>
</file>

<file path=xl/sharedStrings.xml><?xml version="1.0" encoding="utf-8"?>
<sst xmlns="http://schemas.openxmlformats.org/spreadsheetml/2006/main" count="287" uniqueCount="137">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</sst>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14" fontId="0" fillId="2" borderId="0" xfId="0" applyNumberFormat="1" applyFill="1" applyAlignment="1"/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132527</xdr:rowOff>
    </xdr:from>
    <xdr:to>
      <xdr:col>51</xdr:col>
      <xdr:colOff>1</xdr:colOff>
      <xdr:row>20</xdr:row>
      <xdr:rowOff>99394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0941326" y="323027"/>
          <a:ext cx="331306" cy="33130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G6" sqref="G6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Z39" sqref="AZ39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0" t="s">
        <v>66</v>
      </c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10"/>
      <c r="AX19" s="11"/>
      <c r="BA19" s="80"/>
    </row>
    <row r="20" spans="33:103" ht="14.45" customHeight="1" x14ac:dyDescent="0.25">
      <c r="AG20" s="9"/>
      <c r="AH20" s="1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10"/>
      <c r="AX20" s="11"/>
      <c r="AZ20" s="88" t="s">
        <v>135</v>
      </c>
      <c r="BA20" s="80"/>
    </row>
    <row r="21" spans="33:103" ht="14.45" customHeight="1" x14ac:dyDescent="0.25">
      <c r="AG21" s="9"/>
      <c r="AH21" s="1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10"/>
      <c r="AX21" s="11"/>
      <c r="AZ21" s="88"/>
    </row>
    <row r="22" spans="33:103" ht="14.45" customHeight="1" x14ac:dyDescent="0.25">
      <c r="AG22" s="9"/>
      <c r="AH22" s="1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10"/>
      <c r="AX22" s="11"/>
      <c r="AZ22" s="88" t="s">
        <v>133</v>
      </c>
      <c r="BA22" s="80"/>
    </row>
    <row r="23" spans="33:103" ht="15" customHeight="1" thickBot="1" x14ac:dyDescent="0.3">
      <c r="AG23" s="9"/>
      <c r="AH23" s="10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10"/>
      <c r="AX23" s="11"/>
      <c r="BA23" s="80"/>
    </row>
    <row r="24" spans="33:103" ht="15" customHeight="1" thickTop="1" x14ac:dyDescent="0.25">
      <c r="AG24" s="9"/>
      <c r="AH24" s="9"/>
      <c r="AI24" s="12"/>
      <c r="AJ24" s="9"/>
      <c r="AK24" s="74" t="s">
        <v>65</v>
      </c>
      <c r="AL24" s="74"/>
      <c r="AM24" s="74"/>
      <c r="AN24" s="74"/>
      <c r="AO24" s="74"/>
      <c r="AP24" s="74"/>
      <c r="AQ24" s="74"/>
      <c r="AR24" s="74"/>
      <c r="AS24" s="74"/>
      <c r="AT24" s="74"/>
      <c r="AU24" s="9"/>
      <c r="AV24" s="9"/>
      <c r="AW24" s="9"/>
      <c r="AX24" s="11"/>
    </row>
    <row r="25" spans="33:103" ht="14.45" customHeight="1" x14ac:dyDescent="0.25">
      <c r="AG25" s="9"/>
      <c r="AH25" s="73" t="s">
        <v>67</v>
      </c>
      <c r="AI25" s="73"/>
      <c r="AJ25" s="73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9"/>
      <c r="AV25" s="9"/>
      <c r="AW25" s="9"/>
      <c r="AX25" s="11"/>
      <c r="AZ25" s="88" t="s">
        <v>134</v>
      </c>
    </row>
    <row r="26" spans="33:103" ht="14.45" customHeight="1" x14ac:dyDescent="0.25">
      <c r="AG26" s="9"/>
      <c r="AH26" s="72" t="s">
        <v>68</v>
      </c>
      <c r="AI26" s="72"/>
      <c r="AJ26" s="72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9"/>
      <c r="AV26" s="9"/>
      <c r="AW26" s="9"/>
      <c r="AX26" s="11"/>
      <c r="AZ26" s="88"/>
    </row>
    <row r="27" spans="33:103" ht="14.45" customHeight="1" thickBot="1" x14ac:dyDescent="0.3">
      <c r="AG27" s="9"/>
      <c r="AH27" s="9"/>
      <c r="AI27" s="12"/>
      <c r="AJ27" s="9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3" t="s">
        <v>69</v>
      </c>
      <c r="AV27" s="73"/>
      <c r="AW27" s="73"/>
      <c r="AX27" s="11"/>
      <c r="AZ27" s="88" t="s">
        <v>132</v>
      </c>
    </row>
    <row r="28" spans="33:103" ht="16.5" thickTop="1" thickBot="1" x14ac:dyDescent="0.3">
      <c r="AG28" s="9"/>
      <c r="AH28" s="75" t="str">
        <f>_data!$E$2</f>
        <v>SD QU 08 14 rev 1</v>
      </c>
      <c r="AI28" s="76"/>
      <c r="AJ28" s="77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2" t="s">
        <v>70</v>
      </c>
      <c r="AV28" s="72"/>
      <c r="AW28" s="72"/>
      <c r="AX28" s="11"/>
      <c r="AZ28" s="8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8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88"/>
    </row>
    <row r="31" spans="33:103" x14ac:dyDescent="0.25">
      <c r="AY31" s="2"/>
      <c r="AZ31" s="8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65" t="s">
        <v>61</v>
      </c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U32" s="9"/>
      <c r="AV32" s="13" t="s">
        <v>63</v>
      </c>
      <c r="AW32" s="9"/>
      <c r="AY32" s="15"/>
      <c r="AZ32" s="9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>E</v>
      </c>
      <c r="AU33" s="69"/>
      <c r="AV33" s="69"/>
      <c r="AW33" s="69"/>
      <c r="AZ33" s="88"/>
      <c r="BZ33" s="2" t="str">
        <f>CONCATENATE(AK33,"_",AS33,"_",MID(AJ34,1,1),"_",AJ35)</f>
        <v>_E__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>E</v>
      </c>
      <c r="CF33" s="2" t="str">
        <f>AL34</f>
        <v>E 500g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e">
        <f>AW42</f>
        <v>#N/A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 t="s">
        <v>36</v>
      </c>
      <c r="AM34" s="36"/>
      <c r="AN34" s="36" t="str">
        <f>IF(RIGHT(AL34,1)="2","laine nappe",IF(RIGHT(AL34,1)="g","laine vrac",""))</f>
        <v>laine vrac</v>
      </c>
      <c r="AQ34" s="18" t="str">
        <f>IFERROR(CONCATENATE("normal : ",HLOOKUP(PROD!AL34,_produits!A1:E8,8,FALSE)),"")</f>
        <v>normal : 2100</v>
      </c>
      <c r="AR34" s="15" t="s">
        <v>60</v>
      </c>
      <c r="AS34" s="3"/>
      <c r="AU34" s="69"/>
      <c r="AV34" s="69"/>
      <c r="AW34" s="69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>normal : 42</v>
      </c>
      <c r="AR35" s="15" t="s">
        <v>62</v>
      </c>
      <c r="AS35" s="41"/>
      <c r="AU35" s="69"/>
      <c r="AV35" s="69"/>
      <c r="AW35" s="69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69"/>
      <c r="AV36" s="69"/>
      <c r="AW36" s="69"/>
    </row>
    <row r="37" spans="18:104" x14ac:dyDescent="0.25">
      <c r="AJ37" s="83" t="s">
        <v>64</v>
      </c>
    </row>
    <row r="38" spans="18:104" x14ac:dyDescent="0.25">
      <c r="AJ38" s="62" t="str">
        <f>IF(AL34="","Sélectionner la production à démarrer &amp; remplir les cases jaunes",IF(AN34="laine vrac","Droite/Gauche s'entendent dos au tambour",""))</f>
        <v>Droite/Gauche s'entendent dos au tambour</v>
      </c>
      <c r="AK38" s="62"/>
      <c r="AL38" s="62"/>
      <c r="AM38" s="62"/>
      <c r="AN38" s="62"/>
      <c r="AO38" s="62"/>
      <c r="AP38" s="62"/>
      <c r="AQ38" s="62"/>
      <c r="AR38" s="62"/>
      <c r="AS38" s="64"/>
      <c r="AT38" s="63" t="s">
        <v>136</v>
      </c>
      <c r="AU38" s="63"/>
      <c r="AV38" s="63"/>
      <c r="AW38" s="63"/>
    </row>
    <row r="39" spans="18:104" x14ac:dyDescent="0.25">
      <c r="AJ39" s="62"/>
      <c r="AK39" s="62"/>
      <c r="AL39" s="62"/>
      <c r="AM39" s="62"/>
      <c r="AN39" s="62"/>
      <c r="AO39" s="62"/>
      <c r="AP39" s="62"/>
      <c r="AQ39" s="62"/>
      <c r="AR39" s="62"/>
      <c r="AS39" s="64"/>
      <c r="AT39" s="63"/>
      <c r="AU39" s="63"/>
      <c r="AV39" s="63"/>
      <c r="AW39" s="63"/>
    </row>
    <row r="40" spans="18:104" x14ac:dyDescent="0.2">
      <c r="AQ40" s="84" t="s">
        <v>17</v>
      </c>
      <c r="AR40" s="20"/>
      <c r="AS40" s="8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65" t="s">
        <v>21</v>
      </c>
      <c r="AK41" s="65"/>
      <c r="AL41" s="65"/>
      <c r="AM41" s="21"/>
      <c r="AN41" s="81" t="s">
        <v>115</v>
      </c>
      <c r="AO41" s="81"/>
      <c r="AQ41" s="85">
        <f>_qualité!B2</f>
        <v>22</v>
      </c>
      <c r="AR41" s="13" t="s">
        <v>10</v>
      </c>
      <c r="AS41" s="8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82" t="s">
        <v>4</v>
      </c>
      <c r="AQ42" s="13"/>
      <c r="AR42" s="13" t="s">
        <v>11</v>
      </c>
      <c r="AS42" s="13" t="s">
        <v>12</v>
      </c>
      <c r="AU42" s="68" t="str">
        <f>IFERROR(AS58/AW42*100,"")</f>
        <v/>
      </c>
      <c r="AV42" s="68"/>
      <c r="AW42" s="22" t="e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#N/A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>droite</v>
      </c>
      <c r="AI43" s="12" t="str">
        <f>IF(AL$34="E 2x250g",AE43,AF43)</f>
        <v/>
      </c>
      <c r="AJ43" s="38"/>
      <c r="AK43" s="78"/>
      <c r="AL43" s="3"/>
      <c r="AN43" s="30">
        <f>IF(AJ43="",IF(AK43="",AL43,AL43-AK43),0)</f>
        <v>0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68"/>
      <c r="AV43" s="68"/>
      <c r="AW43" s="67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>gauche</v>
      </c>
      <c r="AI44" s="12" t="str">
        <f t="shared" ref="AI44:AI82" si="8">IF(AL$34="E 2x250g",AE44,AF44)</f>
        <v/>
      </c>
      <c r="AJ44" s="38"/>
      <c r="AK44" s="78"/>
      <c r="AL44" s="3"/>
      <c r="AN44" s="30">
        <f>IF(AJ44="",IF(AK44="",AL44,AL44-AK44),0)</f>
        <v>0</v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9">IFERROR(AVERAGE(AR44:AS44),"")</f>
        <v/>
      </c>
      <c r="AU44" s="68"/>
      <c r="AV44" s="68"/>
      <c r="AW44" s="67"/>
      <c r="AX44" s="8" t="str">
        <f t="shared" si="4"/>
        <v/>
      </c>
      <c r="BK44" s="42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>droite</v>
      </c>
      <c r="AI45" s="12" t="str">
        <f t="shared" si="8"/>
        <v/>
      </c>
      <c r="AJ45" s="38"/>
      <c r="AK45" s="78"/>
      <c r="AL45" s="3"/>
      <c r="AN45" s="30">
        <f>IF(AJ45="",IF(AK45="",AL45,AL45-AK45),0)</f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9"/>
        <v/>
      </c>
      <c r="AU45" s="68"/>
      <c r="AV45" s="68"/>
      <c r="AW45" s="67"/>
      <c r="AX45" s="8" t="str">
        <f t="shared" si="4"/>
        <v/>
      </c>
      <c r="BK45" s="42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>gauche</v>
      </c>
      <c r="AI46" s="12" t="str">
        <f t="shared" si="8"/>
        <v/>
      </c>
      <c r="AJ46" s="38"/>
      <c r="AK46" s="78"/>
      <c r="AL46" s="3"/>
      <c r="AN46" s="30">
        <f t="shared" ref="AN46:AN51" si="22">IF(AJ46="",IF(AK46="",AL46,AL46-AK46),0)</f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9"/>
        <v/>
      </c>
      <c r="AU46" s="68"/>
      <c r="AV46" s="68"/>
      <c r="AW46" s="67"/>
      <c r="AX46" s="8" t="str">
        <f t="shared" si="4"/>
        <v/>
      </c>
      <c r="BK46" s="42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>droite</v>
      </c>
      <c r="AI47" s="12" t="str">
        <f t="shared" si="8"/>
        <v/>
      </c>
      <c r="AJ47" s="38"/>
      <c r="AK47" s="78"/>
      <c r="AL47" s="3"/>
      <c r="AN47" s="30">
        <f t="shared" si="22"/>
        <v>0</v>
      </c>
      <c r="AO47" s="30">
        <f t="shared" si="23"/>
        <v>0</v>
      </c>
      <c r="AQ47" s="3"/>
      <c r="AR47" s="3"/>
      <c r="AS47" s="3"/>
      <c r="AT47" s="25" t="str">
        <f t="shared" si="9"/>
        <v/>
      </c>
      <c r="AU47" s="68"/>
      <c r="AV47" s="68"/>
      <c r="AW47" s="67"/>
      <c r="AX47" s="8" t="str">
        <f t="shared" si="4"/>
        <v/>
      </c>
      <c r="BK47" s="42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>gauche</v>
      </c>
      <c r="AI48" s="12" t="str">
        <f t="shared" si="8"/>
        <v/>
      </c>
      <c r="AJ48" s="38"/>
      <c r="AK48" s="78"/>
      <c r="AL48" s="3"/>
      <c r="AN48" s="30">
        <f t="shared" si="22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>droite</v>
      </c>
      <c r="AI49" s="12" t="str">
        <f t="shared" si="8"/>
        <v/>
      </c>
      <c r="AJ49" s="38"/>
      <c r="AK49" s="78"/>
      <c r="AL49" s="3"/>
      <c r="AN49" s="30">
        <f t="shared" si="22"/>
        <v>0</v>
      </c>
      <c r="AO49" s="30">
        <f t="shared" si="23"/>
        <v>0</v>
      </c>
      <c r="AQ49" s="85" t="str">
        <f>AV62</f>
        <v/>
      </c>
      <c r="AR49" s="13" t="s">
        <v>13</v>
      </c>
      <c r="AS49" s="8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>gauche</v>
      </c>
      <c r="AI50" s="12" t="str">
        <f t="shared" si="8"/>
        <v/>
      </c>
      <c r="AJ50" s="38"/>
      <c r="AK50" s="78"/>
      <c r="AL50" s="3"/>
      <c r="AN50" s="30">
        <f t="shared" si="22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>droite</v>
      </c>
      <c r="AI51" s="12" t="str">
        <f t="shared" si="8"/>
        <v/>
      </c>
      <c r="AJ51" s="38"/>
      <c r="AK51" s="78"/>
      <c r="AL51" s="3"/>
      <c r="AN51" s="30">
        <f t="shared" si="22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>gauche</v>
      </c>
      <c r="AI52" s="12" t="str">
        <f t="shared" si="8"/>
        <v/>
      </c>
      <c r="AJ52" s="38"/>
      <c r="AK52" s="78"/>
      <c r="AL52" s="3"/>
      <c r="AN52" s="30">
        <f t="shared" ref="AN52:AN73" si="32">IF(AJ52="",IF(AK52="",AL52,AL52-AK52),0)</f>
        <v>0</v>
      </c>
      <c r="AO52" s="30">
        <f t="shared" ref="AO52:AO73" si="33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>droite</v>
      </c>
      <c r="AI53" s="12" t="str">
        <f t="shared" si="8"/>
        <v/>
      </c>
      <c r="AJ53" s="38"/>
      <c r="AK53" s="78"/>
      <c r="AL53" s="3"/>
      <c r="AN53" s="30">
        <f t="shared" si="32"/>
        <v>0</v>
      </c>
      <c r="AO53" s="30">
        <f t="shared" si="33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>gauche</v>
      </c>
      <c r="AI54" s="12" t="str">
        <f t="shared" si="8"/>
        <v/>
      </c>
      <c r="AJ54" s="38"/>
      <c r="AK54" s="78"/>
      <c r="AL54" s="3"/>
      <c r="AN54" s="30">
        <f t="shared" si="32"/>
        <v>0</v>
      </c>
      <c r="AO54" s="30">
        <f t="shared" si="33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>droite</v>
      </c>
      <c r="AI55" s="12" t="str">
        <f t="shared" si="8"/>
        <v/>
      </c>
      <c r="AJ55" s="38"/>
      <c r="AK55" s="78"/>
      <c r="AL55" s="3"/>
      <c r="AN55" s="30">
        <f t="shared" si="32"/>
        <v>0</v>
      </c>
      <c r="AO55" s="30">
        <f t="shared" si="33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>gauche</v>
      </c>
      <c r="AI56" s="12" t="str">
        <f t="shared" si="8"/>
        <v/>
      </c>
      <c r="AJ56" s="38"/>
      <c r="AK56" s="78"/>
      <c r="AL56" s="3"/>
      <c r="AN56" s="30">
        <f t="shared" si="32"/>
        <v>0</v>
      </c>
      <c r="AO56" s="30">
        <f t="shared" si="33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>droite</v>
      </c>
      <c r="AI57" s="12" t="str">
        <f t="shared" si="8"/>
        <v/>
      </c>
      <c r="AJ57" s="38"/>
      <c r="AK57" s="78"/>
      <c r="AL57" s="3"/>
      <c r="AN57" s="30">
        <f t="shared" si="32"/>
        <v>0</v>
      </c>
      <c r="AO57" s="30">
        <f t="shared" si="33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E 500g</v>
      </c>
      <c r="AW57" s="22"/>
      <c r="AX57" s="8" t="str">
        <f t="shared" si="4"/>
        <v/>
      </c>
      <c r="BK57" s="42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>gauche</v>
      </c>
      <c r="AI58" s="12" t="str">
        <f t="shared" si="8"/>
        <v/>
      </c>
      <c r="AJ58" s="38"/>
      <c r="AK58" s="78"/>
      <c r="AL58" s="3"/>
      <c r="AN58" s="30">
        <f t="shared" si="32"/>
        <v>0</v>
      </c>
      <c r="AO58" s="30">
        <f t="shared" si="33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4"/>
        <v/>
      </c>
      <c r="BK58" s="42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>droite</v>
      </c>
      <c r="AI59" s="12" t="str">
        <f t="shared" si="8"/>
        <v/>
      </c>
      <c r="AJ59" s="38"/>
      <c r="AK59" s="78"/>
      <c r="AL59" s="3"/>
      <c r="AN59" s="30">
        <f t="shared" si="32"/>
        <v>0</v>
      </c>
      <c r="AO59" s="30">
        <f t="shared" si="33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490</v>
      </c>
      <c r="AW59" s="58"/>
      <c r="AX59" s="8" t="str">
        <f t="shared" si="4"/>
        <v/>
      </c>
      <c r="BK59" s="42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>gauche</v>
      </c>
      <c r="AI60" s="12" t="str">
        <f t="shared" si="8"/>
        <v/>
      </c>
      <c r="AJ60" s="38"/>
      <c r="AK60" s="78"/>
      <c r="AL60" s="3"/>
      <c r="AN60" s="30">
        <f t="shared" si="32"/>
        <v>0</v>
      </c>
      <c r="AO60" s="30">
        <f t="shared" si="33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530</v>
      </c>
      <c r="AW60" s="58"/>
      <c r="AX60" s="8" t="str">
        <f t="shared" si="4"/>
        <v/>
      </c>
      <c r="BK60" s="42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>droite</v>
      </c>
      <c r="AI61" s="12" t="str">
        <f t="shared" si="8"/>
        <v/>
      </c>
      <c r="AJ61" s="38"/>
      <c r="AK61" s="78"/>
      <c r="AL61" s="3"/>
      <c r="AN61" s="30">
        <f t="shared" si="32"/>
        <v>0</v>
      </c>
      <c r="AO61" s="30">
        <f t="shared" si="33"/>
        <v>0</v>
      </c>
      <c r="AQ61" s="31" t="str">
        <f>_qualité!E3</f>
        <v>Trou</v>
      </c>
      <c r="AR61" s="32">
        <f>S41</f>
        <v>0</v>
      </c>
      <c r="AS61" s="32">
        <f t="shared" ref="AS61:AS64" si="44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>gauche</v>
      </c>
      <c r="AI62" s="12" t="str">
        <f t="shared" si="8"/>
        <v/>
      </c>
      <c r="AJ62" s="38"/>
      <c r="AK62" s="78"/>
      <c r="AL62" s="3"/>
      <c r="AN62" s="30">
        <f t="shared" si="32"/>
        <v>0</v>
      </c>
      <c r="AO62" s="30">
        <f t="shared" si="33"/>
        <v>0</v>
      </c>
      <c r="AQ62" s="31" t="str">
        <f>_qualité!E4</f>
        <v>Poids</v>
      </c>
      <c r="AR62" s="32">
        <f>T41</f>
        <v>0</v>
      </c>
      <c r="AS62" s="32">
        <f t="shared" si="44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>droite</v>
      </c>
      <c r="AI63" s="12" t="str">
        <f t="shared" si="8"/>
        <v/>
      </c>
      <c r="AJ63" s="38"/>
      <c r="AK63" s="78"/>
      <c r="AL63" s="3"/>
      <c r="AN63" s="30">
        <f t="shared" si="32"/>
        <v>0</v>
      </c>
      <c r="AO63" s="30">
        <f t="shared" si="33"/>
        <v>0</v>
      </c>
      <c r="AQ63" s="31" t="str">
        <f>_qualité!E5</f>
        <v>Autre</v>
      </c>
      <c r="AR63" s="32">
        <f>U41</f>
        <v>0</v>
      </c>
      <c r="AS63" s="32">
        <f t="shared" si="44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>gauche</v>
      </c>
      <c r="AI64" s="12" t="str">
        <f t="shared" si="8"/>
        <v/>
      </c>
      <c r="AJ64" s="38"/>
      <c r="AK64" s="78"/>
      <c r="AL64" s="3"/>
      <c r="AN64" s="30">
        <f t="shared" si="32"/>
        <v>0</v>
      </c>
      <c r="AO64" s="30">
        <f t="shared" si="33"/>
        <v>0</v>
      </c>
      <c r="AQ64" s="31" t="str">
        <f>_qualité!E6</f>
        <v>Démarrage</v>
      </c>
      <c r="AR64" s="32">
        <f>V41</f>
        <v>0</v>
      </c>
      <c r="AS64" s="32">
        <f t="shared" si="44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>droite</v>
      </c>
      <c r="AI65" s="12" t="str">
        <f t="shared" si="8"/>
        <v/>
      </c>
      <c r="AJ65" s="38"/>
      <c r="AK65" s="78"/>
      <c r="AL65" s="3"/>
      <c r="AN65" s="30">
        <f t="shared" si="32"/>
        <v>0</v>
      </c>
      <c r="AO65" s="30">
        <f t="shared" si="33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>gauche</v>
      </c>
      <c r="AI66" s="12" t="str">
        <f t="shared" si="8"/>
        <v/>
      </c>
      <c r="AJ66" s="38"/>
      <c r="AK66" s="78"/>
      <c r="AL66" s="3"/>
      <c r="AN66" s="30">
        <f t="shared" si="32"/>
        <v>0</v>
      </c>
      <c r="AO66" s="30">
        <f t="shared" si="33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>droite</v>
      </c>
      <c r="AI67" s="12" t="str">
        <f t="shared" si="8"/>
        <v/>
      </c>
      <c r="AJ67" s="38"/>
      <c r="AK67" s="78"/>
      <c r="AL67" s="3"/>
      <c r="AN67" s="30">
        <f t="shared" si="32"/>
        <v>0</v>
      </c>
      <c r="AO67" s="30">
        <f t="shared" si="33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>gauche</v>
      </c>
      <c r="AI68" s="12" t="str">
        <f t="shared" si="8"/>
        <v/>
      </c>
      <c r="AJ68" s="38"/>
      <c r="AK68" s="78"/>
      <c r="AL68" s="3"/>
      <c r="AN68" s="30">
        <f t="shared" si="32"/>
        <v>0</v>
      </c>
      <c r="AO68" s="30">
        <f t="shared" si="33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>droite</v>
      </c>
      <c r="AI69" s="12" t="str">
        <f t="shared" si="8"/>
        <v/>
      </c>
      <c r="AJ69" s="38"/>
      <c r="AK69" s="78"/>
      <c r="AL69" s="3"/>
      <c r="AN69" s="30">
        <f t="shared" si="32"/>
        <v>0</v>
      </c>
      <c r="AO69" s="30">
        <f t="shared" si="33"/>
        <v>0</v>
      </c>
      <c r="AQ69" s="30"/>
      <c r="AR69" s="30"/>
      <c r="AS69" s="30"/>
      <c r="AT69" s="30"/>
      <c r="AU69" s="66" t="str">
        <f ca="1">OFFSET('data TRS'!A1,COUNTA('data TRS'!A:A)-1,)</f>
        <v>93_E_N_Invité</v>
      </c>
      <c r="AV69" s="66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>gauche</v>
      </c>
      <c r="AI70" s="12" t="str">
        <f t="shared" si="8"/>
        <v/>
      </c>
      <c r="AJ70" s="38"/>
      <c r="AK70" s="78"/>
      <c r="AL70" s="3"/>
      <c r="AN70" s="30">
        <f t="shared" si="32"/>
        <v>0</v>
      </c>
      <c r="AO70" s="30">
        <f t="shared" si="33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>droite</v>
      </c>
      <c r="AI71" s="12" t="str">
        <f t="shared" si="8"/>
        <v/>
      </c>
      <c r="AJ71" s="38"/>
      <c r="AK71" s="78"/>
      <c r="AL71" s="3"/>
      <c r="AN71" s="30">
        <f t="shared" si="32"/>
        <v>0</v>
      </c>
      <c r="AO71" s="30">
        <f t="shared" si="33"/>
        <v>0</v>
      </c>
      <c r="AX71" s="8" t="str">
        <f t="shared" si="4"/>
        <v/>
      </c>
      <c r="BK71" s="42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>gauche</v>
      </c>
      <c r="AI72" s="12" t="str">
        <f t="shared" si="8"/>
        <v/>
      </c>
      <c r="AJ72" s="38"/>
      <c r="AK72" s="78"/>
      <c r="AL72" s="3"/>
      <c r="AN72" s="30">
        <f t="shared" si="32"/>
        <v>0</v>
      </c>
      <c r="AO72" s="30">
        <f t="shared" si="33"/>
        <v>0</v>
      </c>
      <c r="AX72" s="8" t="str">
        <f t="shared" si="4"/>
        <v/>
      </c>
      <c r="BK72" s="42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>droite</v>
      </c>
      <c r="AI73" s="12" t="str">
        <f t="shared" si="8"/>
        <v/>
      </c>
      <c r="AJ73" s="38"/>
      <c r="AK73" s="78"/>
      <c r="AL73" s="3"/>
      <c r="AN73" s="30">
        <f t="shared" si="32"/>
        <v>0</v>
      </c>
      <c r="AO73" s="30">
        <f t="shared" si="33"/>
        <v>0</v>
      </c>
      <c r="AX73" s="8" t="str">
        <f t="shared" si="4"/>
        <v/>
      </c>
      <c r="BK73" s="42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>gauche</v>
      </c>
      <c r="AI74" s="12" t="str">
        <f t="shared" si="8"/>
        <v/>
      </c>
      <c r="AJ74" s="38"/>
      <c r="AK74" s="78"/>
      <c r="AL74" s="3"/>
      <c r="AN74" s="30">
        <f t="shared" ref="AN74:AN82" si="60">IF(AJ74="",IF(AK74="",AL74,AL74-AK74),0)</f>
        <v>0</v>
      </c>
      <c r="AO74" s="30">
        <f t="shared" ref="AO74:AO82" si="61">IF(AJ74&lt;&gt;"",IF(AK74="",AL74,AL74-AK74),0)</f>
        <v>0</v>
      </c>
      <c r="AX74" s="8" t="str">
        <f t="shared" si="4"/>
        <v/>
      </c>
      <c r="BK74" s="42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>droite</v>
      </c>
      <c r="AI75" s="12" t="str">
        <f t="shared" si="8"/>
        <v/>
      </c>
      <c r="AJ75" s="38"/>
      <c r="AK75" s="78"/>
      <c r="AL75" s="3"/>
      <c r="AN75" s="30">
        <f t="shared" si="60"/>
        <v>0</v>
      </c>
      <c r="AO75" s="30">
        <f t="shared" si="61"/>
        <v>0</v>
      </c>
      <c r="AX75" s="8" t="str">
        <f t="shared" si="4"/>
        <v/>
      </c>
      <c r="BK75" s="42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>gauche</v>
      </c>
      <c r="AI76" s="12" t="str">
        <f t="shared" si="8"/>
        <v/>
      </c>
      <c r="AJ76" s="38"/>
      <c r="AK76" s="78"/>
      <c r="AL76" s="3"/>
      <c r="AN76" s="30">
        <f t="shared" si="60"/>
        <v>0</v>
      </c>
      <c r="AO76" s="30">
        <f t="shared" si="61"/>
        <v>0</v>
      </c>
      <c r="AX76" s="8" t="str">
        <f t="shared" si="4"/>
        <v/>
      </c>
      <c r="BK76" s="42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>droite</v>
      </c>
      <c r="AI77" s="12" t="str">
        <f t="shared" si="8"/>
        <v/>
      </c>
      <c r="AJ77" s="38"/>
      <c r="AK77" s="78"/>
      <c r="AL77" s="3"/>
      <c r="AN77" s="30">
        <f t="shared" si="60"/>
        <v>0</v>
      </c>
      <c r="AO77" s="30">
        <f t="shared" si="61"/>
        <v>0</v>
      </c>
      <c r="AX77" s="8" t="str">
        <f t="shared" si="4"/>
        <v/>
      </c>
      <c r="BK77" s="42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>gauche</v>
      </c>
      <c r="AI78" s="12" t="str">
        <f t="shared" si="8"/>
        <v/>
      </c>
      <c r="AJ78" s="38"/>
      <c r="AK78" s="78"/>
      <c r="AL78" s="3"/>
      <c r="AN78" s="30">
        <f t="shared" si="60"/>
        <v>0</v>
      </c>
      <c r="AO78" s="30">
        <f t="shared" si="61"/>
        <v>0</v>
      </c>
      <c r="AX78" s="8" t="str">
        <f t="shared" si="4"/>
        <v/>
      </c>
      <c r="BK78" s="42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>droite</v>
      </c>
      <c r="AI79" s="12" t="str">
        <f t="shared" si="8"/>
        <v/>
      </c>
      <c r="AJ79" s="38"/>
      <c r="AK79" s="78"/>
      <c r="AL79" s="3"/>
      <c r="AN79" s="30">
        <f t="shared" si="60"/>
        <v>0</v>
      </c>
      <c r="AO79" s="30">
        <f t="shared" si="61"/>
        <v>0</v>
      </c>
      <c r="AX79" s="8" t="str">
        <f t="shared" si="4"/>
        <v/>
      </c>
      <c r="BK79" s="42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>gauche</v>
      </c>
      <c r="AI80" s="12" t="str">
        <f t="shared" si="8"/>
        <v/>
      </c>
      <c r="AJ80" s="38"/>
      <c r="AK80" s="78"/>
      <c r="AL80" s="3"/>
      <c r="AN80" s="30">
        <f t="shared" si="60"/>
        <v>0</v>
      </c>
      <c r="AO80" s="30">
        <f t="shared" si="61"/>
        <v>0</v>
      </c>
      <c r="AX80" s="8" t="str">
        <f t="shared" si="4"/>
        <v/>
      </c>
      <c r="BK80" s="42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>droite</v>
      </c>
      <c r="AI81" s="12" t="str">
        <f t="shared" si="8"/>
        <v/>
      </c>
      <c r="AJ81" s="38"/>
      <c r="AK81" s="78"/>
      <c r="AL81" s="3"/>
      <c r="AN81" s="30">
        <f t="shared" si="60"/>
        <v>0</v>
      </c>
      <c r="AO81" s="30">
        <f t="shared" si="61"/>
        <v>0</v>
      </c>
      <c r="AX81" s="8" t="str">
        <f t="shared" si="4"/>
        <v/>
      </c>
      <c r="BK81" s="42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>gauche</v>
      </c>
      <c r="AI82" s="12" t="str">
        <f t="shared" si="8"/>
        <v/>
      </c>
      <c r="AJ82" s="38"/>
      <c r="AK82" s="78"/>
      <c r="AL82" s="3"/>
      <c r="AN82" s="30">
        <f t="shared" si="60"/>
        <v>0</v>
      </c>
      <c r="AO82" s="30">
        <f t="shared" si="61"/>
        <v>0</v>
      </c>
      <c r="AX82" s="8" t="str">
        <f t="shared" si="4"/>
        <v/>
      </c>
      <c r="BK82" s="42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5"/>
      <c r="AK83" s="79"/>
    </row>
    <row r="84" spans="18:87" x14ac:dyDescent="0.25">
      <c r="AK84" s="79"/>
    </row>
    <row r="85" spans="18:87" x14ac:dyDescent="0.25">
      <c r="AK85" s="79"/>
    </row>
    <row r="86" spans="18:87" x14ac:dyDescent="0.25">
      <c r="AK86" s="79"/>
    </row>
    <row r="87" spans="18:87" x14ac:dyDescent="0.25">
      <c r="AK87" s="79"/>
    </row>
  </sheetData>
  <sheetProtection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A25" sqref="A25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2023-04-02T20:01:10Z</dcterms:modified>
</cp:coreProperties>
</file>