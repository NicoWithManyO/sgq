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Quartzel\"/>
    </mc:Choice>
  </mc:AlternateContent>
  <xr:revisionPtr revIDLastSave="0" documentId="13_ncr:1_{9FC0668C-0C8E-428D-8C9B-DFC09ACFBE13}" xr6:coauthVersionLast="47" xr6:coauthVersionMax="47" xr10:uidLastSave="{00000000-0000-0000-0000-000000000000}"/>
  <bookViews>
    <workbookView xWindow="315" yWindow="2415" windowWidth="25095" windowHeight="12735" tabRatio="466" firstSheet="1" activeTab="4" xr2:uid="{00000000-000D-0000-FFFF-FFFF00000000}"/>
  </bookViews>
  <sheets>
    <sheet name="_data" sheetId="7" r:id="rId1"/>
    <sheet name="_qualité" sheetId="2" r:id="rId2"/>
    <sheet name="_produits" sheetId="3" r:id="rId3"/>
    <sheet name="_matrice TRS" sheetId="4" r:id="rId4"/>
    <sheet name="PROD" sheetId="1" r:id="rId5"/>
    <sheet name="data PRODUITS" sheetId="8" r:id="rId6"/>
    <sheet name="data TRS" sheetId="9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70" i="1" l="1"/>
  <c r="AV70" i="1"/>
  <c r="AW69" i="1"/>
  <c r="AU69" i="1"/>
  <c r="AJ38" i="1"/>
  <c r="AH33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T38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I81" i="1" l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sharedStrings.xml><?xml version="1.0" encoding="utf-8"?>
<sst xmlns="http://schemas.openxmlformats.org/spreadsheetml/2006/main" count="220" uniqueCount="117">
  <si>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</si>
  <si>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</si>
  <si>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</si>
  <si>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</si>
  <si>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</si>
  <si>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</si>
  <si>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</si>
  <si>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</si>
  <si>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</si>
  <si>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</si>
  <si>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</si>
  <si>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</si>
  <si>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</si>
  <si>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</si>
  <si>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</si>
  <si>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</si>
  <si>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</si>
  <si>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</si>
  <si>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</si>
  <si>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</si>
  <si>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</si>
  <si>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</si>
  <si>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</si>
  <si>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</si>
  <si>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</si>
  <si>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</si>
  <si>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</si>
  <si>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</si>
  <si>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</si>
  <si>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</si>
  <si>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</si>
  <si>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</si>
  <si>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</si>
  <si>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</si>
  <si>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</si>
  <si>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</si>
  <si>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</si>
  <si>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</si>
  <si>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</si>
  <si>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</si>
  <si>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</si>
  <si>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</si>
  <si>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</si>
  <si>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</si>
  <si>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</si>
  <si>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</si>
  <si>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</si>
  <si>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</si>
  <si>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</si>
  <si>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</si>
  <si>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</si>
  <si>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</si>
  <si>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</si>
  <si>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</si>
  <si>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</si>
  <si>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</si>
  <si>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</si>
  <si>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</si>
  <si>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</si>
  <si>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</si>
  <si>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</si>
  <si>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</si>
  <si>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</si>
  <si>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</si>
  <si>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</si>
  <si>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</si>
  <si>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</si>
  <si>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</si>
  <si>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</si>
  <si>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</si>
  <si>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</si>
  <si>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</si>
  <si>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</si>
  <si>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</si>
  <si>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</si>
  <si>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</si>
  <si>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</si>
  <si>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</si>
  <si>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</si>
  <si>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</si>
  <si>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</si>
  <si>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</si>
  <si>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</si>
  <si>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</si>
  <si>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</si>
  <si>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</si>
  <si>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</si>
  <si>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</si>
  <si>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</si>
  <si>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</si>
  <si>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</si>
  <si>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</si>
  <si>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</si>
  <si>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</si>
  <si>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</si>
  <si>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</si>
  <si>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</si>
  <si>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</si>
  <si>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</si>
  <si>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$AG$18:$AY$83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</si>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</sst>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right" vertical="top"/>
    </xf>
    <xf numFmtId="0" fontId="5" fillId="6" borderId="0" xfId="0" applyFont="1" applyFill="1" applyAlignment="1">
      <alignment horizontal="left" vertical="top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3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2" fillId="8" borderId="0" xfId="0" applyFont="1" applyFill="1" applyAlignment="1">
      <alignment horizontal="right" vertical="center"/>
    </xf>
    <xf numFmtId="0" fontId="2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0" fillId="8" borderId="0" xfId="0" applyFill="1" applyAlignment="1">
      <alignment horizontal="right" vertical="center"/>
    </xf>
    <xf numFmtId="0" fontId="3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165" fontId="5" fillId="2" borderId="0" xfId="0" applyNumberFormat="1" applyFont="1" applyFill="1" applyAlignment="1">
      <alignment horizontal="left" vertical="center"/>
    </xf>
    <xf numFmtId="22" fontId="0" fillId="2" borderId="0" xfId="0" applyNumberFormat="1" applyFill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22" fontId="0" fillId="0" borderId="0" xfId="0" applyNumberFormat="1"/>
  </cellXfs>
  <cellStyles count="1">
    <cellStyle name="Normal" xfId="0" builtinId="0"/>
  </cellStyles>
  <dxfs count="60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423548</xdr:colOff>
      <xdr:row>31</xdr:row>
      <xdr:rowOff>104583</xdr:rowOff>
    </xdr:from>
    <xdr:to>
      <xdr:col>34</xdr:col>
      <xdr:colOff>91165</xdr:colOff>
      <xdr:row>33</xdr:row>
      <xdr:rowOff>14938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222" y="2547953"/>
          <a:ext cx="263965" cy="283072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925623</xdr:colOff>
      <xdr:row>36</xdr:row>
      <xdr:rowOff>80232</xdr:rowOff>
    </xdr:from>
    <xdr:to>
      <xdr:col>50</xdr:col>
      <xdr:colOff>196230</xdr:colOff>
      <xdr:row>39</xdr:row>
      <xdr:rowOff>95782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20197" y="3433032"/>
          <a:ext cx="569320" cy="572142"/>
        </a:xfrm>
        <a:prstGeom prst="rect">
          <a:avLst/>
        </a:prstGeom>
      </xdr:spPr>
    </xdr:pic>
    <xdr:clientData/>
  </xdr:twoCellAnchor>
  <xdr:twoCellAnchor editAs="oneCell">
    <xdr:from>
      <xdr:col>48</xdr:col>
      <xdr:colOff>892312</xdr:colOff>
      <xdr:row>32</xdr:row>
      <xdr:rowOff>52393</xdr:rowOff>
    </xdr:from>
    <xdr:to>
      <xdr:col>50</xdr:col>
      <xdr:colOff>226049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486886" y="2663071"/>
          <a:ext cx="632450" cy="641590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K4" sqref="K4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48.4257812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103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104</v>
      </c>
      <c r="K2" t="s">
        <v>106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105</v>
      </c>
      <c r="K3" t="s">
        <v>106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B4" sqref="B4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I13" sqref="I13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N9" sqref="N9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3"/>
  <sheetViews>
    <sheetView tabSelected="1" topLeftCell="Y32" zoomScale="115" zoomScaleNormal="115" workbookViewId="0">
      <selection activeCell="AL48" sqref="AL48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1" width="6.42578125" style="1" customWidth="1"/>
    <col min="42" max="42" width="1.7109375" style="1" customWidth="1"/>
    <col min="43" max="45" width="11.7109375" style="1" customWidth="1"/>
    <col min="46" max="46" width="6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9" style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8" spans="33:103" x14ac:dyDescent="0.25">
      <c r="AJ18" s="1" t="s">
        <v>99</v>
      </c>
    </row>
    <row r="19" spans="33:103" ht="14.45" customHeight="1" x14ac:dyDescent="0.25">
      <c r="AG19" s="9"/>
      <c r="AH19" s="10"/>
      <c r="AI19" s="68" t="s">
        <v>66</v>
      </c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10"/>
      <c r="AX19" s="11"/>
    </row>
    <row r="20" spans="33:103" ht="14.45" customHeight="1" x14ac:dyDescent="0.25">
      <c r="AG20" s="9"/>
      <c r="AH20" s="10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10"/>
      <c r="AX20" s="11"/>
    </row>
    <row r="21" spans="33:103" ht="14.45" customHeight="1" x14ac:dyDescent="0.25">
      <c r="AG21" s="9"/>
      <c r="AH21" s="10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10"/>
      <c r="AX21" s="11"/>
    </row>
    <row r="22" spans="33:103" ht="14.45" customHeight="1" x14ac:dyDescent="0.25">
      <c r="AG22" s="9"/>
      <c r="AH22" s="10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10"/>
      <c r="AX22" s="11"/>
    </row>
    <row r="23" spans="33:103" ht="15" customHeight="1" thickBot="1" x14ac:dyDescent="0.3">
      <c r="AG23" s="9"/>
      <c r="AH23" s="10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10"/>
      <c r="AX23" s="11"/>
    </row>
    <row r="24" spans="33:103" ht="15" customHeight="1" thickTop="1" x14ac:dyDescent="0.25">
      <c r="AG24" s="9"/>
      <c r="AH24" s="9"/>
      <c r="AI24" s="12"/>
      <c r="AJ24" s="9"/>
      <c r="AK24" s="72" t="s">
        <v>65</v>
      </c>
      <c r="AL24" s="72"/>
      <c r="AM24" s="72"/>
      <c r="AN24" s="72"/>
      <c r="AO24" s="72"/>
      <c r="AP24" s="72"/>
      <c r="AQ24" s="72"/>
      <c r="AR24" s="72"/>
      <c r="AS24" s="72"/>
      <c r="AT24" s="72"/>
      <c r="AU24" s="9"/>
      <c r="AV24" s="9"/>
      <c r="AW24" s="9"/>
      <c r="AX24" s="11"/>
    </row>
    <row r="25" spans="33:103" ht="14.45" customHeight="1" x14ac:dyDescent="0.25">
      <c r="AG25" s="9"/>
      <c r="AH25" s="71" t="s">
        <v>67</v>
      </c>
      <c r="AI25" s="71"/>
      <c r="AJ25" s="71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9"/>
      <c r="AV25" s="9"/>
      <c r="AW25" s="9"/>
      <c r="AX25" s="11"/>
    </row>
    <row r="26" spans="33:103" ht="14.45" customHeight="1" x14ac:dyDescent="0.25">
      <c r="AG26" s="9"/>
      <c r="AH26" s="70" t="s">
        <v>68</v>
      </c>
      <c r="AI26" s="70"/>
      <c r="AJ26" s="70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9"/>
      <c r="AV26" s="9"/>
      <c r="AW26" s="9"/>
      <c r="AX26" s="11"/>
    </row>
    <row r="27" spans="33:103" ht="14.45" customHeight="1" thickBot="1" x14ac:dyDescent="0.3">
      <c r="AG27" s="9"/>
      <c r="AH27" s="9"/>
      <c r="AI27" s="12"/>
      <c r="AJ27" s="9"/>
      <c r="AK27" s="72"/>
      <c r="AL27" s="72"/>
      <c r="AM27" s="72"/>
      <c r="AN27" s="72"/>
      <c r="AO27" s="72"/>
      <c r="AP27" s="72"/>
      <c r="AQ27" s="72"/>
      <c r="AR27" s="72"/>
      <c r="AS27" s="72"/>
      <c r="AT27" s="72"/>
      <c r="AU27" s="71" t="s">
        <v>69</v>
      </c>
      <c r="AV27" s="71"/>
      <c r="AW27" s="71"/>
      <c r="AX27" s="11"/>
    </row>
    <row r="28" spans="33:103" ht="16.5" thickTop="1" thickBot="1" x14ac:dyDescent="0.3">
      <c r="AG28" s="9"/>
      <c r="AH28" s="73" t="str">
        <f>_data!$E$2</f>
        <v>SD QU 08 14 rev 1</v>
      </c>
      <c r="AI28" s="74"/>
      <c r="AJ28" s="75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0" t="s">
        <v>70</v>
      </c>
      <c r="AV28" s="70"/>
      <c r="AW28" s="70"/>
      <c r="AX28" s="11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33:103" x14ac:dyDescent="0.25">
      <c r="AY31" s="2"/>
      <c r="AZ31" s="2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63" t="str">
        <f>IF(AND(AJ33&lt;&gt;"",AJ34&lt;&gt;"",AJ35&lt;&gt;"",AJ36&lt;&gt;"",AL34&lt;&gt;""),"ok","nok")</f>
        <v>nok</v>
      </c>
      <c r="AH32" s="9"/>
      <c r="AI32" s="76" t="s">
        <v>61</v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U32" s="9"/>
      <c r="AV32" s="13" t="s">
        <v>63</v>
      </c>
      <c r="AW32" s="9"/>
      <c r="AX32" s="8" t="e">
        <f>COUNTIF(#REF!,PROD!AY32)</f>
        <v>#REF!</v>
      </c>
      <c r="AY32" s="16"/>
      <c r="AZ32" s="61"/>
      <c r="BA32" s="61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65" t="str">
        <f>IF(AJ33&lt;&gt;"",AJ33,"")</f>
        <v/>
      </c>
      <c r="AI33" s="14" t="s">
        <v>0</v>
      </c>
      <c r="AJ33" s="58"/>
      <c r="AK33" s="15" t="str">
        <f>IF(AJ33&lt;&gt;"",AJ33-DATE(YEAR(AJ33),1,1)+1,"")</f>
        <v/>
      </c>
      <c r="AR33" s="16" t="s">
        <v>6</v>
      </c>
      <c r="AS33" s="17" t="str">
        <f>MID(AL34,1,1)</f>
        <v>F</v>
      </c>
      <c r="AU33" s="79"/>
      <c r="AV33" s="79"/>
      <c r="AW33" s="79"/>
      <c r="BZ33" s="2" t="str">
        <f>CONCATENATE(AK33,"_",AS33,"_",MID(AJ34,1,1),"_",AJ35)</f>
        <v>_F__</v>
      </c>
      <c r="CA33" s="2">
        <f>_xlfn.NUMBERVALUE(AK33)</f>
        <v>0</v>
      </c>
      <c r="CB33" s="18">
        <f>AJ33</f>
        <v>0</v>
      </c>
      <c r="CC33" s="2">
        <f>AJ34</f>
        <v>0</v>
      </c>
      <c r="CD33" s="2">
        <f>AJ36</f>
        <v>0</v>
      </c>
      <c r="CE33" s="2" t="str">
        <f>AS33</f>
        <v>F</v>
      </c>
      <c r="CF33" s="2" t="str">
        <f>AL34</f>
        <v>F 380g/m2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e">
        <f>AW42</f>
        <v>#N/A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66"/>
    </row>
    <row r="34" spans="18:104" x14ac:dyDescent="0.25">
      <c r="AI34" s="14" t="s">
        <v>49</v>
      </c>
      <c r="AJ34" s="59"/>
      <c r="AK34" s="16" t="s">
        <v>93</v>
      </c>
      <c r="AL34" s="64" t="s">
        <v>43</v>
      </c>
      <c r="AQ34" s="19" t="str">
        <f>IFERROR(CONCATENATE("normal : ",HLOOKUP(PROD!AL34,_produits!A1:E8,8,FALSE)),"")</f>
        <v>normal : 785</v>
      </c>
      <c r="AR34" s="16" t="s">
        <v>60</v>
      </c>
      <c r="AS34" s="3"/>
      <c r="AU34" s="79"/>
      <c r="AV34" s="79"/>
      <c r="AW34" s="79"/>
    </row>
    <row r="35" spans="18:104" x14ac:dyDescent="0.25">
      <c r="AI35" s="14" t="s">
        <v>1</v>
      </c>
      <c r="AJ35" s="59"/>
      <c r="AK35" s="16" t="s">
        <v>8</v>
      </c>
      <c r="AL35" s="60"/>
      <c r="AQ35" s="19" t="str">
        <f>IFERROR(CONCATENATE("normal : ",HLOOKUP(PROD!AL34,_produits!A1:E9,9,FALSE)),"")</f>
        <v>normal : 38</v>
      </c>
      <c r="AR35" s="16" t="s">
        <v>62</v>
      </c>
      <c r="AS35" s="60"/>
      <c r="AU35" s="79"/>
      <c r="AV35" s="79"/>
      <c r="AW35" s="79"/>
    </row>
    <row r="36" spans="18:104" x14ac:dyDescent="0.25">
      <c r="AI36" s="14" t="s">
        <v>41</v>
      </c>
      <c r="AJ36" s="60"/>
      <c r="AK36" s="20">
        <f>AJ36/60/24</f>
        <v>0</v>
      </c>
      <c r="AQ36" s="1" t="s">
        <v>98</v>
      </c>
      <c r="AU36" s="79"/>
      <c r="AV36" s="79"/>
      <c r="AW36" s="79"/>
    </row>
    <row r="37" spans="18:104" x14ac:dyDescent="0.25">
      <c r="AJ37" s="21" t="s">
        <v>64</v>
      </c>
    </row>
    <row r="38" spans="18:104" x14ac:dyDescent="0.25">
      <c r="AJ38" s="80" t="str">
        <f>IF(AL34="","Sélectionner la production à démarrer","Bon courage")</f>
        <v>Bon courage</v>
      </c>
      <c r="AK38" s="80"/>
      <c r="AL38" s="80"/>
      <c r="AM38" s="80"/>
      <c r="AN38" s="80"/>
      <c r="AO38" s="80"/>
      <c r="AP38" s="80"/>
      <c r="AQ38" s="80"/>
      <c r="AR38" s="80"/>
      <c r="AS38" s="82"/>
      <c r="AT38" s="81" t="str">
        <f>IF(AS33="E","Droite/Gauche s'entendent dos au tambour","")</f>
        <v/>
      </c>
      <c r="AU38" s="81"/>
      <c r="AV38" s="81"/>
      <c r="AW38" s="81"/>
    </row>
    <row r="39" spans="18:104" x14ac:dyDescent="0.25">
      <c r="AJ39" s="80"/>
      <c r="AK39" s="80"/>
      <c r="AL39" s="80"/>
      <c r="AM39" s="80"/>
      <c r="AN39" s="80"/>
      <c r="AO39" s="80"/>
      <c r="AP39" s="80"/>
      <c r="AQ39" s="80"/>
      <c r="AR39" s="80"/>
      <c r="AS39" s="82"/>
      <c r="AT39" s="81"/>
      <c r="AU39" s="81"/>
      <c r="AV39" s="81"/>
      <c r="AW39" s="81"/>
    </row>
    <row r="40" spans="18:104" x14ac:dyDescent="0.2">
      <c r="AQ40" s="22" t="s">
        <v>17</v>
      </c>
      <c r="AR40" s="21"/>
      <c r="AS40" s="23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6" t="s">
        <v>21</v>
      </c>
      <c r="AK41" s="76"/>
      <c r="AL41" s="76"/>
      <c r="AM41" s="24"/>
      <c r="AN41" s="76" t="s">
        <v>116</v>
      </c>
      <c r="AO41" s="76"/>
      <c r="AQ41" s="25">
        <f>_qualité!B2</f>
        <v>22</v>
      </c>
      <c r="AR41" s="13" t="s">
        <v>10</v>
      </c>
      <c r="AS41" s="26">
        <f>_qualité!B3</f>
        <v>50</v>
      </c>
      <c r="AU41" s="13"/>
      <c r="AV41" s="13" t="s">
        <v>28</v>
      </c>
      <c r="AW41" s="27" t="s">
        <v>29</v>
      </c>
      <c r="AY41" s="28"/>
      <c r="BZ41" s="2">
        <f>COUNTIF('data PRODUITS'!B:B,PROD!CA43)</f>
        <v>1048565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9" t="s">
        <v>5</v>
      </c>
      <c r="AK42" s="13" t="str">
        <f>IF(AS33="F","plastique","n/a")</f>
        <v>plastique</v>
      </c>
      <c r="AL42" s="13" t="s">
        <v>2</v>
      </c>
      <c r="AM42" s="2"/>
      <c r="AN42" s="30" t="s">
        <v>3</v>
      </c>
      <c r="AO42" s="31" t="s">
        <v>4</v>
      </c>
      <c r="AQ42" s="13"/>
      <c r="AR42" s="13" t="s">
        <v>11</v>
      </c>
      <c r="AS42" s="13" t="s">
        <v>12</v>
      </c>
      <c r="AU42" s="78" t="str">
        <f>IFERROR(AS58/AW42*100,"")</f>
        <v/>
      </c>
      <c r="AV42" s="78"/>
      <c r="AW42" s="27" t="e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#N/A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57"/>
      <c r="AK43" s="3"/>
      <c r="AL43" s="3"/>
      <c r="AN43" s="1">
        <f>IF(AJ43="",IF(AK43="",AL43,AL43-AK43),0)</f>
        <v>0</v>
      </c>
      <c r="AO43" s="1">
        <f>IF(AJ43&lt;&gt;"",IF(AK43="",AL43,AL43-AK43),0)</f>
        <v>0</v>
      </c>
      <c r="AQ43" s="3"/>
      <c r="AR43" s="3"/>
      <c r="AS43" s="3"/>
      <c r="AT43" s="32" t="str">
        <f>IFERROR(AVERAGE(AR43:AS43),"")</f>
        <v/>
      </c>
      <c r="AU43" s="78"/>
      <c r="AV43" s="78"/>
      <c r="AW43" s="77" t="s">
        <v>30</v>
      </c>
      <c r="AX43" s="8" t="str">
        <f t="shared" ref="AX43:AX82" si="4">IF(BE43&lt;&gt;"",1,"")</f>
        <v/>
      </c>
      <c r="BK43" s="61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57"/>
      <c r="AK44" s="3"/>
      <c r="AL44" s="3"/>
      <c r="AN44" s="1">
        <f t="shared" ref="AN44:AN51" si="9">IF(AJ44="",IF(AK44="",AL44,AL44-AK44),0)</f>
        <v>0</v>
      </c>
      <c r="AO44" s="1">
        <f t="shared" ref="AO44:AO51" si="10">IF(AJ44&lt;&gt;"",IF(AK44="",AL44,AL44-AK44),0)</f>
        <v>0</v>
      </c>
      <c r="AQ44" s="3"/>
      <c r="AR44" s="3"/>
      <c r="AS44" s="3"/>
      <c r="AT44" s="32" t="str">
        <f t="shared" ref="AT44:AT47" si="11">IFERROR(AVERAGE(AR44:AS44),"")</f>
        <v/>
      </c>
      <c r="AU44" s="78"/>
      <c r="AV44" s="78"/>
      <c r="AW44" s="77"/>
      <c r="AX44" s="8" t="str">
        <f t="shared" si="4"/>
        <v/>
      </c>
      <c r="BK44" s="61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:AH82" si="22">IF(AND(AS$33="E",AL$34&lt;&gt;"E 50g"),"droite","")</f>
        <v/>
      </c>
      <c r="AI45" s="12" t="str">
        <f t="shared" si="8"/>
        <v/>
      </c>
      <c r="AJ45" s="57"/>
      <c r="AK45" s="3"/>
      <c r="AL45" s="3"/>
      <c r="AN45" s="1">
        <f t="shared" si="9"/>
        <v>0</v>
      </c>
      <c r="AO45" s="1">
        <f t="shared" si="10"/>
        <v>0</v>
      </c>
      <c r="AQ45" s="3"/>
      <c r="AR45" s="3"/>
      <c r="AS45" s="3"/>
      <c r="AT45" s="32" t="str">
        <f t="shared" si="11"/>
        <v/>
      </c>
      <c r="AU45" s="78"/>
      <c r="AV45" s="78"/>
      <c r="AW45" s="77"/>
      <c r="AX45" s="8" t="str">
        <f t="shared" si="4"/>
        <v/>
      </c>
      <c r="BK45" s="61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:AH82" si="23">IF(AND(AS$33="E",AL$34&lt;&gt;"E 50g"),"gauche","")</f>
        <v/>
      </c>
      <c r="AI46" s="12" t="str">
        <f t="shared" si="8"/>
        <v/>
      </c>
      <c r="AJ46" s="57"/>
      <c r="AK46" s="3"/>
      <c r="AL46" s="3"/>
      <c r="AN46" s="1">
        <f t="shared" si="9"/>
        <v>0</v>
      </c>
      <c r="AO46" s="1">
        <f t="shared" si="10"/>
        <v>0</v>
      </c>
      <c r="AQ46" s="3"/>
      <c r="AR46" s="3"/>
      <c r="AS46" s="3"/>
      <c r="AT46" s="32" t="str">
        <f t="shared" si="11"/>
        <v/>
      </c>
      <c r="AU46" s="78"/>
      <c r="AV46" s="78"/>
      <c r="AW46" s="77"/>
      <c r="AX46" s="8" t="str">
        <f t="shared" si="4"/>
        <v/>
      </c>
      <c r="BK46" s="61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:AH82" si="24">IF(AND(AS$33="E",AL$34&lt;&gt;"E 50g"),"droite","")</f>
        <v/>
      </c>
      <c r="AI47" s="12" t="str">
        <f t="shared" si="8"/>
        <v/>
      </c>
      <c r="AJ47" s="57"/>
      <c r="AK47" s="3"/>
      <c r="AL47" s="3"/>
      <c r="AN47" s="1">
        <f t="shared" si="9"/>
        <v>0</v>
      </c>
      <c r="AO47" s="1">
        <f t="shared" si="10"/>
        <v>0</v>
      </c>
      <c r="AQ47" s="3"/>
      <c r="AR47" s="3"/>
      <c r="AS47" s="3"/>
      <c r="AT47" s="32" t="str">
        <f t="shared" si="11"/>
        <v/>
      </c>
      <c r="AU47" s="78"/>
      <c r="AV47" s="78"/>
      <c r="AW47" s="77"/>
      <c r="AX47" s="8" t="str">
        <f t="shared" si="4"/>
        <v/>
      </c>
      <c r="BK47" s="61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:AH82" si="25">IF(AND(AS$33="E",AL$34&lt;&gt;"E 50g"),"gauche","")</f>
        <v/>
      </c>
      <c r="AI48" s="12" t="str">
        <f t="shared" si="8"/>
        <v/>
      </c>
      <c r="AJ48" s="57"/>
      <c r="AK48" s="3"/>
      <c r="AL48" s="3"/>
      <c r="AN48" s="1">
        <f t="shared" si="9"/>
        <v>0</v>
      </c>
      <c r="AO48" s="1">
        <f t="shared" si="10"/>
        <v>0</v>
      </c>
      <c r="AQ48" s="33"/>
      <c r="AR48" s="34">
        <f>IF(COUNT(AR43:AR47)&lt;2,AR43,AVERAGE(AR43:AR47))</f>
        <v>0</v>
      </c>
      <c r="AS48" s="34">
        <f>IF(COUNT(AS43:AS47)&lt;2,AS43,AVERAGE(AS43:AS47))</f>
        <v>0</v>
      </c>
      <c r="AT48" s="35"/>
      <c r="AX48" s="8" t="str">
        <f t="shared" si="4"/>
        <v/>
      </c>
      <c r="BK48" s="61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:AH82" si="26">IF(AND(AS$33="E",AL$34&lt;&gt;"E 50g"),"droite","")</f>
        <v/>
      </c>
      <c r="AI49" s="12" t="str">
        <f t="shared" si="8"/>
        <v/>
      </c>
      <c r="AJ49" s="57"/>
      <c r="AK49" s="3"/>
      <c r="AL49" s="3"/>
      <c r="AN49" s="1">
        <f t="shared" si="9"/>
        <v>0</v>
      </c>
      <c r="AO49" s="1">
        <f t="shared" si="10"/>
        <v>0</v>
      </c>
      <c r="AQ49" s="25">
        <f>AV62</f>
        <v>252</v>
      </c>
      <c r="AR49" s="13" t="s">
        <v>13</v>
      </c>
      <c r="AS49" s="26">
        <f>AV63</f>
        <v>308</v>
      </c>
      <c r="AT49" s="35"/>
      <c r="AU49" s="62" t="s">
        <v>92</v>
      </c>
      <c r="AV49" s="13"/>
      <c r="AW49" s="13"/>
      <c r="AX49" s="8" t="str">
        <f t="shared" si="4"/>
        <v/>
      </c>
      <c r="BK49" s="61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:AH82" si="27">IF(AND(AS$33="E",AL$34&lt;&gt;"E 50g"),"gauche","")</f>
        <v/>
      </c>
      <c r="AI50" s="12" t="str">
        <f t="shared" si="8"/>
        <v/>
      </c>
      <c r="AJ50" s="57"/>
      <c r="AK50" s="3"/>
      <c r="AL50" s="3"/>
      <c r="AN50" s="1">
        <f t="shared" si="9"/>
        <v>0</v>
      </c>
      <c r="AO50" s="1">
        <f t="shared" si="10"/>
        <v>0</v>
      </c>
      <c r="AQ50" s="13"/>
      <c r="AR50" s="13" t="s">
        <v>14</v>
      </c>
      <c r="AS50" s="13" t="s">
        <v>15</v>
      </c>
      <c r="AT50" s="35"/>
      <c r="AU50" s="36"/>
      <c r="AV50" s="36"/>
      <c r="AW50" s="36"/>
      <c r="AX50" s="8" t="str">
        <f t="shared" si="4"/>
        <v/>
      </c>
      <c r="BK50" s="61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:AH82" si="28">IF(AND(AS$33="E",AL$34&lt;&gt;"E 50g"),"droite","")</f>
        <v/>
      </c>
      <c r="AI51" s="12" t="str">
        <f t="shared" si="8"/>
        <v/>
      </c>
      <c r="AJ51" s="57"/>
      <c r="AK51" s="3"/>
      <c r="AL51" s="3"/>
      <c r="AN51" s="1">
        <f t="shared" si="9"/>
        <v>0</v>
      </c>
      <c r="AO51" s="1">
        <f t="shared" si="10"/>
        <v>0</v>
      </c>
      <c r="AQ51" s="3"/>
      <c r="AR51" s="5"/>
      <c r="AS51" s="3"/>
      <c r="AT51" s="35"/>
      <c r="AU51" s="36"/>
      <c r="AV51" s="36"/>
      <c r="AW51" s="36"/>
      <c r="AX51" s="8" t="str">
        <f t="shared" si="4"/>
        <v/>
      </c>
      <c r="BK51" s="61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:AH82" si="31">IF(AND(AS$33="E",AL$34&lt;&gt;"E 50g"),"gauche","")</f>
        <v/>
      </c>
      <c r="AI52" s="12" t="str">
        <f t="shared" si="8"/>
        <v/>
      </c>
      <c r="AJ52" s="57"/>
      <c r="AK52" s="3"/>
      <c r="AL52" s="3"/>
      <c r="AN52" s="1">
        <f t="shared" ref="AN52:AN73" si="32">IF(AJ52="",IF(AK52="",AL52,AL52-AK52),0)</f>
        <v>0</v>
      </c>
      <c r="AO52" s="1">
        <f t="shared" ref="AO52:AO73" si="33">IF(AJ52&lt;&gt;"",IF(AK52="",AL52,AL52-AK52),0)</f>
        <v>0</v>
      </c>
      <c r="AQ52" s="3"/>
      <c r="AR52" s="5"/>
      <c r="AS52" s="3"/>
      <c r="AT52" s="35"/>
      <c r="AU52" s="36"/>
      <c r="AV52" s="36"/>
      <c r="AW52" s="36"/>
      <c r="AX52" s="8" t="str">
        <f t="shared" si="4"/>
        <v/>
      </c>
      <c r="BK52" s="61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:AH82" si="34">IF(AND(AS$33="E",AL$34&lt;&gt;"E 50g"),"droite","")</f>
        <v/>
      </c>
      <c r="AI53" s="12" t="str">
        <f t="shared" si="8"/>
        <v/>
      </c>
      <c r="AJ53" s="57"/>
      <c r="AK53" s="3"/>
      <c r="AL53" s="3"/>
      <c r="AN53" s="1">
        <f t="shared" si="32"/>
        <v>0</v>
      </c>
      <c r="AO53" s="1">
        <f t="shared" si="33"/>
        <v>0</v>
      </c>
      <c r="AQ53" s="3"/>
      <c r="AR53" s="5"/>
      <c r="AS53" s="3"/>
      <c r="AT53" s="35"/>
      <c r="AU53" s="36"/>
      <c r="AV53" s="36"/>
      <c r="AW53" s="36"/>
      <c r="AX53" s="8" t="str">
        <f t="shared" si="4"/>
        <v/>
      </c>
      <c r="BK53" s="61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:AH82" si="35">IF(AND(AS$33="E",AL$34&lt;&gt;"E 50g"),"gauche","")</f>
        <v/>
      </c>
      <c r="AI54" s="12" t="str">
        <f t="shared" si="8"/>
        <v/>
      </c>
      <c r="AJ54" s="57"/>
      <c r="AK54" s="3"/>
      <c r="AL54" s="3"/>
      <c r="AN54" s="1">
        <f t="shared" si="32"/>
        <v>0</v>
      </c>
      <c r="AO54" s="1">
        <f t="shared" si="33"/>
        <v>0</v>
      </c>
      <c r="AQ54" s="3"/>
      <c r="AR54" s="5"/>
      <c r="AS54" s="3"/>
      <c r="AT54" s="35"/>
      <c r="AU54" s="36"/>
      <c r="AV54" s="36"/>
      <c r="AW54" s="36"/>
      <c r="AX54" s="8" t="str">
        <f t="shared" si="4"/>
        <v/>
      </c>
      <c r="BK54" s="61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:AH82" si="36">IF(AND(AS$33="E",AL$34&lt;&gt;"E 50g"),"droite","")</f>
        <v/>
      </c>
      <c r="AI55" s="12" t="str">
        <f t="shared" si="8"/>
        <v/>
      </c>
      <c r="AJ55" s="57"/>
      <c r="AK55" s="3"/>
      <c r="AL55" s="3"/>
      <c r="AN55" s="1">
        <f t="shared" si="32"/>
        <v>0</v>
      </c>
      <c r="AO55" s="1">
        <f t="shared" si="33"/>
        <v>0</v>
      </c>
      <c r="AQ55" s="3"/>
      <c r="AR55" s="5"/>
      <c r="AS55" s="3"/>
      <c r="AT55" s="35"/>
      <c r="AU55" s="36"/>
      <c r="AV55" s="36"/>
      <c r="AW55" s="36" t="s">
        <v>90</v>
      </c>
      <c r="AX55" s="8" t="str">
        <f t="shared" si="4"/>
        <v/>
      </c>
      <c r="BK55" s="61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:AH82" si="37">IF(AND(AS$33="E",AL$34&lt;&gt;"E 50g"),"gauche","")</f>
        <v/>
      </c>
      <c r="AI56" s="12" t="str">
        <f t="shared" si="8"/>
        <v/>
      </c>
      <c r="AJ56" s="57"/>
      <c r="AK56" s="3"/>
      <c r="AL56" s="3"/>
      <c r="AN56" s="1">
        <f t="shared" si="32"/>
        <v>0</v>
      </c>
      <c r="AO56" s="1">
        <f t="shared" si="33"/>
        <v>0</v>
      </c>
      <c r="AQ56" s="37"/>
      <c r="AR56" s="34">
        <f>IF(COUNT(AR51:AR55)&lt;2,AR51,AVERAGE(AR51:AR55))</f>
        <v>0</v>
      </c>
      <c r="AS56" s="34" t="str">
        <f>IF(OR(AS55="OK",AS54="OK",AS53="OK",AS52="OK",AS51="OK"),"OK","")</f>
        <v/>
      </c>
      <c r="AT56" s="35"/>
      <c r="AX56" s="8" t="str">
        <f t="shared" si="4"/>
        <v/>
      </c>
      <c r="BK56" s="61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:AH82" si="38">IF(AND(AS$33="E",AL$34&lt;&gt;"E 50g"),"droite","")</f>
        <v/>
      </c>
      <c r="AI57" s="12" t="str">
        <f t="shared" si="8"/>
        <v/>
      </c>
      <c r="AJ57" s="57"/>
      <c r="AK57" s="3"/>
      <c r="AL57" s="3"/>
      <c r="AN57" s="1">
        <f t="shared" si="32"/>
        <v>0</v>
      </c>
      <c r="AO57" s="1">
        <f t="shared" si="33"/>
        <v>0</v>
      </c>
      <c r="AQ57" s="13"/>
      <c r="AR57" s="13" t="s">
        <v>22</v>
      </c>
      <c r="AS57" s="13"/>
      <c r="AU57" s="13"/>
      <c r="AV57" s="13" t="str">
        <f>IF(AL34&lt;&gt;"",AL34,"Sélectionner une production")</f>
        <v>F 380g/m2</v>
      </c>
      <c r="AW57" s="13"/>
      <c r="AX57" s="8" t="str">
        <f t="shared" si="4"/>
        <v/>
      </c>
      <c r="BK57" s="61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:AH82" si="39">IF(AND(AS$33="E",AL$34&lt;&gt;"E 50g"),"gauche","")</f>
        <v/>
      </c>
      <c r="AI58" s="12" t="str">
        <f t="shared" si="8"/>
        <v/>
      </c>
      <c r="AJ58" s="57"/>
      <c r="AK58" s="3"/>
      <c r="AL58" s="3"/>
      <c r="AN58" s="1">
        <f t="shared" si="32"/>
        <v>0</v>
      </c>
      <c r="AO58" s="1">
        <f t="shared" si="33"/>
        <v>0</v>
      </c>
      <c r="AQ58" s="38" t="s">
        <v>3</v>
      </c>
      <c r="AR58" s="30">
        <f>SUM(AN43:AN82)</f>
        <v>0</v>
      </c>
      <c r="AS58" s="30">
        <f>IF(AL$34="E 2x250g",MAX(AE43:AE82),MAX(AF43:AF82))</f>
        <v>0</v>
      </c>
      <c r="AU58" s="39"/>
      <c r="AV58" s="40" t="str">
        <f>IF(AU59&lt;&gt;"","Poids de sortie fibrage","")</f>
        <v>Poids de sortie fibrage</v>
      </c>
      <c r="AW58" s="41"/>
      <c r="AX58" s="8" t="str">
        <f t="shared" si="4"/>
        <v/>
      </c>
      <c r="BK58" s="61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:AH82" si="41">IF(AND(AS$33="E",AL$34&lt;&gt;"E 50g"),"droite","")</f>
        <v/>
      </c>
      <c r="AI59" s="12" t="str">
        <f t="shared" si="8"/>
        <v/>
      </c>
      <c r="AJ59" s="57"/>
      <c r="AK59" s="3"/>
      <c r="AL59" s="3"/>
      <c r="AN59" s="1">
        <f t="shared" si="32"/>
        <v>0</v>
      </c>
      <c r="AO59" s="1">
        <f t="shared" si="33"/>
        <v>0</v>
      </c>
      <c r="AQ59" s="42" t="s">
        <v>4</v>
      </c>
      <c r="AR59" s="29">
        <f>SUM(AO43:AO82)</f>
        <v>0</v>
      </c>
      <c r="AS59" s="29">
        <f>IF(AL$34="E 2x250g",MAX(AA43:AA82)/2,MAX(AA43:AA82))</f>
        <v>0</v>
      </c>
      <c r="AU59" s="43" t="str">
        <f>IF(AV59&lt;&gt;"","min","")</f>
        <v>min</v>
      </c>
      <c r="AV59" s="44">
        <f>IFERROR(HLOOKUP(AV57,_produits!A1:E3,2,FALSE),"")</f>
        <v>380</v>
      </c>
      <c r="AW59" s="45"/>
      <c r="AX59" s="8" t="str">
        <f t="shared" si="4"/>
        <v/>
      </c>
      <c r="BK59" s="61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:AH82" si="42">IF(AND(AS$33="E",AL$34&lt;&gt;"E 50g"),"gauche","")</f>
        <v/>
      </c>
      <c r="AI60" s="12" t="str">
        <f t="shared" si="8"/>
        <v/>
      </c>
      <c r="AJ60" s="57"/>
      <c r="AK60" s="3"/>
      <c r="AL60" s="3"/>
      <c r="AN60" s="1">
        <f t="shared" si="32"/>
        <v>0</v>
      </c>
      <c r="AO60" s="1">
        <f t="shared" si="33"/>
        <v>0</v>
      </c>
      <c r="AQ60" s="46" t="str">
        <f>_qualité!E2</f>
        <v>Fil</v>
      </c>
      <c r="AR60" s="47">
        <f>R41</f>
        <v>0</v>
      </c>
      <c r="AS60" s="47">
        <f>COUNTIF(AJ$43:AJ$73,AQ60)</f>
        <v>0</v>
      </c>
      <c r="AU60" s="43" t="str">
        <f>IF(AV60&lt;&gt;"","max","")</f>
        <v>max</v>
      </c>
      <c r="AV60" s="44">
        <f>IFERROR(HLOOKUP(AV57,_produits!A1:E4,3,FALSE),"")</f>
        <v>410</v>
      </c>
      <c r="AW60" s="45"/>
      <c r="AX60" s="8" t="str">
        <f t="shared" si="4"/>
        <v/>
      </c>
      <c r="BK60" s="61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:AH82" si="43">IF(AND(AS$33="E",AL$34&lt;&gt;"E 50g"),"droite","")</f>
        <v/>
      </c>
      <c r="AI61" s="12" t="str">
        <f t="shared" si="8"/>
        <v/>
      </c>
      <c r="AJ61" s="57"/>
      <c r="AK61" s="3"/>
      <c r="AL61" s="3"/>
      <c r="AN61" s="1">
        <f t="shared" si="32"/>
        <v>0</v>
      </c>
      <c r="AO61" s="1">
        <f t="shared" si="33"/>
        <v>0</v>
      </c>
      <c r="AQ61" s="46" t="str">
        <f>_qualité!E3</f>
        <v>Trou</v>
      </c>
      <c r="AR61" s="47">
        <f>S41</f>
        <v>0</v>
      </c>
      <c r="AS61" s="47">
        <f t="shared" ref="AS61:AS64" si="44">COUNTIF(AJ$43:AJ$73,AQ61)</f>
        <v>0</v>
      </c>
      <c r="AU61" s="48"/>
      <c r="AV61" s="49" t="str">
        <f>IF(MID(AL34,1,1)="F","Poids contrôle Final","")</f>
        <v>Poids contrôle Final</v>
      </c>
      <c r="AW61" s="50"/>
      <c r="AX61" s="8" t="str">
        <f t="shared" si="4"/>
        <v/>
      </c>
      <c r="BK61" s="61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:AH82" si="45">IF(AND(AS$33="E",AL$34&lt;&gt;"E 50g"),"gauche","")</f>
        <v/>
      </c>
      <c r="AI62" s="12" t="str">
        <f t="shared" si="8"/>
        <v/>
      </c>
      <c r="AJ62" s="57"/>
      <c r="AK62" s="3"/>
      <c r="AL62" s="3"/>
      <c r="AN62" s="1">
        <f t="shared" si="32"/>
        <v>0</v>
      </c>
      <c r="AO62" s="1">
        <f t="shared" si="33"/>
        <v>0</v>
      </c>
      <c r="AQ62" s="46" t="str">
        <f>_qualité!E4</f>
        <v>Poids</v>
      </c>
      <c r="AR62" s="47">
        <f>T41</f>
        <v>0</v>
      </c>
      <c r="AS62" s="47">
        <f t="shared" si="44"/>
        <v>0</v>
      </c>
      <c r="AU62" s="48" t="str">
        <f>IF(AV62&lt;&gt;"","min","")</f>
        <v>min</v>
      </c>
      <c r="AV62" s="51">
        <f>IF(AV61&lt;&gt;"",HLOOKUP(AV57,_produits!A1:E6,5,FALSE),"")</f>
        <v>252</v>
      </c>
      <c r="AW62" s="50"/>
      <c r="AX62" s="8" t="str">
        <f t="shared" si="4"/>
        <v/>
      </c>
      <c r="BK62" s="61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:AH82" si="46">IF(AND(AS$33="E",AL$34&lt;&gt;"E 50g"),"droite","")</f>
        <v/>
      </c>
      <c r="AI63" s="12" t="str">
        <f t="shared" si="8"/>
        <v/>
      </c>
      <c r="AJ63" s="57"/>
      <c r="AK63" s="3"/>
      <c r="AL63" s="3"/>
      <c r="AN63" s="1">
        <f t="shared" si="32"/>
        <v>0</v>
      </c>
      <c r="AO63" s="1">
        <f t="shared" si="33"/>
        <v>0</v>
      </c>
      <c r="AQ63" s="46" t="str">
        <f>_qualité!E5</f>
        <v>Autre</v>
      </c>
      <c r="AR63" s="47">
        <f>U41</f>
        <v>0</v>
      </c>
      <c r="AS63" s="47">
        <f t="shared" si="44"/>
        <v>0</v>
      </c>
      <c r="AU63" s="48" t="str">
        <f>IF(AV63&lt;&gt;"","max","")</f>
        <v>max</v>
      </c>
      <c r="AV63" s="51">
        <f>IF(AV61&lt;&gt;"",HLOOKUP(AV57,_produits!A1:E6,6,FALSE),"")</f>
        <v>308</v>
      </c>
      <c r="AW63" s="49"/>
      <c r="AX63" s="8" t="str">
        <f t="shared" si="4"/>
        <v/>
      </c>
      <c r="BK63" s="61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:AH82" si="47">IF(AND(AS$33="E",AL$34&lt;&gt;"E 50g"),"gauche","")</f>
        <v/>
      </c>
      <c r="AI64" s="12" t="str">
        <f t="shared" si="8"/>
        <v/>
      </c>
      <c r="AJ64" s="57"/>
      <c r="AK64" s="3"/>
      <c r="AL64" s="3"/>
      <c r="AN64" s="1">
        <f t="shared" si="32"/>
        <v>0</v>
      </c>
      <c r="AO64" s="1">
        <f t="shared" si="33"/>
        <v>0</v>
      </c>
      <c r="AQ64" s="46" t="str">
        <f>_qualité!E6</f>
        <v>Démarrage</v>
      </c>
      <c r="AR64" s="47">
        <f>V41</f>
        <v>0</v>
      </c>
      <c r="AS64" s="47">
        <f t="shared" si="44"/>
        <v>0</v>
      </c>
      <c r="AU64" s="48"/>
      <c r="AV64" s="49" t="str">
        <f>IF(MID(AL34,1,1)="F","Epaisseurs contrôle Final","")</f>
        <v>Epaisseurs contrôle Final</v>
      </c>
      <c r="AW64" s="50"/>
      <c r="AX64" s="8" t="str">
        <f t="shared" si="4"/>
        <v/>
      </c>
      <c r="BK64" s="61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:AH82" si="48">IF(AND(AS$33="E",AL$34&lt;&gt;"E 50g"),"droite","")</f>
        <v/>
      </c>
      <c r="AI65" s="12" t="str">
        <f t="shared" si="8"/>
        <v/>
      </c>
      <c r="AJ65" s="57"/>
      <c r="AK65" s="3"/>
      <c r="AL65" s="3"/>
      <c r="AN65" s="1">
        <f t="shared" si="32"/>
        <v>0</v>
      </c>
      <c r="AO65" s="1">
        <f t="shared" si="33"/>
        <v>0</v>
      </c>
      <c r="AQ65" s="52"/>
      <c r="AR65" s="53"/>
      <c r="AU65" s="48" t="str">
        <f>IF(AV65&lt;&gt;"","min","")</f>
        <v>min</v>
      </c>
      <c r="AV65" s="51">
        <f>IF(AV64&lt;&gt;"",_qualité!B6,"")</f>
        <v>3.8</v>
      </c>
      <c r="AW65" s="50"/>
      <c r="AX65" s="8" t="str">
        <f t="shared" si="4"/>
        <v/>
      </c>
      <c r="BK65" s="61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:AH82" si="49">IF(AND(AS$33="E",AL$34&lt;&gt;"E 50g"),"gauche","")</f>
        <v/>
      </c>
      <c r="AI66" s="12" t="str">
        <f t="shared" si="8"/>
        <v/>
      </c>
      <c r="AJ66" s="57"/>
      <c r="AK66" s="3"/>
      <c r="AL66" s="3"/>
      <c r="AN66" s="1">
        <f t="shared" si="32"/>
        <v>0</v>
      </c>
      <c r="AO66" s="1">
        <f t="shared" si="33"/>
        <v>0</v>
      </c>
      <c r="AQ66" s="52"/>
      <c r="AU66" s="48" t="str">
        <f>IF(AV66&lt;&gt;"","max","")</f>
        <v>max</v>
      </c>
      <c r="AV66" s="51" t="str">
        <f>IF(AV64&lt;&gt;"",_qualité!B7,"")</f>
        <v>Limit is the sky !</v>
      </c>
      <c r="AW66" s="50"/>
      <c r="AX66" s="8" t="str">
        <f t="shared" si="4"/>
        <v/>
      </c>
      <c r="BK66" s="61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:AH82" si="50">IF(AND(AS$33="E",AL$34&lt;&gt;"E 50g"),"droite","")</f>
        <v/>
      </c>
      <c r="AI67" s="12" t="str">
        <f t="shared" si="8"/>
        <v/>
      </c>
      <c r="AJ67" s="57"/>
      <c r="AK67" s="3"/>
      <c r="AL67" s="3"/>
      <c r="AN67" s="1">
        <f t="shared" si="32"/>
        <v>0</v>
      </c>
      <c r="AO67" s="1">
        <f t="shared" si="33"/>
        <v>0</v>
      </c>
      <c r="AX67" s="8" t="str">
        <f t="shared" si="4"/>
        <v/>
      </c>
      <c r="BK67" s="61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:AH82" si="51">IF(AND(AS$33="E",AL$34&lt;&gt;"E 50g"),"gauche","")</f>
        <v/>
      </c>
      <c r="AI68" s="12" t="str">
        <f t="shared" si="8"/>
        <v/>
      </c>
      <c r="AJ68" s="57"/>
      <c r="AK68" s="3"/>
      <c r="AL68" s="3"/>
      <c r="AN68" s="1">
        <f t="shared" si="32"/>
        <v>0</v>
      </c>
      <c r="AO68" s="1">
        <f t="shared" si="33"/>
        <v>0</v>
      </c>
      <c r="AU68" s="54"/>
      <c r="AV68" s="54" t="s">
        <v>75</v>
      </c>
      <c r="AW68" s="54"/>
      <c r="AX68" s="8" t="str">
        <f t="shared" si="4"/>
        <v/>
      </c>
      <c r="BK68" s="61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:AH82" si="52">IF(AND(AS$33="E",AL$34&lt;&gt;"E 50g"),"droite","")</f>
        <v/>
      </c>
      <c r="AI69" s="12" t="str">
        <f t="shared" si="8"/>
        <v/>
      </c>
      <c r="AJ69" s="57"/>
      <c r="AK69" s="3"/>
      <c r="AL69" s="3"/>
      <c r="AN69" s="1">
        <f t="shared" si="32"/>
        <v>0</v>
      </c>
      <c r="AO69" s="1">
        <f t="shared" si="33"/>
        <v>0</v>
      </c>
      <c r="AU69" s="67" t="str">
        <f ca="1">OFFSET('data TRS'!A1,COUNTA('data TRS'!A:A)-1,)</f>
        <v>91_F_A_Stéphane M.</v>
      </c>
      <c r="AV69" s="67"/>
      <c r="AW69" s="55" t="str">
        <f ca="1">CONCATENATE("TRS : ",ROUND(OFFSET('data TRS'!P1,COUNTA('data TRS'!P:P)-1,),2)," %")</f>
        <v>TRS : 6,67 %</v>
      </c>
      <c r="AX69" s="8" t="str">
        <f t="shared" si="4"/>
        <v/>
      </c>
      <c r="BK69" s="61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:AH82" si="53">IF(AND(AS$33="E",AL$34&lt;&gt;"E 50g"),"gauche","")</f>
        <v/>
      </c>
      <c r="AI70" s="12" t="str">
        <f t="shared" si="8"/>
        <v/>
      </c>
      <c r="AJ70" s="57"/>
      <c r="AK70" s="3"/>
      <c r="AL70" s="3"/>
      <c r="AN70" s="1">
        <f t="shared" si="32"/>
        <v>0</v>
      </c>
      <c r="AO70" s="1">
        <f t="shared" si="33"/>
        <v>0</v>
      </c>
      <c r="AU70" s="56" t="s">
        <v>76</v>
      </c>
      <c r="AV70" s="21">
        <f ca="1">OFFSET('data TRS'!L1,COUNTA('data TRS'!L:L)-1,)</f>
        <v>0</v>
      </c>
      <c r="AW70" s="21">
        <f ca="1">OFFSET('data TRS'!M1,COUNTA('data TRS'!M:M)-1,)</f>
        <v>0</v>
      </c>
      <c r="AX70" s="8" t="str">
        <f t="shared" si="4"/>
        <v/>
      </c>
      <c r="BK70" s="61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:AH82" si="54">IF(AND(AS$33="E",AL$34&lt;&gt;"E 50g"),"droite","")</f>
        <v/>
      </c>
      <c r="AI71" s="12" t="str">
        <f t="shared" si="8"/>
        <v/>
      </c>
      <c r="AJ71" s="57"/>
      <c r="AK71" s="3"/>
      <c r="AL71" s="3"/>
      <c r="AN71" s="1">
        <f t="shared" si="32"/>
        <v>0</v>
      </c>
      <c r="AO71" s="1">
        <f t="shared" si="33"/>
        <v>0</v>
      </c>
      <c r="AX71" s="8" t="str">
        <f t="shared" si="4"/>
        <v/>
      </c>
      <c r="BK71" s="61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:AH82" si="55">IF(AND(AS$33="E",AL$34&lt;&gt;"E 50g"),"gauche","")</f>
        <v/>
      </c>
      <c r="AI72" s="12" t="str">
        <f t="shared" si="8"/>
        <v/>
      </c>
      <c r="AJ72" s="57"/>
      <c r="AK72" s="3"/>
      <c r="AL72" s="3"/>
      <c r="AN72" s="1">
        <f t="shared" si="32"/>
        <v>0</v>
      </c>
      <c r="AO72" s="1">
        <f t="shared" si="33"/>
        <v>0</v>
      </c>
      <c r="AX72" s="8" t="str">
        <f t="shared" si="4"/>
        <v/>
      </c>
      <c r="BK72" s="61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:AH82" si="58">IF(AND(AS$33="E",AL$34&lt;&gt;"E 50g"),"droite","")</f>
        <v/>
      </c>
      <c r="AI73" s="12" t="str">
        <f t="shared" si="8"/>
        <v/>
      </c>
      <c r="AJ73" s="57"/>
      <c r="AK73" s="3"/>
      <c r="AL73" s="3"/>
      <c r="AN73" s="1">
        <f t="shared" si="32"/>
        <v>0</v>
      </c>
      <c r="AO73" s="1">
        <f t="shared" si="33"/>
        <v>0</v>
      </c>
      <c r="AX73" s="8" t="str">
        <f t="shared" si="4"/>
        <v/>
      </c>
      <c r="BK73" s="61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:AH82" si="59">IF(AND(AS$33="E",AL$34&lt;&gt;"E 50g"),"gauche","")</f>
        <v/>
      </c>
      <c r="AI74" s="12" t="str">
        <f t="shared" si="8"/>
        <v/>
      </c>
      <c r="AJ74" s="57"/>
      <c r="AK74" s="3"/>
      <c r="AL74" s="3"/>
      <c r="AN74" s="1">
        <f t="shared" ref="AN74:AN82" si="60">IF(AJ74="",IF(AK74="",AL74,AL74-AK74),0)</f>
        <v>0</v>
      </c>
      <c r="AO74" s="1">
        <f t="shared" ref="AO74:AO82" si="61">IF(AJ74&lt;&gt;"",IF(AK74="",AL74,AL74-AK74),0)</f>
        <v>0</v>
      </c>
      <c r="AX74" s="8" t="str">
        <f t="shared" si="4"/>
        <v/>
      </c>
      <c r="BK74" s="61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:AH82" si="62">IF(AND(AS$33="E",AL$34&lt;&gt;"E 50g"),"droite","")</f>
        <v/>
      </c>
      <c r="AI75" s="12" t="str">
        <f t="shared" si="8"/>
        <v/>
      </c>
      <c r="AJ75" s="57"/>
      <c r="AK75" s="3"/>
      <c r="AL75" s="3"/>
      <c r="AN75" s="1">
        <f t="shared" si="60"/>
        <v>0</v>
      </c>
      <c r="AO75" s="1">
        <f t="shared" si="61"/>
        <v>0</v>
      </c>
      <c r="AX75" s="8" t="str">
        <f t="shared" si="4"/>
        <v/>
      </c>
      <c r="BK75" s="61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:AH82" si="63">IF(AND(AS$33="E",AL$34&lt;&gt;"E 50g"),"gauche","")</f>
        <v/>
      </c>
      <c r="AI76" s="12" t="str">
        <f t="shared" si="8"/>
        <v/>
      </c>
      <c r="AJ76" s="57"/>
      <c r="AK76" s="3"/>
      <c r="AL76" s="3"/>
      <c r="AN76" s="1">
        <f t="shared" si="60"/>
        <v>0</v>
      </c>
      <c r="AO76" s="1">
        <f t="shared" si="61"/>
        <v>0</v>
      </c>
      <c r="AX76" s="8" t="str">
        <f t="shared" si="4"/>
        <v/>
      </c>
      <c r="BK76" s="61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:AH82" si="64">IF(AND(AS$33="E",AL$34&lt;&gt;"E 50g"),"droite","")</f>
        <v/>
      </c>
      <c r="AI77" s="12" t="str">
        <f t="shared" si="8"/>
        <v/>
      </c>
      <c r="AJ77" s="57"/>
      <c r="AK77" s="3"/>
      <c r="AL77" s="3"/>
      <c r="AN77" s="1">
        <f t="shared" si="60"/>
        <v>0</v>
      </c>
      <c r="AO77" s="1">
        <f t="shared" si="61"/>
        <v>0</v>
      </c>
      <c r="AX77" s="8" t="str">
        <f t="shared" si="4"/>
        <v/>
      </c>
      <c r="BK77" s="61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:AH82" si="65">IF(AND(AS$33="E",AL$34&lt;&gt;"E 50g"),"gauche","")</f>
        <v/>
      </c>
      <c r="AI78" s="12" t="str">
        <f t="shared" si="8"/>
        <v/>
      </c>
      <c r="AJ78" s="57"/>
      <c r="AK78" s="3"/>
      <c r="AL78" s="3"/>
      <c r="AN78" s="1">
        <f t="shared" si="60"/>
        <v>0</v>
      </c>
      <c r="AO78" s="1">
        <f t="shared" si="61"/>
        <v>0</v>
      </c>
      <c r="AX78" s="8" t="str">
        <f t="shared" si="4"/>
        <v/>
      </c>
      <c r="BK78" s="61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:AH82" si="66">IF(AND(AS$33="E",AL$34&lt;&gt;"E 50g"),"droite","")</f>
        <v/>
      </c>
      <c r="AI79" s="12" t="str">
        <f t="shared" si="8"/>
        <v/>
      </c>
      <c r="AJ79" s="57"/>
      <c r="AK79" s="3"/>
      <c r="AL79" s="3"/>
      <c r="AN79" s="1">
        <f t="shared" si="60"/>
        <v>0</v>
      </c>
      <c r="AO79" s="1">
        <f t="shared" si="61"/>
        <v>0</v>
      </c>
      <c r="AX79" s="8" t="str">
        <f t="shared" si="4"/>
        <v/>
      </c>
      <c r="BK79" s="61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:AH82" si="67">IF(AND(AS$33="E",AL$34&lt;&gt;"E 50g"),"gauche","")</f>
        <v/>
      </c>
      <c r="AI80" s="12" t="str">
        <f t="shared" si="8"/>
        <v/>
      </c>
      <c r="AJ80" s="57"/>
      <c r="AK80" s="3"/>
      <c r="AL80" s="3"/>
      <c r="AN80" s="1">
        <f t="shared" si="60"/>
        <v>0</v>
      </c>
      <c r="AO80" s="1">
        <f t="shared" si="61"/>
        <v>0</v>
      </c>
      <c r="AX80" s="8" t="str">
        <f t="shared" si="4"/>
        <v/>
      </c>
      <c r="BK80" s="61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:AH82" si="68">IF(AND(AS$33="E",AL$34&lt;&gt;"E 50g"),"droite","")</f>
        <v/>
      </c>
      <c r="AI81" s="12" t="str">
        <f t="shared" si="8"/>
        <v/>
      </c>
      <c r="AJ81" s="57"/>
      <c r="AK81" s="3"/>
      <c r="AL81" s="3"/>
      <c r="AN81" s="1">
        <f t="shared" si="60"/>
        <v>0</v>
      </c>
      <c r="AO81" s="1">
        <f t="shared" si="61"/>
        <v>0</v>
      </c>
      <c r="AX81" s="8" t="str">
        <f t="shared" si="4"/>
        <v/>
      </c>
      <c r="BK81" s="61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/>
      </c>
      <c r="AI82" s="12" t="str">
        <f t="shared" si="8"/>
        <v/>
      </c>
      <c r="AJ82" s="57"/>
      <c r="AK82" s="3"/>
      <c r="AL82" s="3"/>
      <c r="AN82" s="1">
        <f t="shared" si="60"/>
        <v>0</v>
      </c>
      <c r="AO82" s="1">
        <f t="shared" si="61"/>
        <v>0</v>
      </c>
      <c r="AX82" s="8" t="str">
        <f t="shared" si="4"/>
        <v/>
      </c>
      <c r="BK82" s="61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6"/>
    </row>
  </sheetData>
  <sheetProtection selectLockedCells="1"/>
  <mergeCells count="17">
    <mergeCell ref="AN41:AO41"/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12"/>
  <sheetViews>
    <sheetView workbookViewId="0">
      <selection activeCell="H21" sqref="H21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100</v>
      </c>
    </row>
    <row r="3" spans="1:10" x14ac:dyDescent="0.25">
      <c r="A3" t="s">
        <v>107</v>
      </c>
      <c r="B3" t="s">
        <v>102</v>
      </c>
      <c r="C3">
        <v>1</v>
      </c>
      <c r="E3">
        <v>394</v>
      </c>
      <c r="J3" t="s">
        <v>43</v>
      </c>
    </row>
    <row r="4" spans="1:10" x14ac:dyDescent="0.25">
      <c r="A4" t="s">
        <v>108</v>
      </c>
      <c r="B4" t="s">
        <v>102</v>
      </c>
      <c r="C4">
        <v>2</v>
      </c>
      <c r="E4">
        <v>390</v>
      </c>
      <c r="J4" t="s">
        <v>43</v>
      </c>
    </row>
    <row r="5" spans="1:10" x14ac:dyDescent="0.25">
      <c r="A5" t="s">
        <v>110</v>
      </c>
      <c r="B5" t="s">
        <v>109</v>
      </c>
      <c r="C5">
        <v>1</v>
      </c>
      <c r="E5">
        <v>394</v>
      </c>
      <c r="J5" t="s">
        <v>43</v>
      </c>
    </row>
    <row r="6" spans="1:10" x14ac:dyDescent="0.25">
      <c r="A6" t="s">
        <v>111</v>
      </c>
      <c r="B6" t="s">
        <v>109</v>
      </c>
      <c r="C6">
        <v>2</v>
      </c>
      <c r="E6">
        <v>390</v>
      </c>
      <c r="J6" t="s">
        <v>43</v>
      </c>
    </row>
    <row r="7" spans="1:10" x14ac:dyDescent="0.25">
      <c r="A7" t="s">
        <v>107</v>
      </c>
      <c r="B7" t="s">
        <v>112</v>
      </c>
      <c r="C7">
        <v>1</v>
      </c>
      <c r="E7">
        <v>394</v>
      </c>
      <c r="J7" t="s">
        <v>43</v>
      </c>
    </row>
    <row r="8" spans="1:10" x14ac:dyDescent="0.25">
      <c r="A8" t="s">
        <v>108</v>
      </c>
      <c r="B8" t="s">
        <v>112</v>
      </c>
      <c r="C8">
        <v>2</v>
      </c>
      <c r="E8">
        <v>390</v>
      </c>
      <c r="J8" t="s">
        <v>43</v>
      </c>
    </row>
    <row r="9" spans="1:10" x14ac:dyDescent="0.25">
      <c r="A9" t="s">
        <v>107</v>
      </c>
      <c r="B9" t="s">
        <v>113</v>
      </c>
      <c r="C9">
        <v>1</v>
      </c>
      <c r="E9">
        <v>394</v>
      </c>
      <c r="J9" t="s">
        <v>43</v>
      </c>
    </row>
    <row r="10" spans="1:10" x14ac:dyDescent="0.25">
      <c r="A10" t="s">
        <v>108</v>
      </c>
      <c r="B10" t="s">
        <v>113</v>
      </c>
      <c r="C10">
        <v>2</v>
      </c>
      <c r="E10">
        <v>390</v>
      </c>
      <c r="J10" t="s">
        <v>43</v>
      </c>
    </row>
    <row r="11" spans="1:10" x14ac:dyDescent="0.25">
      <c r="A11" t="s">
        <v>107</v>
      </c>
      <c r="B11" t="s">
        <v>114</v>
      </c>
      <c r="C11">
        <v>1</v>
      </c>
      <c r="E11">
        <v>394</v>
      </c>
      <c r="J11" t="s">
        <v>43</v>
      </c>
    </row>
    <row r="12" spans="1:10" x14ac:dyDescent="0.25">
      <c r="A12" t="s">
        <v>108</v>
      </c>
      <c r="B12" t="s">
        <v>114</v>
      </c>
      <c r="C12">
        <v>2</v>
      </c>
      <c r="E12">
        <v>390</v>
      </c>
      <c r="J12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1"/>
  <sheetViews>
    <sheetView workbookViewId="0">
      <selection activeCell="AE12" sqref="AE12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4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bestFit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100</v>
      </c>
    </row>
    <row r="3" spans="1:27" x14ac:dyDescent="0.25">
      <c r="A3" t="s">
        <v>102</v>
      </c>
      <c r="B3">
        <v>91</v>
      </c>
      <c r="C3" s="4">
        <v>45017</v>
      </c>
      <c r="D3" t="s">
        <v>56</v>
      </c>
      <c r="E3">
        <v>480</v>
      </c>
      <c r="F3" t="s">
        <v>101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83">
        <v>45017.88318287037</v>
      </c>
    </row>
    <row r="4" spans="1:27" x14ac:dyDescent="0.25">
      <c r="A4" t="s">
        <v>109</v>
      </c>
      <c r="B4">
        <v>91</v>
      </c>
      <c r="C4" s="4">
        <v>45017</v>
      </c>
      <c r="D4" t="s">
        <v>58</v>
      </c>
      <c r="E4">
        <v>480</v>
      </c>
      <c r="F4" t="s">
        <v>101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83">
        <v>45017.88354166667</v>
      </c>
    </row>
    <row r="5" spans="1:27" x14ac:dyDescent="0.25">
      <c r="A5" t="s">
        <v>112</v>
      </c>
      <c r="B5">
        <v>91</v>
      </c>
      <c r="C5" s="4">
        <v>45017</v>
      </c>
      <c r="D5" t="s">
        <v>56</v>
      </c>
      <c r="E5">
        <v>480</v>
      </c>
      <c r="F5" t="s">
        <v>101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83">
        <v>45017.884085648147</v>
      </c>
    </row>
    <row r="6" spans="1:27" x14ac:dyDescent="0.25">
      <c r="A6" t="s">
        <v>113</v>
      </c>
      <c r="B6">
        <v>91</v>
      </c>
      <c r="C6" s="4">
        <v>45017</v>
      </c>
      <c r="D6" t="s">
        <v>56</v>
      </c>
      <c r="E6">
        <v>480</v>
      </c>
      <c r="F6" t="s">
        <v>101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83">
        <v>45017.885127314818</v>
      </c>
    </row>
    <row r="7" spans="1:27" x14ac:dyDescent="0.25">
      <c r="A7" t="s">
        <v>114</v>
      </c>
      <c r="B7">
        <v>91</v>
      </c>
      <c r="C7" s="4">
        <v>45017</v>
      </c>
      <c r="D7" t="s">
        <v>56</v>
      </c>
      <c r="E7">
        <v>480</v>
      </c>
      <c r="F7" t="s">
        <v>101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83">
        <v>45017.885671296295</v>
      </c>
    </row>
    <row r="8" spans="1:27" x14ac:dyDescent="0.25">
      <c r="C8" s="4"/>
      <c r="AA8" s="83"/>
    </row>
    <row r="9" spans="1:27" x14ac:dyDescent="0.25">
      <c r="C9" s="4"/>
      <c r="AA9" s="83"/>
    </row>
    <row r="10" spans="1:27" x14ac:dyDescent="0.25">
      <c r="C10" s="4"/>
      <c r="AA10" s="83"/>
    </row>
    <row r="11" spans="1:27" x14ac:dyDescent="0.25">
      <c r="C11" s="4"/>
      <c r="AA11" s="8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_qualité</vt:lpstr>
      <vt:lpstr>_produits</vt:lpstr>
      <vt:lpstr>_matrice TRS</vt:lpstr>
      <vt:lpstr>PROD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2023-04-01T19:57:48Z</dcterms:modified>
</cp:coreProperties>
</file>