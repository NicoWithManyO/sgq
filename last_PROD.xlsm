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0" yWindow="4200" windowWidth="23040" windowHeight="9180" tabRatio="466" activeTab="1"/>
  </bookViews>
  <sheets>
    <sheet name="_data" sheetId="7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69" i="1" l="1"/>
  <c r="AW70" i="1"/>
  <c r="AV70" i="1"/>
  <c r="AU69" i="1"/>
  <c r="AH33" i="1" l="1"/>
  <c r="AJ38" i="1" l="1"/>
  <c r="BZ61" i="1" l="1"/>
  <c r="CI61" i="1" s="1"/>
  <c r="BZ62" i="1"/>
  <c r="CI62" i="1" s="1"/>
  <c r="BZ63" i="1"/>
  <c r="CI63" i="1" s="1"/>
  <c r="BZ64" i="1"/>
  <c r="CI64" i="1" s="1"/>
  <c r="BZ65" i="1"/>
  <c r="CI65" i="1" s="1"/>
  <c r="BZ66" i="1"/>
  <c r="CI66" i="1" s="1"/>
  <c r="BZ67" i="1"/>
  <c r="CI67" i="1" s="1"/>
  <c r="BZ68" i="1"/>
  <c r="CI68" i="1" s="1"/>
  <c r="BZ69" i="1"/>
  <c r="CI69" i="1" s="1"/>
  <c r="BZ70" i="1"/>
  <c r="CI70" i="1" s="1"/>
  <c r="BZ71" i="1"/>
  <c r="CI71" i="1" s="1"/>
  <c r="BZ72" i="1"/>
  <c r="CI72" i="1" s="1"/>
  <c r="BZ73" i="1"/>
  <c r="CI73" i="1" s="1"/>
  <c r="BZ74" i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T38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E73" i="1"/>
  <c r="AF73" i="1"/>
  <c r="AC73" i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CB68" i="1" s="1"/>
  <c r="AI60" i="1"/>
  <c r="AI62" i="1"/>
  <c r="CB62" i="1" s="1"/>
  <c r="AI59" i="1"/>
  <c r="AI52" i="1"/>
  <c r="BZ52" i="1" s="1"/>
  <c r="AI69" i="1"/>
  <c r="CB69" i="1" s="1"/>
  <c r="AI53" i="1"/>
  <c r="BZ53" i="1" s="1"/>
  <c r="AI48" i="1"/>
  <c r="BZ48" i="1" s="1"/>
  <c r="AI49" i="1"/>
  <c r="BZ49" i="1" s="1"/>
  <c r="CA62" i="1"/>
  <c r="CA46" i="1"/>
  <c r="CB46" i="1"/>
  <c r="CA69" i="1"/>
  <c r="CA68" i="1"/>
  <c r="AI57" i="1"/>
  <c r="BZ57" i="1" s="1"/>
  <c r="CI57" i="1" s="1"/>
  <c r="AI61" i="1"/>
  <c r="AI64" i="1"/>
  <c r="AI43" i="1"/>
  <c r="BZ43" i="1" s="1"/>
  <c r="CI43" i="1" s="1"/>
  <c r="AI50" i="1"/>
  <c r="BZ50" i="1" s="1"/>
  <c r="CI50" i="1" s="1"/>
  <c r="AI67" i="1"/>
  <c r="AI47" i="1"/>
  <c r="BZ47" i="1" s="1"/>
  <c r="CI47" i="1" s="1"/>
  <c r="AI65" i="1"/>
  <c r="AI54" i="1"/>
  <c r="BZ54" i="1" s="1"/>
  <c r="CI54" i="1" s="1"/>
  <c r="AI70" i="1"/>
  <c r="AI45" i="1"/>
  <c r="BZ45" i="1" s="1"/>
  <c r="CI45" i="1" s="1"/>
  <c r="AI58" i="1"/>
  <c r="BZ58" i="1" s="1"/>
  <c r="CI58" i="1" s="1"/>
  <c r="AI63" i="1"/>
  <c r="AI51" i="1"/>
  <c r="BZ51" i="1" s="1"/>
  <c r="CI51" i="1" s="1"/>
  <c r="AI55" i="1"/>
  <c r="BZ55" i="1" s="1"/>
  <c r="CI55" i="1" s="1"/>
  <c r="AI56" i="1"/>
  <c r="BZ56" i="1" s="1"/>
  <c r="CI56" i="1" s="1"/>
  <c r="AI66" i="1"/>
  <c r="AI72" i="1"/>
  <c r="AI44" i="1"/>
  <c r="BZ44" i="1" s="1"/>
  <c r="CI44" i="1" s="1"/>
  <c r="AI71" i="1"/>
  <c r="AS59" i="1"/>
  <c r="AS58" i="1"/>
  <c r="CB59" i="1" l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2" i="1"/>
  <c r="CH62" i="1"/>
  <c r="CG69" i="1"/>
  <c r="CH69" i="1"/>
  <c r="CB44" i="1"/>
  <c r="CA44" i="1"/>
  <c r="CA43" i="1"/>
  <c r="BZ41" i="1" s="1"/>
  <c r="CG46" i="1"/>
  <c r="CH46" i="1"/>
  <c r="CG68" i="1"/>
  <c r="CH68" i="1"/>
  <c r="CA70" i="1"/>
  <c r="CB70" i="1"/>
  <c r="CE62" i="1"/>
  <c r="CF62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E69" i="1"/>
  <c r="CF69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8" i="1"/>
  <c r="CF68" i="1"/>
  <c r="CE60" i="1"/>
  <c r="CF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H60" i="1" l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<sst xmlns="http://schemas.openxmlformats.org/spreadsheetml/2006/main" count="199" uniqueCount="112">
  <si>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</si>
  <si>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</si>
  <si>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</si>
  <si>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</si>
  <si>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</si>
  <si>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</si>
  <si>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</si>
  <si>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</si>
  <si>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</si>
  <si>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</si>
  <si>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</si>
  <si>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</si>
  <si>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</si>
  <si>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</si>
  <si>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</si>
  <si>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</si>
  <si>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</si>
  <si>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</si>
  <si>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</si>
  <si>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</si>
  <si>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</si>
  <si>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</si>
  <si>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</si>
  <si>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</si>
  <si>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</si>
  <si>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</si>
  <si>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</si>
  <si>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</si>
  <si>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</si>
  <si>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</si>
  <si>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</si>
  <si>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</si>
  <si>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</si>
  <si>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</si>
  <si>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</si>
  <si>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</si>
  <si>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</si>
  <si>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</si>
  <si>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</si>
  <si>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</si>
  <si>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</si>
  <si>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</si>
  <si>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</si>
  <si>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</si>
  <si>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</si>
  <si>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</si>
  <si>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</si>
  <si>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</si>
  <si>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</si>
  <si>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</si>
  <si>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</si>
  <si>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</si>
  <si>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</si>
  <si>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</si>
  <si>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</si>
  <si>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</si>
  <si>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</si>
  <si>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</si>
  <si>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</si>
  <si>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</si>
  <si>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</si>
  <si>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</si>
  <si>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</si>
  <si>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</si>
  <si>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</si>
  <si>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</si>
  <si>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E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</si>
  <si>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</si>
  <si>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</si>
  <si>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</si>
  <si>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</si>
  <si>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</si>
  <si>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</si>
  <si>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</si>
  <si>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</si>
  <si>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</si>
  <si>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</si>
  <si>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</si>
  <si>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</si>
  <si>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</si>
  <si>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</si>
  <si>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</si>
  <si>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</si>
  <si>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</si>
  <si>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</si>
  <si>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</si>
  <si>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</si>
  <si>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</si>
  <si>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</si>
  <si>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</si>
  <si>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</si>
  <si>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</si>
  <si>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</si>
  <si>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</si>
  <si>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</si>
  <si>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F</t>
  </si>
  <si>
    <t>Valider le poste</t>
  </si>
  <si>
    <t>production</t>
  </si>
  <si>
    <t>Colonne27</t>
  </si>
  <si>
    <t>86_E_A_Stéphane M.</t>
  </si>
  <si>
    <t>E1_86_A</t>
  </si>
  <si>
    <t>save_date</t>
  </si>
  <si>
    <t>blocage du scroll</t>
  </si>
  <si>
    <t>affichage du dernier poste enregistré sur la feuille de prod</t>
  </si>
  <si>
    <t>correction de "défault" en défaut :/</t>
  </si>
  <si>
    <t>David H.</t>
  </si>
  <si>
    <t>122_F_M_Nicolas</t>
  </si>
  <si>
    <t>F_122_M</t>
  </si>
  <si>
    <t>F1_122_M</t>
  </si>
  <si>
    <t>F2_122_M</t>
  </si>
  <si>
    <t>F3_122_M</t>
  </si>
  <si>
    <t>F4_122_M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</si>
</sst>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6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6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6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center" vertical="center"/>
    </xf>
    <xf numFmtId="0" fontId="18" fillId="6" borderId="4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</xf>
    <xf numFmtId="166" fontId="5" fillId="2" borderId="0" xfId="0" applyNumberFormat="1" applyFont="1" applyFill="1" applyAlignment="1" applyProtection="1">
      <alignment horizontal="left" vertical="center"/>
    </xf>
    <xf numFmtId="22" fontId="0" fillId="2" borderId="0" xfId="0" applyNumberFormat="1" applyFill="1" applyAlignment="1" applyProtection="1">
      <alignment vertical="center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726843</xdr:colOff>
      <xdr:row>36</xdr:row>
      <xdr:rowOff>80232</xdr:rowOff>
    </xdr:from>
    <xdr:to>
      <xdr:col>49</xdr:col>
      <xdr:colOff>322128</xdr:colOff>
      <xdr:row>39</xdr:row>
      <xdr:rowOff>95783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1693" y="3407632"/>
          <a:ext cx="573185" cy="568001"/>
        </a:xfrm>
        <a:prstGeom prst="rect">
          <a:avLst/>
        </a:prstGeom>
      </xdr:spPr>
    </xdr:pic>
    <xdr:clientData/>
  </xdr:twoCellAnchor>
  <xdr:twoCellAnchor editAs="oneCell">
    <xdr:from>
      <xdr:col>48</xdr:col>
      <xdr:colOff>713410</xdr:colOff>
      <xdr:row>32</xdr:row>
      <xdr:rowOff>52393</xdr:rowOff>
    </xdr:from>
    <xdr:to>
      <xdr:col>49</xdr:col>
      <xdr:colOff>371825</xdr:colOff>
      <xdr:row>35</xdr:row>
      <xdr:rowOff>137391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308260" y="2643193"/>
          <a:ext cx="636315" cy="637448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"/>
  <sheetViews>
    <sheetView workbookViewId="0">
      <selection activeCell="A8" sqref="A8"/>
    </sheetView>
  </sheetViews>
  <sheetFormatPr baseColWidth="10" defaultRowHeight="14.4" x14ac:dyDescent="0.3"/>
  <cols>
    <col min="5" max="5" width="15.5546875" bestFit="1" customWidth="1"/>
    <col min="7" max="7" width="48.44140625" bestFit="1" customWidth="1"/>
  </cols>
  <sheetData>
    <row r="1" spans="1:8" x14ac:dyDescent="0.3">
      <c r="A1" t="s">
        <v>51</v>
      </c>
      <c r="C1" t="s">
        <v>56</v>
      </c>
      <c r="E1" t="s">
        <v>75</v>
      </c>
      <c r="G1" t="s">
        <v>76</v>
      </c>
      <c r="H1" t="s">
        <v>80</v>
      </c>
    </row>
    <row r="2" spans="1:8" x14ac:dyDescent="0.3">
      <c r="A2" t="s">
        <v>52</v>
      </c>
      <c r="C2" t="s">
        <v>46</v>
      </c>
      <c r="E2" t="s">
        <v>74</v>
      </c>
      <c r="G2" t="s">
        <v>77</v>
      </c>
    </row>
    <row r="3" spans="1:8" x14ac:dyDescent="0.3">
      <c r="A3" t="s">
        <v>53</v>
      </c>
      <c r="C3" t="s">
        <v>57</v>
      </c>
      <c r="E3" s="4"/>
      <c r="G3" t="s">
        <v>104</v>
      </c>
    </row>
    <row r="4" spans="1:8" x14ac:dyDescent="0.3">
      <c r="A4" t="s">
        <v>54</v>
      </c>
      <c r="C4" t="s">
        <v>58</v>
      </c>
      <c r="G4" t="s">
        <v>102</v>
      </c>
    </row>
    <row r="5" spans="1:8" x14ac:dyDescent="0.3">
      <c r="A5" t="s">
        <v>94</v>
      </c>
      <c r="C5" t="s">
        <v>59</v>
      </c>
      <c r="G5" t="s">
        <v>103</v>
      </c>
    </row>
    <row r="6" spans="1:8" x14ac:dyDescent="0.3">
      <c r="A6" t="s">
        <v>105</v>
      </c>
    </row>
    <row r="7" spans="1:8" x14ac:dyDescent="0.3">
      <c r="A7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Z83"/>
  <sheetViews>
    <sheetView tabSelected="1" topLeftCell="Y31" zoomScale="115" zoomScaleNormal="115" workbookViewId="0">
      <selection activeCell="AL34" sqref="AL34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7.5546875" style="9" customWidth="1"/>
    <col min="51" max="51" width="10.8867187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664062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33203125" style="10" bestFit="1" customWidth="1"/>
    <col min="88" max="88" width="4.109375" style="10" customWidth="1"/>
    <col min="89" max="90" width="9" style="10" bestFit="1" customWidth="1"/>
    <col min="91" max="91" width="8.88671875" style="10" bestFit="1" customWidth="1"/>
    <col min="92" max="92" width="3" style="10" bestFit="1" customWidth="1"/>
    <col min="93" max="93" width="12.109375" style="10" bestFit="1" customWidth="1"/>
    <col min="94" max="94" width="5.44140625" style="10" bestFit="1" customWidth="1"/>
    <col min="95" max="95" width="5.109375" style="10" bestFit="1" customWidth="1"/>
    <col min="96" max="96" width="4.109375" style="10" bestFit="1" customWidth="1"/>
    <col min="97" max="97" width="9.21875" style="10" bestFit="1" customWidth="1"/>
    <col min="98" max="98" width="9.109375" style="10" customWidth="1"/>
    <col min="99" max="99" width="2.88671875" style="10" bestFit="1" customWidth="1"/>
    <col min="100" max="100" width="4.88671875" style="10" customWidth="1"/>
    <col min="101" max="101" width="5.5546875" style="10" bestFit="1" customWidth="1"/>
    <col min="102" max="102" width="5.6640625" style="10" bestFit="1" customWidth="1"/>
    <col min="103" max="103" width="10.33203125" style="10" customWidth="1"/>
    <col min="104" max="104" width="15.77734375" style="7" bestFit="1" customWidth="1"/>
    <col min="105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11"/>
      <c r="AH19" s="12"/>
      <c r="AI19" s="97" t="s">
        <v>69</v>
      </c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12"/>
      <c r="AX19" s="13"/>
    </row>
    <row r="20" spans="33:103" ht="14.4" customHeight="1" x14ac:dyDescent="0.3">
      <c r="AG20" s="11"/>
      <c r="AH20" s="12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12"/>
      <c r="AX20" s="13"/>
    </row>
    <row r="21" spans="33:103" ht="14.4" customHeight="1" x14ac:dyDescent="0.3">
      <c r="AG21" s="11"/>
      <c r="AH21" s="12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12"/>
      <c r="AX21" s="13"/>
    </row>
    <row r="22" spans="33:103" ht="14.4" customHeight="1" x14ac:dyDescent="0.3">
      <c r="AG22" s="11"/>
      <c r="AH22" s="12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12"/>
      <c r="AX22" s="13"/>
    </row>
    <row r="23" spans="33:103" ht="15" customHeight="1" thickBot="1" x14ac:dyDescent="0.35">
      <c r="AG23" s="11"/>
      <c r="AH23" s="12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78" t="s">
        <v>68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11"/>
      <c r="AV24" s="11"/>
      <c r="AW24" s="11"/>
      <c r="AX24" s="13"/>
    </row>
    <row r="25" spans="33:103" ht="14.4" customHeight="1" x14ac:dyDescent="0.3">
      <c r="AG25" s="11"/>
      <c r="AH25" s="77" t="s">
        <v>70</v>
      </c>
      <c r="AI25" s="77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11"/>
      <c r="AV25" s="11"/>
      <c r="AW25" s="11"/>
      <c r="AX25" s="13"/>
    </row>
    <row r="26" spans="33:103" ht="14.4" customHeight="1" x14ac:dyDescent="0.3">
      <c r="AG26" s="11"/>
      <c r="AH26" s="76" t="s">
        <v>71</v>
      </c>
      <c r="AI26" s="76"/>
      <c r="AJ26" s="76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11"/>
      <c r="AV26" s="11"/>
      <c r="AW26" s="11"/>
      <c r="AX26" s="13"/>
    </row>
    <row r="27" spans="33:103" ht="14.4" customHeight="1" x14ac:dyDescent="0.3">
      <c r="AG27" s="11"/>
      <c r="AH27" s="11"/>
      <c r="AI27" s="15"/>
      <c r="AJ27" s="11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7" t="s">
        <v>72</v>
      </c>
      <c r="AV27" s="77"/>
      <c r="AW27" s="77"/>
      <c r="AX27" s="13"/>
    </row>
    <row r="28" spans="33:103" x14ac:dyDescent="0.3">
      <c r="AG28" s="11"/>
      <c r="AH28" s="101" t="str">
        <f>_data!$E$2</f>
        <v>SD QU 08 14 rev 1</v>
      </c>
      <c r="AI28" s="101"/>
      <c r="AJ28" s="101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6" t="s">
        <v>73</v>
      </c>
      <c r="AV28" s="76"/>
      <c r="AW28" s="76"/>
      <c r="AX28" s="13"/>
    </row>
    <row r="29" spans="33:103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0</v>
      </c>
    </row>
    <row r="32" spans="33:103" x14ac:dyDescent="0.3">
      <c r="AG32" s="99" t="str">
        <f>IF(AND(AJ33&lt;&gt;"",AJ34&lt;&gt;"",AJ35&lt;&gt;"",AJ36&lt;&gt;"",AL34&lt;&gt;""),"ok","nok")</f>
        <v>nok</v>
      </c>
      <c r="AH32" s="11"/>
      <c r="AI32" s="82" t="s">
        <v>62</v>
      </c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84</v>
      </c>
      <c r="CB32" s="10" t="s">
        <v>0</v>
      </c>
      <c r="CC32" s="10" t="s">
        <v>50</v>
      </c>
      <c r="CD32" s="10" t="s">
        <v>85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90</v>
      </c>
      <c r="CL32" s="10" t="s">
        <v>91</v>
      </c>
      <c r="CM32" s="10" t="s">
        <v>92</v>
      </c>
      <c r="CN32" s="10" t="s">
        <v>19</v>
      </c>
      <c r="CO32" s="10" t="s">
        <v>86</v>
      </c>
      <c r="CP32" s="10" t="s">
        <v>87</v>
      </c>
      <c r="CQ32" s="10" t="s">
        <v>3</v>
      </c>
      <c r="CR32" s="10" t="s">
        <v>4</v>
      </c>
      <c r="CS32" s="10" t="s">
        <v>88</v>
      </c>
      <c r="CT32" s="10" t="s">
        <v>89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4" ht="14.4" customHeight="1" x14ac:dyDescent="0.3">
      <c r="AH33" s="102" t="str">
        <f>IF(AJ33&lt;&gt;"",AJ33,"")</f>
        <v/>
      </c>
      <c r="AI33" s="17" t="s">
        <v>0</v>
      </c>
      <c r="AJ33" s="70"/>
      <c r="AK33" s="18" t="str">
        <f>IF(AJ33&lt;&gt;"",AJ33-DATE(YEAR(AJ33),1,1)+1,"")</f>
        <v/>
      </c>
      <c r="AO33" s="19"/>
      <c r="AR33" s="20" t="s">
        <v>6</v>
      </c>
      <c r="AS33" s="21" t="str">
        <f>MID(AL34,1,1)</f>
        <v/>
      </c>
      <c r="AU33" s="83"/>
      <c r="AV33" s="83"/>
      <c r="AW33" s="83"/>
      <c r="BZ33" s="10" t="str">
        <f>CONCATENATE(AK33,"_",AS33,"_",MID(AJ34,1,1),"_",AJ35)</f>
        <v>___</v>
      </c>
      <c r="CA33" s="10">
        <f>_xlfn.NUMBERVALUE(AK33)</f>
        <v>0</v>
      </c>
      <c r="CB33" s="22">
        <f>AJ33</f>
        <v>0</v>
      </c>
      <c r="CC33" s="10">
        <f>AJ34</f>
        <v>0</v>
      </c>
      <c r="CD33" s="10">
        <f>AJ36</f>
        <v>0</v>
      </c>
      <c r="CE33" s="10" t="str">
        <f>AS33</f>
        <v/>
      </c>
      <c r="CF33" s="10">
        <f>AL34</f>
        <v>0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 t="str">
        <f>AU42</f>
        <v/>
      </c>
      <c r="CP33" s="10" t="b">
        <f>AW42</f>
        <v>0</v>
      </c>
      <c r="CQ33" s="10">
        <f>AR58</f>
        <v>0</v>
      </c>
      <c r="CR33" s="10">
        <f>AR59</f>
        <v>0</v>
      </c>
      <c r="CS33" s="10">
        <f>AS58</f>
        <v>0</v>
      </c>
      <c r="CT33" s="10">
        <f>AS59</f>
        <v>0</v>
      </c>
      <c r="CU33" s="10">
        <f>R41</f>
        <v>0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0</v>
      </c>
      <c r="CZ33" s="103"/>
    </row>
    <row r="34" spans="18:104" x14ac:dyDescent="0.3">
      <c r="AI34" s="17" t="s">
        <v>50</v>
      </c>
      <c r="AJ34" s="71"/>
      <c r="AK34" s="20" t="s">
        <v>97</v>
      </c>
      <c r="AL34" s="100"/>
      <c r="AO34" s="19"/>
      <c r="AQ34" s="23" t="str">
        <f>IFERROR(CONCATENATE("normal : ",HLOOKUP(PROD!AL34,_produits!A1:E8,8,FALSE)),"")</f>
        <v/>
      </c>
      <c r="AR34" s="20" t="s">
        <v>61</v>
      </c>
      <c r="AS34" s="69"/>
      <c r="AU34" s="83"/>
      <c r="AV34" s="83"/>
      <c r="AW34" s="83"/>
    </row>
    <row r="35" spans="18:104" x14ac:dyDescent="0.3">
      <c r="AI35" s="17" t="s">
        <v>1</v>
      </c>
      <c r="AJ35" s="71"/>
      <c r="AK35" s="20" t="s">
        <v>8</v>
      </c>
      <c r="AL35" s="72"/>
      <c r="AO35" s="19"/>
      <c r="AQ35" s="23" t="str">
        <f>IFERROR(CONCATENATE("normal : ",HLOOKUP(PROD!AL34,_produits!A1:E9,9,FALSE)),"")</f>
        <v/>
      </c>
      <c r="AR35" s="20" t="s">
        <v>64</v>
      </c>
      <c r="AS35" s="72"/>
      <c r="AU35" s="83"/>
      <c r="AV35" s="83"/>
      <c r="AW35" s="83"/>
    </row>
    <row r="36" spans="18:104" x14ac:dyDescent="0.3">
      <c r="AI36" s="17" t="s">
        <v>41</v>
      </c>
      <c r="AJ36" s="72"/>
      <c r="AK36" s="24">
        <f>AJ36/60/24</f>
        <v>0</v>
      </c>
      <c r="AO36" s="19"/>
      <c r="AU36" s="83"/>
      <c r="AV36" s="83"/>
      <c r="AW36" s="83"/>
    </row>
    <row r="37" spans="18:104" x14ac:dyDescent="0.3">
      <c r="AJ37" s="25" t="s">
        <v>67</v>
      </c>
    </row>
    <row r="38" spans="18:104" x14ac:dyDescent="0.3">
      <c r="AJ38" s="84" t="str">
        <f>IF(AL34="","Sélectionner la production à démarrer","Bon courage *")</f>
        <v>Sélectionner la production à démarrer</v>
      </c>
      <c r="AK38" s="84"/>
      <c r="AL38" s="84"/>
      <c r="AM38" s="84"/>
      <c r="AN38" s="84"/>
      <c r="AO38" s="84"/>
      <c r="AP38" s="84"/>
      <c r="AQ38" s="84"/>
      <c r="AR38" s="84"/>
      <c r="AS38" s="86"/>
      <c r="AT38" s="85" t="str">
        <f>IF(AS33="E","Droite/Gauche s'entendent dos au tambour","")</f>
        <v/>
      </c>
      <c r="AU38" s="85"/>
      <c r="AV38" s="85"/>
      <c r="AW38" s="85"/>
    </row>
    <row r="39" spans="18:104" x14ac:dyDescent="0.3">
      <c r="AJ39" s="84"/>
      <c r="AK39" s="84"/>
      <c r="AL39" s="84"/>
      <c r="AM39" s="84"/>
      <c r="AN39" s="84"/>
      <c r="AO39" s="84"/>
      <c r="AP39" s="84"/>
      <c r="AQ39" s="84"/>
      <c r="AR39" s="84"/>
      <c r="AS39" s="86"/>
      <c r="AT39" s="85"/>
      <c r="AU39" s="85"/>
      <c r="AV39" s="85"/>
      <c r="AW39" s="85"/>
    </row>
    <row r="40" spans="18:104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4" x14ac:dyDescent="0.3">
      <c r="R41" s="7">
        <f>SUM(R43:R82)</f>
        <v>0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30"/>
      <c r="AJ41" s="79" t="s">
        <v>21</v>
      </c>
      <c r="AK41" s="79"/>
      <c r="AL41" s="79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1048563</v>
      </c>
    </row>
    <row r="42" spans="18:104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81" t="str">
        <f>IFERROR(AS58/AW42*100,"")</f>
        <v/>
      </c>
      <c r="AV42" s="81"/>
      <c r="AW42" s="36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0</v>
      </c>
      <c r="BZ42" s="10" t="s">
        <v>81</v>
      </c>
      <c r="CA42" s="10" t="s">
        <v>45</v>
      </c>
      <c r="CB42" s="10" t="s">
        <v>31</v>
      </c>
      <c r="CC42" s="10" t="s">
        <v>82</v>
      </c>
      <c r="CD42" s="10" t="s">
        <v>20</v>
      </c>
      <c r="CE42" s="10" t="s">
        <v>33</v>
      </c>
      <c r="CF42" s="10" t="s">
        <v>32</v>
      </c>
      <c r="CG42" s="10" t="s">
        <v>83</v>
      </c>
      <c r="CH42" s="10" t="s">
        <v>19</v>
      </c>
      <c r="CI42" s="10" t="s">
        <v>7</v>
      </c>
    </row>
    <row r="43" spans="18:104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20" t="str">
        <f>IF(AS$33="E","droite","")</f>
        <v/>
      </c>
      <c r="AI43" s="30" t="str">
        <f>IF(AL$34="E 2x250g",AE43,AF43)</f>
        <v/>
      </c>
      <c r="AJ43" s="67"/>
      <c r="AK43" s="3"/>
      <c r="AL43" s="3"/>
      <c r="AN43" s="7">
        <f>IF(AJ43="",IF(AK43="",AL43,AL43-AK43),0)</f>
        <v>0</v>
      </c>
      <c r="AO43" s="7">
        <f>IF(AJ43&lt;&gt;"",IF(AK43="",AL43,AL43-AK43),0)</f>
        <v>0</v>
      </c>
      <c r="AQ43" s="3"/>
      <c r="AR43" s="3"/>
      <c r="AS43" s="3"/>
      <c r="AT43" s="41" t="str">
        <f>IFERROR(AVERAGE(AR43:AS43),"")</f>
        <v/>
      </c>
      <c r="AU43" s="81"/>
      <c r="AV43" s="81"/>
      <c r="AW43" s="80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/>
      </c>
      <c r="CA43" s="10" t="str">
        <f>IF(BZ43&lt;&gt;"",BZ$33,"")</f>
        <v/>
      </c>
      <c r="CB43" s="10" t="str">
        <f>AI43</f>
        <v/>
      </c>
      <c r="CC43" s="10" t="str">
        <f>IF(AJ43&lt;&gt;"",AJ43,"")</f>
        <v/>
      </c>
      <c r="CD43" s="10" t="str">
        <f>IF(AL43&lt;&gt;"",AL43,"")</f>
        <v/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/>
      </c>
    </row>
    <row r="44" spans="18:104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20" t="str">
        <f>IF(AS$33="E","gauche","")</f>
        <v/>
      </c>
      <c r="AI44" s="30" t="str">
        <f t="shared" ref="AI44:AI82" si="8">IF(AL$34="E 2x250g",AE44,AF44)</f>
        <v/>
      </c>
      <c r="AJ44" s="67"/>
      <c r="AK44" s="3"/>
      <c r="AL44" s="3"/>
      <c r="AN44" s="7">
        <f t="shared" ref="AN44:AN51" si="9">IF(AJ44="",IF(AK44="",AL44,AL44-AK44),0)</f>
        <v>0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81"/>
      <c r="AV44" s="81"/>
      <c r="AW44" s="80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/>
      </c>
      <c r="CA44" s="10" t="str">
        <f t="shared" ref="CA44:CA82" si="13">IF(BZ44&lt;&gt;"",BZ$33,"")</f>
        <v/>
      </c>
      <c r="CB44" s="10" t="str">
        <f t="shared" ref="CB44:CB82" si="14">AI44</f>
        <v/>
      </c>
      <c r="CC44" s="10" t="str">
        <f t="shared" ref="CC44:CC82" si="15">IF(AJ44&lt;&gt;"",AJ44,"")</f>
        <v/>
      </c>
      <c r="CD44" s="10" t="str">
        <f t="shared" ref="CD44:CD82" si="16">IF(AL44&lt;&gt;"",AL44,"")</f>
        <v/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/>
      </c>
    </row>
    <row r="45" spans="18:104" ht="14.4" customHeight="1" x14ac:dyDescent="0.3">
      <c r="R45" s="7" t="str">
        <f t="shared" si="3"/>
        <v/>
      </c>
      <c r="S45" s="7" t="str">
        <f t="shared" si="3"/>
        <v/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/>
      </c>
      <c r="AI45" s="30" t="str">
        <f t="shared" si="8"/>
        <v/>
      </c>
      <c r="AJ45" s="67"/>
      <c r="AK45" s="3"/>
      <c r="AL45" s="3"/>
      <c r="AN45" s="7">
        <f t="shared" si="9"/>
        <v>0</v>
      </c>
      <c r="AO45" s="7">
        <f t="shared" si="10"/>
        <v>0</v>
      </c>
      <c r="AQ45" s="3"/>
      <c r="AR45" s="3"/>
      <c r="AS45" s="3"/>
      <c r="AT45" s="41" t="str">
        <f t="shared" si="11"/>
        <v/>
      </c>
      <c r="AU45" s="81"/>
      <c r="AV45" s="81"/>
      <c r="AW45" s="80"/>
      <c r="AX45" s="9" t="str">
        <f t="shared" si="4"/>
        <v/>
      </c>
      <c r="BK45" s="73"/>
      <c r="BZ45" s="74" t="str">
        <f t="shared" si="12"/>
        <v/>
      </c>
      <c r="CA45" s="10" t="str">
        <f t="shared" si="13"/>
        <v/>
      </c>
      <c r="CB45" s="10" t="str">
        <f t="shared" si="14"/>
        <v/>
      </c>
      <c r="CC45" s="10" t="str">
        <f t="shared" si="15"/>
        <v/>
      </c>
      <c r="CD45" s="10" t="str">
        <f t="shared" si="16"/>
        <v/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/>
      </c>
    </row>
    <row r="46" spans="18:104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20" t="str">
        <f>IF(AS$33="E","gauche","")</f>
        <v/>
      </c>
      <c r="AI46" s="30" t="str">
        <f t="shared" si="8"/>
        <v/>
      </c>
      <c r="AJ46" s="67"/>
      <c r="AK46" s="3"/>
      <c r="AL46" s="3"/>
      <c r="AN46" s="7">
        <f t="shared" si="9"/>
        <v>0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81"/>
      <c r="AV46" s="81"/>
      <c r="AW46" s="80"/>
      <c r="AX46" s="9" t="str">
        <f t="shared" si="4"/>
        <v/>
      </c>
      <c r="BK46" s="73"/>
      <c r="BZ46" s="74" t="str">
        <f t="shared" si="12"/>
        <v/>
      </c>
      <c r="CA46" s="10" t="str">
        <f t="shared" si="13"/>
        <v/>
      </c>
      <c r="CB46" s="10" t="str">
        <f t="shared" si="14"/>
        <v/>
      </c>
      <c r="CC46" s="10" t="str">
        <f t="shared" si="15"/>
        <v/>
      </c>
      <c r="CD46" s="10" t="str">
        <f t="shared" si="16"/>
        <v/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/>
      </c>
    </row>
    <row r="47" spans="18:104" x14ac:dyDescent="0.3">
      <c r="R47" s="7" t="str">
        <f t="shared" si="3"/>
        <v/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20" t="str">
        <f>IF(AS$33="E","droite","")</f>
        <v/>
      </c>
      <c r="AI47" s="30" t="str">
        <f t="shared" si="8"/>
        <v/>
      </c>
      <c r="AJ47" s="67"/>
      <c r="AK47" s="3"/>
      <c r="AL47" s="3"/>
      <c r="AN47" s="7">
        <f t="shared" si="9"/>
        <v>0</v>
      </c>
      <c r="AO47" s="7">
        <f t="shared" si="10"/>
        <v>0</v>
      </c>
      <c r="AQ47" s="3"/>
      <c r="AR47" s="3"/>
      <c r="AS47" s="3"/>
      <c r="AT47" s="41" t="str">
        <f t="shared" si="11"/>
        <v/>
      </c>
      <c r="AU47" s="81"/>
      <c r="AV47" s="81"/>
      <c r="AW47" s="80"/>
      <c r="AX47" s="9" t="str">
        <f t="shared" si="4"/>
        <v/>
      </c>
      <c r="BK47" s="73"/>
      <c r="BZ47" s="74" t="str">
        <f t="shared" si="12"/>
        <v/>
      </c>
      <c r="CA47" s="10" t="str">
        <f t="shared" si="13"/>
        <v/>
      </c>
      <c r="CB47" s="10" t="str">
        <f t="shared" si="14"/>
        <v/>
      </c>
      <c r="CC47" s="10" t="str">
        <f t="shared" si="15"/>
        <v/>
      </c>
      <c r="CD47" s="10" t="str">
        <f t="shared" si="16"/>
        <v/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/>
      </c>
    </row>
    <row r="48" spans="18:104" x14ac:dyDescent="0.3">
      <c r="R48" s="7" t="str">
        <f t="shared" si="3"/>
        <v/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20" t="str">
        <f>IF(AS$33="E","gauche","")</f>
        <v/>
      </c>
      <c r="AI48" s="30" t="str">
        <f t="shared" si="8"/>
        <v/>
      </c>
      <c r="AJ48" s="67"/>
      <c r="AK48" s="3"/>
      <c r="AL48" s="3"/>
      <c r="AN48" s="7">
        <f t="shared" si="9"/>
        <v>0</v>
      </c>
      <c r="AO48" s="7">
        <f t="shared" si="10"/>
        <v>0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/>
      </c>
      <c r="CA48" s="10" t="str">
        <f t="shared" si="13"/>
        <v/>
      </c>
      <c r="CB48" s="10" t="str">
        <f t="shared" si="14"/>
        <v/>
      </c>
      <c r="CC48" s="10" t="str">
        <f t="shared" si="15"/>
        <v/>
      </c>
      <c r="CD48" s="10" t="str">
        <f t="shared" si="16"/>
        <v/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/>
      </c>
    </row>
    <row r="49" spans="18:87" x14ac:dyDescent="0.3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20" t="str">
        <f>IF(AS$33="E","droite","")</f>
        <v/>
      </c>
      <c r="AI49" s="30" t="str">
        <f t="shared" si="8"/>
        <v/>
      </c>
      <c r="AJ49" s="67"/>
      <c r="AK49" s="3"/>
      <c r="AL49" s="3"/>
      <c r="AN49" s="7">
        <f t="shared" si="9"/>
        <v>0</v>
      </c>
      <c r="AO49" s="7">
        <f t="shared" si="10"/>
        <v>0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6" t="s">
        <v>96</v>
      </c>
      <c r="AV49" s="34"/>
      <c r="AW49" s="34"/>
      <c r="AX49" s="9" t="str">
        <f t="shared" si="4"/>
        <v/>
      </c>
      <c r="BK49" s="73"/>
      <c r="BZ49" s="74" t="str">
        <f t="shared" si="12"/>
        <v/>
      </c>
      <c r="CA49" s="10" t="str">
        <f t="shared" si="13"/>
        <v/>
      </c>
      <c r="CB49" s="10" t="str">
        <f t="shared" si="14"/>
        <v/>
      </c>
      <c r="CC49" s="10" t="str">
        <f t="shared" si="15"/>
        <v/>
      </c>
      <c r="CD49" s="10" t="str">
        <f t="shared" si="16"/>
        <v/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/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20" t="str">
        <f>IF(AS$33="E","gauche","")</f>
        <v/>
      </c>
      <c r="AI50" s="30" t="str">
        <f t="shared" si="8"/>
        <v/>
      </c>
      <c r="AJ50" s="67"/>
      <c r="AK50" s="3"/>
      <c r="AL50" s="3"/>
      <c r="AN50" s="7">
        <f t="shared" si="9"/>
        <v>0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/>
      </c>
      <c r="CA50" s="10" t="str">
        <f t="shared" si="13"/>
        <v/>
      </c>
      <c r="CB50" s="10" t="str">
        <f t="shared" si="14"/>
        <v/>
      </c>
      <c r="CC50" s="10" t="str">
        <f t="shared" si="15"/>
        <v/>
      </c>
      <c r="CD50" s="10" t="str">
        <f t="shared" si="16"/>
        <v/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/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20" t="str">
        <f>IF(AS$33="E","droite","")</f>
        <v/>
      </c>
      <c r="AI51" s="30" t="str">
        <f t="shared" si="8"/>
        <v/>
      </c>
      <c r="AJ51" s="68"/>
      <c r="AK51" s="69"/>
      <c r="AL51" s="3"/>
      <c r="AN51" s="7">
        <f t="shared" si="9"/>
        <v>0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/>
      </c>
      <c r="CA51" s="10" t="str">
        <f t="shared" si="13"/>
        <v/>
      </c>
      <c r="CB51" s="10" t="str">
        <f t="shared" si="14"/>
        <v/>
      </c>
      <c r="CC51" s="10" t="str">
        <f t="shared" si="15"/>
        <v/>
      </c>
      <c r="CD51" s="10" t="str">
        <f t="shared" si="16"/>
        <v/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/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2">IF(AN52&lt;&gt;0,IF(AJ52="",0.5,0),"")</f>
        <v/>
      </c>
      <c r="AD52" s="6" t="str">
        <f t="shared" ref="AD52:AD72" si="23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20" t="str">
        <f>IF(AS$33="E","gauche","")</f>
        <v/>
      </c>
      <c r="AI52" s="30" t="str">
        <f t="shared" si="8"/>
        <v/>
      </c>
      <c r="AJ52" s="68"/>
      <c r="AK52" s="69"/>
      <c r="AL52" s="3"/>
      <c r="AN52" s="7">
        <f t="shared" ref="AN52:AN73" si="24">IF(AJ52="",IF(AK52="",AL52,AL52-AK52),0)</f>
        <v>0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/>
      </c>
      <c r="CA52" s="10" t="str">
        <f t="shared" si="13"/>
        <v/>
      </c>
      <c r="CB52" s="10" t="str">
        <f t="shared" si="14"/>
        <v/>
      </c>
      <c r="CC52" s="10" t="str">
        <f t="shared" si="15"/>
        <v/>
      </c>
      <c r="CD52" s="10" t="str">
        <f t="shared" si="16"/>
        <v/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/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2"/>
        <v/>
      </c>
      <c r="AD53" s="6" t="str">
        <f t="shared" si="23"/>
        <v/>
      </c>
      <c r="AE53" s="6" t="str">
        <f>IF(AND(AN53&lt;&gt;0),SUM(AC$43:AC53),"")</f>
        <v/>
      </c>
      <c r="AF53" s="6" t="str">
        <f>IF(AND(AN53&lt;&gt;0),SUM(AD$43:AD53),"")</f>
        <v/>
      </c>
      <c r="AH53" s="20" t="str">
        <f>IF(AS$33="E","droite","")</f>
        <v/>
      </c>
      <c r="AI53" s="30" t="str">
        <f t="shared" si="8"/>
        <v/>
      </c>
      <c r="AJ53" s="68"/>
      <c r="AK53" s="69"/>
      <c r="AL53" s="3"/>
      <c r="AN53" s="7">
        <f t="shared" si="24"/>
        <v>0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/>
      </c>
      <c r="CA53" s="10" t="str">
        <f t="shared" si="13"/>
        <v/>
      </c>
      <c r="CB53" s="10" t="str">
        <f t="shared" si="14"/>
        <v/>
      </c>
      <c r="CC53" s="10" t="str">
        <f t="shared" si="15"/>
        <v/>
      </c>
      <c r="CD53" s="10" t="str">
        <f t="shared" si="16"/>
        <v/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/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2"/>
        <v/>
      </c>
      <c r="AD54" s="6" t="str">
        <f t="shared" si="23"/>
        <v/>
      </c>
      <c r="AE54" s="6" t="str">
        <f>IF(AND(AN54&lt;&gt;0),SUM(AC$43:AC54),"")</f>
        <v/>
      </c>
      <c r="AF54" s="6" t="str">
        <f>IF(AND(AN54&lt;&gt;0),SUM(AD$43:AD54),"")</f>
        <v/>
      </c>
      <c r="AH54" s="20" t="str">
        <f>IF(AS$33="E","gauche","")</f>
        <v/>
      </c>
      <c r="AI54" s="30" t="str">
        <f t="shared" si="8"/>
        <v/>
      </c>
      <c r="AJ54" s="68"/>
      <c r="AK54" s="69"/>
      <c r="AL54" s="3"/>
      <c r="AN54" s="7">
        <f t="shared" si="24"/>
        <v>0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/>
      </c>
      <c r="CA54" s="10" t="str">
        <f t="shared" si="13"/>
        <v/>
      </c>
      <c r="CB54" s="10" t="str">
        <f t="shared" si="14"/>
        <v/>
      </c>
      <c r="CC54" s="10" t="str">
        <f t="shared" si="15"/>
        <v/>
      </c>
      <c r="CD54" s="10" t="str">
        <f t="shared" si="16"/>
        <v/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/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2"/>
        <v/>
      </c>
      <c r="AD55" s="6" t="str">
        <f t="shared" si="23"/>
        <v/>
      </c>
      <c r="AE55" s="6" t="str">
        <f>IF(AND(AN55&lt;&gt;0),SUM(AC$43:AC55),"")</f>
        <v/>
      </c>
      <c r="AF55" s="6" t="str">
        <f>IF(AND(AN55&lt;&gt;0),SUM(AD$43:AD55),"")</f>
        <v/>
      </c>
      <c r="AH55" s="20" t="str">
        <f>IF(AS$33="E","droite","")</f>
        <v/>
      </c>
      <c r="AI55" s="30" t="str">
        <f t="shared" si="8"/>
        <v/>
      </c>
      <c r="AJ55" s="68"/>
      <c r="AK55" s="69"/>
      <c r="AL55" s="3"/>
      <c r="AN55" s="7">
        <f t="shared" si="24"/>
        <v>0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93</v>
      </c>
      <c r="AX55" s="9" t="str">
        <f t="shared" si="4"/>
        <v/>
      </c>
      <c r="BK55" s="73"/>
      <c r="BZ55" s="74" t="str">
        <f t="shared" si="12"/>
        <v/>
      </c>
      <c r="CA55" s="10" t="str">
        <f t="shared" si="13"/>
        <v/>
      </c>
      <c r="CB55" s="10" t="str">
        <f t="shared" si="14"/>
        <v/>
      </c>
      <c r="CC55" s="10" t="str">
        <f t="shared" si="15"/>
        <v/>
      </c>
      <c r="CD55" s="10" t="str">
        <f t="shared" si="16"/>
        <v/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/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2"/>
        <v/>
      </c>
      <c r="AD56" s="6" t="str">
        <f t="shared" si="23"/>
        <v/>
      </c>
      <c r="AE56" s="6" t="str">
        <f>IF(AND(AN56&lt;&gt;0),SUM(AC$43:AC56),"")</f>
        <v/>
      </c>
      <c r="AF56" s="6" t="str">
        <f>IF(AND(AN56&lt;&gt;0),SUM(AD$43:AD56),"")</f>
        <v/>
      </c>
      <c r="AH56" s="20" t="str">
        <f>IF(AS$33="E","gauche","")</f>
        <v/>
      </c>
      <c r="AI56" s="30" t="str">
        <f t="shared" si="8"/>
        <v/>
      </c>
      <c r="AJ56" s="68"/>
      <c r="AK56" s="69"/>
      <c r="AL56" s="3"/>
      <c r="AN56" s="7">
        <f t="shared" si="24"/>
        <v>0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/>
      </c>
      <c r="CA56" s="10" t="str">
        <f t="shared" si="13"/>
        <v/>
      </c>
      <c r="CB56" s="10" t="str">
        <f t="shared" si="14"/>
        <v/>
      </c>
      <c r="CC56" s="10" t="str">
        <f t="shared" si="15"/>
        <v/>
      </c>
      <c r="CD56" s="10" t="str">
        <f t="shared" si="16"/>
        <v/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/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2"/>
        <v/>
      </c>
      <c r="AD57" s="6" t="str">
        <f t="shared" si="23"/>
        <v/>
      </c>
      <c r="AE57" s="6" t="str">
        <f>IF(AND(AN57&lt;&gt;0),SUM(AC$43:AC57),"")</f>
        <v/>
      </c>
      <c r="AF57" s="6" t="str">
        <f>IF(AND(AN57&lt;&gt;0),SUM(AD$43:AD57),"")</f>
        <v/>
      </c>
      <c r="AH57" s="20" t="str">
        <f>IF(AS$33="E","droite","")</f>
        <v/>
      </c>
      <c r="AI57" s="30" t="str">
        <f t="shared" si="8"/>
        <v/>
      </c>
      <c r="AJ57" s="68"/>
      <c r="AK57" s="69"/>
      <c r="AL57" s="3"/>
      <c r="AN57" s="7">
        <f t="shared" si="24"/>
        <v>0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Sélectionner une production</v>
      </c>
      <c r="AW57" s="34"/>
      <c r="AX57" s="9" t="str">
        <f t="shared" si="4"/>
        <v/>
      </c>
      <c r="BK57" s="73"/>
      <c r="BZ57" s="74" t="str">
        <f t="shared" si="12"/>
        <v/>
      </c>
      <c r="CA57" s="10" t="str">
        <f t="shared" si="13"/>
        <v/>
      </c>
      <c r="CB57" s="10" t="str">
        <f t="shared" si="14"/>
        <v/>
      </c>
      <c r="CC57" s="10" t="str">
        <f t="shared" si="15"/>
        <v/>
      </c>
      <c r="CD57" s="10" t="str">
        <f t="shared" si="16"/>
        <v/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/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2"/>
        <v/>
      </c>
      <c r="AD58" s="6" t="str">
        <f t="shared" si="23"/>
        <v/>
      </c>
      <c r="AE58" s="6" t="str">
        <f>IF(AND(AN58&lt;&gt;0),SUM(AC$43:AC58),"")</f>
        <v/>
      </c>
      <c r="AF58" s="6" t="str">
        <f>IF(AND(AN58&lt;&gt;0),SUM(AD$43:AD58),"")</f>
        <v/>
      </c>
      <c r="AH58" s="20" t="str">
        <f>IF(AS$33="E","gauche","")</f>
        <v/>
      </c>
      <c r="AI58" s="30" t="str">
        <f t="shared" si="8"/>
        <v/>
      </c>
      <c r="AJ58" s="68"/>
      <c r="AK58" s="69"/>
      <c r="AL58" s="3"/>
      <c r="AN58" s="7">
        <f t="shared" si="24"/>
        <v>0</v>
      </c>
      <c r="AO58" s="7">
        <f t="shared" si="25"/>
        <v>0</v>
      </c>
      <c r="AQ58" s="47" t="s">
        <v>3</v>
      </c>
      <c r="AR58" s="48">
        <f>SUM(AN43:AN82)</f>
        <v>0</v>
      </c>
      <c r="AS58" s="48">
        <f>IF(AL$34="E 2x250g",MAX(AE43:AE82),MAX(AF43:AF82))</f>
        <v>0</v>
      </c>
      <c r="AU58" s="49"/>
      <c r="AV58" s="50" t="str">
        <f>IF(AU59&lt;&gt;"","Poids de sortie fibrage","")</f>
        <v/>
      </c>
      <c r="AW58" s="51"/>
      <c r="AX58" s="9" t="str">
        <f t="shared" si="4"/>
        <v/>
      </c>
      <c r="BK58" s="73"/>
      <c r="BZ58" s="74" t="str">
        <f t="shared" si="12"/>
        <v/>
      </c>
      <c r="CA58" s="10" t="str">
        <f t="shared" si="13"/>
        <v/>
      </c>
      <c r="CB58" s="10" t="str">
        <f t="shared" si="14"/>
        <v/>
      </c>
      <c r="CC58" s="10" t="str">
        <f t="shared" si="15"/>
        <v/>
      </c>
      <c r="CD58" s="10" t="str">
        <f t="shared" si="16"/>
        <v/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/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2"/>
        <v/>
      </c>
      <c r="AD59" s="6" t="str">
        <f t="shared" si="23"/>
        <v/>
      </c>
      <c r="AE59" s="6" t="str">
        <f>IF(AND(AN59&lt;&gt;0),SUM(AC$43:AC59),"")</f>
        <v/>
      </c>
      <c r="AF59" s="6" t="str">
        <f>IF(AND(AN59&lt;&gt;0),SUM(AD$43:AD59),"")</f>
        <v/>
      </c>
      <c r="AH59" s="20" t="str">
        <f>IF(AS$33="E","droite","")</f>
        <v/>
      </c>
      <c r="AI59" s="30" t="str">
        <f t="shared" si="8"/>
        <v/>
      </c>
      <c r="AJ59" s="68"/>
      <c r="AK59" s="69"/>
      <c r="AL59" s="3"/>
      <c r="AN59" s="7">
        <f t="shared" si="24"/>
        <v>0</v>
      </c>
      <c r="AO59" s="7">
        <f t="shared" si="25"/>
        <v>0</v>
      </c>
      <c r="AQ59" s="52" t="s">
        <v>4</v>
      </c>
      <c r="AR59" s="38">
        <f>SUM(AO43:AO82)</f>
        <v>0</v>
      </c>
      <c r="AS59" s="38">
        <f>IF(AL$34="E 2x250g",MAX(AA43:AA82)/2,MAX(AA43:AA82))</f>
        <v>0</v>
      </c>
      <c r="AU59" s="53" t="str">
        <f>IF(AV59&lt;&gt;"","min","")</f>
        <v/>
      </c>
      <c r="AV59" s="54" t="str">
        <f>IFERROR(HLOOKUP(AV57,_produits!A1:E3,2,FALSE),"")</f>
        <v/>
      </c>
      <c r="AW59" s="55"/>
      <c r="AX59" s="9" t="str">
        <f t="shared" si="4"/>
        <v/>
      </c>
      <c r="BK59" s="73"/>
      <c r="BZ59" s="74" t="str">
        <f t="shared" si="12"/>
        <v/>
      </c>
      <c r="CA59" s="10" t="str">
        <f t="shared" si="13"/>
        <v/>
      </c>
      <c r="CB59" s="10" t="str">
        <f t="shared" si="14"/>
        <v/>
      </c>
      <c r="CC59" s="10" t="str">
        <f t="shared" si="15"/>
        <v/>
      </c>
      <c r="CD59" s="10" t="str">
        <f t="shared" si="16"/>
        <v/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/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2"/>
        <v/>
      </c>
      <c r="AD60" s="6" t="str">
        <f t="shared" si="23"/>
        <v/>
      </c>
      <c r="AE60" s="6" t="str">
        <f>IF(AND(AN60&lt;&gt;0),SUM(AC$43:AC60),"")</f>
        <v/>
      </c>
      <c r="AF60" s="6" t="str">
        <f>IF(AND(AN60&lt;&gt;0),SUM(AD$43:AD60),"")</f>
        <v/>
      </c>
      <c r="AH60" s="20" t="str">
        <f>IF(AS$33="E","gauche","")</f>
        <v/>
      </c>
      <c r="AI60" s="30" t="str">
        <f t="shared" si="8"/>
        <v/>
      </c>
      <c r="AJ60" s="68"/>
      <c r="AK60" s="69"/>
      <c r="AL60" s="3"/>
      <c r="AN60" s="7">
        <f t="shared" si="24"/>
        <v>0</v>
      </c>
      <c r="AO60" s="7">
        <f t="shared" si="25"/>
        <v>0</v>
      </c>
      <c r="AQ60" s="56" t="str">
        <f>_qualité!E2</f>
        <v>Fil</v>
      </c>
      <c r="AR60" s="57">
        <f>R41</f>
        <v>0</v>
      </c>
      <c r="AS60" s="57">
        <f>COUNTIF(AJ$43:AJ$73,AQ60)</f>
        <v>0</v>
      </c>
      <c r="AU60" s="53" t="str">
        <f>IF(AV60&lt;&gt;"","max","")</f>
        <v/>
      </c>
      <c r="AV60" s="54" t="str">
        <f>IFERROR(HLOOKUP(AV57,_produits!A1:E4,3,FALSE),"")</f>
        <v/>
      </c>
      <c r="AW60" s="55"/>
      <c r="AX60" s="9" t="str">
        <f t="shared" si="4"/>
        <v/>
      </c>
      <c r="BK60" s="73"/>
      <c r="BZ60" s="74" t="str">
        <f t="shared" si="12"/>
        <v/>
      </c>
      <c r="CA60" s="10" t="str">
        <f t="shared" si="13"/>
        <v/>
      </c>
      <c r="CB60" s="10" t="str">
        <f t="shared" si="14"/>
        <v/>
      </c>
      <c r="CC60" s="10" t="str">
        <f t="shared" si="15"/>
        <v/>
      </c>
      <c r="CD60" s="10" t="str">
        <f t="shared" si="16"/>
        <v/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/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/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0</v>
      </c>
      <c r="AS61" s="57">
        <f t="shared" ref="AS61:AS64" si="27">COUNTIF(AJ$43:AJ$73,AQ61)</f>
        <v>0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/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/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/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0</v>
      </c>
      <c r="AS64" s="57">
        <f t="shared" si="27"/>
        <v>0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/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/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/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/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78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/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 t="str">
        <f ca="1">OFFSET('data TRS'!A1,COUNTA('data TRS'!A:A)-1,)</f>
        <v>86_E_A_Stéphane M.</v>
      </c>
      <c r="AV69" s="75"/>
      <c r="AW69" s="65" t="str">
        <f ca="1">CONCATENATE("TRS : ",ROUND(OFFSET('data TRS'!P1,COUNTA('data TRS'!P:P)-1,),2)," %")</f>
        <v>TRS : 13,33 %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/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79</v>
      </c>
      <c r="AV70" s="25">
        <f ca="1">OFFSET('data TRS'!L2,COUNTA('data TRS'!L:L)-1,)</f>
        <v>0</v>
      </c>
      <c r="AW70" s="25">
        <f ca="1">OFFSET('data TRS'!M2,COUNTA('data TRS'!M:M)-1,)</f>
        <v>0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/>
      </c>
      <c r="AI71" s="30" t="str">
        <f t="shared" si="8"/>
        <v/>
      </c>
      <c r="AJ71" s="68"/>
      <c r="AK71" s="69"/>
      <c r="AL71" s="69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/>
      </c>
      <c r="AI72" s="30" t="str">
        <f t="shared" si="8"/>
        <v/>
      </c>
      <c r="AJ72" s="68"/>
      <c r="AK72" s="69"/>
      <c r="AL72" s="69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/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/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/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/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/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/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/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/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/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/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A16"/>
  <sheetViews>
    <sheetView workbookViewId="0">
      <selection activeCell="A16" sqref="A3:XFD16"/>
    </sheetView>
  </sheetViews>
  <sheetFormatPr baseColWidth="10" defaultRowHeight="14.4" x14ac:dyDescent="0.3"/>
  <cols>
    <col min="1" max="1" width="20.88671875" style="91" bestFit="1" customWidth="1"/>
    <col min="2" max="2" width="4.21875" style="92" bestFit="1" customWidth="1"/>
    <col min="3" max="3" width="10.5546875" style="91" bestFit="1" customWidth="1"/>
    <col min="4" max="4" width="9.6640625" style="91" bestFit="1" customWidth="1"/>
    <col min="5" max="5" width="4" style="91" bestFit="1" customWidth="1"/>
    <col min="6" max="6" width="7.88671875" style="91" bestFit="1" customWidth="1"/>
    <col min="7" max="7" width="9.5546875" style="91" bestFit="1" customWidth="1"/>
    <col min="8" max="8" width="8.77734375" style="91" bestFit="1" customWidth="1"/>
    <col min="9" max="9" width="11.21875" style="91" bestFit="1" customWidth="1"/>
    <col min="10" max="10" width="2.77734375" style="91" bestFit="1" customWidth="1"/>
    <col min="11" max="11" width="4.109375" style="91" bestFit="1" customWidth="1"/>
    <col min="12" max="13" width="9.109375" style="93" bestFit="1" customWidth="1"/>
    <col min="14" max="14" width="8.5546875" style="91" bestFit="1" customWidth="1"/>
    <col min="15" max="15" width="3" style="91" bestFit="1" customWidth="1"/>
    <col min="16" max="16" width="12" style="93" bestFit="1" customWidth="1"/>
    <col min="17" max="17" width="3.5546875" style="91" bestFit="1" customWidth="1"/>
    <col min="18" max="18" width="5" style="91" bestFit="1" customWidth="1"/>
    <col min="19" max="19" width="4" style="91" bestFit="1" customWidth="1"/>
    <col min="20" max="20" width="9" style="91" bestFit="1" customWidth="1"/>
    <col min="21" max="21" width="9.109375" style="91" bestFit="1" customWidth="1"/>
    <col min="22" max="22" width="4" style="91" bestFit="1" customWidth="1"/>
    <col min="23" max="23" width="4.77734375" style="91" bestFit="1" customWidth="1"/>
    <col min="24" max="24" width="5.33203125" style="91" bestFit="1" customWidth="1"/>
    <col min="25" max="25" width="5.44140625" style="91" bestFit="1" customWidth="1"/>
    <col min="26" max="26" width="10" style="91" bestFit="1" customWidth="1"/>
    <col min="27" max="27" width="15.5546875" style="91" bestFit="1" customWidth="1"/>
    <col min="28" max="16384" width="11.5546875" style="91"/>
  </cols>
  <sheetData>
    <row r="1" spans="1:27" x14ac:dyDescent="0.3">
      <c r="A1" s="87" t="s">
        <v>45</v>
      </c>
      <c r="B1" s="88" t="s">
        <v>84</v>
      </c>
      <c r="C1" s="87" t="s">
        <v>0</v>
      </c>
      <c r="D1" s="87" t="s">
        <v>50</v>
      </c>
      <c r="E1" s="87" t="s">
        <v>85</v>
      </c>
      <c r="F1" s="87" t="s">
        <v>6</v>
      </c>
      <c r="G1" s="87" t="s">
        <v>7</v>
      </c>
      <c r="H1" s="87" t="s">
        <v>60</v>
      </c>
      <c r="I1" s="87" t="s">
        <v>64</v>
      </c>
      <c r="J1" s="87" t="s">
        <v>8</v>
      </c>
      <c r="K1" s="87" t="s">
        <v>39</v>
      </c>
      <c r="L1" s="89" t="s">
        <v>90</v>
      </c>
      <c r="M1" s="89" t="s">
        <v>91</v>
      </c>
      <c r="N1" s="87" t="s">
        <v>92</v>
      </c>
      <c r="O1" s="87" t="s">
        <v>19</v>
      </c>
      <c r="P1" s="89" t="s">
        <v>86</v>
      </c>
      <c r="Q1" s="87" t="s">
        <v>87</v>
      </c>
      <c r="R1" s="87" t="s">
        <v>3</v>
      </c>
      <c r="S1" s="87" t="s">
        <v>4</v>
      </c>
      <c r="T1" s="87" t="s">
        <v>88</v>
      </c>
      <c r="U1" s="87" t="s">
        <v>89</v>
      </c>
      <c r="V1" s="87" t="s">
        <v>24</v>
      </c>
      <c r="W1" s="87" t="s">
        <v>25</v>
      </c>
      <c r="X1" s="87" t="s">
        <v>14</v>
      </c>
      <c r="Y1" s="90" t="s">
        <v>26</v>
      </c>
      <c r="Z1" s="90" t="s">
        <v>27</v>
      </c>
      <c r="AA1" s="90" t="s">
        <v>101</v>
      </c>
    </row>
    <row r="2" spans="1:27" x14ac:dyDescent="0.3">
      <c r="A2" s="91" t="s">
        <v>44</v>
      </c>
    </row>
    <row r="3" spans="1:27" x14ac:dyDescent="0.3">
      <c r="A3" s="91" t="s">
        <v>106</v>
      </c>
      <c r="B3" s="92">
        <v>122</v>
      </c>
      <c r="C3" s="94">
        <v>45048</v>
      </c>
      <c r="D3" s="91" t="s">
        <v>46</v>
      </c>
      <c r="E3" s="91">
        <v>480</v>
      </c>
      <c r="F3" s="91" t="s">
        <v>95</v>
      </c>
      <c r="G3" s="91" t="s">
        <v>43</v>
      </c>
      <c r="H3" s="91">
        <v>0</v>
      </c>
      <c r="I3" s="95">
        <v>0</v>
      </c>
      <c r="J3" s="91">
        <v>0</v>
      </c>
      <c r="K3" s="91">
        <v>0</v>
      </c>
      <c r="L3" s="93">
        <v>0</v>
      </c>
      <c r="M3" s="93">
        <v>0</v>
      </c>
      <c r="N3" s="91">
        <v>0</v>
      </c>
      <c r="P3" s="93">
        <v>13.333333333333334</v>
      </c>
      <c r="Q3" s="91">
        <v>30</v>
      </c>
      <c r="R3" s="91">
        <v>1589</v>
      </c>
      <c r="S3" s="91">
        <v>396</v>
      </c>
      <c r="T3" s="91">
        <v>4</v>
      </c>
      <c r="U3" s="91">
        <v>1</v>
      </c>
      <c r="V3" s="91">
        <v>0</v>
      </c>
      <c r="W3" s="91">
        <v>0</v>
      </c>
      <c r="X3" s="91">
        <v>0</v>
      </c>
      <c r="Y3" s="91">
        <v>0</v>
      </c>
      <c r="Z3" s="91">
        <v>396</v>
      </c>
      <c r="AA3" s="104">
        <v>45012.645185185182</v>
      </c>
    </row>
    <row r="4" spans="1:27" x14ac:dyDescent="0.3">
      <c r="A4" s="91" t="s">
        <v>99</v>
      </c>
      <c r="B4" s="92">
        <v>86</v>
      </c>
      <c r="C4" s="94">
        <v>45012</v>
      </c>
      <c r="D4" s="91" t="s">
        <v>57</v>
      </c>
      <c r="E4" s="91">
        <v>480</v>
      </c>
      <c r="F4" s="91" t="s">
        <v>66</v>
      </c>
      <c r="G4" s="91" t="s">
        <v>35</v>
      </c>
      <c r="H4" s="91">
        <v>0</v>
      </c>
      <c r="I4" s="95">
        <v>0</v>
      </c>
      <c r="J4" s="91">
        <v>0</v>
      </c>
      <c r="K4" s="91">
        <v>0</v>
      </c>
      <c r="L4" s="93">
        <v>0</v>
      </c>
      <c r="M4" s="93">
        <v>0</v>
      </c>
      <c r="N4" s="91">
        <v>0</v>
      </c>
      <c r="P4" s="93">
        <v>2.3809523809523809</v>
      </c>
      <c r="Q4" s="91">
        <v>21</v>
      </c>
      <c r="R4" s="91">
        <v>5</v>
      </c>
      <c r="S4" s="91">
        <v>0</v>
      </c>
      <c r="T4" s="91">
        <v>0.5</v>
      </c>
      <c r="U4" s="91">
        <v>0</v>
      </c>
      <c r="V4" s="91">
        <v>0</v>
      </c>
      <c r="W4" s="91">
        <v>0</v>
      </c>
      <c r="X4" s="91">
        <v>0</v>
      </c>
      <c r="Y4" s="91">
        <v>0</v>
      </c>
      <c r="Z4" s="91">
        <v>0</v>
      </c>
      <c r="AA4" s="104">
        <v>45012.646817129629</v>
      </c>
    </row>
    <row r="5" spans="1:27" x14ac:dyDescent="0.3">
      <c r="C5" s="94"/>
      <c r="I5" s="95"/>
    </row>
    <row r="6" spans="1:27" x14ac:dyDescent="0.3">
      <c r="C6" s="94"/>
      <c r="I6" s="95"/>
    </row>
    <row r="7" spans="1:27" x14ac:dyDescent="0.3">
      <c r="C7" s="94"/>
      <c r="I7" s="95"/>
    </row>
    <row r="8" spans="1:27" x14ac:dyDescent="0.3">
      <c r="C8" s="94"/>
    </row>
    <row r="9" spans="1:27" x14ac:dyDescent="0.3">
      <c r="C9" s="94"/>
    </row>
    <row r="10" spans="1:27" x14ac:dyDescent="0.3">
      <c r="C10" s="94"/>
    </row>
    <row r="11" spans="1:27" x14ac:dyDescent="0.3">
      <c r="C11" s="94"/>
    </row>
    <row r="12" spans="1:27" x14ac:dyDescent="0.3">
      <c r="C12" s="94"/>
    </row>
    <row r="13" spans="1:27" x14ac:dyDescent="0.3">
      <c r="C13" s="94"/>
      <c r="AA13" s="104"/>
    </row>
    <row r="14" spans="1:27" x14ac:dyDescent="0.3">
      <c r="C14" s="94"/>
      <c r="AA14" s="104"/>
    </row>
    <row r="15" spans="1:27" x14ac:dyDescent="0.3">
      <c r="C15" s="94"/>
      <c r="AA15" s="104"/>
    </row>
    <row r="16" spans="1:27" x14ac:dyDescent="0.3">
      <c r="C16" s="94"/>
      <c r="AA16" s="10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4"/>
  <sheetViews>
    <sheetView workbookViewId="0">
      <selection activeCell="B30" sqref="B30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9" x14ac:dyDescent="0.3">
      <c r="A1" s="2" t="s">
        <v>81</v>
      </c>
      <c r="B1" s="1" t="s">
        <v>45</v>
      </c>
      <c r="C1" s="1" t="s">
        <v>31</v>
      </c>
      <c r="D1" s="2" t="s">
        <v>82</v>
      </c>
      <c r="E1" s="2" t="s">
        <v>20</v>
      </c>
      <c r="F1" s="2" t="s">
        <v>33</v>
      </c>
      <c r="G1" s="2" t="s">
        <v>32</v>
      </c>
      <c r="H1" s="2" t="s">
        <v>83</v>
      </c>
      <c r="I1" s="2" t="s">
        <v>19</v>
      </c>
    </row>
    <row r="2" spans="1:9" ht="12.6" customHeight="1" x14ac:dyDescent="0.3">
      <c r="A2" t="s">
        <v>44</v>
      </c>
    </row>
    <row r="3" spans="1:9" x14ac:dyDescent="0.3">
      <c r="A3" t="s">
        <v>107</v>
      </c>
      <c r="B3" t="s">
        <v>106</v>
      </c>
      <c r="D3" t="s">
        <v>27</v>
      </c>
      <c r="E3">
        <v>396</v>
      </c>
    </row>
    <row r="4" spans="1:9" x14ac:dyDescent="0.3">
      <c r="A4" t="s">
        <v>108</v>
      </c>
      <c r="B4" t="s">
        <v>106</v>
      </c>
      <c r="C4">
        <v>1</v>
      </c>
      <c r="E4">
        <v>396</v>
      </c>
    </row>
    <row r="5" spans="1:9" x14ac:dyDescent="0.3">
      <c r="A5" t="s">
        <v>109</v>
      </c>
      <c r="B5" t="s">
        <v>106</v>
      </c>
      <c r="C5">
        <v>2</v>
      </c>
      <c r="E5">
        <v>396</v>
      </c>
    </row>
    <row r="6" spans="1:9" x14ac:dyDescent="0.3">
      <c r="A6" t="s">
        <v>110</v>
      </c>
      <c r="B6" t="s">
        <v>106</v>
      </c>
      <c r="C6">
        <v>3</v>
      </c>
      <c r="E6">
        <v>396</v>
      </c>
    </row>
    <row r="7" spans="1:9" x14ac:dyDescent="0.3">
      <c r="A7" t="s">
        <v>111</v>
      </c>
      <c r="B7" t="s">
        <v>106</v>
      </c>
      <c r="C7">
        <v>4</v>
      </c>
      <c r="E7">
        <v>401</v>
      </c>
    </row>
    <row r="8" spans="1:9" x14ac:dyDescent="0.3">
      <c r="A8" t="s">
        <v>107</v>
      </c>
      <c r="B8" t="s">
        <v>106</v>
      </c>
      <c r="D8" t="s">
        <v>27</v>
      </c>
      <c r="E8">
        <v>396</v>
      </c>
    </row>
    <row r="9" spans="1:9" x14ac:dyDescent="0.3">
      <c r="A9" t="s">
        <v>108</v>
      </c>
      <c r="B9" t="s">
        <v>106</v>
      </c>
      <c r="C9">
        <v>1</v>
      </c>
      <c r="E9">
        <v>396</v>
      </c>
    </row>
    <row r="10" spans="1:9" x14ac:dyDescent="0.3">
      <c r="A10" t="s">
        <v>109</v>
      </c>
      <c r="B10" t="s">
        <v>106</v>
      </c>
      <c r="C10">
        <v>2</v>
      </c>
      <c r="E10">
        <v>396</v>
      </c>
    </row>
    <row r="11" spans="1:9" x14ac:dyDescent="0.3">
      <c r="A11" t="s">
        <v>110</v>
      </c>
      <c r="B11" t="s">
        <v>106</v>
      </c>
      <c r="C11">
        <v>3</v>
      </c>
      <c r="E11">
        <v>396</v>
      </c>
    </row>
    <row r="12" spans="1:9" x14ac:dyDescent="0.3">
      <c r="A12" t="s">
        <v>111</v>
      </c>
      <c r="B12" t="s">
        <v>106</v>
      </c>
      <c r="C12">
        <v>4</v>
      </c>
      <c r="E12">
        <v>401</v>
      </c>
    </row>
    <row r="13" spans="1:9" x14ac:dyDescent="0.3">
      <c r="A13" t="s">
        <v>100</v>
      </c>
      <c r="B13" t="s">
        <v>99</v>
      </c>
      <c r="C13">
        <v>0.5</v>
      </c>
      <c r="E13">
        <v>5</v>
      </c>
    </row>
    <row r="14" spans="1:9" x14ac:dyDescent="0.3">
      <c r="A14" t="s">
        <v>100</v>
      </c>
      <c r="B14" t="s">
        <v>99</v>
      </c>
      <c r="C14">
        <v>0.5</v>
      </c>
      <c r="E14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2023-03-27T13:31:44Z</dcterms:modified>
</cp:coreProperties>
</file>