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0" yWindow="4200" windowWidth="23040" windowHeight="9180" tabRatio="466" activeTab="1"/>
  </bookViews>
  <sheets>
    <sheet name="_data" sheetId="7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69" i="1" l="1"/>
  <c r="AW70" i="1"/>
  <c r="AV70" i="1"/>
  <c r="AU69" i="1"/>
  <c r="AH33" i="1" l="1"/>
  <c r="AJ38" i="1" l="1"/>
  <c r="BZ61" i="1" l="1"/>
  <c r="CI61" i="1" s="1"/>
  <c r="BZ62" i="1"/>
  <c r="CI62" i="1" s="1"/>
  <c r="BZ63" i="1"/>
  <c r="CI63" i="1" s="1"/>
  <c r="BZ64" i="1"/>
  <c r="CI64" i="1" s="1"/>
  <c r="BZ65" i="1"/>
  <c r="CI65" i="1" s="1"/>
  <c r="BZ66" i="1"/>
  <c r="CI66" i="1" s="1"/>
  <c r="BZ67" i="1"/>
  <c r="CI67" i="1" s="1"/>
  <c r="BZ68" i="1"/>
  <c r="CI68" i="1" s="1"/>
  <c r="BZ69" i="1"/>
  <c r="CI69" i="1" s="1"/>
  <c r="BZ70" i="1"/>
  <c r="CI70" i="1" s="1"/>
  <c r="BZ71" i="1"/>
  <c r="CI71" i="1" s="1"/>
  <c r="BZ72" i="1"/>
  <c r="CI72" i="1" s="1"/>
  <c r="BZ73" i="1"/>
  <c r="CI73" i="1" s="1"/>
  <c r="BZ74" i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T38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E73" i="1"/>
  <c r="AF73" i="1"/>
  <c r="AC73" i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CB68" i="1" s="1"/>
  <c r="AI60" i="1"/>
  <c r="AI62" i="1"/>
  <c r="CB62" i="1" s="1"/>
  <c r="AI59" i="1"/>
  <c r="AI52" i="1"/>
  <c r="BZ52" i="1" s="1"/>
  <c r="AI69" i="1"/>
  <c r="CB69" i="1" s="1"/>
  <c r="AI53" i="1"/>
  <c r="BZ53" i="1" s="1"/>
  <c r="AI48" i="1"/>
  <c r="BZ48" i="1" s="1"/>
  <c r="AI49" i="1"/>
  <c r="BZ49" i="1" s="1"/>
  <c r="CA62" i="1"/>
  <c r="CA46" i="1"/>
  <c r="CB46" i="1"/>
  <c r="CA69" i="1"/>
  <c r="CA68" i="1"/>
  <c r="AI57" i="1"/>
  <c r="BZ57" i="1" s="1"/>
  <c r="CI57" i="1" s="1"/>
  <c r="AI61" i="1"/>
  <c r="AI64" i="1"/>
  <c r="AI43" i="1"/>
  <c r="BZ43" i="1" s="1"/>
  <c r="CI43" i="1" s="1"/>
  <c r="AI50" i="1"/>
  <c r="BZ50" i="1" s="1"/>
  <c r="CI50" i="1" s="1"/>
  <c r="AI67" i="1"/>
  <c r="AI47" i="1"/>
  <c r="BZ47" i="1" s="1"/>
  <c r="CI47" i="1" s="1"/>
  <c r="AI65" i="1"/>
  <c r="AI54" i="1"/>
  <c r="BZ54" i="1" s="1"/>
  <c r="CI54" i="1" s="1"/>
  <c r="AI70" i="1"/>
  <c r="AI45" i="1"/>
  <c r="BZ45" i="1" s="1"/>
  <c r="CI45" i="1" s="1"/>
  <c r="AI58" i="1"/>
  <c r="BZ58" i="1" s="1"/>
  <c r="CI58" i="1" s="1"/>
  <c r="AI63" i="1"/>
  <c r="AI51" i="1"/>
  <c r="BZ51" i="1" s="1"/>
  <c r="CI51" i="1" s="1"/>
  <c r="AI55" i="1"/>
  <c r="BZ55" i="1" s="1"/>
  <c r="CI55" i="1" s="1"/>
  <c r="AI56" i="1"/>
  <c r="BZ56" i="1" s="1"/>
  <c r="CI56" i="1" s="1"/>
  <c r="AI66" i="1"/>
  <c r="AI72" i="1"/>
  <c r="AI44" i="1"/>
  <c r="BZ44" i="1" s="1"/>
  <c r="CI44" i="1" s="1"/>
  <c r="AI71" i="1"/>
  <c r="AS59" i="1"/>
  <c r="AS58" i="1"/>
  <c r="CB59" i="1" l="1"/>
  <c r="BZ59" i="1"/>
  <c r="CB60" i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2" i="1"/>
  <c r="CH62" i="1"/>
  <c r="CG69" i="1"/>
  <c r="CH69" i="1"/>
  <c r="CH59" i="1"/>
  <c r="CG59" i="1"/>
  <c r="CB44" i="1"/>
  <c r="CA44" i="1"/>
  <c r="CA43" i="1"/>
  <c r="BZ41" i="1" s="1"/>
  <c r="CG46" i="1"/>
  <c r="CH46" i="1"/>
  <c r="CG68" i="1"/>
  <c r="CH68" i="1"/>
  <c r="CG60" i="1"/>
  <c r="CH60" i="1"/>
  <c r="CA70" i="1"/>
  <c r="CB70" i="1"/>
  <c r="CE62" i="1"/>
  <c r="CF62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E59" i="1"/>
  <c r="CF59" i="1"/>
  <c r="CE69" i="1"/>
  <c r="CF69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8" i="1"/>
  <c r="CF68" i="1"/>
  <c r="CE60" i="1"/>
  <c r="CF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49" i="1" l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<sst xmlns="http://schemas.openxmlformats.org/spreadsheetml/2006/main" count="720" uniqueCount="209">
  <si>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</si>
  <si>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</si>
  <si>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</si>
  <si>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</si>
  <si>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</si>
  <si>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</si>
  <si>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</si>
  <si>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</si>
  <si>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</si>
  <si>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</si>
  <si>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</si>
  <si>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</si>
  <si>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</si>
  <si>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</si>
  <si>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</si>
  <si>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</si>
  <si>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</si>
  <si>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</si>
  <si>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</si>
  <si>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</si>
  <si>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</si>
  <si>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</si>
  <si>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</si>
  <si>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</si>
  <si>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</si>
  <si>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</si>
  <si>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</si>
  <si>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</si>
  <si>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</si>
  <si>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</si>
  <si>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</si>
  <si>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</si>
  <si>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</si>
  <si>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</si>
  <si>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</si>
  <si>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</si>
  <si>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</si>
  <si>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</si>
  <si>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</si>
  <si>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</si>
  <si>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</si>
  <si>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</si>
  <si>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</si>
  <si>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</si>
  <si>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</si>
  <si>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</si>
  <si>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</si>
  <si>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</si>
  <si>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</si>
  <si>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</si>
  <si>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</si>
  <si>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</si>
  <si>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</si>
  <si>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</si>
  <si>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</si>
  <si>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</si>
  <si>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</si>
  <si>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</si>
  <si>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</si>
  <si>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</si>
  <si>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</si>
  <si>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</si>
  <si>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</si>
  <si>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</si>
  <si>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</si>
  <si>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</si>
  <si>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E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</si>
  <si>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</si>
  <si>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</si>
  <si>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</si>
  <si>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</si>
  <si>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</si>
  <si>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</si>
  <si>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</si>
  <si>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</si>
  <si>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</si>
  <si>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</si>
  <si>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</si>
  <si>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</si>
  <si>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</si>
  <si>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</si>
  <si>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</si>
  <si>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</si>
  <si>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</si>
  <si>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</si>
  <si>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</si>
  <si>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</si>
  <si>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</si>
  <si>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</si>
  <si>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</si>
  <si>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</si>
  <si>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</si>
  <si>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</si>
  <si>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</si>
  <si>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</si>
  <si>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F</t>
  </si>
  <si>
    <t>86_E_N_Nicolas B.</t>
  </si>
  <si>
    <t>E_86_N</t>
  </si>
  <si>
    <t>E1_86_N</t>
  </si>
  <si>
    <t>E2_86_N</t>
  </si>
  <si>
    <t>E3_86_N</t>
  </si>
  <si>
    <t>E4_86_N</t>
  </si>
  <si>
    <t>E5_86_N</t>
  </si>
  <si>
    <t>E6_86_N</t>
  </si>
  <si>
    <t>E7_86_N</t>
  </si>
  <si>
    <t>E8_86_N</t>
  </si>
  <si>
    <t>87_E_N_Nicolas B.</t>
  </si>
  <si>
    <t>E_87_N</t>
  </si>
  <si>
    <t>E1_87_N</t>
  </si>
  <si>
    <t>E2_87_N</t>
  </si>
  <si>
    <t>E3_87_N</t>
  </si>
  <si>
    <t>E4_87_N</t>
  </si>
  <si>
    <t>E5_87_N</t>
  </si>
  <si>
    <t>Valider le poste</t>
  </si>
  <si>
    <t>production</t>
  </si>
  <si>
    <t>E6_87_N</t>
  </si>
  <si>
    <t>E7_87_N</t>
  </si>
  <si>
    <t>E8_87_N</t>
  </si>
  <si>
    <t>87_E_M_ThomasNau N.</t>
  </si>
  <si>
    <t>E1_87_M</t>
  </si>
  <si>
    <t>E2_87_M</t>
  </si>
  <si>
    <t>E_87_M</t>
  </si>
  <si>
    <t>E3_87_M</t>
  </si>
  <si>
    <t>E4_87_M</t>
  </si>
  <si>
    <t>E5_87_M</t>
  </si>
  <si>
    <t>E6_87_M</t>
  </si>
  <si>
    <t>E7_87_M</t>
  </si>
  <si>
    <t>E8_87_M</t>
  </si>
  <si>
    <t>87_E_A_ThomasNau N.</t>
  </si>
  <si>
    <t>E1_87_A</t>
  </si>
  <si>
    <t>E2_87_A</t>
  </si>
  <si>
    <t>E_87_A</t>
  </si>
  <si>
    <t>E3_87_A</t>
  </si>
  <si>
    <t>E4_87_A</t>
  </si>
  <si>
    <t>E5_87_A</t>
  </si>
  <si>
    <t>E6_87_A</t>
  </si>
  <si>
    <t>E7_87_A</t>
  </si>
  <si>
    <t>E8_87_A</t>
  </si>
  <si>
    <t>Colonne27</t>
  </si>
  <si>
    <t>86_F_A_ThomasNau N.</t>
  </si>
  <si>
    <t>F_86_A</t>
  </si>
  <si>
    <t>F1_86_A</t>
  </si>
  <si>
    <t>F2_86_A</t>
  </si>
  <si>
    <t>F3_86_A</t>
  </si>
  <si>
    <t>F4_86_A</t>
  </si>
  <si>
    <t>F5_86_A</t>
  </si>
  <si>
    <t>F6_86_A</t>
  </si>
  <si>
    <t>F7_86_A</t>
  </si>
  <si>
    <t>F8_86_A</t>
  </si>
  <si>
    <t>F9_86_A</t>
  </si>
  <si>
    <t>F10_86_A</t>
  </si>
  <si>
    <t>F11_86_A</t>
  </si>
  <si>
    <t>F12_86_A</t>
  </si>
  <si>
    <t>F13_86_A</t>
  </si>
  <si>
    <t>F14_86_A</t>
  </si>
  <si>
    <t>F15_86_A</t>
  </si>
  <si>
    <t>correction de "défault" en défaut</t>
  </si>
  <si>
    <t>88_F_A_Stéphane M.</t>
  </si>
  <si>
    <t>F_88_A</t>
  </si>
  <si>
    <t>F1_88_A</t>
  </si>
  <si>
    <t>F2_88_A</t>
  </si>
  <si>
    <t>F3_88_A</t>
  </si>
  <si>
    <t>F4_88_A</t>
  </si>
  <si>
    <t>F5_88_A</t>
  </si>
  <si>
    <t>F6_88_A</t>
  </si>
  <si>
    <t>F7_88_A</t>
  </si>
  <si>
    <t>F8_88_A</t>
  </si>
  <si>
    <t>F9_88_A</t>
  </si>
  <si>
    <t>F10_88_A</t>
  </si>
  <si>
    <t>F11_88_A</t>
  </si>
  <si>
    <t>F12_88_A</t>
  </si>
  <si>
    <t>F13_88_A</t>
  </si>
  <si>
    <t>F14_88_A</t>
  </si>
  <si>
    <t>F15_88_A</t>
  </si>
  <si>
    <t>88_F_A_Invité</t>
  </si>
  <si>
    <t>89_F_A_Invité</t>
  </si>
  <si>
    <t>F_89_A</t>
  </si>
  <si>
    <t>F1_89_A</t>
  </si>
  <si>
    <t>F2_89_A</t>
  </si>
  <si>
    <t>F3_89_A</t>
  </si>
  <si>
    <t>F4_89_A</t>
  </si>
  <si>
    <t>F5_89_A</t>
  </si>
  <si>
    <t>F6_89_A</t>
  </si>
  <si>
    <t>F7_89_A</t>
  </si>
  <si>
    <t>F8_89_A</t>
  </si>
  <si>
    <t>F9_89_A</t>
  </si>
  <si>
    <t>F10_89_A</t>
  </si>
  <si>
    <t>F11_89_A</t>
  </si>
  <si>
    <t>F12_89_A</t>
  </si>
  <si>
    <t>F13_89_A</t>
  </si>
  <si>
    <t>F14_89_A</t>
  </si>
  <si>
    <t>F15_89_A</t>
  </si>
  <si>
    <t>90_F_A_Invité</t>
  </si>
  <si>
    <t>F_90_A</t>
  </si>
  <si>
    <t>F1_90_A</t>
  </si>
  <si>
    <t>F2_90_A</t>
  </si>
  <si>
    <t>F3_90_A</t>
  </si>
  <si>
    <t>F4_90_A</t>
  </si>
  <si>
    <t>F5_90_A</t>
  </si>
  <si>
    <t>F6_90_A</t>
  </si>
  <si>
    <t>F7_90_A</t>
  </si>
  <si>
    <t>F8_90_A</t>
  </si>
  <si>
    <t>F9_90_A</t>
  </si>
  <si>
    <t>F10_90_A</t>
  </si>
  <si>
    <t>F11_90_A</t>
  </si>
  <si>
    <t>F12_90_A</t>
  </si>
  <si>
    <t>F13_90_A</t>
  </si>
  <si>
    <t>F14_90_A</t>
  </si>
  <si>
    <t>F15_90_A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</si>
</sst>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6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6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6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center" vertical="center"/>
    </xf>
    <xf numFmtId="0" fontId="18" fillId="6" borderId="4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</xf>
    <xf numFmtId="166" fontId="5" fillId="2" borderId="0" xfId="0" applyNumberFormat="1" applyFont="1" applyFill="1" applyAlignment="1" applyProtection="1">
      <alignment horizontal="left" vertic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726843</xdr:colOff>
      <xdr:row>36</xdr:row>
      <xdr:rowOff>80232</xdr:rowOff>
    </xdr:from>
    <xdr:to>
      <xdr:col>49</xdr:col>
      <xdr:colOff>322128</xdr:colOff>
      <xdr:row>39</xdr:row>
      <xdr:rowOff>95783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1693" y="3407632"/>
          <a:ext cx="573185" cy="568001"/>
        </a:xfrm>
        <a:prstGeom prst="rect">
          <a:avLst/>
        </a:prstGeom>
      </xdr:spPr>
    </xdr:pic>
    <xdr:clientData/>
  </xdr:twoCellAnchor>
  <xdr:twoCellAnchor editAs="oneCell">
    <xdr:from>
      <xdr:col>48</xdr:col>
      <xdr:colOff>713410</xdr:colOff>
      <xdr:row>32</xdr:row>
      <xdr:rowOff>52393</xdr:rowOff>
    </xdr:from>
    <xdr:to>
      <xdr:col>49</xdr:col>
      <xdr:colOff>371825</xdr:colOff>
      <xdr:row>35</xdr:row>
      <xdr:rowOff>137391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308260" y="2643193"/>
          <a:ext cx="636315" cy="637448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"/>
  <sheetViews>
    <sheetView workbookViewId="0">
      <selection activeCell="G4" sqref="G4"/>
    </sheetView>
  </sheetViews>
  <sheetFormatPr baseColWidth="10" defaultRowHeight="14.4" x14ac:dyDescent="0.3"/>
  <cols>
    <col min="5" max="5" width="15.5546875" bestFit="1" customWidth="1"/>
    <col min="7" max="7" width="28.21875" bestFit="1" customWidth="1"/>
  </cols>
  <sheetData>
    <row r="1" spans="1:8" x14ac:dyDescent="0.3">
      <c r="A1" t="s">
        <v>51</v>
      </c>
      <c r="C1" t="s">
        <v>56</v>
      </c>
      <c r="E1" t="s">
        <v>75</v>
      </c>
      <c r="G1" t="s">
        <v>76</v>
      </c>
      <c r="H1" t="s">
        <v>80</v>
      </c>
    </row>
    <row r="2" spans="1:8" x14ac:dyDescent="0.3">
      <c r="A2" t="s">
        <v>52</v>
      </c>
      <c r="C2" t="s">
        <v>46</v>
      </c>
      <c r="E2" t="s">
        <v>74</v>
      </c>
      <c r="G2" t="s">
        <v>77</v>
      </c>
    </row>
    <row r="3" spans="1:8" x14ac:dyDescent="0.3">
      <c r="A3" t="s">
        <v>53</v>
      </c>
      <c r="C3" t="s">
        <v>57</v>
      </c>
      <c r="E3" s="4"/>
      <c r="G3" t="s">
        <v>156</v>
      </c>
    </row>
    <row r="4" spans="1:8" x14ac:dyDescent="0.3">
      <c r="A4" t="s">
        <v>54</v>
      </c>
      <c r="C4" t="s">
        <v>58</v>
      </c>
    </row>
    <row r="5" spans="1:8" x14ac:dyDescent="0.3">
      <c r="A5" t="s">
        <v>94</v>
      </c>
      <c r="C5" t="s">
        <v>59</v>
      </c>
    </row>
    <row r="6" spans="1:8" x14ac:dyDescent="0.3">
      <c r="A6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Y83"/>
  <sheetViews>
    <sheetView tabSelected="1" topLeftCell="Y20" zoomScale="120" zoomScaleNormal="120" workbookViewId="0">
      <selection activeCell="AQ43" sqref="AQ43:AS45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7.5546875" style="9" customWidth="1"/>
    <col min="51" max="51" width="53.4414062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664062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21875" style="10" bestFit="1" customWidth="1"/>
    <col min="88" max="88" width="4.109375" style="10" customWidth="1"/>
    <col min="89" max="90" width="8.88671875" style="10" bestFit="1" customWidth="1"/>
    <col min="91" max="91" width="8.77734375" style="10" bestFit="1" customWidth="1"/>
    <col min="92" max="92" width="3" style="10" bestFit="1" customWidth="1"/>
    <col min="93" max="93" width="12.109375" style="10" bestFit="1" customWidth="1"/>
    <col min="94" max="94" width="3.5546875" style="10" bestFit="1" customWidth="1"/>
    <col min="95" max="95" width="5" style="10" bestFit="1" customWidth="1"/>
    <col min="96" max="96" width="4" style="10" bestFit="1" customWidth="1"/>
    <col min="97" max="97" width="9.109375" style="10" bestFit="1" customWidth="1"/>
    <col min="98" max="98" width="9.109375" style="10" customWidth="1"/>
    <col min="99" max="99" width="2.77734375" style="10" bestFit="1" customWidth="1"/>
    <col min="100" max="100" width="4.88671875" style="10" customWidth="1"/>
    <col min="101" max="101" width="5.44140625" style="10" bestFit="1" customWidth="1"/>
    <col min="102" max="102" width="5.5546875" style="10" bestFit="1" customWidth="1"/>
    <col min="103" max="103" width="10.33203125" style="10" customWidth="1"/>
    <col min="104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11"/>
      <c r="AH19" s="12"/>
      <c r="AI19" s="97" t="s">
        <v>69</v>
      </c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12"/>
      <c r="AX19" s="13"/>
    </row>
    <row r="20" spans="33:103" ht="14.4" customHeight="1" x14ac:dyDescent="0.3">
      <c r="AG20" s="11"/>
      <c r="AH20" s="12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12"/>
      <c r="AX20" s="13"/>
    </row>
    <row r="21" spans="33:103" ht="14.4" customHeight="1" x14ac:dyDescent="0.3">
      <c r="AG21" s="11"/>
      <c r="AH21" s="12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12"/>
      <c r="AX21" s="13"/>
    </row>
    <row r="22" spans="33:103" ht="14.4" customHeight="1" x14ac:dyDescent="0.3">
      <c r="AG22" s="11"/>
      <c r="AH22" s="12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12"/>
      <c r="AX22" s="13"/>
    </row>
    <row r="23" spans="33:103" ht="15" customHeight="1" thickBot="1" x14ac:dyDescent="0.35">
      <c r="AG23" s="11"/>
      <c r="AH23" s="12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78" t="s">
        <v>68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11"/>
      <c r="AV24" s="11"/>
      <c r="AW24" s="11"/>
      <c r="AX24" s="13"/>
    </row>
    <row r="25" spans="33:103" ht="14.4" customHeight="1" x14ac:dyDescent="0.3">
      <c r="AG25" s="11"/>
      <c r="AH25" s="77" t="s">
        <v>70</v>
      </c>
      <c r="AI25" s="77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11"/>
      <c r="AV25" s="11"/>
      <c r="AW25" s="11"/>
      <c r="AX25" s="13"/>
    </row>
    <row r="26" spans="33:103" ht="14.4" customHeight="1" x14ac:dyDescent="0.3">
      <c r="AG26" s="11"/>
      <c r="AH26" s="76" t="s">
        <v>71</v>
      </c>
      <c r="AI26" s="76"/>
      <c r="AJ26" s="76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11"/>
      <c r="AV26" s="11"/>
      <c r="AW26" s="11"/>
      <c r="AX26" s="13"/>
    </row>
    <row r="27" spans="33:103" ht="14.4" customHeight="1" x14ac:dyDescent="0.3">
      <c r="AG27" s="11"/>
      <c r="AH27" s="11"/>
      <c r="AI27" s="15"/>
      <c r="AJ27" s="11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7" t="s">
        <v>72</v>
      </c>
      <c r="AV27" s="77"/>
      <c r="AW27" s="77"/>
      <c r="AX27" s="13"/>
    </row>
    <row r="28" spans="33:103" x14ac:dyDescent="0.3">
      <c r="AG28" s="11"/>
      <c r="AH28" s="101" t="str">
        <f>_data!$E$2</f>
        <v>SD QU 08 14 rev 1</v>
      </c>
      <c r="AI28" s="101"/>
      <c r="AJ28" s="101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6" t="s">
        <v>73</v>
      </c>
      <c r="AV28" s="76"/>
      <c r="AW28" s="76"/>
      <c r="AX28" s="13"/>
    </row>
    <row r="29" spans="33:103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0</v>
      </c>
    </row>
    <row r="32" spans="33:103" x14ac:dyDescent="0.3">
      <c r="AG32" s="99" t="str">
        <f>IF(AND(AJ33&lt;&gt;"",AJ34&lt;&gt;"",AJ35&lt;&gt;"",AJ36&lt;&gt;"",AL34&lt;&gt;""),"ok","nok")</f>
        <v>ok</v>
      </c>
      <c r="AH32" s="11"/>
      <c r="AI32" s="82" t="s">
        <v>62</v>
      </c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84</v>
      </c>
      <c r="CB32" s="10" t="s">
        <v>0</v>
      </c>
      <c r="CC32" s="10" t="s">
        <v>50</v>
      </c>
      <c r="CD32" s="10" t="s">
        <v>85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90</v>
      </c>
      <c r="CL32" s="10" t="s">
        <v>91</v>
      </c>
      <c r="CM32" s="10" t="s">
        <v>92</v>
      </c>
      <c r="CN32" s="10" t="s">
        <v>19</v>
      </c>
      <c r="CO32" s="10" t="s">
        <v>86</v>
      </c>
      <c r="CP32" s="10" t="s">
        <v>87</v>
      </c>
      <c r="CQ32" s="10" t="s">
        <v>3</v>
      </c>
      <c r="CR32" s="10" t="s">
        <v>4</v>
      </c>
      <c r="CS32" s="10" t="s">
        <v>88</v>
      </c>
      <c r="CT32" s="10" t="s">
        <v>89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3" ht="14.4" customHeight="1" x14ac:dyDescent="0.3">
      <c r="AH33" s="102">
        <f>IF(AJ33&lt;&gt;"",AJ33,"")</f>
        <v>45016</v>
      </c>
      <c r="AI33" s="17" t="s">
        <v>0</v>
      </c>
      <c r="AJ33" s="70">
        <v>45016</v>
      </c>
      <c r="AK33" s="18">
        <f>IF(AJ33&lt;&gt;"",AJ33-DATE(YEAR(AJ33),1,1)+1,"")</f>
        <v>90</v>
      </c>
      <c r="AO33" s="19"/>
      <c r="AR33" s="20" t="s">
        <v>6</v>
      </c>
      <c r="AS33" s="21" t="str">
        <f>MID(AL34,1,1)</f>
        <v>E</v>
      </c>
      <c r="AU33" s="83"/>
      <c r="AV33" s="83"/>
      <c r="AW33" s="83"/>
      <c r="BZ33" s="10" t="str">
        <f>CONCATENATE(AK33,"_",AS33,"_",MID(AJ34,1,1),"_",AJ35)</f>
        <v>90_E_N_Invité</v>
      </c>
      <c r="CA33" s="10">
        <f>_xlfn.NUMBERVALUE(AK33)</f>
        <v>90</v>
      </c>
      <c r="CB33" s="22">
        <f>AJ33</f>
        <v>45016</v>
      </c>
      <c r="CC33" s="10" t="str">
        <f>AJ34</f>
        <v>Nuit</v>
      </c>
      <c r="CD33" s="10">
        <f>AJ36</f>
        <v>480</v>
      </c>
      <c r="CE33" s="10" t="str">
        <f>AS33</f>
        <v>E</v>
      </c>
      <c r="CF33" s="10" t="str">
        <f>AL34</f>
        <v>E 2x250g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>
        <f>AU42</f>
        <v>30.952380952380953</v>
      </c>
      <c r="CP33" s="10">
        <f>AW42</f>
        <v>21</v>
      </c>
      <c r="CQ33" s="10">
        <f>AR58</f>
        <v>5057</v>
      </c>
      <c r="CR33" s="10">
        <f>AR59</f>
        <v>1945</v>
      </c>
      <c r="CS33" s="10">
        <f>AS58</f>
        <v>6.5</v>
      </c>
      <c r="CT33" s="10">
        <f>AS59</f>
        <v>2.5</v>
      </c>
      <c r="CU33" s="10">
        <f>R41</f>
        <v>1556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389</v>
      </c>
    </row>
    <row r="34" spans="18:103" x14ac:dyDescent="0.3">
      <c r="AI34" s="17" t="s">
        <v>50</v>
      </c>
      <c r="AJ34" s="71" t="s">
        <v>58</v>
      </c>
      <c r="AK34" s="20" t="s">
        <v>114</v>
      </c>
      <c r="AL34" s="100" t="s">
        <v>35</v>
      </c>
      <c r="AO34" s="19"/>
      <c r="AQ34" s="23" t="str">
        <f>IFERROR(CONCATENATE("normal : ",HLOOKUP(PROD!AL34,_produits!A1:E8,8,FALSE)),"")</f>
        <v>normal : 1050</v>
      </c>
      <c r="AR34" s="20" t="s">
        <v>61</v>
      </c>
      <c r="AS34" s="69"/>
      <c r="AU34" s="83"/>
      <c r="AV34" s="83"/>
      <c r="AW34" s="83"/>
    </row>
    <row r="35" spans="18:103" x14ac:dyDescent="0.3">
      <c r="AI35" s="17" t="s">
        <v>1</v>
      </c>
      <c r="AJ35" s="71" t="s">
        <v>55</v>
      </c>
      <c r="AK35" s="20" t="s">
        <v>8</v>
      </c>
      <c r="AL35" s="72"/>
      <c r="AO35" s="19"/>
      <c r="AQ35" s="23" t="str">
        <f>IFERROR(CONCATENATE("normal : ",HLOOKUP(PROD!AL34,_produits!A1:E9,9,FALSE)),"")</f>
        <v>normal : 42</v>
      </c>
      <c r="AR35" s="20" t="s">
        <v>64</v>
      </c>
      <c r="AS35" s="72"/>
      <c r="AU35" s="83"/>
      <c r="AV35" s="83"/>
      <c r="AW35" s="83"/>
    </row>
    <row r="36" spans="18:103" x14ac:dyDescent="0.3">
      <c r="AI36" s="17" t="s">
        <v>41</v>
      </c>
      <c r="AJ36" s="72">
        <v>480</v>
      </c>
      <c r="AK36" s="24">
        <f>AJ36/60/24</f>
        <v>0.33333333333333331</v>
      </c>
      <c r="AO36" s="19"/>
      <c r="AU36" s="83"/>
      <c r="AV36" s="83"/>
      <c r="AW36" s="83"/>
    </row>
    <row r="37" spans="18:103" x14ac:dyDescent="0.3">
      <c r="AJ37" s="25" t="s">
        <v>67</v>
      </c>
    </row>
    <row r="38" spans="18:103" x14ac:dyDescent="0.3">
      <c r="AJ38" s="84" t="str">
        <f>IF(AL34="","Sélectionner la production à démarrer","Bon courage *")</f>
        <v>Bon courage *</v>
      </c>
      <c r="AK38" s="84"/>
      <c r="AL38" s="84"/>
      <c r="AM38" s="84"/>
      <c r="AN38" s="84"/>
      <c r="AO38" s="84"/>
      <c r="AP38" s="84"/>
      <c r="AQ38" s="84"/>
      <c r="AR38" s="84"/>
      <c r="AS38" s="86"/>
      <c r="AT38" s="85" t="str">
        <f>IF(AS33="E","Droite/Gauche s'entendent dos au tambour","")</f>
        <v>Droite/Gauche s'entendent dos au tambour</v>
      </c>
      <c r="AU38" s="85"/>
      <c r="AV38" s="85"/>
      <c r="AW38" s="85"/>
    </row>
    <row r="39" spans="18:103" x14ac:dyDescent="0.3">
      <c r="AJ39" s="84"/>
      <c r="AK39" s="84"/>
      <c r="AL39" s="84"/>
      <c r="AM39" s="84"/>
      <c r="AN39" s="84"/>
      <c r="AO39" s="84"/>
      <c r="AP39" s="84"/>
      <c r="AQ39" s="84"/>
      <c r="AR39" s="84"/>
      <c r="AS39" s="86"/>
      <c r="AT39" s="85"/>
      <c r="AU39" s="85"/>
      <c r="AV39" s="85"/>
      <c r="AW39" s="85"/>
    </row>
    <row r="40" spans="18:103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3" x14ac:dyDescent="0.3">
      <c r="R41" s="7">
        <f>SUM(R43:R82)</f>
        <v>1556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389</v>
      </c>
      <c r="AI41" s="30"/>
      <c r="AJ41" s="79" t="s">
        <v>21</v>
      </c>
      <c r="AK41" s="79"/>
      <c r="AL41" s="79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0</v>
      </c>
    </row>
    <row r="42" spans="18:103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81">
        <f>IFERROR(AS58/AW42*100,"")</f>
        <v>30.952380952380953</v>
      </c>
      <c r="AV42" s="81"/>
      <c r="AW42" s="36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21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13</v>
      </c>
      <c r="BZ42" s="10" t="s">
        <v>81</v>
      </c>
      <c r="CA42" s="10" t="s">
        <v>45</v>
      </c>
      <c r="CB42" s="10" t="s">
        <v>31</v>
      </c>
      <c r="CC42" s="10" t="s">
        <v>82</v>
      </c>
      <c r="CD42" s="10" t="s">
        <v>20</v>
      </c>
      <c r="CE42" s="10" t="s">
        <v>33</v>
      </c>
      <c r="CF42" s="10" t="s">
        <v>32</v>
      </c>
      <c r="CG42" s="10" t="s">
        <v>83</v>
      </c>
      <c r="CH42" s="10" t="s">
        <v>19</v>
      </c>
      <c r="CI42" s="10" t="s">
        <v>7</v>
      </c>
    </row>
    <row r="43" spans="18:103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>
        <f>IF($AJ43=V$42,$AL43,"")</f>
        <v>389</v>
      </c>
      <c r="AA43" s="6">
        <f>IF(AO43&lt;&gt;0,SUM(AB$43:AB43),"")</f>
        <v>1</v>
      </c>
      <c r="AB43" s="6">
        <f>IF(AO43&lt;&gt;0,IF(AO43&lt;&gt;0,1,0),"")</f>
        <v>1</v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20" t="str">
        <f>IF(AS$33="E","droite","")</f>
        <v>droite</v>
      </c>
      <c r="AI43" s="30" t="str">
        <f>IF(AL$34="E 2x250g",AE43,AF43)</f>
        <v/>
      </c>
      <c r="AJ43" s="67" t="s">
        <v>27</v>
      </c>
      <c r="AK43" s="3"/>
      <c r="AL43" s="3">
        <v>389</v>
      </c>
      <c r="AN43" s="7">
        <f>IF(AJ43="",IF(AK43="",AL43,AL43-AK43),0)</f>
        <v>0</v>
      </c>
      <c r="AO43" s="7">
        <f>IF(AJ43&lt;&gt;"",IF(AK43="",AL43,AL43-AK43),0)</f>
        <v>389</v>
      </c>
      <c r="AQ43" s="3"/>
      <c r="AR43" s="3"/>
      <c r="AS43" s="3"/>
      <c r="AT43" s="41" t="str">
        <f>IFERROR(AVERAGE(AR43:AS43),"")</f>
        <v/>
      </c>
      <c r="AU43" s="81"/>
      <c r="AV43" s="81"/>
      <c r="AW43" s="80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>E_90_N</v>
      </c>
      <c r="CA43" s="10" t="str">
        <f>IF(BZ43&lt;&gt;"",BZ$33,"")</f>
        <v>90_E_N_Invité</v>
      </c>
      <c r="CB43" s="10" t="str">
        <f>AI43</f>
        <v/>
      </c>
      <c r="CC43" s="10" t="str">
        <f>IF(AJ43&lt;&gt;"",AJ43,"")</f>
        <v>Démarrage</v>
      </c>
      <c r="CD43" s="10">
        <f>IF(AL43&lt;&gt;"",AL43,"")</f>
        <v>389</v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>E 2x250g</v>
      </c>
    </row>
    <row r="44" spans="18:103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>
        <f t="shared" ref="AC44:AC51" si="6">IF(AN44&lt;&gt;0,IF(AJ44="",0.5,0),"")</f>
        <v>0.5</v>
      </c>
      <c r="AD44" s="6">
        <f t="shared" ref="AD44:AD51" si="7">IF(AN44&lt;&gt;0,IF(AJ44="",1,0),"")</f>
        <v>1</v>
      </c>
      <c r="AE44" s="6">
        <f>IF(AND(AN44&lt;&gt;0),SUM(AC$43:AC44),"")</f>
        <v>0.5</v>
      </c>
      <c r="AF44" s="6">
        <f>IF(AND(AN44&lt;&gt;0),SUM(AD$43:AD44),"")</f>
        <v>1</v>
      </c>
      <c r="AH44" s="20" t="str">
        <f>IF(AS$33="E","gauche","")</f>
        <v>gauche</v>
      </c>
      <c r="AI44" s="30">
        <f t="shared" ref="AI44:AI82" si="8">IF(AL$34="E 2x250g",AE44,AF44)</f>
        <v>0.5</v>
      </c>
      <c r="AJ44" s="67"/>
      <c r="AK44" s="3"/>
      <c r="AL44" s="3">
        <v>389</v>
      </c>
      <c r="AN44" s="7">
        <f t="shared" ref="AN44:AN51" si="9">IF(AJ44="",IF(AK44="",AL44,AL44-AK44),0)</f>
        <v>389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81"/>
      <c r="AV44" s="81"/>
      <c r="AW44" s="80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>E1_90_N</v>
      </c>
      <c r="CA44" s="10" t="str">
        <f t="shared" ref="CA44:CA82" si="13">IF(BZ44&lt;&gt;"",BZ$33,"")</f>
        <v>90_E_N_Invité</v>
      </c>
      <c r="CB44" s="10">
        <f t="shared" ref="CB44:CB82" si="14">AI44</f>
        <v>0.5</v>
      </c>
      <c r="CC44" s="10" t="str">
        <f t="shared" ref="CC44:CC82" si="15">IF(AJ44&lt;&gt;"",AJ44,"")</f>
        <v/>
      </c>
      <c r="CD44" s="10">
        <f t="shared" ref="CD44:CD82" si="16">IF(AL44&lt;&gt;"",AL44,"")</f>
        <v>389</v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>E 2x250g</v>
      </c>
    </row>
    <row r="45" spans="18:103" ht="14.4" customHeight="1" x14ac:dyDescent="0.3">
      <c r="R45" s="7">
        <f t="shared" si="3"/>
        <v>389</v>
      </c>
      <c r="S45" s="7" t="str">
        <f t="shared" si="3"/>
        <v/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>
        <f>IF(AO45&lt;&gt;0,SUM(AB$43:AB45),"")</f>
        <v>2</v>
      </c>
      <c r="AB45" s="6">
        <f t="shared" si="5"/>
        <v>1</v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>droite</v>
      </c>
      <c r="AI45" s="30" t="str">
        <f t="shared" si="8"/>
        <v/>
      </c>
      <c r="AJ45" s="67" t="s">
        <v>24</v>
      </c>
      <c r="AK45" s="3"/>
      <c r="AL45" s="3">
        <v>389</v>
      </c>
      <c r="AN45" s="7">
        <f t="shared" si="9"/>
        <v>0</v>
      </c>
      <c r="AO45" s="7">
        <f t="shared" si="10"/>
        <v>389</v>
      </c>
      <c r="AQ45" s="3"/>
      <c r="AR45" s="3"/>
      <c r="AS45" s="3"/>
      <c r="AT45" s="41" t="str">
        <f t="shared" si="11"/>
        <v/>
      </c>
      <c r="AU45" s="81"/>
      <c r="AV45" s="81"/>
      <c r="AW45" s="80"/>
      <c r="AX45" s="9" t="str">
        <f t="shared" si="4"/>
        <v/>
      </c>
      <c r="BK45" s="73"/>
      <c r="BZ45" s="74" t="str">
        <f t="shared" si="12"/>
        <v>E_90_N</v>
      </c>
      <c r="CA45" s="10" t="str">
        <f t="shared" si="13"/>
        <v>90_E_N_Invité</v>
      </c>
      <c r="CB45" s="10" t="str">
        <f t="shared" si="14"/>
        <v/>
      </c>
      <c r="CC45" s="10" t="str">
        <f t="shared" si="15"/>
        <v>Fil</v>
      </c>
      <c r="CD45" s="10">
        <f t="shared" si="16"/>
        <v>389</v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>E 2x250g</v>
      </c>
    </row>
    <row r="46" spans="18:103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>
        <f t="shared" si="6"/>
        <v>0.5</v>
      </c>
      <c r="AD46" s="6">
        <f t="shared" si="7"/>
        <v>1</v>
      </c>
      <c r="AE46" s="6">
        <f>IF(AND(AN46&lt;&gt;0),SUM(AC$43:AC46),"")</f>
        <v>1</v>
      </c>
      <c r="AF46" s="6">
        <f>IF(AND(AN46&lt;&gt;0),SUM(AD$43:AD46),"")</f>
        <v>2</v>
      </c>
      <c r="AH46" s="20" t="str">
        <f>IF(AS$33="E","gauche","")</f>
        <v>gauche</v>
      </c>
      <c r="AI46" s="30">
        <f t="shared" si="8"/>
        <v>1</v>
      </c>
      <c r="AJ46" s="67"/>
      <c r="AK46" s="3"/>
      <c r="AL46" s="3">
        <v>389</v>
      </c>
      <c r="AN46" s="7">
        <f t="shared" si="9"/>
        <v>389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81"/>
      <c r="AV46" s="81"/>
      <c r="AW46" s="80"/>
      <c r="AX46" s="9" t="str">
        <f t="shared" si="4"/>
        <v/>
      </c>
      <c r="BK46" s="73"/>
      <c r="BZ46" s="74" t="str">
        <f t="shared" si="12"/>
        <v>E1_90_N</v>
      </c>
      <c r="CA46" s="10" t="str">
        <f t="shared" si="13"/>
        <v>90_E_N_Invité</v>
      </c>
      <c r="CB46" s="10">
        <f t="shared" si="14"/>
        <v>1</v>
      </c>
      <c r="CC46" s="10" t="str">
        <f t="shared" si="15"/>
        <v/>
      </c>
      <c r="CD46" s="10">
        <f t="shared" si="16"/>
        <v>389</v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>E 2x250g</v>
      </c>
    </row>
    <row r="47" spans="18:103" x14ac:dyDescent="0.3">
      <c r="R47" s="7">
        <f t="shared" si="3"/>
        <v>389</v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>
        <f>IF(AO47&lt;&gt;0,SUM(AB$43:AB47),"")</f>
        <v>3</v>
      </c>
      <c r="AB47" s="6">
        <f t="shared" si="5"/>
        <v>1</v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20" t="str">
        <f>IF(AS$33="E","droite","")</f>
        <v>droite</v>
      </c>
      <c r="AI47" s="30" t="str">
        <f t="shared" si="8"/>
        <v/>
      </c>
      <c r="AJ47" s="67" t="s">
        <v>24</v>
      </c>
      <c r="AK47" s="3"/>
      <c r="AL47" s="3">
        <v>389</v>
      </c>
      <c r="AN47" s="7">
        <f t="shared" si="9"/>
        <v>0</v>
      </c>
      <c r="AO47" s="7">
        <f t="shared" si="10"/>
        <v>389</v>
      </c>
      <c r="AQ47" s="3"/>
      <c r="AR47" s="3"/>
      <c r="AS47" s="3"/>
      <c r="AT47" s="41" t="str">
        <f t="shared" si="11"/>
        <v/>
      </c>
      <c r="AU47" s="81"/>
      <c r="AV47" s="81"/>
      <c r="AW47" s="80"/>
      <c r="AX47" s="9" t="str">
        <f t="shared" si="4"/>
        <v/>
      </c>
      <c r="BK47" s="73"/>
      <c r="BZ47" s="74" t="str">
        <f t="shared" si="12"/>
        <v>E_90_N</v>
      </c>
      <c r="CA47" s="10" t="str">
        <f t="shared" si="13"/>
        <v>90_E_N_Invité</v>
      </c>
      <c r="CB47" s="10" t="str">
        <f t="shared" si="14"/>
        <v/>
      </c>
      <c r="CC47" s="10" t="str">
        <f t="shared" si="15"/>
        <v>Fil</v>
      </c>
      <c r="CD47" s="10">
        <f t="shared" si="16"/>
        <v>389</v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>E 2x250g</v>
      </c>
    </row>
    <row r="48" spans="18:103" x14ac:dyDescent="0.3">
      <c r="R48" s="7">
        <f t="shared" si="3"/>
        <v>389</v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>
        <f>IF(AO48&lt;&gt;0,SUM(AB$43:AB48),"")</f>
        <v>4</v>
      </c>
      <c r="AB48" s="6">
        <f t="shared" si="5"/>
        <v>1</v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20" t="str">
        <f>IF(AS$33="E","gauche","")</f>
        <v>gauche</v>
      </c>
      <c r="AI48" s="30" t="str">
        <f t="shared" si="8"/>
        <v/>
      </c>
      <c r="AJ48" s="67" t="s">
        <v>24</v>
      </c>
      <c r="AK48" s="3"/>
      <c r="AL48" s="3">
        <v>389</v>
      </c>
      <c r="AN48" s="7">
        <f t="shared" si="9"/>
        <v>0</v>
      </c>
      <c r="AO48" s="7">
        <f t="shared" si="10"/>
        <v>389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>E_90_N</v>
      </c>
      <c r="CA48" s="10" t="str">
        <f t="shared" si="13"/>
        <v>90_E_N_Invité</v>
      </c>
      <c r="CB48" s="10" t="str">
        <f t="shared" si="14"/>
        <v/>
      </c>
      <c r="CC48" s="10" t="str">
        <f t="shared" si="15"/>
        <v>Fil</v>
      </c>
      <c r="CD48" s="10">
        <f t="shared" si="16"/>
        <v>389</v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>E 2x250g</v>
      </c>
    </row>
    <row r="49" spans="18:87" x14ac:dyDescent="0.3">
      <c r="R49" s="7">
        <f t="shared" si="3"/>
        <v>389</v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>
        <f>IF(AO49&lt;&gt;0,SUM(AB$43:AB49),"")</f>
        <v>5</v>
      </c>
      <c r="AB49" s="6">
        <f t="shared" si="5"/>
        <v>1</v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20" t="str">
        <f>IF(AS$33="E","droite","")</f>
        <v>droite</v>
      </c>
      <c r="AI49" s="30" t="str">
        <f t="shared" si="8"/>
        <v/>
      </c>
      <c r="AJ49" s="67" t="s">
        <v>24</v>
      </c>
      <c r="AK49" s="3"/>
      <c r="AL49" s="3">
        <v>389</v>
      </c>
      <c r="AN49" s="7">
        <f t="shared" si="9"/>
        <v>0</v>
      </c>
      <c r="AO49" s="7">
        <f t="shared" si="10"/>
        <v>389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6" t="s">
        <v>113</v>
      </c>
      <c r="AV49" s="34"/>
      <c r="AW49" s="34"/>
      <c r="AX49" s="9" t="str">
        <f t="shared" si="4"/>
        <v/>
      </c>
      <c r="BK49" s="73"/>
      <c r="BZ49" s="74" t="str">
        <f t="shared" si="12"/>
        <v>E_90_N</v>
      </c>
      <c r="CA49" s="10" t="str">
        <f t="shared" si="13"/>
        <v>90_E_N_Invité</v>
      </c>
      <c r="CB49" s="10" t="str">
        <f t="shared" si="14"/>
        <v/>
      </c>
      <c r="CC49" s="10" t="str">
        <f t="shared" si="15"/>
        <v>Fil</v>
      </c>
      <c r="CD49" s="10">
        <f t="shared" si="16"/>
        <v>389</v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>E 2x250g</v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>
        <f t="shared" si="6"/>
        <v>0.5</v>
      </c>
      <c r="AD50" s="6">
        <f t="shared" si="7"/>
        <v>1</v>
      </c>
      <c r="AE50" s="6">
        <f>IF(AND(AN50&lt;&gt;0),SUM(AC$43:AC50),"")</f>
        <v>1.5</v>
      </c>
      <c r="AF50" s="6">
        <f>IF(AND(AN50&lt;&gt;0),SUM(AD$43:AD50),"")</f>
        <v>3</v>
      </c>
      <c r="AH50" s="20" t="str">
        <f>IF(AS$33="E","gauche","")</f>
        <v>gauche</v>
      </c>
      <c r="AI50" s="30">
        <f t="shared" si="8"/>
        <v>1.5</v>
      </c>
      <c r="AJ50" s="67"/>
      <c r="AK50" s="3"/>
      <c r="AL50" s="3">
        <v>389</v>
      </c>
      <c r="AN50" s="7">
        <f t="shared" si="9"/>
        <v>389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>E2_90_N</v>
      </c>
      <c r="CA50" s="10" t="str">
        <f t="shared" si="13"/>
        <v>90_E_N_Invité</v>
      </c>
      <c r="CB50" s="10">
        <f t="shared" si="14"/>
        <v>1.5</v>
      </c>
      <c r="CC50" s="10" t="str">
        <f t="shared" si="15"/>
        <v/>
      </c>
      <c r="CD50" s="10">
        <f t="shared" si="16"/>
        <v>389</v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>E 2x250g</v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>
        <f t="shared" si="6"/>
        <v>0.5</v>
      </c>
      <c r="AD51" s="6">
        <f t="shared" si="7"/>
        <v>1</v>
      </c>
      <c r="AE51" s="6">
        <f>IF(AND(AN51&lt;&gt;0),SUM(AC$43:AC51),"")</f>
        <v>2</v>
      </c>
      <c r="AF51" s="6">
        <f>IF(AND(AN51&lt;&gt;0),SUM(AD$43:AD51),"")</f>
        <v>4</v>
      </c>
      <c r="AH51" s="20" t="str">
        <f>IF(AS$33="E","droite","")</f>
        <v>droite</v>
      </c>
      <c r="AI51" s="30">
        <f t="shared" si="8"/>
        <v>2</v>
      </c>
      <c r="AJ51" s="68"/>
      <c r="AK51" s="69"/>
      <c r="AL51" s="3">
        <v>389</v>
      </c>
      <c r="AN51" s="7">
        <f t="shared" si="9"/>
        <v>389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>E2_90_N</v>
      </c>
      <c r="CA51" s="10" t="str">
        <f t="shared" si="13"/>
        <v>90_E_N_Invité</v>
      </c>
      <c r="CB51" s="10">
        <f t="shared" si="14"/>
        <v>2</v>
      </c>
      <c r="CC51" s="10" t="str">
        <f t="shared" si="15"/>
        <v/>
      </c>
      <c r="CD51" s="10">
        <f t="shared" si="16"/>
        <v>389</v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>E 2x250g</v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>
        <f t="shared" ref="AC52:AC72" si="22">IF(AN52&lt;&gt;0,IF(AJ52="",0.5,0),"")</f>
        <v>0.5</v>
      </c>
      <c r="AD52" s="6">
        <f t="shared" ref="AD52:AD72" si="23">IF(AN52&lt;&gt;0,IF(AJ52="",1,0),"")</f>
        <v>1</v>
      </c>
      <c r="AE52" s="6">
        <f>IF(AND(AN52&lt;&gt;0),SUM(AC$43:AC52),"")</f>
        <v>2.5</v>
      </c>
      <c r="AF52" s="6">
        <f>IF(AND(AN52&lt;&gt;0),SUM(AD$43:AD52),"")</f>
        <v>5</v>
      </c>
      <c r="AH52" s="20" t="str">
        <f>IF(AS$33="E","gauche","")</f>
        <v>gauche</v>
      </c>
      <c r="AI52" s="30">
        <f t="shared" si="8"/>
        <v>2.5</v>
      </c>
      <c r="AJ52" s="68"/>
      <c r="AK52" s="69"/>
      <c r="AL52" s="3">
        <v>389</v>
      </c>
      <c r="AN52" s="7">
        <f t="shared" ref="AN52:AN73" si="24">IF(AJ52="",IF(AK52="",AL52,AL52-AK52),0)</f>
        <v>389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>E3_90_N</v>
      </c>
      <c r="CA52" s="10" t="str">
        <f t="shared" si="13"/>
        <v>90_E_N_Invité</v>
      </c>
      <c r="CB52" s="10">
        <f t="shared" si="14"/>
        <v>2.5</v>
      </c>
      <c r="CC52" s="10" t="str">
        <f t="shared" si="15"/>
        <v/>
      </c>
      <c r="CD52" s="10">
        <f t="shared" si="16"/>
        <v>389</v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>E 2x250g</v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>
        <f t="shared" si="22"/>
        <v>0.5</v>
      </c>
      <c r="AD53" s="6">
        <f t="shared" si="23"/>
        <v>1</v>
      </c>
      <c r="AE53" s="6">
        <f>IF(AND(AN53&lt;&gt;0),SUM(AC$43:AC53),"")</f>
        <v>3</v>
      </c>
      <c r="AF53" s="6">
        <f>IF(AND(AN53&lt;&gt;0),SUM(AD$43:AD53),"")</f>
        <v>6</v>
      </c>
      <c r="AH53" s="20" t="str">
        <f>IF(AS$33="E","droite","")</f>
        <v>droite</v>
      </c>
      <c r="AI53" s="30">
        <f t="shared" si="8"/>
        <v>3</v>
      </c>
      <c r="AJ53" s="68"/>
      <c r="AK53" s="69"/>
      <c r="AL53" s="3">
        <v>389</v>
      </c>
      <c r="AN53" s="7">
        <f t="shared" si="24"/>
        <v>389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>E3_90_N</v>
      </c>
      <c r="CA53" s="10" t="str">
        <f t="shared" si="13"/>
        <v>90_E_N_Invité</v>
      </c>
      <c r="CB53" s="10">
        <f t="shared" si="14"/>
        <v>3</v>
      </c>
      <c r="CC53" s="10" t="str">
        <f t="shared" si="15"/>
        <v/>
      </c>
      <c r="CD53" s="10">
        <f t="shared" si="16"/>
        <v>389</v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>E 2x250g</v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>
        <f t="shared" si="22"/>
        <v>0.5</v>
      </c>
      <c r="AD54" s="6">
        <f t="shared" si="23"/>
        <v>1</v>
      </c>
      <c r="AE54" s="6">
        <f>IF(AND(AN54&lt;&gt;0),SUM(AC$43:AC54),"")</f>
        <v>3.5</v>
      </c>
      <c r="AF54" s="6">
        <f>IF(AND(AN54&lt;&gt;0),SUM(AD$43:AD54),"")</f>
        <v>7</v>
      </c>
      <c r="AH54" s="20" t="str">
        <f>IF(AS$33="E","gauche","")</f>
        <v>gauche</v>
      </c>
      <c r="AI54" s="30">
        <f t="shared" si="8"/>
        <v>3.5</v>
      </c>
      <c r="AJ54" s="68"/>
      <c r="AK54" s="69"/>
      <c r="AL54" s="3">
        <v>389</v>
      </c>
      <c r="AN54" s="7">
        <f t="shared" si="24"/>
        <v>389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>E4_90_N</v>
      </c>
      <c r="CA54" s="10" t="str">
        <f t="shared" si="13"/>
        <v>90_E_N_Invité</v>
      </c>
      <c r="CB54" s="10">
        <f t="shared" si="14"/>
        <v>3.5</v>
      </c>
      <c r="CC54" s="10" t="str">
        <f t="shared" si="15"/>
        <v/>
      </c>
      <c r="CD54" s="10">
        <f t="shared" si="16"/>
        <v>389</v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>E 2x250g</v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>
        <f t="shared" si="22"/>
        <v>0.5</v>
      </c>
      <c r="AD55" s="6">
        <f t="shared" si="23"/>
        <v>1</v>
      </c>
      <c r="AE55" s="6">
        <f>IF(AND(AN55&lt;&gt;0),SUM(AC$43:AC55),"")</f>
        <v>4</v>
      </c>
      <c r="AF55" s="6">
        <f>IF(AND(AN55&lt;&gt;0),SUM(AD$43:AD55),"")</f>
        <v>8</v>
      </c>
      <c r="AH55" s="20" t="str">
        <f>IF(AS$33="E","droite","")</f>
        <v>droite</v>
      </c>
      <c r="AI55" s="30">
        <f t="shared" si="8"/>
        <v>4</v>
      </c>
      <c r="AJ55" s="68"/>
      <c r="AK55" s="69"/>
      <c r="AL55" s="3">
        <v>389</v>
      </c>
      <c r="AN55" s="7">
        <f t="shared" si="24"/>
        <v>389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93</v>
      </c>
      <c r="AX55" s="9" t="str">
        <f t="shared" si="4"/>
        <v/>
      </c>
      <c r="BK55" s="73"/>
      <c r="BZ55" s="74" t="str">
        <f t="shared" si="12"/>
        <v>E4_90_N</v>
      </c>
      <c r="CA55" s="10" t="str">
        <f t="shared" si="13"/>
        <v>90_E_N_Invité</v>
      </c>
      <c r="CB55" s="10">
        <f t="shared" si="14"/>
        <v>4</v>
      </c>
      <c r="CC55" s="10" t="str">
        <f t="shared" si="15"/>
        <v/>
      </c>
      <c r="CD55" s="10">
        <f t="shared" si="16"/>
        <v>389</v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>E 2x250g</v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>
        <f t="shared" si="22"/>
        <v>0.5</v>
      </c>
      <c r="AD56" s="6">
        <f t="shared" si="23"/>
        <v>1</v>
      </c>
      <c r="AE56" s="6">
        <f>IF(AND(AN56&lt;&gt;0),SUM(AC$43:AC56),"")</f>
        <v>4.5</v>
      </c>
      <c r="AF56" s="6">
        <f>IF(AND(AN56&lt;&gt;0),SUM(AD$43:AD56),"")</f>
        <v>9</v>
      </c>
      <c r="AH56" s="20" t="str">
        <f>IF(AS$33="E","gauche","")</f>
        <v>gauche</v>
      </c>
      <c r="AI56" s="30">
        <f t="shared" si="8"/>
        <v>4.5</v>
      </c>
      <c r="AJ56" s="68"/>
      <c r="AK56" s="69"/>
      <c r="AL56" s="3">
        <v>389</v>
      </c>
      <c r="AN56" s="7">
        <f t="shared" si="24"/>
        <v>389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>E5_90_N</v>
      </c>
      <c r="CA56" s="10" t="str">
        <f t="shared" si="13"/>
        <v>90_E_N_Invité</v>
      </c>
      <c r="CB56" s="10">
        <f t="shared" si="14"/>
        <v>4.5</v>
      </c>
      <c r="CC56" s="10" t="str">
        <f t="shared" si="15"/>
        <v/>
      </c>
      <c r="CD56" s="10">
        <f t="shared" si="16"/>
        <v>389</v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>E 2x250g</v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>
        <f t="shared" si="22"/>
        <v>0.5</v>
      </c>
      <c r="AD57" s="6">
        <f t="shared" si="23"/>
        <v>1</v>
      </c>
      <c r="AE57" s="6">
        <f>IF(AND(AN57&lt;&gt;0),SUM(AC$43:AC57),"")</f>
        <v>5</v>
      </c>
      <c r="AF57" s="6">
        <f>IF(AND(AN57&lt;&gt;0),SUM(AD$43:AD57),"")</f>
        <v>10</v>
      </c>
      <c r="AH57" s="20" t="str">
        <f>IF(AS$33="E","droite","")</f>
        <v>droite</v>
      </c>
      <c r="AI57" s="30">
        <f t="shared" si="8"/>
        <v>5</v>
      </c>
      <c r="AJ57" s="68"/>
      <c r="AK57" s="69"/>
      <c r="AL57" s="3">
        <v>389</v>
      </c>
      <c r="AN57" s="7">
        <f t="shared" si="24"/>
        <v>389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E 2x250g</v>
      </c>
      <c r="AW57" s="34"/>
      <c r="AX57" s="9" t="str">
        <f t="shared" si="4"/>
        <v/>
      </c>
      <c r="BK57" s="73"/>
      <c r="BZ57" s="74" t="str">
        <f t="shared" si="12"/>
        <v>E5_90_N</v>
      </c>
      <c r="CA57" s="10" t="str">
        <f t="shared" si="13"/>
        <v>90_E_N_Invité</v>
      </c>
      <c r="CB57" s="10">
        <f t="shared" si="14"/>
        <v>5</v>
      </c>
      <c r="CC57" s="10" t="str">
        <f t="shared" si="15"/>
        <v/>
      </c>
      <c r="CD57" s="10">
        <f t="shared" si="16"/>
        <v>389</v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>E 2x250g</v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>
        <f t="shared" si="22"/>
        <v>0.5</v>
      </c>
      <c r="AD58" s="6">
        <f t="shared" si="23"/>
        <v>1</v>
      </c>
      <c r="AE58" s="6">
        <f>IF(AND(AN58&lt;&gt;0),SUM(AC$43:AC58),"")</f>
        <v>5.5</v>
      </c>
      <c r="AF58" s="6">
        <f>IF(AND(AN58&lt;&gt;0),SUM(AD$43:AD58),"")</f>
        <v>11</v>
      </c>
      <c r="AH58" s="20" t="str">
        <f>IF(AS$33="E","gauche","")</f>
        <v>gauche</v>
      </c>
      <c r="AI58" s="30">
        <f t="shared" si="8"/>
        <v>5.5</v>
      </c>
      <c r="AJ58" s="68"/>
      <c r="AK58" s="69"/>
      <c r="AL58" s="3">
        <v>389</v>
      </c>
      <c r="AN58" s="7">
        <f t="shared" si="24"/>
        <v>389</v>
      </c>
      <c r="AO58" s="7">
        <f t="shared" si="25"/>
        <v>0</v>
      </c>
      <c r="AQ58" s="47" t="s">
        <v>3</v>
      </c>
      <c r="AR58" s="48">
        <f>SUM(AN43:AN82)</f>
        <v>5057</v>
      </c>
      <c r="AS58" s="48">
        <f>IF(AL$34="E 2x250g",MAX(AE43:AE82),MAX(AF43:AF82))</f>
        <v>6.5</v>
      </c>
      <c r="AU58" s="49"/>
      <c r="AV58" s="50" t="str">
        <f>IF(AU59&lt;&gt;"","Poids de sortie fibrage","")</f>
        <v>Poids de sortie fibrage</v>
      </c>
      <c r="AW58" s="51"/>
      <c r="AX58" s="9" t="str">
        <f t="shared" si="4"/>
        <v/>
      </c>
      <c r="BK58" s="73"/>
      <c r="BZ58" s="74" t="str">
        <f t="shared" si="12"/>
        <v>E6_90_N</v>
      </c>
      <c r="CA58" s="10" t="str">
        <f t="shared" si="13"/>
        <v>90_E_N_Invité</v>
      </c>
      <c r="CB58" s="10">
        <f t="shared" si="14"/>
        <v>5.5</v>
      </c>
      <c r="CC58" s="10" t="str">
        <f t="shared" si="15"/>
        <v/>
      </c>
      <c r="CD58" s="10">
        <f t="shared" si="16"/>
        <v>389</v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>E 2x250g</v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>
        <f t="shared" si="22"/>
        <v>0.5</v>
      </c>
      <c r="AD59" s="6">
        <f t="shared" si="23"/>
        <v>1</v>
      </c>
      <c r="AE59" s="6">
        <f>IF(AND(AN59&lt;&gt;0),SUM(AC$43:AC59),"")</f>
        <v>6</v>
      </c>
      <c r="AF59" s="6">
        <f>IF(AND(AN59&lt;&gt;0),SUM(AD$43:AD59),"")</f>
        <v>12</v>
      </c>
      <c r="AH59" s="20" t="str">
        <f>IF(AS$33="E","droite","")</f>
        <v>droite</v>
      </c>
      <c r="AI59" s="30">
        <f t="shared" si="8"/>
        <v>6</v>
      </c>
      <c r="AJ59" s="68"/>
      <c r="AK59" s="69"/>
      <c r="AL59" s="3">
        <v>389</v>
      </c>
      <c r="AN59" s="7">
        <f t="shared" si="24"/>
        <v>389</v>
      </c>
      <c r="AO59" s="7">
        <f t="shared" si="25"/>
        <v>0</v>
      </c>
      <c r="AQ59" s="52" t="s">
        <v>4</v>
      </c>
      <c r="AR59" s="38">
        <f>SUM(AO43:AO82)</f>
        <v>1945</v>
      </c>
      <c r="AS59" s="38">
        <f>IF(AL$34="E 2x250g",MAX(AA43:AA82)/2,MAX(AA43:AA82))</f>
        <v>2.5</v>
      </c>
      <c r="AU59" s="53" t="str">
        <f>IF(AV59&lt;&gt;"","min","")</f>
        <v>min</v>
      </c>
      <c r="AV59" s="54">
        <f>IFERROR(HLOOKUP(AV57,_produits!A1:E3,2,FALSE),"")</f>
        <v>250</v>
      </c>
      <c r="AW59" s="55"/>
      <c r="AX59" s="9" t="str">
        <f t="shared" si="4"/>
        <v/>
      </c>
      <c r="BK59" s="73"/>
      <c r="BZ59" s="74" t="str">
        <f t="shared" si="12"/>
        <v>E6_90_N</v>
      </c>
      <c r="CA59" s="10" t="str">
        <f t="shared" si="13"/>
        <v>90_E_N_Invité</v>
      </c>
      <c r="CB59" s="10">
        <f t="shared" si="14"/>
        <v>6</v>
      </c>
      <c r="CC59" s="10" t="str">
        <f t="shared" si="15"/>
        <v/>
      </c>
      <c r="CD59" s="10">
        <f t="shared" si="16"/>
        <v>389</v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>E 2x250g</v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>
        <f t="shared" si="22"/>
        <v>0.5</v>
      </c>
      <c r="AD60" s="6">
        <f t="shared" si="23"/>
        <v>1</v>
      </c>
      <c r="AE60" s="6">
        <f>IF(AND(AN60&lt;&gt;0),SUM(AC$43:AC60),"")</f>
        <v>6.5</v>
      </c>
      <c r="AF60" s="6">
        <f>IF(AND(AN60&lt;&gt;0),SUM(AD$43:AD60),"")</f>
        <v>13</v>
      </c>
      <c r="AH60" s="20" t="str">
        <f>IF(AS$33="E","gauche","")</f>
        <v>gauche</v>
      </c>
      <c r="AI60" s="30">
        <f t="shared" si="8"/>
        <v>6.5</v>
      </c>
      <c r="AJ60" s="68"/>
      <c r="AK60" s="69"/>
      <c r="AL60" s="3">
        <v>389</v>
      </c>
      <c r="AN60" s="7">
        <f t="shared" si="24"/>
        <v>389</v>
      </c>
      <c r="AO60" s="7">
        <f t="shared" si="25"/>
        <v>0</v>
      </c>
      <c r="AQ60" s="56" t="str">
        <f>_qualité!E2</f>
        <v>Fil</v>
      </c>
      <c r="AR60" s="57">
        <f>R41</f>
        <v>1556</v>
      </c>
      <c r="AS60" s="57">
        <f>COUNTIF(AJ$43:AJ$73,AQ60)</f>
        <v>4</v>
      </c>
      <c r="AU60" s="53" t="str">
        <f>IF(AV60&lt;&gt;"","max","")</f>
        <v>max</v>
      </c>
      <c r="AV60" s="54">
        <f>IFERROR(HLOOKUP(AV57,_produits!A1:E4,3,FALSE),"")</f>
        <v>270</v>
      </c>
      <c r="AW60" s="55"/>
      <c r="AX60" s="9" t="str">
        <f t="shared" si="4"/>
        <v/>
      </c>
      <c r="BK60" s="73"/>
      <c r="BZ60" s="74" t="str">
        <f t="shared" si="12"/>
        <v>E7_90_N</v>
      </c>
      <c r="CA60" s="10" t="str">
        <f t="shared" si="13"/>
        <v>90_E_N_Invité</v>
      </c>
      <c r="CB60" s="10">
        <f t="shared" si="14"/>
        <v>6.5</v>
      </c>
      <c r="CC60" s="10" t="str">
        <f t="shared" si="15"/>
        <v/>
      </c>
      <c r="CD60" s="10">
        <f t="shared" si="16"/>
        <v>389</v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>E 2x250g</v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>droite</v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0</v>
      </c>
      <c r="AS61" s="57">
        <f t="shared" ref="AS61:AS64" si="27">COUNTIF(AJ$43:AJ$73,AQ61)</f>
        <v>0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>gauche</v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>droite</v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>gauche</v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389</v>
      </c>
      <c r="AS64" s="57">
        <f t="shared" si="27"/>
        <v>1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>droite</v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>gauche</v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>droite</v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>gauche</v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78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>droite</v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 t="str">
        <f ca="1">OFFSET('data TRS'!A1,COUNTA('data TRS'!A:A)-1,)</f>
        <v>90_F_A_Invité</v>
      </c>
      <c r="AV69" s="75"/>
      <c r="AW69" s="65" t="str">
        <f ca="1">CONCATENATE("TRS : ",ROUND(OFFSET('data TRS'!P1,COUNTA('data TRS'!P:P)-1,),2)," %")</f>
        <v>TRS : 53,33 %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>gauche</v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79</v>
      </c>
      <c r="AV70" s="25">
        <f ca="1">OFFSET('data TRS'!L2,COUNTA('data TRS'!L:L)-1,)</f>
        <v>34</v>
      </c>
      <c r="AW70" s="25">
        <f ca="1">OFFSET('data TRS'!M2,COUNTA('data TRS'!M:M)-1,)</f>
        <v>32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>droite</v>
      </c>
      <c r="AI71" s="30" t="str">
        <f t="shared" si="8"/>
        <v/>
      </c>
      <c r="AJ71" s="68"/>
      <c r="AK71" s="69"/>
      <c r="AL71" s="69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>gauche</v>
      </c>
      <c r="AI72" s="30" t="str">
        <f t="shared" si="8"/>
        <v/>
      </c>
      <c r="AJ72" s="68"/>
      <c r="AK72" s="69"/>
      <c r="AL72" s="69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>droite</v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>gauche</v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>droite</v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>gauche</v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>droite</v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>gauche</v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>droite</v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>gauche</v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>droite</v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>gauche</v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11"/>
  <sheetViews>
    <sheetView workbookViewId="0">
      <selection activeCell="A34" sqref="A34"/>
    </sheetView>
  </sheetViews>
  <sheetFormatPr baseColWidth="10" defaultRowHeight="14.4" x14ac:dyDescent="0.3"/>
  <cols>
    <col min="1" max="1" width="20.88671875" style="91" bestFit="1" customWidth="1"/>
    <col min="2" max="2" width="4.21875" style="92" bestFit="1" customWidth="1"/>
    <col min="3" max="3" width="10.5546875" style="91" bestFit="1" customWidth="1"/>
    <col min="4" max="4" width="9.6640625" style="91" bestFit="1" customWidth="1"/>
    <col min="5" max="5" width="4" style="91" bestFit="1" customWidth="1"/>
    <col min="6" max="6" width="7.88671875" style="91" bestFit="1" customWidth="1"/>
    <col min="7" max="7" width="9.5546875" style="91" bestFit="1" customWidth="1"/>
    <col min="8" max="8" width="8.77734375" style="91" bestFit="1" customWidth="1"/>
    <col min="9" max="9" width="11.21875" style="91" bestFit="1" customWidth="1"/>
    <col min="10" max="10" width="2.77734375" style="91" bestFit="1" customWidth="1"/>
    <col min="11" max="11" width="4.109375" style="91" bestFit="1" customWidth="1"/>
    <col min="12" max="13" width="9.109375" style="93" bestFit="1" customWidth="1"/>
    <col min="14" max="14" width="8.5546875" style="91" bestFit="1" customWidth="1"/>
    <col min="15" max="15" width="3" style="91" bestFit="1" customWidth="1"/>
    <col min="16" max="16" width="12" style="93" bestFit="1" customWidth="1"/>
    <col min="17" max="17" width="3.5546875" style="91" bestFit="1" customWidth="1"/>
    <col min="18" max="18" width="5" style="91" bestFit="1" customWidth="1"/>
    <col min="19" max="19" width="4" style="91" bestFit="1" customWidth="1"/>
    <col min="20" max="20" width="9" style="91" bestFit="1" customWidth="1"/>
    <col min="21" max="21" width="9.109375" style="91" bestFit="1" customWidth="1"/>
    <col min="22" max="22" width="4" style="91" bestFit="1" customWidth="1"/>
    <col min="23" max="23" width="4.77734375" style="91" bestFit="1" customWidth="1"/>
    <col min="24" max="24" width="5.33203125" style="91" bestFit="1" customWidth="1"/>
    <col min="25" max="25" width="5.44140625" style="91" bestFit="1" customWidth="1"/>
    <col min="26" max="26" width="10" style="91" bestFit="1" customWidth="1"/>
    <col min="27" max="16384" width="11.5546875" style="91"/>
  </cols>
  <sheetData>
    <row r="1" spans="1:26" x14ac:dyDescent="0.3">
      <c r="A1" s="87" t="s">
        <v>45</v>
      </c>
      <c r="B1" s="88" t="s">
        <v>84</v>
      </c>
      <c r="C1" s="87" t="s">
        <v>0</v>
      </c>
      <c r="D1" s="87" t="s">
        <v>50</v>
      </c>
      <c r="E1" s="87" t="s">
        <v>85</v>
      </c>
      <c r="F1" s="87" t="s">
        <v>6</v>
      </c>
      <c r="G1" s="87" t="s">
        <v>7</v>
      </c>
      <c r="H1" s="87" t="s">
        <v>60</v>
      </c>
      <c r="I1" s="87" t="s">
        <v>64</v>
      </c>
      <c r="J1" s="87" t="s">
        <v>8</v>
      </c>
      <c r="K1" s="87" t="s">
        <v>39</v>
      </c>
      <c r="L1" s="89" t="s">
        <v>90</v>
      </c>
      <c r="M1" s="89" t="s">
        <v>91</v>
      </c>
      <c r="N1" s="87" t="s">
        <v>92</v>
      </c>
      <c r="O1" s="87" t="s">
        <v>19</v>
      </c>
      <c r="P1" s="89" t="s">
        <v>86</v>
      </c>
      <c r="Q1" s="87" t="s">
        <v>87</v>
      </c>
      <c r="R1" s="87" t="s">
        <v>3</v>
      </c>
      <c r="S1" s="87" t="s">
        <v>4</v>
      </c>
      <c r="T1" s="87" t="s">
        <v>88</v>
      </c>
      <c r="U1" s="87" t="s">
        <v>89</v>
      </c>
      <c r="V1" s="87" t="s">
        <v>24</v>
      </c>
      <c r="W1" s="87" t="s">
        <v>25</v>
      </c>
      <c r="X1" s="87" t="s">
        <v>14</v>
      </c>
      <c r="Y1" s="90" t="s">
        <v>26</v>
      </c>
      <c r="Z1" s="90" t="s">
        <v>27</v>
      </c>
    </row>
    <row r="2" spans="1:26" x14ac:dyDescent="0.3">
      <c r="A2" s="91" t="s">
        <v>44</v>
      </c>
    </row>
    <row r="3" spans="1:26" x14ac:dyDescent="0.3">
      <c r="A3" s="91" t="s">
        <v>96</v>
      </c>
      <c r="B3" s="92">
        <v>86</v>
      </c>
      <c r="C3" s="94">
        <v>45012</v>
      </c>
      <c r="D3" s="91" t="s">
        <v>58</v>
      </c>
      <c r="E3" s="91">
        <v>480</v>
      </c>
      <c r="F3" s="91" t="s">
        <v>66</v>
      </c>
      <c r="G3" s="91" t="s">
        <v>36</v>
      </c>
      <c r="H3" s="91">
        <v>0</v>
      </c>
      <c r="I3" s="95">
        <v>0</v>
      </c>
      <c r="J3" s="91">
        <v>0</v>
      </c>
      <c r="K3" s="91">
        <v>0</v>
      </c>
      <c r="L3" s="93">
        <v>0</v>
      </c>
      <c r="M3" s="93">
        <v>0</v>
      </c>
      <c r="N3" s="91">
        <v>0</v>
      </c>
      <c r="P3" s="93">
        <v>80</v>
      </c>
      <c r="Q3" s="91">
        <v>10</v>
      </c>
      <c r="R3" s="91">
        <v>4000</v>
      </c>
      <c r="S3" s="91">
        <v>500</v>
      </c>
      <c r="T3" s="91">
        <v>8</v>
      </c>
      <c r="U3" s="91">
        <v>1</v>
      </c>
      <c r="V3" s="91">
        <v>0</v>
      </c>
      <c r="W3" s="91">
        <v>500</v>
      </c>
      <c r="X3" s="91">
        <v>0</v>
      </c>
      <c r="Y3" s="91">
        <v>0</v>
      </c>
      <c r="Z3" s="91">
        <v>0</v>
      </c>
    </row>
    <row r="4" spans="1:26" x14ac:dyDescent="0.3">
      <c r="A4" s="91" t="s">
        <v>106</v>
      </c>
      <c r="B4" s="92">
        <v>87</v>
      </c>
      <c r="C4" s="94">
        <v>45013</v>
      </c>
      <c r="D4" s="91" t="s">
        <v>58</v>
      </c>
      <c r="E4" s="91">
        <v>480</v>
      </c>
      <c r="F4" s="91" t="s">
        <v>66</v>
      </c>
      <c r="G4" s="91" t="s">
        <v>36</v>
      </c>
      <c r="H4" s="91">
        <v>0</v>
      </c>
      <c r="I4" s="95">
        <v>0</v>
      </c>
      <c r="J4" s="91">
        <v>0</v>
      </c>
      <c r="K4" s="91">
        <v>0</v>
      </c>
      <c r="L4" s="93">
        <v>0</v>
      </c>
      <c r="M4" s="93">
        <v>0</v>
      </c>
      <c r="N4" s="91">
        <v>0</v>
      </c>
      <c r="P4" s="93">
        <v>80</v>
      </c>
      <c r="Q4" s="91">
        <v>10</v>
      </c>
      <c r="R4" s="91">
        <v>4000</v>
      </c>
      <c r="S4" s="91">
        <v>500</v>
      </c>
      <c r="T4" s="91">
        <v>8</v>
      </c>
      <c r="U4" s="91">
        <v>1</v>
      </c>
      <c r="V4" s="91">
        <v>500</v>
      </c>
      <c r="W4" s="91">
        <v>0</v>
      </c>
      <c r="X4" s="91">
        <v>0</v>
      </c>
      <c r="Y4" s="91">
        <v>0</v>
      </c>
      <c r="Z4" s="91">
        <v>0</v>
      </c>
    </row>
    <row r="5" spans="1:26" x14ac:dyDescent="0.3">
      <c r="A5" s="91" t="s">
        <v>118</v>
      </c>
      <c r="B5" s="92">
        <v>87</v>
      </c>
      <c r="C5" s="94">
        <v>45013</v>
      </c>
      <c r="D5" s="91" t="s">
        <v>46</v>
      </c>
      <c r="E5" s="91">
        <v>480</v>
      </c>
      <c r="F5" s="91" t="s">
        <v>66</v>
      </c>
      <c r="G5" s="91" t="s">
        <v>36</v>
      </c>
      <c r="H5" s="91">
        <v>0</v>
      </c>
      <c r="I5" s="95">
        <v>0</v>
      </c>
      <c r="J5" s="91">
        <v>0</v>
      </c>
      <c r="K5" s="91">
        <v>0</v>
      </c>
      <c r="L5" s="93">
        <v>0</v>
      </c>
      <c r="M5" s="93">
        <v>0</v>
      </c>
      <c r="N5" s="91">
        <v>0</v>
      </c>
      <c r="P5" s="93">
        <v>80</v>
      </c>
      <c r="Q5" s="91">
        <v>10</v>
      </c>
      <c r="R5" s="91">
        <v>4000</v>
      </c>
      <c r="S5" s="91">
        <v>500</v>
      </c>
      <c r="T5" s="91">
        <v>8</v>
      </c>
      <c r="U5" s="91">
        <v>1</v>
      </c>
      <c r="V5" s="91">
        <v>500</v>
      </c>
      <c r="W5" s="91">
        <v>0</v>
      </c>
      <c r="X5" s="91">
        <v>0</v>
      </c>
      <c r="Y5" s="91">
        <v>0</v>
      </c>
      <c r="Z5" s="91">
        <v>0</v>
      </c>
    </row>
    <row r="6" spans="1:26" x14ac:dyDescent="0.3">
      <c r="A6" s="91" t="s">
        <v>128</v>
      </c>
      <c r="B6" s="92">
        <v>87</v>
      </c>
      <c r="C6" s="94">
        <v>45013</v>
      </c>
      <c r="D6" s="91" t="s">
        <v>57</v>
      </c>
      <c r="E6" s="91">
        <v>480</v>
      </c>
      <c r="F6" s="91" t="s">
        <v>66</v>
      </c>
      <c r="G6" s="91" t="s">
        <v>36</v>
      </c>
      <c r="H6" s="91">
        <v>0</v>
      </c>
      <c r="I6" s="95">
        <v>0</v>
      </c>
      <c r="J6" s="91">
        <v>0</v>
      </c>
      <c r="K6" s="91">
        <v>0</v>
      </c>
      <c r="L6" s="93">
        <v>0</v>
      </c>
      <c r="M6" s="93">
        <v>0</v>
      </c>
      <c r="N6" s="91">
        <v>0</v>
      </c>
      <c r="P6" s="93">
        <v>80</v>
      </c>
      <c r="Q6" s="91">
        <v>10</v>
      </c>
      <c r="R6" s="91">
        <v>4000</v>
      </c>
      <c r="S6" s="91">
        <v>500</v>
      </c>
      <c r="T6" s="91">
        <v>8</v>
      </c>
      <c r="U6" s="91">
        <v>1</v>
      </c>
      <c r="V6" s="91">
        <v>500</v>
      </c>
      <c r="W6" s="91">
        <v>0</v>
      </c>
      <c r="X6" s="91">
        <v>0</v>
      </c>
      <c r="Y6" s="91">
        <v>0</v>
      </c>
      <c r="Z6" s="91">
        <v>0</v>
      </c>
    </row>
    <row r="7" spans="1:26" x14ac:dyDescent="0.3">
      <c r="A7" s="91" t="s">
        <v>139</v>
      </c>
      <c r="B7" s="92">
        <v>86</v>
      </c>
      <c r="C7" s="94">
        <v>45012</v>
      </c>
      <c r="D7" s="91" t="s">
        <v>57</v>
      </c>
      <c r="E7" s="91">
        <v>480</v>
      </c>
      <c r="F7" s="91" t="s">
        <v>95</v>
      </c>
      <c r="G7" s="91" t="s">
        <v>43</v>
      </c>
      <c r="H7" s="91">
        <v>0</v>
      </c>
      <c r="I7" s="95">
        <v>0</v>
      </c>
      <c r="J7" s="91">
        <v>0</v>
      </c>
      <c r="K7" s="91">
        <v>0</v>
      </c>
      <c r="L7" s="93">
        <v>34</v>
      </c>
      <c r="M7" s="93">
        <v>32</v>
      </c>
      <c r="N7" s="91">
        <v>0</v>
      </c>
      <c r="P7" s="93">
        <v>53.333333333333336</v>
      </c>
      <c r="Q7" s="91">
        <v>30</v>
      </c>
      <c r="R7" s="91">
        <v>6224</v>
      </c>
      <c r="S7" s="91">
        <v>778</v>
      </c>
      <c r="T7" s="91">
        <v>16</v>
      </c>
      <c r="U7" s="91">
        <v>2</v>
      </c>
      <c r="V7" s="91">
        <v>389</v>
      </c>
      <c r="W7" s="91">
        <v>0</v>
      </c>
      <c r="X7" s="91">
        <v>0</v>
      </c>
      <c r="Y7" s="91">
        <v>0</v>
      </c>
      <c r="Z7" s="91">
        <v>389</v>
      </c>
    </row>
    <row r="8" spans="1:26" x14ac:dyDescent="0.3">
      <c r="A8" s="91" t="s">
        <v>157</v>
      </c>
      <c r="B8" s="92">
        <v>88</v>
      </c>
      <c r="C8" s="94">
        <v>45014</v>
      </c>
      <c r="D8" s="91" t="s">
        <v>57</v>
      </c>
      <c r="E8" s="91">
        <v>480</v>
      </c>
      <c r="F8" s="91" t="s">
        <v>95</v>
      </c>
      <c r="G8" s="91" t="s">
        <v>43</v>
      </c>
      <c r="H8" s="91">
        <v>0</v>
      </c>
      <c r="I8" s="91">
        <v>0</v>
      </c>
      <c r="J8" s="91">
        <v>0</v>
      </c>
      <c r="K8" s="91">
        <v>0</v>
      </c>
      <c r="L8" s="93">
        <v>0</v>
      </c>
      <c r="M8" s="93">
        <v>0</v>
      </c>
      <c r="N8" s="91">
        <v>0</v>
      </c>
      <c r="P8" s="93">
        <v>53.333333333333336</v>
      </c>
      <c r="Q8" s="91">
        <v>30</v>
      </c>
      <c r="R8" s="91">
        <v>6224</v>
      </c>
      <c r="S8" s="91">
        <v>778</v>
      </c>
      <c r="T8" s="91">
        <v>16</v>
      </c>
      <c r="U8" s="91">
        <v>2</v>
      </c>
      <c r="V8" s="91">
        <v>389</v>
      </c>
      <c r="W8" s="91">
        <v>0</v>
      </c>
      <c r="X8" s="91">
        <v>0</v>
      </c>
      <c r="Y8" s="91">
        <v>0</v>
      </c>
      <c r="Z8" s="91">
        <v>389</v>
      </c>
    </row>
    <row r="9" spans="1:26" x14ac:dyDescent="0.3">
      <c r="A9" s="91" t="s">
        <v>174</v>
      </c>
      <c r="B9" s="92">
        <v>88</v>
      </c>
      <c r="C9" s="94">
        <v>45014</v>
      </c>
      <c r="D9" s="91" t="s">
        <v>57</v>
      </c>
      <c r="E9" s="91">
        <v>480</v>
      </c>
      <c r="F9" s="91" t="s">
        <v>95</v>
      </c>
      <c r="G9" s="91" t="s">
        <v>43</v>
      </c>
      <c r="H9" s="91">
        <v>0</v>
      </c>
      <c r="I9" s="91">
        <v>0</v>
      </c>
      <c r="J9" s="91">
        <v>0</v>
      </c>
      <c r="K9" s="91">
        <v>0</v>
      </c>
      <c r="L9" s="93">
        <v>0</v>
      </c>
      <c r="M9" s="93">
        <v>0</v>
      </c>
      <c r="N9" s="91">
        <v>0</v>
      </c>
      <c r="P9" s="93">
        <v>53.333333333333336</v>
      </c>
      <c r="Q9" s="91">
        <v>30</v>
      </c>
      <c r="R9" s="91">
        <v>6224</v>
      </c>
      <c r="S9" s="91">
        <v>778</v>
      </c>
      <c r="T9" s="91">
        <v>16</v>
      </c>
      <c r="U9" s="91">
        <v>2</v>
      </c>
      <c r="V9" s="91">
        <v>389</v>
      </c>
      <c r="W9" s="91">
        <v>0</v>
      </c>
      <c r="X9" s="91">
        <v>0</v>
      </c>
      <c r="Y9" s="91">
        <v>0</v>
      </c>
      <c r="Z9" s="91">
        <v>389</v>
      </c>
    </row>
    <row r="10" spans="1:26" x14ac:dyDescent="0.3">
      <c r="A10" s="91" t="s">
        <v>175</v>
      </c>
      <c r="B10" s="92">
        <v>89</v>
      </c>
      <c r="C10" s="94">
        <v>45015</v>
      </c>
      <c r="D10" s="91" t="s">
        <v>57</v>
      </c>
      <c r="E10" s="91">
        <v>480</v>
      </c>
      <c r="F10" s="91" t="s">
        <v>95</v>
      </c>
      <c r="G10" s="91" t="s">
        <v>43</v>
      </c>
      <c r="H10" s="91">
        <v>0</v>
      </c>
      <c r="I10" s="91">
        <v>0</v>
      </c>
      <c r="J10" s="91">
        <v>0</v>
      </c>
      <c r="K10" s="91">
        <v>0</v>
      </c>
      <c r="L10" s="93">
        <v>34</v>
      </c>
      <c r="M10" s="93">
        <v>32</v>
      </c>
      <c r="N10" s="91">
        <v>0</v>
      </c>
      <c r="P10" s="93">
        <v>53.333333333333336</v>
      </c>
      <c r="Q10" s="91">
        <v>30</v>
      </c>
      <c r="R10" s="91">
        <v>6224</v>
      </c>
      <c r="S10" s="91">
        <v>778</v>
      </c>
      <c r="T10" s="91">
        <v>16</v>
      </c>
      <c r="U10" s="91">
        <v>2</v>
      </c>
      <c r="V10" s="91">
        <v>389</v>
      </c>
      <c r="W10" s="91">
        <v>0</v>
      </c>
      <c r="X10" s="91">
        <v>0</v>
      </c>
      <c r="Y10" s="91">
        <v>0</v>
      </c>
      <c r="Z10" s="91">
        <v>389</v>
      </c>
    </row>
    <row r="11" spans="1:26" x14ac:dyDescent="0.3">
      <c r="A11" s="91" t="s">
        <v>192</v>
      </c>
      <c r="B11" s="92">
        <v>90</v>
      </c>
      <c r="C11" s="94">
        <v>45016</v>
      </c>
      <c r="D11" s="91" t="s">
        <v>57</v>
      </c>
      <c r="E11" s="91">
        <v>480</v>
      </c>
      <c r="F11" s="91" t="s">
        <v>95</v>
      </c>
      <c r="G11" s="91" t="s">
        <v>43</v>
      </c>
      <c r="H11" s="91">
        <v>0</v>
      </c>
      <c r="I11" s="91">
        <v>0</v>
      </c>
      <c r="J11" s="91">
        <v>0</v>
      </c>
      <c r="K11" s="91">
        <v>0</v>
      </c>
      <c r="L11" s="93">
        <v>34</v>
      </c>
      <c r="M11" s="93">
        <v>32</v>
      </c>
      <c r="N11" s="91">
        <v>301</v>
      </c>
      <c r="O11" s="91" t="s">
        <v>3</v>
      </c>
      <c r="P11" s="93">
        <v>53.333333333333336</v>
      </c>
      <c r="Q11" s="91">
        <v>30</v>
      </c>
      <c r="R11" s="91">
        <v>6224</v>
      </c>
      <c r="S11" s="91">
        <v>778</v>
      </c>
      <c r="T11" s="91">
        <v>16</v>
      </c>
      <c r="U11" s="91">
        <v>2</v>
      </c>
      <c r="V11" s="91">
        <v>389</v>
      </c>
      <c r="W11" s="91">
        <v>0</v>
      </c>
      <c r="X11" s="91">
        <v>0</v>
      </c>
      <c r="Y11" s="91">
        <v>0</v>
      </c>
      <c r="Z11" s="91">
        <v>389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44"/>
  <sheetViews>
    <sheetView topLeftCell="A119" workbookViewId="0">
      <selection activeCell="B35" sqref="B35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9" x14ac:dyDescent="0.3">
      <c r="A1" s="2" t="s">
        <v>81</v>
      </c>
      <c r="B1" s="1" t="s">
        <v>45</v>
      </c>
      <c r="C1" s="1" t="s">
        <v>31</v>
      </c>
      <c r="D1" s="2" t="s">
        <v>82</v>
      </c>
      <c r="E1" s="2" t="s">
        <v>20</v>
      </c>
      <c r="F1" s="2" t="s">
        <v>33</v>
      </c>
      <c r="G1" s="2" t="s">
        <v>32</v>
      </c>
      <c r="H1" s="2" t="s">
        <v>83</v>
      </c>
      <c r="I1" s="2" t="s">
        <v>19</v>
      </c>
    </row>
    <row r="2" spans="1:9" ht="12.6" customHeight="1" x14ac:dyDescent="0.3">
      <c r="A2" t="s">
        <v>44</v>
      </c>
    </row>
    <row r="3" spans="1:9" x14ac:dyDescent="0.3">
      <c r="A3" t="s">
        <v>98</v>
      </c>
      <c r="B3" t="s">
        <v>96</v>
      </c>
      <c r="C3">
        <v>1</v>
      </c>
      <c r="E3">
        <v>500</v>
      </c>
    </row>
    <row r="4" spans="1:9" x14ac:dyDescent="0.3">
      <c r="A4" t="s">
        <v>99</v>
      </c>
      <c r="B4" t="s">
        <v>96</v>
      </c>
      <c r="C4">
        <v>2</v>
      </c>
      <c r="E4">
        <v>500</v>
      </c>
    </row>
    <row r="5" spans="1:9" x14ac:dyDescent="0.3">
      <c r="A5" t="s">
        <v>97</v>
      </c>
      <c r="B5" t="s">
        <v>96</v>
      </c>
      <c r="D5" t="s">
        <v>25</v>
      </c>
      <c r="E5">
        <v>500</v>
      </c>
    </row>
    <row r="6" spans="1:9" x14ac:dyDescent="0.3">
      <c r="A6" t="s">
        <v>100</v>
      </c>
      <c r="B6" t="s">
        <v>96</v>
      </c>
      <c r="C6">
        <v>3</v>
      </c>
      <c r="E6">
        <v>500</v>
      </c>
    </row>
    <row r="7" spans="1:9" x14ac:dyDescent="0.3">
      <c r="A7" t="s">
        <v>101</v>
      </c>
      <c r="B7" t="s">
        <v>96</v>
      </c>
      <c r="C7">
        <v>4</v>
      </c>
      <c r="E7">
        <v>500</v>
      </c>
    </row>
    <row r="8" spans="1:9" x14ac:dyDescent="0.3">
      <c r="A8" t="s">
        <v>102</v>
      </c>
      <c r="B8" t="s">
        <v>96</v>
      </c>
      <c r="C8">
        <v>5</v>
      </c>
      <c r="E8">
        <v>500</v>
      </c>
    </row>
    <row r="9" spans="1:9" x14ac:dyDescent="0.3">
      <c r="A9" t="s">
        <v>103</v>
      </c>
      <c r="B9" t="s">
        <v>96</v>
      </c>
      <c r="C9">
        <v>6</v>
      </c>
      <c r="E9">
        <v>500</v>
      </c>
    </row>
    <row r="10" spans="1:9" x14ac:dyDescent="0.3">
      <c r="A10" t="s">
        <v>104</v>
      </c>
      <c r="B10" t="s">
        <v>96</v>
      </c>
      <c r="C10">
        <v>7</v>
      </c>
      <c r="E10">
        <v>500</v>
      </c>
    </row>
    <row r="11" spans="1:9" x14ac:dyDescent="0.3">
      <c r="A11" t="s">
        <v>105</v>
      </c>
      <c r="B11" t="s">
        <v>96</v>
      </c>
      <c r="C11">
        <v>8</v>
      </c>
      <c r="E11">
        <v>500</v>
      </c>
    </row>
    <row r="12" spans="1:9" x14ac:dyDescent="0.3">
      <c r="A12" t="s">
        <v>98</v>
      </c>
      <c r="B12" t="s">
        <v>96</v>
      </c>
      <c r="C12">
        <v>1</v>
      </c>
      <c r="E12">
        <v>500</v>
      </c>
    </row>
    <row r="13" spans="1:9" x14ac:dyDescent="0.3">
      <c r="A13" t="s">
        <v>99</v>
      </c>
      <c r="B13" t="s">
        <v>96</v>
      </c>
      <c r="C13">
        <v>2</v>
      </c>
      <c r="E13">
        <v>500</v>
      </c>
    </row>
    <row r="14" spans="1:9" x14ac:dyDescent="0.3">
      <c r="A14" t="s">
        <v>97</v>
      </c>
      <c r="B14" t="s">
        <v>96</v>
      </c>
      <c r="D14" t="s">
        <v>25</v>
      </c>
      <c r="E14">
        <v>500</v>
      </c>
    </row>
    <row r="15" spans="1:9" x14ac:dyDescent="0.3">
      <c r="A15" t="s">
        <v>100</v>
      </c>
      <c r="B15" t="s">
        <v>96</v>
      </c>
      <c r="C15">
        <v>3</v>
      </c>
      <c r="E15">
        <v>500</v>
      </c>
    </row>
    <row r="16" spans="1:9" x14ac:dyDescent="0.3">
      <c r="A16" t="s">
        <v>101</v>
      </c>
      <c r="B16" t="s">
        <v>96</v>
      </c>
      <c r="C16">
        <v>4</v>
      </c>
      <c r="E16">
        <v>500</v>
      </c>
    </row>
    <row r="17" spans="1:5" x14ac:dyDescent="0.3">
      <c r="A17" t="s">
        <v>102</v>
      </c>
      <c r="B17" t="s">
        <v>96</v>
      </c>
      <c r="C17">
        <v>5</v>
      </c>
      <c r="E17">
        <v>500</v>
      </c>
    </row>
    <row r="18" spans="1:5" x14ac:dyDescent="0.3">
      <c r="A18" t="s">
        <v>103</v>
      </c>
      <c r="B18" t="s">
        <v>96</v>
      </c>
      <c r="C18">
        <v>6</v>
      </c>
      <c r="E18">
        <v>500</v>
      </c>
    </row>
    <row r="19" spans="1:5" x14ac:dyDescent="0.3">
      <c r="A19" t="s">
        <v>104</v>
      </c>
      <c r="B19" t="s">
        <v>96</v>
      </c>
      <c r="C19">
        <v>7</v>
      </c>
      <c r="E19">
        <v>500</v>
      </c>
    </row>
    <row r="20" spans="1:5" x14ac:dyDescent="0.3">
      <c r="A20" t="s">
        <v>105</v>
      </c>
      <c r="B20" t="s">
        <v>96</v>
      </c>
      <c r="C20">
        <v>8</v>
      </c>
      <c r="E20">
        <v>500</v>
      </c>
    </row>
    <row r="21" spans="1:5" x14ac:dyDescent="0.3">
      <c r="A21" t="s">
        <v>108</v>
      </c>
      <c r="B21" t="s">
        <v>106</v>
      </c>
      <c r="C21">
        <v>1</v>
      </c>
      <c r="E21">
        <v>500</v>
      </c>
    </row>
    <row r="22" spans="1:5" x14ac:dyDescent="0.3">
      <c r="A22" t="s">
        <v>109</v>
      </c>
      <c r="B22" t="s">
        <v>106</v>
      </c>
      <c r="C22">
        <v>2</v>
      </c>
      <c r="E22">
        <v>500</v>
      </c>
    </row>
    <row r="23" spans="1:5" x14ac:dyDescent="0.3">
      <c r="A23" t="s">
        <v>107</v>
      </c>
      <c r="B23" t="s">
        <v>106</v>
      </c>
      <c r="D23" t="s">
        <v>24</v>
      </c>
      <c r="E23">
        <v>500</v>
      </c>
    </row>
    <row r="24" spans="1:5" x14ac:dyDescent="0.3">
      <c r="A24" t="s">
        <v>110</v>
      </c>
      <c r="B24" t="s">
        <v>106</v>
      </c>
      <c r="C24">
        <v>3</v>
      </c>
      <c r="E24">
        <v>500</v>
      </c>
    </row>
    <row r="25" spans="1:5" x14ac:dyDescent="0.3">
      <c r="A25" t="s">
        <v>111</v>
      </c>
      <c r="B25" t="s">
        <v>106</v>
      </c>
      <c r="C25">
        <v>4</v>
      </c>
      <c r="E25">
        <v>500</v>
      </c>
    </row>
    <row r="26" spans="1:5" x14ac:dyDescent="0.3">
      <c r="A26" t="s">
        <v>112</v>
      </c>
      <c r="B26" t="s">
        <v>106</v>
      </c>
      <c r="C26">
        <v>5</v>
      </c>
      <c r="E26">
        <v>500</v>
      </c>
    </row>
    <row r="27" spans="1:5" x14ac:dyDescent="0.3">
      <c r="A27" t="s">
        <v>115</v>
      </c>
      <c r="B27" t="s">
        <v>106</v>
      </c>
      <c r="C27">
        <v>6</v>
      </c>
      <c r="E27">
        <v>500</v>
      </c>
    </row>
    <row r="28" spans="1:5" x14ac:dyDescent="0.3">
      <c r="A28" t="s">
        <v>116</v>
      </c>
      <c r="B28" t="s">
        <v>106</v>
      </c>
      <c r="C28">
        <v>7</v>
      </c>
      <c r="E28">
        <v>500</v>
      </c>
    </row>
    <row r="29" spans="1:5" x14ac:dyDescent="0.3">
      <c r="A29" t="s">
        <v>117</v>
      </c>
      <c r="B29" t="s">
        <v>106</v>
      </c>
      <c r="C29">
        <v>8</v>
      </c>
      <c r="E29">
        <v>500</v>
      </c>
    </row>
    <row r="30" spans="1:5" x14ac:dyDescent="0.3">
      <c r="A30" t="s">
        <v>108</v>
      </c>
      <c r="B30" t="s">
        <v>106</v>
      </c>
      <c r="C30">
        <v>1</v>
      </c>
      <c r="E30">
        <v>500</v>
      </c>
    </row>
    <row r="31" spans="1:5" x14ac:dyDescent="0.3">
      <c r="A31" t="s">
        <v>109</v>
      </c>
      <c r="B31" t="s">
        <v>106</v>
      </c>
      <c r="C31">
        <v>2</v>
      </c>
      <c r="E31">
        <v>500</v>
      </c>
    </row>
    <row r="32" spans="1:5" x14ac:dyDescent="0.3">
      <c r="A32" t="s">
        <v>107</v>
      </c>
      <c r="B32" t="s">
        <v>106</v>
      </c>
      <c r="D32" t="s">
        <v>24</v>
      </c>
      <c r="E32">
        <v>500</v>
      </c>
    </row>
    <row r="33" spans="1:5" x14ac:dyDescent="0.3">
      <c r="A33" t="s">
        <v>110</v>
      </c>
      <c r="B33" t="s">
        <v>106</v>
      </c>
      <c r="C33">
        <v>3</v>
      </c>
      <c r="E33">
        <v>500</v>
      </c>
    </row>
    <row r="34" spans="1:5" x14ac:dyDescent="0.3">
      <c r="A34" t="s">
        <v>111</v>
      </c>
      <c r="B34" t="s">
        <v>106</v>
      </c>
      <c r="C34">
        <v>4</v>
      </c>
      <c r="E34">
        <v>500</v>
      </c>
    </row>
    <row r="35" spans="1:5" x14ac:dyDescent="0.3">
      <c r="A35" t="s">
        <v>112</v>
      </c>
      <c r="B35" t="s">
        <v>106</v>
      </c>
      <c r="C35">
        <v>5</v>
      </c>
      <c r="E35">
        <v>500</v>
      </c>
    </row>
    <row r="36" spans="1:5" x14ac:dyDescent="0.3">
      <c r="A36" t="s">
        <v>115</v>
      </c>
      <c r="B36" t="s">
        <v>106</v>
      </c>
      <c r="C36">
        <v>6</v>
      </c>
      <c r="E36">
        <v>500</v>
      </c>
    </row>
    <row r="37" spans="1:5" x14ac:dyDescent="0.3">
      <c r="A37" t="s">
        <v>116</v>
      </c>
      <c r="B37" t="s">
        <v>106</v>
      </c>
      <c r="C37">
        <v>7</v>
      </c>
      <c r="E37">
        <v>500</v>
      </c>
    </row>
    <row r="38" spans="1:5" x14ac:dyDescent="0.3">
      <c r="A38" t="s">
        <v>117</v>
      </c>
      <c r="B38" t="s">
        <v>106</v>
      </c>
      <c r="C38">
        <v>8</v>
      </c>
      <c r="E38">
        <v>500</v>
      </c>
    </row>
    <row r="39" spans="1:5" x14ac:dyDescent="0.3">
      <c r="A39" t="s">
        <v>119</v>
      </c>
      <c r="B39" t="s">
        <v>118</v>
      </c>
      <c r="C39">
        <v>1</v>
      </c>
      <c r="E39">
        <v>500</v>
      </c>
    </row>
    <row r="40" spans="1:5" x14ac:dyDescent="0.3">
      <c r="A40" t="s">
        <v>120</v>
      </c>
      <c r="B40" t="s">
        <v>118</v>
      </c>
      <c r="C40">
        <v>2</v>
      </c>
      <c r="E40">
        <v>500</v>
      </c>
    </row>
    <row r="41" spans="1:5" x14ac:dyDescent="0.3">
      <c r="A41" t="s">
        <v>121</v>
      </c>
      <c r="B41" t="s">
        <v>118</v>
      </c>
      <c r="D41" t="s">
        <v>24</v>
      </c>
      <c r="E41">
        <v>500</v>
      </c>
    </row>
    <row r="42" spans="1:5" x14ac:dyDescent="0.3">
      <c r="A42" t="s">
        <v>122</v>
      </c>
      <c r="B42" t="s">
        <v>118</v>
      </c>
      <c r="C42">
        <v>3</v>
      </c>
      <c r="E42">
        <v>500</v>
      </c>
    </row>
    <row r="43" spans="1:5" x14ac:dyDescent="0.3">
      <c r="A43" t="s">
        <v>123</v>
      </c>
      <c r="B43" t="s">
        <v>118</v>
      </c>
      <c r="C43">
        <v>4</v>
      </c>
      <c r="E43">
        <v>500</v>
      </c>
    </row>
    <row r="44" spans="1:5" x14ac:dyDescent="0.3">
      <c r="A44" t="s">
        <v>124</v>
      </c>
      <c r="B44" t="s">
        <v>118</v>
      </c>
      <c r="C44">
        <v>5</v>
      </c>
      <c r="E44">
        <v>500</v>
      </c>
    </row>
    <row r="45" spans="1:5" x14ac:dyDescent="0.3">
      <c r="A45" t="s">
        <v>125</v>
      </c>
      <c r="B45" t="s">
        <v>118</v>
      </c>
      <c r="C45">
        <v>6</v>
      </c>
      <c r="E45">
        <v>500</v>
      </c>
    </row>
    <row r="46" spans="1:5" x14ac:dyDescent="0.3">
      <c r="A46" t="s">
        <v>126</v>
      </c>
      <c r="B46" t="s">
        <v>118</v>
      </c>
      <c r="C46">
        <v>7</v>
      </c>
      <c r="E46">
        <v>500</v>
      </c>
    </row>
    <row r="47" spans="1:5" x14ac:dyDescent="0.3">
      <c r="A47" t="s">
        <v>127</v>
      </c>
      <c r="B47" t="s">
        <v>118</v>
      </c>
      <c r="C47">
        <v>8</v>
      </c>
      <c r="E47">
        <v>500</v>
      </c>
    </row>
    <row r="48" spans="1:5" x14ac:dyDescent="0.3">
      <c r="A48" t="s">
        <v>119</v>
      </c>
      <c r="B48" t="s">
        <v>118</v>
      </c>
      <c r="C48">
        <v>1</v>
      </c>
      <c r="E48">
        <v>500</v>
      </c>
    </row>
    <row r="49" spans="1:5" x14ac:dyDescent="0.3">
      <c r="A49" t="s">
        <v>120</v>
      </c>
      <c r="B49" t="s">
        <v>118</v>
      </c>
      <c r="C49">
        <v>2</v>
      </c>
      <c r="E49">
        <v>500</v>
      </c>
    </row>
    <row r="50" spans="1:5" x14ac:dyDescent="0.3">
      <c r="A50" t="s">
        <v>121</v>
      </c>
      <c r="B50" t="s">
        <v>118</v>
      </c>
      <c r="D50" t="s">
        <v>24</v>
      </c>
      <c r="E50">
        <v>500</v>
      </c>
    </row>
    <row r="51" spans="1:5" x14ac:dyDescent="0.3">
      <c r="A51" t="s">
        <v>122</v>
      </c>
      <c r="B51" t="s">
        <v>118</v>
      </c>
      <c r="C51">
        <v>3</v>
      </c>
      <c r="E51">
        <v>500</v>
      </c>
    </row>
    <row r="52" spans="1:5" x14ac:dyDescent="0.3">
      <c r="A52" t="s">
        <v>123</v>
      </c>
      <c r="B52" t="s">
        <v>118</v>
      </c>
      <c r="C52">
        <v>4</v>
      </c>
      <c r="E52">
        <v>500</v>
      </c>
    </row>
    <row r="53" spans="1:5" x14ac:dyDescent="0.3">
      <c r="A53" t="s">
        <v>124</v>
      </c>
      <c r="B53" t="s">
        <v>118</v>
      </c>
      <c r="C53">
        <v>5</v>
      </c>
      <c r="E53">
        <v>500</v>
      </c>
    </row>
    <row r="54" spans="1:5" x14ac:dyDescent="0.3">
      <c r="A54" t="s">
        <v>125</v>
      </c>
      <c r="B54" t="s">
        <v>118</v>
      </c>
      <c r="C54">
        <v>6</v>
      </c>
      <c r="E54">
        <v>500</v>
      </c>
    </row>
    <row r="55" spans="1:5" x14ac:dyDescent="0.3">
      <c r="A55" t="s">
        <v>126</v>
      </c>
      <c r="B55" t="s">
        <v>118</v>
      </c>
      <c r="C55">
        <v>7</v>
      </c>
      <c r="E55">
        <v>500</v>
      </c>
    </row>
    <row r="56" spans="1:5" x14ac:dyDescent="0.3">
      <c r="A56" t="s">
        <v>127</v>
      </c>
      <c r="B56" t="s">
        <v>118</v>
      </c>
      <c r="C56">
        <v>8</v>
      </c>
      <c r="E56">
        <v>500</v>
      </c>
    </row>
    <row r="57" spans="1:5" x14ac:dyDescent="0.3">
      <c r="A57" t="s">
        <v>129</v>
      </c>
      <c r="B57" t="s">
        <v>128</v>
      </c>
      <c r="C57">
        <v>1</v>
      </c>
      <c r="E57">
        <v>500</v>
      </c>
    </row>
    <row r="58" spans="1:5" x14ac:dyDescent="0.3">
      <c r="A58" t="s">
        <v>130</v>
      </c>
      <c r="B58" t="s">
        <v>128</v>
      </c>
      <c r="C58">
        <v>2</v>
      </c>
      <c r="E58">
        <v>500</v>
      </c>
    </row>
    <row r="59" spans="1:5" x14ac:dyDescent="0.3">
      <c r="A59" t="s">
        <v>131</v>
      </c>
      <c r="B59" t="s">
        <v>128</v>
      </c>
      <c r="D59" t="s">
        <v>24</v>
      </c>
      <c r="E59">
        <v>500</v>
      </c>
    </row>
    <row r="60" spans="1:5" x14ac:dyDescent="0.3">
      <c r="A60" t="s">
        <v>132</v>
      </c>
      <c r="B60" t="s">
        <v>128</v>
      </c>
      <c r="C60">
        <v>3</v>
      </c>
      <c r="E60">
        <v>500</v>
      </c>
    </row>
    <row r="61" spans="1:5" x14ac:dyDescent="0.3">
      <c r="A61" t="s">
        <v>133</v>
      </c>
      <c r="B61" t="s">
        <v>128</v>
      </c>
      <c r="C61">
        <v>4</v>
      </c>
      <c r="E61">
        <v>500</v>
      </c>
    </row>
    <row r="62" spans="1:5" x14ac:dyDescent="0.3">
      <c r="A62" t="s">
        <v>134</v>
      </c>
      <c r="B62" t="s">
        <v>128</v>
      </c>
      <c r="C62">
        <v>5</v>
      </c>
      <c r="E62">
        <v>500</v>
      </c>
    </row>
    <row r="63" spans="1:5" x14ac:dyDescent="0.3">
      <c r="A63" t="s">
        <v>135</v>
      </c>
      <c r="B63" t="s">
        <v>128</v>
      </c>
      <c r="C63">
        <v>6</v>
      </c>
      <c r="E63">
        <v>500</v>
      </c>
    </row>
    <row r="64" spans="1:5" x14ac:dyDescent="0.3">
      <c r="A64" t="s">
        <v>136</v>
      </c>
      <c r="B64" t="s">
        <v>128</v>
      </c>
      <c r="C64">
        <v>7</v>
      </c>
      <c r="E64">
        <v>500</v>
      </c>
    </row>
    <row r="65" spans="1:5" x14ac:dyDescent="0.3">
      <c r="A65" t="s">
        <v>137</v>
      </c>
      <c r="B65" t="s">
        <v>128</v>
      </c>
      <c r="C65">
        <v>8</v>
      </c>
      <c r="E65">
        <v>500</v>
      </c>
    </row>
    <row r="66" spans="1:5" x14ac:dyDescent="0.3">
      <c r="A66" t="s">
        <v>129</v>
      </c>
      <c r="B66" t="s">
        <v>128</v>
      </c>
      <c r="C66">
        <v>1</v>
      </c>
      <c r="E66">
        <v>500</v>
      </c>
    </row>
    <row r="67" spans="1:5" x14ac:dyDescent="0.3">
      <c r="A67" t="s">
        <v>130</v>
      </c>
      <c r="B67" t="s">
        <v>128</v>
      </c>
      <c r="C67">
        <v>2</v>
      </c>
      <c r="E67">
        <v>500</v>
      </c>
    </row>
    <row r="68" spans="1:5" x14ac:dyDescent="0.3">
      <c r="A68" t="s">
        <v>131</v>
      </c>
      <c r="B68" t="s">
        <v>128</v>
      </c>
      <c r="D68" t="s">
        <v>24</v>
      </c>
      <c r="E68">
        <v>500</v>
      </c>
    </row>
    <row r="69" spans="1:5" x14ac:dyDescent="0.3">
      <c r="A69" t="s">
        <v>132</v>
      </c>
      <c r="B69" t="s">
        <v>128</v>
      </c>
      <c r="C69">
        <v>3</v>
      </c>
      <c r="E69">
        <v>500</v>
      </c>
    </row>
    <row r="70" spans="1:5" x14ac:dyDescent="0.3">
      <c r="A70" t="s">
        <v>133</v>
      </c>
      <c r="B70" t="s">
        <v>128</v>
      </c>
      <c r="C70">
        <v>4</v>
      </c>
      <c r="E70">
        <v>500</v>
      </c>
    </row>
    <row r="71" spans="1:5" x14ac:dyDescent="0.3">
      <c r="A71" t="s">
        <v>134</v>
      </c>
      <c r="B71" t="s">
        <v>128</v>
      </c>
      <c r="C71">
        <v>5</v>
      </c>
      <c r="E71">
        <v>500</v>
      </c>
    </row>
    <row r="72" spans="1:5" x14ac:dyDescent="0.3">
      <c r="A72" t="s">
        <v>135</v>
      </c>
      <c r="B72" t="s">
        <v>128</v>
      </c>
      <c r="C72">
        <v>6</v>
      </c>
      <c r="E72">
        <v>500</v>
      </c>
    </row>
    <row r="73" spans="1:5" x14ac:dyDescent="0.3">
      <c r="A73" t="s">
        <v>136</v>
      </c>
      <c r="B73" t="s">
        <v>128</v>
      </c>
      <c r="C73">
        <v>7</v>
      </c>
      <c r="E73">
        <v>500</v>
      </c>
    </row>
    <row r="74" spans="1:5" x14ac:dyDescent="0.3">
      <c r="A74" t="s">
        <v>137</v>
      </c>
      <c r="B74" t="s">
        <v>128</v>
      </c>
      <c r="C74">
        <v>8</v>
      </c>
      <c r="E74">
        <v>500</v>
      </c>
    </row>
    <row r="75" spans="1:5" x14ac:dyDescent="0.3">
      <c r="A75" t="s">
        <v>140</v>
      </c>
      <c r="B75" t="s">
        <v>139</v>
      </c>
      <c r="D75" t="s">
        <v>27</v>
      </c>
      <c r="E75">
        <v>389</v>
      </c>
    </row>
    <row r="76" spans="1:5" x14ac:dyDescent="0.3">
      <c r="A76" t="s">
        <v>141</v>
      </c>
      <c r="B76" t="s">
        <v>139</v>
      </c>
      <c r="C76">
        <v>1</v>
      </c>
      <c r="E76">
        <v>389</v>
      </c>
    </row>
    <row r="77" spans="1:5" x14ac:dyDescent="0.3">
      <c r="A77" t="s">
        <v>140</v>
      </c>
      <c r="B77" t="s">
        <v>139</v>
      </c>
      <c r="D77" t="s">
        <v>24</v>
      </c>
      <c r="E77">
        <v>389</v>
      </c>
    </row>
    <row r="78" spans="1:5" x14ac:dyDescent="0.3">
      <c r="A78" t="s">
        <v>142</v>
      </c>
      <c r="B78" t="s">
        <v>139</v>
      </c>
      <c r="C78">
        <v>2</v>
      </c>
      <c r="E78">
        <v>389</v>
      </c>
    </row>
    <row r="79" spans="1:5" x14ac:dyDescent="0.3">
      <c r="A79" t="s">
        <v>143</v>
      </c>
      <c r="B79" t="s">
        <v>139</v>
      </c>
      <c r="C79">
        <v>3</v>
      </c>
      <c r="E79">
        <v>389</v>
      </c>
    </row>
    <row r="80" spans="1:5" x14ac:dyDescent="0.3">
      <c r="A80" t="s">
        <v>144</v>
      </c>
      <c r="B80" t="s">
        <v>139</v>
      </c>
      <c r="C80">
        <v>4</v>
      </c>
      <c r="E80">
        <v>389</v>
      </c>
    </row>
    <row r="81" spans="1:5" x14ac:dyDescent="0.3">
      <c r="A81" t="s">
        <v>145</v>
      </c>
      <c r="B81" t="s">
        <v>139</v>
      </c>
      <c r="C81">
        <v>5</v>
      </c>
      <c r="E81">
        <v>389</v>
      </c>
    </row>
    <row r="82" spans="1:5" x14ac:dyDescent="0.3">
      <c r="A82" t="s">
        <v>146</v>
      </c>
      <c r="B82" t="s">
        <v>139</v>
      </c>
      <c r="C82">
        <v>6</v>
      </c>
      <c r="E82">
        <v>389</v>
      </c>
    </row>
    <row r="83" spans="1:5" x14ac:dyDescent="0.3">
      <c r="A83" t="s">
        <v>147</v>
      </c>
      <c r="B83" t="s">
        <v>139</v>
      </c>
      <c r="C83">
        <v>7</v>
      </c>
      <c r="E83">
        <v>389</v>
      </c>
    </row>
    <row r="84" spans="1:5" x14ac:dyDescent="0.3">
      <c r="A84" t="s">
        <v>148</v>
      </c>
      <c r="B84" t="s">
        <v>139</v>
      </c>
      <c r="C84">
        <v>8</v>
      </c>
      <c r="E84">
        <v>389</v>
      </c>
    </row>
    <row r="85" spans="1:5" x14ac:dyDescent="0.3">
      <c r="A85" t="s">
        <v>149</v>
      </c>
      <c r="B85" t="s">
        <v>139</v>
      </c>
      <c r="C85">
        <v>9</v>
      </c>
      <c r="E85">
        <v>389</v>
      </c>
    </row>
    <row r="86" spans="1:5" x14ac:dyDescent="0.3">
      <c r="A86" t="s">
        <v>150</v>
      </c>
      <c r="B86" t="s">
        <v>139</v>
      </c>
      <c r="C86">
        <v>10</v>
      </c>
      <c r="E86">
        <v>389</v>
      </c>
    </row>
    <row r="87" spans="1:5" x14ac:dyDescent="0.3">
      <c r="A87" t="s">
        <v>151</v>
      </c>
      <c r="B87" t="s">
        <v>139</v>
      </c>
      <c r="C87">
        <v>11</v>
      </c>
      <c r="E87">
        <v>389</v>
      </c>
    </row>
    <row r="88" spans="1:5" x14ac:dyDescent="0.3">
      <c r="A88" t="s">
        <v>152</v>
      </c>
      <c r="B88" t="s">
        <v>139</v>
      </c>
      <c r="C88">
        <v>12</v>
      </c>
      <c r="E88">
        <v>389</v>
      </c>
    </row>
    <row r="89" spans="1:5" x14ac:dyDescent="0.3">
      <c r="A89" t="s">
        <v>153</v>
      </c>
      <c r="B89" t="s">
        <v>139</v>
      </c>
      <c r="C89">
        <v>13</v>
      </c>
      <c r="E89">
        <v>389</v>
      </c>
    </row>
    <row r="90" spans="1:5" x14ac:dyDescent="0.3">
      <c r="A90" t="s">
        <v>154</v>
      </c>
      <c r="B90" t="s">
        <v>139</v>
      </c>
      <c r="C90">
        <v>14</v>
      </c>
      <c r="E90">
        <v>389</v>
      </c>
    </row>
    <row r="91" spans="1:5" x14ac:dyDescent="0.3">
      <c r="A91" t="s">
        <v>155</v>
      </c>
      <c r="B91" t="s">
        <v>139</v>
      </c>
      <c r="C91">
        <v>15</v>
      </c>
      <c r="E91">
        <v>389</v>
      </c>
    </row>
    <row r="92" spans="1:5" x14ac:dyDescent="0.3">
      <c r="A92" t="s">
        <v>140</v>
      </c>
      <c r="B92" t="s">
        <v>139</v>
      </c>
      <c r="D92" t="s">
        <v>27</v>
      </c>
      <c r="E92">
        <v>389</v>
      </c>
    </row>
    <row r="93" spans="1:5" x14ac:dyDescent="0.3">
      <c r="A93" t="s">
        <v>141</v>
      </c>
      <c r="B93" t="s">
        <v>139</v>
      </c>
      <c r="C93">
        <v>1</v>
      </c>
      <c r="E93">
        <v>389</v>
      </c>
    </row>
    <row r="94" spans="1:5" x14ac:dyDescent="0.3">
      <c r="A94" t="s">
        <v>140</v>
      </c>
      <c r="B94" t="s">
        <v>139</v>
      </c>
      <c r="D94" t="s">
        <v>24</v>
      </c>
      <c r="E94">
        <v>389</v>
      </c>
    </row>
    <row r="95" spans="1:5" x14ac:dyDescent="0.3">
      <c r="A95" t="s">
        <v>142</v>
      </c>
      <c r="B95" t="s">
        <v>139</v>
      </c>
      <c r="C95">
        <v>2</v>
      </c>
      <c r="E95">
        <v>389</v>
      </c>
    </row>
    <row r="96" spans="1:5" x14ac:dyDescent="0.3">
      <c r="A96" t="s">
        <v>143</v>
      </c>
      <c r="B96" t="s">
        <v>139</v>
      </c>
      <c r="C96">
        <v>3</v>
      </c>
      <c r="E96">
        <v>389</v>
      </c>
    </row>
    <row r="97" spans="1:5" x14ac:dyDescent="0.3">
      <c r="A97" t="s">
        <v>144</v>
      </c>
      <c r="B97" t="s">
        <v>139</v>
      </c>
      <c r="C97">
        <v>4</v>
      </c>
      <c r="E97">
        <v>389</v>
      </c>
    </row>
    <row r="98" spans="1:5" x14ac:dyDescent="0.3">
      <c r="A98" t="s">
        <v>145</v>
      </c>
      <c r="B98" t="s">
        <v>139</v>
      </c>
      <c r="C98">
        <v>5</v>
      </c>
      <c r="E98">
        <v>389</v>
      </c>
    </row>
    <row r="99" spans="1:5" x14ac:dyDescent="0.3">
      <c r="A99" t="s">
        <v>146</v>
      </c>
      <c r="B99" t="s">
        <v>139</v>
      </c>
      <c r="C99">
        <v>6</v>
      </c>
      <c r="E99">
        <v>389</v>
      </c>
    </row>
    <row r="100" spans="1:5" x14ac:dyDescent="0.3">
      <c r="A100" t="s">
        <v>147</v>
      </c>
      <c r="B100" t="s">
        <v>139</v>
      </c>
      <c r="C100">
        <v>7</v>
      </c>
      <c r="E100">
        <v>389</v>
      </c>
    </row>
    <row r="101" spans="1:5" x14ac:dyDescent="0.3">
      <c r="A101" t="s">
        <v>148</v>
      </c>
      <c r="B101" t="s">
        <v>139</v>
      </c>
      <c r="C101">
        <v>8</v>
      </c>
      <c r="E101">
        <v>389</v>
      </c>
    </row>
    <row r="102" spans="1:5" x14ac:dyDescent="0.3">
      <c r="A102" t="s">
        <v>149</v>
      </c>
      <c r="B102" t="s">
        <v>139</v>
      </c>
      <c r="C102">
        <v>9</v>
      </c>
      <c r="E102">
        <v>389</v>
      </c>
    </row>
    <row r="103" spans="1:5" x14ac:dyDescent="0.3">
      <c r="A103" t="s">
        <v>150</v>
      </c>
      <c r="B103" t="s">
        <v>139</v>
      </c>
      <c r="C103">
        <v>10</v>
      </c>
      <c r="E103">
        <v>389</v>
      </c>
    </row>
    <row r="104" spans="1:5" x14ac:dyDescent="0.3">
      <c r="A104" t="s">
        <v>151</v>
      </c>
      <c r="B104" t="s">
        <v>139</v>
      </c>
      <c r="C104">
        <v>11</v>
      </c>
      <c r="E104">
        <v>389</v>
      </c>
    </row>
    <row r="105" spans="1:5" x14ac:dyDescent="0.3">
      <c r="A105" t="s">
        <v>152</v>
      </c>
      <c r="B105" t="s">
        <v>139</v>
      </c>
      <c r="C105">
        <v>12</v>
      </c>
      <c r="E105">
        <v>389</v>
      </c>
    </row>
    <row r="106" spans="1:5" x14ac:dyDescent="0.3">
      <c r="A106" t="s">
        <v>153</v>
      </c>
      <c r="B106" t="s">
        <v>139</v>
      </c>
      <c r="C106">
        <v>13</v>
      </c>
      <c r="E106">
        <v>389</v>
      </c>
    </row>
    <row r="107" spans="1:5" x14ac:dyDescent="0.3">
      <c r="A107" t="s">
        <v>154</v>
      </c>
      <c r="B107" t="s">
        <v>139</v>
      </c>
      <c r="C107">
        <v>14</v>
      </c>
      <c r="E107">
        <v>389</v>
      </c>
    </row>
    <row r="108" spans="1:5" x14ac:dyDescent="0.3">
      <c r="A108" t="s">
        <v>155</v>
      </c>
      <c r="B108" t="s">
        <v>139</v>
      </c>
      <c r="C108">
        <v>15</v>
      </c>
      <c r="E108">
        <v>389</v>
      </c>
    </row>
    <row r="109" spans="1:5" x14ac:dyDescent="0.3">
      <c r="A109" t="s">
        <v>158</v>
      </c>
      <c r="B109" t="s">
        <v>157</v>
      </c>
      <c r="D109" t="s">
        <v>27</v>
      </c>
      <c r="E109">
        <v>389</v>
      </c>
    </row>
    <row r="110" spans="1:5" x14ac:dyDescent="0.3">
      <c r="A110" t="s">
        <v>159</v>
      </c>
      <c r="B110" t="s">
        <v>157</v>
      </c>
      <c r="C110">
        <v>1</v>
      </c>
      <c r="E110">
        <v>389</v>
      </c>
    </row>
    <row r="111" spans="1:5" x14ac:dyDescent="0.3">
      <c r="A111" t="s">
        <v>158</v>
      </c>
      <c r="B111" t="s">
        <v>157</v>
      </c>
      <c r="D111" t="s">
        <v>24</v>
      </c>
      <c r="E111">
        <v>389</v>
      </c>
    </row>
    <row r="112" spans="1:5" x14ac:dyDescent="0.3">
      <c r="A112" t="s">
        <v>160</v>
      </c>
      <c r="B112" t="s">
        <v>157</v>
      </c>
      <c r="C112">
        <v>2</v>
      </c>
      <c r="E112">
        <v>389</v>
      </c>
    </row>
    <row r="113" spans="1:5" x14ac:dyDescent="0.3">
      <c r="A113" t="s">
        <v>161</v>
      </c>
      <c r="B113" t="s">
        <v>157</v>
      </c>
      <c r="C113">
        <v>3</v>
      </c>
      <c r="E113">
        <v>389</v>
      </c>
    </row>
    <row r="114" spans="1:5" x14ac:dyDescent="0.3">
      <c r="A114" t="s">
        <v>162</v>
      </c>
      <c r="B114" t="s">
        <v>157</v>
      </c>
      <c r="C114">
        <v>4</v>
      </c>
      <c r="E114">
        <v>389</v>
      </c>
    </row>
    <row r="115" spans="1:5" x14ac:dyDescent="0.3">
      <c r="A115" t="s">
        <v>163</v>
      </c>
      <c r="B115" t="s">
        <v>157</v>
      </c>
      <c r="C115">
        <v>5</v>
      </c>
      <c r="E115">
        <v>389</v>
      </c>
    </row>
    <row r="116" spans="1:5" x14ac:dyDescent="0.3">
      <c r="A116" t="s">
        <v>164</v>
      </c>
      <c r="B116" t="s">
        <v>157</v>
      </c>
      <c r="C116">
        <v>6</v>
      </c>
      <c r="E116">
        <v>389</v>
      </c>
    </row>
    <row r="117" spans="1:5" x14ac:dyDescent="0.3">
      <c r="A117" t="s">
        <v>165</v>
      </c>
      <c r="B117" t="s">
        <v>157</v>
      </c>
      <c r="C117">
        <v>7</v>
      </c>
      <c r="E117">
        <v>389</v>
      </c>
    </row>
    <row r="118" spans="1:5" x14ac:dyDescent="0.3">
      <c r="A118" t="s">
        <v>166</v>
      </c>
      <c r="B118" t="s">
        <v>157</v>
      </c>
      <c r="C118">
        <v>8</v>
      </c>
      <c r="E118">
        <v>389</v>
      </c>
    </row>
    <row r="119" spans="1:5" x14ac:dyDescent="0.3">
      <c r="A119" t="s">
        <v>167</v>
      </c>
      <c r="B119" t="s">
        <v>157</v>
      </c>
      <c r="C119">
        <v>9</v>
      </c>
      <c r="E119">
        <v>389</v>
      </c>
    </row>
    <row r="120" spans="1:5" x14ac:dyDescent="0.3">
      <c r="A120" t="s">
        <v>168</v>
      </c>
      <c r="B120" t="s">
        <v>157</v>
      </c>
      <c r="C120">
        <v>10</v>
      </c>
      <c r="E120">
        <v>389</v>
      </c>
    </row>
    <row r="121" spans="1:5" x14ac:dyDescent="0.3">
      <c r="A121" t="s">
        <v>169</v>
      </c>
      <c r="B121" t="s">
        <v>157</v>
      </c>
      <c r="C121">
        <v>11</v>
      </c>
      <c r="E121">
        <v>389</v>
      </c>
    </row>
    <row r="122" spans="1:5" x14ac:dyDescent="0.3">
      <c r="A122" t="s">
        <v>170</v>
      </c>
      <c r="B122" t="s">
        <v>157</v>
      </c>
      <c r="C122">
        <v>12</v>
      </c>
      <c r="E122">
        <v>389</v>
      </c>
    </row>
    <row r="123" spans="1:5" x14ac:dyDescent="0.3">
      <c r="A123" t="s">
        <v>171</v>
      </c>
      <c r="B123" t="s">
        <v>157</v>
      </c>
      <c r="C123">
        <v>13</v>
      </c>
      <c r="E123">
        <v>389</v>
      </c>
    </row>
    <row r="124" spans="1:5" x14ac:dyDescent="0.3">
      <c r="A124" t="s">
        <v>172</v>
      </c>
      <c r="B124" t="s">
        <v>157</v>
      </c>
      <c r="C124">
        <v>14</v>
      </c>
      <c r="E124">
        <v>389</v>
      </c>
    </row>
    <row r="125" spans="1:5" x14ac:dyDescent="0.3">
      <c r="A125" t="s">
        <v>173</v>
      </c>
      <c r="B125" t="s">
        <v>157</v>
      </c>
      <c r="C125">
        <v>15</v>
      </c>
      <c r="E125">
        <v>389</v>
      </c>
    </row>
    <row r="126" spans="1:5" x14ac:dyDescent="0.3">
      <c r="A126" t="s">
        <v>158</v>
      </c>
      <c r="B126" t="s">
        <v>157</v>
      </c>
      <c r="D126" t="s">
        <v>27</v>
      </c>
      <c r="E126">
        <v>389</v>
      </c>
    </row>
    <row r="127" spans="1:5" x14ac:dyDescent="0.3">
      <c r="A127" t="s">
        <v>159</v>
      </c>
      <c r="B127" t="s">
        <v>157</v>
      </c>
      <c r="C127">
        <v>1</v>
      </c>
      <c r="E127">
        <v>389</v>
      </c>
    </row>
    <row r="128" spans="1:5" x14ac:dyDescent="0.3">
      <c r="A128" t="s">
        <v>158</v>
      </c>
      <c r="B128" t="s">
        <v>157</v>
      </c>
      <c r="D128" t="s">
        <v>24</v>
      </c>
      <c r="E128">
        <v>389</v>
      </c>
    </row>
    <row r="129" spans="1:5" x14ac:dyDescent="0.3">
      <c r="A129" t="s">
        <v>160</v>
      </c>
      <c r="B129" t="s">
        <v>157</v>
      </c>
      <c r="C129">
        <v>2</v>
      </c>
      <c r="E129">
        <v>389</v>
      </c>
    </row>
    <row r="130" spans="1:5" x14ac:dyDescent="0.3">
      <c r="A130" t="s">
        <v>161</v>
      </c>
      <c r="B130" t="s">
        <v>157</v>
      </c>
      <c r="C130">
        <v>3</v>
      </c>
      <c r="E130">
        <v>389</v>
      </c>
    </row>
    <row r="131" spans="1:5" x14ac:dyDescent="0.3">
      <c r="A131" t="s">
        <v>162</v>
      </c>
      <c r="B131" t="s">
        <v>157</v>
      </c>
      <c r="C131">
        <v>4</v>
      </c>
      <c r="E131">
        <v>389</v>
      </c>
    </row>
    <row r="132" spans="1:5" x14ac:dyDescent="0.3">
      <c r="A132" t="s">
        <v>163</v>
      </c>
      <c r="B132" t="s">
        <v>157</v>
      </c>
      <c r="C132">
        <v>5</v>
      </c>
      <c r="E132">
        <v>389</v>
      </c>
    </row>
    <row r="133" spans="1:5" x14ac:dyDescent="0.3">
      <c r="A133" t="s">
        <v>164</v>
      </c>
      <c r="B133" t="s">
        <v>157</v>
      </c>
      <c r="C133">
        <v>6</v>
      </c>
      <c r="E133">
        <v>389</v>
      </c>
    </row>
    <row r="134" spans="1:5" x14ac:dyDescent="0.3">
      <c r="A134" t="s">
        <v>165</v>
      </c>
      <c r="B134" t="s">
        <v>157</v>
      </c>
      <c r="C134">
        <v>7</v>
      </c>
      <c r="E134">
        <v>389</v>
      </c>
    </row>
    <row r="135" spans="1:5" x14ac:dyDescent="0.3">
      <c r="A135" t="s">
        <v>166</v>
      </c>
      <c r="B135" t="s">
        <v>157</v>
      </c>
      <c r="C135">
        <v>8</v>
      </c>
      <c r="E135">
        <v>389</v>
      </c>
    </row>
    <row r="136" spans="1:5" x14ac:dyDescent="0.3">
      <c r="A136" t="s">
        <v>167</v>
      </c>
      <c r="B136" t="s">
        <v>157</v>
      </c>
      <c r="C136">
        <v>9</v>
      </c>
      <c r="E136">
        <v>389</v>
      </c>
    </row>
    <row r="137" spans="1:5" x14ac:dyDescent="0.3">
      <c r="A137" t="s">
        <v>168</v>
      </c>
      <c r="B137" t="s">
        <v>157</v>
      </c>
      <c r="C137">
        <v>10</v>
      </c>
      <c r="E137">
        <v>389</v>
      </c>
    </row>
    <row r="138" spans="1:5" x14ac:dyDescent="0.3">
      <c r="A138" t="s">
        <v>169</v>
      </c>
      <c r="B138" t="s">
        <v>157</v>
      </c>
      <c r="C138">
        <v>11</v>
      </c>
      <c r="E138">
        <v>389</v>
      </c>
    </row>
    <row r="139" spans="1:5" x14ac:dyDescent="0.3">
      <c r="A139" t="s">
        <v>170</v>
      </c>
      <c r="B139" t="s">
        <v>157</v>
      </c>
      <c r="C139">
        <v>12</v>
      </c>
      <c r="E139">
        <v>389</v>
      </c>
    </row>
    <row r="140" spans="1:5" x14ac:dyDescent="0.3">
      <c r="A140" t="s">
        <v>171</v>
      </c>
      <c r="B140" t="s">
        <v>157</v>
      </c>
      <c r="C140">
        <v>13</v>
      </c>
      <c r="E140">
        <v>389</v>
      </c>
    </row>
    <row r="141" spans="1:5" x14ac:dyDescent="0.3">
      <c r="A141" t="s">
        <v>172</v>
      </c>
      <c r="B141" t="s">
        <v>157</v>
      </c>
      <c r="C141">
        <v>14</v>
      </c>
      <c r="E141">
        <v>389</v>
      </c>
    </row>
    <row r="142" spans="1:5" x14ac:dyDescent="0.3">
      <c r="A142" t="s">
        <v>173</v>
      </c>
      <c r="B142" t="s">
        <v>157</v>
      </c>
      <c r="C142">
        <v>15</v>
      </c>
      <c r="E142">
        <v>389</v>
      </c>
    </row>
    <row r="143" spans="1:5" x14ac:dyDescent="0.3">
      <c r="A143" t="s">
        <v>158</v>
      </c>
      <c r="B143" t="s">
        <v>174</v>
      </c>
      <c r="D143" t="s">
        <v>27</v>
      </c>
      <c r="E143">
        <v>389</v>
      </c>
    </row>
    <row r="144" spans="1:5" x14ac:dyDescent="0.3">
      <c r="A144" t="s">
        <v>159</v>
      </c>
      <c r="B144" t="s">
        <v>174</v>
      </c>
      <c r="C144">
        <v>1</v>
      </c>
      <c r="E144">
        <v>389</v>
      </c>
    </row>
    <row r="145" spans="1:5" x14ac:dyDescent="0.3">
      <c r="A145" t="s">
        <v>158</v>
      </c>
      <c r="B145" t="s">
        <v>174</v>
      </c>
      <c r="D145" t="s">
        <v>24</v>
      </c>
      <c r="E145">
        <v>389</v>
      </c>
    </row>
    <row r="146" spans="1:5" x14ac:dyDescent="0.3">
      <c r="A146" t="s">
        <v>160</v>
      </c>
      <c r="B146" t="s">
        <v>174</v>
      </c>
      <c r="C146">
        <v>2</v>
      </c>
      <c r="E146">
        <v>389</v>
      </c>
    </row>
    <row r="147" spans="1:5" x14ac:dyDescent="0.3">
      <c r="A147" t="s">
        <v>161</v>
      </c>
      <c r="B147" t="s">
        <v>174</v>
      </c>
      <c r="C147">
        <v>3</v>
      </c>
      <c r="E147">
        <v>389</v>
      </c>
    </row>
    <row r="148" spans="1:5" x14ac:dyDescent="0.3">
      <c r="A148" t="s">
        <v>162</v>
      </c>
      <c r="B148" t="s">
        <v>174</v>
      </c>
      <c r="C148">
        <v>4</v>
      </c>
      <c r="E148">
        <v>389</v>
      </c>
    </row>
    <row r="149" spans="1:5" x14ac:dyDescent="0.3">
      <c r="A149" t="s">
        <v>163</v>
      </c>
      <c r="B149" t="s">
        <v>174</v>
      </c>
      <c r="C149">
        <v>5</v>
      </c>
      <c r="E149">
        <v>389</v>
      </c>
    </row>
    <row r="150" spans="1:5" x14ac:dyDescent="0.3">
      <c r="A150" t="s">
        <v>164</v>
      </c>
      <c r="B150" t="s">
        <v>174</v>
      </c>
      <c r="C150">
        <v>6</v>
      </c>
      <c r="E150">
        <v>389</v>
      </c>
    </row>
    <row r="151" spans="1:5" x14ac:dyDescent="0.3">
      <c r="A151" t="s">
        <v>165</v>
      </c>
      <c r="B151" t="s">
        <v>174</v>
      </c>
      <c r="C151">
        <v>7</v>
      </c>
      <c r="E151">
        <v>389</v>
      </c>
    </row>
    <row r="152" spans="1:5" x14ac:dyDescent="0.3">
      <c r="A152" t="s">
        <v>166</v>
      </c>
      <c r="B152" t="s">
        <v>174</v>
      </c>
      <c r="C152">
        <v>8</v>
      </c>
      <c r="E152">
        <v>389</v>
      </c>
    </row>
    <row r="153" spans="1:5" x14ac:dyDescent="0.3">
      <c r="A153" t="s">
        <v>167</v>
      </c>
      <c r="B153" t="s">
        <v>174</v>
      </c>
      <c r="C153">
        <v>9</v>
      </c>
      <c r="E153">
        <v>389</v>
      </c>
    </row>
    <row r="154" spans="1:5" x14ac:dyDescent="0.3">
      <c r="A154" t="s">
        <v>168</v>
      </c>
      <c r="B154" t="s">
        <v>174</v>
      </c>
      <c r="C154">
        <v>10</v>
      </c>
      <c r="E154">
        <v>389</v>
      </c>
    </row>
    <row r="155" spans="1:5" x14ac:dyDescent="0.3">
      <c r="A155" t="s">
        <v>169</v>
      </c>
      <c r="B155" t="s">
        <v>174</v>
      </c>
      <c r="C155">
        <v>11</v>
      </c>
      <c r="E155">
        <v>389</v>
      </c>
    </row>
    <row r="156" spans="1:5" x14ac:dyDescent="0.3">
      <c r="A156" t="s">
        <v>170</v>
      </c>
      <c r="B156" t="s">
        <v>174</v>
      </c>
      <c r="C156">
        <v>12</v>
      </c>
      <c r="E156">
        <v>389</v>
      </c>
    </row>
    <row r="157" spans="1:5" x14ac:dyDescent="0.3">
      <c r="A157" t="s">
        <v>171</v>
      </c>
      <c r="B157" t="s">
        <v>174</v>
      </c>
      <c r="C157">
        <v>13</v>
      </c>
      <c r="E157">
        <v>389</v>
      </c>
    </row>
    <row r="158" spans="1:5" x14ac:dyDescent="0.3">
      <c r="A158" t="s">
        <v>172</v>
      </c>
      <c r="B158" t="s">
        <v>174</v>
      </c>
      <c r="C158">
        <v>14</v>
      </c>
      <c r="E158">
        <v>389</v>
      </c>
    </row>
    <row r="159" spans="1:5" x14ac:dyDescent="0.3">
      <c r="A159" t="s">
        <v>173</v>
      </c>
      <c r="B159" t="s">
        <v>174</v>
      </c>
      <c r="C159">
        <v>15</v>
      </c>
      <c r="E159">
        <v>389</v>
      </c>
    </row>
    <row r="160" spans="1:5" x14ac:dyDescent="0.3">
      <c r="A160" t="s">
        <v>158</v>
      </c>
      <c r="B160" t="s">
        <v>174</v>
      </c>
      <c r="D160" t="s">
        <v>27</v>
      </c>
      <c r="E160">
        <v>389</v>
      </c>
    </row>
    <row r="161" spans="1:5" x14ac:dyDescent="0.3">
      <c r="A161" t="s">
        <v>159</v>
      </c>
      <c r="B161" t="s">
        <v>174</v>
      </c>
      <c r="C161">
        <v>1</v>
      </c>
      <c r="E161">
        <v>389</v>
      </c>
    </row>
    <row r="162" spans="1:5" x14ac:dyDescent="0.3">
      <c r="A162" t="s">
        <v>158</v>
      </c>
      <c r="B162" t="s">
        <v>174</v>
      </c>
      <c r="D162" t="s">
        <v>24</v>
      </c>
      <c r="E162">
        <v>389</v>
      </c>
    </row>
    <row r="163" spans="1:5" x14ac:dyDescent="0.3">
      <c r="A163" t="s">
        <v>160</v>
      </c>
      <c r="B163" t="s">
        <v>174</v>
      </c>
      <c r="C163">
        <v>2</v>
      </c>
      <c r="E163">
        <v>389</v>
      </c>
    </row>
    <row r="164" spans="1:5" x14ac:dyDescent="0.3">
      <c r="A164" t="s">
        <v>161</v>
      </c>
      <c r="B164" t="s">
        <v>174</v>
      </c>
      <c r="C164">
        <v>3</v>
      </c>
      <c r="E164">
        <v>389</v>
      </c>
    </row>
    <row r="165" spans="1:5" x14ac:dyDescent="0.3">
      <c r="A165" t="s">
        <v>162</v>
      </c>
      <c r="B165" t="s">
        <v>174</v>
      </c>
      <c r="C165">
        <v>4</v>
      </c>
      <c r="E165">
        <v>389</v>
      </c>
    </row>
    <row r="166" spans="1:5" x14ac:dyDescent="0.3">
      <c r="A166" t="s">
        <v>163</v>
      </c>
      <c r="B166" t="s">
        <v>174</v>
      </c>
      <c r="C166">
        <v>5</v>
      </c>
      <c r="E166">
        <v>389</v>
      </c>
    </row>
    <row r="167" spans="1:5" x14ac:dyDescent="0.3">
      <c r="A167" t="s">
        <v>164</v>
      </c>
      <c r="B167" t="s">
        <v>174</v>
      </c>
      <c r="C167">
        <v>6</v>
      </c>
      <c r="E167">
        <v>389</v>
      </c>
    </row>
    <row r="168" spans="1:5" x14ac:dyDescent="0.3">
      <c r="A168" t="s">
        <v>165</v>
      </c>
      <c r="B168" t="s">
        <v>174</v>
      </c>
      <c r="C168">
        <v>7</v>
      </c>
      <c r="E168">
        <v>389</v>
      </c>
    </row>
    <row r="169" spans="1:5" x14ac:dyDescent="0.3">
      <c r="A169" t="s">
        <v>166</v>
      </c>
      <c r="B169" t="s">
        <v>174</v>
      </c>
      <c r="C169">
        <v>8</v>
      </c>
      <c r="E169">
        <v>389</v>
      </c>
    </row>
    <row r="170" spans="1:5" x14ac:dyDescent="0.3">
      <c r="A170" t="s">
        <v>167</v>
      </c>
      <c r="B170" t="s">
        <v>174</v>
      </c>
      <c r="C170">
        <v>9</v>
      </c>
      <c r="E170">
        <v>389</v>
      </c>
    </row>
    <row r="171" spans="1:5" x14ac:dyDescent="0.3">
      <c r="A171" t="s">
        <v>168</v>
      </c>
      <c r="B171" t="s">
        <v>174</v>
      </c>
      <c r="C171">
        <v>10</v>
      </c>
      <c r="E171">
        <v>389</v>
      </c>
    </row>
    <row r="172" spans="1:5" x14ac:dyDescent="0.3">
      <c r="A172" t="s">
        <v>169</v>
      </c>
      <c r="B172" t="s">
        <v>174</v>
      </c>
      <c r="C172">
        <v>11</v>
      </c>
      <c r="E172">
        <v>389</v>
      </c>
    </row>
    <row r="173" spans="1:5" x14ac:dyDescent="0.3">
      <c r="A173" t="s">
        <v>170</v>
      </c>
      <c r="B173" t="s">
        <v>174</v>
      </c>
      <c r="C173">
        <v>12</v>
      </c>
      <c r="E173">
        <v>389</v>
      </c>
    </row>
    <row r="174" spans="1:5" x14ac:dyDescent="0.3">
      <c r="A174" t="s">
        <v>171</v>
      </c>
      <c r="B174" t="s">
        <v>174</v>
      </c>
      <c r="C174">
        <v>13</v>
      </c>
      <c r="E174">
        <v>389</v>
      </c>
    </row>
    <row r="175" spans="1:5" x14ac:dyDescent="0.3">
      <c r="A175" t="s">
        <v>172</v>
      </c>
      <c r="B175" t="s">
        <v>174</v>
      </c>
      <c r="C175">
        <v>14</v>
      </c>
      <c r="E175">
        <v>389</v>
      </c>
    </row>
    <row r="176" spans="1:5" x14ac:dyDescent="0.3">
      <c r="A176" t="s">
        <v>173</v>
      </c>
      <c r="B176" t="s">
        <v>174</v>
      </c>
      <c r="C176">
        <v>15</v>
      </c>
      <c r="E176">
        <v>389</v>
      </c>
    </row>
    <row r="177" spans="1:7" x14ac:dyDescent="0.3">
      <c r="A177" t="s">
        <v>176</v>
      </c>
      <c r="B177" t="s">
        <v>175</v>
      </c>
      <c r="D177" t="s">
        <v>27</v>
      </c>
      <c r="E177">
        <v>389</v>
      </c>
    </row>
    <row r="178" spans="1:7" x14ac:dyDescent="0.3">
      <c r="A178" t="s">
        <v>177</v>
      </c>
      <c r="B178" t="s">
        <v>175</v>
      </c>
      <c r="C178">
        <v>1</v>
      </c>
      <c r="E178">
        <v>389</v>
      </c>
    </row>
    <row r="179" spans="1:7" x14ac:dyDescent="0.3">
      <c r="A179" t="s">
        <v>176</v>
      </c>
      <c r="B179" t="s">
        <v>175</v>
      </c>
      <c r="D179" t="s">
        <v>24</v>
      </c>
      <c r="E179">
        <v>389</v>
      </c>
    </row>
    <row r="180" spans="1:7" x14ac:dyDescent="0.3">
      <c r="A180" t="s">
        <v>178</v>
      </c>
      <c r="B180" t="s">
        <v>175</v>
      </c>
      <c r="C180">
        <v>2</v>
      </c>
      <c r="E180">
        <v>389</v>
      </c>
    </row>
    <row r="181" spans="1:7" x14ac:dyDescent="0.3">
      <c r="A181" t="s">
        <v>179</v>
      </c>
      <c r="B181" t="s">
        <v>175</v>
      </c>
      <c r="C181">
        <v>3</v>
      </c>
      <c r="E181">
        <v>389</v>
      </c>
    </row>
    <row r="182" spans="1:7" x14ac:dyDescent="0.3">
      <c r="A182" t="s">
        <v>180</v>
      </c>
      <c r="B182" t="s">
        <v>175</v>
      </c>
      <c r="C182">
        <v>4</v>
      </c>
      <c r="E182">
        <v>389</v>
      </c>
    </row>
    <row r="183" spans="1:7" x14ac:dyDescent="0.3">
      <c r="A183" t="s">
        <v>181</v>
      </c>
      <c r="B183" t="s">
        <v>175</v>
      </c>
      <c r="C183">
        <v>5</v>
      </c>
      <c r="E183">
        <v>389</v>
      </c>
      <c r="F183">
        <v>34</v>
      </c>
      <c r="G183">
        <v>32</v>
      </c>
    </row>
    <row r="184" spans="1:7" x14ac:dyDescent="0.3">
      <c r="A184" t="s">
        <v>182</v>
      </c>
      <c r="B184" t="s">
        <v>175</v>
      </c>
      <c r="C184">
        <v>6</v>
      </c>
      <c r="E184">
        <v>389</v>
      </c>
    </row>
    <row r="185" spans="1:7" x14ac:dyDescent="0.3">
      <c r="A185" t="s">
        <v>183</v>
      </c>
      <c r="B185" t="s">
        <v>175</v>
      </c>
      <c r="C185">
        <v>7</v>
      </c>
      <c r="E185">
        <v>389</v>
      </c>
    </row>
    <row r="186" spans="1:7" x14ac:dyDescent="0.3">
      <c r="A186" t="s">
        <v>184</v>
      </c>
      <c r="B186" t="s">
        <v>175</v>
      </c>
      <c r="C186">
        <v>8</v>
      </c>
      <c r="E186">
        <v>389</v>
      </c>
    </row>
    <row r="187" spans="1:7" x14ac:dyDescent="0.3">
      <c r="A187" t="s">
        <v>185</v>
      </c>
      <c r="B187" t="s">
        <v>175</v>
      </c>
      <c r="C187">
        <v>9</v>
      </c>
      <c r="E187">
        <v>389</v>
      </c>
    </row>
    <row r="188" spans="1:7" x14ac:dyDescent="0.3">
      <c r="A188" t="s">
        <v>186</v>
      </c>
      <c r="B188" t="s">
        <v>175</v>
      </c>
      <c r="C188">
        <v>10</v>
      </c>
      <c r="E188">
        <v>389</v>
      </c>
    </row>
    <row r="189" spans="1:7" x14ac:dyDescent="0.3">
      <c r="A189" t="s">
        <v>187</v>
      </c>
      <c r="B189" t="s">
        <v>175</v>
      </c>
      <c r="C189">
        <v>11</v>
      </c>
      <c r="E189">
        <v>389</v>
      </c>
    </row>
    <row r="190" spans="1:7" x14ac:dyDescent="0.3">
      <c r="A190" t="s">
        <v>188</v>
      </c>
      <c r="B190" t="s">
        <v>175</v>
      </c>
      <c r="C190">
        <v>12</v>
      </c>
      <c r="E190">
        <v>389</v>
      </c>
    </row>
    <row r="191" spans="1:7" x14ac:dyDescent="0.3">
      <c r="A191" t="s">
        <v>189</v>
      </c>
      <c r="B191" t="s">
        <v>175</v>
      </c>
      <c r="C191">
        <v>13</v>
      </c>
      <c r="E191">
        <v>389</v>
      </c>
    </row>
    <row r="192" spans="1:7" x14ac:dyDescent="0.3">
      <c r="A192" t="s">
        <v>190</v>
      </c>
      <c r="B192" t="s">
        <v>175</v>
      </c>
      <c r="C192">
        <v>14</v>
      </c>
      <c r="E192">
        <v>389</v>
      </c>
    </row>
    <row r="193" spans="1:7" x14ac:dyDescent="0.3">
      <c r="A193" t="s">
        <v>191</v>
      </c>
      <c r="B193" t="s">
        <v>175</v>
      </c>
      <c r="C193">
        <v>15</v>
      </c>
      <c r="E193">
        <v>389</v>
      </c>
    </row>
    <row r="194" spans="1:7" x14ac:dyDescent="0.3">
      <c r="A194" t="s">
        <v>176</v>
      </c>
      <c r="B194" t="s">
        <v>175</v>
      </c>
      <c r="D194" t="s">
        <v>27</v>
      </c>
      <c r="E194">
        <v>389</v>
      </c>
    </row>
    <row r="195" spans="1:7" x14ac:dyDescent="0.3">
      <c r="A195" t="s">
        <v>177</v>
      </c>
      <c r="B195" t="s">
        <v>175</v>
      </c>
      <c r="C195">
        <v>1</v>
      </c>
      <c r="E195">
        <v>389</v>
      </c>
    </row>
    <row r="196" spans="1:7" x14ac:dyDescent="0.3">
      <c r="A196" t="s">
        <v>176</v>
      </c>
      <c r="B196" t="s">
        <v>175</v>
      </c>
      <c r="D196" t="s">
        <v>24</v>
      </c>
      <c r="E196">
        <v>389</v>
      </c>
    </row>
    <row r="197" spans="1:7" x14ac:dyDescent="0.3">
      <c r="A197" t="s">
        <v>178</v>
      </c>
      <c r="B197" t="s">
        <v>175</v>
      </c>
      <c r="C197">
        <v>2</v>
      </c>
      <c r="E197">
        <v>389</v>
      </c>
    </row>
    <row r="198" spans="1:7" x14ac:dyDescent="0.3">
      <c r="A198" t="s">
        <v>179</v>
      </c>
      <c r="B198" t="s">
        <v>175</v>
      </c>
      <c r="C198">
        <v>3</v>
      </c>
      <c r="E198">
        <v>389</v>
      </c>
    </row>
    <row r="199" spans="1:7" x14ac:dyDescent="0.3">
      <c r="A199" t="s">
        <v>180</v>
      </c>
      <c r="B199" t="s">
        <v>175</v>
      </c>
      <c r="C199">
        <v>4</v>
      </c>
      <c r="E199">
        <v>389</v>
      </c>
    </row>
    <row r="200" spans="1:7" x14ac:dyDescent="0.3">
      <c r="A200" t="s">
        <v>181</v>
      </c>
      <c r="B200" t="s">
        <v>175</v>
      </c>
      <c r="C200">
        <v>5</v>
      </c>
      <c r="E200">
        <v>389</v>
      </c>
      <c r="F200">
        <v>34</v>
      </c>
      <c r="G200">
        <v>32</v>
      </c>
    </row>
    <row r="201" spans="1:7" x14ac:dyDescent="0.3">
      <c r="A201" t="s">
        <v>182</v>
      </c>
      <c r="B201" t="s">
        <v>175</v>
      </c>
      <c r="C201">
        <v>6</v>
      </c>
      <c r="E201">
        <v>389</v>
      </c>
    </row>
    <row r="202" spans="1:7" x14ac:dyDescent="0.3">
      <c r="A202" t="s">
        <v>183</v>
      </c>
      <c r="B202" t="s">
        <v>175</v>
      </c>
      <c r="C202">
        <v>7</v>
      </c>
      <c r="E202">
        <v>389</v>
      </c>
    </row>
    <row r="203" spans="1:7" x14ac:dyDescent="0.3">
      <c r="A203" t="s">
        <v>184</v>
      </c>
      <c r="B203" t="s">
        <v>175</v>
      </c>
      <c r="C203">
        <v>8</v>
      </c>
      <c r="E203">
        <v>389</v>
      </c>
    </row>
    <row r="204" spans="1:7" x14ac:dyDescent="0.3">
      <c r="A204" t="s">
        <v>185</v>
      </c>
      <c r="B204" t="s">
        <v>175</v>
      </c>
      <c r="C204">
        <v>9</v>
      </c>
      <c r="E204">
        <v>389</v>
      </c>
    </row>
    <row r="205" spans="1:7" x14ac:dyDescent="0.3">
      <c r="A205" t="s">
        <v>186</v>
      </c>
      <c r="B205" t="s">
        <v>175</v>
      </c>
      <c r="C205">
        <v>10</v>
      </c>
      <c r="E205">
        <v>389</v>
      </c>
    </row>
    <row r="206" spans="1:7" x14ac:dyDescent="0.3">
      <c r="A206" t="s">
        <v>187</v>
      </c>
      <c r="B206" t="s">
        <v>175</v>
      </c>
      <c r="C206">
        <v>11</v>
      </c>
      <c r="E206">
        <v>389</v>
      </c>
    </row>
    <row r="207" spans="1:7" x14ac:dyDescent="0.3">
      <c r="A207" t="s">
        <v>188</v>
      </c>
      <c r="B207" t="s">
        <v>175</v>
      </c>
      <c r="C207">
        <v>12</v>
      </c>
      <c r="E207">
        <v>389</v>
      </c>
    </row>
    <row r="208" spans="1:7" x14ac:dyDescent="0.3">
      <c r="A208" t="s">
        <v>189</v>
      </c>
      <c r="B208" t="s">
        <v>175</v>
      </c>
      <c r="C208">
        <v>13</v>
      </c>
      <c r="E208">
        <v>389</v>
      </c>
    </row>
    <row r="209" spans="1:9" x14ac:dyDescent="0.3">
      <c r="A209" t="s">
        <v>190</v>
      </c>
      <c r="B209" t="s">
        <v>175</v>
      </c>
      <c r="C209">
        <v>14</v>
      </c>
      <c r="E209">
        <v>389</v>
      </c>
    </row>
    <row r="210" spans="1:9" x14ac:dyDescent="0.3">
      <c r="A210" t="s">
        <v>191</v>
      </c>
      <c r="B210" t="s">
        <v>175</v>
      </c>
      <c r="C210">
        <v>15</v>
      </c>
      <c r="E210">
        <v>389</v>
      </c>
    </row>
    <row r="211" spans="1:9" x14ac:dyDescent="0.3">
      <c r="A211" t="s">
        <v>193</v>
      </c>
      <c r="B211" t="s">
        <v>192</v>
      </c>
      <c r="D211" t="s">
        <v>27</v>
      </c>
      <c r="E211">
        <v>389</v>
      </c>
    </row>
    <row r="212" spans="1:9" x14ac:dyDescent="0.3">
      <c r="A212" t="s">
        <v>194</v>
      </c>
      <c r="B212" t="s">
        <v>192</v>
      </c>
      <c r="C212">
        <v>1</v>
      </c>
      <c r="E212">
        <v>389</v>
      </c>
    </row>
    <row r="213" spans="1:9" x14ac:dyDescent="0.3">
      <c r="A213" t="s">
        <v>193</v>
      </c>
      <c r="B213" t="s">
        <v>192</v>
      </c>
      <c r="D213" t="s">
        <v>24</v>
      </c>
      <c r="E213">
        <v>389</v>
      </c>
    </row>
    <row r="214" spans="1:9" x14ac:dyDescent="0.3">
      <c r="A214" t="s">
        <v>195</v>
      </c>
      <c r="B214" t="s">
        <v>192</v>
      </c>
      <c r="C214">
        <v>2</v>
      </c>
      <c r="E214">
        <v>389</v>
      </c>
    </row>
    <row r="215" spans="1:9" x14ac:dyDescent="0.3">
      <c r="A215" t="s">
        <v>196</v>
      </c>
      <c r="B215" t="s">
        <v>192</v>
      </c>
      <c r="C215">
        <v>3</v>
      </c>
      <c r="E215">
        <v>389</v>
      </c>
      <c r="H215">
        <v>301</v>
      </c>
      <c r="I215" t="s">
        <v>3</v>
      </c>
    </row>
    <row r="216" spans="1:9" x14ac:dyDescent="0.3">
      <c r="A216" t="s">
        <v>197</v>
      </c>
      <c r="B216" t="s">
        <v>192</v>
      </c>
      <c r="C216">
        <v>4</v>
      </c>
      <c r="E216">
        <v>389</v>
      </c>
    </row>
    <row r="217" spans="1:9" x14ac:dyDescent="0.3">
      <c r="A217" t="s">
        <v>198</v>
      </c>
      <c r="B217" t="s">
        <v>192</v>
      </c>
      <c r="C217">
        <v>5</v>
      </c>
      <c r="E217">
        <v>389</v>
      </c>
      <c r="F217">
        <v>34</v>
      </c>
      <c r="G217">
        <v>32</v>
      </c>
    </row>
    <row r="218" spans="1:9" x14ac:dyDescent="0.3">
      <c r="A218" t="s">
        <v>199</v>
      </c>
      <c r="B218" t="s">
        <v>192</v>
      </c>
      <c r="C218">
        <v>6</v>
      </c>
      <c r="E218">
        <v>389</v>
      </c>
    </row>
    <row r="219" spans="1:9" x14ac:dyDescent="0.3">
      <c r="A219" t="s">
        <v>200</v>
      </c>
      <c r="B219" t="s">
        <v>192</v>
      </c>
      <c r="C219">
        <v>7</v>
      </c>
      <c r="E219">
        <v>389</v>
      </c>
    </row>
    <row r="220" spans="1:9" x14ac:dyDescent="0.3">
      <c r="A220" t="s">
        <v>201</v>
      </c>
      <c r="B220" t="s">
        <v>192</v>
      </c>
      <c r="C220">
        <v>8</v>
      </c>
      <c r="E220">
        <v>389</v>
      </c>
    </row>
    <row r="221" spans="1:9" x14ac:dyDescent="0.3">
      <c r="A221" t="s">
        <v>202</v>
      </c>
      <c r="B221" t="s">
        <v>192</v>
      </c>
      <c r="C221">
        <v>9</v>
      </c>
      <c r="E221">
        <v>389</v>
      </c>
    </row>
    <row r="222" spans="1:9" x14ac:dyDescent="0.3">
      <c r="A222" t="s">
        <v>203</v>
      </c>
      <c r="B222" t="s">
        <v>192</v>
      </c>
      <c r="C222">
        <v>10</v>
      </c>
      <c r="E222">
        <v>389</v>
      </c>
    </row>
    <row r="223" spans="1:9" x14ac:dyDescent="0.3">
      <c r="A223" t="s">
        <v>204</v>
      </c>
      <c r="B223" t="s">
        <v>192</v>
      </c>
      <c r="C223">
        <v>11</v>
      </c>
      <c r="E223">
        <v>389</v>
      </c>
    </row>
    <row r="224" spans="1:9" x14ac:dyDescent="0.3">
      <c r="A224" t="s">
        <v>205</v>
      </c>
      <c r="B224" t="s">
        <v>192</v>
      </c>
      <c r="C224">
        <v>12</v>
      </c>
      <c r="E224">
        <v>389</v>
      </c>
    </row>
    <row r="225" spans="1:9" x14ac:dyDescent="0.3">
      <c r="A225" t="s">
        <v>206</v>
      </c>
      <c r="B225" t="s">
        <v>192</v>
      </c>
      <c r="C225">
        <v>13</v>
      </c>
      <c r="E225">
        <v>389</v>
      </c>
    </row>
    <row r="226" spans="1:9" x14ac:dyDescent="0.3">
      <c r="A226" t="s">
        <v>207</v>
      </c>
      <c r="B226" t="s">
        <v>192</v>
      </c>
      <c r="C226">
        <v>14</v>
      </c>
      <c r="E226">
        <v>389</v>
      </c>
    </row>
    <row r="227" spans="1:9" x14ac:dyDescent="0.3">
      <c r="A227" t="s">
        <v>208</v>
      </c>
      <c r="B227" t="s">
        <v>192</v>
      </c>
      <c r="C227">
        <v>15</v>
      </c>
      <c r="E227">
        <v>389</v>
      </c>
    </row>
    <row r="228" spans="1:9" x14ac:dyDescent="0.3">
      <c r="A228" t="s">
        <v>193</v>
      </c>
      <c r="B228" t="s">
        <v>192</v>
      </c>
      <c r="D228" t="s">
        <v>27</v>
      </c>
      <c r="E228">
        <v>389</v>
      </c>
    </row>
    <row r="229" spans="1:9" x14ac:dyDescent="0.3">
      <c r="A229" t="s">
        <v>194</v>
      </c>
      <c r="B229" t="s">
        <v>192</v>
      </c>
      <c r="C229">
        <v>1</v>
      </c>
      <c r="E229">
        <v>389</v>
      </c>
    </row>
    <row r="230" spans="1:9" x14ac:dyDescent="0.3">
      <c r="A230" t="s">
        <v>193</v>
      </c>
      <c r="B230" t="s">
        <v>192</v>
      </c>
      <c r="D230" t="s">
        <v>24</v>
      </c>
      <c r="E230">
        <v>389</v>
      </c>
    </row>
    <row r="231" spans="1:9" x14ac:dyDescent="0.3">
      <c r="A231" t="s">
        <v>195</v>
      </c>
      <c r="B231" t="s">
        <v>192</v>
      </c>
      <c r="C231">
        <v>2</v>
      </c>
      <c r="E231">
        <v>389</v>
      </c>
    </row>
    <row r="232" spans="1:9" x14ac:dyDescent="0.3">
      <c r="A232" t="s">
        <v>196</v>
      </c>
      <c r="B232" t="s">
        <v>192</v>
      </c>
      <c r="C232">
        <v>3</v>
      </c>
      <c r="E232">
        <v>389</v>
      </c>
      <c r="H232">
        <v>301</v>
      </c>
      <c r="I232" t="s">
        <v>3</v>
      </c>
    </row>
    <row r="233" spans="1:9" x14ac:dyDescent="0.3">
      <c r="A233" t="s">
        <v>197</v>
      </c>
      <c r="B233" t="s">
        <v>192</v>
      </c>
      <c r="C233">
        <v>4</v>
      </c>
      <c r="E233">
        <v>389</v>
      </c>
    </row>
    <row r="234" spans="1:9" x14ac:dyDescent="0.3">
      <c r="A234" t="s">
        <v>198</v>
      </c>
      <c r="B234" t="s">
        <v>192</v>
      </c>
      <c r="C234">
        <v>5</v>
      </c>
      <c r="E234">
        <v>389</v>
      </c>
      <c r="F234">
        <v>34</v>
      </c>
      <c r="G234">
        <v>32</v>
      </c>
    </row>
    <row r="235" spans="1:9" x14ac:dyDescent="0.3">
      <c r="A235" t="s">
        <v>199</v>
      </c>
      <c r="B235" t="s">
        <v>192</v>
      </c>
      <c r="C235">
        <v>6</v>
      </c>
      <c r="E235">
        <v>389</v>
      </c>
    </row>
    <row r="236" spans="1:9" x14ac:dyDescent="0.3">
      <c r="A236" t="s">
        <v>200</v>
      </c>
      <c r="B236" t="s">
        <v>192</v>
      </c>
      <c r="C236">
        <v>7</v>
      </c>
      <c r="E236">
        <v>389</v>
      </c>
    </row>
    <row r="237" spans="1:9" x14ac:dyDescent="0.3">
      <c r="A237" t="s">
        <v>201</v>
      </c>
      <c r="B237" t="s">
        <v>192</v>
      </c>
      <c r="C237">
        <v>8</v>
      </c>
      <c r="E237">
        <v>389</v>
      </c>
    </row>
    <row r="238" spans="1:9" x14ac:dyDescent="0.3">
      <c r="A238" t="s">
        <v>202</v>
      </c>
      <c r="B238" t="s">
        <v>192</v>
      </c>
      <c r="C238">
        <v>9</v>
      </c>
      <c r="E238">
        <v>389</v>
      </c>
    </row>
    <row r="239" spans="1:9" x14ac:dyDescent="0.3">
      <c r="A239" t="s">
        <v>203</v>
      </c>
      <c r="B239" t="s">
        <v>192</v>
      </c>
      <c r="C239">
        <v>10</v>
      </c>
      <c r="E239">
        <v>389</v>
      </c>
    </row>
    <row r="240" spans="1:9" x14ac:dyDescent="0.3">
      <c r="A240" t="s">
        <v>204</v>
      </c>
      <c r="B240" t="s">
        <v>192</v>
      </c>
      <c r="C240">
        <v>11</v>
      </c>
      <c r="E240">
        <v>389</v>
      </c>
    </row>
    <row r="241" spans="1:5" x14ac:dyDescent="0.3">
      <c r="A241" t="s">
        <v>205</v>
      </c>
      <c r="B241" t="s">
        <v>192</v>
      </c>
      <c r="C241">
        <v>12</v>
      </c>
      <c r="E241">
        <v>389</v>
      </c>
    </row>
    <row r="242" spans="1:5" x14ac:dyDescent="0.3">
      <c r="A242" t="s">
        <v>206</v>
      </c>
      <c r="B242" t="s">
        <v>192</v>
      </c>
      <c r="C242">
        <v>13</v>
      </c>
      <c r="E242">
        <v>389</v>
      </c>
    </row>
    <row r="243" spans="1:5" x14ac:dyDescent="0.3">
      <c r="A243" t="s">
        <v>207</v>
      </c>
      <c r="B243" t="s">
        <v>192</v>
      </c>
      <c r="C243">
        <v>14</v>
      </c>
      <c r="E243">
        <v>389</v>
      </c>
    </row>
    <row r="244" spans="1:5" x14ac:dyDescent="0.3">
      <c r="A244" t="s">
        <v>208</v>
      </c>
      <c r="B244" t="s">
        <v>192</v>
      </c>
      <c r="C244">
        <v>15</v>
      </c>
      <c r="E244">
        <v>389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2023-03-27T11:44:28Z</dcterms:modified>
</cp:coreProperties>
</file>