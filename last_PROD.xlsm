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C8AC499F-E9A8-4F49-96A0-B9A3488F82CA}" xr6:coauthVersionLast="47" xr6:coauthVersionMax="47" xr10:uidLastSave="{00000000-0000-0000-0000-000000000000}"/>
  <bookViews>
    <workbookView xWindow="1185" yWindow="840" windowWidth="27090" windowHeight="14565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4" i="1" l="1"/>
  <c r="AJ38" i="1" s="1"/>
  <c r="AW70" i="1"/>
  <c r="AV70" i="1"/>
  <c r="AW69" i="1"/>
  <c r="AU69" i="1"/>
  <c r="AH33" i="1" l="1"/>
  <c r="AG32" i="1" l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AS56" i="1" l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A71" i="1"/>
  <c r="AX73" i="1" l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F79" i="1" l="1"/>
  <c r="AI79" i="1" s="1"/>
  <c r="AF77" i="1"/>
  <c r="AI77" i="1" s="1"/>
  <c r="AF75" i="1"/>
  <c r="AI75" i="1" s="1"/>
  <c r="AF81" i="1"/>
  <c r="AI81" i="1" s="1"/>
  <c r="AF74" i="1"/>
  <c r="AI74" i="1" s="1"/>
  <c r="AF76" i="1"/>
  <c r="AI76" i="1" s="1"/>
  <c r="AF82" i="1"/>
  <c r="AI82" i="1" s="1"/>
  <c r="AF78" i="1"/>
  <c r="AI78" i="1" s="1"/>
  <c r="AF80" i="1"/>
  <c r="AI80" i="1" s="1"/>
  <c r="AF73" i="1"/>
  <c r="AI73" i="1" s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BZ78" i="1" l="1"/>
  <c r="CB78" i="1"/>
  <c r="BZ82" i="1"/>
  <c r="CB82" i="1"/>
  <c r="BZ76" i="1"/>
  <c r="CB76" i="1"/>
  <c r="BZ74" i="1"/>
  <c r="CB74" i="1"/>
  <c r="BZ81" i="1"/>
  <c r="CB81" i="1"/>
  <c r="BZ75" i="1"/>
  <c r="CB75" i="1"/>
  <c r="BZ73" i="1"/>
  <c r="CB73" i="1"/>
  <c r="BZ77" i="1"/>
  <c r="CB77" i="1"/>
  <c r="BZ80" i="1"/>
  <c r="CB80" i="1"/>
  <c r="BZ79" i="1"/>
  <c r="CB79" i="1"/>
  <c r="AI68" i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G76" i="1" l="1"/>
  <c r="CE76" i="1"/>
  <c r="CH76" i="1"/>
  <c r="CF76" i="1"/>
  <c r="CI75" i="1"/>
  <c r="CA75" i="1"/>
  <c r="CI82" i="1"/>
  <c r="CA82" i="1"/>
  <c r="CI73" i="1"/>
  <c r="CA73" i="1"/>
  <c r="CI76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I79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I77" i="1"/>
  <c r="CA77" i="1"/>
  <c r="CI74" i="1"/>
  <c r="CA74" i="1"/>
  <c r="CH73" i="1"/>
  <c r="CE73" i="1"/>
  <c r="CF73" i="1"/>
  <c r="CG73" i="1"/>
  <c r="CI80" i="1"/>
  <c r="CA80" i="1"/>
  <c r="CI81" i="1"/>
  <c r="CA81" i="1"/>
  <c r="CI78" i="1"/>
  <c r="CA78" i="1"/>
  <c r="CB69" i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19" authorId="0" shapeId="0" xr:uid="{AB0D7F8E-C1B4-49DB-BDDC-4E30E00C292B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 xr:uid="{2E883339-99B1-4914-AF3E-5480AADA8800}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</commentList>
</comments>
</file>

<file path=xl/sharedStrings.xml><?xml version="1.0" encoding="utf-8"?>
<sst xmlns="http://schemas.openxmlformats.org/spreadsheetml/2006/main" count="286" uniqueCount="137">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</sst>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132527</xdr:rowOff>
    </xdr:from>
    <xdr:to>
      <xdr:col>51</xdr:col>
      <xdr:colOff>1</xdr:colOff>
      <xdr:row>20</xdr:row>
      <xdr:rowOff>99394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0941326" y="323027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K7"/>
  <sheetViews>
    <sheetView workbookViewId="0">
      <selection activeCell="G6" sqref="G6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1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</row>
    <row r="2" spans="1:11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</row>
    <row r="3" spans="1:11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</row>
    <row r="4" spans="1:11" x14ac:dyDescent="0.25">
      <c r="A4" t="s">
        <v>53</v>
      </c>
      <c r="C4" t="s">
        <v>57</v>
      </c>
      <c r="G4" t="s">
        <v>94</v>
      </c>
    </row>
    <row r="5" spans="1:11" x14ac:dyDescent="0.25">
      <c r="A5" t="s">
        <v>91</v>
      </c>
      <c r="C5" t="s">
        <v>58</v>
      </c>
      <c r="G5" t="s">
        <v>95</v>
      </c>
    </row>
    <row r="6" spans="1:11" x14ac:dyDescent="0.25">
      <c r="A6" t="s">
        <v>97</v>
      </c>
    </row>
    <row r="7" spans="1:11" x14ac:dyDescent="0.25">
      <c r="A7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3"/>
  <sheetViews>
    <sheetView tabSelected="1" topLeftCell="Y18" zoomScale="115" zoomScaleNormal="115" workbookViewId="0">
      <selection activeCell="AJ33" sqref="AJ33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75" t="s">
        <v>66</v>
      </c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10"/>
      <c r="AX19" s="11"/>
      <c r="BA19" s="72"/>
    </row>
    <row r="20" spans="33:103" ht="14.45" customHeight="1" x14ac:dyDescent="0.25">
      <c r="AG20" s="9"/>
      <c r="AH20" s="10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10"/>
      <c r="AX20" s="11"/>
      <c r="AZ20" s="69" t="s">
        <v>135</v>
      </c>
      <c r="BA20" s="72"/>
    </row>
    <row r="21" spans="33:103" ht="14.45" customHeight="1" x14ac:dyDescent="0.25">
      <c r="AG21" s="9"/>
      <c r="AH21" s="10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10"/>
      <c r="AX21" s="11"/>
      <c r="AZ21" s="69"/>
    </row>
    <row r="22" spans="33:103" ht="14.45" customHeight="1" x14ac:dyDescent="0.25">
      <c r="AG22" s="9"/>
      <c r="AH22" s="10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10"/>
      <c r="AX22" s="11"/>
      <c r="AZ22" s="69" t="s">
        <v>133</v>
      </c>
      <c r="BA22" s="72"/>
    </row>
    <row r="23" spans="33:103" ht="15" customHeight="1" thickBot="1" x14ac:dyDescent="0.3">
      <c r="AG23" s="9"/>
      <c r="AH23" s="10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10"/>
      <c r="AX23" s="11"/>
      <c r="BA23" s="72"/>
    </row>
    <row r="24" spans="33:103" ht="15" customHeight="1" thickTop="1" x14ac:dyDescent="0.25">
      <c r="AG24" s="9"/>
      <c r="AH24" s="9"/>
      <c r="AI24" s="12"/>
      <c r="AJ24" s="9"/>
      <c r="AK24" s="79" t="s">
        <v>65</v>
      </c>
      <c r="AL24" s="79"/>
      <c r="AM24" s="79"/>
      <c r="AN24" s="79"/>
      <c r="AO24" s="79"/>
      <c r="AP24" s="79"/>
      <c r="AQ24" s="79"/>
      <c r="AR24" s="79"/>
      <c r="AS24" s="79"/>
      <c r="AT24" s="79"/>
      <c r="AU24" s="9"/>
      <c r="AV24" s="9"/>
      <c r="AW24" s="9"/>
      <c r="AX24" s="11"/>
    </row>
    <row r="25" spans="33:103" ht="14.45" customHeight="1" x14ac:dyDescent="0.25">
      <c r="AG25" s="9"/>
      <c r="AH25" s="78" t="s">
        <v>67</v>
      </c>
      <c r="AI25" s="78"/>
      <c r="AJ25" s="78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9"/>
      <c r="AV25" s="9"/>
      <c r="AW25" s="9"/>
      <c r="AX25" s="11"/>
      <c r="AZ25" s="69" t="s">
        <v>134</v>
      </c>
    </row>
    <row r="26" spans="33:103" ht="14.45" customHeight="1" x14ac:dyDescent="0.25">
      <c r="AG26" s="9"/>
      <c r="AH26" s="77" t="s">
        <v>68</v>
      </c>
      <c r="AI26" s="77"/>
      <c r="AJ26" s="77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9"/>
      <c r="AV26" s="9"/>
      <c r="AW26" s="9"/>
      <c r="AX26" s="11"/>
      <c r="AZ26" s="69"/>
    </row>
    <row r="27" spans="33:103" ht="14.45" customHeight="1" thickBot="1" x14ac:dyDescent="0.3">
      <c r="AG27" s="9"/>
      <c r="AH27" s="9"/>
      <c r="AI27" s="12"/>
      <c r="AJ27" s="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8" t="s">
        <v>69</v>
      </c>
      <c r="AV27" s="78"/>
      <c r="AW27" s="78"/>
      <c r="AX27" s="11"/>
      <c r="AZ27" s="69" t="s">
        <v>132</v>
      </c>
    </row>
    <row r="28" spans="33:103" ht="16.5" thickTop="1" thickBot="1" x14ac:dyDescent="0.3">
      <c r="AG28" s="9"/>
      <c r="AH28" s="80" t="str">
        <f>_data!$E$2</f>
        <v>SD QU 08 14 rev 1</v>
      </c>
      <c r="AI28" s="81"/>
      <c r="AJ28" s="82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7" t="s">
        <v>70</v>
      </c>
      <c r="AV28" s="77"/>
      <c r="AW28" s="77"/>
      <c r="AX28" s="11"/>
      <c r="AZ28" s="69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9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9"/>
    </row>
    <row r="31" spans="33:103" x14ac:dyDescent="0.25">
      <c r="AY31" s="2"/>
      <c r="AZ31" s="70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73" t="s">
        <v>61</v>
      </c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U32" s="9"/>
      <c r="AV32" s="13" t="s">
        <v>63</v>
      </c>
      <c r="AW32" s="9"/>
      <c r="AY32" s="15"/>
      <c r="AZ32" s="71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/>
      </c>
      <c r="AU33" s="74"/>
      <c r="AV33" s="74"/>
      <c r="AW33" s="74"/>
      <c r="AZ33" s="69"/>
      <c r="BZ33" s="2" t="str">
        <f>CONCATENATE(AK33,"_",AS33,"_",MID(AJ34,1,1),"_",AJ35)</f>
        <v>___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0</v>
      </c>
      <c r="CE33" s="2" t="str">
        <f>AS33</f>
        <v/>
      </c>
      <c r="CF33" s="2">
        <f>AL34</f>
        <v>0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b">
        <f>AW42</f>
        <v>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/>
      <c r="AK34" s="15" t="s">
        <v>93</v>
      </c>
      <c r="AL34" s="45"/>
      <c r="AM34" s="36"/>
      <c r="AN34" s="36" t="str">
        <f>IF(RIGHT(AL34,1)="2","laine nappe",IF(RIGHT(AL34,1)="g","laine vrac",""))</f>
        <v/>
      </c>
      <c r="AQ34" s="18" t="str">
        <f>IFERROR(CONCATENATE("normal : ",HLOOKUP(PROD!AL34,_produits!A1:E8,8,FALSE)),"")</f>
        <v/>
      </c>
      <c r="AR34" s="15" t="s">
        <v>60</v>
      </c>
      <c r="AS34" s="3"/>
      <c r="AU34" s="74"/>
      <c r="AV34" s="74"/>
      <c r="AW34" s="74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/>
      </c>
      <c r="AR35" s="15" t="s">
        <v>62</v>
      </c>
      <c r="AS35" s="41"/>
      <c r="AU35" s="74"/>
      <c r="AV35" s="74"/>
      <c r="AW35" s="74"/>
    </row>
    <row r="36" spans="18:104" x14ac:dyDescent="0.25">
      <c r="AI36" s="14" t="s">
        <v>41</v>
      </c>
      <c r="AJ36" s="41"/>
      <c r="AK36" s="19">
        <f>AJ36/60/24</f>
        <v>0</v>
      </c>
      <c r="AQ36" s="1" t="s">
        <v>98</v>
      </c>
      <c r="AU36" s="74"/>
      <c r="AV36" s="74"/>
      <c r="AW36" s="74"/>
    </row>
    <row r="37" spans="18:104" x14ac:dyDescent="0.25">
      <c r="AJ37" s="64" t="s">
        <v>64</v>
      </c>
    </row>
    <row r="38" spans="18:104" x14ac:dyDescent="0.25">
      <c r="AJ38" s="83" t="str">
        <f>IF(AL34="","Sélectionner la production à démarrer &amp; remplir les cases jaunes",IF(AN34="laine vrac","Droite/Gauche s'entendent dos au tambour",""))</f>
        <v>Sélectionner la production à démarrer &amp; remplir les cases jaunes</v>
      </c>
      <c r="AK38" s="83"/>
      <c r="AL38" s="83"/>
      <c r="AM38" s="83"/>
      <c r="AN38" s="83"/>
      <c r="AO38" s="83"/>
      <c r="AP38" s="83"/>
      <c r="AQ38" s="83"/>
      <c r="AR38" s="83"/>
      <c r="AS38" s="85"/>
      <c r="AT38" s="84" t="s">
        <v>136</v>
      </c>
      <c r="AU38" s="84"/>
      <c r="AV38" s="84"/>
      <c r="AW38" s="84"/>
    </row>
    <row r="39" spans="18:104" x14ac:dyDescent="0.25">
      <c r="AJ39" s="83"/>
      <c r="AK39" s="83"/>
      <c r="AL39" s="83"/>
      <c r="AM39" s="83"/>
      <c r="AN39" s="83"/>
      <c r="AO39" s="83"/>
      <c r="AP39" s="83"/>
      <c r="AQ39" s="83"/>
      <c r="AR39" s="83"/>
      <c r="AS39" s="85"/>
      <c r="AT39" s="84"/>
      <c r="AU39" s="84"/>
      <c r="AV39" s="84"/>
      <c r="AW39" s="84"/>
    </row>
    <row r="40" spans="18:104" x14ac:dyDescent="0.2">
      <c r="AQ40" s="65" t="s">
        <v>17</v>
      </c>
      <c r="AR40" s="20"/>
      <c r="AS40" s="67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3" t="s">
        <v>21</v>
      </c>
      <c r="AK41" s="73"/>
      <c r="AL41" s="73"/>
      <c r="AM41" s="21"/>
      <c r="AN41" s="86" t="s">
        <v>115</v>
      </c>
      <c r="AO41" s="86"/>
      <c r="AQ41" s="66">
        <f>_qualité!B2</f>
        <v>22</v>
      </c>
      <c r="AR41" s="13" t="s">
        <v>10</v>
      </c>
      <c r="AS41" s="68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1048552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n/a</v>
      </c>
      <c r="AL42" s="13" t="s">
        <v>2</v>
      </c>
      <c r="AM42" s="2"/>
      <c r="AN42" s="50" t="s">
        <v>3</v>
      </c>
      <c r="AO42" s="63" t="s">
        <v>4</v>
      </c>
      <c r="AQ42" s="13"/>
      <c r="AR42" s="13" t="s">
        <v>11</v>
      </c>
      <c r="AS42" s="13" t="s">
        <v>12</v>
      </c>
      <c r="AU42" s="89" t="str">
        <f>IFERROR(AS58/AW42*100,"")</f>
        <v/>
      </c>
      <c r="AV42" s="89"/>
      <c r="AW42" s="22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62"/>
      <c r="AL43" s="3"/>
      <c r="AN43" s="30">
        <f>IF(AJ43="",IF(AK43="",AL43,AL43-AK43),0)</f>
        <v>0</v>
      </c>
      <c r="AO43" s="30">
        <f>IF(AJ43&lt;&gt;"",IF(AK43="",AL43,AL43-AK43),0)</f>
        <v>0</v>
      </c>
      <c r="AQ43" s="3"/>
      <c r="AR43" s="3"/>
      <c r="AS43" s="3"/>
      <c r="AT43" s="25" t="str">
        <f>IFERROR(AVERAGE(AR43:AS43),"")</f>
        <v/>
      </c>
      <c r="AU43" s="89"/>
      <c r="AV43" s="89"/>
      <c r="AW43" s="88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62"/>
      <c r="AL44" s="3"/>
      <c r="AN44" s="30">
        <f>IF(AJ44="",IF(AK44="",AL44,AL44-AK44),0)</f>
        <v>0</v>
      </c>
      <c r="AO44" s="30">
        <f>IF(AJ44&lt;&gt;"",IF(AK44="",AL44,AL44-AK44),0)</f>
        <v>0</v>
      </c>
      <c r="AQ44" s="3"/>
      <c r="AR44" s="3"/>
      <c r="AS44" s="3"/>
      <c r="AT44" s="25" t="str">
        <f t="shared" ref="AT44:AT47" si="9">IFERROR(AVERAGE(AR44:AS44),"")</f>
        <v/>
      </c>
      <c r="AU44" s="89"/>
      <c r="AV44" s="89"/>
      <c r="AW44" s="88"/>
      <c r="AX44" s="8" t="str">
        <f t="shared" si="4"/>
        <v/>
      </c>
      <c r="BK44" s="42"/>
      <c r="BZ44" s="2" t="str">
        <f t="shared" ref="BZ44:BZ82" si="10">IF(AL44&lt;&gt;"",IFERROR(CONCATENATE(AS$33,ROUNDUP(AI44,0),"_",AK$33,"_",MID(AJ$34,1,1)),CONCATENATE(AS$33,AI44,"_",AK$33,"_",MID(AJ$34,1,1))),"")</f>
        <v/>
      </c>
      <c r="CA44" s="2" t="str">
        <f t="shared" ref="CA44:CA82" si="11">IF(BZ44&lt;&gt;"",BZ$33,"")</f>
        <v/>
      </c>
      <c r="CB44" s="2" t="str">
        <f t="shared" ref="CB44:CB82" si="12">AI44</f>
        <v/>
      </c>
      <c r="CC44" s="2" t="str">
        <f t="shared" ref="CC44:CC82" si="13">IF(AJ44&lt;&gt;"",AJ44,"")</f>
        <v/>
      </c>
      <c r="CD44" s="2" t="str">
        <f t="shared" ref="CD44:CD82" si="14">IF(AL44&lt;&gt;"",AL44,"")</f>
        <v/>
      </c>
      <c r="CE44" s="2" t="str">
        <f t="shared" ref="CE44:CE82" si="15">IFERROR(VLOOKUP(CB44,$AQ$43:$AS$47,2,FALSE),"")</f>
        <v/>
      </c>
      <c r="CF44" s="2" t="str">
        <f t="shared" ref="CF44:CF82" si="16">IFERROR(VLOOKUP(CB44,$AQ$43:$AS$47,3,FALSE),"")</f>
        <v/>
      </c>
      <c r="CG44" s="2" t="str">
        <f t="shared" ref="CG44:CG82" si="17">IFERROR(VLOOKUP(CB44,$AQ$51:$AS$55,2,FALSE),"")</f>
        <v/>
      </c>
      <c r="CH44" s="2" t="str">
        <f t="shared" ref="CH44:CH82" si="18">IFERROR(VLOOKUP(CB44,$AQ$51:$AS$55,3,FALSE),"")</f>
        <v/>
      </c>
      <c r="CI44" s="2" t="str">
        <f t="shared" ref="CI44:CI82" si="19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0">IF(AND(AS$33="E",AL$34&lt;&gt;"E 50g"),"droite","")</f>
        <v/>
      </c>
      <c r="AI45" s="12" t="str">
        <f t="shared" si="8"/>
        <v/>
      </c>
      <c r="AJ45" s="38"/>
      <c r="AK45" s="62"/>
      <c r="AL45" s="3"/>
      <c r="AN45" s="30">
        <f>IF(AJ45="",IF(AK45="",AL45,AL45-AK45),0)</f>
        <v>0</v>
      </c>
      <c r="AO45" s="30">
        <f>IF(AJ45&lt;&gt;"",IF(AK45="",AL45,AL45-AK45),0)</f>
        <v>0</v>
      </c>
      <c r="AQ45" s="3"/>
      <c r="AR45" s="3"/>
      <c r="AS45" s="3"/>
      <c r="AT45" s="25" t="str">
        <f t="shared" si="9"/>
        <v/>
      </c>
      <c r="AU45" s="89"/>
      <c r="AV45" s="89"/>
      <c r="AW45" s="88"/>
      <c r="AX45" s="8" t="str">
        <f t="shared" si="4"/>
        <v/>
      </c>
      <c r="BK45" s="42"/>
      <c r="BZ45" s="2" t="str">
        <f t="shared" si="10"/>
        <v/>
      </c>
      <c r="CA45" s="2" t="str">
        <f t="shared" si="11"/>
        <v/>
      </c>
      <c r="CB45" s="2" t="str">
        <f t="shared" si="12"/>
        <v/>
      </c>
      <c r="CC45" s="2" t="str">
        <f t="shared" si="13"/>
        <v/>
      </c>
      <c r="CD45" s="2" t="str">
        <f t="shared" si="14"/>
        <v/>
      </c>
      <c r="CE45" s="2" t="str">
        <f t="shared" si="15"/>
        <v/>
      </c>
      <c r="CF45" s="2" t="str">
        <f t="shared" si="16"/>
        <v/>
      </c>
      <c r="CG45" s="2" t="str">
        <f t="shared" si="17"/>
        <v/>
      </c>
      <c r="CH45" s="2" t="str">
        <f t="shared" si="18"/>
        <v/>
      </c>
      <c r="CI45" s="2" t="str">
        <f t="shared" si="19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1">IF(AND(AS$33="E",AL$34&lt;&gt;"E 50g"),"gauche","")</f>
        <v/>
      </c>
      <c r="AI46" s="12" t="str">
        <f t="shared" si="8"/>
        <v/>
      </c>
      <c r="AJ46" s="38"/>
      <c r="AK46" s="62"/>
      <c r="AL46" s="3"/>
      <c r="AN46" s="30">
        <f t="shared" ref="AN46:AN51" si="22">IF(AJ46="",IF(AK46="",AL46,AL46-AK46),0)</f>
        <v>0</v>
      </c>
      <c r="AO46" s="30">
        <f t="shared" ref="AO46:AO51" si="23">IF(AJ46&lt;&gt;"",IF(AK46="",AL46,AL46-AK46),0)</f>
        <v>0</v>
      </c>
      <c r="AQ46" s="3"/>
      <c r="AR46" s="3"/>
      <c r="AS46" s="3"/>
      <c r="AT46" s="25" t="str">
        <f t="shared" si="9"/>
        <v/>
      </c>
      <c r="AU46" s="89"/>
      <c r="AV46" s="89"/>
      <c r="AW46" s="88"/>
      <c r="AX46" s="8" t="str">
        <f t="shared" si="4"/>
        <v/>
      </c>
      <c r="BK46" s="42"/>
      <c r="BZ46" s="2" t="str">
        <f t="shared" si="10"/>
        <v/>
      </c>
      <c r="CA46" s="2" t="str">
        <f t="shared" si="11"/>
        <v/>
      </c>
      <c r="CB46" s="2" t="str">
        <f t="shared" si="12"/>
        <v/>
      </c>
      <c r="CC46" s="2" t="str">
        <f t="shared" si="13"/>
        <v/>
      </c>
      <c r="CD46" s="2" t="str">
        <f t="shared" si="14"/>
        <v/>
      </c>
      <c r="CE46" s="2" t="str">
        <f t="shared" si="15"/>
        <v/>
      </c>
      <c r="CF46" s="2" t="str">
        <f t="shared" si="16"/>
        <v/>
      </c>
      <c r="CG46" s="2" t="str">
        <f t="shared" si="17"/>
        <v/>
      </c>
      <c r="CH46" s="2" t="str">
        <f t="shared" si="18"/>
        <v/>
      </c>
      <c r="CI46" s="2" t="str">
        <f t="shared" si="19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62"/>
      <c r="AL47" s="3"/>
      <c r="AN47" s="30">
        <f t="shared" si="22"/>
        <v>0</v>
      </c>
      <c r="AO47" s="30">
        <f t="shared" si="23"/>
        <v>0</v>
      </c>
      <c r="AQ47" s="3"/>
      <c r="AR47" s="3"/>
      <c r="AS47" s="3"/>
      <c r="AT47" s="25" t="str">
        <f t="shared" si="9"/>
        <v/>
      </c>
      <c r="AU47" s="89"/>
      <c r="AV47" s="89"/>
      <c r="AW47" s="88"/>
      <c r="AX47" s="8" t="str">
        <f t="shared" si="4"/>
        <v/>
      </c>
      <c r="BK47" s="42"/>
      <c r="BZ47" s="2" t="str">
        <f t="shared" si="10"/>
        <v/>
      </c>
      <c r="CA47" s="2" t="str">
        <f t="shared" si="11"/>
        <v/>
      </c>
      <c r="CB47" s="2" t="str">
        <f t="shared" si="12"/>
        <v/>
      </c>
      <c r="CC47" s="2" t="str">
        <f t="shared" si="13"/>
        <v/>
      </c>
      <c r="CD47" s="2" t="str">
        <f t="shared" si="14"/>
        <v/>
      </c>
      <c r="CE47" s="2" t="str">
        <f t="shared" si="15"/>
        <v/>
      </c>
      <c r="CF47" s="2" t="str">
        <f t="shared" si="16"/>
        <v/>
      </c>
      <c r="CG47" s="2" t="str">
        <f t="shared" si="17"/>
        <v/>
      </c>
      <c r="CH47" s="2" t="str">
        <f t="shared" si="18"/>
        <v/>
      </c>
      <c r="CI47" s="2" t="str">
        <f t="shared" si="19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62"/>
      <c r="AL48" s="3"/>
      <c r="AN48" s="30">
        <f t="shared" si="22"/>
        <v>0</v>
      </c>
      <c r="AO48" s="30">
        <f t="shared" si="23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0"/>
        <v/>
      </c>
      <c r="CA48" s="2" t="str">
        <f t="shared" si="11"/>
        <v/>
      </c>
      <c r="CB48" s="2" t="str">
        <f t="shared" si="12"/>
        <v/>
      </c>
      <c r="CC48" s="2" t="str">
        <f t="shared" si="13"/>
        <v/>
      </c>
      <c r="CD48" s="2" t="str">
        <f t="shared" si="14"/>
        <v/>
      </c>
      <c r="CE48" s="2" t="str">
        <f t="shared" si="15"/>
        <v/>
      </c>
      <c r="CF48" s="2" t="str">
        <f t="shared" si="16"/>
        <v/>
      </c>
      <c r="CG48" s="2" t="str">
        <f t="shared" si="17"/>
        <v/>
      </c>
      <c r="CH48" s="2" t="str">
        <f t="shared" si="18"/>
        <v/>
      </c>
      <c r="CI48" s="2" t="str">
        <f t="shared" si="19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62"/>
      <c r="AL49" s="3"/>
      <c r="AN49" s="30">
        <f t="shared" si="22"/>
        <v>0</v>
      </c>
      <c r="AO49" s="30">
        <f t="shared" si="23"/>
        <v>0</v>
      </c>
      <c r="AQ49" s="66" t="str">
        <f>AV62</f>
        <v/>
      </c>
      <c r="AR49" s="13" t="s">
        <v>13</v>
      </c>
      <c r="AS49" s="68" t="str">
        <f>AV63</f>
        <v/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0"/>
        <v/>
      </c>
      <c r="CA49" s="2" t="str">
        <f t="shared" si="11"/>
        <v/>
      </c>
      <c r="CB49" s="2" t="str">
        <f t="shared" si="12"/>
        <v/>
      </c>
      <c r="CC49" s="2" t="str">
        <f t="shared" si="13"/>
        <v/>
      </c>
      <c r="CD49" s="2" t="str">
        <f t="shared" si="14"/>
        <v/>
      </c>
      <c r="CE49" s="2" t="str">
        <f t="shared" si="15"/>
        <v/>
      </c>
      <c r="CF49" s="2" t="str">
        <f t="shared" si="16"/>
        <v/>
      </c>
      <c r="CG49" s="2" t="str">
        <f t="shared" si="17"/>
        <v/>
      </c>
      <c r="CH49" s="2" t="str">
        <f t="shared" si="18"/>
        <v/>
      </c>
      <c r="CI49" s="2" t="str">
        <f t="shared" si="19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62"/>
      <c r="AL50" s="3"/>
      <c r="AN50" s="30">
        <f t="shared" si="22"/>
        <v>0</v>
      </c>
      <c r="AO50" s="30">
        <f t="shared" si="23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0"/>
        <v/>
      </c>
      <c r="CA50" s="2" t="str">
        <f t="shared" si="11"/>
        <v/>
      </c>
      <c r="CB50" s="2" t="str">
        <f t="shared" si="12"/>
        <v/>
      </c>
      <c r="CC50" s="2" t="str">
        <f t="shared" si="13"/>
        <v/>
      </c>
      <c r="CD50" s="2" t="str">
        <f t="shared" si="14"/>
        <v/>
      </c>
      <c r="CE50" s="2" t="str">
        <f t="shared" si="15"/>
        <v/>
      </c>
      <c r="CF50" s="2" t="str">
        <f t="shared" si="16"/>
        <v/>
      </c>
      <c r="CG50" s="2" t="str">
        <f t="shared" si="17"/>
        <v/>
      </c>
      <c r="CH50" s="2" t="str">
        <f t="shared" si="18"/>
        <v/>
      </c>
      <c r="CI50" s="2" t="str">
        <f t="shared" si="19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62"/>
      <c r="AL51" s="3"/>
      <c r="AN51" s="30">
        <f t="shared" si="22"/>
        <v>0</v>
      </c>
      <c r="AO51" s="30">
        <f t="shared" si="23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0"/>
        <v/>
      </c>
      <c r="CA51" s="2" t="str">
        <f t="shared" si="11"/>
        <v/>
      </c>
      <c r="CB51" s="2" t="str">
        <f t="shared" si="12"/>
        <v/>
      </c>
      <c r="CC51" s="2" t="str">
        <f t="shared" si="13"/>
        <v/>
      </c>
      <c r="CD51" s="2" t="str">
        <f t="shared" si="14"/>
        <v/>
      </c>
      <c r="CE51" s="2" t="str">
        <f t="shared" si="15"/>
        <v/>
      </c>
      <c r="CF51" s="2" t="str">
        <f t="shared" si="16"/>
        <v/>
      </c>
      <c r="CG51" s="2" t="str">
        <f t="shared" si="17"/>
        <v/>
      </c>
      <c r="CH51" s="2" t="str">
        <f t="shared" si="18"/>
        <v/>
      </c>
      <c r="CI51" s="2" t="str">
        <f t="shared" si="19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62"/>
      <c r="AL52" s="3"/>
      <c r="AN52" s="30">
        <f t="shared" ref="AN52:AN73" si="32">IF(AJ52="",IF(AK52="",AL52,AL52-AK52),0)</f>
        <v>0</v>
      </c>
      <c r="AO52" s="30">
        <f t="shared" ref="AO52:AO73" si="33">IF(AJ52&lt;&gt;"",IF(AK52="",AL52,AL52-AK52),0)</f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0"/>
        <v/>
      </c>
      <c r="CA52" s="2" t="str">
        <f t="shared" si="11"/>
        <v/>
      </c>
      <c r="CB52" s="2" t="str">
        <f t="shared" si="12"/>
        <v/>
      </c>
      <c r="CC52" s="2" t="str">
        <f t="shared" si="13"/>
        <v/>
      </c>
      <c r="CD52" s="2" t="str">
        <f t="shared" si="14"/>
        <v/>
      </c>
      <c r="CE52" s="2" t="str">
        <f t="shared" si="15"/>
        <v/>
      </c>
      <c r="CF52" s="2" t="str">
        <f t="shared" si="16"/>
        <v/>
      </c>
      <c r="CG52" s="2" t="str">
        <f t="shared" si="17"/>
        <v/>
      </c>
      <c r="CH52" s="2" t="str">
        <f t="shared" si="18"/>
        <v/>
      </c>
      <c r="CI52" s="2" t="str">
        <f t="shared" si="19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4">IF(AND(AS$33="E",AL$34&lt;&gt;"E 50g"),"droite","")</f>
        <v/>
      </c>
      <c r="AI53" s="12" t="str">
        <f t="shared" si="8"/>
        <v/>
      </c>
      <c r="AJ53" s="38"/>
      <c r="AK53" s="62"/>
      <c r="AL53" s="3"/>
      <c r="AN53" s="30">
        <f t="shared" si="32"/>
        <v>0</v>
      </c>
      <c r="AO53" s="30">
        <f t="shared" si="33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0"/>
        <v/>
      </c>
      <c r="CA53" s="2" t="str">
        <f t="shared" si="11"/>
        <v/>
      </c>
      <c r="CB53" s="2" t="str">
        <f t="shared" si="12"/>
        <v/>
      </c>
      <c r="CC53" s="2" t="str">
        <f t="shared" si="13"/>
        <v/>
      </c>
      <c r="CD53" s="2" t="str">
        <f t="shared" si="14"/>
        <v/>
      </c>
      <c r="CE53" s="2" t="str">
        <f t="shared" si="15"/>
        <v/>
      </c>
      <c r="CF53" s="2" t="str">
        <f t="shared" si="16"/>
        <v/>
      </c>
      <c r="CG53" s="2" t="str">
        <f t="shared" si="17"/>
        <v/>
      </c>
      <c r="CH53" s="2" t="str">
        <f t="shared" si="18"/>
        <v/>
      </c>
      <c r="CI53" s="2" t="str">
        <f t="shared" si="19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5">IF(AND(AS$33="E",AL$34&lt;&gt;"E 50g"),"gauche","")</f>
        <v/>
      </c>
      <c r="AI54" s="12" t="str">
        <f t="shared" si="8"/>
        <v/>
      </c>
      <c r="AJ54" s="38"/>
      <c r="AK54" s="62"/>
      <c r="AL54" s="3"/>
      <c r="AN54" s="30">
        <f t="shared" si="32"/>
        <v>0</v>
      </c>
      <c r="AO54" s="30">
        <f t="shared" si="33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0"/>
        <v/>
      </c>
      <c r="CA54" s="2" t="str">
        <f t="shared" si="11"/>
        <v/>
      </c>
      <c r="CB54" s="2" t="str">
        <f t="shared" si="12"/>
        <v/>
      </c>
      <c r="CC54" s="2" t="str">
        <f t="shared" si="13"/>
        <v/>
      </c>
      <c r="CD54" s="2" t="str">
        <f t="shared" si="14"/>
        <v/>
      </c>
      <c r="CE54" s="2" t="str">
        <f t="shared" si="15"/>
        <v/>
      </c>
      <c r="CF54" s="2" t="str">
        <f t="shared" si="16"/>
        <v/>
      </c>
      <c r="CG54" s="2" t="str">
        <f t="shared" si="17"/>
        <v/>
      </c>
      <c r="CH54" s="2" t="str">
        <f t="shared" si="18"/>
        <v/>
      </c>
      <c r="CI54" s="2" t="str">
        <f t="shared" si="19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6">IF(AND(AS$33="E",AL$34&lt;&gt;"E 50g"),"droite","")</f>
        <v/>
      </c>
      <c r="AI55" s="12" t="str">
        <f t="shared" si="8"/>
        <v/>
      </c>
      <c r="AJ55" s="38"/>
      <c r="AK55" s="62"/>
      <c r="AL55" s="3"/>
      <c r="AN55" s="30">
        <f t="shared" si="32"/>
        <v>0</v>
      </c>
      <c r="AO55" s="30">
        <f t="shared" si="33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0"/>
        <v/>
      </c>
      <c r="CA55" s="2" t="str">
        <f t="shared" si="11"/>
        <v/>
      </c>
      <c r="CB55" s="2" t="str">
        <f t="shared" si="12"/>
        <v/>
      </c>
      <c r="CC55" s="2" t="str">
        <f t="shared" si="13"/>
        <v/>
      </c>
      <c r="CD55" s="2" t="str">
        <f t="shared" si="14"/>
        <v/>
      </c>
      <c r="CE55" s="2" t="str">
        <f t="shared" si="15"/>
        <v/>
      </c>
      <c r="CF55" s="2" t="str">
        <f t="shared" si="16"/>
        <v/>
      </c>
      <c r="CG55" s="2" t="str">
        <f t="shared" si="17"/>
        <v/>
      </c>
      <c r="CH55" s="2" t="str">
        <f t="shared" si="18"/>
        <v/>
      </c>
      <c r="CI55" s="2" t="str">
        <f t="shared" si="19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7">IF(AND(AS$33="E",AL$34&lt;&gt;"E 50g"),"gauche","")</f>
        <v/>
      </c>
      <c r="AI56" s="12" t="str">
        <f t="shared" si="8"/>
        <v/>
      </c>
      <c r="AJ56" s="38"/>
      <c r="AK56" s="62"/>
      <c r="AL56" s="3"/>
      <c r="AN56" s="30">
        <f t="shared" si="32"/>
        <v>0</v>
      </c>
      <c r="AO56" s="30">
        <f t="shared" si="33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0"/>
        <v/>
      </c>
      <c r="CA56" s="2" t="str">
        <f t="shared" si="11"/>
        <v/>
      </c>
      <c r="CB56" s="2" t="str">
        <f t="shared" si="12"/>
        <v/>
      </c>
      <c r="CC56" s="2" t="str">
        <f t="shared" si="13"/>
        <v/>
      </c>
      <c r="CD56" s="2" t="str">
        <f t="shared" si="14"/>
        <v/>
      </c>
      <c r="CE56" s="2" t="str">
        <f t="shared" si="15"/>
        <v/>
      </c>
      <c r="CF56" s="2" t="str">
        <f t="shared" si="16"/>
        <v/>
      </c>
      <c r="CG56" s="2" t="str">
        <f t="shared" si="17"/>
        <v/>
      </c>
      <c r="CH56" s="2" t="str">
        <f t="shared" si="18"/>
        <v/>
      </c>
      <c r="CI56" s="2" t="str">
        <f t="shared" si="19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8">IF(AND(AS$33="E",AL$34&lt;&gt;"E 50g"),"droite","")</f>
        <v/>
      </c>
      <c r="AI57" s="12" t="str">
        <f t="shared" si="8"/>
        <v/>
      </c>
      <c r="AJ57" s="38"/>
      <c r="AK57" s="62"/>
      <c r="AL57" s="3"/>
      <c r="AN57" s="30">
        <f t="shared" si="32"/>
        <v>0</v>
      </c>
      <c r="AO57" s="30">
        <f t="shared" si="33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Sélectionner une production</v>
      </c>
      <c r="AW57" s="22"/>
      <c r="AX57" s="8" t="str">
        <f t="shared" si="4"/>
        <v/>
      </c>
      <c r="BK57" s="42"/>
      <c r="BZ57" s="2" t="str">
        <f t="shared" si="10"/>
        <v/>
      </c>
      <c r="CA57" s="2" t="str">
        <f t="shared" si="11"/>
        <v/>
      </c>
      <c r="CB57" s="2" t="str">
        <f t="shared" si="12"/>
        <v/>
      </c>
      <c r="CC57" s="2" t="str">
        <f t="shared" si="13"/>
        <v/>
      </c>
      <c r="CD57" s="2" t="str">
        <f t="shared" si="14"/>
        <v/>
      </c>
      <c r="CE57" s="2" t="str">
        <f t="shared" si="15"/>
        <v/>
      </c>
      <c r="CF57" s="2" t="str">
        <f t="shared" si="16"/>
        <v/>
      </c>
      <c r="CG57" s="2" t="str">
        <f t="shared" si="17"/>
        <v/>
      </c>
      <c r="CH57" s="2" t="str">
        <f t="shared" si="18"/>
        <v/>
      </c>
      <c r="CI57" s="2" t="str">
        <f t="shared" si="19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9">IF(AND(AS$33="E",AL$34&lt;&gt;"E 50g"),"gauche","")</f>
        <v/>
      </c>
      <c r="AI58" s="12" t="str">
        <f t="shared" si="8"/>
        <v/>
      </c>
      <c r="AJ58" s="38"/>
      <c r="AK58" s="62"/>
      <c r="AL58" s="3"/>
      <c r="AN58" s="30">
        <f t="shared" si="32"/>
        <v>0</v>
      </c>
      <c r="AO58" s="30">
        <f t="shared" si="33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/>
      </c>
      <c r="AW58" s="53"/>
      <c r="AX58" s="8" t="str">
        <f t="shared" si="4"/>
        <v/>
      </c>
      <c r="BK58" s="42"/>
      <c r="BZ58" s="2" t="str">
        <f t="shared" si="10"/>
        <v/>
      </c>
      <c r="CA58" s="2" t="str">
        <f t="shared" si="11"/>
        <v/>
      </c>
      <c r="CB58" s="2" t="str">
        <f t="shared" si="12"/>
        <v/>
      </c>
      <c r="CC58" s="2" t="str">
        <f t="shared" si="13"/>
        <v/>
      </c>
      <c r="CD58" s="2" t="str">
        <f t="shared" si="14"/>
        <v/>
      </c>
      <c r="CE58" s="2" t="str">
        <f t="shared" si="15"/>
        <v/>
      </c>
      <c r="CF58" s="2" t="str">
        <f t="shared" si="16"/>
        <v/>
      </c>
      <c r="CG58" s="2" t="str">
        <f t="shared" si="17"/>
        <v/>
      </c>
      <c r="CH58" s="2" t="str">
        <f t="shared" si="18"/>
        <v/>
      </c>
      <c r="CI58" s="2" t="str">
        <f t="shared" si="19"/>
        <v/>
      </c>
    </row>
    <row r="59" spans="18:87" x14ac:dyDescent="0.25">
      <c r="R59" s="1" t="str">
        <f t="shared" ref="R59:V82" si="40">IF($AJ59=R$42,$AL59,"")</f>
        <v/>
      </c>
      <c r="S59" s="1" t="str">
        <f t="shared" si="40"/>
        <v/>
      </c>
      <c r="T59" s="1" t="str">
        <f t="shared" si="40"/>
        <v/>
      </c>
      <c r="U59" s="1" t="str">
        <f t="shared" si="40"/>
        <v/>
      </c>
      <c r="V59" s="1" t="str">
        <f t="shared" si="40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41">IF(AND(AS$33="E",AL$34&lt;&gt;"E 50g"),"droite","")</f>
        <v/>
      </c>
      <c r="AI59" s="12" t="str">
        <f t="shared" si="8"/>
        <v/>
      </c>
      <c r="AJ59" s="38"/>
      <c r="AK59" s="62"/>
      <c r="AL59" s="3"/>
      <c r="AN59" s="30">
        <f t="shared" si="32"/>
        <v>0</v>
      </c>
      <c r="AO59" s="30">
        <f t="shared" si="33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/>
      </c>
      <c r="AV59" s="57" t="str">
        <f>IFERROR(HLOOKUP(AV57,_produits!A1:E3,2,FALSE),"")</f>
        <v/>
      </c>
      <c r="AW59" s="58"/>
      <c r="AX59" s="8" t="str">
        <f t="shared" si="4"/>
        <v/>
      </c>
      <c r="BK59" s="42"/>
      <c r="BZ59" s="2" t="str">
        <f t="shared" si="10"/>
        <v/>
      </c>
      <c r="CA59" s="2" t="str">
        <f t="shared" si="11"/>
        <v/>
      </c>
      <c r="CB59" s="2" t="str">
        <f t="shared" si="12"/>
        <v/>
      </c>
      <c r="CC59" s="2" t="str">
        <f t="shared" si="13"/>
        <v/>
      </c>
      <c r="CD59" s="2" t="str">
        <f t="shared" si="14"/>
        <v/>
      </c>
      <c r="CE59" s="2" t="str">
        <f t="shared" si="15"/>
        <v/>
      </c>
      <c r="CF59" s="2" t="str">
        <f t="shared" si="16"/>
        <v/>
      </c>
      <c r="CG59" s="2" t="str">
        <f t="shared" si="17"/>
        <v/>
      </c>
      <c r="CH59" s="2" t="str">
        <f t="shared" si="18"/>
        <v/>
      </c>
      <c r="CI59" s="2" t="str">
        <f t="shared" si="19"/>
        <v/>
      </c>
    </row>
    <row r="60" spans="18:87" x14ac:dyDescent="0.25">
      <c r="R60" s="1" t="str">
        <f t="shared" si="40"/>
        <v/>
      </c>
      <c r="S60" s="1" t="str">
        <f t="shared" si="40"/>
        <v/>
      </c>
      <c r="T60" s="1" t="str">
        <f t="shared" si="40"/>
        <v/>
      </c>
      <c r="U60" s="1" t="str">
        <f t="shared" si="40"/>
        <v/>
      </c>
      <c r="V60" s="1" t="str">
        <f t="shared" si="40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2">IF(AND(AS$33="E",AL$34&lt;&gt;"E 50g"),"gauche","")</f>
        <v/>
      </c>
      <c r="AI60" s="12" t="str">
        <f t="shared" si="8"/>
        <v/>
      </c>
      <c r="AJ60" s="38"/>
      <c r="AK60" s="62"/>
      <c r="AL60" s="3"/>
      <c r="AN60" s="30">
        <f t="shared" si="32"/>
        <v>0</v>
      </c>
      <c r="AO60" s="30">
        <f t="shared" si="33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/>
      </c>
      <c r="AV60" s="57" t="str">
        <f>IFERROR(HLOOKUP(AV57,_produits!A1:E4,3,FALSE),"")</f>
        <v/>
      </c>
      <c r="AW60" s="58"/>
      <c r="AX60" s="8" t="str">
        <f t="shared" si="4"/>
        <v/>
      </c>
      <c r="BK60" s="42"/>
      <c r="BZ60" s="2" t="str">
        <f t="shared" si="10"/>
        <v/>
      </c>
      <c r="CA60" s="2" t="str">
        <f t="shared" si="11"/>
        <v/>
      </c>
      <c r="CB60" s="2" t="str">
        <f t="shared" si="12"/>
        <v/>
      </c>
      <c r="CC60" s="2" t="str">
        <f t="shared" si="13"/>
        <v/>
      </c>
      <c r="CD60" s="2" t="str">
        <f t="shared" si="14"/>
        <v/>
      </c>
      <c r="CE60" s="2" t="str">
        <f t="shared" si="15"/>
        <v/>
      </c>
      <c r="CF60" s="2" t="str">
        <f t="shared" si="16"/>
        <v/>
      </c>
      <c r="CG60" s="2" t="str">
        <f t="shared" si="17"/>
        <v/>
      </c>
      <c r="CH60" s="2" t="str">
        <f t="shared" si="18"/>
        <v/>
      </c>
      <c r="CI60" s="2" t="str">
        <f t="shared" si="19"/>
        <v/>
      </c>
    </row>
    <row r="61" spans="18:87" x14ac:dyDescent="0.25">
      <c r="R61" s="1" t="str">
        <f t="shared" si="40"/>
        <v/>
      </c>
      <c r="S61" s="1" t="str">
        <f t="shared" si="40"/>
        <v/>
      </c>
      <c r="T61" s="1" t="str">
        <f t="shared" si="40"/>
        <v/>
      </c>
      <c r="U61" s="1" t="str">
        <f t="shared" si="40"/>
        <v/>
      </c>
      <c r="V61" s="1" t="str">
        <f t="shared" si="40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3">IF(AND(AS$33="E",AL$34&lt;&gt;"E 50g"),"droite","")</f>
        <v/>
      </c>
      <c r="AI61" s="12" t="str">
        <f t="shared" si="8"/>
        <v/>
      </c>
      <c r="AJ61" s="38"/>
      <c r="AK61" s="62"/>
      <c r="AL61" s="3"/>
      <c r="AN61" s="30">
        <f t="shared" si="32"/>
        <v>0</v>
      </c>
      <c r="AO61" s="30">
        <f t="shared" si="33"/>
        <v>0</v>
      </c>
      <c r="AQ61" s="31" t="str">
        <f>_qualité!E3</f>
        <v>Trou</v>
      </c>
      <c r="AR61" s="32">
        <f>S41</f>
        <v>0</v>
      </c>
      <c r="AS61" s="32">
        <f t="shared" ref="AS61:AS64" si="44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4"/>
        <v/>
      </c>
      <c r="BK61" s="42"/>
      <c r="BZ61" s="2" t="str">
        <f t="shared" si="10"/>
        <v/>
      </c>
      <c r="CA61" s="2" t="str">
        <f t="shared" si="11"/>
        <v/>
      </c>
      <c r="CB61" s="2" t="str">
        <f t="shared" si="12"/>
        <v/>
      </c>
      <c r="CC61" s="2" t="str">
        <f t="shared" si="13"/>
        <v/>
      </c>
      <c r="CD61" s="2" t="str">
        <f t="shared" si="14"/>
        <v/>
      </c>
      <c r="CE61" s="2" t="str">
        <f t="shared" si="15"/>
        <v/>
      </c>
      <c r="CF61" s="2" t="str">
        <f t="shared" si="16"/>
        <v/>
      </c>
      <c r="CG61" s="2" t="str">
        <f t="shared" si="17"/>
        <v/>
      </c>
      <c r="CH61" s="2" t="str">
        <f t="shared" si="18"/>
        <v/>
      </c>
      <c r="CI61" s="2" t="str">
        <f t="shared" si="19"/>
        <v/>
      </c>
    </row>
    <row r="62" spans="18:87" x14ac:dyDescent="0.25">
      <c r="R62" s="1" t="str">
        <f t="shared" si="40"/>
        <v/>
      </c>
      <c r="S62" s="1" t="str">
        <f t="shared" si="40"/>
        <v/>
      </c>
      <c r="T62" s="1" t="str">
        <f t="shared" si="40"/>
        <v/>
      </c>
      <c r="U62" s="1" t="str">
        <f t="shared" si="40"/>
        <v/>
      </c>
      <c r="V62" s="1" t="str">
        <f t="shared" si="40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5">IF(AND(AS$33="E",AL$34&lt;&gt;"E 50g"),"gauche","")</f>
        <v/>
      </c>
      <c r="AI62" s="12" t="str">
        <f t="shared" si="8"/>
        <v/>
      </c>
      <c r="AJ62" s="38"/>
      <c r="AK62" s="62"/>
      <c r="AL62" s="3"/>
      <c r="AN62" s="30">
        <f t="shared" si="32"/>
        <v>0</v>
      </c>
      <c r="AO62" s="30">
        <f t="shared" si="33"/>
        <v>0</v>
      </c>
      <c r="AQ62" s="31" t="str">
        <f>_qualité!E4</f>
        <v>Poids</v>
      </c>
      <c r="AR62" s="32">
        <f>T41</f>
        <v>0</v>
      </c>
      <c r="AS62" s="32">
        <f t="shared" si="44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4"/>
        <v/>
      </c>
      <c r="BK62" s="42"/>
      <c r="BZ62" s="2" t="str">
        <f t="shared" si="10"/>
        <v/>
      </c>
      <c r="CA62" s="2" t="str">
        <f t="shared" si="11"/>
        <v/>
      </c>
      <c r="CB62" s="2" t="str">
        <f t="shared" si="12"/>
        <v/>
      </c>
      <c r="CC62" s="2" t="str">
        <f t="shared" si="13"/>
        <v/>
      </c>
      <c r="CD62" s="2" t="str">
        <f t="shared" si="14"/>
        <v/>
      </c>
      <c r="CE62" s="2" t="str">
        <f t="shared" si="15"/>
        <v/>
      </c>
      <c r="CF62" s="2" t="str">
        <f t="shared" si="16"/>
        <v/>
      </c>
      <c r="CG62" s="2" t="str">
        <f t="shared" si="17"/>
        <v/>
      </c>
      <c r="CH62" s="2" t="str">
        <f t="shared" si="18"/>
        <v/>
      </c>
      <c r="CI62" s="2" t="str">
        <f t="shared" si="19"/>
        <v/>
      </c>
    </row>
    <row r="63" spans="18:87" x14ac:dyDescent="0.25">
      <c r="R63" s="1" t="str">
        <f t="shared" si="40"/>
        <v/>
      </c>
      <c r="S63" s="1" t="str">
        <f t="shared" si="40"/>
        <v/>
      </c>
      <c r="T63" s="1" t="str">
        <f t="shared" si="40"/>
        <v/>
      </c>
      <c r="U63" s="1" t="str">
        <f t="shared" si="40"/>
        <v/>
      </c>
      <c r="V63" s="1" t="str">
        <f t="shared" si="40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6">IF(AND(AS$33="E",AL$34&lt;&gt;"E 50g"),"droite","")</f>
        <v/>
      </c>
      <c r="AI63" s="12" t="str">
        <f t="shared" si="8"/>
        <v/>
      </c>
      <c r="AJ63" s="38"/>
      <c r="AK63" s="62"/>
      <c r="AL63" s="3"/>
      <c r="AN63" s="30">
        <f t="shared" si="32"/>
        <v>0</v>
      </c>
      <c r="AO63" s="30">
        <f t="shared" si="33"/>
        <v>0</v>
      </c>
      <c r="AQ63" s="31" t="str">
        <f>_qualité!E5</f>
        <v>Autre</v>
      </c>
      <c r="AR63" s="32">
        <f>U41</f>
        <v>0</v>
      </c>
      <c r="AS63" s="32">
        <f t="shared" si="44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4"/>
        <v/>
      </c>
      <c r="BK63" s="42"/>
      <c r="BZ63" s="2" t="str">
        <f t="shared" si="10"/>
        <v/>
      </c>
      <c r="CA63" s="2" t="str">
        <f t="shared" si="11"/>
        <v/>
      </c>
      <c r="CB63" s="2" t="str">
        <f t="shared" si="12"/>
        <v/>
      </c>
      <c r="CC63" s="2" t="str">
        <f t="shared" si="13"/>
        <v/>
      </c>
      <c r="CD63" s="2" t="str">
        <f t="shared" si="14"/>
        <v/>
      </c>
      <c r="CE63" s="2" t="str">
        <f t="shared" si="15"/>
        <v/>
      </c>
      <c r="CF63" s="2" t="str">
        <f t="shared" si="16"/>
        <v/>
      </c>
      <c r="CG63" s="2" t="str">
        <f t="shared" si="17"/>
        <v/>
      </c>
      <c r="CH63" s="2" t="str">
        <f t="shared" si="18"/>
        <v/>
      </c>
      <c r="CI63" s="2" t="str">
        <f t="shared" si="19"/>
        <v/>
      </c>
    </row>
    <row r="64" spans="18:87" x14ac:dyDescent="0.25">
      <c r="R64" s="1" t="str">
        <f t="shared" si="40"/>
        <v/>
      </c>
      <c r="S64" s="1" t="str">
        <f t="shared" si="40"/>
        <v/>
      </c>
      <c r="T64" s="1" t="str">
        <f t="shared" si="40"/>
        <v/>
      </c>
      <c r="U64" s="1" t="str">
        <f t="shared" si="40"/>
        <v/>
      </c>
      <c r="V64" s="1" t="str">
        <f t="shared" si="40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7">IF(AND(AS$33="E",AL$34&lt;&gt;"E 50g"),"gauche","")</f>
        <v/>
      </c>
      <c r="AI64" s="12" t="str">
        <f t="shared" si="8"/>
        <v/>
      </c>
      <c r="AJ64" s="38"/>
      <c r="AK64" s="62"/>
      <c r="AL64" s="3"/>
      <c r="AN64" s="30">
        <f t="shared" si="32"/>
        <v>0</v>
      </c>
      <c r="AO64" s="30">
        <f t="shared" si="33"/>
        <v>0</v>
      </c>
      <c r="AQ64" s="31" t="str">
        <f>_qualité!E6</f>
        <v>Démarrage</v>
      </c>
      <c r="AR64" s="32">
        <f>V41</f>
        <v>0</v>
      </c>
      <c r="AS64" s="32">
        <f t="shared" si="44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4"/>
        <v/>
      </c>
      <c r="BK64" s="42"/>
      <c r="BZ64" s="2" t="str">
        <f t="shared" si="10"/>
        <v/>
      </c>
      <c r="CA64" s="2" t="str">
        <f t="shared" si="11"/>
        <v/>
      </c>
      <c r="CB64" s="2" t="str">
        <f t="shared" si="12"/>
        <v/>
      </c>
      <c r="CC64" s="2" t="str">
        <f t="shared" si="13"/>
        <v/>
      </c>
      <c r="CD64" s="2" t="str">
        <f t="shared" si="14"/>
        <v/>
      </c>
      <c r="CE64" s="2" t="str">
        <f t="shared" si="15"/>
        <v/>
      </c>
      <c r="CF64" s="2" t="str">
        <f t="shared" si="16"/>
        <v/>
      </c>
      <c r="CG64" s="2" t="str">
        <f t="shared" si="17"/>
        <v/>
      </c>
      <c r="CH64" s="2" t="str">
        <f t="shared" si="18"/>
        <v/>
      </c>
      <c r="CI64" s="2" t="str">
        <f t="shared" si="19"/>
        <v/>
      </c>
    </row>
    <row r="65" spans="18:87" x14ac:dyDescent="0.25">
      <c r="R65" s="1" t="str">
        <f t="shared" si="40"/>
        <v/>
      </c>
      <c r="S65" s="1" t="str">
        <f t="shared" si="40"/>
        <v/>
      </c>
      <c r="T65" s="1" t="str">
        <f t="shared" si="40"/>
        <v/>
      </c>
      <c r="U65" s="1" t="str">
        <f t="shared" si="40"/>
        <v/>
      </c>
      <c r="V65" s="1" t="str">
        <f t="shared" si="40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8">IF(AND(AS$33="E",AL$34&lt;&gt;"E 50g"),"droite","")</f>
        <v/>
      </c>
      <c r="AI65" s="12" t="str">
        <f t="shared" si="8"/>
        <v/>
      </c>
      <c r="AJ65" s="38"/>
      <c r="AK65" s="62"/>
      <c r="AL65" s="3"/>
      <c r="AN65" s="30">
        <f t="shared" si="32"/>
        <v>0</v>
      </c>
      <c r="AO65" s="30">
        <f t="shared" si="33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4"/>
        <v/>
      </c>
      <c r="BK65" s="42"/>
      <c r="BZ65" s="2" t="str">
        <f t="shared" si="10"/>
        <v/>
      </c>
      <c r="CA65" s="2" t="str">
        <f t="shared" si="11"/>
        <v/>
      </c>
      <c r="CB65" s="2" t="str">
        <f t="shared" si="12"/>
        <v/>
      </c>
      <c r="CC65" s="2" t="str">
        <f t="shared" si="13"/>
        <v/>
      </c>
      <c r="CD65" s="2" t="str">
        <f t="shared" si="14"/>
        <v/>
      </c>
      <c r="CE65" s="2" t="str">
        <f t="shared" si="15"/>
        <v/>
      </c>
      <c r="CF65" s="2" t="str">
        <f t="shared" si="16"/>
        <v/>
      </c>
      <c r="CG65" s="2" t="str">
        <f t="shared" si="17"/>
        <v/>
      </c>
      <c r="CH65" s="2" t="str">
        <f t="shared" si="18"/>
        <v/>
      </c>
      <c r="CI65" s="2" t="str">
        <f t="shared" si="19"/>
        <v/>
      </c>
    </row>
    <row r="66" spans="18:87" x14ac:dyDescent="0.25">
      <c r="R66" s="1" t="str">
        <f t="shared" si="40"/>
        <v/>
      </c>
      <c r="S66" s="1" t="str">
        <f t="shared" si="40"/>
        <v/>
      </c>
      <c r="T66" s="1" t="str">
        <f t="shared" si="40"/>
        <v/>
      </c>
      <c r="U66" s="1" t="str">
        <f t="shared" si="40"/>
        <v/>
      </c>
      <c r="V66" s="1" t="str">
        <f t="shared" si="40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9">IF(AND(AS$33="E",AL$34&lt;&gt;"E 50g"),"gauche","")</f>
        <v/>
      </c>
      <c r="AI66" s="12" t="str">
        <f t="shared" si="8"/>
        <v/>
      </c>
      <c r="AJ66" s="38"/>
      <c r="AK66" s="62"/>
      <c r="AL66" s="3"/>
      <c r="AN66" s="30">
        <f t="shared" si="32"/>
        <v>0</v>
      </c>
      <c r="AO66" s="30">
        <f t="shared" si="33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4"/>
        <v/>
      </c>
      <c r="BK66" s="42"/>
      <c r="BZ66" s="2" t="str">
        <f t="shared" si="10"/>
        <v/>
      </c>
      <c r="CA66" s="2" t="str">
        <f t="shared" si="11"/>
        <v/>
      </c>
      <c r="CB66" s="2" t="str">
        <f t="shared" si="12"/>
        <v/>
      </c>
      <c r="CC66" s="2" t="str">
        <f t="shared" si="13"/>
        <v/>
      </c>
      <c r="CD66" s="2" t="str">
        <f t="shared" si="14"/>
        <v/>
      </c>
      <c r="CE66" s="2" t="str">
        <f t="shared" si="15"/>
        <v/>
      </c>
      <c r="CF66" s="2" t="str">
        <f t="shared" si="16"/>
        <v/>
      </c>
      <c r="CG66" s="2" t="str">
        <f t="shared" si="17"/>
        <v/>
      </c>
      <c r="CH66" s="2" t="str">
        <f t="shared" si="18"/>
        <v/>
      </c>
      <c r="CI66" s="2" t="str">
        <f t="shared" si="19"/>
        <v/>
      </c>
    </row>
    <row r="67" spans="18:87" x14ac:dyDescent="0.25">
      <c r="R67" s="1" t="str">
        <f t="shared" si="40"/>
        <v/>
      </c>
      <c r="S67" s="1" t="str">
        <f t="shared" si="40"/>
        <v/>
      </c>
      <c r="T67" s="1" t="str">
        <f t="shared" si="40"/>
        <v/>
      </c>
      <c r="U67" s="1" t="str">
        <f t="shared" si="40"/>
        <v/>
      </c>
      <c r="V67" s="1" t="str">
        <f t="shared" si="40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50">IF(AND(AS$33="E",AL$34&lt;&gt;"E 50g"),"droite","")</f>
        <v/>
      </c>
      <c r="AI67" s="12" t="str">
        <f t="shared" si="8"/>
        <v/>
      </c>
      <c r="AJ67" s="38"/>
      <c r="AK67" s="62"/>
      <c r="AL67" s="3"/>
      <c r="AN67" s="30">
        <f t="shared" si="32"/>
        <v>0</v>
      </c>
      <c r="AO67" s="30">
        <f t="shared" si="33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0"/>
        <v/>
      </c>
      <c r="CA67" s="2" t="str">
        <f t="shared" si="11"/>
        <v/>
      </c>
      <c r="CB67" s="2" t="str">
        <f t="shared" si="12"/>
        <v/>
      </c>
      <c r="CC67" s="2" t="str">
        <f t="shared" si="13"/>
        <v/>
      </c>
      <c r="CD67" s="2" t="str">
        <f t="shared" si="14"/>
        <v/>
      </c>
      <c r="CE67" s="2" t="str">
        <f t="shared" si="15"/>
        <v/>
      </c>
      <c r="CF67" s="2" t="str">
        <f t="shared" si="16"/>
        <v/>
      </c>
      <c r="CG67" s="2" t="str">
        <f t="shared" si="17"/>
        <v/>
      </c>
      <c r="CH67" s="2" t="str">
        <f t="shared" si="18"/>
        <v/>
      </c>
      <c r="CI67" s="2" t="str">
        <f t="shared" si="19"/>
        <v/>
      </c>
    </row>
    <row r="68" spans="18:87" x14ac:dyDescent="0.25">
      <c r="R68" s="1" t="str">
        <f t="shared" si="40"/>
        <v/>
      </c>
      <c r="S68" s="1" t="str">
        <f t="shared" si="40"/>
        <v/>
      </c>
      <c r="T68" s="1" t="str">
        <f t="shared" si="40"/>
        <v/>
      </c>
      <c r="U68" s="1" t="str">
        <f t="shared" si="40"/>
        <v/>
      </c>
      <c r="V68" s="1" t="str">
        <f t="shared" si="40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51">IF(AND(AS$33="E",AL$34&lt;&gt;"E 50g"),"gauche","")</f>
        <v/>
      </c>
      <c r="AI68" s="12" t="str">
        <f t="shared" si="8"/>
        <v/>
      </c>
      <c r="AJ68" s="38"/>
      <c r="AK68" s="62"/>
      <c r="AL68" s="3"/>
      <c r="AN68" s="30">
        <f t="shared" si="32"/>
        <v>0</v>
      </c>
      <c r="AO68" s="30">
        <f t="shared" si="33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0"/>
        <v/>
      </c>
      <c r="CA68" s="2" t="str">
        <f t="shared" si="11"/>
        <v/>
      </c>
      <c r="CB68" s="2" t="str">
        <f t="shared" si="12"/>
        <v/>
      </c>
      <c r="CC68" s="2" t="str">
        <f t="shared" si="13"/>
        <v/>
      </c>
      <c r="CD68" s="2" t="str">
        <f t="shared" si="14"/>
        <v/>
      </c>
      <c r="CE68" s="2" t="str">
        <f t="shared" si="15"/>
        <v/>
      </c>
      <c r="CF68" s="2" t="str">
        <f t="shared" si="16"/>
        <v/>
      </c>
      <c r="CG68" s="2" t="str">
        <f t="shared" si="17"/>
        <v/>
      </c>
      <c r="CH68" s="2" t="str">
        <f t="shared" si="18"/>
        <v/>
      </c>
      <c r="CI68" s="2" t="str">
        <f t="shared" si="19"/>
        <v/>
      </c>
    </row>
    <row r="69" spans="18:87" x14ac:dyDescent="0.25">
      <c r="R69" s="1" t="str">
        <f t="shared" si="40"/>
        <v/>
      </c>
      <c r="S69" s="1" t="str">
        <f t="shared" si="40"/>
        <v/>
      </c>
      <c r="T69" s="1" t="str">
        <f t="shared" si="40"/>
        <v/>
      </c>
      <c r="U69" s="1" t="str">
        <f t="shared" si="40"/>
        <v/>
      </c>
      <c r="V69" s="1" t="str">
        <f t="shared" si="40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2">IF(AND(AS$33="E",AL$34&lt;&gt;"E 50g"),"droite","")</f>
        <v/>
      </c>
      <c r="AI69" s="12" t="str">
        <f t="shared" si="8"/>
        <v/>
      </c>
      <c r="AJ69" s="38"/>
      <c r="AK69" s="62"/>
      <c r="AL69" s="3"/>
      <c r="AN69" s="30">
        <f t="shared" si="32"/>
        <v>0</v>
      </c>
      <c r="AO69" s="30">
        <f t="shared" si="33"/>
        <v>0</v>
      </c>
      <c r="AQ69" s="30"/>
      <c r="AR69" s="30"/>
      <c r="AS69" s="30"/>
      <c r="AT69" s="30"/>
      <c r="AU69" s="87" t="str">
        <f ca="1">OFFSET('data TRS'!A1,COUNTA('data TRS'!A:A)-1,)</f>
        <v>93_E_N_Invité</v>
      </c>
      <c r="AV69" s="87"/>
      <c r="AW69" s="36" t="str">
        <f ca="1">CONCATENATE("TRS : ",ROUND(OFFSET('data TRS'!P1,COUNTA('data TRS'!P:P)-1,),2)," %")</f>
        <v>TRS : 20 %</v>
      </c>
      <c r="AX69" s="8" t="str">
        <f t="shared" si="4"/>
        <v/>
      </c>
      <c r="BK69" s="42"/>
      <c r="BZ69" s="2" t="str">
        <f t="shared" si="10"/>
        <v/>
      </c>
      <c r="CA69" s="2" t="str">
        <f t="shared" si="11"/>
        <v/>
      </c>
      <c r="CB69" s="2" t="str">
        <f t="shared" si="12"/>
        <v/>
      </c>
      <c r="CC69" s="2" t="str">
        <f t="shared" si="13"/>
        <v/>
      </c>
      <c r="CD69" s="2" t="str">
        <f t="shared" si="14"/>
        <v/>
      </c>
      <c r="CE69" s="2" t="str">
        <f t="shared" si="15"/>
        <v/>
      </c>
      <c r="CF69" s="2" t="str">
        <f t="shared" si="16"/>
        <v/>
      </c>
      <c r="CG69" s="2" t="str">
        <f t="shared" si="17"/>
        <v/>
      </c>
      <c r="CH69" s="2" t="str">
        <f t="shared" si="18"/>
        <v/>
      </c>
      <c r="CI69" s="2" t="str">
        <f t="shared" si="19"/>
        <v/>
      </c>
    </row>
    <row r="70" spans="18:87" x14ac:dyDescent="0.25">
      <c r="R70" s="1" t="str">
        <f t="shared" si="40"/>
        <v/>
      </c>
      <c r="S70" s="1" t="str">
        <f t="shared" si="40"/>
        <v/>
      </c>
      <c r="T70" s="1" t="str">
        <f t="shared" si="40"/>
        <v/>
      </c>
      <c r="U70" s="1" t="str">
        <f t="shared" si="40"/>
        <v/>
      </c>
      <c r="V70" s="1" t="str">
        <f t="shared" si="40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3">IF(AND(AS$33="E",AL$34&lt;&gt;"E 50g"),"gauche","")</f>
        <v/>
      </c>
      <c r="AI70" s="12" t="str">
        <f t="shared" si="8"/>
        <v/>
      </c>
      <c r="AJ70" s="38"/>
      <c r="AK70" s="62"/>
      <c r="AL70" s="3"/>
      <c r="AN70" s="30">
        <f t="shared" si="32"/>
        <v>0</v>
      </c>
      <c r="AO70" s="30">
        <f t="shared" si="33"/>
        <v>0</v>
      </c>
      <c r="AQ70" s="30"/>
      <c r="AR70" s="30"/>
      <c r="AS70" s="30"/>
      <c r="AT70" s="30"/>
      <c r="AU70" s="37" t="s">
        <v>76</v>
      </c>
      <c r="AV70" s="20">
        <f ca="1">OFFSET('data TRS'!L1,COUNTA('data TRS'!L:L)-1,)</f>
        <v>0</v>
      </c>
      <c r="AW70" s="20">
        <f ca="1">OFFSET('data TRS'!M1,COUNTA('data TRS'!M:M)-1,)</f>
        <v>0</v>
      </c>
      <c r="AX70" s="8" t="str">
        <f t="shared" si="4"/>
        <v/>
      </c>
      <c r="BK70" s="42"/>
      <c r="BZ70" s="2" t="str">
        <f t="shared" si="10"/>
        <v/>
      </c>
      <c r="CA70" s="2" t="str">
        <f t="shared" si="11"/>
        <v/>
      </c>
      <c r="CB70" s="2" t="str">
        <f t="shared" si="12"/>
        <v/>
      </c>
      <c r="CC70" s="2" t="str">
        <f t="shared" si="13"/>
        <v/>
      </c>
      <c r="CD70" s="2" t="str">
        <f t="shared" si="14"/>
        <v/>
      </c>
      <c r="CE70" s="2" t="str">
        <f t="shared" si="15"/>
        <v/>
      </c>
      <c r="CF70" s="2" t="str">
        <f t="shared" si="16"/>
        <v/>
      </c>
      <c r="CG70" s="2" t="str">
        <f t="shared" si="17"/>
        <v/>
      </c>
      <c r="CH70" s="2" t="str">
        <f t="shared" si="18"/>
        <v/>
      </c>
      <c r="CI70" s="2" t="str">
        <f t="shared" si="19"/>
        <v/>
      </c>
    </row>
    <row r="71" spans="18:87" x14ac:dyDescent="0.25">
      <c r="R71" s="1" t="str">
        <f t="shared" si="40"/>
        <v/>
      </c>
      <c r="S71" s="1" t="str">
        <f t="shared" si="40"/>
        <v/>
      </c>
      <c r="T71" s="1" t="str">
        <f t="shared" si="40"/>
        <v/>
      </c>
      <c r="U71" s="1" t="str">
        <f t="shared" si="40"/>
        <v/>
      </c>
      <c r="V71" s="1" t="str">
        <f t="shared" si="40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4">IF(AND(AS$33="E",AL$34&lt;&gt;"E 50g"),"droite","")</f>
        <v/>
      </c>
      <c r="AI71" s="12" t="str">
        <f t="shared" si="8"/>
        <v/>
      </c>
      <c r="AJ71" s="38"/>
      <c r="AK71" s="62"/>
      <c r="AL71" s="3"/>
      <c r="AN71" s="30">
        <f t="shared" si="32"/>
        <v>0</v>
      </c>
      <c r="AO71" s="30">
        <f t="shared" si="33"/>
        <v>0</v>
      </c>
      <c r="AX71" s="8" t="str">
        <f t="shared" si="4"/>
        <v/>
      </c>
      <c r="BK71" s="42"/>
      <c r="BZ71" s="2" t="str">
        <f t="shared" si="10"/>
        <v/>
      </c>
      <c r="CA71" s="2" t="str">
        <f t="shared" si="11"/>
        <v/>
      </c>
      <c r="CB71" s="2" t="str">
        <f t="shared" si="12"/>
        <v/>
      </c>
      <c r="CC71" s="2" t="str">
        <f t="shared" si="13"/>
        <v/>
      </c>
      <c r="CD71" s="2" t="str">
        <f t="shared" si="14"/>
        <v/>
      </c>
      <c r="CE71" s="2" t="str">
        <f t="shared" si="15"/>
        <v/>
      </c>
      <c r="CF71" s="2" t="str">
        <f t="shared" si="16"/>
        <v/>
      </c>
      <c r="CG71" s="2" t="str">
        <f t="shared" si="17"/>
        <v/>
      </c>
      <c r="CH71" s="2" t="str">
        <f t="shared" si="18"/>
        <v/>
      </c>
      <c r="CI71" s="2" t="str">
        <f t="shared" si="19"/>
        <v/>
      </c>
    </row>
    <row r="72" spans="18:87" x14ac:dyDescent="0.25">
      <c r="R72" s="1" t="str">
        <f t="shared" si="40"/>
        <v/>
      </c>
      <c r="S72" s="1" t="str">
        <f t="shared" si="40"/>
        <v/>
      </c>
      <c r="T72" s="1" t="str">
        <f t="shared" si="40"/>
        <v/>
      </c>
      <c r="U72" s="1" t="str">
        <f t="shared" si="40"/>
        <v/>
      </c>
      <c r="V72" s="1" t="str">
        <f t="shared" si="40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5">IF(AND(AS$33="E",AL$34&lt;&gt;"E 50g"),"gauche","")</f>
        <v/>
      </c>
      <c r="AI72" s="12" t="str">
        <f t="shared" si="8"/>
        <v/>
      </c>
      <c r="AJ72" s="38"/>
      <c r="AK72" s="62"/>
      <c r="AL72" s="3"/>
      <c r="AN72" s="30">
        <f t="shared" si="32"/>
        <v>0</v>
      </c>
      <c r="AO72" s="30">
        <f t="shared" si="33"/>
        <v>0</v>
      </c>
      <c r="AX72" s="8" t="str">
        <f t="shared" si="4"/>
        <v/>
      </c>
      <c r="BK72" s="42"/>
      <c r="BZ72" s="2" t="str">
        <f t="shared" si="10"/>
        <v/>
      </c>
      <c r="CA72" s="2" t="str">
        <f t="shared" si="11"/>
        <v/>
      </c>
      <c r="CB72" s="2" t="str">
        <f t="shared" si="12"/>
        <v/>
      </c>
      <c r="CC72" s="2" t="str">
        <f t="shared" si="13"/>
        <v/>
      </c>
      <c r="CD72" s="2" t="str">
        <f t="shared" si="14"/>
        <v/>
      </c>
      <c r="CE72" s="2" t="str">
        <f t="shared" si="15"/>
        <v/>
      </c>
      <c r="CF72" s="2" t="str">
        <f t="shared" si="16"/>
        <v/>
      </c>
      <c r="CG72" s="2" t="str">
        <f t="shared" si="17"/>
        <v/>
      </c>
      <c r="CH72" s="2" t="str">
        <f t="shared" si="18"/>
        <v/>
      </c>
      <c r="CI72" s="2" t="str">
        <f t="shared" si="19"/>
        <v/>
      </c>
    </row>
    <row r="73" spans="18:87" x14ac:dyDescent="0.25">
      <c r="R73" s="1" t="str">
        <f t="shared" si="40"/>
        <v/>
      </c>
      <c r="S73" s="1" t="str">
        <f t="shared" si="40"/>
        <v/>
      </c>
      <c r="T73" s="1" t="str">
        <f t="shared" si="40"/>
        <v/>
      </c>
      <c r="U73" s="1" t="str">
        <f t="shared" si="40"/>
        <v/>
      </c>
      <c r="V73" s="1" t="str">
        <f t="shared" si="40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6">IF(AN73&lt;&gt;0,IF(AJ73="",0.5,0),"")</f>
        <v/>
      </c>
      <c r="AD73" s="6" t="str">
        <f t="shared" ref="AD73:AD82" si="57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8">IF(AND(AS$33="E",AL$34&lt;&gt;"E 50g"),"droite","")</f>
        <v/>
      </c>
      <c r="AI73" s="12" t="str">
        <f t="shared" si="8"/>
        <v/>
      </c>
      <c r="AJ73" s="38"/>
      <c r="AK73" s="62"/>
      <c r="AL73" s="3"/>
      <c r="AN73" s="30">
        <f t="shared" si="32"/>
        <v>0</v>
      </c>
      <c r="AO73" s="30">
        <f t="shared" si="33"/>
        <v>0</v>
      </c>
      <c r="AX73" s="8" t="str">
        <f t="shared" si="4"/>
        <v/>
      </c>
      <c r="BK73" s="42"/>
      <c r="BZ73" s="2" t="str">
        <f t="shared" si="10"/>
        <v/>
      </c>
      <c r="CA73" s="2" t="str">
        <f t="shared" si="11"/>
        <v/>
      </c>
      <c r="CB73" s="2" t="str">
        <f t="shared" si="12"/>
        <v/>
      </c>
      <c r="CC73" s="2" t="str">
        <f t="shared" si="13"/>
        <v/>
      </c>
      <c r="CD73" s="2" t="str">
        <f t="shared" si="14"/>
        <v/>
      </c>
      <c r="CE73" s="2" t="str">
        <f t="shared" si="15"/>
        <v/>
      </c>
      <c r="CF73" s="2" t="str">
        <f t="shared" si="16"/>
        <v/>
      </c>
      <c r="CG73" s="2" t="str">
        <f t="shared" si="17"/>
        <v/>
      </c>
      <c r="CH73" s="2" t="str">
        <f t="shared" si="18"/>
        <v/>
      </c>
      <c r="CI73" s="2" t="str">
        <f t="shared" si="19"/>
        <v/>
      </c>
    </row>
    <row r="74" spans="18:87" x14ac:dyDescent="0.25">
      <c r="R74" s="1" t="str">
        <f t="shared" si="40"/>
        <v/>
      </c>
      <c r="S74" s="1" t="str">
        <f t="shared" si="40"/>
        <v/>
      </c>
      <c r="T74" s="1" t="str">
        <f t="shared" si="40"/>
        <v/>
      </c>
      <c r="U74" s="1" t="str">
        <f t="shared" si="40"/>
        <v/>
      </c>
      <c r="V74" s="1" t="str">
        <f t="shared" si="40"/>
        <v/>
      </c>
      <c r="AC74" s="6" t="str">
        <f t="shared" si="56"/>
        <v/>
      </c>
      <c r="AD74" s="6" t="str">
        <f t="shared" si="57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9">IF(AND(AS$33="E",AL$34&lt;&gt;"E 50g"),"gauche","")</f>
        <v/>
      </c>
      <c r="AI74" s="12" t="str">
        <f t="shared" si="8"/>
        <v/>
      </c>
      <c r="AJ74" s="38"/>
      <c r="AK74" s="62"/>
      <c r="AL74" s="3"/>
      <c r="AN74" s="30">
        <f t="shared" ref="AN74:AN82" si="60">IF(AJ74="",IF(AK74="",AL74,AL74-AK74),0)</f>
        <v>0</v>
      </c>
      <c r="AO74" s="30">
        <f t="shared" ref="AO74:AO82" si="61">IF(AJ74&lt;&gt;"",IF(AK74="",AL74,AL74-AK74),0)</f>
        <v>0</v>
      </c>
      <c r="AX74" s="8" t="str">
        <f t="shared" si="4"/>
        <v/>
      </c>
      <c r="BK74" s="42"/>
      <c r="BZ74" s="2" t="str">
        <f t="shared" si="10"/>
        <v/>
      </c>
      <c r="CA74" s="2" t="str">
        <f t="shared" si="11"/>
        <v/>
      </c>
      <c r="CB74" s="2" t="str">
        <f t="shared" si="12"/>
        <v/>
      </c>
      <c r="CC74" s="2" t="str">
        <f t="shared" si="13"/>
        <v/>
      </c>
      <c r="CD74" s="2" t="str">
        <f t="shared" si="14"/>
        <v/>
      </c>
      <c r="CE74" s="2" t="str">
        <f t="shared" si="15"/>
        <v/>
      </c>
      <c r="CF74" s="2" t="str">
        <f t="shared" si="16"/>
        <v/>
      </c>
      <c r="CG74" s="2" t="str">
        <f t="shared" si="17"/>
        <v/>
      </c>
      <c r="CH74" s="2" t="str">
        <f t="shared" si="18"/>
        <v/>
      </c>
      <c r="CI74" s="2" t="str">
        <f t="shared" si="19"/>
        <v/>
      </c>
    </row>
    <row r="75" spans="18:87" x14ac:dyDescent="0.25">
      <c r="R75" s="1" t="str">
        <f t="shared" si="40"/>
        <v/>
      </c>
      <c r="S75" s="1" t="str">
        <f t="shared" si="40"/>
        <v/>
      </c>
      <c r="T75" s="1" t="str">
        <f t="shared" si="40"/>
        <v/>
      </c>
      <c r="U75" s="1" t="str">
        <f t="shared" si="40"/>
        <v/>
      </c>
      <c r="V75" s="1" t="str">
        <f t="shared" si="40"/>
        <v/>
      </c>
      <c r="AC75" s="6" t="str">
        <f t="shared" si="56"/>
        <v/>
      </c>
      <c r="AD75" s="6" t="str">
        <f t="shared" si="57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62">IF(AND(AS$33="E",AL$34&lt;&gt;"E 50g"),"droite","")</f>
        <v/>
      </c>
      <c r="AI75" s="12" t="str">
        <f t="shared" si="8"/>
        <v/>
      </c>
      <c r="AJ75" s="38"/>
      <c r="AK75" s="62"/>
      <c r="AL75" s="3"/>
      <c r="AN75" s="30">
        <f t="shared" si="60"/>
        <v>0</v>
      </c>
      <c r="AO75" s="30">
        <f t="shared" si="61"/>
        <v>0</v>
      </c>
      <c r="AX75" s="8" t="str">
        <f t="shared" si="4"/>
        <v/>
      </c>
      <c r="BK75" s="42"/>
      <c r="BZ75" s="2" t="str">
        <f t="shared" si="10"/>
        <v/>
      </c>
      <c r="CA75" s="2" t="str">
        <f t="shared" si="11"/>
        <v/>
      </c>
      <c r="CB75" s="2" t="str">
        <f t="shared" si="12"/>
        <v/>
      </c>
      <c r="CC75" s="2" t="str">
        <f t="shared" si="13"/>
        <v/>
      </c>
      <c r="CD75" s="2" t="str">
        <f t="shared" si="14"/>
        <v/>
      </c>
      <c r="CE75" s="2" t="str">
        <f t="shared" si="15"/>
        <v/>
      </c>
      <c r="CF75" s="2" t="str">
        <f t="shared" si="16"/>
        <v/>
      </c>
      <c r="CG75" s="2" t="str">
        <f t="shared" si="17"/>
        <v/>
      </c>
      <c r="CH75" s="2" t="str">
        <f t="shared" si="18"/>
        <v/>
      </c>
      <c r="CI75" s="2" t="str">
        <f t="shared" si="19"/>
        <v/>
      </c>
    </row>
    <row r="76" spans="18:87" x14ac:dyDescent="0.25">
      <c r="R76" s="1" t="str">
        <f t="shared" si="40"/>
        <v/>
      </c>
      <c r="S76" s="1" t="str">
        <f t="shared" si="40"/>
        <v/>
      </c>
      <c r="T76" s="1" t="str">
        <f t="shared" si="40"/>
        <v/>
      </c>
      <c r="U76" s="1" t="str">
        <f t="shared" si="40"/>
        <v/>
      </c>
      <c r="V76" s="1" t="str">
        <f t="shared" si="40"/>
        <v/>
      </c>
      <c r="AC76" s="6" t="str">
        <f t="shared" si="56"/>
        <v/>
      </c>
      <c r="AD76" s="6" t="str">
        <f t="shared" si="57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63">IF(AND(AS$33="E",AL$34&lt;&gt;"E 50g"),"gauche","")</f>
        <v/>
      </c>
      <c r="AI76" s="12" t="str">
        <f t="shared" si="8"/>
        <v/>
      </c>
      <c r="AJ76" s="38"/>
      <c r="AK76" s="62"/>
      <c r="AL76" s="3"/>
      <c r="AN76" s="30">
        <f t="shared" si="60"/>
        <v>0</v>
      </c>
      <c r="AO76" s="30">
        <f t="shared" si="61"/>
        <v>0</v>
      </c>
      <c r="AX76" s="8" t="str">
        <f t="shared" si="4"/>
        <v/>
      </c>
      <c r="BK76" s="42"/>
      <c r="BZ76" s="2" t="str">
        <f t="shared" si="10"/>
        <v/>
      </c>
      <c r="CA76" s="2" t="str">
        <f t="shared" si="11"/>
        <v/>
      </c>
      <c r="CB76" s="2" t="str">
        <f t="shared" si="12"/>
        <v/>
      </c>
      <c r="CC76" s="2" t="str">
        <f t="shared" si="13"/>
        <v/>
      </c>
      <c r="CD76" s="2" t="str">
        <f t="shared" si="14"/>
        <v/>
      </c>
      <c r="CE76" s="2" t="str">
        <f t="shared" si="15"/>
        <v/>
      </c>
      <c r="CF76" s="2" t="str">
        <f t="shared" si="16"/>
        <v/>
      </c>
      <c r="CG76" s="2" t="str">
        <f t="shared" si="17"/>
        <v/>
      </c>
      <c r="CH76" s="2" t="str">
        <f t="shared" si="18"/>
        <v/>
      </c>
      <c r="CI76" s="2" t="str">
        <f t="shared" si="19"/>
        <v/>
      </c>
    </row>
    <row r="77" spans="18:87" x14ac:dyDescent="0.25">
      <c r="R77" s="1" t="str">
        <f t="shared" si="40"/>
        <v/>
      </c>
      <c r="S77" s="1" t="str">
        <f t="shared" si="40"/>
        <v/>
      </c>
      <c r="T77" s="1" t="str">
        <f t="shared" si="40"/>
        <v/>
      </c>
      <c r="U77" s="1" t="str">
        <f t="shared" si="40"/>
        <v/>
      </c>
      <c r="V77" s="1" t="str">
        <f t="shared" si="40"/>
        <v/>
      </c>
      <c r="AC77" s="6" t="str">
        <f t="shared" si="56"/>
        <v/>
      </c>
      <c r="AD77" s="6" t="str">
        <f t="shared" si="57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4">IF(AND(AS$33="E",AL$34&lt;&gt;"E 50g"),"droite","")</f>
        <v/>
      </c>
      <c r="AI77" s="12" t="str">
        <f t="shared" si="8"/>
        <v/>
      </c>
      <c r="AJ77" s="38"/>
      <c r="AK77" s="62"/>
      <c r="AL77" s="3"/>
      <c r="AN77" s="30">
        <f t="shared" si="60"/>
        <v>0</v>
      </c>
      <c r="AO77" s="30">
        <f t="shared" si="61"/>
        <v>0</v>
      </c>
      <c r="AX77" s="8" t="str">
        <f t="shared" si="4"/>
        <v/>
      </c>
      <c r="BK77" s="42"/>
      <c r="BZ77" s="2" t="str">
        <f t="shared" si="10"/>
        <v/>
      </c>
      <c r="CA77" s="2" t="str">
        <f t="shared" si="11"/>
        <v/>
      </c>
      <c r="CB77" s="2" t="str">
        <f t="shared" si="12"/>
        <v/>
      </c>
      <c r="CC77" s="2" t="str">
        <f t="shared" si="13"/>
        <v/>
      </c>
      <c r="CD77" s="2" t="str">
        <f t="shared" si="14"/>
        <v/>
      </c>
      <c r="CE77" s="2" t="str">
        <f t="shared" si="15"/>
        <v/>
      </c>
      <c r="CF77" s="2" t="str">
        <f t="shared" si="16"/>
        <v/>
      </c>
      <c r="CG77" s="2" t="str">
        <f t="shared" si="17"/>
        <v/>
      </c>
      <c r="CH77" s="2" t="str">
        <f t="shared" si="18"/>
        <v/>
      </c>
      <c r="CI77" s="2" t="str">
        <f t="shared" si="19"/>
        <v/>
      </c>
    </row>
    <row r="78" spans="18:87" x14ac:dyDescent="0.25">
      <c r="R78" s="1" t="str">
        <f t="shared" si="40"/>
        <v/>
      </c>
      <c r="S78" s="1" t="str">
        <f t="shared" si="40"/>
        <v/>
      </c>
      <c r="T78" s="1" t="str">
        <f t="shared" si="40"/>
        <v/>
      </c>
      <c r="U78" s="1" t="str">
        <f t="shared" si="40"/>
        <v/>
      </c>
      <c r="V78" s="1" t="str">
        <f t="shared" si="40"/>
        <v/>
      </c>
      <c r="AC78" s="6" t="str">
        <f t="shared" si="56"/>
        <v/>
      </c>
      <c r="AD78" s="6" t="str">
        <f t="shared" si="57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5">IF(AND(AS$33="E",AL$34&lt;&gt;"E 50g"),"gauche","")</f>
        <v/>
      </c>
      <c r="AI78" s="12" t="str">
        <f t="shared" si="8"/>
        <v/>
      </c>
      <c r="AJ78" s="38"/>
      <c r="AK78" s="62"/>
      <c r="AL78" s="3"/>
      <c r="AN78" s="30">
        <f t="shared" si="60"/>
        <v>0</v>
      </c>
      <c r="AO78" s="30">
        <f t="shared" si="61"/>
        <v>0</v>
      </c>
      <c r="AX78" s="8" t="str">
        <f t="shared" si="4"/>
        <v/>
      </c>
      <c r="BK78" s="42"/>
      <c r="BZ78" s="2" t="str">
        <f t="shared" si="10"/>
        <v/>
      </c>
      <c r="CA78" s="2" t="str">
        <f t="shared" si="11"/>
        <v/>
      </c>
      <c r="CB78" s="2" t="str">
        <f t="shared" si="12"/>
        <v/>
      </c>
      <c r="CC78" s="2" t="str">
        <f t="shared" si="13"/>
        <v/>
      </c>
      <c r="CD78" s="2" t="str">
        <f t="shared" si="14"/>
        <v/>
      </c>
      <c r="CE78" s="2" t="str">
        <f t="shared" si="15"/>
        <v/>
      </c>
      <c r="CF78" s="2" t="str">
        <f t="shared" si="16"/>
        <v/>
      </c>
      <c r="CG78" s="2" t="str">
        <f t="shared" si="17"/>
        <v/>
      </c>
      <c r="CH78" s="2" t="str">
        <f t="shared" si="18"/>
        <v/>
      </c>
      <c r="CI78" s="2" t="str">
        <f t="shared" si="19"/>
        <v/>
      </c>
    </row>
    <row r="79" spans="18:87" x14ac:dyDescent="0.25">
      <c r="R79" s="1" t="str">
        <f t="shared" si="40"/>
        <v/>
      </c>
      <c r="S79" s="1" t="str">
        <f t="shared" si="40"/>
        <v/>
      </c>
      <c r="T79" s="1" t="str">
        <f t="shared" si="40"/>
        <v/>
      </c>
      <c r="U79" s="1" t="str">
        <f t="shared" si="40"/>
        <v/>
      </c>
      <c r="V79" s="1" t="str">
        <f t="shared" si="40"/>
        <v/>
      </c>
      <c r="AC79" s="6" t="str">
        <f t="shared" si="56"/>
        <v/>
      </c>
      <c r="AD79" s="6" t="str">
        <f t="shared" si="57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6">IF(AND(AS$33="E",AL$34&lt;&gt;"E 50g"),"droite","")</f>
        <v/>
      </c>
      <c r="AI79" s="12" t="str">
        <f t="shared" si="8"/>
        <v/>
      </c>
      <c r="AJ79" s="38"/>
      <c r="AK79" s="62"/>
      <c r="AL79" s="3"/>
      <c r="AN79" s="30">
        <f t="shared" si="60"/>
        <v>0</v>
      </c>
      <c r="AO79" s="30">
        <f t="shared" si="61"/>
        <v>0</v>
      </c>
      <c r="AX79" s="8" t="str">
        <f t="shared" si="4"/>
        <v/>
      </c>
      <c r="BK79" s="42"/>
      <c r="BZ79" s="2" t="str">
        <f t="shared" si="10"/>
        <v/>
      </c>
      <c r="CA79" s="2" t="str">
        <f t="shared" si="11"/>
        <v/>
      </c>
      <c r="CB79" s="2" t="str">
        <f t="shared" si="12"/>
        <v/>
      </c>
      <c r="CC79" s="2" t="str">
        <f t="shared" si="13"/>
        <v/>
      </c>
      <c r="CD79" s="2" t="str">
        <f t="shared" si="14"/>
        <v/>
      </c>
      <c r="CE79" s="2" t="str">
        <f t="shared" si="15"/>
        <v/>
      </c>
      <c r="CF79" s="2" t="str">
        <f t="shared" si="16"/>
        <v/>
      </c>
      <c r="CG79" s="2" t="str">
        <f t="shared" si="17"/>
        <v/>
      </c>
      <c r="CH79" s="2" t="str">
        <f t="shared" si="18"/>
        <v/>
      </c>
      <c r="CI79" s="2" t="str">
        <f t="shared" si="19"/>
        <v/>
      </c>
    </row>
    <row r="80" spans="18:87" x14ac:dyDescent="0.25">
      <c r="R80" s="1" t="str">
        <f t="shared" si="40"/>
        <v/>
      </c>
      <c r="S80" s="1" t="str">
        <f t="shared" si="40"/>
        <v/>
      </c>
      <c r="T80" s="1" t="str">
        <f t="shared" si="40"/>
        <v/>
      </c>
      <c r="U80" s="1" t="str">
        <f t="shared" si="40"/>
        <v/>
      </c>
      <c r="V80" s="1" t="str">
        <f t="shared" si="40"/>
        <v/>
      </c>
      <c r="AC80" s="6" t="str">
        <f t="shared" si="56"/>
        <v/>
      </c>
      <c r="AD80" s="6" t="str">
        <f t="shared" si="57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7">IF(AND(AS$33="E",AL$34&lt;&gt;"E 50g"),"gauche","")</f>
        <v/>
      </c>
      <c r="AI80" s="12" t="str">
        <f t="shared" si="8"/>
        <v/>
      </c>
      <c r="AJ80" s="38"/>
      <c r="AK80" s="62"/>
      <c r="AL80" s="3"/>
      <c r="AN80" s="30">
        <f t="shared" si="60"/>
        <v>0</v>
      </c>
      <c r="AO80" s="30">
        <f t="shared" si="61"/>
        <v>0</v>
      </c>
      <c r="AX80" s="8" t="str">
        <f t="shared" si="4"/>
        <v/>
      </c>
      <c r="BK80" s="42"/>
      <c r="BZ80" s="2" t="str">
        <f t="shared" si="10"/>
        <v/>
      </c>
      <c r="CA80" s="2" t="str">
        <f t="shared" si="11"/>
        <v/>
      </c>
      <c r="CB80" s="2" t="str">
        <f t="shared" si="12"/>
        <v/>
      </c>
      <c r="CC80" s="2" t="str">
        <f t="shared" si="13"/>
        <v/>
      </c>
      <c r="CD80" s="2" t="str">
        <f t="shared" si="14"/>
        <v/>
      </c>
      <c r="CE80" s="2" t="str">
        <f t="shared" si="15"/>
        <v/>
      </c>
      <c r="CF80" s="2" t="str">
        <f t="shared" si="16"/>
        <v/>
      </c>
      <c r="CG80" s="2" t="str">
        <f t="shared" si="17"/>
        <v/>
      </c>
      <c r="CH80" s="2" t="str">
        <f t="shared" si="18"/>
        <v/>
      </c>
      <c r="CI80" s="2" t="str">
        <f t="shared" si="19"/>
        <v/>
      </c>
    </row>
    <row r="81" spans="18:87" x14ac:dyDescent="0.25">
      <c r="R81" s="1" t="str">
        <f t="shared" si="40"/>
        <v/>
      </c>
      <c r="S81" s="1" t="str">
        <f t="shared" si="40"/>
        <v/>
      </c>
      <c r="T81" s="1" t="str">
        <f t="shared" si="40"/>
        <v/>
      </c>
      <c r="U81" s="1" t="str">
        <f t="shared" si="40"/>
        <v/>
      </c>
      <c r="V81" s="1" t="str">
        <f t="shared" si="40"/>
        <v/>
      </c>
      <c r="AC81" s="6" t="str">
        <f t="shared" si="56"/>
        <v/>
      </c>
      <c r="AD81" s="6" t="str">
        <f t="shared" si="57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8">IF(AND(AS$33="E",AL$34&lt;&gt;"E 50g"),"droite","")</f>
        <v/>
      </c>
      <c r="AI81" s="12" t="str">
        <f t="shared" si="8"/>
        <v/>
      </c>
      <c r="AJ81" s="38"/>
      <c r="AK81" s="62"/>
      <c r="AL81" s="3"/>
      <c r="AN81" s="30">
        <f t="shared" si="60"/>
        <v>0</v>
      </c>
      <c r="AO81" s="30">
        <f t="shared" si="61"/>
        <v>0</v>
      </c>
      <c r="AX81" s="8" t="str">
        <f t="shared" si="4"/>
        <v/>
      </c>
      <c r="BK81" s="42"/>
      <c r="BZ81" s="2" t="str">
        <f t="shared" si="10"/>
        <v/>
      </c>
      <c r="CA81" s="2" t="str">
        <f t="shared" si="11"/>
        <v/>
      </c>
      <c r="CB81" s="2" t="str">
        <f t="shared" si="12"/>
        <v/>
      </c>
      <c r="CC81" s="2" t="str">
        <f t="shared" si="13"/>
        <v/>
      </c>
      <c r="CD81" s="2" t="str">
        <f t="shared" si="14"/>
        <v/>
      </c>
      <c r="CE81" s="2" t="str">
        <f t="shared" si="15"/>
        <v/>
      </c>
      <c r="CF81" s="2" t="str">
        <f t="shared" si="16"/>
        <v/>
      </c>
      <c r="CG81" s="2" t="str">
        <f t="shared" si="17"/>
        <v/>
      </c>
      <c r="CH81" s="2" t="str">
        <f t="shared" si="18"/>
        <v/>
      </c>
      <c r="CI81" s="2" t="str">
        <f t="shared" si="19"/>
        <v/>
      </c>
    </row>
    <row r="82" spans="18:87" x14ac:dyDescent="0.25">
      <c r="R82" s="1" t="str">
        <f t="shared" si="40"/>
        <v/>
      </c>
      <c r="S82" s="1" t="str">
        <f t="shared" si="40"/>
        <v/>
      </c>
      <c r="T82" s="1" t="str">
        <f t="shared" si="40"/>
        <v/>
      </c>
      <c r="U82" s="1" t="str">
        <f t="shared" si="40"/>
        <v/>
      </c>
      <c r="V82" s="1" t="str">
        <f t="shared" si="40"/>
        <v/>
      </c>
      <c r="AC82" s="6" t="str">
        <f t="shared" si="56"/>
        <v/>
      </c>
      <c r="AD82" s="6" t="str">
        <f t="shared" si="57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9">IF(AND(AS$33="E",AL$34&lt;&gt;"E 50g"),"gauche","")</f>
        <v/>
      </c>
      <c r="AI82" s="12" t="str">
        <f t="shared" si="8"/>
        <v/>
      </c>
      <c r="AJ82" s="38"/>
      <c r="AK82" s="62"/>
      <c r="AL82" s="3"/>
      <c r="AN82" s="30">
        <f t="shared" si="60"/>
        <v>0</v>
      </c>
      <c r="AO82" s="30">
        <f t="shared" si="61"/>
        <v>0</v>
      </c>
      <c r="AX82" s="8" t="str">
        <f t="shared" si="4"/>
        <v/>
      </c>
      <c r="BK82" s="42"/>
      <c r="BZ82" s="2" t="str">
        <f t="shared" si="10"/>
        <v/>
      </c>
      <c r="CA82" s="2" t="str">
        <f t="shared" si="11"/>
        <v/>
      </c>
      <c r="CB82" s="2" t="str">
        <f t="shared" si="12"/>
        <v/>
      </c>
      <c r="CC82" s="2" t="str">
        <f t="shared" si="13"/>
        <v/>
      </c>
      <c r="CD82" s="2" t="str">
        <f t="shared" si="14"/>
        <v/>
      </c>
      <c r="CE82" s="2" t="str">
        <f t="shared" si="15"/>
        <v/>
      </c>
      <c r="CF82" s="2" t="str">
        <f t="shared" si="16"/>
        <v/>
      </c>
      <c r="CG82" s="2" t="str">
        <f t="shared" si="17"/>
        <v/>
      </c>
      <c r="CH82" s="2" t="str">
        <f t="shared" si="18"/>
        <v/>
      </c>
      <c r="CI82" s="2" t="str">
        <f t="shared" si="19"/>
        <v/>
      </c>
    </row>
    <row r="83" spans="18:87" x14ac:dyDescent="0.25">
      <c r="AH83" s="15"/>
    </row>
  </sheetData>
  <sheetProtection sheet="1" objects="1" scenarios="1" selectLockedCells="1"/>
  <mergeCells count="19">
    <mergeCell ref="AJ38:AR39"/>
    <mergeCell ref="AT38:AW39"/>
    <mergeCell ref="AS38:AS39"/>
    <mergeCell ref="AN41:AO41"/>
    <mergeCell ref="AU69:AV69"/>
    <mergeCell ref="AJ41:AL41"/>
    <mergeCell ref="AW43:AW47"/>
    <mergeCell ref="AU42:AV47"/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C28" sqref="C28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5"/>
  <sheetViews>
    <sheetView workbookViewId="0">
      <selection activeCell="L27" sqref="L27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3"/>
  <sheetViews>
    <sheetView workbookViewId="0">
      <selection activeCell="U18" sqref="U18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hidden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47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47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47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47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47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47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47">
        <v>45018.644687499997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2023-04-02T20:37:08Z</dcterms:modified>
</cp:coreProperties>
</file>