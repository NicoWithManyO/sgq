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icow\Documents\depots\sgq\"/>
    </mc:Choice>
  </mc:AlternateContent>
  <xr:revisionPtr revIDLastSave="0" documentId="13_ncr:1_{EBE6F2E4-0D00-4CB5-BBE3-52378549DD1F}" xr6:coauthVersionLast="47" xr6:coauthVersionMax="47" xr10:uidLastSave="{00000000-0000-0000-0000-000000000000}"/>
  <bookViews>
    <workbookView xWindow="1185" yWindow="840" windowWidth="27090" windowHeight="14565" tabRatio="466" firstSheet="1" activeTab="1" xr2:uid="{00000000-000D-0000-FFFF-FFFF00000000}"/>
  </bookViews>
  <sheets>
    <sheet name="_data" sheetId="7" state="hidden" r:id="rId1"/>
    <sheet name="PROD" sheetId="1" r:id="rId2"/>
    <sheet name="_qualité" sheetId="2" state="hidden" r:id="rId3"/>
    <sheet name="_produits" sheetId="3" state="hidden" r:id="rId4"/>
    <sheet name="_matrice TRS" sheetId="4" state="hidden" r:id="rId5"/>
    <sheet name="data PRODUITS" sheetId="8" r:id="rId6"/>
    <sheet name="data TRS" sheetId="9" state="hidden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N34" i="1" l="1"/>
  <c r="AW70" i="1"/>
  <c r="AV70" i="1"/>
  <c r="AW69" i="1"/>
  <c r="AU69" i="1"/>
  <c r="AJ38" i="1"/>
  <c r="AH33" i="1" l="1"/>
  <c r="BZ74" i="1" l="1"/>
  <c r="CI74" i="1" s="1"/>
  <c r="BZ75" i="1"/>
  <c r="CI75" i="1" s="1"/>
  <c r="BZ76" i="1"/>
  <c r="CI76" i="1" s="1"/>
  <c r="BZ77" i="1"/>
  <c r="CI77" i="1" s="1"/>
  <c r="BZ78" i="1"/>
  <c r="CI78" i="1" s="1"/>
  <c r="BZ79" i="1"/>
  <c r="CI79" i="1" s="1"/>
  <c r="BZ80" i="1"/>
  <c r="CI80" i="1" s="1"/>
  <c r="BZ81" i="1"/>
  <c r="CI81" i="1" s="1"/>
  <c r="BZ82" i="1"/>
  <c r="CI82" i="1" s="1"/>
  <c r="AG32" i="1"/>
  <c r="CD44" i="1" l="1"/>
  <c r="CD45" i="1"/>
  <c r="CD46" i="1"/>
  <c r="CD47" i="1"/>
  <c r="CD48" i="1"/>
  <c r="CD49" i="1"/>
  <c r="CD50" i="1"/>
  <c r="CD51" i="1"/>
  <c r="CD52" i="1"/>
  <c r="CD53" i="1"/>
  <c r="CD54" i="1"/>
  <c r="CD55" i="1"/>
  <c r="CD56" i="1"/>
  <c r="CD57" i="1"/>
  <c r="CD58" i="1"/>
  <c r="CD59" i="1"/>
  <c r="CD60" i="1"/>
  <c r="CD61" i="1"/>
  <c r="CD62" i="1"/>
  <c r="CD63" i="1"/>
  <c r="CD64" i="1"/>
  <c r="CD65" i="1"/>
  <c r="CD66" i="1"/>
  <c r="CD67" i="1"/>
  <c r="CD68" i="1"/>
  <c r="CD69" i="1"/>
  <c r="CD70" i="1"/>
  <c r="CD71" i="1"/>
  <c r="CD72" i="1"/>
  <c r="CD73" i="1"/>
  <c r="CD74" i="1"/>
  <c r="CD75" i="1"/>
  <c r="CD76" i="1"/>
  <c r="CD77" i="1"/>
  <c r="CD78" i="1"/>
  <c r="CD79" i="1"/>
  <c r="CD80" i="1"/>
  <c r="CD81" i="1"/>
  <c r="CD82" i="1"/>
  <c r="CD43" i="1"/>
  <c r="CC44" i="1"/>
  <c r="CC45" i="1"/>
  <c r="CC46" i="1"/>
  <c r="CC47" i="1"/>
  <c r="CC48" i="1"/>
  <c r="CC49" i="1"/>
  <c r="CC50" i="1"/>
  <c r="CC51" i="1"/>
  <c r="CC52" i="1"/>
  <c r="CC53" i="1"/>
  <c r="CC54" i="1"/>
  <c r="CC55" i="1"/>
  <c r="CC56" i="1"/>
  <c r="CC57" i="1"/>
  <c r="CC58" i="1"/>
  <c r="CC59" i="1"/>
  <c r="CC60" i="1"/>
  <c r="CC61" i="1"/>
  <c r="CC62" i="1"/>
  <c r="CC63" i="1"/>
  <c r="CC64" i="1"/>
  <c r="CC65" i="1"/>
  <c r="CC66" i="1"/>
  <c r="CC67" i="1"/>
  <c r="CC68" i="1"/>
  <c r="CC69" i="1"/>
  <c r="CC70" i="1"/>
  <c r="CC71" i="1"/>
  <c r="CC72" i="1"/>
  <c r="CC73" i="1"/>
  <c r="CC74" i="1"/>
  <c r="CC75" i="1"/>
  <c r="CC76" i="1"/>
  <c r="CC77" i="1"/>
  <c r="CC78" i="1"/>
  <c r="CC79" i="1"/>
  <c r="CC80" i="1"/>
  <c r="CC81" i="1"/>
  <c r="CC82" i="1"/>
  <c r="CC43" i="1"/>
  <c r="CI33" i="1"/>
  <c r="CJ33" i="1"/>
  <c r="CH33" i="1"/>
  <c r="CG33" i="1"/>
  <c r="CF33" i="1"/>
  <c r="CD33" i="1"/>
  <c r="CC33" i="1"/>
  <c r="CB33" i="1"/>
  <c r="AH28" i="1"/>
  <c r="AQ35" i="1" l="1"/>
  <c r="AQ34" i="1"/>
  <c r="AV57" i="1"/>
  <c r="AV60" i="1" s="1"/>
  <c r="AU60" i="1" s="1"/>
  <c r="AK33" i="1"/>
  <c r="AT44" i="1"/>
  <c r="AT45" i="1"/>
  <c r="AT46" i="1"/>
  <c r="AT47" i="1"/>
  <c r="AT43" i="1"/>
  <c r="AK36" i="1"/>
  <c r="AV61" i="1"/>
  <c r="AV64" i="1"/>
  <c r="CA33" i="1" l="1"/>
  <c r="AV59" i="1"/>
  <c r="AU59" i="1" s="1"/>
  <c r="AV58" i="1" s="1"/>
  <c r="V42" i="1"/>
  <c r="CY32" i="1" s="1"/>
  <c r="U42" i="1"/>
  <c r="CX32" i="1" s="1"/>
  <c r="T42" i="1"/>
  <c r="CW32" i="1" s="1"/>
  <c r="S42" i="1"/>
  <c r="CV32" i="1" s="1"/>
  <c r="R42" i="1"/>
  <c r="CU32" i="1" s="1"/>
  <c r="AV65" i="1"/>
  <c r="AU65" i="1" s="1"/>
  <c r="AS41" i="1"/>
  <c r="AQ41" i="1"/>
  <c r="AX76" i="1" l="1"/>
  <c r="V67" i="1"/>
  <c r="S66" i="1"/>
  <c r="S50" i="1"/>
  <c r="U80" i="1"/>
  <c r="V75" i="1"/>
  <c r="R79" i="1"/>
  <c r="T53" i="1"/>
  <c r="R55" i="1"/>
  <c r="T77" i="1"/>
  <c r="U64" i="1"/>
  <c r="V51" i="1"/>
  <c r="R63" i="1"/>
  <c r="S74" i="1"/>
  <c r="T61" i="1"/>
  <c r="U48" i="1"/>
  <c r="U72" i="1"/>
  <c r="V59" i="1"/>
  <c r="R47" i="1"/>
  <c r="V43" i="1"/>
  <c r="R71" i="1"/>
  <c r="S58" i="1"/>
  <c r="T45" i="1"/>
  <c r="S82" i="1"/>
  <c r="T69" i="1"/>
  <c r="U56" i="1"/>
  <c r="U43" i="1"/>
  <c r="R82" i="1"/>
  <c r="T80" i="1"/>
  <c r="V78" i="1"/>
  <c r="S77" i="1"/>
  <c r="U75" i="1"/>
  <c r="R74" i="1"/>
  <c r="T72" i="1"/>
  <c r="V70" i="1"/>
  <c r="S69" i="1"/>
  <c r="U67" i="1"/>
  <c r="R66" i="1"/>
  <c r="T64" i="1"/>
  <c r="V62" i="1"/>
  <c r="S61" i="1"/>
  <c r="U59" i="1"/>
  <c r="R58" i="1"/>
  <c r="T56" i="1"/>
  <c r="V54" i="1"/>
  <c r="S53" i="1"/>
  <c r="U51" i="1"/>
  <c r="R50" i="1"/>
  <c r="T48" i="1"/>
  <c r="V46" i="1"/>
  <c r="S45" i="1"/>
  <c r="T43" i="1"/>
  <c r="V81" i="1"/>
  <c r="S80" i="1"/>
  <c r="U78" i="1"/>
  <c r="R77" i="1"/>
  <c r="T75" i="1"/>
  <c r="V73" i="1"/>
  <c r="S72" i="1"/>
  <c r="U70" i="1"/>
  <c r="R69" i="1"/>
  <c r="T67" i="1"/>
  <c r="V65" i="1"/>
  <c r="S64" i="1"/>
  <c r="U62" i="1"/>
  <c r="R61" i="1"/>
  <c r="T59" i="1"/>
  <c r="V57" i="1"/>
  <c r="S56" i="1"/>
  <c r="U54" i="1"/>
  <c r="R53" i="1"/>
  <c r="T51" i="1"/>
  <c r="V49" i="1"/>
  <c r="S48" i="1"/>
  <c r="U46" i="1"/>
  <c r="R45" i="1"/>
  <c r="S43" i="1"/>
  <c r="U81" i="1"/>
  <c r="R80" i="1"/>
  <c r="T78" i="1"/>
  <c r="V76" i="1"/>
  <c r="S75" i="1"/>
  <c r="U73" i="1"/>
  <c r="R72" i="1"/>
  <c r="T70" i="1"/>
  <c r="V68" i="1"/>
  <c r="S67" i="1"/>
  <c r="U65" i="1"/>
  <c r="R64" i="1"/>
  <c r="T62" i="1"/>
  <c r="V60" i="1"/>
  <c r="S59" i="1"/>
  <c r="U57" i="1"/>
  <c r="R56" i="1"/>
  <c r="T54" i="1"/>
  <c r="V52" i="1"/>
  <c r="S51" i="1"/>
  <c r="U49" i="1"/>
  <c r="R48" i="1"/>
  <c r="T46" i="1"/>
  <c r="V44" i="1"/>
  <c r="R43" i="1"/>
  <c r="T81" i="1"/>
  <c r="V79" i="1"/>
  <c r="S78" i="1"/>
  <c r="U76" i="1"/>
  <c r="R75" i="1"/>
  <c r="T73" i="1"/>
  <c r="V71" i="1"/>
  <c r="S70" i="1"/>
  <c r="U68" i="1"/>
  <c r="R67" i="1"/>
  <c r="T65" i="1"/>
  <c r="V63" i="1"/>
  <c r="S62" i="1"/>
  <c r="U60" i="1"/>
  <c r="R59" i="1"/>
  <c r="T57" i="1"/>
  <c r="V55" i="1"/>
  <c r="S54" i="1"/>
  <c r="U52" i="1"/>
  <c r="R51" i="1"/>
  <c r="T49" i="1"/>
  <c r="V47" i="1"/>
  <c r="S46" i="1"/>
  <c r="U44" i="1"/>
  <c r="V82" i="1"/>
  <c r="S81" i="1"/>
  <c r="U79" i="1"/>
  <c r="R78" i="1"/>
  <c r="T76" i="1"/>
  <c r="V74" i="1"/>
  <c r="S73" i="1"/>
  <c r="U71" i="1"/>
  <c r="R70" i="1"/>
  <c r="T68" i="1"/>
  <c r="V66" i="1"/>
  <c r="S65" i="1"/>
  <c r="U63" i="1"/>
  <c r="R62" i="1"/>
  <c r="T60" i="1"/>
  <c r="V58" i="1"/>
  <c r="S57" i="1"/>
  <c r="U55" i="1"/>
  <c r="R54" i="1"/>
  <c r="T52" i="1"/>
  <c r="V50" i="1"/>
  <c r="S49" i="1"/>
  <c r="U47" i="1"/>
  <c r="R46" i="1"/>
  <c r="T44" i="1"/>
  <c r="U82" i="1"/>
  <c r="R81" i="1"/>
  <c r="T79" i="1"/>
  <c r="V77" i="1"/>
  <c r="S76" i="1"/>
  <c r="U74" i="1"/>
  <c r="R73" i="1"/>
  <c r="T71" i="1"/>
  <c r="V69" i="1"/>
  <c r="S68" i="1"/>
  <c r="U66" i="1"/>
  <c r="R65" i="1"/>
  <c r="T63" i="1"/>
  <c r="V61" i="1"/>
  <c r="S60" i="1"/>
  <c r="U58" i="1"/>
  <c r="R57" i="1"/>
  <c r="T55" i="1"/>
  <c r="V53" i="1"/>
  <c r="S52" i="1"/>
  <c r="U50" i="1"/>
  <c r="R49" i="1"/>
  <c r="T47" i="1"/>
  <c r="V45" i="1"/>
  <c r="S44" i="1"/>
  <c r="T82" i="1"/>
  <c r="V80" i="1"/>
  <c r="S79" i="1"/>
  <c r="U77" i="1"/>
  <c r="R76" i="1"/>
  <c r="T74" i="1"/>
  <c r="V72" i="1"/>
  <c r="S71" i="1"/>
  <c r="U69" i="1"/>
  <c r="R68" i="1"/>
  <c r="T66" i="1"/>
  <c r="V64" i="1"/>
  <c r="S63" i="1"/>
  <c r="U61" i="1"/>
  <c r="R60" i="1"/>
  <c r="T58" i="1"/>
  <c r="V56" i="1"/>
  <c r="S55" i="1"/>
  <c r="U53" i="1"/>
  <c r="R52" i="1"/>
  <c r="T50" i="1"/>
  <c r="V48" i="1"/>
  <c r="S47" i="1"/>
  <c r="U45" i="1"/>
  <c r="R44" i="1"/>
  <c r="AV62" i="1"/>
  <c r="AV63" i="1"/>
  <c r="AV66" i="1"/>
  <c r="AU66" i="1" s="1"/>
  <c r="AX78" i="1"/>
  <c r="AX80" i="1"/>
  <c r="AX81" i="1"/>
  <c r="AX77" i="1"/>
  <c r="AX79" i="1"/>
  <c r="AX75" i="1"/>
  <c r="AX82" i="1"/>
  <c r="AX74" i="1"/>
  <c r="AW42" i="1"/>
  <c r="CP33" i="1" s="1"/>
  <c r="J1" i="4"/>
  <c r="J42" i="4"/>
  <c r="J41" i="4"/>
  <c r="J40" i="4"/>
  <c r="J39" i="4"/>
  <c r="J38" i="4"/>
  <c r="J37" i="4"/>
  <c r="J36" i="4"/>
  <c r="J35" i="4"/>
  <c r="J34" i="4"/>
  <c r="J33" i="4"/>
  <c r="J32" i="4"/>
  <c r="J31" i="4"/>
  <c r="J30" i="4"/>
  <c r="J29" i="4"/>
  <c r="J28" i="4"/>
  <c r="J27" i="4"/>
  <c r="J26" i="4"/>
  <c r="J25" i="4"/>
  <c r="J24" i="4"/>
  <c r="J23" i="4"/>
  <c r="J22" i="4"/>
  <c r="J21" i="4"/>
  <c r="J20" i="4"/>
  <c r="J19" i="4"/>
  <c r="J18" i="4"/>
  <c r="J17" i="4"/>
  <c r="J16" i="4"/>
  <c r="J15" i="4"/>
  <c r="J14" i="4"/>
  <c r="J13" i="4"/>
  <c r="J12" i="4"/>
  <c r="J11" i="4"/>
  <c r="J10" i="4"/>
  <c r="J9" i="4"/>
  <c r="J8" i="4"/>
  <c r="J7" i="4"/>
  <c r="J6" i="4"/>
  <c r="J5" i="4"/>
  <c r="J4" i="4"/>
  <c r="J3" i="4"/>
  <c r="G42" i="4"/>
  <c r="G41" i="4"/>
  <c r="G40" i="4"/>
  <c r="G39" i="4"/>
  <c r="G38" i="4"/>
  <c r="G37" i="4"/>
  <c r="G36" i="4"/>
  <c r="G35" i="4"/>
  <c r="G34" i="4"/>
  <c r="G33" i="4"/>
  <c r="G32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1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3" i="4"/>
  <c r="U41" i="1" l="1"/>
  <c r="T41" i="1"/>
  <c r="R41" i="1"/>
  <c r="CU33" i="1" s="1"/>
  <c r="S41" i="1"/>
  <c r="CV33" i="1" s="1"/>
  <c r="V41" i="1"/>
  <c r="CY33" i="1" s="1"/>
  <c r="AU63" i="1"/>
  <c r="AS49" i="1"/>
  <c r="AU62" i="1"/>
  <c r="AQ49" i="1"/>
  <c r="D1" i="4"/>
  <c r="AS33" i="1"/>
  <c r="AN74" i="1"/>
  <c r="AO74" i="1"/>
  <c r="AN75" i="1"/>
  <c r="AO75" i="1"/>
  <c r="AN76" i="1"/>
  <c r="AO76" i="1"/>
  <c r="AN77" i="1"/>
  <c r="AO77" i="1"/>
  <c r="AN78" i="1"/>
  <c r="AO78" i="1"/>
  <c r="AN79" i="1"/>
  <c r="AO79" i="1"/>
  <c r="AN80" i="1"/>
  <c r="AO80" i="1"/>
  <c r="AN81" i="1"/>
  <c r="AO81" i="1"/>
  <c r="AN82" i="1"/>
  <c r="AO82" i="1"/>
  <c r="A1" i="4"/>
  <c r="AH45" i="1" l="1"/>
  <c r="AH53" i="1"/>
  <c r="AH61" i="1"/>
  <c r="AH69" i="1"/>
  <c r="AH77" i="1"/>
  <c r="AH46" i="1"/>
  <c r="AH54" i="1"/>
  <c r="AH62" i="1"/>
  <c r="AH70" i="1"/>
  <c r="AH78" i="1"/>
  <c r="AH47" i="1"/>
  <c r="AH55" i="1"/>
  <c r="AH63" i="1"/>
  <c r="AH71" i="1"/>
  <c r="AH79" i="1"/>
  <c r="AH48" i="1"/>
  <c r="AH56" i="1"/>
  <c r="AH64" i="1"/>
  <c r="AH72" i="1"/>
  <c r="AH80" i="1"/>
  <c r="AH57" i="1"/>
  <c r="AH65" i="1"/>
  <c r="AH73" i="1"/>
  <c r="AH81" i="1"/>
  <c r="AH50" i="1"/>
  <c r="AH58" i="1"/>
  <c r="AH66" i="1"/>
  <c r="AH74" i="1"/>
  <c r="AH82" i="1"/>
  <c r="AH67" i="1"/>
  <c r="AH75" i="1"/>
  <c r="AH52" i="1"/>
  <c r="AH60" i="1"/>
  <c r="AH68" i="1"/>
  <c r="AH76" i="1"/>
  <c r="AH49" i="1"/>
  <c r="AH51" i="1"/>
  <c r="AH59" i="1"/>
  <c r="AT38" i="1"/>
  <c r="AH44" i="1"/>
  <c r="AH43" i="1"/>
  <c r="BZ33" i="1"/>
  <c r="BZ31" i="1" s="1"/>
  <c r="CX33" i="1"/>
  <c r="CW33" i="1"/>
  <c r="CE33" i="1"/>
  <c r="AR64" i="1"/>
  <c r="AR61" i="1"/>
  <c r="AR60" i="1"/>
  <c r="AK42" i="1"/>
  <c r="AR63" i="1"/>
  <c r="AR62" i="1"/>
  <c r="AF74" i="1"/>
  <c r="AC74" i="1"/>
  <c r="AD74" i="1"/>
  <c r="AE74" i="1"/>
  <c r="AD79" i="1"/>
  <c r="AE79" i="1"/>
  <c r="AF79" i="1"/>
  <c r="AC79" i="1"/>
  <c r="AC78" i="1"/>
  <c r="AD78" i="1"/>
  <c r="AE78" i="1"/>
  <c r="AF78" i="1"/>
  <c r="AD77" i="1"/>
  <c r="AE77" i="1"/>
  <c r="AF77" i="1"/>
  <c r="AC77" i="1"/>
  <c r="AC76" i="1"/>
  <c r="AD76" i="1"/>
  <c r="AF76" i="1"/>
  <c r="AE76" i="1"/>
  <c r="AD75" i="1"/>
  <c r="AE75" i="1"/>
  <c r="AF75" i="1"/>
  <c r="AC75" i="1"/>
  <c r="AC82" i="1"/>
  <c r="AD82" i="1"/>
  <c r="AF82" i="1"/>
  <c r="AE82" i="1"/>
  <c r="AD81" i="1"/>
  <c r="AE81" i="1"/>
  <c r="AF81" i="1"/>
  <c r="AC81" i="1"/>
  <c r="AC80" i="1"/>
  <c r="AD80" i="1"/>
  <c r="AE80" i="1"/>
  <c r="AF80" i="1"/>
  <c r="AI81" i="1" l="1"/>
  <c r="AI77" i="1"/>
  <c r="AI79" i="1"/>
  <c r="AI75" i="1"/>
  <c r="AI82" i="1"/>
  <c r="AI76" i="1"/>
  <c r="AI74" i="1"/>
  <c r="AI78" i="1"/>
  <c r="AI80" i="1"/>
  <c r="CB80" i="1" l="1"/>
  <c r="CA80" i="1"/>
  <c r="CA74" i="1"/>
  <c r="CB74" i="1"/>
  <c r="CA77" i="1"/>
  <c r="CB77" i="1"/>
  <c r="CA76" i="1"/>
  <c r="CB76" i="1"/>
  <c r="CA79" i="1"/>
  <c r="CB79" i="1"/>
  <c r="CA82" i="1"/>
  <c r="CB82" i="1"/>
  <c r="CA78" i="1"/>
  <c r="CB78" i="1"/>
  <c r="CA81" i="1"/>
  <c r="CB81" i="1"/>
  <c r="CB75" i="1"/>
  <c r="CA75" i="1"/>
  <c r="CG78" i="1" l="1"/>
  <c r="CH78" i="1"/>
  <c r="CG77" i="1"/>
  <c r="CH77" i="1"/>
  <c r="CG81" i="1"/>
  <c r="CH81" i="1"/>
  <c r="CG76" i="1"/>
  <c r="CH76" i="1"/>
  <c r="CG82" i="1"/>
  <c r="CH82" i="1"/>
  <c r="CG74" i="1"/>
  <c r="CH74" i="1"/>
  <c r="CG79" i="1"/>
  <c r="CH79" i="1"/>
  <c r="CG75" i="1"/>
  <c r="CH75" i="1"/>
  <c r="CG80" i="1"/>
  <c r="CH80" i="1"/>
  <c r="CE78" i="1"/>
  <c r="CF78" i="1"/>
  <c r="CE77" i="1"/>
  <c r="CF77" i="1"/>
  <c r="CE75" i="1"/>
  <c r="CF75" i="1"/>
  <c r="CE82" i="1"/>
  <c r="CF82" i="1"/>
  <c r="CE81" i="1"/>
  <c r="CF81" i="1"/>
  <c r="CE74" i="1"/>
  <c r="CF74" i="1"/>
  <c r="CE76" i="1"/>
  <c r="CF76" i="1"/>
  <c r="CE79" i="1"/>
  <c r="CF79" i="1"/>
  <c r="CE80" i="1"/>
  <c r="CF80" i="1"/>
  <c r="AS56" i="1"/>
  <c r="AN52" i="1"/>
  <c r="AD52" i="1" s="1"/>
  <c r="AO52" i="1"/>
  <c r="AA52" i="1" s="1"/>
  <c r="AN53" i="1"/>
  <c r="AC53" i="1" s="1"/>
  <c r="AO53" i="1"/>
  <c r="AA53" i="1" s="1"/>
  <c r="AN54" i="1"/>
  <c r="AC54" i="1" s="1"/>
  <c r="AO54" i="1"/>
  <c r="AB54" i="1" s="1"/>
  <c r="AN55" i="1"/>
  <c r="AC55" i="1" s="1"/>
  <c r="AO55" i="1"/>
  <c r="AB55" i="1" s="1"/>
  <c r="AN56" i="1"/>
  <c r="AC56" i="1" s="1"/>
  <c r="AO56" i="1"/>
  <c r="AB56" i="1" s="1"/>
  <c r="AN57" i="1"/>
  <c r="AC57" i="1" s="1"/>
  <c r="AO57" i="1"/>
  <c r="AA57" i="1" s="1"/>
  <c r="AN58" i="1"/>
  <c r="AC58" i="1" s="1"/>
  <c r="AO58" i="1"/>
  <c r="AA58" i="1" s="1"/>
  <c r="AN59" i="1"/>
  <c r="AC59" i="1" s="1"/>
  <c r="AO59" i="1"/>
  <c r="AA59" i="1" s="1"/>
  <c r="AN60" i="1"/>
  <c r="AC60" i="1" s="1"/>
  <c r="AO60" i="1"/>
  <c r="AA60" i="1" s="1"/>
  <c r="AN61" i="1"/>
  <c r="AC61" i="1" s="1"/>
  <c r="AO61" i="1"/>
  <c r="AA61" i="1" s="1"/>
  <c r="AN62" i="1"/>
  <c r="AC62" i="1" s="1"/>
  <c r="AO62" i="1"/>
  <c r="AB62" i="1" s="1"/>
  <c r="AN63" i="1"/>
  <c r="AC63" i="1" s="1"/>
  <c r="AO63" i="1"/>
  <c r="AB63" i="1" s="1"/>
  <c r="AN64" i="1"/>
  <c r="AC64" i="1" s="1"/>
  <c r="AO64" i="1"/>
  <c r="AB64" i="1" s="1"/>
  <c r="AN65" i="1"/>
  <c r="AC65" i="1" s="1"/>
  <c r="AO65" i="1"/>
  <c r="AA65" i="1" s="1"/>
  <c r="AN66" i="1"/>
  <c r="AC66" i="1" s="1"/>
  <c r="AO66" i="1"/>
  <c r="AA66" i="1" s="1"/>
  <c r="AN67" i="1"/>
  <c r="AC67" i="1" s="1"/>
  <c r="AO67" i="1"/>
  <c r="AN68" i="1"/>
  <c r="AC68" i="1" s="1"/>
  <c r="AO68" i="1"/>
  <c r="AA68" i="1" s="1"/>
  <c r="AN69" i="1"/>
  <c r="AC69" i="1" s="1"/>
  <c r="AO69" i="1"/>
  <c r="AA69" i="1" s="1"/>
  <c r="AN70" i="1"/>
  <c r="AC70" i="1" s="1"/>
  <c r="AO70" i="1"/>
  <c r="AB70" i="1" s="1"/>
  <c r="AN71" i="1"/>
  <c r="AO71" i="1"/>
  <c r="AN72" i="1"/>
  <c r="AC72" i="1" s="1"/>
  <c r="AO72" i="1"/>
  <c r="AB72" i="1" s="1"/>
  <c r="AN73" i="1"/>
  <c r="AO73" i="1"/>
  <c r="AA73" i="1" s="1"/>
  <c r="AO44" i="1"/>
  <c r="AB44" i="1" s="1"/>
  <c r="AO45" i="1"/>
  <c r="AO46" i="1"/>
  <c r="AB46" i="1" s="1"/>
  <c r="AO47" i="1"/>
  <c r="AB47" i="1" s="1"/>
  <c r="AO48" i="1"/>
  <c r="AO49" i="1"/>
  <c r="AO50" i="1"/>
  <c r="AA50" i="1" s="1"/>
  <c r="AO51" i="1"/>
  <c r="AA51" i="1" s="1"/>
  <c r="AN44" i="1"/>
  <c r="AN45" i="1"/>
  <c r="AN46" i="1"/>
  <c r="AN47" i="1"/>
  <c r="AN48" i="1"/>
  <c r="AN49" i="1"/>
  <c r="AN50" i="1"/>
  <c r="AN51" i="1"/>
  <c r="AN43" i="1"/>
  <c r="AQ61" i="1"/>
  <c r="AS61" i="1" s="1"/>
  <c r="AQ62" i="1"/>
  <c r="AS62" i="1" s="1"/>
  <c r="AQ63" i="1"/>
  <c r="AS63" i="1" s="1"/>
  <c r="AQ64" i="1"/>
  <c r="AS64" i="1" s="1"/>
  <c r="AQ60" i="1"/>
  <c r="AS60" i="1" s="1"/>
  <c r="AR56" i="1"/>
  <c r="AS48" i="1"/>
  <c r="AR48" i="1"/>
  <c r="AA49" i="1" l="1"/>
  <c r="CM33" i="1"/>
  <c r="CN33" i="1"/>
  <c r="CK33" i="1"/>
  <c r="CL33" i="1"/>
  <c r="AD73" i="1"/>
  <c r="AF73" i="1"/>
  <c r="AC73" i="1"/>
  <c r="AE73" i="1" s="1"/>
  <c r="AC71" i="1"/>
  <c r="AR58" i="1"/>
  <c r="AB71" i="1"/>
  <c r="AD59" i="1"/>
  <c r="AD63" i="1"/>
  <c r="AD67" i="1"/>
  <c r="AA55" i="1"/>
  <c r="AD71" i="1"/>
  <c r="AD55" i="1"/>
  <c r="AB68" i="1"/>
  <c r="AD72" i="1"/>
  <c r="AD68" i="1"/>
  <c r="AD64" i="1"/>
  <c r="AD60" i="1"/>
  <c r="AD56" i="1"/>
  <c r="AB60" i="1"/>
  <c r="AB52" i="1"/>
  <c r="AD66" i="1"/>
  <c r="AD62" i="1"/>
  <c r="AD58" i="1"/>
  <c r="AD54" i="1"/>
  <c r="AD70" i="1"/>
  <c r="AA63" i="1"/>
  <c r="AB69" i="1"/>
  <c r="AB61" i="1"/>
  <c r="AB53" i="1"/>
  <c r="AA72" i="1"/>
  <c r="AA64" i="1"/>
  <c r="AA56" i="1"/>
  <c r="AA46" i="1"/>
  <c r="AB67" i="1"/>
  <c r="AA67" i="1" s="1"/>
  <c r="AB59" i="1"/>
  <c r="AB51" i="1"/>
  <c r="AA70" i="1"/>
  <c r="AA62" i="1"/>
  <c r="AA54" i="1"/>
  <c r="AB66" i="1"/>
  <c r="AB58" i="1"/>
  <c r="AB50" i="1"/>
  <c r="AB73" i="1"/>
  <c r="AB65" i="1"/>
  <c r="AB57" i="1"/>
  <c r="AB49" i="1"/>
  <c r="AB48" i="1"/>
  <c r="AD69" i="1"/>
  <c r="AD65" i="1"/>
  <c r="AD61" i="1"/>
  <c r="AD57" i="1"/>
  <c r="AD53" i="1"/>
  <c r="AB45" i="1"/>
  <c r="AC52" i="1"/>
  <c r="CQ33" i="1" l="1"/>
  <c r="AI73" i="1"/>
  <c r="BZ73" i="1" s="1"/>
  <c r="CI73" i="1" s="1"/>
  <c r="AA71" i="1"/>
  <c r="CA73" i="1" l="1"/>
  <c r="CB73" i="1"/>
  <c r="CG73" i="1" l="1"/>
  <c r="CH73" i="1"/>
  <c r="CE73" i="1"/>
  <c r="CF73" i="1"/>
  <c r="AX73" i="1"/>
  <c r="AO43" i="1" l="1"/>
  <c r="AR59" i="1" s="1"/>
  <c r="AC44" i="1"/>
  <c r="AC45" i="1"/>
  <c r="AD46" i="1"/>
  <c r="AC51" i="1"/>
  <c r="CR33" i="1" l="1"/>
  <c r="AB43" i="1"/>
  <c r="AD50" i="1"/>
  <c r="AC50" i="1"/>
  <c r="AD49" i="1"/>
  <c r="AC49" i="1"/>
  <c r="AD48" i="1"/>
  <c r="AC48" i="1"/>
  <c r="AD47" i="1"/>
  <c r="AC47" i="1"/>
  <c r="AC46" i="1"/>
  <c r="AD45" i="1"/>
  <c r="AD44" i="1"/>
  <c r="AD51" i="1"/>
  <c r="AD43" i="1"/>
  <c r="AC43" i="1"/>
  <c r="AA48" i="1" l="1"/>
  <c r="AA45" i="1"/>
  <c r="AF72" i="1"/>
  <c r="AF71" i="1"/>
  <c r="AF70" i="1"/>
  <c r="AE70" i="1"/>
  <c r="AE71" i="1"/>
  <c r="AE72" i="1"/>
  <c r="AE64" i="1"/>
  <c r="AE65" i="1"/>
  <c r="AE60" i="1"/>
  <c r="AE63" i="1"/>
  <c r="AE66" i="1"/>
  <c r="AE61" i="1"/>
  <c r="AE62" i="1"/>
  <c r="AE59" i="1"/>
  <c r="AE58" i="1"/>
  <c r="AE57" i="1"/>
  <c r="AE55" i="1"/>
  <c r="AE67" i="1"/>
  <c r="AE54" i="1"/>
  <c r="AE68" i="1"/>
  <c r="AE69" i="1"/>
  <c r="AE53" i="1"/>
  <c r="AE56" i="1"/>
  <c r="AF53" i="1"/>
  <c r="AF56" i="1"/>
  <c r="AF63" i="1"/>
  <c r="AF54" i="1"/>
  <c r="AF59" i="1"/>
  <c r="AF64" i="1"/>
  <c r="AF67" i="1"/>
  <c r="AF60" i="1"/>
  <c r="AF68" i="1"/>
  <c r="AF55" i="1"/>
  <c r="AF58" i="1"/>
  <c r="AF65" i="1"/>
  <c r="AF62" i="1"/>
  <c r="AF61" i="1"/>
  <c r="AF57" i="1"/>
  <c r="AF66" i="1"/>
  <c r="AF69" i="1"/>
  <c r="AA47" i="1"/>
  <c r="AA44" i="1"/>
  <c r="AA43" i="1"/>
  <c r="AF52" i="1"/>
  <c r="AE43" i="1"/>
  <c r="AE52" i="1"/>
  <c r="AF49" i="1"/>
  <c r="AF48" i="1"/>
  <c r="AF51" i="1"/>
  <c r="AE51" i="1"/>
  <c r="AF47" i="1"/>
  <c r="AE49" i="1"/>
  <c r="AE47" i="1"/>
  <c r="AE48" i="1"/>
  <c r="AF50" i="1"/>
  <c r="AE50" i="1"/>
  <c r="AE46" i="1"/>
  <c r="AF45" i="1"/>
  <c r="AF43" i="1"/>
  <c r="AF46" i="1"/>
  <c r="AI46" i="1" s="1"/>
  <c r="BZ46" i="1" s="1"/>
  <c r="CI46" i="1" s="1"/>
  <c r="AF44" i="1"/>
  <c r="AE44" i="1"/>
  <c r="AE45" i="1"/>
  <c r="AI68" i="1" l="1"/>
  <c r="AI60" i="1"/>
  <c r="AI62" i="1"/>
  <c r="AI59" i="1"/>
  <c r="AI52" i="1"/>
  <c r="BZ52" i="1" s="1"/>
  <c r="AI69" i="1"/>
  <c r="AI53" i="1"/>
  <c r="BZ53" i="1" s="1"/>
  <c r="AI48" i="1"/>
  <c r="BZ48" i="1" s="1"/>
  <c r="AI49" i="1"/>
  <c r="BZ49" i="1" s="1"/>
  <c r="CA46" i="1"/>
  <c r="CB46" i="1"/>
  <c r="AI57" i="1"/>
  <c r="BZ57" i="1" s="1"/>
  <c r="CI57" i="1" s="1"/>
  <c r="AI61" i="1"/>
  <c r="BZ61" i="1" s="1"/>
  <c r="CI61" i="1" s="1"/>
  <c r="AI64" i="1"/>
  <c r="BZ64" i="1" s="1"/>
  <c r="CI64" i="1" s="1"/>
  <c r="AI43" i="1"/>
  <c r="BZ43" i="1" s="1"/>
  <c r="CI43" i="1" s="1"/>
  <c r="AI50" i="1"/>
  <c r="BZ50" i="1" s="1"/>
  <c r="CI50" i="1" s="1"/>
  <c r="AI67" i="1"/>
  <c r="BZ67" i="1" s="1"/>
  <c r="CI67" i="1" s="1"/>
  <c r="AI47" i="1"/>
  <c r="BZ47" i="1" s="1"/>
  <c r="CI47" i="1" s="1"/>
  <c r="AI65" i="1"/>
  <c r="BZ65" i="1" s="1"/>
  <c r="CI65" i="1" s="1"/>
  <c r="AI54" i="1"/>
  <c r="BZ54" i="1" s="1"/>
  <c r="CI54" i="1" s="1"/>
  <c r="AI70" i="1"/>
  <c r="BZ70" i="1" s="1"/>
  <c r="CI70" i="1" s="1"/>
  <c r="AI45" i="1"/>
  <c r="BZ45" i="1" s="1"/>
  <c r="CI45" i="1" s="1"/>
  <c r="AI58" i="1"/>
  <c r="BZ58" i="1" s="1"/>
  <c r="CI58" i="1" s="1"/>
  <c r="AI63" i="1"/>
  <c r="BZ63" i="1" s="1"/>
  <c r="CI63" i="1" s="1"/>
  <c r="AI51" i="1"/>
  <c r="BZ51" i="1" s="1"/>
  <c r="CI51" i="1" s="1"/>
  <c r="AI55" i="1"/>
  <c r="BZ55" i="1" s="1"/>
  <c r="CI55" i="1" s="1"/>
  <c r="AI56" i="1"/>
  <c r="BZ56" i="1" s="1"/>
  <c r="CI56" i="1" s="1"/>
  <c r="AI66" i="1"/>
  <c r="BZ66" i="1" s="1"/>
  <c r="CI66" i="1" s="1"/>
  <c r="AI72" i="1"/>
  <c r="BZ72" i="1" s="1"/>
  <c r="CI72" i="1" s="1"/>
  <c r="AI44" i="1"/>
  <c r="BZ44" i="1" s="1"/>
  <c r="CI44" i="1" s="1"/>
  <c r="AI71" i="1"/>
  <c r="BZ71" i="1" s="1"/>
  <c r="CI71" i="1" s="1"/>
  <c r="AS59" i="1"/>
  <c r="AS58" i="1"/>
  <c r="CB69" i="1" l="1"/>
  <c r="CH69" i="1" s="1"/>
  <c r="BZ69" i="1"/>
  <c r="CB68" i="1"/>
  <c r="CG68" i="1" s="1"/>
  <c r="BZ68" i="1"/>
  <c r="CB62" i="1"/>
  <c r="CG62" i="1" s="1"/>
  <c r="BZ62" i="1"/>
  <c r="CB59" i="1"/>
  <c r="CH59" i="1" s="1"/>
  <c r="BZ59" i="1"/>
  <c r="CB60" i="1"/>
  <c r="CG60" i="1" s="1"/>
  <c r="BZ60" i="1"/>
  <c r="CB52" i="1"/>
  <c r="CG52" i="1" s="1"/>
  <c r="CA49" i="1"/>
  <c r="CI49" i="1"/>
  <c r="CA48" i="1"/>
  <c r="CI48" i="1"/>
  <c r="CA53" i="1"/>
  <c r="CI53" i="1"/>
  <c r="CA52" i="1"/>
  <c r="CI52" i="1"/>
  <c r="CB48" i="1"/>
  <c r="CH48" i="1" s="1"/>
  <c r="CB53" i="1"/>
  <c r="CG53" i="1" s="1"/>
  <c r="CB49" i="1"/>
  <c r="CG49" i="1" s="1"/>
  <c r="CB44" i="1"/>
  <c r="CA44" i="1"/>
  <c r="CA43" i="1"/>
  <c r="BZ41" i="1" s="1"/>
  <c r="CG46" i="1"/>
  <c r="CH46" i="1"/>
  <c r="CA70" i="1"/>
  <c r="CB70" i="1"/>
  <c r="CA66" i="1"/>
  <c r="CB66" i="1"/>
  <c r="CA63" i="1"/>
  <c r="CB63" i="1"/>
  <c r="CA54" i="1"/>
  <c r="CB54" i="1"/>
  <c r="CA50" i="1"/>
  <c r="CB50" i="1"/>
  <c r="CA57" i="1"/>
  <c r="CB57" i="1"/>
  <c r="CA51" i="1"/>
  <c r="CB51" i="1"/>
  <c r="CA67" i="1"/>
  <c r="CB67" i="1"/>
  <c r="CA71" i="1"/>
  <c r="CB71" i="1"/>
  <c r="CA58" i="1"/>
  <c r="CB58" i="1"/>
  <c r="CA72" i="1"/>
  <c r="CB72" i="1"/>
  <c r="CA61" i="1"/>
  <c r="CB61" i="1"/>
  <c r="CA56" i="1"/>
  <c r="CB56" i="1"/>
  <c r="CA65" i="1"/>
  <c r="CB65" i="1"/>
  <c r="CE46" i="1"/>
  <c r="CF46" i="1"/>
  <c r="CA55" i="1"/>
  <c r="CB55" i="1"/>
  <c r="CA45" i="1"/>
  <c r="CB45" i="1"/>
  <c r="CA47" i="1"/>
  <c r="CB47" i="1"/>
  <c r="CA64" i="1"/>
  <c r="CB64" i="1"/>
  <c r="CB43" i="1"/>
  <c r="CT33" i="1"/>
  <c r="CS33" i="1"/>
  <c r="AX45" i="1"/>
  <c r="AU42" i="1"/>
  <c r="AX72" i="1"/>
  <c r="AX71" i="1"/>
  <c r="AX70" i="1"/>
  <c r="AX69" i="1"/>
  <c r="AX65" i="1"/>
  <c r="AX67" i="1"/>
  <c r="AX63" i="1"/>
  <c r="AX66" i="1"/>
  <c r="AX68" i="1"/>
  <c r="AX64" i="1"/>
  <c r="AX62" i="1"/>
  <c r="AX61" i="1"/>
  <c r="AX59" i="1"/>
  <c r="AX60" i="1"/>
  <c r="AX56" i="1"/>
  <c r="AX58" i="1"/>
  <c r="AX57" i="1"/>
  <c r="AX53" i="1"/>
  <c r="AX55" i="1"/>
  <c r="AX54" i="1"/>
  <c r="AX50" i="1"/>
  <c r="AX51" i="1"/>
  <c r="AX52" i="1"/>
  <c r="AX48" i="1"/>
  <c r="AX44" i="1"/>
  <c r="AX46" i="1"/>
  <c r="AX49" i="1"/>
  <c r="AX47" i="1"/>
  <c r="CG69" i="1" l="1"/>
  <c r="CE60" i="1"/>
  <c r="CF69" i="1"/>
  <c r="CE69" i="1"/>
  <c r="CE68" i="1"/>
  <c r="CF68" i="1"/>
  <c r="CH68" i="1"/>
  <c r="CF62" i="1"/>
  <c r="CI68" i="1"/>
  <c r="CA68" i="1"/>
  <c r="CI69" i="1"/>
  <c r="CA69" i="1"/>
  <c r="CE62" i="1"/>
  <c r="CH62" i="1"/>
  <c r="CI62" i="1"/>
  <c r="CA62" i="1"/>
  <c r="CF60" i="1"/>
  <c r="CH60" i="1"/>
  <c r="CG59" i="1"/>
  <c r="CF59" i="1"/>
  <c r="CE59" i="1"/>
  <c r="CF49" i="1"/>
  <c r="CI60" i="1"/>
  <c r="CA60" i="1"/>
  <c r="CI59" i="1"/>
  <c r="CA59" i="1"/>
  <c r="CG48" i="1"/>
  <c r="CF48" i="1"/>
  <c r="CE48" i="1"/>
  <c r="CF53" i="1"/>
  <c r="CF52" i="1"/>
  <c r="CE52" i="1"/>
  <c r="CH52" i="1"/>
  <c r="CH49" i="1"/>
  <c r="CH53" i="1"/>
  <c r="CE49" i="1"/>
  <c r="CE53" i="1"/>
  <c r="CG45" i="1"/>
  <c r="CH45" i="1"/>
  <c r="CG56" i="1"/>
  <c r="CH56" i="1"/>
  <c r="CG57" i="1"/>
  <c r="CH57" i="1"/>
  <c r="CG66" i="1"/>
  <c r="CH66" i="1"/>
  <c r="CG47" i="1"/>
  <c r="CH47" i="1"/>
  <c r="CG65" i="1"/>
  <c r="CH65" i="1"/>
  <c r="CG67" i="1"/>
  <c r="CH67" i="1"/>
  <c r="CG55" i="1"/>
  <c r="CH55" i="1"/>
  <c r="CG61" i="1"/>
  <c r="CH61" i="1"/>
  <c r="CG58" i="1"/>
  <c r="CH58" i="1"/>
  <c r="CG50" i="1"/>
  <c r="CH50" i="1"/>
  <c r="CH63" i="1"/>
  <c r="CG63" i="1"/>
  <c r="CG64" i="1"/>
  <c r="CH64" i="1"/>
  <c r="CG72" i="1"/>
  <c r="CH72" i="1"/>
  <c r="CH71" i="1"/>
  <c r="CG71" i="1"/>
  <c r="CH51" i="1"/>
  <c r="CG51" i="1"/>
  <c r="CH54" i="1"/>
  <c r="CG54" i="1"/>
  <c r="CH70" i="1"/>
  <c r="CG70" i="1"/>
  <c r="CH43" i="1"/>
  <c r="CF43" i="1"/>
  <c r="CG43" i="1"/>
  <c r="CE43" i="1"/>
  <c r="BY42" i="1"/>
  <c r="CG44" i="1"/>
  <c r="CE44" i="1"/>
  <c r="CH44" i="1"/>
  <c r="CF44" i="1"/>
  <c r="CE47" i="1"/>
  <c r="CF47" i="1"/>
  <c r="CE72" i="1"/>
  <c r="CF72" i="1"/>
  <c r="CE51" i="1"/>
  <c r="CF51" i="1"/>
  <c r="CE50" i="1"/>
  <c r="CF50" i="1"/>
  <c r="CE57" i="1"/>
  <c r="CF57" i="1"/>
  <c r="CE45" i="1"/>
  <c r="CF45" i="1"/>
  <c r="CE65" i="1"/>
  <c r="CF65" i="1"/>
  <c r="CE58" i="1"/>
  <c r="CF58" i="1"/>
  <c r="CE54" i="1"/>
  <c r="CF54" i="1"/>
  <c r="CE67" i="1"/>
  <c r="CF67" i="1"/>
  <c r="CE61" i="1"/>
  <c r="CF61" i="1"/>
  <c r="CE55" i="1"/>
  <c r="CF55" i="1"/>
  <c r="CE56" i="1"/>
  <c r="CF56" i="1"/>
  <c r="CE71" i="1"/>
  <c r="CF71" i="1"/>
  <c r="CE63" i="1"/>
  <c r="CF63" i="1"/>
  <c r="CE70" i="1"/>
  <c r="CF70" i="1"/>
  <c r="CE64" i="1"/>
  <c r="CF64" i="1"/>
  <c r="CE66" i="1"/>
  <c r="CF66" i="1"/>
  <c r="CO33" i="1"/>
  <c r="AX43" i="1" l="1"/>
  <c r="AX42" i="1" s="1"/>
</calcChain>
</file>

<file path=xl/sharedStrings.xml><?xml version="1.0" encoding="utf-8"?>
<sst xmlns="http://schemas.openxmlformats.org/spreadsheetml/2006/main" count="287" uniqueCount="135">
  <si>
    <t>date</t>
  </si>
  <si>
    <t>opérateur</t>
  </si>
  <si>
    <t>poids total</t>
  </si>
  <si>
    <t>OK</t>
  </si>
  <si>
    <t>NC</t>
  </si>
  <si>
    <t>si défaut</t>
  </si>
  <si>
    <t>machine</t>
  </si>
  <si>
    <t>prod</t>
  </si>
  <si>
    <t>of</t>
  </si>
  <si>
    <t>count</t>
  </si>
  <si>
    <t>Micronnaire</t>
  </si>
  <si>
    <t>Droite</t>
  </si>
  <si>
    <t>Gauche</t>
  </si>
  <si>
    <t>Final</t>
  </si>
  <si>
    <t>Poids</t>
  </si>
  <si>
    <t>Epaisseur</t>
  </si>
  <si>
    <t>micronnaire</t>
  </si>
  <si>
    <t>min</t>
  </si>
  <si>
    <t>max</t>
  </si>
  <si>
    <t>ep</t>
  </si>
  <si>
    <t>poids</t>
  </si>
  <si>
    <t>PRODUCTION</t>
  </si>
  <si>
    <t>Production</t>
  </si>
  <si>
    <t>défauts</t>
  </si>
  <si>
    <t>Fil</t>
  </si>
  <si>
    <t>Trou</t>
  </si>
  <si>
    <t>Autre</t>
  </si>
  <si>
    <t>Démarrage</t>
  </si>
  <si>
    <t>TRS</t>
  </si>
  <si>
    <t>objectif</t>
  </si>
  <si>
    <t>%</t>
  </si>
  <si>
    <t>num</t>
  </si>
  <si>
    <t>mic G</t>
  </si>
  <si>
    <t>mic D</t>
  </si>
  <si>
    <t>count NC</t>
  </si>
  <si>
    <t>E 2x250g</t>
  </si>
  <si>
    <t>E 500g</t>
  </si>
  <si>
    <t>E 50g</t>
  </si>
  <si>
    <t>F 340g/m2</t>
  </si>
  <si>
    <t>cmt</t>
  </si>
  <si>
    <t>count / 2</t>
  </si>
  <si>
    <t>TO</t>
  </si>
  <si>
    <t>fibrage théorique</t>
  </si>
  <si>
    <t>F 380g/m2</t>
  </si>
  <si>
    <t>post_id</t>
  </si>
  <si>
    <t>Matin</t>
  </si>
  <si>
    <t>final min</t>
  </si>
  <si>
    <t>final max</t>
  </si>
  <si>
    <t>Limit is the sky !</t>
  </si>
  <si>
    <t>poste</t>
  </si>
  <si>
    <t>opérateurs</t>
  </si>
  <si>
    <t>Nicolas B.</t>
  </si>
  <si>
    <t>Stéphane M.</t>
  </si>
  <si>
    <t>Jonathan N.</t>
  </si>
  <si>
    <t>Invité</t>
  </si>
  <si>
    <t>postes</t>
  </si>
  <si>
    <t>Après-midi</t>
  </si>
  <si>
    <t>Nuit</t>
  </si>
  <si>
    <t>Journée</t>
  </si>
  <si>
    <t>impulsion</t>
  </si>
  <si>
    <t>impulsions</t>
  </si>
  <si>
    <t>Infos poste &amp; production</t>
  </si>
  <si>
    <t>vitesse prim.</t>
  </si>
  <si>
    <t>Commentaires opérateur</t>
  </si>
  <si>
    <t>durée normale : 480</t>
  </si>
  <si>
    <t>Fibrage Laine</t>
  </si>
  <si>
    <t>Atelier QUARTZEL</t>
  </si>
  <si>
    <t>ManyO Prod Tracker</t>
  </si>
  <si>
    <t>manyO.dev</t>
  </si>
  <si>
    <t>Saint-Gobain-Quartz</t>
  </si>
  <si>
    <t>Saint-Pierre-lès-Nemours</t>
  </si>
  <si>
    <t>SD QU 08 14 rev 1</t>
  </si>
  <si>
    <t>revision</t>
  </si>
  <si>
    <t>changelog</t>
  </si>
  <si>
    <t>ajout machine E</t>
  </si>
  <si>
    <t>dernière data enregistrée</t>
  </si>
  <si>
    <t>mic d/g</t>
  </si>
  <si>
    <t>rev 1</t>
  </si>
  <si>
    <t>item_id</t>
  </si>
  <si>
    <t>defaut</t>
  </si>
  <si>
    <t>poids final</t>
  </si>
  <si>
    <t>jour</t>
  </si>
  <si>
    <t>to</t>
  </si>
  <si>
    <t>trs</t>
  </si>
  <si>
    <t>obj</t>
  </si>
  <si>
    <t>OK_count</t>
  </si>
  <si>
    <t>NC_count</t>
  </si>
  <si>
    <t>mic D avg</t>
  </si>
  <si>
    <t>mic G avg</t>
  </si>
  <si>
    <t>poids avg</t>
  </si>
  <si>
    <t>Effacer la feuille</t>
  </si>
  <si>
    <t>ThomasNau N.</t>
  </si>
  <si>
    <t>Valider le poste</t>
  </si>
  <si>
    <t>production</t>
  </si>
  <si>
    <t>blocage du scroll</t>
  </si>
  <si>
    <t>affichage du dernier poste enregistré sur la feuille de prod</t>
  </si>
  <si>
    <t>correction de "défault" en défaut :/</t>
  </si>
  <si>
    <t>David H.</t>
  </si>
  <si>
    <t xml:space="preserve"> </t>
  </si>
  <si>
    <t>START</t>
  </si>
  <si>
    <t>F</t>
  </si>
  <si>
    <t>91_F_A_Nicolas B.</t>
  </si>
  <si>
    <t>chemin des fichiers</t>
  </si>
  <si>
    <t>_dataTRS.xls</t>
  </si>
  <si>
    <t>_dataProduits.xls</t>
  </si>
  <si>
    <t>C:\Users\nicow\Documents\Quartzel\archivesProd\</t>
  </si>
  <si>
    <t>F1_91_A</t>
  </si>
  <si>
    <t>F2_91_A</t>
  </si>
  <si>
    <t>91_F_J_Nicolas B.</t>
  </si>
  <si>
    <t>F1_91_J</t>
  </si>
  <si>
    <t>F2_91_J</t>
  </si>
  <si>
    <t>91_F_A_ThomasNau N.</t>
  </si>
  <si>
    <t>91_F_A_David H.</t>
  </si>
  <si>
    <t>91_F_A_Stéphane M.</t>
  </si>
  <si>
    <t>vitesse primaire</t>
  </si>
  <si>
    <t>totaux</t>
  </si>
  <si>
    <t>92_F_A_Stéphane M.</t>
  </si>
  <si>
    <t>F1_92_A</t>
  </si>
  <si>
    <t>F2_92_A</t>
  </si>
  <si>
    <t>F3_92_A</t>
  </si>
  <si>
    <t>92_F_N_ThomasNau N.</t>
  </si>
  <si>
    <t>F1_92_N</t>
  </si>
  <si>
    <t>92_F_M_Nicolas B.</t>
  </si>
  <si>
    <t>F1_92_M</t>
  </si>
  <si>
    <t>92_E_J_Invité</t>
  </si>
  <si>
    <t>E</t>
  </si>
  <si>
    <t>E1_92_J</t>
  </si>
  <si>
    <t>E2_92_J</t>
  </si>
  <si>
    <t>93_E_N_ThomasNau N.</t>
  </si>
  <si>
    <t>E1_93_N</t>
  </si>
  <si>
    <t>E2_93_N</t>
  </si>
  <si>
    <t>93_E_N_Invité</t>
  </si>
  <si>
    <t>Afficher/masquer les archives TRS</t>
  </si>
  <si>
    <t>Afficher/masquer les données qualités</t>
  </si>
  <si>
    <t>Afficher/masquer les données produits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</si>
</sst>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h:mm;@"/>
    <numFmt numFmtId="165" formatCode="dddd"/>
  </numFmts>
  <fonts count="2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0"/>
      <name val="Calibri"/>
      <family val="2"/>
      <scheme val="minor"/>
    </font>
    <font>
      <sz val="9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68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theme="0" tint="-0.34998626667073579"/>
      <name val="Calibri"/>
      <family val="2"/>
      <scheme val="minor"/>
    </font>
    <font>
      <b/>
      <sz val="72"/>
      <color theme="0"/>
      <name val="Calibri"/>
      <family val="2"/>
      <scheme val="minor"/>
    </font>
    <font>
      <sz val="7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62"/>
      <color theme="0" tint="-0.499984740745262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11"/>
      <name val="Calibri"/>
      <family val="2"/>
      <scheme val="minor"/>
    </font>
    <font>
      <b/>
      <sz val="48"/>
      <color theme="0"/>
      <name val="Calibri"/>
      <family val="2"/>
      <scheme val="minor"/>
    </font>
    <font>
      <sz val="10"/>
      <color theme="0" tint="-0.249977111117893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34998626667073579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dotted">
        <color rgb="FF0070C0"/>
      </bottom>
      <diagonal/>
    </border>
    <border>
      <left/>
      <right/>
      <top style="dotted">
        <color rgb="FF0070C0"/>
      </top>
      <bottom/>
      <diagonal/>
    </border>
    <border>
      <left/>
      <right/>
      <top style="dotted">
        <color rgb="FF0070C0"/>
      </top>
      <bottom style="dotted">
        <color rgb="FF0070C0"/>
      </bottom>
      <diagonal/>
    </border>
    <border>
      <left/>
      <right/>
      <top/>
      <bottom style="thick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/>
      <right/>
      <top style="thin">
        <color theme="0" tint="-0.499984740745262"/>
      </top>
      <bottom/>
      <diagonal/>
    </border>
    <border>
      <left style="thick">
        <color theme="0"/>
      </left>
      <right/>
      <top style="thick">
        <color theme="0"/>
      </top>
      <bottom style="thick">
        <color theme="0"/>
      </bottom>
      <diagonal/>
    </border>
    <border>
      <left/>
      <right/>
      <top style="thick">
        <color theme="0"/>
      </top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 style="thick">
        <color theme="0"/>
      </bottom>
      <diagonal/>
    </border>
  </borders>
  <cellStyleXfs count="1">
    <xf numFmtId="0" fontId="0" fillId="0" borderId="0"/>
  </cellStyleXfs>
  <cellXfs count="87">
    <xf numFmtId="0" fontId="0" fillId="0" borderId="0" xfId="0"/>
    <xf numFmtId="0" fontId="0" fillId="2" borderId="0" xfId="0" applyFill="1" applyAlignment="1">
      <alignment vertical="center"/>
    </xf>
    <xf numFmtId="0" fontId="0" fillId="2" borderId="0" xfId="0" applyFill="1" applyAlignment="1">
      <alignment horizontal="center" vertical="center"/>
    </xf>
    <xf numFmtId="0" fontId="0" fillId="3" borderId="0" xfId="0" applyFill="1" applyAlignment="1" applyProtection="1">
      <alignment horizontal="center" vertical="center"/>
      <protection locked="0"/>
    </xf>
    <xf numFmtId="14" fontId="0" fillId="0" borderId="0" xfId="0" applyNumberFormat="1"/>
    <xf numFmtId="0" fontId="9" fillId="3" borderId="0" xfId="0" applyFont="1" applyFill="1" applyAlignment="1" applyProtection="1">
      <alignment horizontal="center" vertical="center"/>
      <protection locked="0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0" fontId="15" fillId="2" borderId="0" xfId="0" applyFont="1" applyFill="1" applyAlignment="1">
      <alignment horizontal="right" vertical="center"/>
    </xf>
    <xf numFmtId="0" fontId="0" fillId="6" borderId="0" xfId="0" applyFill="1" applyAlignment="1">
      <alignment vertical="center"/>
    </xf>
    <xf numFmtId="0" fontId="14" fillId="6" borderId="0" xfId="0" applyFont="1" applyFill="1" applyAlignment="1">
      <alignment vertical="center"/>
    </xf>
    <xf numFmtId="0" fontId="15" fillId="6" borderId="0" xfId="0" applyFont="1" applyFill="1" applyAlignment="1">
      <alignment horizontal="right" vertical="center"/>
    </xf>
    <xf numFmtId="0" fontId="3" fillId="6" borderId="0" xfId="0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9" fillId="2" borderId="0" xfId="0" applyFont="1" applyFill="1" applyAlignment="1">
      <alignment horizontal="right" vertical="center"/>
    </xf>
    <xf numFmtId="0" fontId="0" fillId="2" borderId="0" xfId="0" applyFill="1" applyAlignment="1">
      <alignment horizontal="right" vertical="center"/>
    </xf>
    <xf numFmtId="0" fontId="1" fillId="2" borderId="0" xfId="0" applyFont="1" applyFill="1" applyAlignment="1">
      <alignment horizontal="center" vertical="center"/>
    </xf>
    <xf numFmtId="14" fontId="0" fillId="2" borderId="0" xfId="0" applyNumberFormat="1" applyFill="1" applyAlignment="1">
      <alignment horizontal="center" vertical="center"/>
    </xf>
    <xf numFmtId="0" fontId="8" fillId="2" borderId="0" xfId="0" applyFont="1" applyFill="1" applyAlignment="1">
      <alignment horizontal="right" vertical="center"/>
    </xf>
    <xf numFmtId="164" fontId="5" fillId="2" borderId="0" xfId="0" applyNumberFormat="1" applyFont="1" applyFill="1" applyAlignment="1">
      <alignment horizontal="left" vertical="center"/>
    </xf>
    <xf numFmtId="0" fontId="5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vertical="center"/>
    </xf>
    <xf numFmtId="0" fontId="5" fillId="6" borderId="0" xfId="0" applyFont="1" applyFill="1" applyAlignment="1">
      <alignment horizontal="center" vertical="center"/>
    </xf>
    <xf numFmtId="0" fontId="0" fillId="2" borderId="0" xfId="0" applyFill="1" applyAlignment="1">
      <alignment horizontal="left" vertical="center"/>
    </xf>
    <xf numFmtId="0" fontId="3" fillId="7" borderId="0" xfId="0" applyFont="1" applyFill="1" applyAlignment="1">
      <alignment horizontal="center" vertical="center"/>
    </xf>
    <xf numFmtId="0" fontId="12" fillId="2" borderId="0" xfId="0" applyFont="1" applyFill="1" applyAlignment="1">
      <alignment horizontal="left" vertical="top"/>
    </xf>
    <xf numFmtId="0" fontId="4" fillId="2" borderId="0" xfId="0" applyFont="1" applyFill="1" applyAlignment="1">
      <alignment horizontal="center" vertical="top"/>
    </xf>
    <xf numFmtId="0" fontId="12" fillId="2" borderId="0" xfId="0" applyFont="1" applyFill="1" applyAlignment="1">
      <alignment horizontal="center" vertical="top"/>
    </xf>
    <xf numFmtId="0" fontId="0" fillId="2" borderId="0" xfId="0" applyFill="1" applyAlignment="1">
      <alignment vertical="top"/>
    </xf>
    <xf numFmtId="0" fontId="0" fillId="6" borderId="0" xfId="0" applyFill="1" applyAlignment="1">
      <alignment horizontal="center" vertical="center"/>
    </xf>
    <xf numFmtId="0" fontId="4" fillId="2" borderId="0" xfId="0" applyFont="1" applyFill="1" applyAlignment="1">
      <alignment vertical="center"/>
    </xf>
    <xf numFmtId="0" fontId="4" fillId="8" borderId="0" xfId="0" applyFont="1" applyFill="1" applyAlignment="1">
      <alignment horizontal="right" vertical="center"/>
    </xf>
    <xf numFmtId="0" fontId="6" fillId="8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6" fillId="2" borderId="0" xfId="0" applyFont="1" applyFill="1" applyAlignment="1">
      <alignment horizontal="center" vertical="center"/>
    </xf>
    <xf numFmtId="0" fontId="5" fillId="2" borderId="0" xfId="0" applyFont="1" applyFill="1" applyAlignment="1">
      <alignment vertical="center"/>
    </xf>
    <xf numFmtId="0" fontId="5" fillId="2" borderId="0" xfId="0" applyFont="1" applyFill="1" applyAlignment="1">
      <alignment horizontal="left" vertical="center"/>
    </xf>
    <xf numFmtId="0" fontId="5" fillId="2" borderId="0" xfId="0" applyFont="1" applyFill="1" applyAlignment="1">
      <alignment horizontal="right" vertical="center"/>
    </xf>
    <xf numFmtId="0" fontId="11" fillId="3" borderId="0" xfId="0" applyFont="1" applyFill="1" applyAlignment="1" applyProtection="1">
      <alignment horizontal="center" vertical="center"/>
      <protection locked="0"/>
    </xf>
    <xf numFmtId="14" fontId="7" fillId="3" borderId="1" xfId="0" applyNumberFormat="1" applyFont="1" applyFill="1" applyBorder="1" applyAlignment="1" applyProtection="1">
      <alignment horizontal="center" vertical="center"/>
      <protection locked="0"/>
    </xf>
    <xf numFmtId="0" fontId="7" fillId="3" borderId="3" xfId="0" applyFont="1" applyFill="1" applyBorder="1" applyAlignment="1" applyProtection="1">
      <alignment horizontal="center" vertical="center"/>
      <protection locked="0"/>
    </xf>
    <xf numFmtId="0" fontId="7" fillId="3" borderId="2" xfId="0" applyFont="1" applyFill="1" applyBorder="1" applyAlignment="1" applyProtection="1">
      <alignment horizontal="center" vertical="center"/>
      <protection locked="0"/>
    </xf>
    <xf numFmtId="14" fontId="0" fillId="2" borderId="0" xfId="0" applyNumberFormat="1" applyFill="1" applyAlignment="1">
      <alignment vertical="center"/>
    </xf>
    <xf numFmtId="0" fontId="3" fillId="6" borderId="0" xfId="0" applyFont="1" applyFill="1" applyAlignment="1">
      <alignment horizontal="left" vertical="center"/>
    </xf>
    <xf numFmtId="0" fontId="17" fillId="2" borderId="0" xfId="0" applyFont="1" applyFill="1" applyAlignment="1">
      <alignment horizontal="right" vertical="center"/>
    </xf>
    <xf numFmtId="0" fontId="7" fillId="0" borderId="1" xfId="0" applyFont="1" applyBorder="1" applyAlignment="1" applyProtection="1">
      <alignment horizontal="center" vertical="center"/>
      <protection locked="0"/>
    </xf>
    <xf numFmtId="22" fontId="0" fillId="2" borderId="0" xfId="0" applyNumberFormat="1" applyFill="1" applyAlignment="1">
      <alignment vertical="center"/>
    </xf>
    <xf numFmtId="22" fontId="0" fillId="0" borderId="0" xfId="0" applyNumberFormat="1"/>
    <xf numFmtId="165" fontId="5" fillId="2" borderId="0" xfId="0" applyNumberFormat="1" applyFont="1" applyFill="1" applyAlignment="1">
      <alignment horizontal="right" vertical="center"/>
    </xf>
    <xf numFmtId="0" fontId="5" fillId="4" borderId="0" xfId="0" applyFont="1" applyFill="1" applyAlignment="1">
      <alignment horizontal="right" vertical="center"/>
    </xf>
    <xf numFmtId="0" fontId="5" fillId="4" borderId="0" xfId="0" applyFont="1" applyFill="1" applyAlignment="1">
      <alignment horizontal="center" vertical="center"/>
    </xf>
    <xf numFmtId="0" fontId="21" fillId="6" borderId="0" xfId="0" applyFont="1" applyFill="1" applyAlignment="1">
      <alignment horizontal="right" vertical="center"/>
    </xf>
    <xf numFmtId="0" fontId="22" fillId="6" borderId="0" xfId="0" applyFont="1" applyFill="1" applyAlignment="1">
      <alignment horizontal="center" vertical="center"/>
    </xf>
    <xf numFmtId="0" fontId="21" fillId="6" borderId="0" xfId="0" applyFont="1" applyFill="1" applyAlignment="1">
      <alignment horizontal="center" vertical="center"/>
    </xf>
    <xf numFmtId="0" fontId="5" fillId="7" borderId="0" xfId="0" applyFont="1" applyFill="1" applyAlignment="1">
      <alignment horizontal="right" vertical="center"/>
    </xf>
    <xf numFmtId="0" fontId="5" fillId="7" borderId="0" xfId="0" applyFont="1" applyFill="1" applyAlignment="1">
      <alignment horizontal="center" vertical="center"/>
    </xf>
    <xf numFmtId="0" fontId="21" fillId="8" borderId="0" xfId="0" applyFont="1" applyFill="1" applyAlignment="1">
      <alignment horizontal="right" vertical="center"/>
    </xf>
    <xf numFmtId="0" fontId="21" fillId="8" borderId="0" xfId="0" applyFont="1" applyFill="1" applyAlignment="1">
      <alignment horizontal="left" vertical="center"/>
    </xf>
    <xf numFmtId="0" fontId="21" fillId="8" borderId="0" xfId="0" applyFont="1" applyFill="1" applyAlignment="1">
      <alignment horizontal="center" vertical="center"/>
    </xf>
    <xf numFmtId="0" fontId="5" fillId="8" borderId="0" xfId="0" applyFont="1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4" fillId="8" borderId="0" xfId="0" applyFont="1" applyFill="1" applyAlignment="1">
      <alignment horizontal="left" vertical="center"/>
    </xf>
    <xf numFmtId="0" fontId="0" fillId="2" borderId="0" xfId="0" applyFill="1" applyAlignment="1" applyProtection="1">
      <alignment vertical="center"/>
      <protection locked="0"/>
    </xf>
    <xf numFmtId="0" fontId="2" fillId="8" borderId="0" xfId="0" applyFont="1" applyFill="1" applyAlignment="1">
      <alignment horizontal="center" vertical="center"/>
    </xf>
    <xf numFmtId="0" fontId="9" fillId="8" borderId="0" xfId="0" applyFont="1" applyFill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3" fillId="6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10" fillId="6" borderId="0" xfId="0" applyFont="1" applyFill="1" applyAlignment="1">
      <alignment horizontal="left" vertical="center"/>
    </xf>
    <xf numFmtId="0" fontId="13" fillId="8" borderId="0" xfId="0" applyFont="1" applyFill="1" applyAlignment="1">
      <alignment horizontal="right" vertical="center"/>
    </xf>
    <xf numFmtId="0" fontId="0" fillId="3" borderId="0" xfId="0" applyFill="1" applyAlignment="1" applyProtection="1">
      <alignment horizontal="center" vertical="top" wrapText="1"/>
      <protection locked="0"/>
    </xf>
    <xf numFmtId="0" fontId="16" fillId="6" borderId="0" xfId="0" applyFont="1" applyFill="1" applyAlignment="1">
      <alignment horizontal="center" vertical="center"/>
    </xf>
    <xf numFmtId="0" fontId="16" fillId="6" borderId="4" xfId="0" applyFont="1" applyFill="1" applyBorder="1" applyAlignment="1">
      <alignment horizontal="center" vertical="center"/>
    </xf>
    <xf numFmtId="0" fontId="20" fillId="6" borderId="6" xfId="0" applyFont="1" applyFill="1" applyBorder="1" applyAlignment="1">
      <alignment horizontal="center" vertical="center"/>
    </xf>
    <xf numFmtId="0" fontId="20" fillId="6" borderId="5" xfId="0" applyFont="1" applyFill="1" applyBorder="1" applyAlignment="1">
      <alignment horizontal="center" vertical="center"/>
    </xf>
    <xf numFmtId="0" fontId="19" fillId="6" borderId="0" xfId="0" applyFont="1" applyFill="1" applyAlignment="1">
      <alignment horizontal="center" vertical="center"/>
    </xf>
    <xf numFmtId="0" fontId="18" fillId="2" borderId="7" xfId="0" applyFont="1" applyFill="1" applyBorder="1" applyAlignment="1">
      <alignment horizontal="center" vertical="center"/>
    </xf>
    <xf numFmtId="0" fontId="18" fillId="2" borderId="8" xfId="0" applyFont="1" applyFill="1" applyBorder="1" applyAlignment="1">
      <alignment horizontal="center" vertical="center"/>
    </xf>
    <xf numFmtId="0" fontId="18" fillId="2" borderId="9" xfId="0" applyFont="1" applyFill="1" applyBorder="1" applyAlignment="1">
      <alignment horizontal="center" vertical="center"/>
    </xf>
    <xf numFmtId="0" fontId="0" fillId="2" borderId="0" xfId="0" applyFill="1" applyAlignment="1">
      <alignment horizontal="left" vertical="center"/>
    </xf>
    <xf numFmtId="0" fontId="5" fillId="6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center" vertical="top"/>
    </xf>
    <xf numFmtId="0" fontId="8" fillId="2" borderId="0" xfId="0" applyFont="1" applyFill="1" applyAlignment="1">
      <alignment horizontal="right"/>
    </xf>
    <xf numFmtId="0" fontId="8" fillId="6" borderId="0" xfId="0" applyFont="1" applyFill="1" applyAlignment="1">
      <alignment horizontal="right" vertical="top"/>
    </xf>
    <xf numFmtId="0" fontId="8" fillId="2" borderId="0" xfId="0" applyFont="1" applyFill="1" applyAlignment="1">
      <alignment horizontal="left"/>
    </xf>
    <xf numFmtId="0" fontId="8" fillId="6" borderId="0" xfId="0" applyFont="1" applyFill="1" applyAlignment="1">
      <alignment horizontal="left" vertical="top"/>
    </xf>
  </cellXfs>
  <cellStyles count="1">
    <cellStyle name="Normal" xfId="0" builtinId="0"/>
  </cellStyles>
  <dxfs count="12">
    <dxf>
      <border>
        <bottom style="thin">
          <color rgb="FF0070C0"/>
        </bottom>
        <vertical/>
        <horizontal/>
      </border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theme="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0" tint="-0.49998474074526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sv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46</xdr:col>
      <xdr:colOff>206189</xdr:colOff>
      <xdr:row>49</xdr:row>
      <xdr:rowOff>15689</xdr:rowOff>
    </xdr:from>
    <xdr:to>
      <xdr:col>47</xdr:col>
      <xdr:colOff>526677</xdr:colOff>
      <xdr:row>54</xdr:row>
      <xdr:rowOff>138520</xdr:rowOff>
    </xdr:to>
    <xdr:pic macro="[0]!valide">
      <xdr:nvPicPr>
        <xdr:cNvPr id="2" name="Imag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102601" y="5603689"/>
          <a:ext cx="1164664" cy="1019302"/>
        </a:xfrm>
        <a:prstGeom prst="rect">
          <a:avLst/>
        </a:prstGeom>
      </xdr:spPr>
    </xdr:pic>
    <xdr:clientData/>
  </xdr:twoCellAnchor>
  <xdr:twoCellAnchor editAs="oneCell">
    <xdr:from>
      <xdr:col>35</xdr:col>
      <xdr:colOff>14994</xdr:colOff>
      <xdr:row>30</xdr:row>
      <xdr:rowOff>173934</xdr:rowOff>
    </xdr:from>
    <xdr:to>
      <xdr:col>35</xdr:col>
      <xdr:colOff>198839</xdr:colOff>
      <xdr:row>31</xdr:row>
      <xdr:rowOff>180587</xdr:rowOff>
    </xdr:to>
    <xdr:pic macro="[0]!addDate">
      <xdr:nvPicPr>
        <xdr:cNvPr id="6" name="Image 5" descr="Clipart - Calendar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81016" y="2426804"/>
          <a:ext cx="183845" cy="197153"/>
        </a:xfrm>
        <a:prstGeom prst="rect">
          <a:avLst/>
        </a:prstGeom>
      </xdr:spPr>
    </xdr:pic>
    <xdr:clientData/>
  </xdr:twoCellAnchor>
  <xdr:twoCellAnchor editAs="oneCell">
    <xdr:from>
      <xdr:col>47</xdr:col>
      <xdr:colOff>22422</xdr:colOff>
      <xdr:row>23</xdr:row>
      <xdr:rowOff>118458</xdr:rowOff>
    </xdr:from>
    <xdr:to>
      <xdr:col>48</xdr:col>
      <xdr:colOff>127004</xdr:colOff>
      <xdr:row>25</xdr:row>
      <xdr:rowOff>144990</xdr:rowOff>
    </xdr:to>
    <xdr:pic macro="[0]!egg">
      <xdr:nvPicPr>
        <xdr:cNvPr id="7" name="Image 6" descr="Saint-Gobain - Wikipedia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10" y="1209164"/>
          <a:ext cx="948759" cy="400061"/>
        </a:xfrm>
        <a:prstGeom prst="rect">
          <a:avLst/>
        </a:prstGeom>
        <a:solidFill>
          <a:schemeClr val="bg1"/>
        </a:solidFill>
        <a:ln w="50800">
          <a:solidFill>
            <a:schemeClr val="bg1"/>
          </a:solidFill>
        </a:ln>
      </xdr:spPr>
    </xdr:pic>
    <xdr:clientData/>
  </xdr:twoCellAnchor>
  <xdr:twoCellAnchor editAs="oneCell">
    <xdr:from>
      <xdr:col>48</xdr:col>
      <xdr:colOff>761999</xdr:colOff>
      <xdr:row>36</xdr:row>
      <xdr:rowOff>41413</xdr:rowOff>
    </xdr:from>
    <xdr:to>
      <xdr:col>50</xdr:col>
      <xdr:colOff>218383</xdr:colOff>
      <xdr:row>39</xdr:row>
      <xdr:rowOff>153760</xdr:rowOff>
    </xdr:to>
    <xdr:pic>
      <xdr:nvPicPr>
        <xdr:cNvPr id="15" name="Image 14" descr="File:Map symbol info point 02.png - Wikimedia Commons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99303" y="3429000"/>
          <a:ext cx="723623" cy="683847"/>
        </a:xfrm>
        <a:prstGeom prst="rect">
          <a:avLst/>
        </a:prstGeom>
      </xdr:spPr>
    </xdr:pic>
    <xdr:clientData/>
  </xdr:twoCellAnchor>
  <xdr:twoCellAnchor editAs="oneCell">
    <xdr:from>
      <xdr:col>48</xdr:col>
      <xdr:colOff>801204</xdr:colOff>
      <xdr:row>32</xdr:row>
      <xdr:rowOff>52393</xdr:rowOff>
    </xdr:from>
    <xdr:to>
      <xdr:col>50</xdr:col>
      <xdr:colOff>134941</xdr:colOff>
      <xdr:row>35</xdr:row>
      <xdr:rowOff>137392</xdr:rowOff>
    </xdr:to>
    <xdr:pic>
      <xdr:nvPicPr>
        <xdr:cNvPr id="24" name="Image 23" descr="File:Wikinews commentary.svg - Wikimedia Commons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950427">
          <a:off x="11038508" y="2686263"/>
          <a:ext cx="600976" cy="648216"/>
        </a:xfrm>
        <a:prstGeom prst="rect">
          <a:avLst/>
        </a:prstGeom>
      </xdr:spPr>
    </xdr:pic>
    <xdr:clientData/>
  </xdr:twoCellAnchor>
  <xdr:twoCellAnchor editAs="oneCell">
    <xdr:from>
      <xdr:col>48</xdr:col>
      <xdr:colOff>298819</xdr:colOff>
      <xdr:row>51</xdr:row>
      <xdr:rowOff>134477</xdr:rowOff>
    </xdr:from>
    <xdr:to>
      <xdr:col>48</xdr:col>
      <xdr:colOff>702231</xdr:colOff>
      <xdr:row>54</xdr:row>
      <xdr:rowOff>6</xdr:rowOff>
    </xdr:to>
    <xdr:pic macro="[0]!newClear">
      <xdr:nvPicPr>
        <xdr:cNvPr id="25" name="Image 24" descr="File:Crystal button cancel.svg - Wikipedia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83584" y="6081065"/>
          <a:ext cx="403412" cy="403412"/>
        </a:xfrm>
        <a:prstGeom prst="rect">
          <a:avLst/>
        </a:prstGeom>
      </xdr:spPr>
    </xdr:pic>
    <xdr:clientData/>
  </xdr:twoCellAnchor>
  <xdr:twoCellAnchor editAs="oneCell">
    <xdr:from>
      <xdr:col>49</xdr:col>
      <xdr:colOff>303562</xdr:colOff>
      <xdr:row>27</xdr:row>
      <xdr:rowOff>33132</xdr:rowOff>
    </xdr:from>
    <xdr:to>
      <xdr:col>51</xdr:col>
      <xdr:colOff>49698</xdr:colOff>
      <xdr:row>30</xdr:row>
      <xdr:rowOff>44311</xdr:rowOff>
    </xdr:to>
    <xdr:pic macro="[0]!showTRS">
      <xdr:nvPicPr>
        <xdr:cNvPr id="4" name="Image 3" descr="Graphique à barres avec tendance à la hausse avec un remplissage uni">
          <a:extLst>
            <a:ext uri="{FF2B5EF4-FFF2-40B4-BE49-F238E27FC236}">
              <a16:creationId xmlns:a16="http://schemas.microsoft.com/office/drawing/2014/main" id="{2410BE64-B893-1930-732E-27A27515CE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rcRect/>
        <a:stretch/>
      </xdr:blipFill>
      <xdr:spPr>
        <a:xfrm>
          <a:off x="11493366" y="1880154"/>
          <a:ext cx="417027" cy="417027"/>
        </a:xfrm>
        <a:prstGeom prst="rect">
          <a:avLst/>
        </a:prstGeom>
      </xdr:spPr>
    </xdr:pic>
    <xdr:clientData/>
  </xdr:twoCellAnchor>
  <xdr:twoCellAnchor editAs="oneCell">
    <xdr:from>
      <xdr:col>49</xdr:col>
      <xdr:colOff>295280</xdr:colOff>
      <xdr:row>22</xdr:row>
      <xdr:rowOff>33131</xdr:rowOff>
    </xdr:from>
    <xdr:to>
      <xdr:col>51</xdr:col>
      <xdr:colOff>41416</xdr:colOff>
      <xdr:row>24</xdr:row>
      <xdr:rowOff>69158</xdr:rowOff>
    </xdr:to>
    <xdr:pic macro="[0]!showQUALI">
      <xdr:nvPicPr>
        <xdr:cNvPr id="9" name="Image 3" descr="Presse-papiers badge avec un remplissage uni">
          <a:extLst>
            <a:ext uri="{FF2B5EF4-FFF2-40B4-BE49-F238E27FC236}">
              <a16:creationId xmlns:a16="http://schemas.microsoft.com/office/drawing/2014/main" id="{D62E40B3-13F7-49C9-B6EE-96DC5E2175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rcRect/>
        <a:stretch/>
      </xdr:blipFill>
      <xdr:spPr>
        <a:xfrm>
          <a:off x="11576193" y="952501"/>
          <a:ext cx="417027" cy="417027"/>
        </a:xfrm>
        <a:prstGeom prst="rect">
          <a:avLst/>
        </a:prstGeom>
      </xdr:spPr>
    </xdr:pic>
    <xdr:clientData/>
  </xdr:twoCellAnchor>
  <xdr:twoCellAnchor editAs="oneCell">
    <xdr:from>
      <xdr:col>49</xdr:col>
      <xdr:colOff>298174</xdr:colOff>
      <xdr:row>25</xdr:row>
      <xdr:rowOff>8282</xdr:rowOff>
    </xdr:from>
    <xdr:to>
      <xdr:col>51</xdr:col>
      <xdr:colOff>44310</xdr:colOff>
      <xdr:row>27</xdr:row>
      <xdr:rowOff>60874</xdr:rowOff>
    </xdr:to>
    <xdr:pic macro="[0]!showPRODUIT">
      <xdr:nvPicPr>
        <xdr:cNvPr id="10" name="Image 3" descr="Boîte avec un remplissage uni">
          <a:extLst>
            <a:ext uri="{FF2B5EF4-FFF2-40B4-BE49-F238E27FC236}">
              <a16:creationId xmlns:a16="http://schemas.microsoft.com/office/drawing/2014/main" id="{0534097C-CCE8-46EF-B144-3A83FC4124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rcRect/>
        <a:stretch/>
      </xdr:blipFill>
      <xdr:spPr>
        <a:xfrm>
          <a:off x="11579087" y="1490869"/>
          <a:ext cx="417027" cy="41702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7"/>
  <dimension ref="A1:K7"/>
  <sheetViews>
    <sheetView workbookViewId="0">
      <selection activeCell="G6" sqref="G6"/>
    </sheetView>
  </sheetViews>
  <sheetFormatPr baseColWidth="10" defaultRowHeight="15" x14ac:dyDescent="0.25"/>
  <cols>
    <col min="1" max="1" width="13.140625" bestFit="1" customWidth="1"/>
    <col min="5" max="5" width="15.5703125" bestFit="1" customWidth="1"/>
    <col min="7" max="7" width="53.7109375" bestFit="1" customWidth="1"/>
    <col min="10" max="10" width="18.28515625" bestFit="1" customWidth="1"/>
  </cols>
  <sheetData>
    <row r="1" spans="1:11" x14ac:dyDescent="0.25">
      <c r="A1" t="s">
        <v>50</v>
      </c>
      <c r="C1" t="s">
        <v>55</v>
      </c>
      <c r="E1" t="s">
        <v>72</v>
      </c>
      <c r="G1" t="s">
        <v>73</v>
      </c>
      <c r="H1" t="s">
        <v>77</v>
      </c>
      <c r="J1" t="s">
        <v>102</v>
      </c>
    </row>
    <row r="2" spans="1:11" x14ac:dyDescent="0.25">
      <c r="A2" t="s">
        <v>51</v>
      </c>
      <c r="C2" t="s">
        <v>45</v>
      </c>
      <c r="E2" t="s">
        <v>71</v>
      </c>
      <c r="G2" t="s">
        <v>74</v>
      </c>
      <c r="J2" t="s">
        <v>103</v>
      </c>
      <c r="K2" t="s">
        <v>105</v>
      </c>
    </row>
    <row r="3" spans="1:11" x14ac:dyDescent="0.25">
      <c r="A3" t="s">
        <v>52</v>
      </c>
      <c r="C3" t="s">
        <v>56</v>
      </c>
      <c r="E3" s="4"/>
      <c r="G3" t="s">
        <v>96</v>
      </c>
      <c r="J3" t="s">
        <v>104</v>
      </c>
      <c r="K3" t="s">
        <v>105</v>
      </c>
    </row>
    <row r="4" spans="1:11" x14ac:dyDescent="0.25">
      <c r="A4" t="s">
        <v>53</v>
      </c>
      <c r="C4" t="s">
        <v>57</v>
      </c>
      <c r="G4" t="s">
        <v>94</v>
      </c>
    </row>
    <row r="5" spans="1:11" x14ac:dyDescent="0.25">
      <c r="A5" t="s">
        <v>91</v>
      </c>
      <c r="C5" t="s">
        <v>58</v>
      </c>
      <c r="G5" t="s">
        <v>95</v>
      </c>
    </row>
    <row r="6" spans="1:11" x14ac:dyDescent="0.25">
      <c r="A6" t="s">
        <v>97</v>
      </c>
    </row>
    <row r="7" spans="1:11" x14ac:dyDescent="0.25">
      <c r="A7" t="s">
        <v>54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"/>
  <dimension ref="A1:CZ87"/>
  <sheetViews>
    <sheetView tabSelected="1" topLeftCell="Y18" zoomScale="115" zoomScaleNormal="115" workbookViewId="0">
      <selection activeCell="AU33" sqref="AU33:AW36"/>
    </sheetView>
  </sheetViews>
  <sheetFormatPr baseColWidth="10" defaultColWidth="11.5703125" defaultRowHeight="15" x14ac:dyDescent="0.25"/>
  <cols>
    <col min="1" max="1" width="1.28515625" style="1" hidden="1" customWidth="1"/>
    <col min="2" max="24" width="11.5703125" style="1" hidden="1" customWidth="1"/>
    <col min="25" max="25" width="2.28515625" style="1" customWidth="1"/>
    <col min="26" max="26" width="11.5703125" style="1" hidden="1" customWidth="1"/>
    <col min="27" max="27" width="8.5703125" style="6" hidden="1" customWidth="1"/>
    <col min="28" max="28" width="2.140625" style="6" hidden="1" customWidth="1"/>
    <col min="29" max="29" width="4.28515625" style="6" hidden="1" customWidth="1"/>
    <col min="30" max="30" width="2.140625" style="6" hidden="1" customWidth="1"/>
    <col min="31" max="31" width="8.42578125" style="6" hidden="1" customWidth="1"/>
    <col min="32" max="32" width="5.7109375" style="6" hidden="1" customWidth="1"/>
    <col min="33" max="33" width="5.140625" style="1" customWidth="1"/>
    <col min="34" max="34" width="9" style="1" customWidth="1"/>
    <col min="35" max="35" width="5.7109375" style="7" customWidth="1"/>
    <col min="36" max="38" width="16.5703125" style="1" customWidth="1"/>
    <col min="39" max="39" width="1.7109375" style="1" customWidth="1"/>
    <col min="40" max="40" width="9.7109375" style="1" bestFit="1" customWidth="1"/>
    <col min="41" max="41" width="6.42578125" style="1" customWidth="1"/>
    <col min="42" max="42" width="1.7109375" style="1" customWidth="1"/>
    <col min="43" max="45" width="11.7109375" style="1" customWidth="1"/>
    <col min="46" max="46" width="4.140625" style="1" customWidth="1"/>
    <col min="47" max="48" width="12.28515625" style="1" customWidth="1"/>
    <col min="49" max="49" width="14.28515625" style="1" bestFit="1" customWidth="1"/>
    <col min="50" max="50" width="4.7109375" style="8" customWidth="1"/>
    <col min="51" max="51" width="5.28515625" style="1" customWidth="1"/>
    <col min="52" max="52" width="18.140625" style="1" customWidth="1"/>
    <col min="53" max="53" width="15.5703125" style="1" customWidth="1"/>
    <col min="54" max="54" width="13" style="1" customWidth="1"/>
    <col min="55" max="55" width="10.140625" style="1" customWidth="1"/>
    <col min="56" max="56" width="8.140625" style="1" customWidth="1"/>
    <col min="57" max="57" width="10" style="1" customWidth="1"/>
    <col min="58" max="58" width="14.28515625" style="1" customWidth="1"/>
    <col min="59" max="59" width="12.85546875" style="1" customWidth="1"/>
    <col min="60" max="61" width="9" style="1" customWidth="1"/>
    <col min="62" max="62" width="11.28515625" style="1" customWidth="1"/>
    <col min="63" max="63" width="10.7109375" style="1" customWidth="1"/>
    <col min="64" max="64" width="7.140625" style="1" customWidth="1"/>
    <col min="65" max="65" width="8" style="1" customWidth="1"/>
    <col min="66" max="66" width="7.85546875" style="1" customWidth="1"/>
    <col min="67" max="67" width="8.7109375" style="1" customWidth="1"/>
    <col min="68" max="68" width="9" style="1" customWidth="1"/>
    <col min="69" max="69" width="8.85546875" style="1" customWidth="1"/>
    <col min="70" max="70" width="4.140625" style="1" customWidth="1"/>
    <col min="71" max="71" width="3.28515625" style="1" customWidth="1"/>
    <col min="72" max="72" width="5.5703125" style="1" customWidth="1"/>
    <col min="73" max="73" width="5.7109375" style="1" customWidth="1"/>
    <col min="74" max="74" width="5.5703125" style="1" customWidth="1"/>
    <col min="75" max="76" width="11.5703125" style="1" customWidth="1"/>
    <col min="77" max="77" width="5.140625" style="1" customWidth="1"/>
    <col min="78" max="79" width="16.42578125" style="2" bestFit="1" customWidth="1"/>
    <col min="80" max="80" width="11.85546875" style="2" bestFit="1" customWidth="1"/>
    <col min="81" max="81" width="10.140625" style="2" bestFit="1" customWidth="1"/>
    <col min="82" max="82" width="5.42578125" style="2" bestFit="1" customWidth="1"/>
    <col min="83" max="83" width="8.140625" style="2" customWidth="1"/>
    <col min="84" max="84" width="8.28515625" style="2" bestFit="1" customWidth="1"/>
    <col min="85" max="85" width="9.7109375" style="2" bestFit="1" customWidth="1"/>
    <col min="86" max="86" width="11.5703125" style="2" bestFit="1" customWidth="1"/>
    <col min="87" max="87" width="8.28515625" style="2" bestFit="1" customWidth="1"/>
    <col min="88" max="88" width="4.140625" style="2" customWidth="1"/>
    <col min="89" max="90" width="9" style="2" bestFit="1" customWidth="1"/>
    <col min="91" max="91" width="8.85546875" style="2" bestFit="1" customWidth="1"/>
    <col min="92" max="92" width="3" style="2" bestFit="1" customWidth="1"/>
    <col min="93" max="93" width="12.140625" style="2" bestFit="1" customWidth="1"/>
    <col min="94" max="94" width="5.42578125" style="2" bestFit="1" customWidth="1"/>
    <col min="95" max="95" width="5.140625" style="2" bestFit="1" customWidth="1"/>
    <col min="96" max="96" width="4.140625" style="2" bestFit="1" customWidth="1"/>
    <col min="97" max="97" width="9.28515625" style="2" bestFit="1" customWidth="1"/>
    <col min="98" max="98" width="9.140625" style="2" customWidth="1"/>
    <col min="99" max="99" width="2.85546875" style="2" bestFit="1" customWidth="1"/>
    <col min="100" max="100" width="4.85546875" style="2" customWidth="1"/>
    <col min="101" max="101" width="5.5703125" style="2" bestFit="1" customWidth="1"/>
    <col min="102" max="102" width="5.7109375" style="2" bestFit="1" customWidth="1"/>
    <col min="103" max="103" width="10.28515625" style="2" customWidth="1"/>
    <col min="104" max="104" width="15.7109375" style="1" bestFit="1" customWidth="1"/>
    <col min="105" max="16384" width="11.5703125" style="1"/>
  </cols>
  <sheetData>
    <row r="1" hidden="1" x14ac:dyDescent="0.25"/>
    <row r="2" hidden="1" x14ac:dyDescent="0.25"/>
    <row r="3" hidden="1" x14ac:dyDescent="0.25"/>
    <row r="4" hidden="1" x14ac:dyDescent="0.25"/>
    <row r="5" hidden="1" x14ac:dyDescent="0.25"/>
    <row r="6" hidden="1" x14ac:dyDescent="0.25"/>
    <row r="7" hidden="1" x14ac:dyDescent="0.25"/>
    <row r="8" hidden="1" x14ac:dyDescent="0.25"/>
    <row r="9" hidden="1" x14ac:dyDescent="0.25"/>
    <row r="10" hidden="1" x14ac:dyDescent="0.25"/>
    <row r="11" hidden="1" x14ac:dyDescent="0.25"/>
    <row r="12" hidden="1" x14ac:dyDescent="0.25"/>
    <row r="13" hidden="1" x14ac:dyDescent="0.25"/>
    <row r="14" hidden="1" x14ac:dyDescent="0.25"/>
    <row r="15" hidden="1" x14ac:dyDescent="0.25"/>
    <row r="16" hidden="1" x14ac:dyDescent="0.25"/>
    <row r="17" spans="33:103" hidden="1" x14ac:dyDescent="0.25"/>
    <row r="19" spans="33:103" ht="14.45" customHeight="1" x14ac:dyDescent="0.25">
      <c r="AG19" s="9"/>
      <c r="AH19" s="10"/>
      <c r="AI19" s="71" t="s">
        <v>66</v>
      </c>
      <c r="AJ19" s="71"/>
      <c r="AK19" s="71"/>
      <c r="AL19" s="71"/>
      <c r="AM19" s="71"/>
      <c r="AN19" s="71"/>
      <c r="AO19" s="71"/>
      <c r="AP19" s="71"/>
      <c r="AQ19" s="71"/>
      <c r="AR19" s="71"/>
      <c r="AS19" s="71"/>
      <c r="AT19" s="71"/>
      <c r="AU19" s="71"/>
      <c r="AV19" s="71"/>
      <c r="AW19" s="10"/>
      <c r="AX19" s="11"/>
      <c r="BA19" s="79"/>
    </row>
    <row r="20" spans="33:103" ht="14.45" customHeight="1" x14ac:dyDescent="0.25">
      <c r="AG20" s="9"/>
      <c r="AH20" s="10"/>
      <c r="AI20" s="71"/>
      <c r="AJ20" s="71"/>
      <c r="AK20" s="71"/>
      <c r="AL20" s="71"/>
      <c r="AM20" s="71"/>
      <c r="AN20" s="71"/>
      <c r="AO20" s="71"/>
      <c r="AP20" s="71"/>
      <c r="AQ20" s="71"/>
      <c r="AR20" s="71"/>
      <c r="AS20" s="71"/>
      <c r="AT20" s="71"/>
      <c r="AU20" s="71"/>
      <c r="AV20" s="71"/>
      <c r="AW20" s="10"/>
      <c r="AX20" s="11"/>
      <c r="BA20" s="79"/>
    </row>
    <row r="21" spans="33:103" ht="14.45" customHeight="1" x14ac:dyDescent="0.25">
      <c r="AG21" s="9"/>
      <c r="AH21" s="10"/>
      <c r="AI21" s="71"/>
      <c r="AJ21" s="71"/>
      <c r="AK21" s="71"/>
      <c r="AL21" s="71"/>
      <c r="AM21" s="71"/>
      <c r="AN21" s="71"/>
      <c r="AO21" s="71"/>
      <c r="AP21" s="71"/>
      <c r="AQ21" s="71"/>
      <c r="AR21" s="71"/>
      <c r="AS21" s="71"/>
      <c r="AT21" s="71"/>
      <c r="AU21" s="71"/>
      <c r="AV21" s="71"/>
      <c r="AW21" s="10"/>
      <c r="AX21" s="11"/>
    </row>
    <row r="22" spans="33:103" ht="14.45" customHeight="1" x14ac:dyDescent="0.25">
      <c r="AG22" s="9"/>
      <c r="AH22" s="10"/>
      <c r="AI22" s="71"/>
      <c r="AJ22" s="71"/>
      <c r="AK22" s="71"/>
      <c r="AL22" s="71"/>
      <c r="AM22" s="71"/>
      <c r="AN22" s="71"/>
      <c r="AO22" s="71"/>
      <c r="AP22" s="71"/>
      <c r="AQ22" s="71"/>
      <c r="AR22" s="71"/>
      <c r="AS22" s="71"/>
      <c r="AT22" s="71"/>
      <c r="AU22" s="71"/>
      <c r="AV22" s="71"/>
      <c r="AW22" s="10"/>
      <c r="AX22" s="11"/>
      <c r="BA22" s="79"/>
    </row>
    <row r="23" spans="33:103" ht="15" customHeight="1" thickBot="1" x14ac:dyDescent="0.3">
      <c r="AG23" s="9"/>
      <c r="AH23" s="10"/>
      <c r="AI23" s="72"/>
      <c r="AJ23" s="72"/>
      <c r="AK23" s="72"/>
      <c r="AL23" s="72"/>
      <c r="AM23" s="72"/>
      <c r="AN23" s="72"/>
      <c r="AO23" s="72"/>
      <c r="AP23" s="72"/>
      <c r="AQ23" s="72"/>
      <c r="AR23" s="72"/>
      <c r="AS23" s="72"/>
      <c r="AT23" s="72"/>
      <c r="AU23" s="72"/>
      <c r="AV23" s="72"/>
      <c r="AW23" s="10"/>
      <c r="AX23" s="11"/>
      <c r="BA23" s="79"/>
    </row>
    <row r="24" spans="33:103" ht="15" customHeight="1" thickTop="1" x14ac:dyDescent="0.25">
      <c r="AG24" s="9"/>
      <c r="AH24" s="9"/>
      <c r="AI24" s="12"/>
      <c r="AJ24" s="9"/>
      <c r="AK24" s="75" t="s">
        <v>65</v>
      </c>
      <c r="AL24" s="75"/>
      <c r="AM24" s="75"/>
      <c r="AN24" s="75"/>
      <c r="AO24" s="75"/>
      <c r="AP24" s="75"/>
      <c r="AQ24" s="75"/>
      <c r="AR24" s="75"/>
      <c r="AS24" s="75"/>
      <c r="AT24" s="75"/>
      <c r="AU24" s="9"/>
      <c r="AV24" s="9"/>
      <c r="AW24" s="9"/>
      <c r="AX24" s="11"/>
      <c r="AZ24" s="1" t="s">
        <v>133</v>
      </c>
    </row>
    <row r="25" spans="33:103" ht="14.45" customHeight="1" x14ac:dyDescent="0.25">
      <c r="AG25" s="9"/>
      <c r="AH25" s="74" t="s">
        <v>67</v>
      </c>
      <c r="AI25" s="74"/>
      <c r="AJ25" s="74"/>
      <c r="AK25" s="75"/>
      <c r="AL25" s="75"/>
      <c r="AM25" s="75"/>
      <c r="AN25" s="75"/>
      <c r="AO25" s="75"/>
      <c r="AP25" s="75"/>
      <c r="AQ25" s="75"/>
      <c r="AR25" s="75"/>
      <c r="AS25" s="75"/>
      <c r="AT25" s="75"/>
      <c r="AU25" s="9"/>
      <c r="AV25" s="9"/>
      <c r="AW25" s="9"/>
      <c r="AX25" s="11"/>
    </row>
    <row r="26" spans="33:103" ht="14.45" customHeight="1" x14ac:dyDescent="0.25">
      <c r="AG26" s="9"/>
      <c r="AH26" s="73" t="s">
        <v>68</v>
      </c>
      <c r="AI26" s="73"/>
      <c r="AJ26" s="73"/>
      <c r="AK26" s="75"/>
      <c r="AL26" s="75"/>
      <c r="AM26" s="75"/>
      <c r="AN26" s="75"/>
      <c r="AO26" s="75"/>
      <c r="AP26" s="75"/>
      <c r="AQ26" s="75"/>
      <c r="AR26" s="75"/>
      <c r="AS26" s="75"/>
      <c r="AT26" s="75"/>
      <c r="AU26" s="9"/>
      <c r="AV26" s="9"/>
      <c r="AW26" s="9"/>
      <c r="AX26" s="11"/>
    </row>
    <row r="27" spans="33:103" ht="14.45" customHeight="1" thickBot="1" x14ac:dyDescent="0.3">
      <c r="AG27" s="9"/>
      <c r="AH27" s="9"/>
      <c r="AI27" s="12"/>
      <c r="AJ27" s="9"/>
      <c r="AK27" s="75"/>
      <c r="AL27" s="75"/>
      <c r="AM27" s="75"/>
      <c r="AN27" s="75"/>
      <c r="AO27" s="75"/>
      <c r="AP27" s="75"/>
      <c r="AQ27" s="75"/>
      <c r="AR27" s="75"/>
      <c r="AS27" s="75"/>
      <c r="AT27" s="75"/>
      <c r="AU27" s="74" t="s">
        <v>69</v>
      </c>
      <c r="AV27" s="74"/>
      <c r="AW27" s="74"/>
      <c r="AX27" s="11"/>
      <c r="AZ27" s="1" t="s">
        <v>134</v>
      </c>
    </row>
    <row r="28" spans="33:103" ht="16.5" thickTop="1" thickBot="1" x14ac:dyDescent="0.3">
      <c r="AG28" s="9"/>
      <c r="AH28" s="76" t="str">
        <f>_data!$E$2</f>
        <v>SD QU 08 14 rev 1</v>
      </c>
      <c r="AI28" s="77"/>
      <c r="AJ28" s="78"/>
      <c r="AK28" s="75"/>
      <c r="AL28" s="75"/>
      <c r="AM28" s="75"/>
      <c r="AN28" s="75"/>
      <c r="AO28" s="75"/>
      <c r="AP28" s="75"/>
      <c r="AQ28" s="75"/>
      <c r="AR28" s="75"/>
      <c r="AS28" s="75"/>
      <c r="AT28" s="75"/>
      <c r="AU28" s="73" t="s">
        <v>70</v>
      </c>
      <c r="AV28" s="73"/>
      <c r="AW28" s="73"/>
      <c r="AX28" s="11"/>
    </row>
    <row r="29" spans="33:103" ht="15.75" thickTop="1" x14ac:dyDescent="0.25">
      <c r="AG29" s="9"/>
      <c r="AH29" s="9"/>
      <c r="AI29" s="12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11"/>
      <c r="AZ29" s="1" t="s">
        <v>132</v>
      </c>
    </row>
    <row r="30" spans="33:103" hidden="1" x14ac:dyDescent="0.25">
      <c r="AH30" s="9"/>
      <c r="AI30" s="12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</row>
    <row r="31" spans="33:103" x14ac:dyDescent="0.25">
      <c r="AY31" s="2"/>
      <c r="AZ31" s="2"/>
      <c r="BB31" s="2"/>
      <c r="BC31" s="2"/>
      <c r="BD31" s="2"/>
      <c r="BH31" s="2"/>
      <c r="BI31" s="2"/>
      <c r="BJ31" s="2"/>
      <c r="BZ31" s="2">
        <f>COUNTIF('data TRS'!A:A,PROD!BZ33)</f>
        <v>1</v>
      </c>
    </row>
    <row r="32" spans="33:103" x14ac:dyDescent="0.25">
      <c r="AG32" s="44" t="str">
        <f>IF(AND(AJ33&lt;&gt;"",AJ34&lt;&gt;"",AJ35&lt;&gt;"",AJ36&lt;&gt;"",AL34&lt;&gt;""),"ok","nok")</f>
        <v>ok</v>
      </c>
      <c r="AH32" s="9"/>
      <c r="AI32" s="66" t="s">
        <v>61</v>
      </c>
      <c r="AJ32" s="66"/>
      <c r="AK32" s="66"/>
      <c r="AL32" s="66"/>
      <c r="AM32" s="66"/>
      <c r="AN32" s="66"/>
      <c r="AO32" s="66"/>
      <c r="AP32" s="66"/>
      <c r="AQ32" s="66"/>
      <c r="AR32" s="66"/>
      <c r="AS32" s="66"/>
      <c r="AU32" s="9"/>
      <c r="AV32" s="13" t="s">
        <v>63</v>
      </c>
      <c r="AW32" s="9"/>
      <c r="AY32" s="15"/>
      <c r="AZ32" s="42"/>
      <c r="BA32" s="42"/>
      <c r="BZ32" s="2" t="s">
        <v>44</v>
      </c>
      <c r="CA32" s="2" t="s">
        <v>81</v>
      </c>
      <c r="CB32" s="2" t="s">
        <v>0</v>
      </c>
      <c r="CC32" s="2" t="s">
        <v>49</v>
      </c>
      <c r="CD32" s="2" t="s">
        <v>82</v>
      </c>
      <c r="CE32" s="2" t="s">
        <v>6</v>
      </c>
      <c r="CF32" s="2" t="s">
        <v>7</v>
      </c>
      <c r="CG32" s="2" t="s">
        <v>59</v>
      </c>
      <c r="CH32" s="2" t="s">
        <v>62</v>
      </c>
      <c r="CI32" s="2" t="s">
        <v>8</v>
      </c>
      <c r="CJ32" s="2" t="s">
        <v>39</v>
      </c>
      <c r="CK32" s="2" t="s">
        <v>87</v>
      </c>
      <c r="CL32" s="2" t="s">
        <v>88</v>
      </c>
      <c r="CM32" s="2" t="s">
        <v>89</v>
      </c>
      <c r="CN32" s="2" t="s">
        <v>19</v>
      </c>
      <c r="CO32" s="2" t="s">
        <v>83</v>
      </c>
      <c r="CP32" s="2" t="s">
        <v>84</v>
      </c>
      <c r="CQ32" s="2" t="s">
        <v>3</v>
      </c>
      <c r="CR32" s="2" t="s">
        <v>4</v>
      </c>
      <c r="CS32" s="2" t="s">
        <v>85</v>
      </c>
      <c r="CT32" s="2" t="s">
        <v>86</v>
      </c>
      <c r="CU32" s="2" t="str">
        <f>R42</f>
        <v>Fil</v>
      </c>
      <c r="CV32" s="2" t="str">
        <f t="shared" ref="CV32:CX32" si="0">S42</f>
        <v>Trou</v>
      </c>
      <c r="CW32" s="2" t="str">
        <f t="shared" si="0"/>
        <v>Poids</v>
      </c>
      <c r="CX32" s="2" t="str">
        <f t="shared" si="0"/>
        <v>Autre</v>
      </c>
      <c r="CY32" s="2" t="str">
        <f>V42</f>
        <v>Démarrage</v>
      </c>
    </row>
    <row r="33" spans="18:104" ht="14.45" customHeight="1" x14ac:dyDescent="0.25">
      <c r="AH33" s="48">
        <f>IF(AJ33&lt;&gt;"",AJ33,"")</f>
        <v>45018</v>
      </c>
      <c r="AI33" s="14" t="s">
        <v>0</v>
      </c>
      <c r="AJ33" s="39">
        <v>45018</v>
      </c>
      <c r="AK33" s="36">
        <f>IF(AJ33&lt;&gt;"",AJ33-DATE(YEAR(AJ33),1,1)+1,"")</f>
        <v>92</v>
      </c>
      <c r="AR33" s="15" t="s">
        <v>6</v>
      </c>
      <c r="AS33" s="16" t="str">
        <f>MID(AL34,1,1)</f>
        <v>F</v>
      </c>
      <c r="AU33" s="70"/>
      <c r="AV33" s="70"/>
      <c r="AW33" s="70"/>
      <c r="BZ33" s="2" t="str">
        <f>CONCATENATE(AK33,"_",AS33,"_",MID(AJ34,1,1),"_",AJ35)</f>
        <v>92_F_M_Nicolas B.</v>
      </c>
      <c r="CA33" s="2">
        <f>_xlfn.NUMBERVALUE(AK33)</f>
        <v>92</v>
      </c>
      <c r="CB33" s="17">
        <f>AJ33</f>
        <v>45018</v>
      </c>
      <c r="CC33" s="2" t="str">
        <f>AJ34</f>
        <v>Matin</v>
      </c>
      <c r="CD33" s="2">
        <f>AJ36</f>
        <v>480</v>
      </c>
      <c r="CE33" s="2" t="str">
        <f>AS33</f>
        <v>F</v>
      </c>
      <c r="CF33" s="2" t="str">
        <f>AL34</f>
        <v>F 380g/m2</v>
      </c>
      <c r="CG33" s="2">
        <f>AS34</f>
        <v>0</v>
      </c>
      <c r="CH33" s="2">
        <f>AS35</f>
        <v>0</v>
      </c>
      <c r="CI33" s="2">
        <f>AL35</f>
        <v>0</v>
      </c>
      <c r="CJ33" s="2">
        <f>AU33</f>
        <v>0</v>
      </c>
      <c r="CK33" s="2">
        <f>AR48</f>
        <v>0</v>
      </c>
      <c r="CL33" s="2">
        <f>AS48</f>
        <v>0</v>
      </c>
      <c r="CM33" s="2">
        <f>AR56</f>
        <v>0</v>
      </c>
      <c r="CN33" s="2" t="str">
        <f>AS56</f>
        <v/>
      </c>
      <c r="CO33" s="2">
        <f>AU42</f>
        <v>0</v>
      </c>
      <c r="CP33" s="2">
        <f>AW42</f>
        <v>30</v>
      </c>
      <c r="CQ33" s="2">
        <f>AR58</f>
        <v>0</v>
      </c>
      <c r="CR33" s="2">
        <f>AR59</f>
        <v>0</v>
      </c>
      <c r="CS33" s="2">
        <f>AS58</f>
        <v>0</v>
      </c>
      <c r="CT33" s="2">
        <f>AS59</f>
        <v>0</v>
      </c>
      <c r="CU33" s="2">
        <f>R41</f>
        <v>0</v>
      </c>
      <c r="CV33" s="2">
        <f t="shared" ref="CV33:CY33" si="1">S41</f>
        <v>0</v>
      </c>
      <c r="CW33" s="2">
        <f t="shared" si="1"/>
        <v>0</v>
      </c>
      <c r="CX33" s="2">
        <f t="shared" si="1"/>
        <v>0</v>
      </c>
      <c r="CY33" s="2">
        <f t="shared" si="1"/>
        <v>0</v>
      </c>
      <c r="CZ33" s="46"/>
    </row>
    <row r="34" spans="18:104" x14ac:dyDescent="0.25">
      <c r="AI34" s="14" t="s">
        <v>49</v>
      </c>
      <c r="AJ34" s="40" t="s">
        <v>45</v>
      </c>
      <c r="AK34" s="15" t="s">
        <v>93</v>
      </c>
      <c r="AL34" s="45" t="s">
        <v>43</v>
      </c>
      <c r="AM34" s="36"/>
      <c r="AN34" s="36" t="str">
        <f>IF(RIGHT(AL34,1)="2","laine nappe",IF(RIGHT(AL34,1)="g","laine vrac",""))</f>
        <v>laine nappe</v>
      </c>
      <c r="AQ34" s="18" t="str">
        <f>IFERROR(CONCATENATE("normal : ",HLOOKUP(PROD!AL34,_produits!A1:E8,8,FALSE)),"")</f>
        <v>normal : 785</v>
      </c>
      <c r="AR34" s="15" t="s">
        <v>60</v>
      </c>
      <c r="AS34" s="3"/>
      <c r="AU34" s="70"/>
      <c r="AV34" s="70"/>
      <c r="AW34" s="70"/>
    </row>
    <row r="35" spans="18:104" x14ac:dyDescent="0.25">
      <c r="AI35" s="14" t="s">
        <v>1</v>
      </c>
      <c r="AJ35" s="40" t="s">
        <v>51</v>
      </c>
      <c r="AK35" s="15" t="s">
        <v>8</v>
      </c>
      <c r="AL35" s="41"/>
      <c r="AQ35" s="18" t="str">
        <f>IFERROR(CONCATENATE("normal : ",HLOOKUP(PROD!AL34,_produits!A1:E9,9,FALSE)),"")</f>
        <v>normal : 38</v>
      </c>
      <c r="AR35" s="15" t="s">
        <v>62</v>
      </c>
      <c r="AS35" s="41"/>
      <c r="AU35" s="70"/>
      <c r="AV35" s="70"/>
      <c r="AW35" s="70"/>
    </row>
    <row r="36" spans="18:104" x14ac:dyDescent="0.25">
      <c r="AI36" s="14" t="s">
        <v>41</v>
      </c>
      <c r="AJ36" s="41">
        <v>480</v>
      </c>
      <c r="AK36" s="19">
        <f>AJ36/60/24</f>
        <v>0.33333333333333331</v>
      </c>
      <c r="AQ36" s="1" t="s">
        <v>98</v>
      </c>
      <c r="AU36" s="70"/>
      <c r="AV36" s="70"/>
      <c r="AW36" s="70"/>
    </row>
    <row r="37" spans="18:104" x14ac:dyDescent="0.25">
      <c r="AJ37" s="82" t="s">
        <v>64</v>
      </c>
    </row>
    <row r="38" spans="18:104" x14ac:dyDescent="0.25">
      <c r="AJ38" s="63" t="str">
        <f>IF(AL34="","Sélectionner la production à démarrer","Bon courage")</f>
        <v>Bon courage</v>
      </c>
      <c r="AK38" s="63"/>
      <c r="AL38" s="63"/>
      <c r="AM38" s="63"/>
      <c r="AN38" s="63"/>
      <c r="AO38" s="63"/>
      <c r="AP38" s="63"/>
      <c r="AQ38" s="63"/>
      <c r="AR38" s="63"/>
      <c r="AS38" s="65"/>
      <c r="AT38" s="64" t="str">
        <f>IF(AS33="E","Droite/Gauche s'entendent dos au tambour","")</f>
        <v/>
      </c>
      <c r="AU38" s="64"/>
      <c r="AV38" s="64"/>
      <c r="AW38" s="64"/>
    </row>
    <row r="39" spans="18:104" x14ac:dyDescent="0.25">
      <c r="AJ39" s="63"/>
      <c r="AK39" s="63"/>
      <c r="AL39" s="63"/>
      <c r="AM39" s="63"/>
      <c r="AN39" s="63"/>
      <c r="AO39" s="63"/>
      <c r="AP39" s="63"/>
      <c r="AQ39" s="63"/>
      <c r="AR39" s="63"/>
      <c r="AS39" s="65"/>
      <c r="AT39" s="64"/>
      <c r="AU39" s="64"/>
      <c r="AV39" s="64"/>
      <c r="AW39" s="64"/>
    </row>
    <row r="40" spans="18:104" x14ac:dyDescent="0.2">
      <c r="AQ40" s="83" t="s">
        <v>17</v>
      </c>
      <c r="AR40" s="20"/>
      <c r="AS40" s="85" t="s">
        <v>18</v>
      </c>
    </row>
    <row r="41" spans="18:104" x14ac:dyDescent="0.25">
      <c r="R41" s="1">
        <f>SUM(R43:R82)</f>
        <v>0</v>
      </c>
      <c r="S41" s="1">
        <f t="shared" ref="S41:V41" si="2">SUM(S43:S82)</f>
        <v>0</v>
      </c>
      <c r="T41" s="1">
        <f t="shared" si="2"/>
        <v>0</v>
      </c>
      <c r="U41" s="1">
        <f t="shared" si="2"/>
        <v>0</v>
      </c>
      <c r="V41" s="1">
        <f t="shared" si="2"/>
        <v>0</v>
      </c>
      <c r="AI41" s="12"/>
      <c r="AJ41" s="66" t="s">
        <v>21</v>
      </c>
      <c r="AK41" s="66"/>
      <c r="AL41" s="66"/>
      <c r="AM41" s="21"/>
      <c r="AN41" s="80" t="s">
        <v>115</v>
      </c>
      <c r="AO41" s="80"/>
      <c r="AQ41" s="84">
        <f>_qualité!B2</f>
        <v>22</v>
      </c>
      <c r="AR41" s="13" t="s">
        <v>10</v>
      </c>
      <c r="AS41" s="86">
        <f>_qualité!B3</f>
        <v>50</v>
      </c>
      <c r="AU41" s="13"/>
      <c r="AV41" s="13" t="s">
        <v>28</v>
      </c>
      <c r="AW41" s="22" t="s">
        <v>29</v>
      </c>
      <c r="AY41" s="23"/>
      <c r="BZ41" s="2">
        <f>COUNTIF('data PRODUITS'!B:B,PROD!CA43)</f>
        <v>1048552</v>
      </c>
    </row>
    <row r="42" spans="18:104" ht="14.45" customHeight="1" x14ac:dyDescent="0.25">
      <c r="R42" s="1" t="str">
        <f>_qualité!E2</f>
        <v>Fil</v>
      </c>
      <c r="S42" s="1" t="str">
        <f>_qualité!E3</f>
        <v>Trou</v>
      </c>
      <c r="T42" s="1" t="str">
        <f>_qualité!E4</f>
        <v>Poids</v>
      </c>
      <c r="U42" s="1" t="str">
        <f>_qualité!E5</f>
        <v>Autre</v>
      </c>
      <c r="V42" s="1" t="str">
        <f>_qualité!E6</f>
        <v>Démarrage</v>
      </c>
      <c r="AA42" s="6" t="s">
        <v>34</v>
      </c>
      <c r="AE42" s="6" t="s">
        <v>40</v>
      </c>
      <c r="AF42" s="6" t="s">
        <v>9</v>
      </c>
      <c r="AI42" s="12"/>
      <c r="AJ42" s="24" t="s">
        <v>5</v>
      </c>
      <c r="AK42" s="13" t="str">
        <f>IF(AS33="F","plastique","n/a")</f>
        <v>plastique</v>
      </c>
      <c r="AL42" s="13" t="s">
        <v>2</v>
      </c>
      <c r="AM42" s="2"/>
      <c r="AN42" s="50" t="s">
        <v>3</v>
      </c>
      <c r="AO42" s="81" t="s">
        <v>4</v>
      </c>
      <c r="AQ42" s="13"/>
      <c r="AR42" s="13" t="s">
        <v>11</v>
      </c>
      <c r="AS42" s="13" t="s">
        <v>12</v>
      </c>
      <c r="AU42" s="69">
        <f>IFERROR(AS58/AW42*100,"")</f>
        <v>0</v>
      </c>
      <c r="AV42" s="69"/>
      <c r="AW42" s="22">
        <f>IF(AL$34="F 380g/m2",VLOOKUP(AJ36,'_matrice TRS'!A3:B42,2,FALSE),IF(AL34="F 340g/m2",VLOOKUP(AJ36,'_matrice TRS'!D3:E42,2,FALSE),IF(AL34="E 2x250g",VLOOKUP(AJ36,'_matrice TRS'!G3:H42,2,TRUE),IF(AL34="E 500g",VLOOKUP(AJ36,'_matrice TRS'!J3:K42,2,TRUE)))))</f>
        <v>30</v>
      </c>
      <c r="AX42" s="8">
        <f>SUM(AX43:AX82)</f>
        <v>0</v>
      </c>
      <c r="AY42" s="2"/>
      <c r="BC42" s="2"/>
      <c r="BD42" s="2"/>
      <c r="BE42" s="2"/>
      <c r="BF42" s="2"/>
      <c r="BG42" s="2"/>
      <c r="BH42" s="2"/>
      <c r="BY42" s="1">
        <f>COUNT(CB43:CB82)</f>
        <v>0</v>
      </c>
      <c r="BZ42" s="2" t="s">
        <v>78</v>
      </c>
      <c r="CA42" s="2" t="s">
        <v>44</v>
      </c>
      <c r="CB42" s="2" t="s">
        <v>31</v>
      </c>
      <c r="CC42" s="2" t="s">
        <v>79</v>
      </c>
      <c r="CD42" s="2" t="s">
        <v>20</v>
      </c>
      <c r="CE42" s="2" t="s">
        <v>33</v>
      </c>
      <c r="CF42" s="2" t="s">
        <v>32</v>
      </c>
      <c r="CG42" s="2" t="s">
        <v>80</v>
      </c>
      <c r="CH42" s="2" t="s">
        <v>19</v>
      </c>
      <c r="CI42" s="2" t="s">
        <v>7</v>
      </c>
    </row>
    <row r="43" spans="18:104" ht="14.45" customHeight="1" x14ac:dyDescent="0.25">
      <c r="R43" s="1" t="str">
        <f t="shared" ref="R43:V58" si="3">IF($AJ43=R$42,$AL43,"")</f>
        <v/>
      </c>
      <c r="S43" s="1" t="str">
        <f t="shared" si="3"/>
        <v/>
      </c>
      <c r="T43" s="1" t="str">
        <f t="shared" si="3"/>
        <v/>
      </c>
      <c r="U43" s="1" t="str">
        <f t="shared" si="3"/>
        <v/>
      </c>
      <c r="V43" s="1" t="str">
        <f>IF($AJ43=V$42,$AL43,"")</f>
        <v/>
      </c>
      <c r="AA43" s="6" t="str">
        <f>IF(AO43&lt;&gt;0,SUM(AB$43:AB43),"")</f>
        <v/>
      </c>
      <c r="AB43" s="6" t="str">
        <f>IF(AO43&lt;&gt;0,IF(AO43&lt;&gt;0,1,0),"")</f>
        <v/>
      </c>
      <c r="AC43" s="6" t="str">
        <f>IF(AN43&lt;&gt;0,IF(AJ43="",0.5,0),"")</f>
        <v/>
      </c>
      <c r="AD43" s="6" t="str">
        <f>IF(AN43&lt;&gt;0,IF(AJ43="",1,0),"")</f>
        <v/>
      </c>
      <c r="AE43" s="6" t="str">
        <f>IF(AND(AN43&lt;&gt;0),SUM(AC$43:AC43),"")</f>
        <v/>
      </c>
      <c r="AF43" s="6" t="str">
        <f>IF(AND(AN43&lt;&gt;0),SUM(AD$43:AD43),"")</f>
        <v/>
      </c>
      <c r="AH43" s="7" t="str">
        <f>IF(AND(AS$33="E",AL$34&lt;&gt;"E 50g"),"droite","")</f>
        <v/>
      </c>
      <c r="AI43" s="12" t="str">
        <f>IF(AL$34="E 2x250g",AE43,AF43)</f>
        <v/>
      </c>
      <c r="AJ43" s="38"/>
      <c r="AK43" s="3"/>
      <c r="AL43" s="3"/>
      <c r="AN43" s="30">
        <f>IF(AJ43="",IF(AK43="",AL43,AL43-AK43),0)</f>
        <v>0</v>
      </c>
      <c r="AO43" s="30">
        <f>IF(AJ43&lt;&gt;"",IF(AK43="",AL43,AL43-AK43),0)</f>
        <v>0</v>
      </c>
      <c r="AQ43" s="3"/>
      <c r="AR43" s="3"/>
      <c r="AS43" s="3"/>
      <c r="AT43" s="25" t="str">
        <f>IFERROR(AVERAGE(AR43:AS43),"")</f>
        <v/>
      </c>
      <c r="AU43" s="69"/>
      <c r="AV43" s="69"/>
      <c r="AW43" s="68" t="s">
        <v>30</v>
      </c>
      <c r="AX43" s="8" t="str">
        <f t="shared" ref="AX43:AX82" si="4">IF(BE43&lt;&gt;"",1,"")</f>
        <v/>
      </c>
      <c r="BK43" s="42"/>
      <c r="BZ43" s="2" t="str">
        <f>IF(AL43&lt;&gt;"",IFERROR(CONCATENATE(AS$33,ROUNDUP(AI43,0),"_",AK$33,"_",MID(AJ$34,1,1)),CONCATENATE(AS$33,AI43,"_",AK$33,"_",MID(AJ$34,1,1))),"")</f>
        <v/>
      </c>
      <c r="CA43" s="2" t="str">
        <f>IF(BZ43&lt;&gt;"",BZ$33,"")</f>
        <v/>
      </c>
      <c r="CB43" s="2" t="str">
        <f>AI43</f>
        <v/>
      </c>
      <c r="CC43" s="2" t="str">
        <f>IF(AJ43&lt;&gt;"",AJ43,"")</f>
        <v/>
      </c>
      <c r="CD43" s="2" t="str">
        <f>IF(AL43&lt;&gt;"",AL43,"")</f>
        <v/>
      </c>
      <c r="CE43" s="2" t="str">
        <f>IFERROR(VLOOKUP(CB43,$AQ$43:$AS$47,2,FALSE),"")</f>
        <v/>
      </c>
      <c r="CF43" s="2" t="str">
        <f>IFERROR(VLOOKUP(CB43,$AQ$43:$AS$47,3,FALSE),"")</f>
        <v/>
      </c>
      <c r="CG43" s="2" t="str">
        <f>IFERROR(VLOOKUP(CB43,$AQ$51:$AS$55,2,FALSE),"")</f>
        <v/>
      </c>
      <c r="CH43" s="2" t="str">
        <f>IFERROR(VLOOKUP(CB43,$AQ$51:$AS$55,3,FALSE),"")</f>
        <v/>
      </c>
      <c r="CI43" s="2" t="str">
        <f>IF(BZ43&lt;&gt;"",AL$34,"")</f>
        <v/>
      </c>
    </row>
    <row r="44" spans="18:104" ht="14.45" customHeight="1" x14ac:dyDescent="0.25">
      <c r="R44" s="1" t="str">
        <f t="shared" si="3"/>
        <v/>
      </c>
      <c r="S44" s="1" t="str">
        <f t="shared" si="3"/>
        <v/>
      </c>
      <c r="T44" s="1" t="str">
        <f t="shared" si="3"/>
        <v/>
      </c>
      <c r="U44" s="1" t="str">
        <f t="shared" si="3"/>
        <v/>
      </c>
      <c r="V44" s="1" t="str">
        <f t="shared" si="3"/>
        <v/>
      </c>
      <c r="AA44" s="6" t="str">
        <f>IF(AO44&lt;&gt;0,SUM(AB$43:AB44),"")</f>
        <v/>
      </c>
      <c r="AB44" s="6" t="str">
        <f t="shared" ref="AB44:AB73" si="5">IF(AO44&lt;&gt;0,IF(AO44&lt;&gt;0,1,0),"")</f>
        <v/>
      </c>
      <c r="AC44" s="6" t="str">
        <f t="shared" ref="AC44:AC51" si="6">IF(AN44&lt;&gt;0,IF(AJ44="",0.5,0),"")</f>
        <v/>
      </c>
      <c r="AD44" s="6" t="str">
        <f t="shared" ref="AD44:AD51" si="7">IF(AN44&lt;&gt;0,IF(AJ44="",1,0),"")</f>
        <v/>
      </c>
      <c r="AE44" s="6" t="str">
        <f>IF(AND(AN44&lt;&gt;0),SUM(AC$43:AC44),"")</f>
        <v/>
      </c>
      <c r="AF44" s="6" t="str">
        <f>IF(AND(AN44&lt;&gt;0),SUM(AD$43:AD44),"")</f>
        <v/>
      </c>
      <c r="AH44" s="7" t="str">
        <f>IF(AND(AS$33="E",AL$34&lt;&gt;"E 50g"),"gauche","")</f>
        <v/>
      </c>
      <c r="AI44" s="12" t="str">
        <f t="shared" ref="AI44:AI82" si="8">IF(AL$34="E 2x250g",AE44,AF44)</f>
        <v/>
      </c>
      <c r="AJ44" s="38"/>
      <c r="AK44" s="3"/>
      <c r="AL44" s="3"/>
      <c r="AN44" s="30">
        <f>IF(AJ44="",IF(AK44="",AL44,AL44-AK44),0)</f>
        <v>0</v>
      </c>
      <c r="AO44" s="30">
        <f>IF(AJ44&lt;&gt;"",IF(AK44="",AL44,AL44-AK44),0)</f>
        <v>0</v>
      </c>
      <c r="AQ44" s="3"/>
      <c r="AR44" s="3"/>
      <c r="AS44" s="3"/>
      <c r="AT44" s="25" t="str">
        <f t="shared" ref="AT44:AT47" si="9">IFERROR(AVERAGE(AR44:AS44),"")</f>
        <v/>
      </c>
      <c r="AU44" s="69"/>
      <c r="AV44" s="69"/>
      <c r="AW44" s="68"/>
      <c r="AX44" s="8" t="str">
        <f t="shared" si="4"/>
        <v/>
      </c>
      <c r="BK44" s="42"/>
      <c r="BZ44" s="2" t="str">
        <f t="shared" ref="BZ44:BZ82" si="10">IF(AL44&lt;&gt;"",IFERROR(CONCATENATE(AS$33,ROUNDUP(AI44,0),"_",AK$33,"_",MID(AJ$34,1,1)),CONCATENATE(AS$33,AI44,"_",AK$33,"_",MID(AJ$34,1,1))),"")</f>
        <v/>
      </c>
      <c r="CA44" s="2" t="str">
        <f t="shared" ref="CA44:CA82" si="11">IF(BZ44&lt;&gt;"",BZ$33,"")</f>
        <v/>
      </c>
      <c r="CB44" s="2" t="str">
        <f t="shared" ref="CB44:CB82" si="12">AI44</f>
        <v/>
      </c>
      <c r="CC44" s="2" t="str">
        <f t="shared" ref="CC44:CC82" si="13">IF(AJ44&lt;&gt;"",AJ44,"")</f>
        <v/>
      </c>
      <c r="CD44" s="2" t="str">
        <f t="shared" ref="CD44:CD82" si="14">IF(AL44&lt;&gt;"",AL44,"")</f>
        <v/>
      </c>
      <c r="CE44" s="2" t="str">
        <f t="shared" ref="CE44:CE82" si="15">IFERROR(VLOOKUP(CB44,$AQ$43:$AS$47,2,FALSE),"")</f>
        <v/>
      </c>
      <c r="CF44" s="2" t="str">
        <f t="shared" ref="CF44:CF82" si="16">IFERROR(VLOOKUP(CB44,$AQ$43:$AS$47,3,FALSE),"")</f>
        <v/>
      </c>
      <c r="CG44" s="2" t="str">
        <f t="shared" ref="CG44:CG82" si="17">IFERROR(VLOOKUP(CB44,$AQ$51:$AS$55,2,FALSE),"")</f>
        <v/>
      </c>
      <c r="CH44" s="2" t="str">
        <f t="shared" ref="CH44:CH82" si="18">IFERROR(VLOOKUP(CB44,$AQ$51:$AS$55,3,FALSE),"")</f>
        <v/>
      </c>
      <c r="CI44" s="2" t="str">
        <f t="shared" ref="CI44:CI82" si="19">IF(BZ44&lt;&gt;"",AL$34,"")</f>
        <v/>
      </c>
    </row>
    <row r="45" spans="18:104" ht="14.45" customHeight="1" x14ac:dyDescent="0.25">
      <c r="R45" s="1" t="str">
        <f t="shared" si="3"/>
        <v/>
      </c>
      <c r="S45" s="1" t="str">
        <f t="shared" si="3"/>
        <v/>
      </c>
      <c r="T45" s="1" t="str">
        <f t="shared" si="3"/>
        <v/>
      </c>
      <c r="U45" s="1" t="str">
        <f t="shared" si="3"/>
        <v/>
      </c>
      <c r="V45" s="1" t="str">
        <f t="shared" si="3"/>
        <v/>
      </c>
      <c r="AA45" s="6" t="str">
        <f>IF(AO45&lt;&gt;0,SUM(AB$43:AB45),"")</f>
        <v/>
      </c>
      <c r="AB45" s="6" t="str">
        <f t="shared" si="5"/>
        <v/>
      </c>
      <c r="AC45" s="6" t="str">
        <f t="shared" si="6"/>
        <v/>
      </c>
      <c r="AD45" s="6" t="str">
        <f t="shared" si="7"/>
        <v/>
      </c>
      <c r="AE45" s="6" t="str">
        <f>IF(AND(AN45&lt;&gt;0),SUM(AC$43:AC45),"")</f>
        <v/>
      </c>
      <c r="AF45" s="6" t="str">
        <f>IF(AND(AN45&lt;&gt;0),SUM(AD$43:AD45),"")</f>
        <v/>
      </c>
      <c r="AH45" s="7" t="str">
        <f t="shared" ref="AH45" si="20">IF(AND(AS$33="E",AL$34&lt;&gt;"E 50g"),"droite","")</f>
        <v/>
      </c>
      <c r="AI45" s="12" t="str">
        <f t="shared" si="8"/>
        <v/>
      </c>
      <c r="AJ45" s="38"/>
      <c r="AK45" s="3"/>
      <c r="AL45" s="3"/>
      <c r="AN45" s="30">
        <f>IF(AJ45="",IF(AK45="",AL45,AL45-AK45),0)</f>
        <v>0</v>
      </c>
      <c r="AO45" s="30">
        <f>IF(AJ45&lt;&gt;"",IF(AK45="",AL45,AL45-AK45),0)</f>
        <v>0</v>
      </c>
      <c r="AQ45" s="3"/>
      <c r="AR45" s="3"/>
      <c r="AS45" s="3"/>
      <c r="AT45" s="25" t="str">
        <f t="shared" si="9"/>
        <v/>
      </c>
      <c r="AU45" s="69"/>
      <c r="AV45" s="69"/>
      <c r="AW45" s="68"/>
      <c r="AX45" s="8" t="str">
        <f t="shared" si="4"/>
        <v/>
      </c>
      <c r="BK45" s="42"/>
      <c r="BZ45" s="2" t="str">
        <f t="shared" si="10"/>
        <v/>
      </c>
      <c r="CA45" s="2" t="str">
        <f t="shared" si="11"/>
        <v/>
      </c>
      <c r="CB45" s="2" t="str">
        <f t="shared" si="12"/>
        <v/>
      </c>
      <c r="CC45" s="2" t="str">
        <f t="shared" si="13"/>
        <v/>
      </c>
      <c r="CD45" s="2" t="str">
        <f t="shared" si="14"/>
        <v/>
      </c>
      <c r="CE45" s="2" t="str">
        <f t="shared" si="15"/>
        <v/>
      </c>
      <c r="CF45" s="2" t="str">
        <f t="shared" si="16"/>
        <v/>
      </c>
      <c r="CG45" s="2" t="str">
        <f t="shared" si="17"/>
        <v/>
      </c>
      <c r="CH45" s="2" t="str">
        <f t="shared" si="18"/>
        <v/>
      </c>
      <c r="CI45" s="2" t="str">
        <f t="shared" si="19"/>
        <v/>
      </c>
    </row>
    <row r="46" spans="18:104" ht="14.45" customHeight="1" x14ac:dyDescent="0.25">
      <c r="R46" s="1" t="str">
        <f t="shared" si="3"/>
        <v/>
      </c>
      <c r="S46" s="1" t="str">
        <f t="shared" si="3"/>
        <v/>
      </c>
      <c r="T46" s="1" t="str">
        <f t="shared" si="3"/>
        <v/>
      </c>
      <c r="U46" s="1" t="str">
        <f t="shared" si="3"/>
        <v/>
      </c>
      <c r="V46" s="1" t="str">
        <f t="shared" si="3"/>
        <v/>
      </c>
      <c r="AA46" s="6" t="str">
        <f>IF(AO46&lt;&gt;0,SUM(AB$43:AB46),"")</f>
        <v/>
      </c>
      <c r="AB46" s="6" t="str">
        <f t="shared" si="5"/>
        <v/>
      </c>
      <c r="AC46" s="6" t="str">
        <f t="shared" si="6"/>
        <v/>
      </c>
      <c r="AD46" s="6" t="str">
        <f t="shared" si="7"/>
        <v/>
      </c>
      <c r="AE46" s="6" t="str">
        <f>IF(AND(AN46&lt;&gt;0),SUM(AC$43:AC46),"")</f>
        <v/>
      </c>
      <c r="AF46" s="6" t="str">
        <f>IF(AND(AN46&lt;&gt;0),SUM(AD$43:AD46),"")</f>
        <v/>
      </c>
      <c r="AH46" s="7" t="str">
        <f t="shared" ref="AH46" si="21">IF(AND(AS$33="E",AL$34&lt;&gt;"E 50g"),"gauche","")</f>
        <v/>
      </c>
      <c r="AI46" s="12" t="str">
        <f t="shared" si="8"/>
        <v/>
      </c>
      <c r="AJ46" s="38"/>
      <c r="AK46" s="3"/>
      <c r="AL46" s="3"/>
      <c r="AN46" s="30">
        <f t="shared" ref="AN46:AN51" si="22">IF(AJ46="",IF(AK46="",AL46,AL46-AK46),0)</f>
        <v>0</v>
      </c>
      <c r="AO46" s="30">
        <f t="shared" ref="AO46:AO51" si="23">IF(AJ46&lt;&gt;"",IF(AK46="",AL46,AL46-AK46),0)</f>
        <v>0</v>
      </c>
      <c r="AQ46" s="3"/>
      <c r="AR46" s="3"/>
      <c r="AS46" s="3"/>
      <c r="AT46" s="25" t="str">
        <f t="shared" si="9"/>
        <v/>
      </c>
      <c r="AU46" s="69"/>
      <c r="AV46" s="69"/>
      <c r="AW46" s="68"/>
      <c r="AX46" s="8" t="str">
        <f t="shared" si="4"/>
        <v/>
      </c>
      <c r="BK46" s="42"/>
      <c r="BZ46" s="2" t="str">
        <f t="shared" si="10"/>
        <v/>
      </c>
      <c r="CA46" s="2" t="str">
        <f t="shared" si="11"/>
        <v/>
      </c>
      <c r="CB46" s="2" t="str">
        <f t="shared" si="12"/>
        <v/>
      </c>
      <c r="CC46" s="2" t="str">
        <f t="shared" si="13"/>
        <v/>
      </c>
      <c r="CD46" s="2" t="str">
        <f t="shared" si="14"/>
        <v/>
      </c>
      <c r="CE46" s="2" t="str">
        <f t="shared" si="15"/>
        <v/>
      </c>
      <c r="CF46" s="2" t="str">
        <f t="shared" si="16"/>
        <v/>
      </c>
      <c r="CG46" s="2" t="str">
        <f t="shared" si="17"/>
        <v/>
      </c>
      <c r="CH46" s="2" t="str">
        <f t="shared" si="18"/>
        <v/>
      </c>
      <c r="CI46" s="2" t="str">
        <f t="shared" si="19"/>
        <v/>
      </c>
    </row>
    <row r="47" spans="18:104" x14ac:dyDescent="0.25">
      <c r="R47" s="1" t="str">
        <f t="shared" si="3"/>
        <v/>
      </c>
      <c r="S47" s="1" t="str">
        <f t="shared" si="3"/>
        <v/>
      </c>
      <c r="T47" s="1" t="str">
        <f t="shared" si="3"/>
        <v/>
      </c>
      <c r="U47" s="1" t="str">
        <f t="shared" si="3"/>
        <v/>
      </c>
      <c r="V47" s="1" t="str">
        <f t="shared" si="3"/>
        <v/>
      </c>
      <c r="AA47" s="6" t="str">
        <f>IF(AO47&lt;&gt;0,SUM(AB$43:AB47),"")</f>
        <v/>
      </c>
      <c r="AB47" s="6" t="str">
        <f t="shared" si="5"/>
        <v/>
      </c>
      <c r="AC47" s="6" t="str">
        <f t="shared" si="6"/>
        <v/>
      </c>
      <c r="AD47" s="6" t="str">
        <f t="shared" si="7"/>
        <v/>
      </c>
      <c r="AE47" s="6" t="str">
        <f>IF(AND(AN47&lt;&gt;0),SUM(AC$43:AC47),"")</f>
        <v/>
      </c>
      <c r="AF47" s="6" t="str">
        <f>IF(AND(AN47&lt;&gt;0),SUM(AD$43:AD47),"")</f>
        <v/>
      </c>
      <c r="AH47" s="7" t="str">
        <f t="shared" ref="AH47" si="24">IF(AND(AS$33="E",AL$34&lt;&gt;"E 50g"),"droite","")</f>
        <v/>
      </c>
      <c r="AI47" s="12" t="str">
        <f t="shared" si="8"/>
        <v/>
      </c>
      <c r="AJ47" s="38"/>
      <c r="AK47" s="3"/>
      <c r="AL47" s="3"/>
      <c r="AN47" s="30">
        <f t="shared" si="22"/>
        <v>0</v>
      </c>
      <c r="AO47" s="30">
        <f t="shared" si="23"/>
        <v>0</v>
      </c>
      <c r="AQ47" s="3"/>
      <c r="AR47" s="3"/>
      <c r="AS47" s="3"/>
      <c r="AT47" s="25" t="str">
        <f t="shared" si="9"/>
        <v/>
      </c>
      <c r="AU47" s="69"/>
      <c r="AV47" s="69"/>
      <c r="AW47" s="68"/>
      <c r="AX47" s="8" t="str">
        <f t="shared" si="4"/>
        <v/>
      </c>
      <c r="BK47" s="42"/>
      <c r="BZ47" s="2" t="str">
        <f t="shared" si="10"/>
        <v/>
      </c>
      <c r="CA47" s="2" t="str">
        <f t="shared" si="11"/>
        <v/>
      </c>
      <c r="CB47" s="2" t="str">
        <f t="shared" si="12"/>
        <v/>
      </c>
      <c r="CC47" s="2" t="str">
        <f t="shared" si="13"/>
        <v/>
      </c>
      <c r="CD47" s="2" t="str">
        <f t="shared" si="14"/>
        <v/>
      </c>
      <c r="CE47" s="2" t="str">
        <f t="shared" si="15"/>
        <v/>
      </c>
      <c r="CF47" s="2" t="str">
        <f t="shared" si="16"/>
        <v/>
      </c>
      <c r="CG47" s="2" t="str">
        <f t="shared" si="17"/>
        <v/>
      </c>
      <c r="CH47" s="2" t="str">
        <f t="shared" si="18"/>
        <v/>
      </c>
      <c r="CI47" s="2" t="str">
        <f t="shared" si="19"/>
        <v/>
      </c>
    </row>
    <row r="48" spans="18:104" x14ac:dyDescent="0.25">
      <c r="R48" s="1" t="str">
        <f t="shared" si="3"/>
        <v/>
      </c>
      <c r="S48" s="1" t="str">
        <f t="shared" si="3"/>
        <v/>
      </c>
      <c r="T48" s="1" t="str">
        <f t="shared" si="3"/>
        <v/>
      </c>
      <c r="U48" s="1" t="str">
        <f t="shared" si="3"/>
        <v/>
      </c>
      <c r="V48" s="1" t="str">
        <f t="shared" si="3"/>
        <v/>
      </c>
      <c r="AA48" s="6" t="str">
        <f>IF(AO48&lt;&gt;0,SUM(AB$43:AB48),"")</f>
        <v/>
      </c>
      <c r="AB48" s="6" t="str">
        <f t="shared" si="5"/>
        <v/>
      </c>
      <c r="AC48" s="6" t="str">
        <f t="shared" si="6"/>
        <v/>
      </c>
      <c r="AD48" s="6" t="str">
        <f t="shared" si="7"/>
        <v/>
      </c>
      <c r="AE48" s="6" t="str">
        <f>IF(AND(AN48&lt;&gt;0),SUM(AC$43:AC48),"")</f>
        <v/>
      </c>
      <c r="AF48" s="6" t="str">
        <f>IF(AND(AN48&lt;&gt;0),SUM(AD$43:AD48),"")</f>
        <v/>
      </c>
      <c r="AH48" s="7" t="str">
        <f t="shared" ref="AH48" si="25">IF(AND(AS$33="E",AL$34&lt;&gt;"E 50g"),"gauche","")</f>
        <v/>
      </c>
      <c r="AI48" s="12" t="str">
        <f t="shared" si="8"/>
        <v/>
      </c>
      <c r="AJ48" s="38"/>
      <c r="AK48" s="3"/>
      <c r="AL48" s="3"/>
      <c r="AN48" s="30">
        <f t="shared" si="22"/>
        <v>0</v>
      </c>
      <c r="AO48" s="30">
        <f t="shared" si="23"/>
        <v>0</v>
      </c>
      <c r="AQ48" s="26"/>
      <c r="AR48" s="27">
        <f>IF(COUNT(AR43:AR47)&lt;2,AR43,AVERAGE(AR43:AR47))</f>
        <v>0</v>
      </c>
      <c r="AS48" s="27">
        <f>IF(COUNT(AS43:AS47)&lt;2,AS43,AVERAGE(AS43:AS47))</f>
        <v>0</v>
      </c>
      <c r="AT48" s="28"/>
      <c r="AX48" s="8" t="str">
        <f t="shared" si="4"/>
        <v/>
      </c>
      <c r="BK48" s="42"/>
      <c r="BZ48" s="2" t="str">
        <f t="shared" si="10"/>
        <v/>
      </c>
      <c r="CA48" s="2" t="str">
        <f t="shared" si="11"/>
        <v/>
      </c>
      <c r="CB48" s="2" t="str">
        <f t="shared" si="12"/>
        <v/>
      </c>
      <c r="CC48" s="2" t="str">
        <f t="shared" si="13"/>
        <v/>
      </c>
      <c r="CD48" s="2" t="str">
        <f t="shared" si="14"/>
        <v/>
      </c>
      <c r="CE48" s="2" t="str">
        <f t="shared" si="15"/>
        <v/>
      </c>
      <c r="CF48" s="2" t="str">
        <f t="shared" si="16"/>
        <v/>
      </c>
      <c r="CG48" s="2" t="str">
        <f t="shared" si="17"/>
        <v/>
      </c>
      <c r="CH48" s="2" t="str">
        <f t="shared" si="18"/>
        <v/>
      </c>
      <c r="CI48" s="2" t="str">
        <f t="shared" si="19"/>
        <v/>
      </c>
    </row>
    <row r="49" spans="18:87" x14ac:dyDescent="0.25">
      <c r="R49" s="1" t="str">
        <f t="shared" si="3"/>
        <v/>
      </c>
      <c r="S49" s="1" t="str">
        <f t="shared" si="3"/>
        <v/>
      </c>
      <c r="T49" s="1" t="str">
        <f t="shared" si="3"/>
        <v/>
      </c>
      <c r="U49" s="1" t="str">
        <f t="shared" si="3"/>
        <v/>
      </c>
      <c r="V49" s="1" t="str">
        <f t="shared" si="3"/>
        <v/>
      </c>
      <c r="AA49" s="6" t="str">
        <f>IF(AO49&lt;&gt;0,SUM(AB$43:AB49),"")</f>
        <v/>
      </c>
      <c r="AB49" s="6" t="str">
        <f t="shared" si="5"/>
        <v/>
      </c>
      <c r="AC49" s="6" t="str">
        <f t="shared" si="6"/>
        <v/>
      </c>
      <c r="AD49" s="6" t="str">
        <f t="shared" si="7"/>
        <v/>
      </c>
      <c r="AE49" s="6" t="str">
        <f>IF(AND(AN49&lt;&gt;0),SUM(AC$43:AC49),"")</f>
        <v/>
      </c>
      <c r="AF49" s="6" t="str">
        <f>IF(AND(AN49&lt;&gt;0),SUM(AD$43:AD49),"")</f>
        <v/>
      </c>
      <c r="AH49" s="7" t="str">
        <f t="shared" ref="AH49" si="26">IF(AND(AS$33="E",AL$34&lt;&gt;"E 50g"),"droite","")</f>
        <v/>
      </c>
      <c r="AI49" s="12" t="str">
        <f t="shared" si="8"/>
        <v/>
      </c>
      <c r="AJ49" s="38"/>
      <c r="AK49" s="3"/>
      <c r="AL49" s="3"/>
      <c r="AN49" s="30">
        <f t="shared" si="22"/>
        <v>0</v>
      </c>
      <c r="AO49" s="30">
        <f t="shared" si="23"/>
        <v>0</v>
      </c>
      <c r="AQ49" s="84">
        <f>AV62</f>
        <v>252</v>
      </c>
      <c r="AR49" s="13" t="s">
        <v>13</v>
      </c>
      <c r="AS49" s="86">
        <f>AV63</f>
        <v>308</v>
      </c>
      <c r="AT49" s="28"/>
      <c r="AU49" s="43" t="s">
        <v>92</v>
      </c>
      <c r="AV49" s="13"/>
      <c r="AW49" s="13"/>
      <c r="AX49" s="8" t="str">
        <f t="shared" si="4"/>
        <v/>
      </c>
      <c r="BK49" s="42"/>
      <c r="BZ49" s="2" t="str">
        <f t="shared" si="10"/>
        <v/>
      </c>
      <c r="CA49" s="2" t="str">
        <f t="shared" si="11"/>
        <v/>
      </c>
      <c r="CB49" s="2" t="str">
        <f t="shared" si="12"/>
        <v/>
      </c>
      <c r="CC49" s="2" t="str">
        <f t="shared" si="13"/>
        <v/>
      </c>
      <c r="CD49" s="2" t="str">
        <f t="shared" si="14"/>
        <v/>
      </c>
      <c r="CE49" s="2" t="str">
        <f t="shared" si="15"/>
        <v/>
      </c>
      <c r="CF49" s="2" t="str">
        <f t="shared" si="16"/>
        <v/>
      </c>
      <c r="CG49" s="2" t="str">
        <f t="shared" si="17"/>
        <v/>
      </c>
      <c r="CH49" s="2" t="str">
        <f t="shared" si="18"/>
        <v/>
      </c>
      <c r="CI49" s="2" t="str">
        <f t="shared" si="19"/>
        <v/>
      </c>
    </row>
    <row r="50" spans="18:87" x14ac:dyDescent="0.25">
      <c r="R50" s="1" t="str">
        <f t="shared" si="3"/>
        <v/>
      </c>
      <c r="S50" s="1" t="str">
        <f t="shared" si="3"/>
        <v/>
      </c>
      <c r="T50" s="1" t="str">
        <f t="shared" si="3"/>
        <v/>
      </c>
      <c r="U50" s="1" t="str">
        <f t="shared" si="3"/>
        <v/>
      </c>
      <c r="V50" s="1" t="str">
        <f t="shared" si="3"/>
        <v/>
      </c>
      <c r="AA50" s="6" t="str">
        <f>IF(AO50&lt;&gt;0,SUM(AB$43:AB50),"")</f>
        <v/>
      </c>
      <c r="AB50" s="6" t="str">
        <f t="shared" si="5"/>
        <v/>
      </c>
      <c r="AC50" s="6" t="str">
        <f t="shared" si="6"/>
        <v/>
      </c>
      <c r="AD50" s="6" t="str">
        <f t="shared" si="7"/>
        <v/>
      </c>
      <c r="AE50" s="6" t="str">
        <f>IF(AND(AN50&lt;&gt;0),SUM(AC$43:AC50),"")</f>
        <v/>
      </c>
      <c r="AF50" s="6" t="str">
        <f>IF(AND(AN50&lt;&gt;0),SUM(AD$43:AD50),"")</f>
        <v/>
      </c>
      <c r="AH50" s="7" t="str">
        <f t="shared" ref="AH50" si="27">IF(AND(AS$33="E",AL$34&lt;&gt;"E 50g"),"gauche","")</f>
        <v/>
      </c>
      <c r="AI50" s="12" t="str">
        <f t="shared" si="8"/>
        <v/>
      </c>
      <c r="AJ50" s="38"/>
      <c r="AK50" s="3"/>
      <c r="AL50" s="3"/>
      <c r="AN50" s="30">
        <f t="shared" si="22"/>
        <v>0</v>
      </c>
      <c r="AO50" s="30">
        <f t="shared" si="23"/>
        <v>0</v>
      </c>
      <c r="AQ50" s="13"/>
      <c r="AR50" s="13" t="s">
        <v>14</v>
      </c>
      <c r="AS50" s="13" t="s">
        <v>15</v>
      </c>
      <c r="AT50" s="28"/>
      <c r="AU50" s="29"/>
      <c r="AV50" s="29"/>
      <c r="AW50" s="29"/>
      <c r="AX50" s="8" t="str">
        <f t="shared" si="4"/>
        <v/>
      </c>
      <c r="BK50" s="42"/>
      <c r="BZ50" s="2" t="str">
        <f t="shared" si="10"/>
        <v/>
      </c>
      <c r="CA50" s="2" t="str">
        <f t="shared" si="11"/>
        <v/>
      </c>
      <c r="CB50" s="2" t="str">
        <f t="shared" si="12"/>
        <v/>
      </c>
      <c r="CC50" s="2" t="str">
        <f t="shared" si="13"/>
        <v/>
      </c>
      <c r="CD50" s="2" t="str">
        <f t="shared" si="14"/>
        <v/>
      </c>
      <c r="CE50" s="2" t="str">
        <f t="shared" si="15"/>
        <v/>
      </c>
      <c r="CF50" s="2" t="str">
        <f t="shared" si="16"/>
        <v/>
      </c>
      <c r="CG50" s="2" t="str">
        <f t="shared" si="17"/>
        <v/>
      </c>
      <c r="CH50" s="2" t="str">
        <f t="shared" si="18"/>
        <v/>
      </c>
      <c r="CI50" s="2" t="str">
        <f t="shared" si="19"/>
        <v/>
      </c>
    </row>
    <row r="51" spans="18:87" x14ac:dyDescent="0.25">
      <c r="R51" s="1" t="str">
        <f t="shared" si="3"/>
        <v/>
      </c>
      <c r="S51" s="1" t="str">
        <f t="shared" si="3"/>
        <v/>
      </c>
      <c r="T51" s="1" t="str">
        <f t="shared" si="3"/>
        <v/>
      </c>
      <c r="U51" s="1" t="str">
        <f t="shared" si="3"/>
        <v/>
      </c>
      <c r="V51" s="1" t="str">
        <f t="shared" si="3"/>
        <v/>
      </c>
      <c r="AA51" s="6" t="str">
        <f>IF(AO51&lt;&gt;0,SUM(AB$43:AB51),"")</f>
        <v/>
      </c>
      <c r="AB51" s="6" t="str">
        <f t="shared" si="5"/>
        <v/>
      </c>
      <c r="AC51" s="6" t="str">
        <f t="shared" si="6"/>
        <v/>
      </c>
      <c r="AD51" s="6" t="str">
        <f t="shared" si="7"/>
        <v/>
      </c>
      <c r="AE51" s="6" t="str">
        <f>IF(AND(AN51&lt;&gt;0),SUM(AC$43:AC51),"")</f>
        <v/>
      </c>
      <c r="AF51" s="6" t="str">
        <f>IF(AND(AN51&lt;&gt;0),SUM(AD$43:AD51),"")</f>
        <v/>
      </c>
      <c r="AH51" s="7" t="str">
        <f t="shared" ref="AH51" si="28">IF(AND(AS$33="E",AL$34&lt;&gt;"E 50g"),"droite","")</f>
        <v/>
      </c>
      <c r="AI51" s="12" t="str">
        <f t="shared" si="8"/>
        <v/>
      </c>
      <c r="AJ51" s="38"/>
      <c r="AK51" s="3"/>
      <c r="AL51" s="3"/>
      <c r="AN51" s="30">
        <f t="shared" si="22"/>
        <v>0</v>
      </c>
      <c r="AO51" s="30">
        <f t="shared" si="23"/>
        <v>0</v>
      </c>
      <c r="AQ51" s="3"/>
      <c r="AR51" s="5"/>
      <c r="AS51" s="3"/>
      <c r="AT51" s="28"/>
      <c r="AU51" s="29"/>
      <c r="AV51" s="29"/>
      <c r="AW51" s="29"/>
      <c r="AX51" s="8" t="str">
        <f t="shared" si="4"/>
        <v/>
      </c>
      <c r="BK51" s="42"/>
      <c r="BZ51" s="2" t="str">
        <f t="shared" si="10"/>
        <v/>
      </c>
      <c r="CA51" s="2" t="str">
        <f t="shared" si="11"/>
        <v/>
      </c>
      <c r="CB51" s="2" t="str">
        <f t="shared" si="12"/>
        <v/>
      </c>
      <c r="CC51" s="2" t="str">
        <f t="shared" si="13"/>
        <v/>
      </c>
      <c r="CD51" s="2" t="str">
        <f t="shared" si="14"/>
        <v/>
      </c>
      <c r="CE51" s="2" t="str">
        <f t="shared" si="15"/>
        <v/>
      </c>
      <c r="CF51" s="2" t="str">
        <f t="shared" si="16"/>
        <v/>
      </c>
      <c r="CG51" s="2" t="str">
        <f t="shared" si="17"/>
        <v/>
      </c>
      <c r="CH51" s="2" t="str">
        <f t="shared" si="18"/>
        <v/>
      </c>
      <c r="CI51" s="2" t="str">
        <f t="shared" si="19"/>
        <v/>
      </c>
    </row>
    <row r="52" spans="18:87" x14ac:dyDescent="0.25">
      <c r="R52" s="1" t="str">
        <f t="shared" si="3"/>
        <v/>
      </c>
      <c r="S52" s="1" t="str">
        <f t="shared" si="3"/>
        <v/>
      </c>
      <c r="T52" s="1" t="str">
        <f t="shared" si="3"/>
        <v/>
      </c>
      <c r="U52" s="1" t="str">
        <f t="shared" si="3"/>
        <v/>
      </c>
      <c r="V52" s="1" t="str">
        <f t="shared" si="3"/>
        <v/>
      </c>
      <c r="AA52" s="6" t="str">
        <f>IF(AO52&lt;&gt;0,SUM(AB$43:AB52),"")</f>
        <v/>
      </c>
      <c r="AB52" s="6" t="str">
        <f t="shared" si="5"/>
        <v/>
      </c>
      <c r="AC52" s="6" t="str">
        <f t="shared" ref="AC52:AC72" si="29">IF(AN52&lt;&gt;0,IF(AJ52="",0.5,0),"")</f>
        <v/>
      </c>
      <c r="AD52" s="6" t="str">
        <f t="shared" ref="AD52:AD72" si="30">IF(AN52&lt;&gt;0,IF(AJ52="",1,0),"")</f>
        <v/>
      </c>
      <c r="AE52" s="6" t="str">
        <f>IF(AND(AN52&lt;&gt;0),SUM(AC$43:AC52),"")</f>
        <v/>
      </c>
      <c r="AF52" s="6" t="str">
        <f>IF(AND(AN52&lt;&gt;0),SUM(AD$43:AD52),"")</f>
        <v/>
      </c>
      <c r="AH52" s="7" t="str">
        <f t="shared" ref="AH52" si="31">IF(AND(AS$33="E",AL$34&lt;&gt;"E 50g"),"gauche","")</f>
        <v/>
      </c>
      <c r="AI52" s="12" t="str">
        <f t="shared" si="8"/>
        <v/>
      </c>
      <c r="AJ52" s="38"/>
      <c r="AK52" s="3"/>
      <c r="AL52" s="3"/>
      <c r="AN52" s="30">
        <f t="shared" ref="AN52:AN73" si="32">IF(AJ52="",IF(AK52="",AL52,AL52-AK52),0)</f>
        <v>0</v>
      </c>
      <c r="AO52" s="30">
        <f t="shared" ref="AO52:AO73" si="33">IF(AJ52&lt;&gt;"",IF(AK52="",AL52,AL52-AK52),0)</f>
        <v>0</v>
      </c>
      <c r="AQ52" s="3"/>
      <c r="AR52" s="5"/>
      <c r="AS52" s="3"/>
      <c r="AT52" s="28"/>
      <c r="AU52" s="29"/>
      <c r="AV52" s="29"/>
      <c r="AW52" s="29"/>
      <c r="AX52" s="8" t="str">
        <f t="shared" si="4"/>
        <v/>
      </c>
      <c r="BK52" s="42"/>
      <c r="BZ52" s="2" t="str">
        <f t="shared" si="10"/>
        <v/>
      </c>
      <c r="CA52" s="2" t="str">
        <f t="shared" si="11"/>
        <v/>
      </c>
      <c r="CB52" s="2" t="str">
        <f t="shared" si="12"/>
        <v/>
      </c>
      <c r="CC52" s="2" t="str">
        <f t="shared" si="13"/>
        <v/>
      </c>
      <c r="CD52" s="2" t="str">
        <f t="shared" si="14"/>
        <v/>
      </c>
      <c r="CE52" s="2" t="str">
        <f t="shared" si="15"/>
        <v/>
      </c>
      <c r="CF52" s="2" t="str">
        <f t="shared" si="16"/>
        <v/>
      </c>
      <c r="CG52" s="2" t="str">
        <f t="shared" si="17"/>
        <v/>
      </c>
      <c r="CH52" s="2" t="str">
        <f t="shared" si="18"/>
        <v/>
      </c>
      <c r="CI52" s="2" t="str">
        <f t="shared" si="19"/>
        <v/>
      </c>
    </row>
    <row r="53" spans="18:87" x14ac:dyDescent="0.25">
      <c r="R53" s="1" t="str">
        <f t="shared" si="3"/>
        <v/>
      </c>
      <c r="S53" s="1" t="str">
        <f t="shared" si="3"/>
        <v/>
      </c>
      <c r="T53" s="1" t="str">
        <f t="shared" si="3"/>
        <v/>
      </c>
      <c r="U53" s="1" t="str">
        <f t="shared" si="3"/>
        <v/>
      </c>
      <c r="V53" s="1" t="str">
        <f t="shared" si="3"/>
        <v/>
      </c>
      <c r="AA53" s="6" t="str">
        <f>IF(AO53&lt;&gt;0,SUM(AB$43:AB53),"")</f>
        <v/>
      </c>
      <c r="AB53" s="6" t="str">
        <f t="shared" si="5"/>
        <v/>
      </c>
      <c r="AC53" s="6" t="str">
        <f t="shared" si="29"/>
        <v/>
      </c>
      <c r="AD53" s="6" t="str">
        <f t="shared" si="30"/>
        <v/>
      </c>
      <c r="AE53" s="6" t="str">
        <f>IF(AND(AN53&lt;&gt;0),SUM(AC$43:AC53),"")</f>
        <v/>
      </c>
      <c r="AF53" s="6" t="str">
        <f>IF(AND(AN53&lt;&gt;0),SUM(AD$43:AD53),"")</f>
        <v/>
      </c>
      <c r="AH53" s="7" t="str">
        <f t="shared" ref="AH53" si="34">IF(AND(AS$33="E",AL$34&lt;&gt;"E 50g"),"droite","")</f>
        <v/>
      </c>
      <c r="AI53" s="12" t="str">
        <f t="shared" si="8"/>
        <v/>
      </c>
      <c r="AJ53" s="38"/>
      <c r="AK53" s="3"/>
      <c r="AL53" s="3"/>
      <c r="AN53" s="30">
        <f t="shared" si="32"/>
        <v>0</v>
      </c>
      <c r="AO53" s="30">
        <f t="shared" si="33"/>
        <v>0</v>
      </c>
      <c r="AQ53" s="3"/>
      <c r="AR53" s="5"/>
      <c r="AS53" s="3"/>
      <c r="AT53" s="28"/>
      <c r="AU53" s="29"/>
      <c r="AV53" s="29"/>
      <c r="AW53" s="29"/>
      <c r="AX53" s="8" t="str">
        <f t="shared" si="4"/>
        <v/>
      </c>
      <c r="BK53" s="42"/>
      <c r="BZ53" s="2" t="str">
        <f t="shared" si="10"/>
        <v/>
      </c>
      <c r="CA53" s="2" t="str">
        <f t="shared" si="11"/>
        <v/>
      </c>
      <c r="CB53" s="2" t="str">
        <f t="shared" si="12"/>
        <v/>
      </c>
      <c r="CC53" s="2" t="str">
        <f t="shared" si="13"/>
        <v/>
      </c>
      <c r="CD53" s="2" t="str">
        <f t="shared" si="14"/>
        <v/>
      </c>
      <c r="CE53" s="2" t="str">
        <f t="shared" si="15"/>
        <v/>
      </c>
      <c r="CF53" s="2" t="str">
        <f t="shared" si="16"/>
        <v/>
      </c>
      <c r="CG53" s="2" t="str">
        <f t="shared" si="17"/>
        <v/>
      </c>
      <c r="CH53" s="2" t="str">
        <f t="shared" si="18"/>
        <v/>
      </c>
      <c r="CI53" s="2" t="str">
        <f t="shared" si="19"/>
        <v/>
      </c>
    </row>
    <row r="54" spans="18:87" x14ac:dyDescent="0.25">
      <c r="R54" s="1" t="str">
        <f t="shared" si="3"/>
        <v/>
      </c>
      <c r="S54" s="1" t="str">
        <f t="shared" si="3"/>
        <v/>
      </c>
      <c r="T54" s="1" t="str">
        <f t="shared" si="3"/>
        <v/>
      </c>
      <c r="U54" s="1" t="str">
        <f t="shared" si="3"/>
        <v/>
      </c>
      <c r="V54" s="1" t="str">
        <f t="shared" si="3"/>
        <v/>
      </c>
      <c r="AA54" s="6" t="str">
        <f>IF(AO54&lt;&gt;0,SUM(AB$43:AB54),"")</f>
        <v/>
      </c>
      <c r="AB54" s="6" t="str">
        <f t="shared" si="5"/>
        <v/>
      </c>
      <c r="AC54" s="6" t="str">
        <f t="shared" si="29"/>
        <v/>
      </c>
      <c r="AD54" s="6" t="str">
        <f t="shared" si="30"/>
        <v/>
      </c>
      <c r="AE54" s="6" t="str">
        <f>IF(AND(AN54&lt;&gt;0),SUM(AC$43:AC54),"")</f>
        <v/>
      </c>
      <c r="AF54" s="6" t="str">
        <f>IF(AND(AN54&lt;&gt;0),SUM(AD$43:AD54),"")</f>
        <v/>
      </c>
      <c r="AH54" s="7" t="str">
        <f t="shared" ref="AH54" si="35">IF(AND(AS$33="E",AL$34&lt;&gt;"E 50g"),"gauche","")</f>
        <v/>
      </c>
      <c r="AI54" s="12" t="str">
        <f t="shared" si="8"/>
        <v/>
      </c>
      <c r="AJ54" s="38"/>
      <c r="AK54" s="3"/>
      <c r="AL54" s="3"/>
      <c r="AN54" s="30">
        <f t="shared" si="32"/>
        <v>0</v>
      </c>
      <c r="AO54" s="30">
        <f t="shared" si="33"/>
        <v>0</v>
      </c>
      <c r="AQ54" s="3"/>
      <c r="AR54" s="5"/>
      <c r="AS54" s="3"/>
      <c r="AT54" s="28"/>
      <c r="AU54" s="29"/>
      <c r="AV54" s="29"/>
      <c r="AW54" s="29"/>
      <c r="AX54" s="8" t="str">
        <f t="shared" si="4"/>
        <v/>
      </c>
      <c r="BK54" s="42"/>
      <c r="BZ54" s="2" t="str">
        <f t="shared" si="10"/>
        <v/>
      </c>
      <c r="CA54" s="2" t="str">
        <f t="shared" si="11"/>
        <v/>
      </c>
      <c r="CB54" s="2" t="str">
        <f t="shared" si="12"/>
        <v/>
      </c>
      <c r="CC54" s="2" t="str">
        <f t="shared" si="13"/>
        <v/>
      </c>
      <c r="CD54" s="2" t="str">
        <f t="shared" si="14"/>
        <v/>
      </c>
      <c r="CE54" s="2" t="str">
        <f t="shared" si="15"/>
        <v/>
      </c>
      <c r="CF54" s="2" t="str">
        <f t="shared" si="16"/>
        <v/>
      </c>
      <c r="CG54" s="2" t="str">
        <f t="shared" si="17"/>
        <v/>
      </c>
      <c r="CH54" s="2" t="str">
        <f t="shared" si="18"/>
        <v/>
      </c>
      <c r="CI54" s="2" t="str">
        <f t="shared" si="19"/>
        <v/>
      </c>
    </row>
    <row r="55" spans="18:87" x14ac:dyDescent="0.25">
      <c r="R55" s="1" t="str">
        <f t="shared" si="3"/>
        <v/>
      </c>
      <c r="S55" s="1" t="str">
        <f t="shared" si="3"/>
        <v/>
      </c>
      <c r="T55" s="1" t="str">
        <f t="shared" si="3"/>
        <v/>
      </c>
      <c r="U55" s="1" t="str">
        <f t="shared" si="3"/>
        <v/>
      </c>
      <c r="V55" s="1" t="str">
        <f t="shared" si="3"/>
        <v/>
      </c>
      <c r="AA55" s="6" t="str">
        <f>IF(AO55&lt;&gt;0,SUM(AB$43:AB55),"")</f>
        <v/>
      </c>
      <c r="AB55" s="6" t="str">
        <f t="shared" si="5"/>
        <v/>
      </c>
      <c r="AC55" s="6" t="str">
        <f t="shared" si="29"/>
        <v/>
      </c>
      <c r="AD55" s="6" t="str">
        <f t="shared" si="30"/>
        <v/>
      </c>
      <c r="AE55" s="6" t="str">
        <f>IF(AND(AN55&lt;&gt;0),SUM(AC$43:AC55),"")</f>
        <v/>
      </c>
      <c r="AF55" s="6" t="str">
        <f>IF(AND(AN55&lt;&gt;0),SUM(AD$43:AD55),"")</f>
        <v/>
      </c>
      <c r="AH55" s="7" t="str">
        <f t="shared" ref="AH55" si="36">IF(AND(AS$33="E",AL$34&lt;&gt;"E 50g"),"droite","")</f>
        <v/>
      </c>
      <c r="AI55" s="12" t="str">
        <f t="shared" si="8"/>
        <v/>
      </c>
      <c r="AJ55" s="38"/>
      <c r="AK55" s="3"/>
      <c r="AL55" s="3"/>
      <c r="AN55" s="30">
        <f t="shared" si="32"/>
        <v>0</v>
      </c>
      <c r="AO55" s="30">
        <f t="shared" si="33"/>
        <v>0</v>
      </c>
      <c r="AQ55" s="3"/>
      <c r="AR55" s="5"/>
      <c r="AS55" s="3"/>
      <c r="AT55" s="28"/>
      <c r="AU55" s="29"/>
      <c r="AV55" s="29"/>
      <c r="AW55" s="29" t="s">
        <v>90</v>
      </c>
      <c r="AX55" s="8" t="str">
        <f t="shared" si="4"/>
        <v/>
      </c>
      <c r="BK55" s="42"/>
      <c r="BZ55" s="2" t="str">
        <f t="shared" si="10"/>
        <v/>
      </c>
      <c r="CA55" s="2" t="str">
        <f t="shared" si="11"/>
        <v/>
      </c>
      <c r="CB55" s="2" t="str">
        <f t="shared" si="12"/>
        <v/>
      </c>
      <c r="CC55" s="2" t="str">
        <f t="shared" si="13"/>
        <v/>
      </c>
      <c r="CD55" s="2" t="str">
        <f t="shared" si="14"/>
        <v/>
      </c>
      <c r="CE55" s="2" t="str">
        <f t="shared" si="15"/>
        <v/>
      </c>
      <c r="CF55" s="2" t="str">
        <f t="shared" si="16"/>
        <v/>
      </c>
      <c r="CG55" s="2" t="str">
        <f t="shared" si="17"/>
        <v/>
      </c>
      <c r="CH55" s="2" t="str">
        <f t="shared" si="18"/>
        <v/>
      </c>
      <c r="CI55" s="2" t="str">
        <f t="shared" si="19"/>
        <v/>
      </c>
    </row>
    <row r="56" spans="18:87" x14ac:dyDescent="0.25">
      <c r="R56" s="1" t="str">
        <f t="shared" si="3"/>
        <v/>
      </c>
      <c r="S56" s="1" t="str">
        <f t="shared" si="3"/>
        <v/>
      </c>
      <c r="T56" s="1" t="str">
        <f t="shared" si="3"/>
        <v/>
      </c>
      <c r="U56" s="1" t="str">
        <f t="shared" si="3"/>
        <v/>
      </c>
      <c r="V56" s="1" t="str">
        <f t="shared" si="3"/>
        <v/>
      </c>
      <c r="AA56" s="6" t="str">
        <f>IF(AO56&lt;&gt;0,SUM(AB$43:AB56),"")</f>
        <v/>
      </c>
      <c r="AB56" s="6" t="str">
        <f t="shared" si="5"/>
        <v/>
      </c>
      <c r="AC56" s="6" t="str">
        <f t="shared" si="29"/>
        <v/>
      </c>
      <c r="AD56" s="6" t="str">
        <f t="shared" si="30"/>
        <v/>
      </c>
      <c r="AE56" s="6" t="str">
        <f>IF(AND(AN56&lt;&gt;0),SUM(AC$43:AC56),"")</f>
        <v/>
      </c>
      <c r="AF56" s="6" t="str">
        <f>IF(AND(AN56&lt;&gt;0),SUM(AD$43:AD56),"")</f>
        <v/>
      </c>
      <c r="AH56" s="7" t="str">
        <f t="shared" ref="AH56" si="37">IF(AND(AS$33="E",AL$34&lt;&gt;"E 50g"),"gauche","")</f>
        <v/>
      </c>
      <c r="AI56" s="12" t="str">
        <f t="shared" si="8"/>
        <v/>
      </c>
      <c r="AJ56" s="38"/>
      <c r="AK56" s="3"/>
      <c r="AL56" s="3"/>
      <c r="AN56" s="30">
        <f t="shared" si="32"/>
        <v>0</v>
      </c>
      <c r="AO56" s="30">
        <f t="shared" si="33"/>
        <v>0</v>
      </c>
      <c r="AQ56" s="30"/>
      <c r="AR56" s="27">
        <f>IF(COUNT(AR51:AR55)&lt;2,AR51,AVERAGE(AR51:AR55))</f>
        <v>0</v>
      </c>
      <c r="AS56" s="27" t="str">
        <f>IF(OR(AS55="OK",AS54="OK",AS53="OK",AS52="OK",AS51="OK"),"OK","")</f>
        <v/>
      </c>
      <c r="AT56" s="28"/>
      <c r="AX56" s="8" t="str">
        <f t="shared" si="4"/>
        <v/>
      </c>
      <c r="BK56" s="42"/>
      <c r="BZ56" s="2" t="str">
        <f t="shared" si="10"/>
        <v/>
      </c>
      <c r="CA56" s="2" t="str">
        <f t="shared" si="11"/>
        <v/>
      </c>
      <c r="CB56" s="2" t="str">
        <f t="shared" si="12"/>
        <v/>
      </c>
      <c r="CC56" s="2" t="str">
        <f t="shared" si="13"/>
        <v/>
      </c>
      <c r="CD56" s="2" t="str">
        <f t="shared" si="14"/>
        <v/>
      </c>
      <c r="CE56" s="2" t="str">
        <f t="shared" si="15"/>
        <v/>
      </c>
      <c r="CF56" s="2" t="str">
        <f t="shared" si="16"/>
        <v/>
      </c>
      <c r="CG56" s="2" t="str">
        <f t="shared" si="17"/>
        <v/>
      </c>
      <c r="CH56" s="2" t="str">
        <f t="shared" si="18"/>
        <v/>
      </c>
      <c r="CI56" s="2" t="str">
        <f t="shared" si="19"/>
        <v/>
      </c>
    </row>
    <row r="57" spans="18:87" x14ac:dyDescent="0.25">
      <c r="R57" s="1" t="str">
        <f t="shared" si="3"/>
        <v/>
      </c>
      <c r="S57" s="1" t="str">
        <f t="shared" si="3"/>
        <v/>
      </c>
      <c r="T57" s="1" t="str">
        <f t="shared" si="3"/>
        <v/>
      </c>
      <c r="U57" s="1" t="str">
        <f t="shared" si="3"/>
        <v/>
      </c>
      <c r="V57" s="1" t="str">
        <f t="shared" si="3"/>
        <v/>
      </c>
      <c r="AA57" s="6" t="str">
        <f>IF(AO57&lt;&gt;0,SUM(AB$43:AB57),"")</f>
        <v/>
      </c>
      <c r="AB57" s="6" t="str">
        <f t="shared" si="5"/>
        <v/>
      </c>
      <c r="AC57" s="6" t="str">
        <f t="shared" si="29"/>
        <v/>
      </c>
      <c r="AD57" s="6" t="str">
        <f t="shared" si="30"/>
        <v/>
      </c>
      <c r="AE57" s="6" t="str">
        <f>IF(AND(AN57&lt;&gt;0),SUM(AC$43:AC57),"")</f>
        <v/>
      </c>
      <c r="AF57" s="6" t="str">
        <f>IF(AND(AN57&lt;&gt;0),SUM(AD$43:AD57),"")</f>
        <v/>
      </c>
      <c r="AH57" s="7" t="str">
        <f t="shared" ref="AH57" si="38">IF(AND(AS$33="E",AL$34&lt;&gt;"E 50g"),"droite","")</f>
        <v/>
      </c>
      <c r="AI57" s="12" t="str">
        <f t="shared" si="8"/>
        <v/>
      </c>
      <c r="AJ57" s="38"/>
      <c r="AK57" s="3"/>
      <c r="AL57" s="3"/>
      <c r="AN57" s="30">
        <f t="shared" si="32"/>
        <v>0</v>
      </c>
      <c r="AO57" s="30">
        <f t="shared" si="33"/>
        <v>0</v>
      </c>
      <c r="AQ57" s="22"/>
      <c r="AR57" s="22" t="s">
        <v>22</v>
      </c>
      <c r="AS57" s="22"/>
      <c r="AT57" s="30"/>
      <c r="AU57" s="22"/>
      <c r="AV57" s="22" t="str">
        <f>IF(AL34&lt;&gt;"",AL34,"Sélectionner une production")</f>
        <v>F 380g/m2</v>
      </c>
      <c r="AW57" s="22"/>
      <c r="AX57" s="8" t="str">
        <f t="shared" si="4"/>
        <v/>
      </c>
      <c r="BK57" s="42"/>
      <c r="BZ57" s="2" t="str">
        <f t="shared" si="10"/>
        <v/>
      </c>
      <c r="CA57" s="2" t="str">
        <f t="shared" si="11"/>
        <v/>
      </c>
      <c r="CB57" s="2" t="str">
        <f t="shared" si="12"/>
        <v/>
      </c>
      <c r="CC57" s="2" t="str">
        <f t="shared" si="13"/>
        <v/>
      </c>
      <c r="CD57" s="2" t="str">
        <f t="shared" si="14"/>
        <v/>
      </c>
      <c r="CE57" s="2" t="str">
        <f t="shared" si="15"/>
        <v/>
      </c>
      <c r="CF57" s="2" t="str">
        <f t="shared" si="16"/>
        <v/>
      </c>
      <c r="CG57" s="2" t="str">
        <f t="shared" si="17"/>
        <v/>
      </c>
      <c r="CH57" s="2" t="str">
        <f t="shared" si="18"/>
        <v/>
      </c>
      <c r="CI57" s="2" t="str">
        <f t="shared" si="19"/>
        <v/>
      </c>
    </row>
    <row r="58" spans="18:87" x14ac:dyDescent="0.25">
      <c r="R58" s="1" t="str">
        <f t="shared" si="3"/>
        <v/>
      </c>
      <c r="S58" s="1" t="str">
        <f t="shared" si="3"/>
        <v/>
      </c>
      <c r="T58" s="1" t="str">
        <f t="shared" si="3"/>
        <v/>
      </c>
      <c r="U58" s="1" t="str">
        <f t="shared" si="3"/>
        <v/>
      </c>
      <c r="V58" s="1" t="str">
        <f t="shared" si="3"/>
        <v/>
      </c>
      <c r="AA58" s="6" t="str">
        <f>IF(AO58&lt;&gt;0,SUM(AB$43:AB58),"")</f>
        <v/>
      </c>
      <c r="AB58" s="6" t="str">
        <f t="shared" si="5"/>
        <v/>
      </c>
      <c r="AC58" s="6" t="str">
        <f t="shared" si="29"/>
        <v/>
      </c>
      <c r="AD58" s="6" t="str">
        <f t="shared" si="30"/>
        <v/>
      </c>
      <c r="AE58" s="6" t="str">
        <f>IF(AND(AN58&lt;&gt;0),SUM(AC$43:AC58),"")</f>
        <v/>
      </c>
      <c r="AF58" s="6" t="str">
        <f>IF(AND(AN58&lt;&gt;0),SUM(AD$43:AD58),"")</f>
        <v/>
      </c>
      <c r="AH58" s="7" t="str">
        <f t="shared" ref="AH58" si="39">IF(AND(AS$33="E",AL$34&lt;&gt;"E 50g"),"gauche","")</f>
        <v/>
      </c>
      <c r="AI58" s="12" t="str">
        <f t="shared" si="8"/>
        <v/>
      </c>
      <c r="AJ58" s="38"/>
      <c r="AK58" s="3"/>
      <c r="AL58" s="3"/>
      <c r="AN58" s="30">
        <f t="shared" si="32"/>
        <v>0</v>
      </c>
      <c r="AO58" s="30">
        <f t="shared" si="33"/>
        <v>0</v>
      </c>
      <c r="AQ58" s="49" t="s">
        <v>3</v>
      </c>
      <c r="AR58" s="50">
        <f>SUM(AN43:AN82)</f>
        <v>0</v>
      </c>
      <c r="AS58" s="50">
        <f>IF(AL$34="E 2x250g",MAX(AE43:AE82),MAX(AF43:AF82))</f>
        <v>0</v>
      </c>
      <c r="AT58" s="30"/>
      <c r="AU58" s="51"/>
      <c r="AV58" s="52" t="str">
        <f>IF(AU59&lt;&gt;"","Poids de sortie fibrage","")</f>
        <v>Poids de sortie fibrage</v>
      </c>
      <c r="AW58" s="53"/>
      <c r="AX58" s="8" t="str">
        <f t="shared" si="4"/>
        <v/>
      </c>
      <c r="BK58" s="42"/>
      <c r="BZ58" s="2" t="str">
        <f t="shared" si="10"/>
        <v/>
      </c>
      <c r="CA58" s="2" t="str">
        <f t="shared" si="11"/>
        <v/>
      </c>
      <c r="CB58" s="2" t="str">
        <f t="shared" si="12"/>
        <v/>
      </c>
      <c r="CC58" s="2" t="str">
        <f t="shared" si="13"/>
        <v/>
      </c>
      <c r="CD58" s="2" t="str">
        <f t="shared" si="14"/>
        <v/>
      </c>
      <c r="CE58" s="2" t="str">
        <f t="shared" si="15"/>
        <v/>
      </c>
      <c r="CF58" s="2" t="str">
        <f t="shared" si="16"/>
        <v/>
      </c>
      <c r="CG58" s="2" t="str">
        <f t="shared" si="17"/>
        <v/>
      </c>
      <c r="CH58" s="2" t="str">
        <f t="shared" si="18"/>
        <v/>
      </c>
      <c r="CI58" s="2" t="str">
        <f t="shared" si="19"/>
        <v/>
      </c>
    </row>
    <row r="59" spans="18:87" x14ac:dyDescent="0.25">
      <c r="R59" s="1" t="str">
        <f t="shared" ref="R59:V82" si="40">IF($AJ59=R$42,$AL59,"")</f>
        <v/>
      </c>
      <c r="S59" s="1" t="str">
        <f t="shared" si="40"/>
        <v/>
      </c>
      <c r="T59" s="1" t="str">
        <f t="shared" si="40"/>
        <v/>
      </c>
      <c r="U59" s="1" t="str">
        <f t="shared" si="40"/>
        <v/>
      </c>
      <c r="V59" s="1" t="str">
        <f t="shared" si="40"/>
        <v/>
      </c>
      <c r="AA59" s="6" t="str">
        <f>IF(AO59&lt;&gt;0,SUM(AB$43:AB59),"")</f>
        <v/>
      </c>
      <c r="AB59" s="6" t="str">
        <f t="shared" si="5"/>
        <v/>
      </c>
      <c r="AC59" s="6" t="str">
        <f t="shared" si="29"/>
        <v/>
      </c>
      <c r="AD59" s="6" t="str">
        <f t="shared" si="30"/>
        <v/>
      </c>
      <c r="AE59" s="6" t="str">
        <f>IF(AND(AN59&lt;&gt;0),SUM(AC$43:AC59),"")</f>
        <v/>
      </c>
      <c r="AF59" s="6" t="str">
        <f>IF(AND(AN59&lt;&gt;0),SUM(AD$43:AD59),"")</f>
        <v/>
      </c>
      <c r="AH59" s="7" t="str">
        <f t="shared" ref="AH59" si="41">IF(AND(AS$33="E",AL$34&lt;&gt;"E 50g"),"droite","")</f>
        <v/>
      </c>
      <c r="AI59" s="12" t="str">
        <f t="shared" si="8"/>
        <v/>
      </c>
      <c r="AJ59" s="38"/>
      <c r="AK59" s="3"/>
      <c r="AL59" s="3"/>
      <c r="AN59" s="30">
        <f t="shared" si="32"/>
        <v>0</v>
      </c>
      <c r="AO59" s="30">
        <f t="shared" si="33"/>
        <v>0</v>
      </c>
      <c r="AQ59" s="54" t="s">
        <v>4</v>
      </c>
      <c r="AR59" s="55">
        <f>SUM(AO43:AO82)</f>
        <v>0</v>
      </c>
      <c r="AS59" s="55">
        <f>IF(AL$34="E 2x250g",MAX(AA43:AA82)/2,MAX(AA43:AA82))</f>
        <v>0</v>
      </c>
      <c r="AT59" s="30"/>
      <c r="AU59" s="56" t="str">
        <f>IF(AV59&lt;&gt;"","min","")</f>
        <v>min</v>
      </c>
      <c r="AV59" s="57">
        <f>IFERROR(HLOOKUP(AV57,_produits!A1:E3,2,FALSE),"")</f>
        <v>380</v>
      </c>
      <c r="AW59" s="58"/>
      <c r="AX59" s="8" t="str">
        <f t="shared" si="4"/>
        <v/>
      </c>
      <c r="BK59" s="42"/>
      <c r="BZ59" s="2" t="str">
        <f t="shared" si="10"/>
        <v/>
      </c>
      <c r="CA59" s="2" t="str">
        <f t="shared" si="11"/>
        <v/>
      </c>
      <c r="CB59" s="2" t="str">
        <f t="shared" si="12"/>
        <v/>
      </c>
      <c r="CC59" s="2" t="str">
        <f t="shared" si="13"/>
        <v/>
      </c>
      <c r="CD59" s="2" t="str">
        <f t="shared" si="14"/>
        <v/>
      </c>
      <c r="CE59" s="2" t="str">
        <f t="shared" si="15"/>
        <v/>
      </c>
      <c r="CF59" s="2" t="str">
        <f t="shared" si="16"/>
        <v/>
      </c>
      <c r="CG59" s="2" t="str">
        <f t="shared" si="17"/>
        <v/>
      </c>
      <c r="CH59" s="2" t="str">
        <f t="shared" si="18"/>
        <v/>
      </c>
      <c r="CI59" s="2" t="str">
        <f t="shared" si="19"/>
        <v/>
      </c>
    </row>
    <row r="60" spans="18:87" x14ac:dyDescent="0.25">
      <c r="R60" s="1" t="str">
        <f t="shared" si="40"/>
        <v/>
      </c>
      <c r="S60" s="1" t="str">
        <f t="shared" si="40"/>
        <v/>
      </c>
      <c r="T60" s="1" t="str">
        <f t="shared" si="40"/>
        <v/>
      </c>
      <c r="U60" s="1" t="str">
        <f t="shared" si="40"/>
        <v/>
      </c>
      <c r="V60" s="1" t="str">
        <f t="shared" si="40"/>
        <v/>
      </c>
      <c r="AA60" s="6" t="str">
        <f>IF(AO60&lt;&gt;0,SUM(AB$43:AB60),"")</f>
        <v/>
      </c>
      <c r="AB60" s="6" t="str">
        <f t="shared" si="5"/>
        <v/>
      </c>
      <c r="AC60" s="6" t="str">
        <f t="shared" si="29"/>
        <v/>
      </c>
      <c r="AD60" s="6" t="str">
        <f t="shared" si="30"/>
        <v/>
      </c>
      <c r="AE60" s="6" t="str">
        <f>IF(AND(AN60&lt;&gt;0),SUM(AC$43:AC60),"")</f>
        <v/>
      </c>
      <c r="AF60" s="6" t="str">
        <f>IF(AND(AN60&lt;&gt;0),SUM(AD$43:AD60),"")</f>
        <v/>
      </c>
      <c r="AH60" s="7" t="str">
        <f t="shared" ref="AH60" si="42">IF(AND(AS$33="E",AL$34&lt;&gt;"E 50g"),"gauche","")</f>
        <v/>
      </c>
      <c r="AI60" s="12" t="str">
        <f t="shared" si="8"/>
        <v/>
      </c>
      <c r="AJ60" s="38"/>
      <c r="AK60" s="3"/>
      <c r="AL60" s="3"/>
      <c r="AN60" s="30">
        <f t="shared" si="32"/>
        <v>0</v>
      </c>
      <c r="AO60" s="30">
        <f t="shared" si="33"/>
        <v>0</v>
      </c>
      <c r="AQ60" s="31" t="str">
        <f>_qualité!E2</f>
        <v>Fil</v>
      </c>
      <c r="AR60" s="32">
        <f>R41</f>
        <v>0</v>
      </c>
      <c r="AS60" s="32">
        <f>COUNTIF(AJ$43:AJ$73,AQ60)</f>
        <v>0</v>
      </c>
      <c r="AT60" s="30"/>
      <c r="AU60" s="56" t="str">
        <f>IF(AV60&lt;&gt;"","max","")</f>
        <v>max</v>
      </c>
      <c r="AV60" s="57">
        <f>IFERROR(HLOOKUP(AV57,_produits!A1:E4,3,FALSE),"")</f>
        <v>410</v>
      </c>
      <c r="AW60" s="58"/>
      <c r="AX60" s="8" t="str">
        <f t="shared" si="4"/>
        <v/>
      </c>
      <c r="BK60" s="42"/>
      <c r="BZ60" s="2" t="str">
        <f t="shared" si="10"/>
        <v/>
      </c>
      <c r="CA60" s="2" t="str">
        <f t="shared" si="11"/>
        <v/>
      </c>
      <c r="CB60" s="2" t="str">
        <f t="shared" si="12"/>
        <v/>
      </c>
      <c r="CC60" s="2" t="str">
        <f t="shared" si="13"/>
        <v/>
      </c>
      <c r="CD60" s="2" t="str">
        <f t="shared" si="14"/>
        <v/>
      </c>
      <c r="CE60" s="2" t="str">
        <f t="shared" si="15"/>
        <v/>
      </c>
      <c r="CF60" s="2" t="str">
        <f t="shared" si="16"/>
        <v/>
      </c>
      <c r="CG60" s="2" t="str">
        <f t="shared" si="17"/>
        <v/>
      </c>
      <c r="CH60" s="2" t="str">
        <f t="shared" si="18"/>
        <v/>
      </c>
      <c r="CI60" s="2" t="str">
        <f t="shared" si="19"/>
        <v/>
      </c>
    </row>
    <row r="61" spans="18:87" x14ac:dyDescent="0.25">
      <c r="R61" s="1" t="str">
        <f t="shared" si="40"/>
        <v/>
      </c>
      <c r="S61" s="1" t="str">
        <f t="shared" si="40"/>
        <v/>
      </c>
      <c r="T61" s="1" t="str">
        <f t="shared" si="40"/>
        <v/>
      </c>
      <c r="U61" s="1" t="str">
        <f t="shared" si="40"/>
        <v/>
      </c>
      <c r="V61" s="1" t="str">
        <f t="shared" si="40"/>
        <v/>
      </c>
      <c r="AA61" s="6" t="str">
        <f>IF(AO61&lt;&gt;0,SUM(AB$43:AB61),"")</f>
        <v/>
      </c>
      <c r="AB61" s="6" t="str">
        <f t="shared" si="5"/>
        <v/>
      </c>
      <c r="AC61" s="6" t="str">
        <f t="shared" si="29"/>
        <v/>
      </c>
      <c r="AD61" s="6" t="str">
        <f t="shared" si="30"/>
        <v/>
      </c>
      <c r="AE61" s="6" t="str">
        <f>IF(AND(AN61&lt;&gt;0),SUM(AC$43:AC61),"")</f>
        <v/>
      </c>
      <c r="AF61" s="6" t="str">
        <f>IF(AND(AN61&lt;&gt;0),SUM(AD$43:AD61),"")</f>
        <v/>
      </c>
      <c r="AH61" s="7" t="str">
        <f t="shared" ref="AH61" si="43">IF(AND(AS$33="E",AL$34&lt;&gt;"E 50g"),"droite","")</f>
        <v/>
      </c>
      <c r="AI61" s="12" t="str">
        <f t="shared" si="8"/>
        <v/>
      </c>
      <c r="AJ61" s="38"/>
      <c r="AK61" s="3"/>
      <c r="AL61" s="3"/>
      <c r="AN61" s="30">
        <f t="shared" si="32"/>
        <v>0</v>
      </c>
      <c r="AO61" s="30">
        <f t="shared" si="33"/>
        <v>0</v>
      </c>
      <c r="AQ61" s="31" t="str">
        <f>_qualité!E3</f>
        <v>Trou</v>
      </c>
      <c r="AR61" s="32">
        <f>S41</f>
        <v>0</v>
      </c>
      <c r="AS61" s="32">
        <f t="shared" ref="AS61:AS64" si="44">COUNTIF(AJ$43:AJ$73,AQ61)</f>
        <v>0</v>
      </c>
      <c r="AT61" s="30"/>
      <c r="AU61" s="31"/>
      <c r="AV61" s="59" t="str">
        <f>IF(MID(AL34,1,1)="F","Poids contrôle Final","")</f>
        <v>Poids contrôle Final</v>
      </c>
      <c r="AW61" s="60"/>
      <c r="AX61" s="8" t="str">
        <f t="shared" si="4"/>
        <v/>
      </c>
      <c r="BK61" s="42"/>
      <c r="BZ61" s="2" t="str">
        <f t="shared" si="10"/>
        <v/>
      </c>
      <c r="CA61" s="2" t="str">
        <f t="shared" si="11"/>
        <v/>
      </c>
      <c r="CB61" s="2" t="str">
        <f t="shared" si="12"/>
        <v/>
      </c>
      <c r="CC61" s="2" t="str">
        <f t="shared" si="13"/>
        <v/>
      </c>
      <c r="CD61" s="2" t="str">
        <f t="shared" si="14"/>
        <v/>
      </c>
      <c r="CE61" s="2" t="str">
        <f t="shared" si="15"/>
        <v/>
      </c>
      <c r="CF61" s="2" t="str">
        <f t="shared" si="16"/>
        <v/>
      </c>
      <c r="CG61" s="2" t="str">
        <f t="shared" si="17"/>
        <v/>
      </c>
      <c r="CH61" s="2" t="str">
        <f t="shared" si="18"/>
        <v/>
      </c>
      <c r="CI61" s="2" t="str">
        <f t="shared" si="19"/>
        <v/>
      </c>
    </row>
    <row r="62" spans="18:87" x14ac:dyDescent="0.25">
      <c r="R62" s="1" t="str">
        <f t="shared" si="40"/>
        <v/>
      </c>
      <c r="S62" s="1" t="str">
        <f t="shared" si="40"/>
        <v/>
      </c>
      <c r="T62" s="1" t="str">
        <f t="shared" si="40"/>
        <v/>
      </c>
      <c r="U62" s="1" t="str">
        <f t="shared" si="40"/>
        <v/>
      </c>
      <c r="V62" s="1" t="str">
        <f t="shared" si="40"/>
        <v/>
      </c>
      <c r="AA62" s="6" t="str">
        <f>IF(AO62&lt;&gt;0,SUM(AB$43:AB62),"")</f>
        <v/>
      </c>
      <c r="AB62" s="6" t="str">
        <f t="shared" si="5"/>
        <v/>
      </c>
      <c r="AC62" s="6" t="str">
        <f t="shared" si="29"/>
        <v/>
      </c>
      <c r="AD62" s="6" t="str">
        <f t="shared" si="30"/>
        <v/>
      </c>
      <c r="AE62" s="6" t="str">
        <f>IF(AND(AN62&lt;&gt;0),SUM(AC$43:AC62),"")</f>
        <v/>
      </c>
      <c r="AF62" s="6" t="str">
        <f>IF(AND(AN62&lt;&gt;0),SUM(AD$43:AD62),"")</f>
        <v/>
      </c>
      <c r="AH62" s="7" t="str">
        <f t="shared" ref="AH62" si="45">IF(AND(AS$33="E",AL$34&lt;&gt;"E 50g"),"gauche","")</f>
        <v/>
      </c>
      <c r="AI62" s="12" t="str">
        <f t="shared" si="8"/>
        <v/>
      </c>
      <c r="AJ62" s="38"/>
      <c r="AK62" s="3"/>
      <c r="AL62" s="3"/>
      <c r="AN62" s="30">
        <f t="shared" si="32"/>
        <v>0</v>
      </c>
      <c r="AO62" s="30">
        <f t="shared" si="33"/>
        <v>0</v>
      </c>
      <c r="AQ62" s="31" t="str">
        <f>_qualité!E4</f>
        <v>Poids</v>
      </c>
      <c r="AR62" s="32">
        <f>T41</f>
        <v>0</v>
      </c>
      <c r="AS62" s="32">
        <f t="shared" si="44"/>
        <v>0</v>
      </c>
      <c r="AT62" s="30"/>
      <c r="AU62" s="31" t="str">
        <f>IF(AV62&lt;&gt;"","min","")</f>
        <v>min</v>
      </c>
      <c r="AV62" s="61">
        <f>IF(AV61&lt;&gt;"",HLOOKUP(AV57,_produits!A1:E6,5,FALSE),"")</f>
        <v>252</v>
      </c>
      <c r="AW62" s="60"/>
      <c r="AX62" s="8" t="str">
        <f t="shared" si="4"/>
        <v/>
      </c>
      <c r="BK62" s="42"/>
      <c r="BZ62" s="2" t="str">
        <f t="shared" si="10"/>
        <v/>
      </c>
      <c r="CA62" s="2" t="str">
        <f t="shared" si="11"/>
        <v/>
      </c>
      <c r="CB62" s="2" t="str">
        <f t="shared" si="12"/>
        <v/>
      </c>
      <c r="CC62" s="2" t="str">
        <f t="shared" si="13"/>
        <v/>
      </c>
      <c r="CD62" s="2" t="str">
        <f t="shared" si="14"/>
        <v/>
      </c>
      <c r="CE62" s="2" t="str">
        <f t="shared" si="15"/>
        <v/>
      </c>
      <c r="CF62" s="2" t="str">
        <f t="shared" si="16"/>
        <v/>
      </c>
      <c r="CG62" s="2" t="str">
        <f t="shared" si="17"/>
        <v/>
      </c>
      <c r="CH62" s="2" t="str">
        <f t="shared" si="18"/>
        <v/>
      </c>
      <c r="CI62" s="2" t="str">
        <f t="shared" si="19"/>
        <v/>
      </c>
    </row>
    <row r="63" spans="18:87" x14ac:dyDescent="0.25">
      <c r="R63" s="1" t="str">
        <f t="shared" si="40"/>
        <v/>
      </c>
      <c r="S63" s="1" t="str">
        <f t="shared" si="40"/>
        <v/>
      </c>
      <c r="T63" s="1" t="str">
        <f t="shared" si="40"/>
        <v/>
      </c>
      <c r="U63" s="1" t="str">
        <f t="shared" si="40"/>
        <v/>
      </c>
      <c r="V63" s="1" t="str">
        <f t="shared" si="40"/>
        <v/>
      </c>
      <c r="AA63" s="6" t="str">
        <f>IF(AO63&lt;&gt;0,SUM(AB$43:AB63),"")</f>
        <v/>
      </c>
      <c r="AB63" s="6" t="str">
        <f t="shared" si="5"/>
        <v/>
      </c>
      <c r="AC63" s="6" t="str">
        <f t="shared" si="29"/>
        <v/>
      </c>
      <c r="AD63" s="6" t="str">
        <f t="shared" si="30"/>
        <v/>
      </c>
      <c r="AE63" s="6" t="str">
        <f>IF(AND(AN63&lt;&gt;0),SUM(AC$43:AC63),"")</f>
        <v/>
      </c>
      <c r="AF63" s="6" t="str">
        <f>IF(AND(AN63&lt;&gt;0),SUM(AD$43:AD63),"")</f>
        <v/>
      </c>
      <c r="AH63" s="7" t="str">
        <f t="shared" ref="AH63" si="46">IF(AND(AS$33="E",AL$34&lt;&gt;"E 50g"),"droite","")</f>
        <v/>
      </c>
      <c r="AI63" s="12" t="str">
        <f t="shared" si="8"/>
        <v/>
      </c>
      <c r="AJ63" s="38"/>
      <c r="AK63" s="3"/>
      <c r="AL63" s="3"/>
      <c r="AN63" s="30">
        <f t="shared" si="32"/>
        <v>0</v>
      </c>
      <c r="AO63" s="30">
        <f t="shared" si="33"/>
        <v>0</v>
      </c>
      <c r="AQ63" s="31" t="str">
        <f>_qualité!E5</f>
        <v>Autre</v>
      </c>
      <c r="AR63" s="32">
        <f>U41</f>
        <v>0</v>
      </c>
      <c r="AS63" s="32">
        <f t="shared" si="44"/>
        <v>0</v>
      </c>
      <c r="AT63" s="30"/>
      <c r="AU63" s="31" t="str">
        <f>IF(AV63&lt;&gt;"","max","")</f>
        <v>max</v>
      </c>
      <c r="AV63" s="61">
        <f>IF(AV61&lt;&gt;"",HLOOKUP(AV57,_produits!A1:E6,6,FALSE),"")</f>
        <v>308</v>
      </c>
      <c r="AW63" s="59"/>
      <c r="AX63" s="8" t="str">
        <f t="shared" si="4"/>
        <v/>
      </c>
      <c r="BK63" s="42"/>
      <c r="BZ63" s="2" t="str">
        <f t="shared" si="10"/>
        <v/>
      </c>
      <c r="CA63" s="2" t="str">
        <f t="shared" si="11"/>
        <v/>
      </c>
      <c r="CB63" s="2" t="str">
        <f t="shared" si="12"/>
        <v/>
      </c>
      <c r="CC63" s="2" t="str">
        <f t="shared" si="13"/>
        <v/>
      </c>
      <c r="CD63" s="2" t="str">
        <f t="shared" si="14"/>
        <v/>
      </c>
      <c r="CE63" s="2" t="str">
        <f t="shared" si="15"/>
        <v/>
      </c>
      <c r="CF63" s="2" t="str">
        <f t="shared" si="16"/>
        <v/>
      </c>
      <c r="CG63" s="2" t="str">
        <f t="shared" si="17"/>
        <v/>
      </c>
      <c r="CH63" s="2" t="str">
        <f t="shared" si="18"/>
        <v/>
      </c>
      <c r="CI63" s="2" t="str">
        <f t="shared" si="19"/>
        <v/>
      </c>
    </row>
    <row r="64" spans="18:87" x14ac:dyDescent="0.25">
      <c r="R64" s="1" t="str">
        <f t="shared" si="40"/>
        <v/>
      </c>
      <c r="S64" s="1" t="str">
        <f t="shared" si="40"/>
        <v/>
      </c>
      <c r="T64" s="1" t="str">
        <f t="shared" si="40"/>
        <v/>
      </c>
      <c r="U64" s="1" t="str">
        <f t="shared" si="40"/>
        <v/>
      </c>
      <c r="V64" s="1" t="str">
        <f t="shared" si="40"/>
        <v/>
      </c>
      <c r="AA64" s="6" t="str">
        <f>IF(AO64&lt;&gt;0,SUM(AB$43:AB64),"")</f>
        <v/>
      </c>
      <c r="AB64" s="6" t="str">
        <f t="shared" si="5"/>
        <v/>
      </c>
      <c r="AC64" s="6" t="str">
        <f t="shared" si="29"/>
        <v/>
      </c>
      <c r="AD64" s="6" t="str">
        <f t="shared" si="30"/>
        <v/>
      </c>
      <c r="AE64" s="6" t="str">
        <f>IF(AND(AN64&lt;&gt;0),SUM(AC$43:AC64),"")</f>
        <v/>
      </c>
      <c r="AF64" s="6" t="str">
        <f>IF(AND(AN64&lt;&gt;0),SUM(AD$43:AD64),"")</f>
        <v/>
      </c>
      <c r="AH64" s="7" t="str">
        <f t="shared" ref="AH64" si="47">IF(AND(AS$33="E",AL$34&lt;&gt;"E 50g"),"gauche","")</f>
        <v/>
      </c>
      <c r="AI64" s="12" t="str">
        <f t="shared" si="8"/>
        <v/>
      </c>
      <c r="AJ64" s="38"/>
      <c r="AK64" s="3"/>
      <c r="AL64" s="3"/>
      <c r="AN64" s="30">
        <f t="shared" si="32"/>
        <v>0</v>
      </c>
      <c r="AO64" s="30">
        <f t="shared" si="33"/>
        <v>0</v>
      </c>
      <c r="AQ64" s="31" t="str">
        <f>_qualité!E6</f>
        <v>Démarrage</v>
      </c>
      <c r="AR64" s="32">
        <f>V41</f>
        <v>0</v>
      </c>
      <c r="AS64" s="32">
        <f t="shared" si="44"/>
        <v>0</v>
      </c>
      <c r="AT64" s="30"/>
      <c r="AU64" s="31"/>
      <c r="AV64" s="59" t="str">
        <f>IF(MID(AL34,1,1)="F","Epaisseurs contrôle Final","")</f>
        <v>Epaisseurs contrôle Final</v>
      </c>
      <c r="AW64" s="60"/>
      <c r="AX64" s="8" t="str">
        <f t="shared" si="4"/>
        <v/>
      </c>
      <c r="BK64" s="42"/>
      <c r="BZ64" s="2" t="str">
        <f t="shared" si="10"/>
        <v/>
      </c>
      <c r="CA64" s="2" t="str">
        <f t="shared" si="11"/>
        <v/>
      </c>
      <c r="CB64" s="2" t="str">
        <f t="shared" si="12"/>
        <v/>
      </c>
      <c r="CC64" s="2" t="str">
        <f t="shared" si="13"/>
        <v/>
      </c>
      <c r="CD64" s="2" t="str">
        <f t="shared" si="14"/>
        <v/>
      </c>
      <c r="CE64" s="2" t="str">
        <f t="shared" si="15"/>
        <v/>
      </c>
      <c r="CF64" s="2" t="str">
        <f t="shared" si="16"/>
        <v/>
      </c>
      <c r="CG64" s="2" t="str">
        <f t="shared" si="17"/>
        <v/>
      </c>
      <c r="CH64" s="2" t="str">
        <f t="shared" si="18"/>
        <v/>
      </c>
      <c r="CI64" s="2" t="str">
        <f t="shared" si="19"/>
        <v/>
      </c>
    </row>
    <row r="65" spans="18:87" x14ac:dyDescent="0.25">
      <c r="R65" s="1" t="str">
        <f t="shared" si="40"/>
        <v/>
      </c>
      <c r="S65" s="1" t="str">
        <f t="shared" si="40"/>
        <v/>
      </c>
      <c r="T65" s="1" t="str">
        <f t="shared" si="40"/>
        <v/>
      </c>
      <c r="U65" s="1" t="str">
        <f t="shared" si="40"/>
        <v/>
      </c>
      <c r="V65" s="1" t="str">
        <f t="shared" si="40"/>
        <v/>
      </c>
      <c r="AA65" s="6" t="str">
        <f>IF(AO65&lt;&gt;0,SUM(AB$43:AB65),"")</f>
        <v/>
      </c>
      <c r="AB65" s="6" t="str">
        <f t="shared" si="5"/>
        <v/>
      </c>
      <c r="AC65" s="6" t="str">
        <f t="shared" si="29"/>
        <v/>
      </c>
      <c r="AD65" s="6" t="str">
        <f t="shared" si="30"/>
        <v/>
      </c>
      <c r="AE65" s="6" t="str">
        <f>IF(AND(AN65&lt;&gt;0),SUM(AC$43:AC65),"")</f>
        <v/>
      </c>
      <c r="AF65" s="6" t="str">
        <f>IF(AND(AN65&lt;&gt;0),SUM(AD$43:AD65),"")</f>
        <v/>
      </c>
      <c r="AH65" s="7" t="str">
        <f t="shared" ref="AH65" si="48">IF(AND(AS$33="E",AL$34&lt;&gt;"E 50g"),"droite","")</f>
        <v/>
      </c>
      <c r="AI65" s="12" t="str">
        <f t="shared" si="8"/>
        <v/>
      </c>
      <c r="AJ65" s="38"/>
      <c r="AK65" s="3"/>
      <c r="AL65" s="3"/>
      <c r="AN65" s="30">
        <f t="shared" si="32"/>
        <v>0</v>
      </c>
      <c r="AO65" s="30">
        <f t="shared" si="33"/>
        <v>0</v>
      </c>
      <c r="AQ65" s="33"/>
      <c r="AR65" s="34"/>
      <c r="AS65" s="30"/>
      <c r="AT65" s="30"/>
      <c r="AU65" s="31" t="str">
        <f>IF(AV65&lt;&gt;"","min","")</f>
        <v>min</v>
      </c>
      <c r="AV65" s="61">
        <f>IF(AV64&lt;&gt;"",_qualité!B6,"")</f>
        <v>3.8</v>
      </c>
      <c r="AW65" s="60"/>
      <c r="AX65" s="8" t="str">
        <f t="shared" si="4"/>
        <v/>
      </c>
      <c r="BK65" s="42"/>
      <c r="BZ65" s="2" t="str">
        <f t="shared" si="10"/>
        <v/>
      </c>
      <c r="CA65" s="2" t="str">
        <f t="shared" si="11"/>
        <v/>
      </c>
      <c r="CB65" s="2" t="str">
        <f t="shared" si="12"/>
        <v/>
      </c>
      <c r="CC65" s="2" t="str">
        <f t="shared" si="13"/>
        <v/>
      </c>
      <c r="CD65" s="2" t="str">
        <f t="shared" si="14"/>
        <v/>
      </c>
      <c r="CE65" s="2" t="str">
        <f t="shared" si="15"/>
        <v/>
      </c>
      <c r="CF65" s="2" t="str">
        <f t="shared" si="16"/>
        <v/>
      </c>
      <c r="CG65" s="2" t="str">
        <f t="shared" si="17"/>
        <v/>
      </c>
      <c r="CH65" s="2" t="str">
        <f t="shared" si="18"/>
        <v/>
      </c>
      <c r="CI65" s="2" t="str">
        <f t="shared" si="19"/>
        <v/>
      </c>
    </row>
    <row r="66" spans="18:87" x14ac:dyDescent="0.25">
      <c r="R66" s="1" t="str">
        <f t="shared" si="40"/>
        <v/>
      </c>
      <c r="S66" s="1" t="str">
        <f t="shared" si="40"/>
        <v/>
      </c>
      <c r="T66" s="1" t="str">
        <f t="shared" si="40"/>
        <v/>
      </c>
      <c r="U66" s="1" t="str">
        <f t="shared" si="40"/>
        <v/>
      </c>
      <c r="V66" s="1" t="str">
        <f t="shared" si="40"/>
        <v/>
      </c>
      <c r="AA66" s="6" t="str">
        <f>IF(AO66&lt;&gt;0,SUM(AB$43:AB66),"")</f>
        <v/>
      </c>
      <c r="AB66" s="6" t="str">
        <f t="shared" si="5"/>
        <v/>
      </c>
      <c r="AC66" s="6" t="str">
        <f t="shared" si="29"/>
        <v/>
      </c>
      <c r="AD66" s="6" t="str">
        <f t="shared" si="30"/>
        <v/>
      </c>
      <c r="AE66" s="6" t="str">
        <f>IF(AND(AN66&lt;&gt;0),SUM(AC$43:AC66),"")</f>
        <v/>
      </c>
      <c r="AF66" s="6" t="str">
        <f>IF(AND(AN66&lt;&gt;0),SUM(AD$43:AD66),"")</f>
        <v/>
      </c>
      <c r="AH66" s="7" t="str">
        <f t="shared" ref="AH66" si="49">IF(AND(AS$33="E",AL$34&lt;&gt;"E 50g"),"gauche","")</f>
        <v/>
      </c>
      <c r="AI66" s="12" t="str">
        <f t="shared" si="8"/>
        <v/>
      </c>
      <c r="AJ66" s="38"/>
      <c r="AK66" s="3"/>
      <c r="AL66" s="3"/>
      <c r="AN66" s="30">
        <f t="shared" si="32"/>
        <v>0</v>
      </c>
      <c r="AO66" s="30">
        <f t="shared" si="33"/>
        <v>0</v>
      </c>
      <c r="AQ66" s="33"/>
      <c r="AR66" s="30"/>
      <c r="AS66" s="30"/>
      <c r="AT66" s="30"/>
      <c r="AU66" s="31" t="str">
        <f>IF(AV66&lt;&gt;"","max","")</f>
        <v>max</v>
      </c>
      <c r="AV66" s="61" t="str">
        <f>IF(AV64&lt;&gt;"",_qualité!B7,"")</f>
        <v>Limit is the sky !</v>
      </c>
      <c r="AW66" s="60"/>
      <c r="AX66" s="8" t="str">
        <f t="shared" si="4"/>
        <v/>
      </c>
      <c r="BK66" s="42"/>
      <c r="BZ66" s="2" t="str">
        <f t="shared" si="10"/>
        <v/>
      </c>
      <c r="CA66" s="2" t="str">
        <f t="shared" si="11"/>
        <v/>
      </c>
      <c r="CB66" s="2" t="str">
        <f t="shared" si="12"/>
        <v/>
      </c>
      <c r="CC66" s="2" t="str">
        <f t="shared" si="13"/>
        <v/>
      </c>
      <c r="CD66" s="2" t="str">
        <f t="shared" si="14"/>
        <v/>
      </c>
      <c r="CE66" s="2" t="str">
        <f t="shared" si="15"/>
        <v/>
      </c>
      <c r="CF66" s="2" t="str">
        <f t="shared" si="16"/>
        <v/>
      </c>
      <c r="CG66" s="2" t="str">
        <f t="shared" si="17"/>
        <v/>
      </c>
      <c r="CH66" s="2" t="str">
        <f t="shared" si="18"/>
        <v/>
      </c>
      <c r="CI66" s="2" t="str">
        <f t="shared" si="19"/>
        <v/>
      </c>
    </row>
    <row r="67" spans="18:87" x14ac:dyDescent="0.25">
      <c r="R67" s="1" t="str">
        <f t="shared" si="40"/>
        <v/>
      </c>
      <c r="S67" s="1" t="str">
        <f t="shared" si="40"/>
        <v/>
      </c>
      <c r="T67" s="1" t="str">
        <f t="shared" si="40"/>
        <v/>
      </c>
      <c r="U67" s="1" t="str">
        <f t="shared" si="40"/>
        <v/>
      </c>
      <c r="V67" s="1" t="str">
        <f t="shared" si="40"/>
        <v/>
      </c>
      <c r="AA67" s="6" t="str">
        <f>IF(AO67&lt;&gt;0,SUM(AB$43:AB67),"")</f>
        <v/>
      </c>
      <c r="AB67" s="6" t="str">
        <f t="shared" si="5"/>
        <v/>
      </c>
      <c r="AC67" s="6" t="str">
        <f t="shared" si="29"/>
        <v/>
      </c>
      <c r="AD67" s="6" t="str">
        <f t="shared" si="30"/>
        <v/>
      </c>
      <c r="AE67" s="6" t="str">
        <f>IF(AND(AN67&lt;&gt;0),SUM(AC$43:AC67),"")</f>
        <v/>
      </c>
      <c r="AF67" s="6" t="str">
        <f>IF(AND(AN67&lt;&gt;0),SUM(AD$43:AD67),"")</f>
        <v/>
      </c>
      <c r="AH67" s="7" t="str">
        <f t="shared" ref="AH67" si="50">IF(AND(AS$33="E",AL$34&lt;&gt;"E 50g"),"droite","")</f>
        <v/>
      </c>
      <c r="AI67" s="12" t="str">
        <f t="shared" si="8"/>
        <v/>
      </c>
      <c r="AJ67" s="38"/>
      <c r="AK67" s="3"/>
      <c r="AL67" s="3"/>
      <c r="AN67" s="30">
        <f t="shared" si="32"/>
        <v>0</v>
      </c>
      <c r="AO67" s="30">
        <f t="shared" si="33"/>
        <v>0</v>
      </c>
      <c r="AQ67" s="30"/>
      <c r="AR67" s="30"/>
      <c r="AS67" s="30"/>
      <c r="AT67" s="30"/>
      <c r="AU67" s="30"/>
      <c r="AV67" s="30"/>
      <c r="AW67" s="30"/>
      <c r="AX67" s="8" t="str">
        <f t="shared" si="4"/>
        <v/>
      </c>
      <c r="BK67" s="42"/>
      <c r="BZ67" s="2" t="str">
        <f t="shared" si="10"/>
        <v/>
      </c>
      <c r="CA67" s="2" t="str">
        <f t="shared" si="11"/>
        <v/>
      </c>
      <c r="CB67" s="2" t="str">
        <f t="shared" si="12"/>
        <v/>
      </c>
      <c r="CC67" s="2" t="str">
        <f t="shared" si="13"/>
        <v/>
      </c>
      <c r="CD67" s="2" t="str">
        <f t="shared" si="14"/>
        <v/>
      </c>
      <c r="CE67" s="2" t="str">
        <f t="shared" si="15"/>
        <v/>
      </c>
      <c r="CF67" s="2" t="str">
        <f t="shared" si="16"/>
        <v/>
      </c>
      <c r="CG67" s="2" t="str">
        <f t="shared" si="17"/>
        <v/>
      </c>
      <c r="CH67" s="2" t="str">
        <f t="shared" si="18"/>
        <v/>
      </c>
      <c r="CI67" s="2" t="str">
        <f t="shared" si="19"/>
        <v/>
      </c>
    </row>
    <row r="68" spans="18:87" x14ac:dyDescent="0.25">
      <c r="R68" s="1" t="str">
        <f t="shared" si="40"/>
        <v/>
      </c>
      <c r="S68" s="1" t="str">
        <f t="shared" si="40"/>
        <v/>
      </c>
      <c r="T68" s="1" t="str">
        <f t="shared" si="40"/>
        <v/>
      </c>
      <c r="U68" s="1" t="str">
        <f t="shared" si="40"/>
        <v/>
      </c>
      <c r="V68" s="1" t="str">
        <f t="shared" si="40"/>
        <v/>
      </c>
      <c r="AA68" s="6" t="str">
        <f>IF(AO68&lt;&gt;0,SUM(AB$43:AB68),"")</f>
        <v/>
      </c>
      <c r="AB68" s="6" t="str">
        <f t="shared" si="5"/>
        <v/>
      </c>
      <c r="AC68" s="6" t="str">
        <f t="shared" si="29"/>
        <v/>
      </c>
      <c r="AD68" s="6" t="str">
        <f t="shared" si="30"/>
        <v/>
      </c>
      <c r="AE68" s="6" t="str">
        <f>IF(AND(AN68&lt;&gt;0),SUM(AC$43:AC68),"")</f>
        <v/>
      </c>
      <c r="AF68" s="6" t="str">
        <f>IF(AND(AN68&lt;&gt;0),SUM(AD$43:AD68),"")</f>
        <v/>
      </c>
      <c r="AH68" s="7" t="str">
        <f t="shared" ref="AH68" si="51">IF(AND(AS$33="E",AL$34&lt;&gt;"E 50g"),"gauche","")</f>
        <v/>
      </c>
      <c r="AI68" s="12" t="str">
        <f t="shared" si="8"/>
        <v/>
      </c>
      <c r="AJ68" s="38"/>
      <c r="AK68" s="3"/>
      <c r="AL68" s="3"/>
      <c r="AN68" s="30">
        <f t="shared" si="32"/>
        <v>0</v>
      </c>
      <c r="AO68" s="30">
        <f t="shared" si="33"/>
        <v>0</v>
      </c>
      <c r="AQ68" s="30"/>
      <c r="AR68" s="30"/>
      <c r="AS68" s="30"/>
      <c r="AT68" s="30"/>
      <c r="AU68" s="35"/>
      <c r="AV68" s="35" t="s">
        <v>75</v>
      </c>
      <c r="AW68" s="35"/>
      <c r="AX68" s="8" t="str">
        <f t="shared" si="4"/>
        <v/>
      </c>
      <c r="BK68" s="42"/>
      <c r="BZ68" s="2" t="str">
        <f t="shared" si="10"/>
        <v/>
      </c>
      <c r="CA68" s="2" t="str">
        <f t="shared" si="11"/>
        <v/>
      </c>
      <c r="CB68" s="2" t="str">
        <f t="shared" si="12"/>
        <v/>
      </c>
      <c r="CC68" s="2" t="str">
        <f t="shared" si="13"/>
        <v/>
      </c>
      <c r="CD68" s="2" t="str">
        <f t="shared" si="14"/>
        <v/>
      </c>
      <c r="CE68" s="2" t="str">
        <f t="shared" si="15"/>
        <v/>
      </c>
      <c r="CF68" s="2" t="str">
        <f t="shared" si="16"/>
        <v/>
      </c>
      <c r="CG68" s="2" t="str">
        <f t="shared" si="17"/>
        <v/>
      </c>
      <c r="CH68" s="2" t="str">
        <f t="shared" si="18"/>
        <v/>
      </c>
      <c r="CI68" s="2" t="str">
        <f t="shared" si="19"/>
        <v/>
      </c>
    </row>
    <row r="69" spans="18:87" x14ac:dyDescent="0.25">
      <c r="R69" s="1" t="str">
        <f t="shared" si="40"/>
        <v/>
      </c>
      <c r="S69" s="1" t="str">
        <f t="shared" si="40"/>
        <v/>
      </c>
      <c r="T69" s="1" t="str">
        <f t="shared" si="40"/>
        <v/>
      </c>
      <c r="U69" s="1" t="str">
        <f t="shared" si="40"/>
        <v/>
      </c>
      <c r="V69" s="1" t="str">
        <f t="shared" si="40"/>
        <v/>
      </c>
      <c r="AA69" s="6" t="str">
        <f>IF(AO69&lt;&gt;0,SUM(AB$43:AB69),"")</f>
        <v/>
      </c>
      <c r="AB69" s="6" t="str">
        <f t="shared" si="5"/>
        <v/>
      </c>
      <c r="AC69" s="6" t="str">
        <f t="shared" si="29"/>
        <v/>
      </c>
      <c r="AD69" s="6" t="str">
        <f t="shared" si="30"/>
        <v/>
      </c>
      <c r="AE69" s="6" t="str">
        <f>IF(AND(AN69&lt;&gt;0),SUM(AC$43:AC69),"")</f>
        <v/>
      </c>
      <c r="AF69" s="6" t="str">
        <f>IF(AND(AN69&lt;&gt;0),SUM(AD$43:AD69),"")</f>
        <v/>
      </c>
      <c r="AH69" s="7" t="str">
        <f t="shared" ref="AH69" si="52">IF(AND(AS$33="E",AL$34&lt;&gt;"E 50g"),"droite","")</f>
        <v/>
      </c>
      <c r="AI69" s="12" t="str">
        <f t="shared" si="8"/>
        <v/>
      </c>
      <c r="AJ69" s="38"/>
      <c r="AK69" s="3"/>
      <c r="AL69" s="3"/>
      <c r="AN69" s="30">
        <f t="shared" si="32"/>
        <v>0</v>
      </c>
      <c r="AO69" s="30">
        <f t="shared" si="33"/>
        <v>0</v>
      </c>
      <c r="AQ69" s="30"/>
      <c r="AR69" s="30"/>
      <c r="AS69" s="30"/>
      <c r="AT69" s="30"/>
      <c r="AU69" s="67" t="str">
        <f ca="1">OFFSET('data TRS'!A1,COUNTA('data TRS'!A:A)-1,)</f>
        <v>93_E_N_Invité</v>
      </c>
      <c r="AV69" s="67"/>
      <c r="AW69" s="36" t="str">
        <f ca="1">CONCATENATE("TRS : ",ROUND(OFFSET('data TRS'!P1,COUNTA('data TRS'!P:P)-1,),2)," %")</f>
        <v>TRS : 20 %</v>
      </c>
      <c r="AX69" s="8" t="str">
        <f t="shared" si="4"/>
        <v/>
      </c>
      <c r="BK69" s="42"/>
      <c r="BZ69" s="2" t="str">
        <f t="shared" si="10"/>
        <v/>
      </c>
      <c r="CA69" s="2" t="str">
        <f t="shared" si="11"/>
        <v/>
      </c>
      <c r="CB69" s="2" t="str">
        <f t="shared" si="12"/>
        <v/>
      </c>
      <c r="CC69" s="2" t="str">
        <f t="shared" si="13"/>
        <v/>
      </c>
      <c r="CD69" s="2" t="str">
        <f t="shared" si="14"/>
        <v/>
      </c>
      <c r="CE69" s="2" t="str">
        <f t="shared" si="15"/>
        <v/>
      </c>
      <c r="CF69" s="2" t="str">
        <f t="shared" si="16"/>
        <v/>
      </c>
      <c r="CG69" s="2" t="str">
        <f t="shared" si="17"/>
        <v/>
      </c>
      <c r="CH69" s="2" t="str">
        <f t="shared" si="18"/>
        <v/>
      </c>
      <c r="CI69" s="2" t="str">
        <f t="shared" si="19"/>
        <v/>
      </c>
    </row>
    <row r="70" spans="18:87" x14ac:dyDescent="0.25">
      <c r="R70" s="1" t="str">
        <f t="shared" si="40"/>
        <v/>
      </c>
      <c r="S70" s="1" t="str">
        <f t="shared" si="40"/>
        <v/>
      </c>
      <c r="T70" s="1" t="str">
        <f t="shared" si="40"/>
        <v/>
      </c>
      <c r="U70" s="1" t="str">
        <f t="shared" si="40"/>
        <v/>
      </c>
      <c r="V70" s="1" t="str">
        <f t="shared" si="40"/>
        <v/>
      </c>
      <c r="AA70" s="6" t="str">
        <f>IF(AO70&lt;&gt;0,SUM(AB$43:AB70),"")</f>
        <v/>
      </c>
      <c r="AB70" s="6" t="str">
        <f t="shared" si="5"/>
        <v/>
      </c>
      <c r="AC70" s="6" t="str">
        <f t="shared" si="29"/>
        <v/>
      </c>
      <c r="AD70" s="6" t="str">
        <f t="shared" si="30"/>
        <v/>
      </c>
      <c r="AE70" s="6" t="str">
        <f>IF(AND(AN70&lt;&gt;0),SUM(AC$43:AC70),"")</f>
        <v/>
      </c>
      <c r="AF70" s="6" t="str">
        <f>IF(AND(AN70&lt;&gt;0),SUM(AD$43:AD70),"")</f>
        <v/>
      </c>
      <c r="AH70" s="7" t="str">
        <f t="shared" ref="AH70" si="53">IF(AND(AS$33="E",AL$34&lt;&gt;"E 50g"),"gauche","")</f>
        <v/>
      </c>
      <c r="AI70" s="12" t="str">
        <f t="shared" si="8"/>
        <v/>
      </c>
      <c r="AJ70" s="38"/>
      <c r="AK70" s="3"/>
      <c r="AL70" s="3"/>
      <c r="AN70" s="30">
        <f t="shared" si="32"/>
        <v>0</v>
      </c>
      <c r="AO70" s="30">
        <f t="shared" si="33"/>
        <v>0</v>
      </c>
      <c r="AQ70" s="30"/>
      <c r="AR70" s="30"/>
      <c r="AS70" s="30"/>
      <c r="AT70" s="30"/>
      <c r="AU70" s="37" t="s">
        <v>76</v>
      </c>
      <c r="AV70" s="20">
        <f ca="1">OFFSET('data TRS'!L1,COUNTA('data TRS'!L:L)-1,)</f>
        <v>0</v>
      </c>
      <c r="AW70" s="20">
        <f ca="1">OFFSET('data TRS'!M1,COUNTA('data TRS'!M:M)-1,)</f>
        <v>0</v>
      </c>
      <c r="AX70" s="8" t="str">
        <f t="shared" si="4"/>
        <v/>
      </c>
      <c r="BK70" s="42"/>
      <c r="BZ70" s="2" t="str">
        <f t="shared" si="10"/>
        <v/>
      </c>
      <c r="CA70" s="2" t="str">
        <f t="shared" si="11"/>
        <v/>
      </c>
      <c r="CB70" s="2" t="str">
        <f t="shared" si="12"/>
        <v/>
      </c>
      <c r="CC70" s="2" t="str">
        <f t="shared" si="13"/>
        <v/>
      </c>
      <c r="CD70" s="2" t="str">
        <f t="shared" si="14"/>
        <v/>
      </c>
      <c r="CE70" s="2" t="str">
        <f t="shared" si="15"/>
        <v/>
      </c>
      <c r="CF70" s="2" t="str">
        <f t="shared" si="16"/>
        <v/>
      </c>
      <c r="CG70" s="2" t="str">
        <f t="shared" si="17"/>
        <v/>
      </c>
      <c r="CH70" s="2" t="str">
        <f t="shared" si="18"/>
        <v/>
      </c>
      <c r="CI70" s="2" t="str">
        <f t="shared" si="19"/>
        <v/>
      </c>
    </row>
    <row r="71" spans="18:87" x14ac:dyDescent="0.25">
      <c r="R71" s="1" t="str">
        <f t="shared" si="40"/>
        <v/>
      </c>
      <c r="S71" s="1" t="str">
        <f t="shared" si="40"/>
        <v/>
      </c>
      <c r="T71" s="1" t="str">
        <f t="shared" si="40"/>
        <v/>
      </c>
      <c r="U71" s="1" t="str">
        <f t="shared" si="40"/>
        <v/>
      </c>
      <c r="V71" s="1" t="str">
        <f t="shared" si="40"/>
        <v/>
      </c>
      <c r="AA71" s="6" t="str">
        <f>IF(AO71&lt;&gt;0,SUM(AB$43:AB71),"")</f>
        <v/>
      </c>
      <c r="AB71" s="6" t="str">
        <f t="shared" si="5"/>
        <v/>
      </c>
      <c r="AC71" s="6" t="str">
        <f t="shared" si="29"/>
        <v/>
      </c>
      <c r="AD71" s="6" t="str">
        <f t="shared" si="30"/>
        <v/>
      </c>
      <c r="AE71" s="6" t="str">
        <f>IF(AND(AN71&lt;&gt;0),SUM(AC$43:AC71),"")</f>
        <v/>
      </c>
      <c r="AF71" s="6" t="str">
        <f>IF(AND(AN71&lt;&gt;0),SUM(AD$43:AD71),"")</f>
        <v/>
      </c>
      <c r="AH71" s="7" t="str">
        <f t="shared" ref="AH71" si="54">IF(AND(AS$33="E",AL$34&lt;&gt;"E 50g"),"droite","")</f>
        <v/>
      </c>
      <c r="AI71" s="12" t="str">
        <f t="shared" si="8"/>
        <v/>
      </c>
      <c r="AJ71" s="38"/>
      <c r="AK71" s="3"/>
      <c r="AL71" s="3"/>
      <c r="AN71" s="30">
        <f t="shared" si="32"/>
        <v>0</v>
      </c>
      <c r="AO71" s="30">
        <f t="shared" si="33"/>
        <v>0</v>
      </c>
      <c r="AX71" s="8" t="str">
        <f t="shared" si="4"/>
        <v/>
      </c>
      <c r="BK71" s="42"/>
      <c r="BZ71" s="2" t="str">
        <f t="shared" si="10"/>
        <v/>
      </c>
      <c r="CA71" s="2" t="str">
        <f t="shared" si="11"/>
        <v/>
      </c>
      <c r="CB71" s="2" t="str">
        <f t="shared" si="12"/>
        <v/>
      </c>
      <c r="CC71" s="2" t="str">
        <f t="shared" si="13"/>
        <v/>
      </c>
      <c r="CD71" s="2" t="str">
        <f t="shared" si="14"/>
        <v/>
      </c>
      <c r="CE71" s="2" t="str">
        <f t="shared" si="15"/>
        <v/>
      </c>
      <c r="CF71" s="2" t="str">
        <f t="shared" si="16"/>
        <v/>
      </c>
      <c r="CG71" s="2" t="str">
        <f t="shared" si="17"/>
        <v/>
      </c>
      <c r="CH71" s="2" t="str">
        <f t="shared" si="18"/>
        <v/>
      </c>
      <c r="CI71" s="2" t="str">
        <f t="shared" si="19"/>
        <v/>
      </c>
    </row>
    <row r="72" spans="18:87" x14ac:dyDescent="0.25">
      <c r="R72" s="1" t="str">
        <f t="shared" si="40"/>
        <v/>
      </c>
      <c r="S72" s="1" t="str">
        <f t="shared" si="40"/>
        <v/>
      </c>
      <c r="T72" s="1" t="str">
        <f t="shared" si="40"/>
        <v/>
      </c>
      <c r="U72" s="1" t="str">
        <f t="shared" si="40"/>
        <v/>
      </c>
      <c r="V72" s="1" t="str">
        <f t="shared" si="40"/>
        <v/>
      </c>
      <c r="AA72" s="6" t="str">
        <f>IF(AO72&lt;&gt;0,SUM(AB$43:AB72),"")</f>
        <v/>
      </c>
      <c r="AB72" s="6" t="str">
        <f t="shared" si="5"/>
        <v/>
      </c>
      <c r="AC72" s="6" t="str">
        <f t="shared" si="29"/>
        <v/>
      </c>
      <c r="AD72" s="6" t="str">
        <f t="shared" si="30"/>
        <v/>
      </c>
      <c r="AE72" s="6" t="str">
        <f>IF(AND(AN72&lt;&gt;0),SUM(AC$43:AC72),"")</f>
        <v/>
      </c>
      <c r="AF72" s="6" t="str">
        <f>IF(AND(AN72&lt;&gt;0),SUM(AD$43:AD72),"")</f>
        <v/>
      </c>
      <c r="AH72" s="7" t="str">
        <f t="shared" ref="AH72" si="55">IF(AND(AS$33="E",AL$34&lt;&gt;"E 50g"),"gauche","")</f>
        <v/>
      </c>
      <c r="AI72" s="12" t="str">
        <f t="shared" si="8"/>
        <v/>
      </c>
      <c r="AJ72" s="38"/>
      <c r="AK72" s="3"/>
      <c r="AL72" s="3"/>
      <c r="AN72" s="30">
        <f t="shared" si="32"/>
        <v>0</v>
      </c>
      <c r="AO72" s="30">
        <f t="shared" si="33"/>
        <v>0</v>
      </c>
      <c r="AX72" s="8" t="str">
        <f t="shared" si="4"/>
        <v/>
      </c>
      <c r="BK72" s="42"/>
      <c r="BZ72" s="2" t="str">
        <f t="shared" si="10"/>
        <v/>
      </c>
      <c r="CA72" s="2" t="str">
        <f t="shared" si="11"/>
        <v/>
      </c>
      <c r="CB72" s="2" t="str">
        <f t="shared" si="12"/>
        <v/>
      </c>
      <c r="CC72" s="2" t="str">
        <f t="shared" si="13"/>
        <v/>
      </c>
      <c r="CD72" s="2" t="str">
        <f t="shared" si="14"/>
        <v/>
      </c>
      <c r="CE72" s="2" t="str">
        <f t="shared" si="15"/>
        <v/>
      </c>
      <c r="CF72" s="2" t="str">
        <f t="shared" si="16"/>
        <v/>
      </c>
      <c r="CG72" s="2" t="str">
        <f t="shared" si="17"/>
        <v/>
      </c>
      <c r="CH72" s="2" t="str">
        <f t="shared" si="18"/>
        <v/>
      </c>
      <c r="CI72" s="2" t="str">
        <f t="shared" si="19"/>
        <v/>
      </c>
    </row>
    <row r="73" spans="18:87" x14ac:dyDescent="0.25">
      <c r="R73" s="1" t="str">
        <f t="shared" si="40"/>
        <v/>
      </c>
      <c r="S73" s="1" t="str">
        <f t="shared" si="40"/>
        <v/>
      </c>
      <c r="T73" s="1" t="str">
        <f t="shared" si="40"/>
        <v/>
      </c>
      <c r="U73" s="1" t="str">
        <f t="shared" si="40"/>
        <v/>
      </c>
      <c r="V73" s="1" t="str">
        <f t="shared" si="40"/>
        <v/>
      </c>
      <c r="AA73" s="6" t="str">
        <f>IF(AO73&lt;&gt;0,SUM(AB$43:AB73),"")</f>
        <v/>
      </c>
      <c r="AB73" s="6" t="str">
        <f t="shared" si="5"/>
        <v/>
      </c>
      <c r="AC73" s="6" t="str">
        <f t="shared" ref="AC73:AC82" si="56">IF(AN73&lt;&gt;0,IF(AJ73="",0.5,0),"")</f>
        <v/>
      </c>
      <c r="AD73" s="6" t="str">
        <f t="shared" ref="AD73:AD82" si="57">IF(AN73&lt;&gt;0,IF(AJ73="",1,0),"")</f>
        <v/>
      </c>
      <c r="AE73" s="6" t="str">
        <f>IF(AND(AN73&lt;&gt;0),SUM(AC$43:AC73),"")</f>
        <v/>
      </c>
      <c r="AF73" s="6" t="str">
        <f>IF(AND(AN73&lt;&gt;0),SUM(AD$43:AD73),"")</f>
        <v/>
      </c>
      <c r="AH73" s="7" t="str">
        <f t="shared" ref="AH73" si="58">IF(AND(AS$33="E",AL$34&lt;&gt;"E 50g"),"droite","")</f>
        <v/>
      </c>
      <c r="AI73" s="12" t="str">
        <f t="shared" si="8"/>
        <v/>
      </c>
      <c r="AJ73" s="38"/>
      <c r="AK73" s="3"/>
      <c r="AL73" s="3"/>
      <c r="AN73" s="30">
        <f t="shared" si="32"/>
        <v>0</v>
      </c>
      <c r="AO73" s="30">
        <f t="shared" si="33"/>
        <v>0</v>
      </c>
      <c r="AX73" s="8" t="str">
        <f t="shared" si="4"/>
        <v/>
      </c>
      <c r="BK73" s="42"/>
      <c r="BZ73" s="2" t="str">
        <f t="shared" si="10"/>
        <v/>
      </c>
      <c r="CA73" s="2" t="str">
        <f t="shared" si="11"/>
        <v/>
      </c>
      <c r="CB73" s="2" t="str">
        <f t="shared" si="12"/>
        <v/>
      </c>
      <c r="CC73" s="2" t="str">
        <f t="shared" si="13"/>
        <v/>
      </c>
      <c r="CD73" s="2" t="str">
        <f t="shared" si="14"/>
        <v/>
      </c>
      <c r="CE73" s="2" t="str">
        <f t="shared" si="15"/>
        <v/>
      </c>
      <c r="CF73" s="2" t="str">
        <f t="shared" si="16"/>
        <v/>
      </c>
      <c r="CG73" s="2" t="str">
        <f t="shared" si="17"/>
        <v/>
      </c>
      <c r="CH73" s="2" t="str">
        <f t="shared" si="18"/>
        <v/>
      </c>
      <c r="CI73" s="2" t="str">
        <f t="shared" si="19"/>
        <v/>
      </c>
    </row>
    <row r="74" spans="18:87" x14ac:dyDescent="0.25">
      <c r="R74" s="1" t="str">
        <f t="shared" si="40"/>
        <v/>
      </c>
      <c r="S74" s="1" t="str">
        <f t="shared" si="40"/>
        <v/>
      </c>
      <c r="T74" s="1" t="str">
        <f t="shared" si="40"/>
        <v/>
      </c>
      <c r="U74" s="1" t="str">
        <f t="shared" si="40"/>
        <v/>
      </c>
      <c r="V74" s="1" t="str">
        <f t="shared" si="40"/>
        <v/>
      </c>
      <c r="AC74" s="6" t="str">
        <f t="shared" si="56"/>
        <v/>
      </c>
      <c r="AD74" s="6" t="str">
        <f t="shared" si="57"/>
        <v/>
      </c>
      <c r="AE74" s="6" t="str">
        <f>IF(AND(AN74&lt;&gt;0),SUM(AC$43:AC74),"")</f>
        <v/>
      </c>
      <c r="AF74" s="6" t="str">
        <f>IF(AND(AN74&lt;&gt;0),SUM(AD$43:AD74),"")</f>
        <v/>
      </c>
      <c r="AH74" s="7" t="str">
        <f t="shared" ref="AH74" si="59">IF(AND(AS$33="E",AL$34&lt;&gt;"E 50g"),"gauche","")</f>
        <v/>
      </c>
      <c r="AI74" s="12" t="str">
        <f t="shared" si="8"/>
        <v/>
      </c>
      <c r="AJ74" s="38"/>
      <c r="AK74" s="3"/>
      <c r="AL74" s="3"/>
      <c r="AN74" s="30">
        <f t="shared" ref="AN74:AN82" si="60">IF(AJ74="",IF(AK74="",AL74,AL74-AK74),0)</f>
        <v>0</v>
      </c>
      <c r="AO74" s="30">
        <f t="shared" ref="AO74:AO82" si="61">IF(AJ74&lt;&gt;"",IF(AK74="",AL74,AL74-AK74),0)</f>
        <v>0</v>
      </c>
      <c r="AX74" s="8" t="str">
        <f t="shared" si="4"/>
        <v/>
      </c>
      <c r="BK74" s="42"/>
      <c r="BZ74" s="2" t="str">
        <f t="shared" si="10"/>
        <v/>
      </c>
      <c r="CA74" s="2" t="str">
        <f t="shared" si="11"/>
        <v/>
      </c>
      <c r="CB74" s="2" t="str">
        <f t="shared" si="12"/>
        <v/>
      </c>
      <c r="CC74" s="2" t="str">
        <f t="shared" si="13"/>
        <v/>
      </c>
      <c r="CD74" s="2" t="str">
        <f t="shared" si="14"/>
        <v/>
      </c>
      <c r="CE74" s="2" t="str">
        <f t="shared" si="15"/>
        <v/>
      </c>
      <c r="CF74" s="2" t="str">
        <f t="shared" si="16"/>
        <v/>
      </c>
      <c r="CG74" s="2" t="str">
        <f t="shared" si="17"/>
        <v/>
      </c>
      <c r="CH74" s="2" t="str">
        <f t="shared" si="18"/>
        <v/>
      </c>
      <c r="CI74" s="2" t="str">
        <f t="shared" si="19"/>
        <v/>
      </c>
    </row>
    <row r="75" spans="18:87" x14ac:dyDescent="0.25">
      <c r="R75" s="1" t="str">
        <f t="shared" si="40"/>
        <v/>
      </c>
      <c r="S75" s="1" t="str">
        <f t="shared" si="40"/>
        <v/>
      </c>
      <c r="T75" s="1" t="str">
        <f t="shared" si="40"/>
        <v/>
      </c>
      <c r="U75" s="1" t="str">
        <f t="shared" si="40"/>
        <v/>
      </c>
      <c r="V75" s="1" t="str">
        <f t="shared" si="40"/>
        <v/>
      </c>
      <c r="AC75" s="6" t="str">
        <f t="shared" si="56"/>
        <v/>
      </c>
      <c r="AD75" s="6" t="str">
        <f t="shared" si="57"/>
        <v/>
      </c>
      <c r="AE75" s="6" t="str">
        <f>IF(AND(AN75&lt;&gt;0),SUM(AC$43:AC75),"")</f>
        <v/>
      </c>
      <c r="AF75" s="6" t="str">
        <f>IF(AND(AN75&lt;&gt;0),SUM(AD$43:AD75),"")</f>
        <v/>
      </c>
      <c r="AH75" s="7" t="str">
        <f t="shared" ref="AH75" si="62">IF(AND(AS$33="E",AL$34&lt;&gt;"E 50g"),"droite","")</f>
        <v/>
      </c>
      <c r="AI75" s="12" t="str">
        <f t="shared" si="8"/>
        <v/>
      </c>
      <c r="AJ75" s="38"/>
      <c r="AK75" s="3"/>
      <c r="AL75" s="3"/>
      <c r="AN75" s="30">
        <f t="shared" si="60"/>
        <v>0</v>
      </c>
      <c r="AO75" s="30">
        <f t="shared" si="61"/>
        <v>0</v>
      </c>
      <c r="AX75" s="8" t="str">
        <f t="shared" si="4"/>
        <v/>
      </c>
      <c r="BK75" s="42"/>
      <c r="BZ75" s="2" t="str">
        <f t="shared" si="10"/>
        <v/>
      </c>
      <c r="CA75" s="2" t="str">
        <f t="shared" si="11"/>
        <v/>
      </c>
      <c r="CB75" s="2" t="str">
        <f t="shared" si="12"/>
        <v/>
      </c>
      <c r="CC75" s="2" t="str">
        <f t="shared" si="13"/>
        <v/>
      </c>
      <c r="CD75" s="2" t="str">
        <f t="shared" si="14"/>
        <v/>
      </c>
      <c r="CE75" s="2" t="str">
        <f t="shared" si="15"/>
        <v/>
      </c>
      <c r="CF75" s="2" t="str">
        <f t="shared" si="16"/>
        <v/>
      </c>
      <c r="CG75" s="2" t="str">
        <f t="shared" si="17"/>
        <v/>
      </c>
      <c r="CH75" s="2" t="str">
        <f t="shared" si="18"/>
        <v/>
      </c>
      <c r="CI75" s="2" t="str">
        <f t="shared" si="19"/>
        <v/>
      </c>
    </row>
    <row r="76" spans="18:87" x14ac:dyDescent="0.25">
      <c r="R76" s="1" t="str">
        <f t="shared" si="40"/>
        <v/>
      </c>
      <c r="S76" s="1" t="str">
        <f t="shared" si="40"/>
        <v/>
      </c>
      <c r="T76" s="1" t="str">
        <f t="shared" si="40"/>
        <v/>
      </c>
      <c r="U76" s="1" t="str">
        <f t="shared" si="40"/>
        <v/>
      </c>
      <c r="V76" s="1" t="str">
        <f t="shared" si="40"/>
        <v/>
      </c>
      <c r="AC76" s="6" t="str">
        <f t="shared" si="56"/>
        <v/>
      </c>
      <c r="AD76" s="6" t="str">
        <f t="shared" si="57"/>
        <v/>
      </c>
      <c r="AE76" s="6" t="str">
        <f>IF(AND(AN76&lt;&gt;0),SUM(AC$43:AC76),"")</f>
        <v/>
      </c>
      <c r="AF76" s="6" t="str">
        <f>IF(AND(AN76&lt;&gt;0),SUM(AD$43:AD76),"")</f>
        <v/>
      </c>
      <c r="AH76" s="7" t="str">
        <f t="shared" ref="AH76" si="63">IF(AND(AS$33="E",AL$34&lt;&gt;"E 50g"),"gauche","")</f>
        <v/>
      </c>
      <c r="AI76" s="12" t="str">
        <f t="shared" si="8"/>
        <v/>
      </c>
      <c r="AJ76" s="38"/>
      <c r="AK76" s="3"/>
      <c r="AL76" s="3"/>
      <c r="AN76" s="30">
        <f t="shared" si="60"/>
        <v>0</v>
      </c>
      <c r="AO76" s="30">
        <f t="shared" si="61"/>
        <v>0</v>
      </c>
      <c r="AX76" s="8" t="str">
        <f t="shared" si="4"/>
        <v/>
      </c>
      <c r="BK76" s="42"/>
      <c r="BZ76" s="2" t="str">
        <f t="shared" si="10"/>
        <v/>
      </c>
      <c r="CA76" s="2" t="str">
        <f t="shared" si="11"/>
        <v/>
      </c>
      <c r="CB76" s="2" t="str">
        <f t="shared" si="12"/>
        <v/>
      </c>
      <c r="CC76" s="2" t="str">
        <f t="shared" si="13"/>
        <v/>
      </c>
      <c r="CD76" s="2" t="str">
        <f t="shared" si="14"/>
        <v/>
      </c>
      <c r="CE76" s="2" t="str">
        <f t="shared" si="15"/>
        <v/>
      </c>
      <c r="CF76" s="2" t="str">
        <f t="shared" si="16"/>
        <v/>
      </c>
      <c r="CG76" s="2" t="str">
        <f t="shared" si="17"/>
        <v/>
      </c>
      <c r="CH76" s="2" t="str">
        <f t="shared" si="18"/>
        <v/>
      </c>
      <c r="CI76" s="2" t="str">
        <f t="shared" si="19"/>
        <v/>
      </c>
    </row>
    <row r="77" spans="18:87" x14ac:dyDescent="0.25">
      <c r="R77" s="1" t="str">
        <f t="shared" si="40"/>
        <v/>
      </c>
      <c r="S77" s="1" t="str">
        <f t="shared" si="40"/>
        <v/>
      </c>
      <c r="T77" s="1" t="str">
        <f t="shared" si="40"/>
        <v/>
      </c>
      <c r="U77" s="1" t="str">
        <f t="shared" si="40"/>
        <v/>
      </c>
      <c r="V77" s="1" t="str">
        <f t="shared" si="40"/>
        <v/>
      </c>
      <c r="AC77" s="6" t="str">
        <f t="shared" si="56"/>
        <v/>
      </c>
      <c r="AD77" s="6" t="str">
        <f t="shared" si="57"/>
        <v/>
      </c>
      <c r="AE77" s="6" t="str">
        <f>IF(AND(AN77&lt;&gt;0),SUM(AC$43:AC77),"")</f>
        <v/>
      </c>
      <c r="AF77" s="6" t="str">
        <f>IF(AND(AN77&lt;&gt;0),SUM(AD$43:AD77),"")</f>
        <v/>
      </c>
      <c r="AH77" s="7" t="str">
        <f t="shared" ref="AH77" si="64">IF(AND(AS$33="E",AL$34&lt;&gt;"E 50g"),"droite","")</f>
        <v/>
      </c>
      <c r="AI77" s="12" t="str">
        <f t="shared" si="8"/>
        <v/>
      </c>
      <c r="AJ77" s="38"/>
      <c r="AK77" s="3"/>
      <c r="AL77" s="3"/>
      <c r="AN77" s="30">
        <f t="shared" si="60"/>
        <v>0</v>
      </c>
      <c r="AO77" s="30">
        <f t="shared" si="61"/>
        <v>0</v>
      </c>
      <c r="AX77" s="8" t="str">
        <f t="shared" si="4"/>
        <v/>
      </c>
      <c r="BK77" s="42"/>
      <c r="BZ77" s="2" t="str">
        <f t="shared" si="10"/>
        <v/>
      </c>
      <c r="CA77" s="2" t="str">
        <f t="shared" si="11"/>
        <v/>
      </c>
      <c r="CB77" s="2" t="str">
        <f t="shared" si="12"/>
        <v/>
      </c>
      <c r="CC77" s="2" t="str">
        <f t="shared" si="13"/>
        <v/>
      </c>
      <c r="CD77" s="2" t="str">
        <f t="shared" si="14"/>
        <v/>
      </c>
      <c r="CE77" s="2" t="str">
        <f t="shared" si="15"/>
        <v/>
      </c>
      <c r="CF77" s="2" t="str">
        <f t="shared" si="16"/>
        <v/>
      </c>
      <c r="CG77" s="2" t="str">
        <f t="shared" si="17"/>
        <v/>
      </c>
      <c r="CH77" s="2" t="str">
        <f t="shared" si="18"/>
        <v/>
      </c>
      <c r="CI77" s="2" t="str">
        <f t="shared" si="19"/>
        <v/>
      </c>
    </row>
    <row r="78" spans="18:87" x14ac:dyDescent="0.25">
      <c r="R78" s="1" t="str">
        <f t="shared" si="40"/>
        <v/>
      </c>
      <c r="S78" s="1" t="str">
        <f t="shared" si="40"/>
        <v/>
      </c>
      <c r="T78" s="1" t="str">
        <f t="shared" si="40"/>
        <v/>
      </c>
      <c r="U78" s="1" t="str">
        <f t="shared" si="40"/>
        <v/>
      </c>
      <c r="V78" s="1" t="str">
        <f t="shared" si="40"/>
        <v/>
      </c>
      <c r="AC78" s="6" t="str">
        <f t="shared" si="56"/>
        <v/>
      </c>
      <c r="AD78" s="6" t="str">
        <f t="shared" si="57"/>
        <v/>
      </c>
      <c r="AE78" s="6" t="str">
        <f>IF(AND(AN78&lt;&gt;0),SUM(AC$43:AC78),"")</f>
        <v/>
      </c>
      <c r="AF78" s="6" t="str">
        <f>IF(AND(AN78&lt;&gt;0),SUM(AD$43:AD78),"")</f>
        <v/>
      </c>
      <c r="AH78" s="7" t="str">
        <f t="shared" ref="AH78" si="65">IF(AND(AS$33="E",AL$34&lt;&gt;"E 50g"),"gauche","")</f>
        <v/>
      </c>
      <c r="AI78" s="12" t="str">
        <f t="shared" si="8"/>
        <v/>
      </c>
      <c r="AJ78" s="38"/>
      <c r="AK78" s="3"/>
      <c r="AL78" s="3"/>
      <c r="AN78" s="30">
        <f t="shared" si="60"/>
        <v>0</v>
      </c>
      <c r="AO78" s="30">
        <f t="shared" si="61"/>
        <v>0</v>
      </c>
      <c r="AX78" s="8" t="str">
        <f t="shared" si="4"/>
        <v/>
      </c>
      <c r="BK78" s="42"/>
      <c r="BZ78" s="2" t="str">
        <f t="shared" si="10"/>
        <v/>
      </c>
      <c r="CA78" s="2" t="str">
        <f t="shared" si="11"/>
        <v/>
      </c>
      <c r="CB78" s="2" t="str">
        <f t="shared" si="12"/>
        <v/>
      </c>
      <c r="CC78" s="2" t="str">
        <f t="shared" si="13"/>
        <v/>
      </c>
      <c r="CD78" s="2" t="str">
        <f t="shared" si="14"/>
        <v/>
      </c>
      <c r="CE78" s="2" t="str">
        <f t="shared" si="15"/>
        <v/>
      </c>
      <c r="CF78" s="2" t="str">
        <f t="shared" si="16"/>
        <v/>
      </c>
      <c r="CG78" s="2" t="str">
        <f t="shared" si="17"/>
        <v/>
      </c>
      <c r="CH78" s="2" t="str">
        <f t="shared" si="18"/>
        <v/>
      </c>
      <c r="CI78" s="2" t="str">
        <f t="shared" si="19"/>
        <v/>
      </c>
    </row>
    <row r="79" spans="18:87" x14ac:dyDescent="0.25">
      <c r="R79" s="1" t="str">
        <f t="shared" si="40"/>
        <v/>
      </c>
      <c r="S79" s="1" t="str">
        <f t="shared" si="40"/>
        <v/>
      </c>
      <c r="T79" s="1" t="str">
        <f t="shared" si="40"/>
        <v/>
      </c>
      <c r="U79" s="1" t="str">
        <f t="shared" si="40"/>
        <v/>
      </c>
      <c r="V79" s="1" t="str">
        <f t="shared" si="40"/>
        <v/>
      </c>
      <c r="AC79" s="6" t="str">
        <f t="shared" si="56"/>
        <v/>
      </c>
      <c r="AD79" s="6" t="str">
        <f t="shared" si="57"/>
        <v/>
      </c>
      <c r="AE79" s="6" t="str">
        <f>IF(AND(AN79&lt;&gt;0),SUM(AC$43:AC79),"")</f>
        <v/>
      </c>
      <c r="AF79" s="6" t="str">
        <f>IF(AND(AN79&lt;&gt;0),SUM(AD$43:AD79),"")</f>
        <v/>
      </c>
      <c r="AH79" s="7" t="str">
        <f t="shared" ref="AH79" si="66">IF(AND(AS$33="E",AL$34&lt;&gt;"E 50g"),"droite","")</f>
        <v/>
      </c>
      <c r="AI79" s="12" t="str">
        <f t="shared" si="8"/>
        <v/>
      </c>
      <c r="AJ79" s="38"/>
      <c r="AK79" s="3"/>
      <c r="AL79" s="3"/>
      <c r="AN79" s="30">
        <f t="shared" si="60"/>
        <v>0</v>
      </c>
      <c r="AO79" s="30">
        <f t="shared" si="61"/>
        <v>0</v>
      </c>
      <c r="AX79" s="8" t="str">
        <f t="shared" si="4"/>
        <v/>
      </c>
      <c r="BK79" s="42"/>
      <c r="BZ79" s="2" t="str">
        <f t="shared" si="10"/>
        <v/>
      </c>
      <c r="CA79" s="2" t="str">
        <f t="shared" si="11"/>
        <v/>
      </c>
      <c r="CB79" s="2" t="str">
        <f t="shared" si="12"/>
        <v/>
      </c>
      <c r="CC79" s="2" t="str">
        <f t="shared" si="13"/>
        <v/>
      </c>
      <c r="CD79" s="2" t="str">
        <f t="shared" si="14"/>
        <v/>
      </c>
      <c r="CE79" s="2" t="str">
        <f t="shared" si="15"/>
        <v/>
      </c>
      <c r="CF79" s="2" t="str">
        <f t="shared" si="16"/>
        <v/>
      </c>
      <c r="CG79" s="2" t="str">
        <f t="shared" si="17"/>
        <v/>
      </c>
      <c r="CH79" s="2" t="str">
        <f t="shared" si="18"/>
        <v/>
      </c>
      <c r="CI79" s="2" t="str">
        <f t="shared" si="19"/>
        <v/>
      </c>
    </row>
    <row r="80" spans="18:87" x14ac:dyDescent="0.25">
      <c r="R80" s="1" t="str">
        <f t="shared" si="40"/>
        <v/>
      </c>
      <c r="S80" s="1" t="str">
        <f t="shared" si="40"/>
        <v/>
      </c>
      <c r="T80" s="1" t="str">
        <f t="shared" si="40"/>
        <v/>
      </c>
      <c r="U80" s="1" t="str">
        <f t="shared" si="40"/>
        <v/>
      </c>
      <c r="V80" s="1" t="str">
        <f t="shared" si="40"/>
        <v/>
      </c>
      <c r="AC80" s="6" t="str">
        <f t="shared" si="56"/>
        <v/>
      </c>
      <c r="AD80" s="6" t="str">
        <f t="shared" si="57"/>
        <v/>
      </c>
      <c r="AE80" s="6" t="str">
        <f>IF(AND(AN80&lt;&gt;0),SUM(AC$43:AC80),"")</f>
        <v/>
      </c>
      <c r="AF80" s="6" t="str">
        <f>IF(AND(AN80&lt;&gt;0),SUM(AD$43:AD80),"")</f>
        <v/>
      </c>
      <c r="AH80" s="7" t="str">
        <f t="shared" ref="AH80" si="67">IF(AND(AS$33="E",AL$34&lt;&gt;"E 50g"),"gauche","")</f>
        <v/>
      </c>
      <c r="AI80" s="12" t="str">
        <f t="shared" si="8"/>
        <v/>
      </c>
      <c r="AJ80" s="38"/>
      <c r="AK80" s="3"/>
      <c r="AL80" s="3"/>
      <c r="AN80" s="30">
        <f t="shared" si="60"/>
        <v>0</v>
      </c>
      <c r="AO80" s="30">
        <f t="shared" si="61"/>
        <v>0</v>
      </c>
      <c r="AX80" s="8" t="str">
        <f t="shared" si="4"/>
        <v/>
      </c>
      <c r="BK80" s="42"/>
      <c r="BZ80" s="2" t="str">
        <f t="shared" si="10"/>
        <v/>
      </c>
      <c r="CA80" s="2" t="str">
        <f t="shared" si="11"/>
        <v/>
      </c>
      <c r="CB80" s="2" t="str">
        <f t="shared" si="12"/>
        <v/>
      </c>
      <c r="CC80" s="2" t="str">
        <f t="shared" si="13"/>
        <v/>
      </c>
      <c r="CD80" s="2" t="str">
        <f t="shared" si="14"/>
        <v/>
      </c>
      <c r="CE80" s="2" t="str">
        <f t="shared" si="15"/>
        <v/>
      </c>
      <c r="CF80" s="2" t="str">
        <f t="shared" si="16"/>
        <v/>
      </c>
      <c r="CG80" s="2" t="str">
        <f t="shared" si="17"/>
        <v/>
      </c>
      <c r="CH80" s="2" t="str">
        <f t="shared" si="18"/>
        <v/>
      </c>
      <c r="CI80" s="2" t="str">
        <f t="shared" si="19"/>
        <v/>
      </c>
    </row>
    <row r="81" spans="18:87" x14ac:dyDescent="0.25">
      <c r="R81" s="1" t="str">
        <f t="shared" si="40"/>
        <v/>
      </c>
      <c r="S81" s="1" t="str">
        <f t="shared" si="40"/>
        <v/>
      </c>
      <c r="T81" s="1" t="str">
        <f t="shared" si="40"/>
        <v/>
      </c>
      <c r="U81" s="1" t="str">
        <f t="shared" si="40"/>
        <v/>
      </c>
      <c r="V81" s="1" t="str">
        <f t="shared" si="40"/>
        <v/>
      </c>
      <c r="AC81" s="6" t="str">
        <f t="shared" si="56"/>
        <v/>
      </c>
      <c r="AD81" s="6" t="str">
        <f t="shared" si="57"/>
        <v/>
      </c>
      <c r="AE81" s="6" t="str">
        <f>IF(AND(AN81&lt;&gt;0),SUM(AC$43:AC81),"")</f>
        <v/>
      </c>
      <c r="AF81" s="6" t="str">
        <f>IF(AND(AN81&lt;&gt;0),SUM(AD$43:AD81),"")</f>
        <v/>
      </c>
      <c r="AH81" s="7" t="str">
        <f t="shared" ref="AH81" si="68">IF(AND(AS$33="E",AL$34&lt;&gt;"E 50g"),"droite","")</f>
        <v/>
      </c>
      <c r="AI81" s="12" t="str">
        <f t="shared" si="8"/>
        <v/>
      </c>
      <c r="AJ81" s="38"/>
      <c r="AK81" s="3"/>
      <c r="AL81" s="3"/>
      <c r="AN81" s="30">
        <f t="shared" si="60"/>
        <v>0</v>
      </c>
      <c r="AO81" s="30">
        <f t="shared" si="61"/>
        <v>0</v>
      </c>
      <c r="AX81" s="8" t="str">
        <f t="shared" si="4"/>
        <v/>
      </c>
      <c r="BK81" s="42"/>
      <c r="BZ81" s="2" t="str">
        <f t="shared" si="10"/>
        <v/>
      </c>
      <c r="CA81" s="2" t="str">
        <f t="shared" si="11"/>
        <v/>
      </c>
      <c r="CB81" s="2" t="str">
        <f t="shared" si="12"/>
        <v/>
      </c>
      <c r="CC81" s="2" t="str">
        <f t="shared" si="13"/>
        <v/>
      </c>
      <c r="CD81" s="2" t="str">
        <f t="shared" si="14"/>
        <v/>
      </c>
      <c r="CE81" s="2" t="str">
        <f t="shared" si="15"/>
        <v/>
      </c>
      <c r="CF81" s="2" t="str">
        <f t="shared" si="16"/>
        <v/>
      </c>
      <c r="CG81" s="2" t="str">
        <f t="shared" si="17"/>
        <v/>
      </c>
      <c r="CH81" s="2" t="str">
        <f t="shared" si="18"/>
        <v/>
      </c>
      <c r="CI81" s="2" t="str">
        <f t="shared" si="19"/>
        <v/>
      </c>
    </row>
    <row r="82" spans="18:87" x14ac:dyDescent="0.25">
      <c r="R82" s="1" t="str">
        <f t="shared" si="40"/>
        <v/>
      </c>
      <c r="S82" s="1" t="str">
        <f t="shared" si="40"/>
        <v/>
      </c>
      <c r="T82" s="1" t="str">
        <f t="shared" si="40"/>
        <v/>
      </c>
      <c r="U82" s="1" t="str">
        <f t="shared" si="40"/>
        <v/>
      </c>
      <c r="V82" s="1" t="str">
        <f t="shared" si="40"/>
        <v/>
      </c>
      <c r="AC82" s="6" t="str">
        <f t="shared" si="56"/>
        <v/>
      </c>
      <c r="AD82" s="6" t="str">
        <f t="shared" si="57"/>
        <v/>
      </c>
      <c r="AE82" s="6" t="str">
        <f>IF(AND(AN82&lt;&gt;0),SUM(AC$43:AC82),"")</f>
        <v/>
      </c>
      <c r="AF82" s="6" t="str">
        <f>IF(AND(AN82&lt;&gt;0),SUM(AD$43:AD82),"")</f>
        <v/>
      </c>
      <c r="AH82" s="7" t="str">
        <f t="shared" ref="AH82" si="69">IF(AND(AS$33="E",AL$34&lt;&gt;"E 50g"),"gauche","")</f>
        <v/>
      </c>
      <c r="AI82" s="12" t="str">
        <f t="shared" si="8"/>
        <v/>
      </c>
      <c r="AJ82" s="38"/>
      <c r="AK82" s="3"/>
      <c r="AL82" s="3"/>
      <c r="AN82" s="30">
        <f t="shared" si="60"/>
        <v>0</v>
      </c>
      <c r="AO82" s="30">
        <f t="shared" si="61"/>
        <v>0</v>
      </c>
      <c r="AX82" s="8" t="str">
        <f t="shared" si="4"/>
        <v/>
      </c>
      <c r="BK82" s="42"/>
      <c r="BZ82" s="2" t="str">
        <f t="shared" si="10"/>
        <v/>
      </c>
      <c r="CA82" s="2" t="str">
        <f t="shared" si="11"/>
        <v/>
      </c>
      <c r="CB82" s="2" t="str">
        <f t="shared" si="12"/>
        <v/>
      </c>
      <c r="CC82" s="2" t="str">
        <f t="shared" si="13"/>
        <v/>
      </c>
      <c r="CD82" s="2" t="str">
        <f t="shared" si="14"/>
        <v/>
      </c>
      <c r="CE82" s="2" t="str">
        <f t="shared" si="15"/>
        <v/>
      </c>
      <c r="CF82" s="2" t="str">
        <f t="shared" si="16"/>
        <v/>
      </c>
      <c r="CG82" s="2" t="str">
        <f t="shared" si="17"/>
        <v/>
      </c>
      <c r="CH82" s="2" t="str">
        <f t="shared" si="18"/>
        <v/>
      </c>
      <c r="CI82" s="2" t="str">
        <f t="shared" si="19"/>
        <v/>
      </c>
    </row>
    <row r="83" spans="18:87" x14ac:dyDescent="0.25">
      <c r="AH83" s="15"/>
      <c r="AK83" s="62"/>
    </row>
    <row r="84" spans="18:87" x14ac:dyDescent="0.25">
      <c r="AK84" s="62"/>
    </row>
    <row r="85" spans="18:87" x14ac:dyDescent="0.25">
      <c r="AK85" s="62"/>
    </row>
    <row r="86" spans="18:87" x14ac:dyDescent="0.25">
      <c r="AK86" s="62"/>
    </row>
    <row r="87" spans="18:87" x14ac:dyDescent="0.25">
      <c r="AK87" s="62"/>
    </row>
  </sheetData>
  <sheetProtection selectLockedCells="1"/>
  <mergeCells count="19">
    <mergeCell ref="BA19:BA20"/>
    <mergeCell ref="BA22:BA23"/>
    <mergeCell ref="AI32:AS32"/>
    <mergeCell ref="AU33:AW36"/>
    <mergeCell ref="AI19:AV23"/>
    <mergeCell ref="AH26:AJ26"/>
    <mergeCell ref="AU27:AW27"/>
    <mergeCell ref="AH25:AJ25"/>
    <mergeCell ref="AK24:AT28"/>
    <mergeCell ref="AH28:AJ28"/>
    <mergeCell ref="AU28:AW28"/>
    <mergeCell ref="AJ38:AR39"/>
    <mergeCell ref="AT38:AW39"/>
    <mergeCell ref="AS38:AS39"/>
    <mergeCell ref="AN41:AO41"/>
    <mergeCell ref="AU69:AV69"/>
    <mergeCell ref="AJ41:AL41"/>
    <mergeCell ref="AW43:AW47"/>
    <mergeCell ref="AU42:AV47"/>
  </mergeCells>
  <conditionalFormatting sqref="AI43:AI82">
    <cfRule type="containsBlanks" dxfId="11" priority="18">
      <formula>LEN(TRIM(AI43))=0</formula>
    </cfRule>
  </conditionalFormatting>
  <conditionalFormatting sqref="AL34">
    <cfRule type="containsBlanks" dxfId="10" priority="16">
      <formula>LEN(TRIM(AL34))=0</formula>
    </cfRule>
  </conditionalFormatting>
  <conditionalFormatting sqref="AJ33 AJ35:AJ36">
    <cfRule type="containsBlanks" dxfId="9" priority="15">
      <formula>LEN(TRIM(AJ33))=0</formula>
    </cfRule>
  </conditionalFormatting>
  <conditionalFormatting sqref="AJ34">
    <cfRule type="containsBlanks" dxfId="8" priority="14">
      <formula>LEN(TRIM(AJ34))=0</formula>
    </cfRule>
  </conditionalFormatting>
  <conditionalFormatting sqref="AR43:AS47">
    <cfRule type="cellIs" dxfId="7" priority="11" operator="between">
      <formula>$AQ$41</formula>
      <formula>$AS$41</formula>
    </cfRule>
  </conditionalFormatting>
  <conditionalFormatting sqref="AR51:AR55">
    <cfRule type="containsBlanks" dxfId="6" priority="7">
      <formula>LEN(TRIM(AR51))=0</formula>
    </cfRule>
    <cfRule type="cellIs" dxfId="5" priority="10" operator="between">
      <formula>$AQ$49</formula>
      <formula>$AS$49</formula>
    </cfRule>
  </conditionalFormatting>
  <conditionalFormatting sqref="AS51:AS55">
    <cfRule type="containsText" dxfId="4" priority="9" operator="containsText" text="OK">
      <formula>NOT(ISERROR(SEARCH("OK",AS51)))</formula>
    </cfRule>
  </conditionalFormatting>
  <conditionalFormatting sqref="AU42:AV47">
    <cfRule type="containsBlanks" dxfId="3" priority="5">
      <formula>LEN(TRIM(AU42))=0</formula>
    </cfRule>
    <cfRule type="cellIs" dxfId="2" priority="6" operator="greaterThan">
      <formula>85</formula>
    </cfRule>
  </conditionalFormatting>
  <conditionalFormatting sqref="AK43:AK82">
    <cfRule type="expression" dxfId="1" priority="2">
      <formula>$AS$33="E"</formula>
    </cfRule>
  </conditionalFormatting>
  <conditionalFormatting sqref="AH43:AL82">
    <cfRule type="expression" dxfId="0" priority="1">
      <formula>$AH43="gauche"</formula>
    </cfRule>
  </conditionalFormatting>
  <dataValidations count="1">
    <dataValidation type="list" allowBlank="1" showInputMessage="1" showErrorMessage="1" sqref="AS51:AS55" xr:uid="{00000000-0002-0000-0100-000000000000}">
      <formula1>"OK,NOK"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100-000001000000}">
          <x14:formula1>
            <xm:f>_qualité!$E$2:$E$6</xm:f>
          </x14:formula1>
          <xm:sqref>AJ43:AJ82</xm:sqref>
        </x14:dataValidation>
        <x14:dataValidation type="list" allowBlank="1" showInputMessage="1" showErrorMessage="1" xr:uid="{00000000-0002-0000-0100-000002000000}">
          <x14:formula1>
            <xm:f>_produits!$A$1:$E$1</xm:f>
          </x14:formula1>
          <xm:sqref>AL34</xm:sqref>
        </x14:dataValidation>
        <x14:dataValidation type="list" errorStyle="information" allowBlank="1" showInputMessage="1" xr:uid="{00000000-0002-0000-0100-000003000000}">
          <x14:formula1>
            <xm:f>_data!$A$2:$A$22</xm:f>
          </x14:formula1>
          <xm:sqref>AJ35</xm:sqref>
        </x14:dataValidation>
        <x14:dataValidation type="list" allowBlank="1" showInputMessage="1" showErrorMessage="1" xr:uid="{00000000-0002-0000-0100-000004000000}">
          <x14:formula1>
            <xm:f>_data!$C$2:$C$5</xm:f>
          </x14:formula1>
          <xm:sqref>AJ34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3"/>
  <dimension ref="A1:E7"/>
  <sheetViews>
    <sheetView workbookViewId="0">
      <selection activeCell="C28" sqref="C28"/>
    </sheetView>
  </sheetViews>
  <sheetFormatPr baseColWidth="10" defaultRowHeight="15" x14ac:dyDescent="0.25"/>
  <cols>
    <col min="2" max="2" width="8.7109375" customWidth="1"/>
  </cols>
  <sheetData>
    <row r="1" spans="1:5" x14ac:dyDescent="0.25">
      <c r="A1" t="s">
        <v>16</v>
      </c>
      <c r="E1" t="s">
        <v>23</v>
      </c>
    </row>
    <row r="2" spans="1:5" x14ac:dyDescent="0.25">
      <c r="A2" t="s">
        <v>17</v>
      </c>
      <c r="B2">
        <v>22</v>
      </c>
      <c r="E2" t="s">
        <v>24</v>
      </c>
    </row>
    <row r="3" spans="1:5" x14ac:dyDescent="0.25">
      <c r="A3" t="s">
        <v>18</v>
      </c>
      <c r="B3">
        <v>50</v>
      </c>
      <c r="E3" t="s">
        <v>25</v>
      </c>
    </row>
    <row r="4" spans="1:5" x14ac:dyDescent="0.25">
      <c r="E4" t="s">
        <v>14</v>
      </c>
    </row>
    <row r="5" spans="1:5" x14ac:dyDescent="0.25">
      <c r="A5" t="s">
        <v>19</v>
      </c>
      <c r="E5" t="s">
        <v>26</v>
      </c>
    </row>
    <row r="6" spans="1:5" x14ac:dyDescent="0.25">
      <c r="A6" t="s">
        <v>17</v>
      </c>
      <c r="B6">
        <v>3.8</v>
      </c>
      <c r="E6" t="s">
        <v>27</v>
      </c>
    </row>
    <row r="7" spans="1:5" x14ac:dyDescent="0.25">
      <c r="A7" t="s">
        <v>18</v>
      </c>
      <c r="B7" t="s">
        <v>48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/>
  <dimension ref="A1:F9"/>
  <sheetViews>
    <sheetView workbookViewId="0">
      <selection activeCell="C34" sqref="C34"/>
    </sheetView>
  </sheetViews>
  <sheetFormatPr baseColWidth="10" defaultRowHeight="15" x14ac:dyDescent="0.25"/>
  <cols>
    <col min="6" max="6" width="15.28515625" bestFit="1" customWidth="1"/>
  </cols>
  <sheetData>
    <row r="1" spans="1:6" x14ac:dyDescent="0.25">
      <c r="A1" t="s">
        <v>35</v>
      </c>
      <c r="B1" t="s">
        <v>36</v>
      </c>
      <c r="C1" t="s">
        <v>37</v>
      </c>
      <c r="D1" t="s">
        <v>38</v>
      </c>
      <c r="E1" t="s">
        <v>43</v>
      </c>
    </row>
    <row r="2" spans="1:6" x14ac:dyDescent="0.25">
      <c r="A2">
        <v>250</v>
      </c>
      <c r="B2">
        <v>490</v>
      </c>
      <c r="C2">
        <v>50</v>
      </c>
      <c r="D2">
        <v>360</v>
      </c>
      <c r="E2">
        <v>380</v>
      </c>
      <c r="F2" t="s">
        <v>17</v>
      </c>
    </row>
    <row r="3" spans="1:6" x14ac:dyDescent="0.25">
      <c r="A3">
        <v>270</v>
      </c>
      <c r="B3">
        <v>530</v>
      </c>
      <c r="C3">
        <v>53</v>
      </c>
      <c r="D3">
        <v>390</v>
      </c>
      <c r="E3">
        <v>410</v>
      </c>
      <c r="F3" t="s">
        <v>18</v>
      </c>
    </row>
    <row r="5" spans="1:6" x14ac:dyDescent="0.25">
      <c r="D5">
        <v>220</v>
      </c>
      <c r="E5">
        <v>252</v>
      </c>
      <c r="F5" t="s">
        <v>46</v>
      </c>
    </row>
    <row r="6" spans="1:6" x14ac:dyDescent="0.25">
      <c r="D6">
        <v>270</v>
      </c>
      <c r="E6">
        <v>308</v>
      </c>
      <c r="F6" t="s">
        <v>47</v>
      </c>
    </row>
    <row r="8" spans="1:6" x14ac:dyDescent="0.25">
      <c r="A8">
        <v>1050</v>
      </c>
      <c r="B8">
        <v>2100</v>
      </c>
      <c r="D8">
        <v>660</v>
      </c>
      <c r="E8">
        <v>785</v>
      </c>
      <c r="F8" t="s">
        <v>60</v>
      </c>
    </row>
    <row r="9" spans="1:6" x14ac:dyDescent="0.25">
      <c r="A9">
        <v>42</v>
      </c>
      <c r="B9">
        <v>42</v>
      </c>
      <c r="C9">
        <v>42</v>
      </c>
      <c r="D9">
        <v>38</v>
      </c>
      <c r="E9">
        <v>38</v>
      </c>
      <c r="F9" t="s">
        <v>114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4"/>
  <dimension ref="A1:K42"/>
  <sheetViews>
    <sheetView workbookViewId="0">
      <selection activeCell="F28" sqref="F28"/>
    </sheetView>
  </sheetViews>
  <sheetFormatPr baseColWidth="10" defaultRowHeight="15" x14ac:dyDescent="0.25"/>
  <cols>
    <col min="1" max="1" width="16.7109375" bestFit="1" customWidth="1"/>
    <col min="2" max="2" width="3" bestFit="1" customWidth="1"/>
    <col min="4" max="4" width="16.7109375" bestFit="1" customWidth="1"/>
    <col min="5" max="5" width="3" bestFit="1" customWidth="1"/>
    <col min="7" max="7" width="16.7109375" bestFit="1" customWidth="1"/>
    <col min="8" max="8" width="3" bestFit="1" customWidth="1"/>
    <col min="10" max="10" width="16.7109375" bestFit="1" customWidth="1"/>
    <col min="11" max="11" width="3" bestFit="1" customWidth="1"/>
  </cols>
  <sheetData>
    <row r="1" spans="1:11" x14ac:dyDescent="0.25">
      <c r="A1" t="str">
        <f>_produits!E1</f>
        <v>F 380g/m2</v>
      </c>
      <c r="D1" t="str">
        <f>_produits!D1</f>
        <v>F 340g/m2</v>
      </c>
      <c r="G1" t="str">
        <f>_produits!A1</f>
        <v>E 2x250g</v>
      </c>
      <c r="J1" t="str">
        <f>_produits!B1</f>
        <v>E 500g</v>
      </c>
    </row>
    <row r="2" spans="1:11" x14ac:dyDescent="0.25">
      <c r="A2" t="s">
        <v>42</v>
      </c>
      <c r="B2">
        <v>16</v>
      </c>
      <c r="D2" t="s">
        <v>42</v>
      </c>
      <c r="E2">
        <v>12</v>
      </c>
      <c r="G2" t="s">
        <v>42</v>
      </c>
      <c r="H2">
        <v>22</v>
      </c>
      <c r="J2" t="s">
        <v>42</v>
      </c>
      <c r="K2">
        <v>44</v>
      </c>
    </row>
    <row r="3" spans="1:11" x14ac:dyDescent="0.25">
      <c r="A3">
        <f>B3*B$2</f>
        <v>16</v>
      </c>
      <c r="B3">
        <v>1</v>
      </c>
      <c r="D3">
        <f>E3*E$2</f>
        <v>12</v>
      </c>
      <c r="E3">
        <v>1</v>
      </c>
      <c r="G3">
        <f>H3*H$2</f>
        <v>22</v>
      </c>
      <c r="H3">
        <v>1</v>
      </c>
      <c r="J3">
        <f>K3*K$2</f>
        <v>44</v>
      </c>
      <c r="K3">
        <v>1</v>
      </c>
    </row>
    <row r="4" spans="1:11" x14ac:dyDescent="0.25">
      <c r="A4">
        <f t="shared" ref="A4:A42" si="0">B4*B$2</f>
        <v>32</v>
      </c>
      <c r="B4">
        <v>2</v>
      </c>
      <c r="D4">
        <f t="shared" ref="D4:D42" si="1">E4*E$2</f>
        <v>24</v>
      </c>
      <c r="E4">
        <v>2</v>
      </c>
      <c r="G4">
        <f t="shared" ref="G4:G42" si="2">H4*H$2</f>
        <v>44</v>
      </c>
      <c r="H4">
        <v>2</v>
      </c>
      <c r="J4">
        <f t="shared" ref="J4:J42" si="3">K4*K$2</f>
        <v>88</v>
      </c>
      <c r="K4">
        <v>2</v>
      </c>
    </row>
    <row r="5" spans="1:11" x14ac:dyDescent="0.25">
      <c r="A5">
        <f t="shared" si="0"/>
        <v>48</v>
      </c>
      <c r="B5">
        <v>3</v>
      </c>
      <c r="D5">
        <f t="shared" si="1"/>
        <v>36</v>
      </c>
      <c r="E5">
        <v>3</v>
      </c>
      <c r="G5">
        <f t="shared" si="2"/>
        <v>66</v>
      </c>
      <c r="H5">
        <v>3</v>
      </c>
      <c r="J5">
        <f t="shared" si="3"/>
        <v>132</v>
      </c>
      <c r="K5">
        <v>3</v>
      </c>
    </row>
    <row r="6" spans="1:11" x14ac:dyDescent="0.25">
      <c r="A6">
        <f t="shared" si="0"/>
        <v>64</v>
      </c>
      <c r="B6">
        <v>4</v>
      </c>
      <c r="D6">
        <f t="shared" si="1"/>
        <v>48</v>
      </c>
      <c r="E6">
        <v>4</v>
      </c>
      <c r="G6">
        <f t="shared" si="2"/>
        <v>88</v>
      </c>
      <c r="H6">
        <v>4</v>
      </c>
      <c r="J6">
        <f t="shared" si="3"/>
        <v>176</v>
      </c>
      <c r="K6">
        <v>4</v>
      </c>
    </row>
    <row r="7" spans="1:11" x14ac:dyDescent="0.25">
      <c r="A7">
        <f t="shared" si="0"/>
        <v>80</v>
      </c>
      <c r="B7">
        <v>5</v>
      </c>
      <c r="D7">
        <f t="shared" si="1"/>
        <v>60</v>
      </c>
      <c r="E7">
        <v>5</v>
      </c>
      <c r="G7">
        <f t="shared" si="2"/>
        <v>110</v>
      </c>
      <c r="H7">
        <v>5</v>
      </c>
      <c r="J7">
        <f t="shared" si="3"/>
        <v>220</v>
      </c>
      <c r="K7">
        <v>5</v>
      </c>
    </row>
    <row r="8" spans="1:11" x14ac:dyDescent="0.25">
      <c r="A8">
        <f t="shared" si="0"/>
        <v>96</v>
      </c>
      <c r="B8">
        <v>6</v>
      </c>
      <c r="D8">
        <f t="shared" si="1"/>
        <v>72</v>
      </c>
      <c r="E8">
        <v>6</v>
      </c>
      <c r="G8">
        <f t="shared" si="2"/>
        <v>132</v>
      </c>
      <c r="H8">
        <v>6</v>
      </c>
      <c r="J8">
        <f t="shared" si="3"/>
        <v>264</v>
      </c>
      <c r="K8">
        <v>6</v>
      </c>
    </row>
    <row r="9" spans="1:11" x14ac:dyDescent="0.25">
      <c r="A9">
        <f t="shared" si="0"/>
        <v>112</v>
      </c>
      <c r="B9">
        <v>7</v>
      </c>
      <c r="D9">
        <f t="shared" si="1"/>
        <v>84</v>
      </c>
      <c r="E9">
        <v>7</v>
      </c>
      <c r="G9">
        <f t="shared" si="2"/>
        <v>154</v>
      </c>
      <c r="H9">
        <v>7</v>
      </c>
      <c r="J9">
        <f t="shared" si="3"/>
        <v>308</v>
      </c>
      <c r="K9">
        <v>7</v>
      </c>
    </row>
    <row r="10" spans="1:11" x14ac:dyDescent="0.25">
      <c r="A10">
        <f t="shared" si="0"/>
        <v>128</v>
      </c>
      <c r="B10">
        <v>8</v>
      </c>
      <c r="D10">
        <f t="shared" si="1"/>
        <v>96</v>
      </c>
      <c r="E10">
        <v>8</v>
      </c>
      <c r="G10">
        <f t="shared" si="2"/>
        <v>176</v>
      </c>
      <c r="H10">
        <v>8</v>
      </c>
      <c r="J10">
        <f t="shared" si="3"/>
        <v>352</v>
      </c>
      <c r="K10">
        <v>8</v>
      </c>
    </row>
    <row r="11" spans="1:11" x14ac:dyDescent="0.25">
      <c r="A11">
        <f t="shared" si="0"/>
        <v>144</v>
      </c>
      <c r="B11">
        <v>9</v>
      </c>
      <c r="D11">
        <f t="shared" si="1"/>
        <v>108</v>
      </c>
      <c r="E11">
        <v>9</v>
      </c>
      <c r="G11">
        <f t="shared" si="2"/>
        <v>198</v>
      </c>
      <c r="H11">
        <v>9</v>
      </c>
      <c r="J11">
        <f t="shared" si="3"/>
        <v>396</v>
      </c>
      <c r="K11">
        <v>9</v>
      </c>
    </row>
    <row r="12" spans="1:11" x14ac:dyDescent="0.25">
      <c r="A12">
        <f t="shared" si="0"/>
        <v>160</v>
      </c>
      <c r="B12">
        <v>10</v>
      </c>
      <c r="D12">
        <f t="shared" si="1"/>
        <v>120</v>
      </c>
      <c r="E12">
        <v>10</v>
      </c>
      <c r="G12">
        <f t="shared" si="2"/>
        <v>220</v>
      </c>
      <c r="H12">
        <v>10</v>
      </c>
      <c r="J12">
        <f t="shared" si="3"/>
        <v>440</v>
      </c>
      <c r="K12">
        <v>10</v>
      </c>
    </row>
    <row r="13" spans="1:11" x14ac:dyDescent="0.25">
      <c r="A13">
        <f t="shared" si="0"/>
        <v>176</v>
      </c>
      <c r="B13">
        <v>11</v>
      </c>
      <c r="D13">
        <f t="shared" si="1"/>
        <v>132</v>
      </c>
      <c r="E13">
        <v>11</v>
      </c>
      <c r="G13">
        <f t="shared" si="2"/>
        <v>242</v>
      </c>
      <c r="H13">
        <v>11</v>
      </c>
      <c r="J13">
        <f t="shared" si="3"/>
        <v>484</v>
      </c>
      <c r="K13">
        <v>11</v>
      </c>
    </row>
    <row r="14" spans="1:11" x14ac:dyDescent="0.25">
      <c r="A14">
        <f t="shared" si="0"/>
        <v>192</v>
      </c>
      <c r="B14">
        <v>12</v>
      </c>
      <c r="D14">
        <f t="shared" si="1"/>
        <v>144</v>
      </c>
      <c r="E14">
        <v>12</v>
      </c>
      <c r="G14">
        <f t="shared" si="2"/>
        <v>264</v>
      </c>
      <c r="H14">
        <v>12</v>
      </c>
      <c r="J14">
        <f t="shared" si="3"/>
        <v>528</v>
      </c>
      <c r="K14">
        <v>12</v>
      </c>
    </row>
    <row r="15" spans="1:11" x14ac:dyDescent="0.25">
      <c r="A15">
        <f t="shared" si="0"/>
        <v>208</v>
      </c>
      <c r="B15">
        <v>13</v>
      </c>
      <c r="D15">
        <f t="shared" si="1"/>
        <v>156</v>
      </c>
      <c r="E15">
        <v>13</v>
      </c>
      <c r="G15">
        <f t="shared" si="2"/>
        <v>286</v>
      </c>
      <c r="H15">
        <v>13</v>
      </c>
      <c r="J15">
        <f t="shared" si="3"/>
        <v>572</v>
      </c>
      <c r="K15">
        <v>13</v>
      </c>
    </row>
    <row r="16" spans="1:11" x14ac:dyDescent="0.25">
      <c r="A16">
        <f t="shared" si="0"/>
        <v>224</v>
      </c>
      <c r="B16">
        <v>14</v>
      </c>
      <c r="D16">
        <f t="shared" si="1"/>
        <v>168</v>
      </c>
      <c r="E16">
        <v>14</v>
      </c>
      <c r="G16">
        <f t="shared" si="2"/>
        <v>308</v>
      </c>
      <c r="H16">
        <v>14</v>
      </c>
      <c r="J16">
        <f t="shared" si="3"/>
        <v>616</v>
      </c>
      <c r="K16">
        <v>14</v>
      </c>
    </row>
    <row r="17" spans="1:11" x14ac:dyDescent="0.25">
      <c r="A17">
        <f t="shared" si="0"/>
        <v>240</v>
      </c>
      <c r="B17">
        <v>15</v>
      </c>
      <c r="D17">
        <f t="shared" si="1"/>
        <v>180</v>
      </c>
      <c r="E17">
        <v>15</v>
      </c>
      <c r="G17">
        <f t="shared" si="2"/>
        <v>330</v>
      </c>
      <c r="H17">
        <v>15</v>
      </c>
      <c r="J17">
        <f t="shared" si="3"/>
        <v>660</v>
      </c>
      <c r="K17">
        <v>15</v>
      </c>
    </row>
    <row r="18" spans="1:11" x14ac:dyDescent="0.25">
      <c r="A18">
        <f t="shared" si="0"/>
        <v>256</v>
      </c>
      <c r="B18">
        <v>16</v>
      </c>
      <c r="D18">
        <f t="shared" si="1"/>
        <v>192</v>
      </c>
      <c r="E18">
        <v>16</v>
      </c>
      <c r="G18">
        <f t="shared" si="2"/>
        <v>352</v>
      </c>
      <c r="H18">
        <v>16</v>
      </c>
      <c r="J18">
        <f t="shared" si="3"/>
        <v>704</v>
      </c>
      <c r="K18">
        <v>16</v>
      </c>
    </row>
    <row r="19" spans="1:11" x14ac:dyDescent="0.25">
      <c r="A19">
        <f t="shared" si="0"/>
        <v>272</v>
      </c>
      <c r="B19">
        <v>17</v>
      </c>
      <c r="D19">
        <f t="shared" si="1"/>
        <v>204</v>
      </c>
      <c r="E19">
        <v>17</v>
      </c>
      <c r="G19">
        <f t="shared" si="2"/>
        <v>374</v>
      </c>
      <c r="H19">
        <v>17</v>
      </c>
      <c r="J19">
        <f t="shared" si="3"/>
        <v>748</v>
      </c>
      <c r="K19">
        <v>17</v>
      </c>
    </row>
    <row r="20" spans="1:11" x14ac:dyDescent="0.25">
      <c r="A20">
        <f t="shared" si="0"/>
        <v>288</v>
      </c>
      <c r="B20">
        <v>18</v>
      </c>
      <c r="D20">
        <f t="shared" si="1"/>
        <v>216</v>
      </c>
      <c r="E20">
        <v>18</v>
      </c>
      <c r="G20">
        <f t="shared" si="2"/>
        <v>396</v>
      </c>
      <c r="H20">
        <v>18</v>
      </c>
      <c r="J20">
        <f t="shared" si="3"/>
        <v>792</v>
      </c>
      <c r="K20">
        <v>18</v>
      </c>
    </row>
    <row r="21" spans="1:11" x14ac:dyDescent="0.25">
      <c r="A21">
        <f t="shared" si="0"/>
        <v>304</v>
      </c>
      <c r="B21">
        <v>19</v>
      </c>
      <c r="D21">
        <f t="shared" si="1"/>
        <v>228</v>
      </c>
      <c r="E21">
        <v>19</v>
      </c>
      <c r="G21">
        <f t="shared" si="2"/>
        <v>418</v>
      </c>
      <c r="H21">
        <v>19</v>
      </c>
      <c r="J21">
        <f t="shared" si="3"/>
        <v>836</v>
      </c>
      <c r="K21">
        <v>19</v>
      </c>
    </row>
    <row r="22" spans="1:11" x14ac:dyDescent="0.25">
      <c r="A22">
        <f t="shared" si="0"/>
        <v>320</v>
      </c>
      <c r="B22">
        <v>20</v>
      </c>
      <c r="D22">
        <f t="shared" si="1"/>
        <v>240</v>
      </c>
      <c r="E22">
        <v>20</v>
      </c>
      <c r="G22">
        <f t="shared" si="2"/>
        <v>440</v>
      </c>
      <c r="H22">
        <v>20</v>
      </c>
      <c r="J22">
        <f t="shared" si="3"/>
        <v>880</v>
      </c>
      <c r="K22">
        <v>20</v>
      </c>
    </row>
    <row r="23" spans="1:11" x14ac:dyDescent="0.25">
      <c r="A23">
        <f t="shared" si="0"/>
        <v>336</v>
      </c>
      <c r="B23">
        <v>21</v>
      </c>
      <c r="D23">
        <f t="shared" si="1"/>
        <v>252</v>
      </c>
      <c r="E23">
        <v>21</v>
      </c>
      <c r="G23">
        <f t="shared" si="2"/>
        <v>462</v>
      </c>
      <c r="H23">
        <v>21</v>
      </c>
      <c r="J23">
        <f t="shared" si="3"/>
        <v>924</v>
      </c>
      <c r="K23">
        <v>21</v>
      </c>
    </row>
    <row r="24" spans="1:11" x14ac:dyDescent="0.25">
      <c r="A24">
        <f t="shared" si="0"/>
        <v>352</v>
      </c>
      <c r="B24">
        <v>22</v>
      </c>
      <c r="D24">
        <f t="shared" si="1"/>
        <v>264</v>
      </c>
      <c r="E24">
        <v>22</v>
      </c>
      <c r="G24">
        <f t="shared" si="2"/>
        <v>484</v>
      </c>
      <c r="H24">
        <v>22</v>
      </c>
      <c r="J24">
        <f t="shared" si="3"/>
        <v>968</v>
      </c>
      <c r="K24">
        <v>22</v>
      </c>
    </row>
    <row r="25" spans="1:11" x14ac:dyDescent="0.25">
      <c r="A25">
        <f t="shared" si="0"/>
        <v>368</v>
      </c>
      <c r="B25">
        <v>23</v>
      </c>
      <c r="D25">
        <f t="shared" si="1"/>
        <v>276</v>
      </c>
      <c r="E25">
        <v>23</v>
      </c>
      <c r="G25">
        <f t="shared" si="2"/>
        <v>506</v>
      </c>
      <c r="H25">
        <v>23</v>
      </c>
      <c r="J25">
        <f t="shared" si="3"/>
        <v>1012</v>
      </c>
      <c r="K25">
        <v>23</v>
      </c>
    </row>
    <row r="26" spans="1:11" x14ac:dyDescent="0.25">
      <c r="A26">
        <f t="shared" si="0"/>
        <v>384</v>
      </c>
      <c r="B26">
        <v>24</v>
      </c>
      <c r="D26">
        <f t="shared" si="1"/>
        <v>288</v>
      </c>
      <c r="E26">
        <v>24</v>
      </c>
      <c r="G26">
        <f t="shared" si="2"/>
        <v>528</v>
      </c>
      <c r="H26">
        <v>24</v>
      </c>
      <c r="J26">
        <f t="shared" si="3"/>
        <v>1056</v>
      </c>
      <c r="K26">
        <v>24</v>
      </c>
    </row>
    <row r="27" spans="1:11" x14ac:dyDescent="0.25">
      <c r="A27">
        <f t="shared" si="0"/>
        <v>400</v>
      </c>
      <c r="B27">
        <v>25</v>
      </c>
      <c r="D27">
        <f t="shared" si="1"/>
        <v>300</v>
      </c>
      <c r="E27">
        <v>25</v>
      </c>
      <c r="G27">
        <f t="shared" si="2"/>
        <v>550</v>
      </c>
      <c r="H27">
        <v>25</v>
      </c>
      <c r="J27">
        <f t="shared" si="3"/>
        <v>1100</v>
      </c>
      <c r="K27">
        <v>25</v>
      </c>
    </row>
    <row r="28" spans="1:11" x14ac:dyDescent="0.25">
      <c r="A28">
        <f t="shared" si="0"/>
        <v>416</v>
      </c>
      <c r="B28">
        <v>26</v>
      </c>
      <c r="D28">
        <f t="shared" si="1"/>
        <v>312</v>
      </c>
      <c r="E28">
        <v>26</v>
      </c>
      <c r="G28">
        <f t="shared" si="2"/>
        <v>572</v>
      </c>
      <c r="H28">
        <v>26</v>
      </c>
      <c r="J28">
        <f t="shared" si="3"/>
        <v>1144</v>
      </c>
      <c r="K28">
        <v>26</v>
      </c>
    </row>
    <row r="29" spans="1:11" x14ac:dyDescent="0.25">
      <c r="A29">
        <f t="shared" si="0"/>
        <v>432</v>
      </c>
      <c r="B29">
        <v>27</v>
      </c>
      <c r="D29">
        <f t="shared" si="1"/>
        <v>324</v>
      </c>
      <c r="E29">
        <v>27</v>
      </c>
      <c r="G29">
        <f t="shared" si="2"/>
        <v>594</v>
      </c>
      <c r="H29">
        <v>27</v>
      </c>
      <c r="J29">
        <f t="shared" si="3"/>
        <v>1188</v>
      </c>
      <c r="K29">
        <v>27</v>
      </c>
    </row>
    <row r="30" spans="1:11" x14ac:dyDescent="0.25">
      <c r="A30">
        <f t="shared" si="0"/>
        <v>448</v>
      </c>
      <c r="B30">
        <v>28</v>
      </c>
      <c r="D30">
        <f t="shared" si="1"/>
        <v>336</v>
      </c>
      <c r="E30">
        <v>28</v>
      </c>
      <c r="G30">
        <f t="shared" si="2"/>
        <v>616</v>
      </c>
      <c r="H30">
        <v>28</v>
      </c>
      <c r="J30">
        <f t="shared" si="3"/>
        <v>1232</v>
      </c>
      <c r="K30">
        <v>28</v>
      </c>
    </row>
    <row r="31" spans="1:11" x14ac:dyDescent="0.25">
      <c r="A31">
        <f t="shared" si="0"/>
        <v>464</v>
      </c>
      <c r="B31">
        <v>29</v>
      </c>
      <c r="D31">
        <f t="shared" si="1"/>
        <v>348</v>
      </c>
      <c r="E31">
        <v>29</v>
      </c>
      <c r="G31">
        <f t="shared" si="2"/>
        <v>638</v>
      </c>
      <c r="H31">
        <v>29</v>
      </c>
      <c r="J31">
        <f t="shared" si="3"/>
        <v>1276</v>
      </c>
      <c r="K31">
        <v>29</v>
      </c>
    </row>
    <row r="32" spans="1:11" x14ac:dyDescent="0.25">
      <c r="A32">
        <f t="shared" si="0"/>
        <v>480</v>
      </c>
      <c r="B32">
        <v>30</v>
      </c>
      <c r="D32">
        <f t="shared" si="1"/>
        <v>360</v>
      </c>
      <c r="E32">
        <v>30</v>
      </c>
      <c r="G32">
        <f t="shared" si="2"/>
        <v>660</v>
      </c>
      <c r="H32">
        <v>30</v>
      </c>
      <c r="J32">
        <f t="shared" si="3"/>
        <v>1320</v>
      </c>
      <c r="K32">
        <v>30</v>
      </c>
    </row>
    <row r="33" spans="1:11" x14ac:dyDescent="0.25">
      <c r="A33">
        <f t="shared" si="0"/>
        <v>496</v>
      </c>
      <c r="B33">
        <v>31</v>
      </c>
      <c r="D33">
        <f t="shared" si="1"/>
        <v>372</v>
      </c>
      <c r="E33">
        <v>31</v>
      </c>
      <c r="G33">
        <f t="shared" si="2"/>
        <v>682</v>
      </c>
      <c r="H33">
        <v>31</v>
      </c>
      <c r="J33">
        <f t="shared" si="3"/>
        <v>1364</v>
      </c>
      <c r="K33">
        <v>31</v>
      </c>
    </row>
    <row r="34" spans="1:11" x14ac:dyDescent="0.25">
      <c r="A34">
        <f t="shared" si="0"/>
        <v>512</v>
      </c>
      <c r="B34">
        <v>32</v>
      </c>
      <c r="D34">
        <f t="shared" si="1"/>
        <v>384</v>
      </c>
      <c r="E34">
        <v>32</v>
      </c>
      <c r="G34">
        <f t="shared" si="2"/>
        <v>704</v>
      </c>
      <c r="H34">
        <v>32</v>
      </c>
      <c r="J34">
        <f t="shared" si="3"/>
        <v>1408</v>
      </c>
      <c r="K34">
        <v>32</v>
      </c>
    </row>
    <row r="35" spans="1:11" x14ac:dyDescent="0.25">
      <c r="A35">
        <f t="shared" si="0"/>
        <v>528</v>
      </c>
      <c r="B35">
        <v>33</v>
      </c>
      <c r="D35">
        <f t="shared" si="1"/>
        <v>396</v>
      </c>
      <c r="E35">
        <v>33</v>
      </c>
      <c r="G35">
        <f t="shared" si="2"/>
        <v>726</v>
      </c>
      <c r="H35">
        <v>33</v>
      </c>
      <c r="J35">
        <f t="shared" si="3"/>
        <v>1452</v>
      </c>
      <c r="K35">
        <v>33</v>
      </c>
    </row>
    <row r="36" spans="1:11" x14ac:dyDescent="0.25">
      <c r="A36">
        <f t="shared" si="0"/>
        <v>544</v>
      </c>
      <c r="B36">
        <v>34</v>
      </c>
      <c r="D36">
        <f t="shared" si="1"/>
        <v>408</v>
      </c>
      <c r="E36">
        <v>34</v>
      </c>
      <c r="G36">
        <f t="shared" si="2"/>
        <v>748</v>
      </c>
      <c r="H36">
        <v>34</v>
      </c>
      <c r="J36">
        <f t="shared" si="3"/>
        <v>1496</v>
      </c>
      <c r="K36">
        <v>34</v>
      </c>
    </row>
    <row r="37" spans="1:11" x14ac:dyDescent="0.25">
      <c r="A37">
        <f t="shared" si="0"/>
        <v>560</v>
      </c>
      <c r="B37">
        <v>35</v>
      </c>
      <c r="D37">
        <f t="shared" si="1"/>
        <v>420</v>
      </c>
      <c r="E37">
        <v>35</v>
      </c>
      <c r="G37">
        <f t="shared" si="2"/>
        <v>770</v>
      </c>
      <c r="H37">
        <v>35</v>
      </c>
      <c r="J37">
        <f t="shared" si="3"/>
        <v>1540</v>
      </c>
      <c r="K37">
        <v>35</v>
      </c>
    </row>
    <row r="38" spans="1:11" x14ac:dyDescent="0.25">
      <c r="A38">
        <f t="shared" si="0"/>
        <v>576</v>
      </c>
      <c r="B38">
        <v>36</v>
      </c>
      <c r="D38">
        <f t="shared" si="1"/>
        <v>432</v>
      </c>
      <c r="E38">
        <v>36</v>
      </c>
      <c r="G38">
        <f t="shared" si="2"/>
        <v>792</v>
      </c>
      <c r="H38">
        <v>36</v>
      </c>
      <c r="J38">
        <f t="shared" si="3"/>
        <v>1584</v>
      </c>
      <c r="K38">
        <v>36</v>
      </c>
    </row>
    <row r="39" spans="1:11" x14ac:dyDescent="0.25">
      <c r="A39">
        <f t="shared" si="0"/>
        <v>592</v>
      </c>
      <c r="B39">
        <v>37</v>
      </c>
      <c r="D39">
        <f t="shared" si="1"/>
        <v>444</v>
      </c>
      <c r="E39">
        <v>37</v>
      </c>
      <c r="G39">
        <f t="shared" si="2"/>
        <v>814</v>
      </c>
      <c r="H39">
        <v>37</v>
      </c>
      <c r="J39">
        <f t="shared" si="3"/>
        <v>1628</v>
      </c>
      <c r="K39">
        <v>37</v>
      </c>
    </row>
    <row r="40" spans="1:11" x14ac:dyDescent="0.25">
      <c r="A40">
        <f t="shared" si="0"/>
        <v>608</v>
      </c>
      <c r="B40">
        <v>38</v>
      </c>
      <c r="D40">
        <f t="shared" si="1"/>
        <v>456</v>
      </c>
      <c r="E40">
        <v>38</v>
      </c>
      <c r="G40">
        <f t="shared" si="2"/>
        <v>836</v>
      </c>
      <c r="H40">
        <v>38</v>
      </c>
      <c r="J40">
        <f t="shared" si="3"/>
        <v>1672</v>
      </c>
      <c r="K40">
        <v>38</v>
      </c>
    </row>
    <row r="41" spans="1:11" x14ac:dyDescent="0.25">
      <c r="A41">
        <f t="shared" si="0"/>
        <v>624</v>
      </c>
      <c r="B41">
        <v>39</v>
      </c>
      <c r="D41">
        <f t="shared" si="1"/>
        <v>468</v>
      </c>
      <c r="E41">
        <v>39</v>
      </c>
      <c r="G41">
        <f t="shared" si="2"/>
        <v>858</v>
      </c>
      <c r="H41">
        <v>39</v>
      </c>
      <c r="J41">
        <f t="shared" si="3"/>
        <v>1716</v>
      </c>
      <c r="K41">
        <v>39</v>
      </c>
    </row>
    <row r="42" spans="1:11" x14ac:dyDescent="0.25">
      <c r="A42">
        <f t="shared" si="0"/>
        <v>640</v>
      </c>
      <c r="B42">
        <v>40</v>
      </c>
      <c r="D42">
        <f t="shared" si="1"/>
        <v>480</v>
      </c>
      <c r="E42">
        <v>40</v>
      </c>
      <c r="G42">
        <f t="shared" si="2"/>
        <v>880</v>
      </c>
      <c r="H42">
        <v>40</v>
      </c>
      <c r="J42">
        <f t="shared" si="3"/>
        <v>1760</v>
      </c>
      <c r="K42">
        <v>40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5E60BC-5A99-4A78-BE17-BF19AB953EBB}">
  <sheetPr codeName="Feuil5"/>
  <dimension ref="A1:J25"/>
  <sheetViews>
    <sheetView workbookViewId="0">
      <selection activeCell="H21" sqref="H21"/>
    </sheetView>
  </sheetViews>
  <sheetFormatPr baseColWidth="10" defaultRowHeight="15" x14ac:dyDescent="0.25"/>
  <cols>
    <col min="1" max="1" width="11.140625" customWidth="1"/>
    <col min="2" max="2" width="21.42578125" bestFit="1" customWidth="1"/>
    <col min="3" max="3" width="5" bestFit="1" customWidth="1"/>
    <col min="4" max="4" width="6.85546875" bestFit="1" customWidth="1"/>
    <col min="5" max="7" width="5.85546875" bestFit="1" customWidth="1"/>
    <col min="8" max="8" width="10.28515625" bestFit="1" customWidth="1"/>
    <col min="9" max="9" width="3.28515625" bestFit="1" customWidth="1"/>
    <col min="10" max="10" width="10" bestFit="1" customWidth="1"/>
  </cols>
  <sheetData>
    <row r="1" spans="1:10" x14ac:dyDescent="0.25">
      <c r="A1" t="s">
        <v>78</v>
      </c>
      <c r="B1" t="s">
        <v>44</v>
      </c>
      <c r="C1" t="s">
        <v>31</v>
      </c>
      <c r="D1" t="s">
        <v>79</v>
      </c>
      <c r="E1" t="s">
        <v>20</v>
      </c>
      <c r="F1" t="s">
        <v>33</v>
      </c>
      <c r="G1" t="s">
        <v>32</v>
      </c>
      <c r="H1" t="s">
        <v>80</v>
      </c>
      <c r="I1" t="s">
        <v>19</v>
      </c>
      <c r="J1" t="s">
        <v>7</v>
      </c>
    </row>
    <row r="2" spans="1:10" x14ac:dyDescent="0.25">
      <c r="A2" t="s">
        <v>99</v>
      </c>
    </row>
    <row r="3" spans="1:10" x14ac:dyDescent="0.25">
      <c r="A3" t="s">
        <v>106</v>
      </c>
      <c r="B3" t="s">
        <v>101</v>
      </c>
      <c r="C3">
        <v>1</v>
      </c>
      <c r="E3">
        <v>394</v>
      </c>
      <c r="J3" t="s">
        <v>43</v>
      </c>
    </row>
    <row r="4" spans="1:10" x14ac:dyDescent="0.25">
      <c r="A4" t="s">
        <v>107</v>
      </c>
      <c r="B4" t="s">
        <v>101</v>
      </c>
      <c r="C4">
        <v>2</v>
      </c>
      <c r="E4">
        <v>390</v>
      </c>
      <c r="J4" t="s">
        <v>43</v>
      </c>
    </row>
    <row r="5" spans="1:10" x14ac:dyDescent="0.25">
      <c r="A5" t="s">
        <v>109</v>
      </c>
      <c r="B5" t="s">
        <v>108</v>
      </c>
      <c r="C5">
        <v>1</v>
      </c>
      <c r="E5">
        <v>394</v>
      </c>
      <c r="J5" t="s">
        <v>43</v>
      </c>
    </row>
    <row r="6" spans="1:10" x14ac:dyDescent="0.25">
      <c r="A6" t="s">
        <v>110</v>
      </c>
      <c r="B6" t="s">
        <v>108</v>
      </c>
      <c r="C6">
        <v>2</v>
      </c>
      <c r="E6">
        <v>390</v>
      </c>
      <c r="J6" t="s">
        <v>43</v>
      </c>
    </row>
    <row r="7" spans="1:10" x14ac:dyDescent="0.25">
      <c r="A7" t="s">
        <v>106</v>
      </c>
      <c r="B7" t="s">
        <v>111</v>
      </c>
      <c r="C7">
        <v>1</v>
      </c>
      <c r="E7">
        <v>394</v>
      </c>
      <c r="J7" t="s">
        <v>43</v>
      </c>
    </row>
    <row r="8" spans="1:10" x14ac:dyDescent="0.25">
      <c r="A8" t="s">
        <v>107</v>
      </c>
      <c r="B8" t="s">
        <v>111</v>
      </c>
      <c r="C8">
        <v>2</v>
      </c>
      <c r="E8">
        <v>390</v>
      </c>
      <c r="J8" t="s">
        <v>43</v>
      </c>
    </row>
    <row r="9" spans="1:10" x14ac:dyDescent="0.25">
      <c r="A9" t="s">
        <v>106</v>
      </c>
      <c r="B9" t="s">
        <v>112</v>
      </c>
      <c r="C9">
        <v>1</v>
      </c>
      <c r="E9">
        <v>394</v>
      </c>
      <c r="J9" t="s">
        <v>43</v>
      </c>
    </row>
    <row r="10" spans="1:10" x14ac:dyDescent="0.25">
      <c r="A10" t="s">
        <v>107</v>
      </c>
      <c r="B10" t="s">
        <v>112</v>
      </c>
      <c r="C10">
        <v>2</v>
      </c>
      <c r="E10">
        <v>390</v>
      </c>
      <c r="J10" t="s">
        <v>43</v>
      </c>
    </row>
    <row r="11" spans="1:10" x14ac:dyDescent="0.25">
      <c r="A11" t="s">
        <v>106</v>
      </c>
      <c r="B11" t="s">
        <v>113</v>
      </c>
      <c r="C11">
        <v>1</v>
      </c>
      <c r="E11">
        <v>394</v>
      </c>
      <c r="J11" t="s">
        <v>43</v>
      </c>
    </row>
    <row r="12" spans="1:10" x14ac:dyDescent="0.25">
      <c r="A12" t="s">
        <v>107</v>
      </c>
      <c r="B12" t="s">
        <v>113</v>
      </c>
      <c r="C12">
        <v>2</v>
      </c>
      <c r="E12">
        <v>390</v>
      </c>
      <c r="J12" t="s">
        <v>43</v>
      </c>
    </row>
    <row r="13" spans="1:10" x14ac:dyDescent="0.25">
      <c r="A13" t="s">
        <v>117</v>
      </c>
      <c r="B13" t="s">
        <v>116</v>
      </c>
      <c r="C13">
        <v>1</v>
      </c>
      <c r="E13">
        <v>387</v>
      </c>
      <c r="J13" t="s">
        <v>43</v>
      </c>
    </row>
    <row r="14" spans="1:10" x14ac:dyDescent="0.25">
      <c r="A14" t="s">
        <v>118</v>
      </c>
      <c r="B14" t="s">
        <v>116</v>
      </c>
      <c r="C14">
        <v>2</v>
      </c>
      <c r="E14">
        <v>392</v>
      </c>
      <c r="J14" t="s">
        <v>43</v>
      </c>
    </row>
    <row r="15" spans="1:10" x14ac:dyDescent="0.25">
      <c r="A15" t="s">
        <v>119</v>
      </c>
      <c r="B15" t="s">
        <v>116</v>
      </c>
      <c r="C15">
        <v>3</v>
      </c>
      <c r="E15">
        <v>390</v>
      </c>
      <c r="J15" t="s">
        <v>43</v>
      </c>
    </row>
    <row r="16" spans="1:10" x14ac:dyDescent="0.25">
      <c r="A16" t="s">
        <v>121</v>
      </c>
      <c r="B16" t="s">
        <v>120</v>
      </c>
      <c r="C16">
        <v>1</v>
      </c>
      <c r="E16">
        <v>384</v>
      </c>
      <c r="J16" t="s">
        <v>43</v>
      </c>
    </row>
    <row r="17" spans="1:10" x14ac:dyDescent="0.25">
      <c r="A17" t="s">
        <v>123</v>
      </c>
      <c r="B17" t="s">
        <v>122</v>
      </c>
      <c r="C17">
        <v>1</v>
      </c>
      <c r="E17">
        <v>380</v>
      </c>
      <c r="J17" t="s">
        <v>38</v>
      </c>
    </row>
    <row r="18" spans="1:10" x14ac:dyDescent="0.25">
      <c r="A18" t="s">
        <v>126</v>
      </c>
      <c r="B18" t="s">
        <v>124</v>
      </c>
      <c r="C18">
        <v>0.5</v>
      </c>
      <c r="E18">
        <v>254</v>
      </c>
      <c r="J18" t="s">
        <v>35</v>
      </c>
    </row>
    <row r="19" spans="1:10" x14ac:dyDescent="0.25">
      <c r="A19" t="s">
        <v>126</v>
      </c>
      <c r="B19" t="s">
        <v>124</v>
      </c>
      <c r="C19">
        <v>1</v>
      </c>
      <c r="E19">
        <v>254</v>
      </c>
      <c r="J19" t="s">
        <v>35</v>
      </c>
    </row>
    <row r="20" spans="1:10" x14ac:dyDescent="0.25">
      <c r="A20" t="s">
        <v>127</v>
      </c>
      <c r="B20" t="s">
        <v>124</v>
      </c>
      <c r="C20">
        <v>1.5</v>
      </c>
      <c r="E20">
        <v>254</v>
      </c>
      <c r="J20" t="s">
        <v>35</v>
      </c>
    </row>
    <row r="21" spans="1:10" x14ac:dyDescent="0.25">
      <c r="A21" t="s">
        <v>127</v>
      </c>
      <c r="B21" t="s">
        <v>124</v>
      </c>
      <c r="C21">
        <v>2</v>
      </c>
      <c r="E21">
        <v>254</v>
      </c>
      <c r="J21" t="s">
        <v>35</v>
      </c>
    </row>
    <row r="22" spans="1:10" x14ac:dyDescent="0.25">
      <c r="A22" t="s">
        <v>129</v>
      </c>
      <c r="B22" t="s">
        <v>128</v>
      </c>
      <c r="C22">
        <v>1</v>
      </c>
      <c r="E22">
        <v>521</v>
      </c>
      <c r="J22" t="s">
        <v>36</v>
      </c>
    </row>
    <row r="23" spans="1:10" x14ac:dyDescent="0.25">
      <c r="A23" t="s">
        <v>130</v>
      </c>
      <c r="B23" t="s">
        <v>128</v>
      </c>
      <c r="C23">
        <v>2</v>
      </c>
      <c r="E23">
        <v>521</v>
      </c>
      <c r="J23" t="s">
        <v>36</v>
      </c>
    </row>
    <row r="24" spans="1:10" x14ac:dyDescent="0.25">
      <c r="A24" t="s">
        <v>129</v>
      </c>
      <c r="B24" t="s">
        <v>131</v>
      </c>
      <c r="C24">
        <v>1</v>
      </c>
      <c r="E24">
        <v>521</v>
      </c>
      <c r="J24" t="s">
        <v>36</v>
      </c>
    </row>
    <row r="25" spans="1:10" x14ac:dyDescent="0.25">
      <c r="A25" t="s">
        <v>130</v>
      </c>
      <c r="B25" t="s">
        <v>131</v>
      </c>
      <c r="C25">
        <v>2</v>
      </c>
      <c r="E25">
        <v>521</v>
      </c>
      <c r="J25" t="s">
        <v>36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F9074D-E9D4-4144-885A-B6DC32D2F65F}">
  <sheetPr codeName="Feuil6"/>
  <dimension ref="A1:AA13"/>
  <sheetViews>
    <sheetView workbookViewId="0">
      <selection activeCell="U18" sqref="U18"/>
    </sheetView>
  </sheetViews>
  <sheetFormatPr baseColWidth="10" defaultRowHeight="15" x14ac:dyDescent="0.25"/>
  <cols>
    <col min="1" max="1" width="21.42578125" bestFit="1" customWidth="1"/>
    <col min="2" max="2" width="4.5703125" bestFit="1" customWidth="1"/>
    <col min="3" max="3" width="10.7109375" bestFit="1" customWidth="1"/>
    <col min="4" max="4" width="10.85546875" bestFit="1" customWidth="1"/>
    <col min="5" max="5" width="4" bestFit="1" customWidth="1"/>
    <col min="6" max="6" width="8.5703125" bestFit="1" customWidth="1"/>
    <col min="7" max="7" width="10" bestFit="1" customWidth="1"/>
    <col min="8" max="8" width="9.85546875" bestFit="1" customWidth="1"/>
    <col min="9" max="9" width="12.42578125" bestFit="1" customWidth="1"/>
    <col min="10" max="10" width="2.85546875" bestFit="1" customWidth="1"/>
    <col min="11" max="11" width="4.28515625" bestFit="1" customWidth="1"/>
    <col min="12" max="14" width="9.28515625" bestFit="1" customWidth="1"/>
    <col min="15" max="15" width="3.28515625" bestFit="1" customWidth="1"/>
    <col min="16" max="16" width="12" bestFit="1" customWidth="1"/>
    <col min="17" max="17" width="3.85546875" bestFit="1" customWidth="1"/>
    <col min="18" max="18" width="5" bestFit="1" customWidth="1"/>
    <col min="19" max="19" width="3.5703125" bestFit="1" customWidth="1"/>
    <col min="20" max="21" width="9.5703125" bestFit="1" customWidth="1"/>
    <col min="22" max="22" width="3.140625" bestFit="1" customWidth="1"/>
    <col min="23" max="23" width="5" bestFit="1" customWidth="1"/>
    <col min="24" max="24" width="5.85546875" bestFit="1" customWidth="1"/>
    <col min="25" max="25" width="6" bestFit="1" customWidth="1"/>
    <col min="26" max="26" width="10.7109375" bestFit="1" customWidth="1"/>
    <col min="27" max="27" width="15.7109375" hidden="1" customWidth="1"/>
  </cols>
  <sheetData>
    <row r="1" spans="1:27" x14ac:dyDescent="0.25">
      <c r="A1" t="s">
        <v>44</v>
      </c>
      <c r="B1" t="s">
        <v>81</v>
      </c>
      <c r="C1" t="s">
        <v>0</v>
      </c>
      <c r="D1" t="s">
        <v>49</v>
      </c>
      <c r="E1" t="s">
        <v>82</v>
      </c>
      <c r="F1" t="s">
        <v>6</v>
      </c>
      <c r="G1" t="s">
        <v>7</v>
      </c>
      <c r="H1" t="s">
        <v>59</v>
      </c>
      <c r="I1" t="s">
        <v>62</v>
      </c>
      <c r="J1" t="s">
        <v>8</v>
      </c>
      <c r="K1" t="s">
        <v>39</v>
      </c>
      <c r="L1" t="s">
        <v>87</v>
      </c>
      <c r="M1" t="s">
        <v>88</v>
      </c>
      <c r="N1" t="s">
        <v>89</v>
      </c>
      <c r="O1" t="s">
        <v>19</v>
      </c>
      <c r="P1" t="s">
        <v>83</v>
      </c>
      <c r="Q1" t="s">
        <v>84</v>
      </c>
      <c r="R1" t="s">
        <v>3</v>
      </c>
      <c r="S1" t="s">
        <v>4</v>
      </c>
      <c r="T1" t="s">
        <v>85</v>
      </c>
      <c r="U1" t="s">
        <v>86</v>
      </c>
      <c r="V1" t="s">
        <v>24</v>
      </c>
      <c r="W1" t="s">
        <v>25</v>
      </c>
      <c r="X1" t="s">
        <v>14</v>
      </c>
      <c r="Y1" t="s">
        <v>26</v>
      </c>
      <c r="Z1" t="s">
        <v>27</v>
      </c>
    </row>
    <row r="2" spans="1:27" x14ac:dyDescent="0.25">
      <c r="A2" t="s">
        <v>99</v>
      </c>
    </row>
    <row r="3" spans="1:27" x14ac:dyDescent="0.25">
      <c r="A3" t="s">
        <v>101</v>
      </c>
      <c r="B3">
        <v>91</v>
      </c>
      <c r="C3" s="4">
        <v>45017</v>
      </c>
      <c r="D3" t="s">
        <v>56</v>
      </c>
      <c r="E3">
        <v>480</v>
      </c>
      <c r="F3" t="s">
        <v>100</v>
      </c>
      <c r="G3" t="s">
        <v>43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P3">
        <v>6.666666666666667</v>
      </c>
      <c r="Q3">
        <v>30</v>
      </c>
      <c r="R3">
        <v>784</v>
      </c>
      <c r="S3">
        <v>0</v>
      </c>
      <c r="T3">
        <v>2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 s="47">
        <v>45017.88318287037</v>
      </c>
    </row>
    <row r="4" spans="1:27" x14ac:dyDescent="0.25">
      <c r="A4" t="s">
        <v>108</v>
      </c>
      <c r="B4">
        <v>91</v>
      </c>
      <c r="C4" s="4">
        <v>45017</v>
      </c>
      <c r="D4" t="s">
        <v>58</v>
      </c>
      <c r="E4">
        <v>480</v>
      </c>
      <c r="F4" t="s">
        <v>100</v>
      </c>
      <c r="G4" t="s">
        <v>43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P4">
        <v>6.666666666666667</v>
      </c>
      <c r="Q4">
        <v>30</v>
      </c>
      <c r="R4">
        <v>784</v>
      </c>
      <c r="S4">
        <v>0</v>
      </c>
      <c r="T4">
        <v>2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 s="47">
        <v>45017.88354166667</v>
      </c>
    </row>
    <row r="5" spans="1:27" x14ac:dyDescent="0.25">
      <c r="A5" t="s">
        <v>111</v>
      </c>
      <c r="B5">
        <v>91</v>
      </c>
      <c r="C5" s="4">
        <v>45017</v>
      </c>
      <c r="D5" t="s">
        <v>56</v>
      </c>
      <c r="E5">
        <v>480</v>
      </c>
      <c r="F5" t="s">
        <v>100</v>
      </c>
      <c r="G5" t="s">
        <v>43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P5">
        <v>6.666666666666667</v>
      </c>
      <c r="Q5">
        <v>30</v>
      </c>
      <c r="R5">
        <v>784</v>
      </c>
      <c r="S5">
        <v>0</v>
      </c>
      <c r="T5">
        <v>2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 s="47">
        <v>45017.884085648147</v>
      </c>
    </row>
    <row r="6" spans="1:27" x14ac:dyDescent="0.25">
      <c r="A6" t="s">
        <v>112</v>
      </c>
      <c r="B6">
        <v>91</v>
      </c>
      <c r="C6" s="4">
        <v>45017</v>
      </c>
      <c r="D6" t="s">
        <v>56</v>
      </c>
      <c r="E6">
        <v>480</v>
      </c>
      <c r="F6" t="s">
        <v>100</v>
      </c>
      <c r="G6" t="s">
        <v>43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P6">
        <v>6.666666666666667</v>
      </c>
      <c r="Q6">
        <v>30</v>
      </c>
      <c r="R6">
        <v>784</v>
      </c>
      <c r="S6">
        <v>0</v>
      </c>
      <c r="T6">
        <v>2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 s="47">
        <v>45017.885127314818</v>
      </c>
    </row>
    <row r="7" spans="1:27" x14ac:dyDescent="0.25">
      <c r="A7" t="s">
        <v>113</v>
      </c>
      <c r="B7">
        <v>91</v>
      </c>
      <c r="C7" s="4">
        <v>45017</v>
      </c>
      <c r="D7" t="s">
        <v>56</v>
      </c>
      <c r="E7">
        <v>480</v>
      </c>
      <c r="F7" t="s">
        <v>100</v>
      </c>
      <c r="G7" t="s">
        <v>43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P7">
        <v>6.666666666666667</v>
      </c>
      <c r="Q7">
        <v>30</v>
      </c>
      <c r="R7">
        <v>784</v>
      </c>
      <c r="S7">
        <v>0</v>
      </c>
      <c r="T7">
        <v>2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 s="47">
        <v>45017.885671296295</v>
      </c>
    </row>
    <row r="8" spans="1:27" x14ac:dyDescent="0.25">
      <c r="A8" t="s">
        <v>116</v>
      </c>
      <c r="B8">
        <v>92</v>
      </c>
      <c r="C8" s="4">
        <v>45018</v>
      </c>
      <c r="D8" t="s">
        <v>56</v>
      </c>
      <c r="E8">
        <v>480</v>
      </c>
      <c r="F8" t="s">
        <v>100</v>
      </c>
      <c r="G8" t="s">
        <v>43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P8">
        <v>10</v>
      </c>
      <c r="Q8">
        <v>30</v>
      </c>
      <c r="R8">
        <v>1169</v>
      </c>
      <c r="S8">
        <v>0</v>
      </c>
      <c r="T8">
        <v>3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 s="47">
        <v>45018.624409722222</v>
      </c>
    </row>
    <row r="9" spans="1:27" x14ac:dyDescent="0.25">
      <c r="A9" t="s">
        <v>120</v>
      </c>
      <c r="B9">
        <v>92</v>
      </c>
      <c r="C9" s="4">
        <v>45018</v>
      </c>
      <c r="D9" t="s">
        <v>57</v>
      </c>
      <c r="E9">
        <v>480</v>
      </c>
      <c r="F9" t="s">
        <v>100</v>
      </c>
      <c r="G9" t="s">
        <v>43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P9">
        <v>3.3333333333333335</v>
      </c>
      <c r="Q9">
        <v>30</v>
      </c>
      <c r="R9">
        <v>384</v>
      </c>
      <c r="S9">
        <v>0</v>
      </c>
      <c r="T9">
        <v>1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 s="47">
        <v>45018.626284722224</v>
      </c>
    </row>
    <row r="10" spans="1:27" x14ac:dyDescent="0.25">
      <c r="A10" t="s">
        <v>122</v>
      </c>
      <c r="B10">
        <v>92</v>
      </c>
      <c r="C10" s="4">
        <v>45018</v>
      </c>
      <c r="D10" t="s">
        <v>45</v>
      </c>
      <c r="E10">
        <v>480</v>
      </c>
      <c r="F10" t="s">
        <v>100</v>
      </c>
      <c r="G10" t="s">
        <v>38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P10">
        <v>2.5</v>
      </c>
      <c r="Q10">
        <v>40</v>
      </c>
      <c r="R10">
        <v>380</v>
      </c>
      <c r="S10">
        <v>0</v>
      </c>
      <c r="T10">
        <v>1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 s="47">
        <v>45018.630983796298</v>
      </c>
    </row>
    <row r="11" spans="1:27" x14ac:dyDescent="0.25">
      <c r="A11" t="s">
        <v>124</v>
      </c>
      <c r="B11">
        <v>92</v>
      </c>
      <c r="C11" s="4">
        <v>45018</v>
      </c>
      <c r="D11" t="s">
        <v>58</v>
      </c>
      <c r="E11">
        <v>480</v>
      </c>
      <c r="F11" t="s">
        <v>125</v>
      </c>
      <c r="G11" t="s">
        <v>35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P11">
        <v>9.5238095238095237</v>
      </c>
      <c r="Q11">
        <v>21</v>
      </c>
      <c r="R11">
        <v>1016</v>
      </c>
      <c r="S11">
        <v>0</v>
      </c>
      <c r="T11">
        <v>2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 s="47">
        <v>45018.643171296295</v>
      </c>
    </row>
    <row r="12" spans="1:27" x14ac:dyDescent="0.25">
      <c r="A12" t="s">
        <v>128</v>
      </c>
      <c r="B12">
        <v>93</v>
      </c>
      <c r="C12" s="4">
        <v>45019</v>
      </c>
      <c r="D12" t="s">
        <v>57</v>
      </c>
      <c r="E12">
        <v>480</v>
      </c>
      <c r="F12" t="s">
        <v>125</v>
      </c>
      <c r="G12" t="s">
        <v>36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P12">
        <v>20</v>
      </c>
      <c r="Q12">
        <v>10</v>
      </c>
      <c r="R12">
        <v>1042</v>
      </c>
      <c r="S12">
        <v>0</v>
      </c>
      <c r="T12">
        <v>2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 s="47">
        <v>45018.64366898148</v>
      </c>
    </row>
    <row r="13" spans="1:27" x14ac:dyDescent="0.25">
      <c r="A13" t="s">
        <v>131</v>
      </c>
      <c r="B13">
        <v>93</v>
      </c>
      <c r="C13" s="4">
        <v>45019</v>
      </c>
      <c r="D13" t="s">
        <v>57</v>
      </c>
      <c r="E13">
        <v>480</v>
      </c>
      <c r="F13" t="s">
        <v>125</v>
      </c>
      <c r="G13" t="s">
        <v>36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P13">
        <v>20</v>
      </c>
      <c r="Q13">
        <v>10</v>
      </c>
      <c r="R13">
        <v>1042</v>
      </c>
      <c r="S13">
        <v>0</v>
      </c>
      <c r="T13">
        <v>2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 s="47">
        <v>45018.644687499997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6A00A7E-450A-4DE2-8663-132B149CC23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7</vt:i4>
      </vt:variant>
    </vt:vector>
  </HeadingPairs>
  <TitlesOfParts>
    <vt:vector size="7" baseType="lpstr">
      <vt:lpstr>_data</vt:lpstr>
      <vt:lpstr>PROD</vt:lpstr>
      <vt:lpstr>_qualité</vt:lpstr>
      <vt:lpstr>_produits</vt:lpstr>
      <vt:lpstr>_matrice TRS</vt:lpstr>
      <vt:lpstr>data PRODUITS</vt:lpstr>
      <vt:lpstr>data TRS</vt:lpstr>
    </vt:vector>
  </TitlesOfParts>
  <Company>SAINT-GOBAIN 1.1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</dc:creator>
  <cp:lastModifiedBy>Nicolas ManyO</cp:lastModifiedBy>
  <dcterms:created xsi:type="dcterms:W3CDTF">2023-03-23T18:18:40Z</dcterms:created>
  <dcterms:modified xsi:type="dcterms:W3CDTF">2023-04-02T15:45:46Z</dcterms:modified>
</cp:coreProperties>
</file>